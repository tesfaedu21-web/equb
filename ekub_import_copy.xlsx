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f4b970187792e20/Desktop/እቁብ (Equb)/"/>
    </mc:Choice>
  </mc:AlternateContent>
  <xr:revisionPtr revIDLastSave="0" documentId="8_{CB918958-3FBA-4A54-BF8D-CB646BF26CA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ዕቁብ" sheetId="1" r:id="rId1"/>
    <sheet name="ቦኖ" sheetId="2" state="hidden" r:id="rId2"/>
    <sheet name="Sheet4" sheetId="3" state="hidden" r:id="rId3"/>
    <sheet name="Sheet3" sheetId="4" state="hidden" r:id="rId4"/>
    <sheet name="List" sheetId="5" r:id="rId5"/>
    <sheet name="Sheet2" sheetId="6" state="hidden" r:id="rId6"/>
    <sheet name="Draw Winner" sheetId="7" r:id="rId7"/>
  </sheets>
  <definedNames>
    <definedName name="_xlnm._FilterDatabase" localSheetId="6" hidden="1">'Draw Winner'!$B$1:$B$119</definedName>
    <definedName name="_xlnm._FilterDatabase" localSheetId="0" hidden="1">ዕቁብ!$A$1:$DR$138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PmXGpBzgvE7W/2VBOEaKcQ7kLG2QgaALnhD2FhrbCM8="/>
    </ext>
  </extLst>
</workbook>
</file>

<file path=xl/calcChain.xml><?xml version="1.0" encoding="utf-8"?>
<calcChain xmlns="http://schemas.openxmlformats.org/spreadsheetml/2006/main">
  <c r="DH3" i="1" l="1"/>
  <c r="F1" i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K1" i="1" s="1"/>
  <c r="DL1" i="1" s="1"/>
  <c r="DM1" i="1" s="1"/>
  <c r="DN1" i="1" s="1"/>
  <c r="DO1" i="1" s="1"/>
  <c r="DP1" i="1" s="1"/>
  <c r="CO3" i="1"/>
  <c r="CO5" i="1" s="1"/>
  <c r="B120" i="7"/>
  <c r="N2" i="5"/>
  <c r="N1" i="5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D1" i="4"/>
  <c r="BF2" i="1"/>
  <c r="B1" i="4"/>
  <c r="A1" i="4"/>
  <c r="C135" i="3"/>
  <c r="CG135" i="3" s="1"/>
  <c r="CG136" i="6" s="1"/>
  <c r="B135" i="3"/>
  <c r="B136" i="6"/>
  <c r="A135" i="3"/>
  <c r="A136" i="6" s="1"/>
  <c r="C134" i="3"/>
  <c r="Y134" i="3"/>
  <c r="Y135" i="6" s="1"/>
  <c r="B134" i="3"/>
  <c r="B135" i="6" s="1"/>
  <c r="A134" i="3"/>
  <c r="A135" i="6" s="1"/>
  <c r="C133" i="3"/>
  <c r="B133" i="3"/>
  <c r="B134" i="6"/>
  <c r="A133" i="3"/>
  <c r="A134" i="6" s="1"/>
  <c r="C132" i="3"/>
  <c r="B132" i="3"/>
  <c r="B133" i="6" s="1"/>
  <c r="A132" i="3"/>
  <c r="A133" i="6"/>
  <c r="C131" i="3"/>
  <c r="B131" i="3"/>
  <c r="B132" i="6" s="1"/>
  <c r="A131" i="3"/>
  <c r="A132" i="6"/>
  <c r="C130" i="3"/>
  <c r="BE130" i="3" s="1"/>
  <c r="BE131" i="6"/>
  <c r="B130" i="3"/>
  <c r="B131" i="6"/>
  <c r="A130" i="3"/>
  <c r="A131" i="6" s="1"/>
  <c r="C129" i="3"/>
  <c r="B129" i="3"/>
  <c r="B130" i="6" s="1"/>
  <c r="A129" i="3"/>
  <c r="A130" i="6"/>
  <c r="C128" i="3"/>
  <c r="B128" i="3"/>
  <c r="B129" i="6" s="1"/>
  <c r="A128" i="3"/>
  <c r="A129" i="6" s="1"/>
  <c r="C127" i="3"/>
  <c r="B127" i="3"/>
  <c r="B128" i="6"/>
  <c r="A127" i="3"/>
  <c r="A128" i="6" s="1"/>
  <c r="C126" i="3"/>
  <c r="K126" i="3"/>
  <c r="K127" i="6" s="1"/>
  <c r="B126" i="3"/>
  <c r="B127" i="6"/>
  <c r="A126" i="3"/>
  <c r="A127" i="6"/>
  <c r="C125" i="3"/>
  <c r="CA125" i="3" s="1"/>
  <c r="CA126" i="6" s="1"/>
  <c r="B125" i="3"/>
  <c r="B126" i="6" s="1"/>
  <c r="A125" i="3"/>
  <c r="A126" i="6" s="1"/>
  <c r="C124" i="3"/>
  <c r="CJ124" i="3" s="1"/>
  <c r="CJ125" i="6" s="1"/>
  <c r="B124" i="3"/>
  <c r="B125" i="6" s="1"/>
  <c r="A124" i="3"/>
  <c r="A125" i="6"/>
  <c r="C123" i="3"/>
  <c r="BB123" i="3"/>
  <c r="BB124" i="6" s="1"/>
  <c r="B123" i="3"/>
  <c r="B124" i="6"/>
  <c r="A123" i="3"/>
  <c r="A124" i="6" s="1"/>
  <c r="C122" i="3"/>
  <c r="CJ122" i="3"/>
  <c r="CJ123" i="6"/>
  <c r="B122" i="3"/>
  <c r="B123" i="6" s="1"/>
  <c r="A122" i="3"/>
  <c r="A123" i="6" s="1"/>
  <c r="C121" i="3"/>
  <c r="B121" i="3"/>
  <c r="B122" i="6"/>
  <c r="A121" i="3"/>
  <c r="A122" i="6" s="1"/>
  <c r="C120" i="3"/>
  <c r="B120" i="3"/>
  <c r="B121" i="6" s="1"/>
  <c r="A120" i="3"/>
  <c r="A121" i="6"/>
  <c r="C119" i="3"/>
  <c r="B119" i="3"/>
  <c r="B120" i="6" s="1"/>
  <c r="A119" i="3"/>
  <c r="A120" i="6"/>
  <c r="C118" i="3"/>
  <c r="CZ118" i="3" s="1"/>
  <c r="CZ119" i="6"/>
  <c r="B118" i="3"/>
  <c r="B119" i="6"/>
  <c r="A118" i="3"/>
  <c r="A119" i="6"/>
  <c r="C117" i="3"/>
  <c r="B117" i="3"/>
  <c r="B118" i="6" s="1"/>
  <c r="A117" i="3"/>
  <c r="A118" i="6"/>
  <c r="C116" i="3"/>
  <c r="BE116" i="3" s="1"/>
  <c r="BE117" i="6" s="1"/>
  <c r="B116" i="3"/>
  <c r="B117" i="6" s="1"/>
  <c r="A116" i="3"/>
  <c r="A117" i="6"/>
  <c r="C115" i="3"/>
  <c r="B115" i="3"/>
  <c r="B116" i="6" s="1"/>
  <c r="A115" i="3"/>
  <c r="A116" i="6"/>
  <c r="C114" i="3"/>
  <c r="BH114" i="3" s="1"/>
  <c r="BH115" i="6"/>
  <c r="B114" i="3"/>
  <c r="B115" i="6" s="1"/>
  <c r="A114" i="3"/>
  <c r="A115" i="6"/>
  <c r="C113" i="3"/>
  <c r="B113" i="3"/>
  <c r="B114" i="6" s="1"/>
  <c r="A113" i="3"/>
  <c r="A114" i="6"/>
  <c r="C112" i="3"/>
  <c r="U112" i="3" s="1"/>
  <c r="U113" i="6" s="1"/>
  <c r="B112" i="3"/>
  <c r="B113" i="6" s="1"/>
  <c r="A112" i="3"/>
  <c r="A113" i="6"/>
  <c r="C111" i="3"/>
  <c r="B111" i="3"/>
  <c r="B112" i="6" s="1"/>
  <c r="A111" i="3"/>
  <c r="A112" i="6"/>
  <c r="C110" i="3"/>
  <c r="B110" i="3"/>
  <c r="B111" i="6"/>
  <c r="A110" i="3"/>
  <c r="A111" i="6" s="1"/>
  <c r="C109" i="3"/>
  <c r="B109" i="3"/>
  <c r="B110" i="6"/>
  <c r="A109" i="3"/>
  <c r="A110" i="6" s="1"/>
  <c r="C108" i="3"/>
  <c r="B108" i="3"/>
  <c r="B109" i="6" s="1"/>
  <c r="A108" i="3"/>
  <c r="A109" i="6" s="1"/>
  <c r="C107" i="3"/>
  <c r="B107" i="3"/>
  <c r="B108" i="6" s="1"/>
  <c r="A107" i="3"/>
  <c r="A108" i="6"/>
  <c r="C106" i="3"/>
  <c r="T106" i="3" s="1"/>
  <c r="T107" i="6" s="1"/>
  <c r="B106" i="3"/>
  <c r="B107" i="6" s="1"/>
  <c r="A106" i="3"/>
  <c r="A107" i="6"/>
  <c r="C105" i="3"/>
  <c r="B105" i="3"/>
  <c r="B106" i="6" s="1"/>
  <c r="A105" i="3"/>
  <c r="A106" i="6"/>
  <c r="C104" i="3"/>
  <c r="M104" i="3" s="1"/>
  <c r="M105" i="6"/>
  <c r="B104" i="3"/>
  <c r="B105" i="6" s="1"/>
  <c r="A104" i="3"/>
  <c r="A105" i="6"/>
  <c r="C103" i="3"/>
  <c r="BZ103" i="3" s="1"/>
  <c r="BZ104" i="6" s="1"/>
  <c r="B103" i="3"/>
  <c r="B104" i="6" s="1"/>
  <c r="A103" i="3"/>
  <c r="A104" i="6" s="1"/>
  <c r="C102" i="3"/>
  <c r="B102" i="3"/>
  <c r="B103" i="6" s="1"/>
  <c r="A102" i="3"/>
  <c r="A103" i="6"/>
  <c r="C101" i="3"/>
  <c r="B101" i="3"/>
  <c r="B102" i="6" s="1"/>
  <c r="A101" i="3"/>
  <c r="A102" i="6"/>
  <c r="C100" i="3"/>
  <c r="B100" i="3"/>
  <c r="B101" i="6"/>
  <c r="A100" i="3"/>
  <c r="A101" i="6"/>
  <c r="C99" i="3"/>
  <c r="AZ99" i="3"/>
  <c r="AZ100" i="6"/>
  <c r="B99" i="3"/>
  <c r="B100" i="6" s="1"/>
  <c r="A99" i="3"/>
  <c r="A100" i="6"/>
  <c r="C98" i="3"/>
  <c r="V98" i="3" s="1"/>
  <c r="V99" i="6" s="1"/>
  <c r="B98" i="3"/>
  <c r="B99" i="6" s="1"/>
  <c r="A98" i="3"/>
  <c r="A99" i="6"/>
  <c r="C97" i="3"/>
  <c r="B97" i="3"/>
  <c r="B98" i="6" s="1"/>
  <c r="A97" i="3"/>
  <c r="A98" i="6"/>
  <c r="C96" i="3"/>
  <c r="B96" i="3"/>
  <c r="B97" i="6"/>
  <c r="A96" i="3"/>
  <c r="A97" i="6"/>
  <c r="C95" i="3"/>
  <c r="AW95" i="3"/>
  <c r="AW96" i="6"/>
  <c r="B95" i="3"/>
  <c r="B96" i="6"/>
  <c r="A95" i="3"/>
  <c r="A96" i="6" s="1"/>
  <c r="C94" i="3"/>
  <c r="B94" i="3"/>
  <c r="B95" i="6"/>
  <c r="A94" i="3"/>
  <c r="A95" i="6" s="1"/>
  <c r="C93" i="3"/>
  <c r="B93" i="3"/>
  <c r="B94" i="6"/>
  <c r="A93" i="3"/>
  <c r="A94" i="6" s="1"/>
  <c r="C92" i="3"/>
  <c r="B92" i="3"/>
  <c r="B93" i="6" s="1"/>
  <c r="A92" i="3"/>
  <c r="A93" i="6"/>
  <c r="C91" i="3"/>
  <c r="B91" i="3"/>
  <c r="B92" i="6" s="1"/>
  <c r="A91" i="3"/>
  <c r="A92" i="6"/>
  <c r="C90" i="3"/>
  <c r="AU90" i="3"/>
  <c r="AU91" i="6"/>
  <c r="B90" i="3"/>
  <c r="B91" i="6" s="1"/>
  <c r="A90" i="3"/>
  <c r="A91" i="6"/>
  <c r="C89" i="3"/>
  <c r="B89" i="3"/>
  <c r="B90" i="6"/>
  <c r="A89" i="3"/>
  <c r="A90" i="6"/>
  <c r="C88" i="3"/>
  <c r="AE88" i="3" s="1"/>
  <c r="AE89" i="6" s="1"/>
  <c r="B88" i="3"/>
  <c r="B89" i="6" s="1"/>
  <c r="A88" i="3"/>
  <c r="A89" i="6"/>
  <c r="C87" i="3"/>
  <c r="B87" i="3"/>
  <c r="B88" i="6" s="1"/>
  <c r="A87" i="3"/>
  <c r="A88" i="6"/>
  <c r="C86" i="3"/>
  <c r="B86" i="3"/>
  <c r="B87" i="6"/>
  <c r="A86" i="3"/>
  <c r="A87" i="6"/>
  <c r="C85" i="3"/>
  <c r="B85" i="3"/>
  <c r="B86" i="6"/>
  <c r="A85" i="3"/>
  <c r="A86" i="6"/>
  <c r="C84" i="3"/>
  <c r="DP84" i="3" s="1"/>
  <c r="DP85" i="6" s="1"/>
  <c r="B84" i="3"/>
  <c r="B85" i="6"/>
  <c r="A84" i="3"/>
  <c r="A85" i="6" s="1"/>
  <c r="C83" i="3"/>
  <c r="B83" i="3"/>
  <c r="B84" i="6"/>
  <c r="A83" i="3"/>
  <c r="A84" i="6" s="1"/>
  <c r="C82" i="3"/>
  <c r="D82" i="3"/>
  <c r="D83" i="6" s="1"/>
  <c r="B82" i="3"/>
  <c r="B83" i="6"/>
  <c r="A82" i="3"/>
  <c r="A83" i="6"/>
  <c r="C81" i="3"/>
  <c r="B81" i="3"/>
  <c r="B82" i="6"/>
  <c r="A81" i="3"/>
  <c r="A82" i="6" s="1"/>
  <c r="C80" i="3"/>
  <c r="L80" i="3"/>
  <c r="L81" i="6" s="1"/>
  <c r="B80" i="3"/>
  <c r="B81" i="6"/>
  <c r="A80" i="3"/>
  <c r="A81" i="6" s="1"/>
  <c r="C79" i="3"/>
  <c r="BI79" i="3"/>
  <c r="BI80" i="6" s="1"/>
  <c r="B79" i="3"/>
  <c r="B80" i="6" s="1"/>
  <c r="A79" i="3"/>
  <c r="A80" i="6"/>
  <c r="C78" i="3"/>
  <c r="BH78" i="3" s="1"/>
  <c r="BH79" i="6" s="1"/>
  <c r="B78" i="3"/>
  <c r="B79" i="6"/>
  <c r="A78" i="3"/>
  <c r="A79" i="6"/>
  <c r="C77" i="3"/>
  <c r="B77" i="3"/>
  <c r="B78" i="6"/>
  <c r="A77" i="3"/>
  <c r="A78" i="6" s="1"/>
  <c r="C76" i="3"/>
  <c r="BI76" i="3" s="1"/>
  <c r="BI77" i="6" s="1"/>
  <c r="B76" i="3"/>
  <c r="B77" i="6" s="1"/>
  <c r="A76" i="3"/>
  <c r="A77" i="6"/>
  <c r="C75" i="3"/>
  <c r="B75" i="3"/>
  <c r="B76" i="6" s="1"/>
  <c r="A75" i="3"/>
  <c r="A76" i="6"/>
  <c r="C74" i="3"/>
  <c r="AV74" i="3"/>
  <c r="AV75" i="6"/>
  <c r="B74" i="3"/>
  <c r="B75" i="6"/>
  <c r="A74" i="3"/>
  <c r="A75" i="6"/>
  <c r="C73" i="3"/>
  <c r="BU73" i="3" s="1"/>
  <c r="BU74" i="6" s="1"/>
  <c r="B73" i="3"/>
  <c r="B74" i="6" s="1"/>
  <c r="A73" i="3"/>
  <c r="A74" i="6" s="1"/>
  <c r="C72" i="3"/>
  <c r="BW72" i="3"/>
  <c r="BW73" i="6" s="1"/>
  <c r="B72" i="3"/>
  <c r="B73" i="6"/>
  <c r="A72" i="3"/>
  <c r="A73" i="6"/>
  <c r="C71" i="3"/>
  <c r="CW71" i="3" s="1"/>
  <c r="CW72" i="6"/>
  <c r="B71" i="3"/>
  <c r="B72" i="6" s="1"/>
  <c r="A71" i="3"/>
  <c r="A72" i="6"/>
  <c r="C70" i="3"/>
  <c r="B70" i="3"/>
  <c r="B71" i="6"/>
  <c r="A70" i="3"/>
  <c r="A71" i="6" s="1"/>
  <c r="C69" i="3"/>
  <c r="B69" i="3"/>
  <c r="B70" i="6"/>
  <c r="A69" i="3"/>
  <c r="A70" i="6" s="1"/>
  <c r="C68" i="3"/>
  <c r="CF68" i="3"/>
  <c r="CF69" i="6" s="1"/>
  <c r="B68" i="3"/>
  <c r="B69" i="6"/>
  <c r="A68" i="3"/>
  <c r="A69" i="6" s="1"/>
  <c r="C67" i="3"/>
  <c r="B67" i="3"/>
  <c r="B68" i="6"/>
  <c r="A67" i="3"/>
  <c r="A68" i="6"/>
  <c r="C66" i="3"/>
  <c r="B66" i="3"/>
  <c r="B67" i="6" s="1"/>
  <c r="A66" i="3"/>
  <c r="A67" i="6"/>
  <c r="C65" i="3"/>
  <c r="B65" i="3"/>
  <c r="B66" i="6"/>
  <c r="A65" i="3"/>
  <c r="A66" i="6"/>
  <c r="C64" i="3"/>
  <c r="CI64" i="3" s="1"/>
  <c r="CI65" i="6" s="1"/>
  <c r="B64" i="3"/>
  <c r="B65" i="6" s="1"/>
  <c r="A64" i="3"/>
  <c r="A65" i="6"/>
  <c r="C63" i="3"/>
  <c r="B63" i="3"/>
  <c r="B64" i="6" s="1"/>
  <c r="A63" i="3"/>
  <c r="A64" i="6"/>
  <c r="C62" i="3"/>
  <c r="B62" i="3"/>
  <c r="B63" i="6"/>
  <c r="A62" i="3"/>
  <c r="A63" i="6" s="1"/>
  <c r="C61" i="3"/>
  <c r="B61" i="3"/>
  <c r="B62" i="6"/>
  <c r="A61" i="3"/>
  <c r="A62" i="6"/>
  <c r="C60" i="3"/>
  <c r="B60" i="3"/>
  <c r="B61" i="6" s="1"/>
  <c r="A60" i="3"/>
  <c r="A61" i="6"/>
  <c r="C59" i="3"/>
  <c r="DH59" i="3" s="1"/>
  <c r="DH60" i="6" s="1"/>
  <c r="B59" i="3"/>
  <c r="B60" i="6"/>
  <c r="A59" i="3"/>
  <c r="A60" i="6" s="1"/>
  <c r="C58" i="3"/>
  <c r="B58" i="3"/>
  <c r="B59" i="6" s="1"/>
  <c r="A58" i="3"/>
  <c r="A59" i="6"/>
  <c r="C57" i="3"/>
  <c r="B57" i="3"/>
  <c r="B58" i="6" s="1"/>
  <c r="A57" i="3"/>
  <c r="A58" i="6"/>
  <c r="C56" i="3"/>
  <c r="B56" i="3"/>
  <c r="B57" i="6"/>
  <c r="A56" i="3"/>
  <c r="A57" i="6"/>
  <c r="C55" i="3"/>
  <c r="AA55" i="3"/>
  <c r="AA56" i="6"/>
  <c r="B55" i="3"/>
  <c r="B56" i="6" s="1"/>
  <c r="A55" i="3"/>
  <c r="A56" i="6" s="1"/>
  <c r="C54" i="3"/>
  <c r="D54" i="3" s="1"/>
  <c r="D55" i="6" s="1"/>
  <c r="B54" i="3"/>
  <c r="B55" i="6" s="1"/>
  <c r="A54" i="3"/>
  <c r="A55" i="6"/>
  <c r="C53" i="3"/>
  <c r="B53" i="3"/>
  <c r="B54" i="6" s="1"/>
  <c r="A53" i="3"/>
  <c r="A54" i="6"/>
  <c r="C52" i="3"/>
  <c r="AH52" i="3"/>
  <c r="AH53" i="6"/>
  <c r="B52" i="3"/>
  <c r="B53" i="6"/>
  <c r="A52" i="3"/>
  <c r="A53" i="6"/>
  <c r="C51" i="3"/>
  <c r="AL51" i="3" s="1"/>
  <c r="AL52" i="6" s="1"/>
  <c r="B51" i="3"/>
  <c r="B52" i="6"/>
  <c r="A51" i="3"/>
  <c r="A52" i="6" s="1"/>
  <c r="C50" i="3"/>
  <c r="M50" i="3"/>
  <c r="M51" i="6" s="1"/>
  <c r="B50" i="3"/>
  <c r="B51" i="6"/>
  <c r="A50" i="3"/>
  <c r="A51" i="6"/>
  <c r="C49" i="3"/>
  <c r="AT49" i="3" s="1"/>
  <c r="AT50" i="6" s="1"/>
  <c r="B49" i="3"/>
  <c r="B50" i="6"/>
  <c r="A49" i="3"/>
  <c r="A50" i="6" s="1"/>
  <c r="C48" i="3"/>
  <c r="BY48" i="3" s="1"/>
  <c r="BY49" i="6" s="1"/>
  <c r="B48" i="3"/>
  <c r="B49" i="6" s="1"/>
  <c r="A48" i="3"/>
  <c r="A49" i="6"/>
  <c r="C47" i="3"/>
  <c r="B47" i="3"/>
  <c r="B48" i="6" s="1"/>
  <c r="A47" i="3"/>
  <c r="A48" i="6"/>
  <c r="C46" i="3"/>
  <c r="AU46" i="3" s="1"/>
  <c r="AU47" i="6"/>
  <c r="B46" i="3"/>
  <c r="B47" i="6" s="1"/>
  <c r="A46" i="3"/>
  <c r="A47" i="6" s="1"/>
  <c r="C45" i="3"/>
  <c r="DI45" i="3" s="1"/>
  <c r="DI46" i="6" s="1"/>
  <c r="B45" i="3"/>
  <c r="B46" i="6" s="1"/>
  <c r="A45" i="3"/>
  <c r="A46" i="6" s="1"/>
  <c r="C44" i="3"/>
  <c r="B44" i="3"/>
  <c r="B45" i="6" s="1"/>
  <c r="A44" i="3"/>
  <c r="A45" i="6"/>
  <c r="C43" i="3"/>
  <c r="CT43" i="3" s="1"/>
  <c r="CT44" i="6" s="1"/>
  <c r="B43" i="3"/>
  <c r="B44" i="6"/>
  <c r="A43" i="3"/>
  <c r="A44" i="6"/>
  <c r="C42" i="3"/>
  <c r="B42" i="3"/>
  <c r="B43" i="6"/>
  <c r="A42" i="3"/>
  <c r="A43" i="6" s="1"/>
  <c r="C41" i="3"/>
  <c r="CP41" i="3" s="1"/>
  <c r="CP42" i="6" s="1"/>
  <c r="B41" i="3"/>
  <c r="B42" i="6"/>
  <c r="A41" i="3"/>
  <c r="A42" i="6" s="1"/>
  <c r="C40" i="3"/>
  <c r="C41" i="6"/>
  <c r="B40" i="3"/>
  <c r="B41" i="6" s="1"/>
  <c r="A40" i="3"/>
  <c r="A41" i="6" s="1"/>
  <c r="C39" i="3"/>
  <c r="E39" i="3" s="1"/>
  <c r="E40" i="6" s="1"/>
  <c r="B39" i="3"/>
  <c r="B40" i="6" s="1"/>
  <c r="A39" i="3"/>
  <c r="A40" i="6"/>
  <c r="C38" i="3"/>
  <c r="B38" i="3"/>
  <c r="B39" i="6" s="1"/>
  <c r="A38" i="3"/>
  <c r="A39" i="6"/>
  <c r="C37" i="3"/>
  <c r="BA37" i="3"/>
  <c r="BA38" i="6"/>
  <c r="B37" i="3"/>
  <c r="B38" i="6"/>
  <c r="A37" i="3"/>
  <c r="A38" i="6"/>
  <c r="C36" i="3"/>
  <c r="AP36" i="3" s="1"/>
  <c r="AP37" i="6" s="1"/>
  <c r="B36" i="3"/>
  <c r="B37" i="6"/>
  <c r="A36" i="3"/>
  <c r="A37" i="6" s="1"/>
  <c r="C35" i="3"/>
  <c r="B35" i="3"/>
  <c r="B36" i="6" s="1"/>
  <c r="A35" i="3"/>
  <c r="A36" i="6"/>
  <c r="C34" i="3"/>
  <c r="AI34" i="3" s="1"/>
  <c r="AI35" i="6" s="1"/>
  <c r="B34" i="3"/>
  <c r="B35" i="6"/>
  <c r="A34" i="3"/>
  <c r="A35" i="6"/>
  <c r="C33" i="3"/>
  <c r="Z33" i="3" s="1"/>
  <c r="Z34" i="6" s="1"/>
  <c r="B33" i="3"/>
  <c r="B34" i="6"/>
  <c r="A33" i="3"/>
  <c r="A34" i="6" s="1"/>
  <c r="C32" i="3"/>
  <c r="BI32" i="3"/>
  <c r="BI33" i="6" s="1"/>
  <c r="B32" i="3"/>
  <c r="B33" i="6" s="1"/>
  <c r="A32" i="3"/>
  <c r="A33" i="6"/>
  <c r="C31" i="3"/>
  <c r="B31" i="3"/>
  <c r="B32" i="6"/>
  <c r="A31" i="3"/>
  <c r="A32" i="6" s="1"/>
  <c r="C30" i="3"/>
  <c r="AJ30" i="3"/>
  <c r="AJ31" i="6"/>
  <c r="B30" i="3"/>
  <c r="B31" i="6"/>
  <c r="A30" i="3"/>
  <c r="A31" i="6"/>
  <c r="C29" i="3"/>
  <c r="B29" i="3"/>
  <c r="B30" i="6"/>
  <c r="A29" i="3"/>
  <c r="A30" i="6" s="1"/>
  <c r="C28" i="3"/>
  <c r="B28" i="3"/>
  <c r="B29" i="6" s="1"/>
  <c r="A28" i="3"/>
  <c r="A29" i="6" s="1"/>
  <c r="C27" i="3"/>
  <c r="B27" i="3"/>
  <c r="B28" i="6" s="1"/>
  <c r="A27" i="3"/>
  <c r="A28" i="6"/>
  <c r="C26" i="3"/>
  <c r="B26" i="3"/>
  <c r="B27" i="6" s="1"/>
  <c r="A26" i="3"/>
  <c r="A27" i="6"/>
  <c r="C25" i="3"/>
  <c r="CA25" i="3"/>
  <c r="CA26" i="6"/>
  <c r="B25" i="3"/>
  <c r="B26" i="6" s="1"/>
  <c r="A25" i="3"/>
  <c r="A26" i="6"/>
  <c r="C24" i="3"/>
  <c r="AE24" i="3" s="1"/>
  <c r="AE25" i="6" s="1"/>
  <c r="B24" i="3"/>
  <c r="B25" i="6" s="1"/>
  <c r="A24" i="3"/>
  <c r="A25" i="6" s="1"/>
  <c r="C23" i="3"/>
  <c r="C24" i="6"/>
  <c r="B23" i="3"/>
  <c r="B24" i="6"/>
  <c r="A23" i="3"/>
  <c r="A24" i="6" s="1"/>
  <c r="C22" i="3"/>
  <c r="B22" i="3"/>
  <c r="B23" i="6"/>
  <c r="A22" i="3"/>
  <c r="A23" i="6" s="1"/>
  <c r="C21" i="3"/>
  <c r="BG21" i="3"/>
  <c r="BG22" i="6"/>
  <c r="B21" i="3"/>
  <c r="B22" i="6" s="1"/>
  <c r="A21" i="3"/>
  <c r="A22" i="6"/>
  <c r="C20" i="3"/>
  <c r="CA20" i="3" s="1"/>
  <c r="CA21" i="6" s="1"/>
  <c r="B20" i="3"/>
  <c r="B21" i="6" s="1"/>
  <c r="A20" i="3"/>
  <c r="A21" i="6"/>
  <c r="C19" i="3"/>
  <c r="B19" i="3"/>
  <c r="B20" i="6"/>
  <c r="A19" i="3"/>
  <c r="A20" i="6"/>
  <c r="C18" i="3"/>
  <c r="BT18" i="3" s="1"/>
  <c r="BT19" i="6" s="1"/>
  <c r="B18" i="3"/>
  <c r="B19" i="6" s="1"/>
  <c r="A18" i="3"/>
  <c r="A19" i="6"/>
  <c r="C17" i="3"/>
  <c r="B17" i="3"/>
  <c r="B18" i="6" s="1"/>
  <c r="A17" i="3"/>
  <c r="A18" i="6"/>
  <c r="C16" i="3"/>
  <c r="B16" i="3"/>
  <c r="B17" i="6"/>
  <c r="A16" i="3"/>
  <c r="A17" i="6" s="1"/>
  <c r="C15" i="3"/>
  <c r="B15" i="3"/>
  <c r="B16" i="6"/>
  <c r="A15" i="3"/>
  <c r="A16" i="6"/>
  <c r="C14" i="3"/>
  <c r="CW14" i="3" s="1"/>
  <c r="CW15" i="6" s="1"/>
  <c r="B14" i="3"/>
  <c r="B15" i="6"/>
  <c r="A14" i="3"/>
  <c r="A15" i="6" s="1"/>
  <c r="C13" i="3"/>
  <c r="B13" i="3"/>
  <c r="B14" i="6" s="1"/>
  <c r="A13" i="3"/>
  <c r="A14" i="6" s="1"/>
  <c r="C12" i="3"/>
  <c r="BV12" i="3"/>
  <c r="BV13" i="6" s="1"/>
  <c r="B12" i="3"/>
  <c r="B13" i="6"/>
  <c r="A12" i="3"/>
  <c r="A13" i="6"/>
  <c r="C11" i="3"/>
  <c r="H11" i="3"/>
  <c r="H12" i="6"/>
  <c r="B11" i="3"/>
  <c r="B12" i="6" s="1"/>
  <c r="A11" i="3"/>
  <c r="A12" i="6"/>
  <c r="C10" i="3"/>
  <c r="CM10" i="3" s="1"/>
  <c r="CM11" i="6" s="1"/>
  <c r="B10" i="3"/>
  <c r="B11" i="6" s="1"/>
  <c r="A10" i="3"/>
  <c r="A11" i="6"/>
  <c r="C9" i="3"/>
  <c r="Q9" i="3"/>
  <c r="Q10" i="6" s="1"/>
  <c r="B9" i="3"/>
  <c r="B10" i="6"/>
  <c r="A9" i="3"/>
  <c r="A10" i="6"/>
  <c r="C8" i="3"/>
  <c r="B8" i="3"/>
  <c r="B9" i="6" s="1"/>
  <c r="A8" i="3"/>
  <c r="A9" i="6"/>
  <c r="C7" i="3"/>
  <c r="B7" i="3"/>
  <c r="B8" i="6"/>
  <c r="A7" i="3"/>
  <c r="A8" i="6" s="1"/>
  <c r="C6" i="3"/>
  <c r="CL6" i="3" s="1"/>
  <c r="CL7" i="6" s="1"/>
  <c r="B6" i="3"/>
  <c r="B7" i="6" s="1"/>
  <c r="A6" i="3"/>
  <c r="A7" i="6"/>
  <c r="C5" i="3"/>
  <c r="B5" i="3"/>
  <c r="B6" i="6" s="1"/>
  <c r="A5" i="3"/>
  <c r="A6" i="6"/>
  <c r="C4" i="3"/>
  <c r="B4" i="3"/>
  <c r="B5" i="6"/>
  <c r="A4" i="3"/>
  <c r="A5" i="6" s="1"/>
  <c r="C3" i="3"/>
  <c r="CR3" i="3" s="1"/>
  <c r="CR4" i="6" s="1"/>
  <c r="B3" i="3"/>
  <c r="B4" i="6"/>
  <c r="A3" i="3"/>
  <c r="A4" i="6" s="1"/>
  <c r="BF2" i="3"/>
  <c r="BF2" i="6" s="1"/>
  <c r="C2" i="3"/>
  <c r="C1" i="6"/>
  <c r="D1" i="3"/>
  <c r="D1" i="6"/>
  <c r="B1" i="3"/>
  <c r="B1" i="6"/>
  <c r="A1" i="3"/>
  <c r="A1" i="6" s="1"/>
  <c r="C136" i="2"/>
  <c r="B136" i="2"/>
  <c r="A136" i="2"/>
  <c r="C135" i="2"/>
  <c r="B135" i="2"/>
  <c r="A135" i="2"/>
  <c r="C134" i="2"/>
  <c r="B134" i="2"/>
  <c r="A134" i="2"/>
  <c r="C133" i="2"/>
  <c r="B133" i="2"/>
  <c r="A133" i="2"/>
  <c r="C132" i="2"/>
  <c r="B132" i="2"/>
  <c r="A132" i="2"/>
  <c r="C131" i="2"/>
  <c r="B131" i="2"/>
  <c r="A131" i="2"/>
  <c r="C130" i="2"/>
  <c r="B130" i="2"/>
  <c r="A130" i="2"/>
  <c r="C129" i="2"/>
  <c r="B129" i="2"/>
  <c r="A129" i="2"/>
  <c r="C128" i="2"/>
  <c r="B128" i="2"/>
  <c r="A128" i="2"/>
  <c r="C127" i="2"/>
  <c r="B127" i="2"/>
  <c r="A127" i="2"/>
  <c r="C126" i="2"/>
  <c r="B126" i="2"/>
  <c r="A126" i="2"/>
  <c r="C125" i="2"/>
  <c r="B125" i="2"/>
  <c r="A125" i="2"/>
  <c r="C124" i="2"/>
  <c r="B124" i="2"/>
  <c r="A124" i="2"/>
  <c r="C123" i="2"/>
  <c r="B123" i="2"/>
  <c r="A123" i="2"/>
  <c r="C122" i="2"/>
  <c r="B122" i="2"/>
  <c r="A122" i="2"/>
  <c r="C121" i="2"/>
  <c r="B121" i="2"/>
  <c r="A121" i="2"/>
  <c r="C120" i="2"/>
  <c r="B120" i="2"/>
  <c r="A120" i="2"/>
  <c r="C119" i="2"/>
  <c r="B119" i="2"/>
  <c r="A119" i="2"/>
  <c r="C118" i="2"/>
  <c r="B118" i="2"/>
  <c r="A118" i="2"/>
  <c r="C117" i="2"/>
  <c r="B117" i="2"/>
  <c r="A117" i="2"/>
  <c r="C116" i="2"/>
  <c r="B116" i="2"/>
  <c r="A116" i="2"/>
  <c r="C115" i="2"/>
  <c r="B115" i="2"/>
  <c r="A115" i="2"/>
  <c r="C114" i="2"/>
  <c r="B114" i="2"/>
  <c r="A114" i="2"/>
  <c r="C113" i="2"/>
  <c r="B113" i="2"/>
  <c r="A113" i="2"/>
  <c r="C112" i="2"/>
  <c r="B112" i="2"/>
  <c r="A112" i="2"/>
  <c r="C111" i="2"/>
  <c r="B111" i="2"/>
  <c r="A111" i="2"/>
  <c r="C110" i="2"/>
  <c r="B110" i="2"/>
  <c r="A110" i="2"/>
  <c r="C109" i="2"/>
  <c r="B109" i="2"/>
  <c r="A109" i="2"/>
  <c r="C108" i="2"/>
  <c r="B108" i="2"/>
  <c r="A108" i="2"/>
  <c r="C107" i="2"/>
  <c r="B107" i="2"/>
  <c r="A107" i="2"/>
  <c r="C106" i="2"/>
  <c r="B106" i="2"/>
  <c r="A106" i="2"/>
  <c r="C105" i="2"/>
  <c r="B105" i="2"/>
  <c r="A105" i="2"/>
  <c r="C104" i="2"/>
  <c r="B104" i="2"/>
  <c r="A104" i="2"/>
  <c r="C103" i="2"/>
  <c r="B103" i="2"/>
  <c r="A103" i="2"/>
  <c r="C102" i="2"/>
  <c r="B102" i="2"/>
  <c r="A102" i="2"/>
  <c r="C101" i="2"/>
  <c r="B101" i="2"/>
  <c r="A101" i="2"/>
  <c r="C100" i="2"/>
  <c r="B100" i="2"/>
  <c r="A100" i="2"/>
  <c r="C99" i="2"/>
  <c r="B99" i="2"/>
  <c r="A99" i="2"/>
  <c r="C98" i="2"/>
  <c r="B98" i="2"/>
  <c r="A98" i="2"/>
  <c r="C97" i="2"/>
  <c r="B97" i="2"/>
  <c r="A97" i="2"/>
  <c r="C96" i="2"/>
  <c r="B96" i="2"/>
  <c r="A96" i="2"/>
  <c r="C95" i="2"/>
  <c r="B95" i="2"/>
  <c r="A95" i="2"/>
  <c r="C94" i="2"/>
  <c r="B94" i="2"/>
  <c r="A94" i="2"/>
  <c r="C93" i="2"/>
  <c r="B93" i="2"/>
  <c r="A93" i="2"/>
  <c r="C92" i="2"/>
  <c r="B92" i="2"/>
  <c r="A92" i="2"/>
  <c r="C91" i="2"/>
  <c r="B91" i="2"/>
  <c r="A91" i="2"/>
  <c r="C90" i="2"/>
  <c r="B90" i="2"/>
  <c r="A90" i="2"/>
  <c r="C89" i="2"/>
  <c r="B89" i="2"/>
  <c r="A89" i="2"/>
  <c r="C88" i="2"/>
  <c r="B88" i="2"/>
  <c r="A88" i="2"/>
  <c r="C87" i="2"/>
  <c r="B87" i="2"/>
  <c r="A87" i="2"/>
  <c r="C86" i="2"/>
  <c r="B86" i="2"/>
  <c r="A86" i="2"/>
  <c r="C85" i="2"/>
  <c r="B85" i="2"/>
  <c r="A85" i="2"/>
  <c r="C84" i="2"/>
  <c r="B84" i="2"/>
  <c r="A84" i="2"/>
  <c r="C83" i="2"/>
  <c r="B83" i="2"/>
  <c r="A83" i="2"/>
  <c r="C82" i="2"/>
  <c r="B82" i="2"/>
  <c r="A82" i="2"/>
  <c r="C81" i="2"/>
  <c r="B81" i="2"/>
  <c r="A81" i="2"/>
  <c r="C80" i="2"/>
  <c r="B80" i="2"/>
  <c r="A80" i="2"/>
  <c r="C79" i="2"/>
  <c r="B79" i="2"/>
  <c r="A79" i="2"/>
  <c r="C78" i="2"/>
  <c r="B78" i="2"/>
  <c r="A78" i="2"/>
  <c r="C77" i="2"/>
  <c r="B77" i="2"/>
  <c r="A77" i="2"/>
  <c r="C76" i="2"/>
  <c r="B76" i="2"/>
  <c r="A76" i="2"/>
  <c r="C75" i="2"/>
  <c r="B75" i="2"/>
  <c r="A75" i="2"/>
  <c r="C74" i="2"/>
  <c r="B74" i="2"/>
  <c r="A74" i="2"/>
  <c r="C73" i="2"/>
  <c r="B73" i="2"/>
  <c r="A73" i="2"/>
  <c r="C72" i="2"/>
  <c r="B72" i="2"/>
  <c r="A72" i="2"/>
  <c r="C71" i="2"/>
  <c r="B71" i="2"/>
  <c r="A71" i="2"/>
  <c r="C70" i="2"/>
  <c r="B70" i="2"/>
  <c r="A70" i="2"/>
  <c r="C69" i="2"/>
  <c r="B69" i="2"/>
  <c r="A69" i="2"/>
  <c r="C68" i="2"/>
  <c r="B68" i="2"/>
  <c r="A68" i="2"/>
  <c r="C67" i="2"/>
  <c r="B67" i="2"/>
  <c r="A67" i="2"/>
  <c r="C66" i="2"/>
  <c r="B66" i="2"/>
  <c r="A66" i="2"/>
  <c r="C65" i="2"/>
  <c r="B65" i="2"/>
  <c r="A65" i="2"/>
  <c r="C64" i="2"/>
  <c r="B64" i="2"/>
  <c r="A64" i="2"/>
  <c r="C63" i="2"/>
  <c r="B63" i="2"/>
  <c r="A63" i="2"/>
  <c r="C62" i="2"/>
  <c r="B62" i="2"/>
  <c r="A62" i="2"/>
  <c r="C61" i="2"/>
  <c r="B61" i="2"/>
  <c r="A61" i="2"/>
  <c r="C60" i="2"/>
  <c r="B60" i="2"/>
  <c r="A60" i="2"/>
  <c r="C59" i="2"/>
  <c r="B59" i="2"/>
  <c r="A59" i="2"/>
  <c r="C58" i="2"/>
  <c r="B58" i="2"/>
  <c r="A58" i="2"/>
  <c r="C57" i="2"/>
  <c r="B57" i="2"/>
  <c r="A57" i="2"/>
  <c r="C56" i="2"/>
  <c r="B56" i="2"/>
  <c r="A56" i="2"/>
  <c r="C55" i="2"/>
  <c r="B55" i="2"/>
  <c r="A55" i="2"/>
  <c r="C54" i="2"/>
  <c r="B54" i="2"/>
  <c r="A54" i="2"/>
  <c r="C53" i="2"/>
  <c r="B53" i="2"/>
  <c r="A53" i="2"/>
  <c r="C52" i="2"/>
  <c r="B52" i="2"/>
  <c r="A52" i="2"/>
  <c r="C51" i="2"/>
  <c r="B51" i="2"/>
  <c r="A51" i="2"/>
  <c r="C50" i="2"/>
  <c r="B50" i="2"/>
  <c r="A50" i="2"/>
  <c r="C49" i="2"/>
  <c r="B49" i="2"/>
  <c r="A49" i="2"/>
  <c r="C48" i="2"/>
  <c r="B48" i="2"/>
  <c r="A48" i="2"/>
  <c r="C47" i="2"/>
  <c r="B47" i="2"/>
  <c r="A47" i="2"/>
  <c r="C46" i="2"/>
  <c r="B46" i="2"/>
  <c r="A46" i="2"/>
  <c r="C45" i="2"/>
  <c r="B45" i="2"/>
  <c r="A45" i="2"/>
  <c r="C44" i="2"/>
  <c r="B44" i="2"/>
  <c r="A44" i="2"/>
  <c r="C43" i="2"/>
  <c r="B43" i="2"/>
  <c r="A43" i="2"/>
  <c r="C42" i="2"/>
  <c r="B42" i="2"/>
  <c r="A42" i="2"/>
  <c r="C41" i="2"/>
  <c r="B41" i="2"/>
  <c r="A41" i="2"/>
  <c r="C40" i="2"/>
  <c r="B40" i="2"/>
  <c r="A40" i="2"/>
  <c r="C39" i="2"/>
  <c r="B39" i="2"/>
  <c r="A39" i="2"/>
  <c r="C38" i="2"/>
  <c r="B38" i="2"/>
  <c r="A38" i="2"/>
  <c r="C37" i="2"/>
  <c r="B37" i="2"/>
  <c r="A37" i="2"/>
  <c r="C36" i="2"/>
  <c r="B36" i="2"/>
  <c r="A36" i="2"/>
  <c r="C35" i="2"/>
  <c r="B35" i="2"/>
  <c r="A35" i="2"/>
  <c r="C34" i="2"/>
  <c r="B34" i="2"/>
  <c r="A34" i="2"/>
  <c r="C33" i="2"/>
  <c r="B33" i="2"/>
  <c r="A33" i="2"/>
  <c r="C32" i="2"/>
  <c r="B32" i="2"/>
  <c r="A32" i="2"/>
  <c r="C31" i="2"/>
  <c r="B31" i="2"/>
  <c r="A31" i="2"/>
  <c r="C30" i="2"/>
  <c r="B30" i="2"/>
  <c r="A30" i="2"/>
  <c r="C29" i="2"/>
  <c r="B29" i="2"/>
  <c r="A29" i="2"/>
  <c r="C28" i="2"/>
  <c r="B28" i="2"/>
  <c r="A28" i="2"/>
  <c r="C27" i="2"/>
  <c r="B27" i="2"/>
  <c r="A27" i="2"/>
  <c r="C26" i="2"/>
  <c r="B26" i="2"/>
  <c r="A26" i="2"/>
  <c r="C25" i="2"/>
  <c r="B25" i="2"/>
  <c r="A25" i="2"/>
  <c r="C24" i="2"/>
  <c r="B24" i="2"/>
  <c r="A24" i="2"/>
  <c r="C23" i="2"/>
  <c r="B23" i="2"/>
  <c r="A23" i="2"/>
  <c r="C22" i="2"/>
  <c r="B22" i="2"/>
  <c r="A22" i="2"/>
  <c r="C21" i="2"/>
  <c r="B21" i="2"/>
  <c r="A21" i="2"/>
  <c r="C20" i="2"/>
  <c r="B20" i="2"/>
  <c r="A20" i="2"/>
  <c r="C19" i="2"/>
  <c r="B19" i="2"/>
  <c r="A19" i="2"/>
  <c r="C18" i="2"/>
  <c r="B18" i="2"/>
  <c r="A18" i="2"/>
  <c r="C17" i="2"/>
  <c r="B17" i="2"/>
  <c r="A17" i="2"/>
  <c r="C16" i="2"/>
  <c r="B16" i="2"/>
  <c r="A16" i="2"/>
  <c r="C15" i="2"/>
  <c r="B15" i="2"/>
  <c r="A15" i="2"/>
  <c r="C14" i="2"/>
  <c r="B14" i="2"/>
  <c r="A14" i="2"/>
  <c r="C13" i="2"/>
  <c r="B13" i="2"/>
  <c r="A13" i="2"/>
  <c r="C12" i="2"/>
  <c r="B12" i="2"/>
  <c r="A12" i="2"/>
  <c r="C11" i="2"/>
  <c r="B11" i="2"/>
  <c r="A11" i="2"/>
  <c r="C10" i="2"/>
  <c r="B10" i="2"/>
  <c r="A10" i="2"/>
  <c r="C9" i="2"/>
  <c r="B9" i="2"/>
  <c r="A9" i="2"/>
  <c r="C8" i="2"/>
  <c r="B8" i="2"/>
  <c r="A8" i="2"/>
  <c r="C7" i="2"/>
  <c r="B7" i="2"/>
  <c r="A7" i="2"/>
  <c r="C6" i="2"/>
  <c r="B6" i="2"/>
  <c r="A6" i="2"/>
  <c r="C5" i="2"/>
  <c r="B5" i="2"/>
  <c r="A5" i="2"/>
  <c r="C4" i="2"/>
  <c r="B4" i="2"/>
  <c r="A4" i="2"/>
  <c r="BF2" i="2"/>
  <c r="C2" i="2"/>
  <c r="E1" i="2"/>
  <c r="F1" i="2" s="1"/>
  <c r="G1" i="2" s="1"/>
  <c r="H1" i="2"/>
  <c r="I1" i="2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BC1" i="2" s="1"/>
  <c r="BD1" i="2" s="1"/>
  <c r="BE1" i="2" s="1"/>
  <c r="BF1" i="2" s="1"/>
  <c r="BG1" i="2" s="1"/>
  <c r="BH1" i="2" s="1"/>
  <c r="BI1" i="2" s="1"/>
  <c r="BJ1" i="2" s="1"/>
  <c r="BK1" i="2" s="1"/>
  <c r="BL1" i="2" s="1"/>
  <c r="BM1" i="2" s="1"/>
  <c r="BN1" i="2" s="1"/>
  <c r="BO1" i="2" s="1"/>
  <c r="BP1" i="2" s="1"/>
  <c r="BQ1" i="2" s="1"/>
  <c r="BR1" i="2" s="1"/>
  <c r="BS1" i="2" s="1"/>
  <c r="BT1" i="2" s="1"/>
  <c r="BU1" i="2" s="1"/>
  <c r="BV1" i="2" s="1"/>
  <c r="BW1" i="2" s="1"/>
  <c r="BX1" i="2" s="1"/>
  <c r="BY1" i="2" s="1"/>
  <c r="BZ1" i="2" s="1"/>
  <c r="CA1" i="2" s="1"/>
  <c r="CB1" i="2" s="1"/>
  <c r="CC1" i="2" s="1"/>
  <c r="CD1" i="2" s="1"/>
  <c r="CE1" i="2" s="1"/>
  <c r="CF1" i="2" s="1"/>
  <c r="CG1" i="2" s="1"/>
  <c r="CH1" i="2" s="1"/>
  <c r="CI1" i="2" s="1"/>
  <c r="CJ1" i="2" s="1"/>
  <c r="CK1" i="2" s="1"/>
  <c r="CL1" i="2" s="1"/>
  <c r="CM1" i="2" s="1"/>
  <c r="CN1" i="2" s="1"/>
  <c r="CO1" i="2" s="1"/>
  <c r="CP1" i="2" s="1"/>
  <c r="CQ1" i="2" s="1"/>
  <c r="CR1" i="2" s="1"/>
  <c r="CS1" i="2" s="1"/>
  <c r="CT1" i="2" s="1"/>
  <c r="CU1" i="2" s="1"/>
  <c r="CV1" i="2" s="1"/>
  <c r="CW1" i="2" s="1"/>
  <c r="CX1" i="2" s="1"/>
  <c r="CY1" i="2" s="1"/>
  <c r="CZ1" i="2" s="1"/>
  <c r="DA1" i="2" s="1"/>
  <c r="DB1" i="2" s="1"/>
  <c r="DC1" i="2" s="1"/>
  <c r="DD1" i="2" s="1"/>
  <c r="DE1" i="2" s="1"/>
  <c r="DF1" i="2" s="1"/>
  <c r="DG1" i="2" s="1"/>
  <c r="DH1" i="2" s="1"/>
  <c r="DI1" i="2" s="1"/>
  <c r="DJ1" i="2" s="1"/>
  <c r="DK1" i="2" s="1"/>
  <c r="DL1" i="2" s="1"/>
  <c r="DM1" i="2" s="1"/>
  <c r="DN1" i="2" s="1"/>
  <c r="DO1" i="2" s="1"/>
  <c r="DP1" i="2" s="1"/>
  <c r="DQ1" i="2" s="1"/>
  <c r="B1" i="2"/>
  <c r="A1" i="2"/>
  <c r="DR3" i="1"/>
  <c r="DR5" i="1"/>
  <c r="DQ3" i="1"/>
  <c r="DQ5" i="1"/>
  <c r="DP3" i="1"/>
  <c r="DP5" i="1" s="1"/>
  <c r="DO3" i="1"/>
  <c r="DO5" i="1" s="1"/>
  <c r="DN3" i="1"/>
  <c r="DN5" i="1"/>
  <c r="DM3" i="1"/>
  <c r="DM5" i="1"/>
  <c r="DL3" i="1"/>
  <c r="DL5" i="1" s="1"/>
  <c r="DK3" i="1"/>
  <c r="DK5" i="1" s="1"/>
  <c r="DJ3" i="1"/>
  <c r="DJ5" i="1"/>
  <c r="DI3" i="1"/>
  <c r="DI5" i="1"/>
  <c r="DH5" i="1"/>
  <c r="DG3" i="1"/>
  <c r="DG5" i="1"/>
  <c r="DF3" i="1"/>
  <c r="DF5" i="1"/>
  <c r="DE3" i="1"/>
  <c r="DE5" i="1" s="1"/>
  <c r="DD3" i="1"/>
  <c r="DD5" i="1"/>
  <c r="DC3" i="1"/>
  <c r="DC5" i="1"/>
  <c r="DB3" i="1"/>
  <c r="DB5" i="1" s="1"/>
  <c r="DA3" i="1"/>
  <c r="DA5" i="1" s="1"/>
  <c r="CZ3" i="1"/>
  <c r="CZ5" i="1" s="1"/>
  <c r="CY3" i="1"/>
  <c r="CY5" i="1"/>
  <c r="CX3" i="1"/>
  <c r="CX5" i="1" s="1"/>
  <c r="CW3" i="1"/>
  <c r="CW5" i="1" s="1"/>
  <c r="CV3" i="1"/>
  <c r="CV5" i="1" s="1"/>
  <c r="CU3" i="1"/>
  <c r="CU5" i="1"/>
  <c r="CT3" i="1"/>
  <c r="CT5" i="1" s="1"/>
  <c r="CS3" i="1"/>
  <c r="CS5" i="1" s="1"/>
  <c r="CR3" i="1"/>
  <c r="CR5" i="1"/>
  <c r="CQ3" i="1"/>
  <c r="CQ5" i="1"/>
  <c r="CP3" i="1"/>
  <c r="CP5" i="1" s="1"/>
  <c r="CN3" i="1"/>
  <c r="CN5" i="1" s="1"/>
  <c r="CM3" i="1"/>
  <c r="CM5" i="1"/>
  <c r="CL3" i="1"/>
  <c r="CL5" i="1"/>
  <c r="CK3" i="1"/>
  <c r="CK5" i="1" s="1"/>
  <c r="CJ3" i="1"/>
  <c r="CJ5" i="1" s="1"/>
  <c r="CI3" i="1"/>
  <c r="CI5" i="1" s="1"/>
  <c r="CH3" i="1"/>
  <c r="CH5" i="1"/>
  <c r="CG3" i="1"/>
  <c r="CG5" i="1" s="1"/>
  <c r="CF3" i="1"/>
  <c r="CF5" i="1" s="1"/>
  <c r="CE3" i="1"/>
  <c r="CE5" i="1" s="1"/>
  <c r="CD3" i="1"/>
  <c r="CD5" i="1"/>
  <c r="CC3" i="1"/>
  <c r="CC5" i="1" s="1"/>
  <c r="CB3" i="1"/>
  <c r="CB5" i="1" s="1"/>
  <c r="CA3" i="1"/>
  <c r="CA5" i="1"/>
  <c r="BZ3" i="1"/>
  <c r="BZ5" i="1"/>
  <c r="BY3" i="1"/>
  <c r="BY5" i="1" s="1"/>
  <c r="BX3" i="1"/>
  <c r="BX5" i="1" s="1"/>
  <c r="BW3" i="1"/>
  <c r="BW5" i="1"/>
  <c r="BV3" i="1"/>
  <c r="BV5" i="1"/>
  <c r="BU3" i="1"/>
  <c r="BU5" i="1" s="1"/>
  <c r="BT3" i="1"/>
  <c r="BT5" i="1" s="1"/>
  <c r="BS3" i="1"/>
  <c r="BS5" i="1" s="1"/>
  <c r="BR3" i="1"/>
  <c r="BR5" i="1"/>
  <c r="BQ3" i="1"/>
  <c r="BQ5" i="1" s="1"/>
  <c r="BP3" i="1"/>
  <c r="BP5" i="1" s="1"/>
  <c r="BO3" i="1"/>
  <c r="BO5" i="1" s="1"/>
  <c r="BN3" i="1"/>
  <c r="BN5" i="1"/>
  <c r="BM3" i="1"/>
  <c r="BM5" i="1" s="1"/>
  <c r="BL3" i="1"/>
  <c r="BL5" i="1" s="1"/>
  <c r="BK3" i="1"/>
  <c r="BK5" i="1"/>
  <c r="BJ3" i="1"/>
  <c r="BJ5" i="1"/>
  <c r="BI3" i="1"/>
  <c r="BI5" i="1" s="1"/>
  <c r="BH3" i="1"/>
  <c r="BH5" i="1" s="1"/>
  <c r="BG3" i="1"/>
  <c r="BG5" i="1"/>
  <c r="BF3" i="1"/>
  <c r="BF5" i="1"/>
  <c r="BE3" i="1"/>
  <c r="BE5" i="1" s="1"/>
  <c r="BD3" i="1"/>
  <c r="BD5" i="1" s="1"/>
  <c r="BC3" i="1"/>
  <c r="BC5" i="1" s="1"/>
  <c r="BB3" i="1"/>
  <c r="BB5" i="1"/>
  <c r="BA3" i="1"/>
  <c r="BA5" i="1" s="1"/>
  <c r="AZ3" i="1"/>
  <c r="AZ5" i="1" s="1"/>
  <c r="AY3" i="1"/>
  <c r="AY5" i="1" s="1"/>
  <c r="AX3" i="1"/>
  <c r="AX5" i="1"/>
  <c r="AW3" i="1"/>
  <c r="AW5" i="1" s="1"/>
  <c r="AV3" i="1"/>
  <c r="AV5" i="1" s="1"/>
  <c r="AU3" i="1"/>
  <c r="AU5" i="1"/>
  <c r="AT3" i="1"/>
  <c r="AT5" i="1"/>
  <c r="AS3" i="1"/>
  <c r="AS5" i="1" s="1"/>
  <c r="AR3" i="1"/>
  <c r="AR5" i="1" s="1"/>
  <c r="AQ3" i="1"/>
  <c r="AQ5" i="1"/>
  <c r="AP3" i="1"/>
  <c r="AP5" i="1"/>
  <c r="AO3" i="1"/>
  <c r="AO5" i="1" s="1"/>
  <c r="AN3" i="1"/>
  <c r="AN5" i="1" s="1"/>
  <c r="AM3" i="1"/>
  <c r="AM5" i="1" s="1"/>
  <c r="AL3" i="1"/>
  <c r="AL5" i="1"/>
  <c r="AK3" i="1"/>
  <c r="AK5" i="1" s="1"/>
  <c r="AJ3" i="1"/>
  <c r="AJ5" i="1" s="1"/>
  <c r="AI3" i="1"/>
  <c r="AI5" i="1" s="1"/>
  <c r="AH3" i="1"/>
  <c r="AH5" i="1"/>
  <c r="AG3" i="1"/>
  <c r="AG5" i="1" s="1"/>
  <c r="AF3" i="1"/>
  <c r="AF5" i="1" s="1"/>
  <c r="AE3" i="1"/>
  <c r="AE5" i="1"/>
  <c r="AD3" i="1"/>
  <c r="AD5" i="1"/>
  <c r="AC3" i="1"/>
  <c r="AC5" i="1" s="1"/>
  <c r="AB3" i="1"/>
  <c r="AB5" i="1" s="1"/>
  <c r="AA3" i="1"/>
  <c r="AA5" i="1"/>
  <c r="Z3" i="1"/>
  <c r="Z5" i="1" s="1"/>
  <c r="Y3" i="1"/>
  <c r="Y5" i="1" s="1"/>
  <c r="X3" i="1"/>
  <c r="X5" i="1" s="1"/>
  <c r="W3" i="1"/>
  <c r="W5" i="1"/>
  <c r="V3" i="1"/>
  <c r="V5" i="1" s="1"/>
  <c r="U3" i="1"/>
  <c r="U5" i="1" s="1"/>
  <c r="T3" i="1"/>
  <c r="T5" i="1" s="1"/>
  <c r="S3" i="1"/>
  <c r="S5" i="1"/>
  <c r="R3" i="1"/>
  <c r="R5" i="1" s="1"/>
  <c r="Q3" i="1"/>
  <c r="Q5" i="1" s="1"/>
  <c r="P3" i="1"/>
  <c r="P5" i="1" s="1"/>
  <c r="O3" i="1"/>
  <c r="O5" i="1"/>
  <c r="N3" i="1"/>
  <c r="N5" i="1" s="1"/>
  <c r="M3" i="1"/>
  <c r="M5" i="1" s="1"/>
  <c r="L3" i="1"/>
  <c r="L5" i="1" s="1"/>
  <c r="K3" i="1"/>
  <c r="K5" i="1" s="1"/>
  <c r="J3" i="1"/>
  <c r="J5" i="1" s="1"/>
  <c r="I3" i="1"/>
  <c r="I5" i="1" s="1"/>
  <c r="H3" i="1"/>
  <c r="H5" i="1" s="1"/>
  <c r="G3" i="1"/>
  <c r="G5" i="1" s="1"/>
  <c r="F3" i="1"/>
  <c r="F5" i="1" s="1"/>
  <c r="E3" i="1"/>
  <c r="E5" i="1" s="1"/>
  <c r="BH2" i="1"/>
  <c r="BG2" i="3" s="1"/>
  <c r="BG2" i="6"/>
  <c r="F1" i="3"/>
  <c r="F1" i="6" s="1"/>
  <c r="E1" i="3"/>
  <c r="E1" i="6"/>
  <c r="G1" i="3"/>
  <c r="G1" i="6"/>
  <c r="H1" i="3"/>
  <c r="H1" i="6"/>
  <c r="I1" i="3"/>
  <c r="I1" i="6" s="1"/>
  <c r="J1" i="3"/>
  <c r="J1" i="6"/>
  <c r="K1" i="3"/>
  <c r="K1" i="6"/>
  <c r="L1" i="3"/>
  <c r="L1" i="6"/>
  <c r="M1" i="3"/>
  <c r="M1" i="6" s="1"/>
  <c r="N1" i="3"/>
  <c r="N1" i="6"/>
  <c r="O1" i="3"/>
  <c r="O1" i="6"/>
  <c r="P1" i="3"/>
  <c r="P1" i="6"/>
  <c r="Q1" i="3"/>
  <c r="Q1" i="6" s="1"/>
  <c r="R1" i="3"/>
  <c r="R1" i="6"/>
  <c r="S1" i="3"/>
  <c r="S1" i="6"/>
  <c r="T1" i="3"/>
  <c r="T1" i="6"/>
  <c r="U1" i="3"/>
  <c r="U1" i="6" s="1"/>
  <c r="V1" i="3"/>
  <c r="V1" i="6"/>
  <c r="W1" i="3"/>
  <c r="W1" i="6"/>
  <c r="X1" i="3"/>
  <c r="X1" i="6"/>
  <c r="Y1" i="3"/>
  <c r="Y1" i="6" s="1"/>
  <c r="Z1" i="3"/>
  <c r="Z1" i="6"/>
  <c r="AA1" i="3"/>
  <c r="AA1" i="6"/>
  <c r="AB1" i="3"/>
  <c r="AB1" i="6"/>
  <c r="AC1" i="3"/>
  <c r="AC1" i="6" s="1"/>
  <c r="AD1" i="3"/>
  <c r="AD1" i="6"/>
  <c r="AE1" i="3"/>
  <c r="AE1" i="6"/>
  <c r="AF1" i="3"/>
  <c r="AF1" i="6"/>
  <c r="AG1" i="3"/>
  <c r="AG1" i="6" s="1"/>
  <c r="AH1" i="3"/>
  <c r="AH1" i="6"/>
  <c r="AI1" i="3"/>
  <c r="AI1" i="6"/>
  <c r="AJ1" i="3"/>
  <c r="AJ1" i="6"/>
  <c r="AK1" i="3"/>
  <c r="AK1" i="6" s="1"/>
  <c r="AL1" i="3"/>
  <c r="AL1" i="6"/>
  <c r="AM1" i="3"/>
  <c r="AM1" i="6"/>
  <c r="AN1" i="3"/>
  <c r="AN1" i="6"/>
  <c r="AO1" i="3"/>
  <c r="AO1" i="6" s="1"/>
  <c r="AP1" i="3"/>
  <c r="AP1" i="6"/>
  <c r="AQ1" i="3"/>
  <c r="AQ1" i="6"/>
  <c r="AR1" i="3"/>
  <c r="AR1" i="6"/>
  <c r="AS1" i="3"/>
  <c r="AS1" i="6" s="1"/>
  <c r="AT1" i="3"/>
  <c r="AT1" i="6"/>
  <c r="AU1" i="3"/>
  <c r="AU1" i="6"/>
  <c r="AV1" i="3"/>
  <c r="AV1" i="6"/>
  <c r="AW1" i="3"/>
  <c r="AW1" i="6" s="1"/>
  <c r="AX1" i="3"/>
  <c r="AX1" i="6"/>
  <c r="AY1" i="3"/>
  <c r="AY1" i="6"/>
  <c r="AZ1" i="3"/>
  <c r="AZ1" i="6"/>
  <c r="BA1" i="3"/>
  <c r="BA1" i="6" s="1"/>
  <c r="BB1" i="3"/>
  <c r="BB1" i="6"/>
  <c r="BC1" i="3"/>
  <c r="BC1" i="6"/>
  <c r="BD1" i="3"/>
  <c r="BD1" i="6"/>
  <c r="BE1" i="3"/>
  <c r="BE1" i="6" s="1"/>
  <c r="BF1" i="3"/>
  <c r="BF1" i="6"/>
  <c r="BG1" i="3"/>
  <c r="BG1" i="6"/>
  <c r="BH1" i="3"/>
  <c r="BH1" i="6"/>
  <c r="BI1" i="3"/>
  <c r="BI1" i="6" s="1"/>
  <c r="BJ1" i="3"/>
  <c r="BJ1" i="6"/>
  <c r="BK1" i="3"/>
  <c r="BK1" i="6"/>
  <c r="BL1" i="3"/>
  <c r="BL1" i="6"/>
  <c r="BM1" i="3"/>
  <c r="BM1" i="6" s="1"/>
  <c r="BN1" i="3"/>
  <c r="BN1" i="6"/>
  <c r="BO1" i="3"/>
  <c r="BO1" i="6"/>
  <c r="BP1" i="3"/>
  <c r="BP1" i="6"/>
  <c r="BQ1" i="3"/>
  <c r="BQ1" i="6" s="1"/>
  <c r="BR1" i="3"/>
  <c r="BR1" i="6"/>
  <c r="BS1" i="3"/>
  <c r="BS1" i="6"/>
  <c r="BT1" i="3"/>
  <c r="BT1" i="6"/>
  <c r="BU1" i="3"/>
  <c r="BU1" i="6" s="1"/>
  <c r="BV1" i="3"/>
  <c r="BV1" i="6"/>
  <c r="BW1" i="3"/>
  <c r="BW1" i="6"/>
  <c r="BX1" i="3"/>
  <c r="BX1" i="6"/>
  <c r="BY1" i="3"/>
  <c r="BY1" i="6" s="1"/>
  <c r="BZ1" i="3"/>
  <c r="BZ1" i="6"/>
  <c r="CA1" i="3"/>
  <c r="CA1" i="6"/>
  <c r="CB1" i="3"/>
  <c r="CB1" i="6"/>
  <c r="CC1" i="3"/>
  <c r="CC1" i="6" s="1"/>
  <c r="CD1" i="3"/>
  <c r="CD1" i="6"/>
  <c r="CE1" i="3"/>
  <c r="CE1" i="6"/>
  <c r="CF1" i="3"/>
  <c r="CF1" i="6"/>
  <c r="CG1" i="3"/>
  <c r="CG1" i="6" s="1"/>
  <c r="CH1" i="3"/>
  <c r="CH1" i="6"/>
  <c r="CI1" i="3"/>
  <c r="CI1" i="6"/>
  <c r="CJ1" i="3"/>
  <c r="CJ1" i="6"/>
  <c r="CK1" i="3"/>
  <c r="CK1" i="6" s="1"/>
  <c r="CL1" i="3"/>
  <c r="CL1" i="6"/>
  <c r="CM1" i="3"/>
  <c r="CM1" i="6"/>
  <c r="CN1" i="3"/>
  <c r="CN1" i="6"/>
  <c r="CO1" i="3"/>
  <c r="CO1" i="6" s="1"/>
  <c r="CP1" i="3"/>
  <c r="CP1" i="6"/>
  <c r="CQ1" i="3"/>
  <c r="CQ1" i="6"/>
  <c r="CR1" i="3"/>
  <c r="CR1" i="6"/>
  <c r="CS1" i="3"/>
  <c r="CS1" i="6" s="1"/>
  <c r="CT1" i="3"/>
  <c r="CT1" i="6"/>
  <c r="CU1" i="3"/>
  <c r="CU1" i="6"/>
  <c r="CV1" i="3"/>
  <c r="CV1" i="6"/>
  <c r="CW1" i="3"/>
  <c r="CW1" i="6" s="1"/>
  <c r="CX1" i="3"/>
  <c r="CX1" i="6"/>
  <c r="CY1" i="3"/>
  <c r="CY1" i="6"/>
  <c r="CZ1" i="3"/>
  <c r="CZ1" i="6"/>
  <c r="DA1" i="3"/>
  <c r="DA1" i="6" s="1"/>
  <c r="DB1" i="3"/>
  <c r="DB1" i="6"/>
  <c r="DC1" i="3"/>
  <c r="DC1" i="6"/>
  <c r="DD1" i="3"/>
  <c r="DD1" i="6"/>
  <c r="DE1" i="3"/>
  <c r="DE1" i="6" s="1"/>
  <c r="DF1" i="3"/>
  <c r="DF1" i="6"/>
  <c r="DG1" i="3"/>
  <c r="DG1" i="6"/>
  <c r="DH1" i="3"/>
  <c r="DH1" i="6"/>
  <c r="DI1" i="3"/>
  <c r="DI1" i="6" s="1"/>
  <c r="DJ1" i="3"/>
  <c r="DJ1" i="6"/>
  <c r="DK1" i="3"/>
  <c r="DK1" i="6"/>
  <c r="DL1" i="3"/>
  <c r="DL1" i="6"/>
  <c r="DM1" i="3"/>
  <c r="DM1" i="6" s="1"/>
  <c r="DN1" i="3"/>
  <c r="DN1" i="6"/>
  <c r="DO1" i="3"/>
  <c r="DO1" i="6"/>
  <c r="DQ1" i="1"/>
  <c r="DP1" i="3"/>
  <c r="DP1" i="6" s="1"/>
  <c r="DR1" i="1"/>
  <c r="DQ1" i="3" s="1"/>
  <c r="DQ1" i="6" s="1"/>
  <c r="BQ135" i="3"/>
  <c r="BQ136" i="6"/>
  <c r="AT135" i="3"/>
  <c r="AT136" i="6"/>
  <c r="G131" i="3"/>
  <c r="G132" i="6" s="1"/>
  <c r="BG135" i="3"/>
  <c r="BG136" i="6"/>
  <c r="U135" i="3"/>
  <c r="U136" i="6"/>
  <c r="CB135" i="3"/>
  <c r="CB136" i="6"/>
  <c r="R135" i="3"/>
  <c r="R136" i="6" s="1"/>
  <c r="CY135" i="3"/>
  <c r="CY136" i="6" s="1"/>
  <c r="P135" i="3"/>
  <c r="P136" i="6"/>
  <c r="CX135" i="3"/>
  <c r="CX136" i="6"/>
  <c r="DM135" i="3"/>
  <c r="DM136" i="6" s="1"/>
  <c r="AK135" i="3"/>
  <c r="AK136" i="6" s="1"/>
  <c r="BV135" i="3"/>
  <c r="BV136" i="6"/>
  <c r="E135" i="3"/>
  <c r="E136" i="6"/>
  <c r="DP135" i="3"/>
  <c r="DP136" i="6" s="1"/>
  <c r="H135" i="3"/>
  <c r="H136" i="6" s="1"/>
  <c r="CF135" i="3"/>
  <c r="CF136" i="6"/>
  <c r="N135" i="3"/>
  <c r="N136" i="6"/>
  <c r="AY135" i="3"/>
  <c r="AY136" i="6" s="1"/>
  <c r="S135" i="3"/>
  <c r="S136" i="6" s="1"/>
  <c r="BD135" i="3"/>
  <c r="BD136" i="6"/>
  <c r="CP135" i="3"/>
  <c r="CP136" i="6"/>
  <c r="AP135" i="3"/>
  <c r="AP136" i="6" s="1"/>
  <c r="CA135" i="3"/>
  <c r="CA136" i="6" s="1"/>
  <c r="DO135" i="3"/>
  <c r="DO136" i="6"/>
  <c r="BX135" i="3"/>
  <c r="BX136" i="6"/>
  <c r="CU135" i="3"/>
  <c r="CU136" i="6" s="1"/>
  <c r="CZ135" i="3"/>
  <c r="CZ136" i="6" s="1"/>
  <c r="BJ135" i="3"/>
  <c r="BJ136" i="6"/>
  <c r="BN135" i="3"/>
  <c r="BN136" i="6"/>
  <c r="DD135" i="3"/>
  <c r="DD136" i="6" s="1"/>
  <c r="BS135" i="3"/>
  <c r="BS136" i="6" s="1"/>
  <c r="T135" i="3"/>
  <c r="T136" i="6"/>
  <c r="AX135" i="3"/>
  <c r="AX136" i="6"/>
  <c r="AR135" i="3"/>
  <c r="AR136" i="6" s="1"/>
  <c r="BT135" i="3"/>
  <c r="BT136" i="6" s="1"/>
  <c r="AB135" i="3"/>
  <c r="AB136" i="6"/>
  <c r="AD135" i="3"/>
  <c r="AD136" i="6"/>
  <c r="BZ135" i="3"/>
  <c r="BZ136" i="6" s="1"/>
  <c r="DB135" i="3"/>
  <c r="DB136" i="6" s="1"/>
  <c r="BC135" i="3"/>
  <c r="BC136" i="6"/>
  <c r="CV135" i="3"/>
  <c r="CV136" i="6"/>
  <c r="L135" i="3"/>
  <c r="L136" i="6" s="1"/>
  <c r="CI135" i="3"/>
  <c r="CI136" i="6" s="1"/>
  <c r="G135" i="3"/>
  <c r="G136" i="6"/>
  <c r="AI135" i="3"/>
  <c r="AI136" i="6"/>
  <c r="DG135" i="3"/>
  <c r="DG136" i="6" s="1"/>
  <c r="DK135" i="3"/>
  <c r="DK136" i="6" s="1"/>
  <c r="CN135" i="3"/>
  <c r="CN136" i="6"/>
  <c r="O135" i="3"/>
  <c r="O136" i="6"/>
  <c r="BP135" i="3"/>
  <c r="BP136" i="6" s="1"/>
  <c r="BK135" i="3"/>
  <c r="BK136" i="6" s="1"/>
  <c r="DI135" i="3"/>
  <c r="DI136" i="6"/>
  <c r="DA135" i="3"/>
  <c r="DA136" i="6"/>
  <c r="CS135" i="3"/>
  <c r="CS136" i="6" s="1"/>
  <c r="CC135" i="3"/>
  <c r="CC136" i="6" s="1"/>
  <c r="BU135" i="3"/>
  <c r="BU136" i="6"/>
  <c r="BM135" i="3"/>
  <c r="BM136" i="6"/>
  <c r="AW135" i="3"/>
  <c r="AW136" i="6" s="1"/>
  <c r="AO135" i="3"/>
  <c r="AO136" i="6" s="1"/>
  <c r="AG135" i="3"/>
  <c r="AG136" i="6"/>
  <c r="Q135" i="3"/>
  <c r="Q136" i="6"/>
  <c r="I135" i="3"/>
  <c r="I136" i="6" s="1"/>
  <c r="DN135" i="3"/>
  <c r="DN136" i="6" s="1"/>
  <c r="CR135" i="3"/>
  <c r="CR136" i="6"/>
  <c r="CH135" i="3"/>
  <c r="CH136" i="6"/>
  <c r="BW135" i="3"/>
  <c r="BW136" i="6" s="1"/>
  <c r="BB135" i="3"/>
  <c r="BB136" i="6" s="1"/>
  <c r="AQ135" i="3"/>
  <c r="AQ136" i="6"/>
  <c r="AF135" i="3"/>
  <c r="AF136" i="6"/>
  <c r="K135" i="3"/>
  <c r="K136" i="6" s="1"/>
  <c r="J135" i="3"/>
  <c r="J136" i="6" s="1"/>
  <c r="X135" i="3"/>
  <c r="X136" i="6"/>
  <c r="AZ135" i="3"/>
  <c r="AZ136" i="6"/>
  <c r="BO135" i="3"/>
  <c r="BO136" i="6" s="1"/>
  <c r="CD135" i="3"/>
  <c r="CD136" i="6" s="1"/>
  <c r="DF135" i="3"/>
  <c r="DF136" i="6"/>
  <c r="C136" i="6"/>
  <c r="DL135" i="3"/>
  <c r="DL136" i="6"/>
  <c r="CJ135" i="3"/>
  <c r="CJ136" i="6"/>
  <c r="BH135" i="3"/>
  <c r="BH136" i="6"/>
  <c r="F135" i="3"/>
  <c r="F136" i="6" s="1"/>
  <c r="AA135" i="3"/>
  <c r="AA136" i="6" s="1"/>
  <c r="AV135" i="3"/>
  <c r="AV136" i="6"/>
  <c r="CM135" i="3"/>
  <c r="CM136" i="6"/>
  <c r="DH135" i="3"/>
  <c r="DH136" i="6" s="1"/>
  <c r="M135" i="3"/>
  <c r="M136" i="6"/>
  <c r="AS135" i="3"/>
  <c r="AS136" i="6"/>
  <c r="BI135" i="3"/>
  <c r="BI136" i="6"/>
  <c r="BY135" i="3"/>
  <c r="BY136" i="6" s="1"/>
  <c r="DE135" i="3"/>
  <c r="DE136" i="6"/>
  <c r="AB115" i="3"/>
  <c r="AB116" i="6"/>
  <c r="CL107" i="3"/>
  <c r="CL108" i="6" s="1"/>
  <c r="DL107" i="3"/>
  <c r="DL108" i="6" s="1"/>
  <c r="BF107" i="3"/>
  <c r="BF108" i="6"/>
  <c r="M107" i="3"/>
  <c r="M108" i="6"/>
  <c r="CT107" i="3"/>
  <c r="CT108" i="6" s="1"/>
  <c r="AN107" i="3"/>
  <c r="AN108" i="6"/>
  <c r="O107" i="3"/>
  <c r="O108" i="6"/>
  <c r="CY107" i="3"/>
  <c r="CY108" i="6"/>
  <c r="AO115" i="3"/>
  <c r="AO116" i="6" s="1"/>
  <c r="CD115" i="3"/>
  <c r="CD116" i="6"/>
  <c r="D107" i="3"/>
  <c r="D108" i="6" s="1"/>
  <c r="Z107" i="3"/>
  <c r="Z108" i="6"/>
  <c r="AR107" i="3"/>
  <c r="AR108" i="6"/>
  <c r="C116" i="6"/>
  <c r="DH115" i="3"/>
  <c r="DH116" i="6"/>
  <c r="CN115" i="3"/>
  <c r="CN116" i="6"/>
  <c r="CX115" i="3"/>
  <c r="CX116" i="6" s="1"/>
  <c r="F5" i="2"/>
  <c r="CF19" i="3"/>
  <c r="CF20" i="6"/>
  <c r="BC19" i="3"/>
  <c r="BC20" i="6" s="1"/>
  <c r="CX23" i="3"/>
  <c r="CX24" i="6"/>
  <c r="K19" i="3"/>
  <c r="K20" i="6"/>
  <c r="DC15" i="3"/>
  <c r="DC16" i="6"/>
  <c r="CE15" i="3"/>
  <c r="CE16" i="6" s="1"/>
  <c r="DE15" i="3"/>
  <c r="DE16" i="6"/>
  <c r="R15" i="3"/>
  <c r="R16" i="6"/>
  <c r="AA15" i="3"/>
  <c r="AA16" i="6"/>
  <c r="J19" i="3"/>
  <c r="J20" i="6" s="1"/>
  <c r="BZ19" i="3"/>
  <c r="BZ20" i="6" s="1"/>
  <c r="BJ19" i="3"/>
  <c r="BJ20" i="6"/>
  <c r="DP19" i="3"/>
  <c r="DP20" i="6"/>
  <c r="CE19" i="3"/>
  <c r="CE20" i="6" s="1"/>
  <c r="CV19" i="3"/>
  <c r="CV20" i="6"/>
  <c r="BA59" i="2"/>
  <c r="CG46" i="2"/>
  <c r="AN20" i="2"/>
  <c r="AK71" i="2"/>
  <c r="AP26" i="2"/>
  <c r="BK73" i="2"/>
  <c r="CC55" i="2"/>
  <c r="AM69" i="2"/>
  <c r="DB78" i="2"/>
  <c r="CM85" i="2"/>
  <c r="CY66" i="2"/>
  <c r="CD51" i="2"/>
  <c r="BH80" i="2"/>
  <c r="CW47" i="2"/>
  <c r="DB46" i="2"/>
  <c r="DL80" i="2"/>
  <c r="DM16" i="2"/>
  <c r="D4" i="2"/>
  <c r="AS31" i="2"/>
  <c r="CZ64" i="2"/>
  <c r="BC10" i="2"/>
  <c r="AO83" i="2"/>
  <c r="DL48" i="2"/>
  <c r="DB79" i="2"/>
  <c r="DF30" i="2"/>
  <c r="CL39" i="2"/>
  <c r="AV28" i="2"/>
  <c r="AL42" i="2"/>
  <c r="P76" i="2"/>
  <c r="AK59" i="2"/>
  <c r="BS73" i="2"/>
  <c r="AX6" i="2"/>
  <c r="CC71" i="2"/>
  <c r="DL40" i="2"/>
  <c r="CB68" i="2"/>
  <c r="CH50" i="2"/>
  <c r="CI73" i="2"/>
  <c r="BD40" i="2"/>
  <c r="W49" i="2"/>
  <c r="BQ7" i="3"/>
  <c r="BQ8" i="6" s="1"/>
  <c r="BK77" i="2"/>
  <c r="CY73" i="2"/>
  <c r="BR58" i="2"/>
  <c r="X16" i="2"/>
  <c r="CR84" i="2"/>
  <c r="G73" i="2"/>
  <c r="CK19" i="3"/>
  <c r="CK20" i="6" s="1"/>
  <c r="DE7" i="2"/>
  <c r="Y7" i="3"/>
  <c r="Y8" i="6"/>
  <c r="CK136" i="2"/>
  <c r="V74" i="2"/>
  <c r="P44" i="2"/>
  <c r="O53" i="2"/>
  <c r="BL36" i="2"/>
  <c r="BM19" i="3"/>
  <c r="BM20" i="6" s="1"/>
  <c r="AS19" i="3"/>
  <c r="AS20" i="6" s="1"/>
  <c r="CI9" i="2"/>
  <c r="AG51" i="2"/>
  <c r="CO135" i="3"/>
  <c r="CO136" i="6" s="1"/>
  <c r="AC135" i="3"/>
  <c r="AC136" i="6" s="1"/>
  <c r="BR135" i="3"/>
  <c r="BR136" i="6" s="1"/>
  <c r="AE135" i="3"/>
  <c r="AE136" i="6"/>
  <c r="CQ135" i="3"/>
  <c r="CQ136" i="6" s="1"/>
  <c r="AM135" i="3"/>
  <c r="AM136" i="6" s="1"/>
  <c r="V135" i="3"/>
  <c r="V136" i="6" s="1"/>
  <c r="BL135" i="3"/>
  <c r="BL136" i="6"/>
  <c r="DC135" i="3"/>
  <c r="DC136" i="6" s="1"/>
  <c r="Y135" i="3"/>
  <c r="Y136" i="6" s="1"/>
  <c r="BE135" i="3"/>
  <c r="BE136" i="6" s="1"/>
  <c r="CK135" i="3"/>
  <c r="CK136" i="6"/>
  <c r="DQ135" i="3"/>
  <c r="DQ136" i="6" s="1"/>
  <c r="AN135" i="3"/>
  <c r="AN136" i="6" s="1"/>
  <c r="CE135" i="3"/>
  <c r="CE136" i="6" s="1"/>
  <c r="BF135" i="3"/>
  <c r="BF136" i="6"/>
  <c r="Z135" i="3"/>
  <c r="Z136" i="6" s="1"/>
  <c r="DJ135" i="3"/>
  <c r="DJ136" i="6" s="1"/>
  <c r="CT135" i="3"/>
  <c r="CT136" i="6" s="1"/>
  <c r="W135" i="3"/>
  <c r="AJ135" i="3"/>
  <c r="AJ136" i="6"/>
  <c r="AH135" i="3"/>
  <c r="AH136" i="6"/>
  <c r="D135" i="3"/>
  <c r="D136" i="6"/>
  <c r="CL135" i="3"/>
  <c r="CL136" i="6" s="1"/>
  <c r="AU135" i="3"/>
  <c r="AU136" i="6" s="1"/>
  <c r="AL135" i="3"/>
  <c r="AL136" i="6"/>
  <c r="CW135" i="3"/>
  <c r="CW136" i="6"/>
  <c r="BA135" i="3"/>
  <c r="BA136" i="6" s="1"/>
  <c r="BF127" i="2"/>
  <c r="F123" i="2"/>
  <c r="DF111" i="2"/>
  <c r="BU108" i="2"/>
  <c r="BL105" i="2"/>
  <c r="T105" i="2"/>
  <c r="AI102" i="2"/>
  <c r="DD101" i="2"/>
  <c r="BA100" i="2"/>
  <c r="BV99" i="2"/>
  <c r="L136" i="2"/>
  <c r="BQ135" i="2"/>
  <c r="Z134" i="2"/>
  <c r="DG133" i="2"/>
  <c r="AJ132" i="2"/>
  <c r="CO131" i="2"/>
  <c r="R130" i="2"/>
  <c r="CY129" i="2"/>
  <c r="BH128" i="2"/>
  <c r="DM127" i="2"/>
  <c r="BV126" i="2"/>
  <c r="CQ125" i="2"/>
  <c r="Q120" i="2"/>
  <c r="AV117" i="2"/>
  <c r="CC108" i="2"/>
  <c r="BR107" i="2"/>
  <c r="X105" i="2"/>
  <c r="CP103" i="2"/>
  <c r="AR101" i="2"/>
  <c r="BU100" i="2"/>
  <c r="CB136" i="2"/>
  <c r="AF136" i="2"/>
  <c r="N134" i="2"/>
  <c r="AY133" i="2"/>
  <c r="AG131" i="2"/>
  <c r="CX130" i="2"/>
  <c r="K129" i="2"/>
  <c r="AR128" i="2"/>
  <c r="BJ126" i="2"/>
  <c r="BK125" i="2"/>
  <c r="T124" i="2"/>
  <c r="DE123" i="2"/>
  <c r="AH122" i="2"/>
  <c r="DO121" i="2"/>
  <c r="BX120" i="2"/>
  <c r="BC130" i="2"/>
  <c r="H113" i="2"/>
  <c r="CJ109" i="2"/>
  <c r="AV105" i="2"/>
  <c r="DA104" i="2"/>
  <c r="L101" i="2"/>
  <c r="I100" i="2"/>
  <c r="I135" i="2"/>
  <c r="BV134" i="2"/>
  <c r="T132" i="2"/>
  <c r="Q131" i="2"/>
  <c r="CR128" i="2"/>
  <c r="AO127" i="2"/>
  <c r="O125" i="2"/>
  <c r="CJ124" i="2"/>
  <c r="BR122" i="2"/>
  <c r="V122" i="2"/>
  <c r="AV120" i="2"/>
  <c r="BE119" i="2"/>
  <c r="N118" i="2"/>
  <c r="BO117" i="2"/>
  <c r="X116" i="2"/>
  <c r="DI115" i="2"/>
  <c r="AL114" i="2"/>
  <c r="CM113" i="2"/>
  <c r="BL112" i="2"/>
  <c r="AR112" i="2"/>
  <c r="BE111" i="2"/>
  <c r="M111" i="2"/>
  <c r="Z110" i="2"/>
  <c r="CA109" i="2"/>
  <c r="CJ108" i="2"/>
  <c r="BP108" i="2"/>
  <c r="BI107" i="2"/>
  <c r="AK107" i="2"/>
  <c r="BR106" i="2"/>
  <c r="V106" i="2"/>
  <c r="BG105" i="2"/>
  <c r="AA105" i="2"/>
  <c r="BL104" i="2"/>
  <c r="AV104" i="2"/>
  <c r="BU103" i="2"/>
  <c r="AO103" i="2"/>
  <c r="BJ102" i="2"/>
  <c r="AT102" i="2"/>
  <c r="CE101" i="2"/>
  <c r="AY101" i="2"/>
  <c r="CJ100" i="2"/>
  <c r="W118" i="2"/>
  <c r="CU106" i="2"/>
  <c r="DH105" i="2"/>
  <c r="DA100" i="2"/>
  <c r="AO100" i="2"/>
  <c r="AB136" i="2"/>
  <c r="CG135" i="2"/>
  <c r="DF134" i="2"/>
  <c r="DL132" i="2"/>
  <c r="AZ132" i="2"/>
  <c r="M131" i="2"/>
  <c r="DC129" i="2"/>
  <c r="BL128" i="2"/>
  <c r="DA127" i="2"/>
  <c r="DK125" i="2"/>
  <c r="AU125" i="2"/>
  <c r="CZ124" i="2"/>
  <c r="BI123" i="2"/>
  <c r="DN122" i="2"/>
  <c r="F122" i="2"/>
  <c r="G121" i="2"/>
  <c r="BL120" i="2"/>
  <c r="P120" i="2"/>
  <c r="AO119" i="2"/>
  <c r="E119" i="2"/>
  <c r="BV118" i="2"/>
  <c r="DG117" i="2"/>
  <c r="BK117" i="2"/>
  <c r="S117" i="2"/>
  <c r="AZ116" i="2"/>
  <c r="H116" i="2"/>
  <c r="CO115" i="2"/>
  <c r="DN114" i="2"/>
  <c r="CD114" i="2"/>
  <c r="AH114" i="2"/>
  <c r="BS113" i="2"/>
  <c r="AA113" i="2"/>
  <c r="DL112" i="2"/>
  <c r="BH112" i="2"/>
  <c r="AF112" i="2"/>
  <c r="D112" i="2"/>
  <c r="BQ111" i="2"/>
  <c r="AO111" i="2"/>
  <c r="I111" i="2"/>
  <c r="BV110" i="2"/>
  <c r="AP110" i="2"/>
  <c r="N110" i="2"/>
  <c r="BS109" i="2"/>
  <c r="AU109" i="2"/>
  <c r="S109" i="2"/>
  <c r="BX108" i="2"/>
  <c r="AZ108" i="2"/>
  <c r="T108" i="2"/>
  <c r="CG107" i="2"/>
  <c r="BA107" i="2"/>
  <c r="AC107" i="2"/>
  <c r="CT106" i="2"/>
  <c r="BZ106" i="2"/>
  <c r="BF106" i="2"/>
  <c r="N106" i="2"/>
  <c r="DG105" i="2"/>
  <c r="CI105" i="2"/>
  <c r="AU105" i="2"/>
  <c r="W105" i="2"/>
  <c r="DP104" i="2"/>
  <c r="BX104" i="2"/>
  <c r="BD104" i="2"/>
  <c r="AJ104" i="2"/>
  <c r="DI103" i="2"/>
  <c r="CO103" i="2"/>
  <c r="BQ103" i="2"/>
  <c r="AC103" i="2"/>
  <c r="E103" i="2"/>
  <c r="CX102" i="2"/>
  <c r="BF102" i="2"/>
  <c r="AL102" i="2"/>
  <c r="R102" i="2"/>
  <c r="CM101" i="2"/>
  <c r="BS101" i="2"/>
  <c r="AU101" i="2"/>
  <c r="G101" i="2"/>
  <c r="CV100" i="2"/>
  <c r="CB100" i="2"/>
  <c r="AV100" i="2"/>
  <c r="AF100" i="2"/>
  <c r="P100" i="2"/>
  <c r="DA99" i="2"/>
  <c r="CK99" i="2"/>
  <c r="BU99" i="2"/>
  <c r="AO99" i="2"/>
  <c r="DF136" i="2"/>
  <c r="BZ136" i="2"/>
  <c r="N136" i="2"/>
  <c r="CZ135" i="2"/>
  <c r="BT135" i="2"/>
  <c r="H135" i="2"/>
  <c r="CO134" i="2"/>
  <c r="BI134" i="2"/>
  <c r="DJ133" i="2"/>
  <c r="CD133" i="2"/>
  <c r="AX133" i="2"/>
  <c r="CX132" i="2"/>
  <c r="BR132" i="2"/>
  <c r="AL132" i="2"/>
  <c r="CR131" i="2"/>
  <c r="BL131" i="2"/>
  <c r="AF131" i="2"/>
  <c r="CG130" i="2"/>
  <c r="BA130" i="2"/>
  <c r="U130" i="2"/>
  <c r="BV129" i="2"/>
  <c r="AP129" i="2"/>
  <c r="J129" i="2"/>
  <c r="BJ128" i="2"/>
  <c r="AD128" i="2"/>
  <c r="DP127" i="2"/>
  <c r="BD127" i="2"/>
  <c r="X127" i="2"/>
  <c r="DE126" i="2"/>
  <c r="AS126" i="2"/>
  <c r="M126" i="2"/>
  <c r="CT125" i="2"/>
  <c r="AH125" i="2"/>
  <c r="DN124" i="2"/>
  <c r="CH124" i="2"/>
  <c r="V124" i="2"/>
  <c r="DH123" i="2"/>
  <c r="CB123" i="2"/>
  <c r="P123" i="2"/>
  <c r="CW122" i="2"/>
  <c r="BQ122" i="2"/>
  <c r="E122" i="2"/>
  <c r="CL121" i="2"/>
  <c r="BF121" i="2"/>
  <c r="DF120" i="2"/>
  <c r="BZ120" i="2"/>
  <c r="AT120" i="2"/>
  <c r="CZ119" i="2"/>
  <c r="BT119" i="2"/>
  <c r="AN119" i="2"/>
  <c r="CO118" i="2"/>
  <c r="BI118" i="2"/>
  <c r="AC118" i="2"/>
  <c r="CD117" i="2"/>
  <c r="AX117" i="2"/>
  <c r="R117" i="2"/>
  <c r="BR116" i="2"/>
  <c r="AL116" i="2"/>
  <c r="F116" i="2"/>
  <c r="BL115" i="2"/>
  <c r="AF115" i="2"/>
  <c r="DM114" i="2"/>
  <c r="BA114" i="2"/>
  <c r="U114" i="2"/>
  <c r="DB113" i="2"/>
  <c r="AP113" i="2"/>
  <c r="J113" i="2"/>
  <c r="CP112" i="2"/>
  <c r="AD112" i="2"/>
  <c r="DP111" i="2"/>
  <c r="CJ111" i="2"/>
  <c r="X111" i="2"/>
  <c r="DE110" i="2"/>
  <c r="BY110" i="2"/>
  <c r="M110" i="2"/>
  <c r="CT109" i="2"/>
  <c r="BN109" i="2"/>
  <c r="DN108" i="2"/>
  <c r="CH108" i="2"/>
  <c r="BB108" i="2"/>
  <c r="DH107" i="2"/>
  <c r="CB107" i="2"/>
  <c r="AV107" i="2"/>
  <c r="CW106" i="2"/>
  <c r="BQ106" i="2"/>
  <c r="AK106" i="2"/>
  <c r="CL105" i="2"/>
  <c r="BF105" i="2"/>
  <c r="Z105" i="2"/>
  <c r="BZ104" i="2"/>
  <c r="AT104" i="2"/>
  <c r="N104" i="2"/>
  <c r="BT103" i="2"/>
  <c r="AN103" i="2"/>
  <c r="H103" i="2"/>
  <c r="BI102" i="2"/>
  <c r="AC102" i="2"/>
  <c r="DJ101" i="2"/>
  <c r="AX101" i="2"/>
  <c r="R101" i="2"/>
  <c r="CX100" i="2"/>
  <c r="AL100" i="2"/>
  <c r="F100" i="2"/>
  <c r="CR99" i="2"/>
  <c r="AF99" i="2"/>
  <c r="N99" i="2"/>
  <c r="DK98" i="2"/>
  <c r="CE98" i="2"/>
  <c r="BO98" i="2"/>
  <c r="AY98" i="2"/>
  <c r="S98" i="2"/>
  <c r="DP97" i="2"/>
  <c r="CZ97" i="2"/>
  <c r="BT97" i="2"/>
  <c r="BD97" i="2"/>
  <c r="AN97" i="2"/>
  <c r="H97" i="2"/>
  <c r="DI96" i="2"/>
  <c r="CS96" i="2"/>
  <c r="BM96" i="2"/>
  <c r="AW96" i="2"/>
  <c r="AG96" i="2"/>
  <c r="DN95" i="2"/>
  <c r="CX95" i="2"/>
  <c r="CH95" i="2"/>
  <c r="BB95" i="2"/>
  <c r="AL95" i="2"/>
  <c r="V95" i="2"/>
  <c r="DC94" i="2"/>
  <c r="CM94" i="2"/>
  <c r="BW94" i="2"/>
  <c r="AQ94" i="2"/>
  <c r="AA94" i="2"/>
  <c r="K94" i="2"/>
  <c r="CR93" i="2"/>
  <c r="CB93" i="2"/>
  <c r="BL93" i="2"/>
  <c r="AF93" i="2"/>
  <c r="P93" i="2"/>
  <c r="DQ92" i="2"/>
  <c r="CK92" i="2"/>
  <c r="BU92" i="2"/>
  <c r="BE92" i="2"/>
  <c r="Y92" i="2"/>
  <c r="I92" i="2"/>
  <c r="DF91" i="2"/>
  <c r="BZ91" i="2"/>
  <c r="BJ91" i="2"/>
  <c r="AT91" i="2"/>
  <c r="N91" i="2"/>
  <c r="DK90" i="2"/>
  <c r="CU90" i="2"/>
  <c r="BO90" i="2"/>
  <c r="BI136" i="2"/>
  <c r="AE126" i="2"/>
  <c r="CG116" i="2"/>
  <c r="CR113" i="2"/>
  <c r="DO110" i="2"/>
  <c r="BJ107" i="2"/>
  <c r="BG106" i="2"/>
  <c r="CJ105" i="2"/>
  <c r="DJ103" i="2"/>
  <c r="V103" i="2"/>
  <c r="BC102" i="2"/>
  <c r="CW100" i="2"/>
  <c r="Y100" i="2"/>
  <c r="BF99" i="2"/>
  <c r="P136" i="2"/>
  <c r="BA135" i="2"/>
  <c r="CP134" i="2"/>
  <c r="BK133" i="2"/>
  <c r="CZ132" i="2"/>
  <c r="X132" i="2"/>
  <c r="DN130" i="2"/>
  <c r="AL130" i="2"/>
  <c r="BW129" i="2"/>
  <c r="AV128" i="2"/>
  <c r="CK127" i="2"/>
  <c r="I127" i="2"/>
  <c r="CE125" i="2"/>
  <c r="AI125" i="2"/>
  <c r="CV124" i="2"/>
  <c r="CS123" i="2"/>
  <c r="AW123" i="2"/>
  <c r="CX122" i="2"/>
  <c r="DC121" i="2"/>
  <c r="AQ121" i="2"/>
  <c r="DH120" i="2"/>
  <c r="DM119" i="2"/>
  <c r="BU119" i="2"/>
  <c r="AK119" i="2"/>
  <c r="BJ118" i="2"/>
  <c r="Z118" i="2"/>
  <c r="CQ117" i="2"/>
  <c r="O117" i="2"/>
  <c r="DN123" i="2"/>
  <c r="Z115" i="2"/>
  <c r="F107" i="2"/>
  <c r="AN105" i="2"/>
  <c r="BR103" i="2"/>
  <c r="BE100" i="2"/>
  <c r="AD99" i="2"/>
  <c r="CK135" i="2"/>
  <c r="AE133" i="2"/>
  <c r="DE131" i="2"/>
  <c r="BR130" i="2"/>
  <c r="L128" i="2"/>
  <c r="CL126" i="2"/>
  <c r="BO125" i="2"/>
  <c r="BM123" i="2"/>
  <c r="CD122" i="2"/>
  <c r="BW121" i="2"/>
  <c r="CW119" i="2"/>
  <c r="I119" i="2"/>
  <c r="AP118" i="2"/>
  <c r="CZ116" i="2"/>
  <c r="AN116" i="2"/>
  <c r="DE115" i="2"/>
  <c r="DJ114" i="2"/>
  <c r="BB114" i="2"/>
  <c r="DO113" i="2"/>
  <c r="O113" i="2"/>
  <c r="CR112" i="2"/>
  <c r="AZ112" i="2"/>
  <c r="DA111" i="2"/>
  <c r="BI111" i="2"/>
  <c r="Y111" i="2"/>
  <c r="BJ110" i="2"/>
  <c r="AD110" i="2"/>
  <c r="DG109" i="2"/>
  <c r="AE109" i="2"/>
  <c r="DL108" i="2"/>
  <c r="BT108" i="2"/>
  <c r="DM107" i="2"/>
  <c r="BY107" i="2"/>
  <c r="AS107" i="2"/>
  <c r="CP106" i="2"/>
  <c r="BN106" i="2"/>
  <c r="AP106" i="2"/>
  <c r="CU105" i="2"/>
  <c r="BS105" i="2"/>
  <c r="AM105" i="2"/>
  <c r="CZ104" i="2"/>
  <c r="BT104" i="2"/>
  <c r="AR104" i="2"/>
  <c r="DE103" i="2"/>
  <c r="CC103" i="2"/>
  <c r="BA103" i="2"/>
  <c r="DJ102" i="2"/>
  <c r="CH102" i="2"/>
  <c r="BB102" i="2"/>
  <c r="DO101" i="2"/>
  <c r="CI101" i="2"/>
  <c r="BG101" i="2"/>
  <c r="DL100" i="2"/>
  <c r="CN100" i="2"/>
  <c r="BP100" i="2"/>
  <c r="X100" i="2"/>
  <c r="D100" i="2"/>
  <c r="CW99" i="2"/>
  <c r="BI99" i="2"/>
  <c r="AK99" i="2"/>
  <c r="CP136" i="2"/>
  <c r="F136" i="2"/>
  <c r="CJ135" i="2"/>
  <c r="AV135" i="2"/>
  <c r="BY134" i="2"/>
  <c r="AK134" i="2"/>
  <c r="DB133" i="2"/>
  <c r="Z133" i="2"/>
  <c r="CP132" i="2"/>
  <c r="BB132" i="2"/>
  <c r="CJ131" i="2"/>
  <c r="AV131" i="2"/>
  <c r="H131" i="2"/>
  <c r="AK130" i="2"/>
  <c r="DJ129" i="2"/>
  <c r="BN129" i="2"/>
  <c r="CX128" i="2"/>
  <c r="BB128" i="2"/>
  <c r="N128" i="2"/>
  <c r="AV127" i="2"/>
  <c r="H127" i="2"/>
  <c r="CG126" i="2"/>
  <c r="DJ125" i="2"/>
  <c r="BV125" i="2"/>
  <c r="Z125" i="2"/>
  <c r="BJ124" i="2"/>
  <c r="N124" i="2"/>
  <c r="CR123" i="2"/>
  <c r="H123" i="2"/>
  <c r="CG122" i="2"/>
  <c r="AS122" i="2"/>
  <c r="BV121" i="2"/>
  <c r="AH121" i="2"/>
  <c r="CX120" i="2"/>
  <c r="V120" i="2"/>
  <c r="CR119" i="2"/>
  <c r="BD119" i="2"/>
  <c r="CG118" i="2"/>
  <c r="AS118" i="2"/>
  <c r="E118" i="2"/>
  <c r="AH117" i="2"/>
  <c r="DF116" i="2"/>
  <c r="BJ116" i="2"/>
  <c r="CZ115" i="2"/>
  <c r="BD115" i="2"/>
  <c r="P115" i="2"/>
  <c r="AS114" i="2"/>
  <c r="E114" i="2"/>
  <c r="CD113" i="2"/>
  <c r="DF112" i="2"/>
  <c r="BR112" i="2"/>
  <c r="V112" i="2"/>
  <c r="BL111" i="2"/>
  <c r="P111" i="2"/>
  <c r="CO110" i="2"/>
  <c r="E110" i="2"/>
  <c r="CD109" i="2"/>
  <c r="AP109" i="2"/>
  <c r="BR108" i="2"/>
  <c r="AD108" i="2"/>
  <c r="CZ107" i="2"/>
  <c r="Y120" i="2"/>
  <c r="BE112" i="2"/>
  <c r="DM108" i="2"/>
  <c r="BY104" i="2"/>
  <c r="F103" i="2"/>
  <c r="AF101" i="2"/>
  <c r="BL136" i="2"/>
  <c r="AO135" i="2"/>
  <c r="DK133" i="2"/>
  <c r="AW131" i="2"/>
  <c r="F130" i="2"/>
  <c r="DD128" i="2"/>
  <c r="AD126" i="2"/>
  <c r="S125" i="2"/>
  <c r="X124" i="2"/>
  <c r="AL122" i="2"/>
  <c r="AM121" i="2"/>
  <c r="AF120" i="2"/>
  <c r="CP118" i="2"/>
  <c r="J118" i="2"/>
  <c r="AU117" i="2"/>
  <c r="CF116" i="2"/>
  <c r="AJ116" i="2"/>
  <c r="CS115" i="2"/>
  <c r="AG115" i="2"/>
  <c r="CT114" i="2"/>
  <c r="AX114" i="2"/>
  <c r="CY113" i="2"/>
  <c r="AQ113" i="2"/>
  <c r="G113" i="2"/>
  <c r="CB112" i="2"/>
  <c r="AV112" i="2"/>
  <c r="L112" i="2"/>
  <c r="CK111" i="2"/>
  <c r="BA111" i="2"/>
  <c r="U111" i="2"/>
  <c r="CP110" i="2"/>
  <c r="BF110" i="2"/>
  <c r="R110" i="2"/>
  <c r="CQ109" i="2"/>
  <c r="BK109" i="2"/>
  <c r="W109" i="2"/>
  <c r="CV108" i="2"/>
  <c r="BH108" i="2"/>
  <c r="AB108" i="2"/>
  <c r="DE107" i="2"/>
  <c r="BQ107" i="2"/>
  <c r="AG107" i="2"/>
  <c r="DJ106" i="2"/>
  <c r="CL106" i="2"/>
  <c r="BJ106" i="2"/>
  <c r="AD106" i="2"/>
  <c r="DO105" i="2"/>
  <c r="CQ105" i="2"/>
  <c r="BK105" i="2"/>
  <c r="AI105" i="2"/>
  <c r="G105" i="2"/>
  <c r="CN104" i="2"/>
  <c r="BP104" i="2"/>
  <c r="AN104" i="2"/>
  <c r="H104" i="2"/>
  <c r="CW103" i="2"/>
  <c r="BY103" i="2"/>
  <c r="AS103" i="2"/>
  <c r="Q103" i="2"/>
  <c r="DB102" i="2"/>
  <c r="BV102" i="2"/>
  <c r="AX102" i="2"/>
  <c r="V102" i="2"/>
  <c r="DC101" i="2"/>
  <c r="CA101" i="2"/>
  <c r="BC101" i="2"/>
  <c r="W101" i="2"/>
  <c r="DH100" i="2"/>
  <c r="CF100" i="2"/>
  <c r="BH100" i="2"/>
  <c r="AN100" i="2"/>
  <c r="T100" i="2"/>
  <c r="DM99" i="2"/>
  <c r="CS99" i="2"/>
  <c r="BY99" i="2"/>
  <c r="BA99" i="2"/>
  <c r="AG99" i="2"/>
  <c r="CH136" i="2"/>
  <c r="AL136" i="2"/>
  <c r="DP135" i="2"/>
  <c r="CB135" i="2"/>
  <c r="AF135" i="2"/>
  <c r="DE134" i="2"/>
  <c r="BQ134" i="2"/>
  <c r="U134" i="2"/>
  <c r="CT133" i="2"/>
  <c r="BF133" i="2"/>
  <c r="J133" i="2"/>
  <c r="CH132" i="2"/>
  <c r="AT132" i="2"/>
  <c r="DP131" i="2"/>
  <c r="CB131" i="2"/>
  <c r="AN131" i="2"/>
  <c r="DE130" i="2"/>
  <c r="BQ130" i="2"/>
  <c r="AC130" i="2"/>
  <c r="CT129" i="2"/>
  <c r="BF129" i="2"/>
  <c r="R129" i="2"/>
  <c r="CH128" i="2"/>
  <c r="AT128" i="2"/>
  <c r="F128" i="2"/>
  <c r="CB127" i="2"/>
  <c r="AN127" i="2"/>
  <c r="DM126" i="2"/>
  <c r="BQ126" i="2"/>
  <c r="AC126" i="2"/>
  <c r="DB125" i="2"/>
  <c r="BF125" i="2"/>
  <c r="R125" i="2"/>
  <c r="CP124" i="2"/>
  <c r="AT124" i="2"/>
  <c r="F124" i="2"/>
  <c r="CJ123" i="2"/>
  <c r="AN123" i="2"/>
  <c r="DM122" i="2"/>
  <c r="BY122" i="2"/>
  <c r="AC122" i="2"/>
  <c r="DB121" i="2"/>
  <c r="BN121" i="2"/>
  <c r="R121" i="2"/>
  <c r="CP120" i="2"/>
  <c r="BB120" i="2"/>
  <c r="F120" i="2"/>
  <c r="CJ119" i="2"/>
  <c r="AV119" i="2"/>
  <c r="DM118" i="2"/>
  <c r="BY118" i="2"/>
  <c r="AK118" i="2"/>
  <c r="DB117" i="2"/>
  <c r="BN117" i="2"/>
  <c r="Z117" i="2"/>
  <c r="CP116" i="2"/>
  <c r="BB116" i="2"/>
  <c r="N116" i="2"/>
  <c r="CJ115" i="2"/>
  <c r="AV115" i="2"/>
  <c r="H115" i="2"/>
  <c r="BY114" i="2"/>
  <c r="AK114" i="2"/>
  <c r="DJ113" i="2"/>
  <c r="BN113" i="2"/>
  <c r="Z113" i="2"/>
  <c r="CX112" i="2"/>
  <c r="BB112" i="2"/>
  <c r="N112" i="2"/>
  <c r="CR111" i="2"/>
  <c r="AV111" i="2"/>
  <c r="H111" i="2"/>
  <c r="CG110" i="2"/>
  <c r="AK110" i="2"/>
  <c r="DJ109" i="2"/>
  <c r="BV109" i="2"/>
  <c r="Z109" i="2"/>
  <c r="CX108" i="2"/>
  <c r="BJ108" i="2"/>
  <c r="N108" i="2"/>
  <c r="CC116" i="2"/>
  <c r="Z107" i="2"/>
  <c r="DF103" i="2"/>
  <c r="CK100" i="2"/>
  <c r="DA135" i="2"/>
  <c r="AI133" i="2"/>
  <c r="CT130" i="2"/>
  <c r="P128" i="2"/>
  <c r="CA125" i="2"/>
  <c r="CO123" i="2"/>
  <c r="CM121" i="2"/>
  <c r="DA119" i="2"/>
  <c r="BF118" i="2"/>
  <c r="DL116" i="2"/>
  <c r="D116" i="2"/>
  <c r="M115" i="2"/>
  <c r="R114" i="2"/>
  <c r="W113" i="2"/>
  <c r="BP112" i="2"/>
  <c r="DE111" i="2"/>
  <c r="AC111" i="2"/>
  <c r="BZ110" i="2"/>
  <c r="DK109" i="2"/>
  <c r="AM109" i="2"/>
  <c r="CF108" i="2"/>
  <c r="H108" i="2"/>
  <c r="AW107" i="2"/>
  <c r="DB106" i="2"/>
  <c r="AT106" i="2"/>
  <c r="CY105" i="2"/>
  <c r="AY105" i="2"/>
  <c r="DD104" i="2"/>
  <c r="AZ104" i="2"/>
  <c r="DM103" i="2"/>
  <c r="BI103" i="2"/>
  <c r="DN102" i="2"/>
  <c r="BN102" i="2"/>
  <c r="F102" i="2"/>
  <c r="BK101" i="2"/>
  <c r="K101" i="2"/>
  <c r="BT100" i="2"/>
  <c r="AB100" i="2"/>
  <c r="DE99" i="2"/>
  <c r="BM99" i="2"/>
  <c r="CX136" i="2"/>
  <c r="V136" i="2"/>
  <c r="BD135" i="2"/>
  <c r="CG134" i="2"/>
  <c r="E134" i="2"/>
  <c r="AH133" i="2"/>
  <c r="BJ132" i="2"/>
  <c r="CZ131" i="2"/>
  <c r="P131" i="2"/>
  <c r="AS130" i="2"/>
  <c r="CD129" i="2"/>
  <c r="DF128" i="2"/>
  <c r="V128" i="2"/>
  <c r="BL127" i="2"/>
  <c r="CO126" i="2"/>
  <c r="E126" i="2"/>
  <c r="AP125" i="2"/>
  <c r="BR124" i="2"/>
  <c r="CZ123" i="2"/>
  <c r="X123" i="2"/>
  <c r="BA122" i="2"/>
  <c r="CD121" i="2"/>
  <c r="DN120" i="2"/>
  <c r="AD120" i="2"/>
  <c r="BL119" i="2"/>
  <c r="CW118" i="2"/>
  <c r="M118" i="2"/>
  <c r="AP117" i="2"/>
  <c r="BZ116" i="2"/>
  <c r="DH115" i="2"/>
  <c r="X115" i="2"/>
  <c r="BI114" i="2"/>
  <c r="CL113" i="2"/>
  <c r="DN112" i="2"/>
  <c r="AL112" i="2"/>
  <c r="BT111" i="2"/>
  <c r="CW110" i="2"/>
  <c r="U110" i="2"/>
  <c r="AX109" i="2"/>
  <c r="BZ108" i="2"/>
  <c r="DP107" i="2"/>
  <c r="BL107" i="2"/>
  <c r="X107" i="2"/>
  <c r="CO106" i="2"/>
  <c r="BA106" i="2"/>
  <c r="M106" i="2"/>
  <c r="CD105" i="2"/>
  <c r="AP105" i="2"/>
  <c r="DN104" i="2"/>
  <c r="BR104" i="2"/>
  <c r="AD104" i="2"/>
  <c r="DH103" i="2"/>
  <c r="BL103" i="2"/>
  <c r="X103" i="2"/>
  <c r="CW102" i="2"/>
  <c r="BA102" i="2"/>
  <c r="M102" i="2"/>
  <c r="CL101" i="2"/>
  <c r="AP101" i="2"/>
  <c r="DN100" i="2"/>
  <c r="BZ100" i="2"/>
  <c r="AD100" i="2"/>
  <c r="DH99" i="2"/>
  <c r="BT99" i="2"/>
  <c r="AA99" i="2"/>
  <c r="F99" i="2"/>
  <c r="CY98" i="2"/>
  <c r="CA98" i="2"/>
  <c r="BG98" i="2"/>
  <c r="AM98" i="2"/>
  <c r="O98" i="2"/>
  <c r="DH97" i="2"/>
  <c r="CN97" i="2"/>
  <c r="BP97" i="2"/>
  <c r="AV97" i="2"/>
  <c r="AB97" i="2"/>
  <c r="D97" i="2"/>
  <c r="DA96" i="2"/>
  <c r="CG96" i="2"/>
  <c r="BI96" i="2"/>
  <c r="AO96" i="2"/>
  <c r="U96" i="2"/>
  <c r="DJ95" i="2"/>
  <c r="CP95" i="2"/>
  <c r="BV95" i="2"/>
  <c r="AX95" i="2"/>
  <c r="AD95" i="2"/>
  <c r="J95" i="2"/>
  <c r="CY94" i="2"/>
  <c r="CE94" i="2"/>
  <c r="BK94" i="2"/>
  <c r="AM94" i="2"/>
  <c r="S94" i="2"/>
  <c r="DL93" i="2"/>
  <c r="CN93" i="2"/>
  <c r="BT93" i="2"/>
  <c r="AZ93" i="2"/>
  <c r="AB93" i="2"/>
  <c r="H93" i="2"/>
  <c r="DE92" i="2"/>
  <c r="CG92" i="2"/>
  <c r="BM92" i="2"/>
  <c r="AS92" i="2"/>
  <c r="U92" i="2"/>
  <c r="DN91" i="2"/>
  <c r="CT91" i="2"/>
  <c r="BV91" i="2"/>
  <c r="BB91" i="2"/>
  <c r="AH91" i="2"/>
  <c r="J91" i="2"/>
  <c r="DC90" i="2"/>
  <c r="CI90" i="2"/>
  <c r="BK90" i="2"/>
  <c r="AU90" i="2"/>
  <c r="AE90" i="2"/>
  <c r="CM136" i="2"/>
  <c r="BG136" i="2"/>
  <c r="AA136" i="2"/>
  <c r="DG135" i="2"/>
  <c r="CA135" i="2"/>
  <c r="AU135" i="2"/>
  <c r="O135" i="2"/>
  <c r="CV134" i="2"/>
  <c r="BP134" i="2"/>
  <c r="AJ134" i="2"/>
  <c r="D134" i="2"/>
  <c r="CS133" i="2"/>
  <c r="BM133" i="2"/>
  <c r="AG133" i="2"/>
  <c r="DK132" i="2"/>
  <c r="CE132" i="2"/>
  <c r="AY132" i="2"/>
  <c r="S132" i="2"/>
  <c r="CY131" i="2"/>
  <c r="BS131" i="2"/>
  <c r="AM131" i="2"/>
  <c r="G131" i="2"/>
  <c r="CN130" i="2"/>
  <c r="BH130" i="2"/>
  <c r="AB130" i="2"/>
  <c r="DQ129" i="2"/>
  <c r="CK129" i="2"/>
  <c r="BE129" i="2"/>
  <c r="Y129" i="2"/>
  <c r="DC128" i="2"/>
  <c r="BW128" i="2"/>
  <c r="AQ128" i="2"/>
  <c r="K128" i="2"/>
  <c r="CQ127" i="2"/>
  <c r="BK127" i="2"/>
  <c r="AE127" i="2"/>
  <c r="DL126" i="2"/>
  <c r="CF126" i="2"/>
  <c r="AZ126" i="2"/>
  <c r="T126" i="2"/>
  <c r="DI125" i="2"/>
  <c r="CC125" i="2"/>
  <c r="AW125" i="2"/>
  <c r="Q125" i="2"/>
  <c r="CU124" i="2"/>
  <c r="BO124" i="2"/>
  <c r="AI124" i="2"/>
  <c r="DO123" i="2"/>
  <c r="CI123" i="2"/>
  <c r="BC123" i="2"/>
  <c r="W123" i="2"/>
  <c r="DD122" i="2"/>
  <c r="BX122" i="2"/>
  <c r="AR122" i="2"/>
  <c r="L122" i="2"/>
  <c r="DA121" i="2"/>
  <c r="BU121" i="2"/>
  <c r="AO121" i="2"/>
  <c r="I121" i="2"/>
  <c r="CM120" i="2"/>
  <c r="BG120" i="2"/>
  <c r="AA120" i="2"/>
  <c r="DG119" i="2"/>
  <c r="CA119" i="2"/>
  <c r="AU119" i="2"/>
  <c r="O119" i="2"/>
  <c r="CV118" i="2"/>
  <c r="BP118" i="2"/>
  <c r="AJ118" i="2"/>
  <c r="D118" i="2"/>
  <c r="CS117" i="2"/>
  <c r="BM117" i="2"/>
  <c r="AG117" i="2"/>
  <c r="DK116" i="2"/>
  <c r="CE116" i="2"/>
  <c r="AY116" i="2"/>
  <c r="S116" i="2"/>
  <c r="CY115" i="2"/>
  <c r="BS115" i="2"/>
  <c r="AM115" i="2"/>
  <c r="G115" i="2"/>
  <c r="CN114" i="2"/>
  <c r="BH114" i="2"/>
  <c r="AB114" i="2"/>
  <c r="DQ113" i="2"/>
  <c r="CK113" i="2"/>
  <c r="BE113" i="2"/>
  <c r="Y113" i="2"/>
  <c r="DC112" i="2"/>
  <c r="BW112" i="2"/>
  <c r="AQ112" i="2"/>
  <c r="K112" i="2"/>
  <c r="CQ111" i="2"/>
  <c r="BK111" i="2"/>
  <c r="AE111" i="2"/>
  <c r="DL110" i="2"/>
  <c r="CF110" i="2"/>
  <c r="AZ110" i="2"/>
  <c r="T110" i="2"/>
  <c r="DI109" i="2"/>
  <c r="CC109" i="2"/>
  <c r="AW109" i="2"/>
  <c r="Q109" i="2"/>
  <c r="CU108" i="2"/>
  <c r="BO108" i="2"/>
  <c r="AI108" i="2"/>
  <c r="DO107" i="2"/>
  <c r="CI107" i="2"/>
  <c r="BC107" i="2"/>
  <c r="W107" i="2"/>
  <c r="DD106" i="2"/>
  <c r="BX106" i="2"/>
  <c r="AR106" i="2"/>
  <c r="L106" i="2"/>
  <c r="DA105" i="2"/>
  <c r="BU105" i="2"/>
  <c r="AO105" i="2"/>
  <c r="I105" i="2"/>
  <c r="CM104" i="2"/>
  <c r="BG104" i="2"/>
  <c r="AA104" i="2"/>
  <c r="DG103" i="2"/>
  <c r="CA103" i="2"/>
  <c r="AU103" i="2"/>
  <c r="O103" i="2"/>
  <c r="CV102" i="2"/>
  <c r="BP102" i="2"/>
  <c r="AJ102" i="2"/>
  <c r="D102" i="2"/>
  <c r="CS101" i="2"/>
  <c r="BM101" i="2"/>
  <c r="AG101" i="2"/>
  <c r="DK100" i="2"/>
  <c r="CE100" i="2"/>
  <c r="AY100" i="2"/>
  <c r="S100" i="2"/>
  <c r="CY99" i="2"/>
  <c r="BS99" i="2"/>
  <c r="AM99" i="2"/>
  <c r="Q99" i="2"/>
  <c r="DN98" i="2"/>
  <c r="CX98" i="2"/>
  <c r="CH98" i="2"/>
  <c r="BR98" i="2"/>
  <c r="BB98" i="2"/>
  <c r="AL98" i="2"/>
  <c r="V98" i="2"/>
  <c r="F98" i="2"/>
  <c r="DC97" i="2"/>
  <c r="CM97" i="2"/>
  <c r="BW97" i="2"/>
  <c r="BG97" i="2"/>
  <c r="AQ97" i="2"/>
  <c r="AA97" i="2"/>
  <c r="K97" i="2"/>
  <c r="DH96" i="2"/>
  <c r="CR96" i="2"/>
  <c r="CB96" i="2"/>
  <c r="BL96" i="2"/>
  <c r="AV96" i="2"/>
  <c r="AF96" i="2"/>
  <c r="P96" i="2"/>
  <c r="DQ95" i="2"/>
  <c r="DA95" i="2"/>
  <c r="CK95" i="2"/>
  <c r="BU95" i="2"/>
  <c r="BE95" i="2"/>
  <c r="AO95" i="2"/>
  <c r="Y95" i="2"/>
  <c r="I95" i="2"/>
  <c r="DF94" i="2"/>
  <c r="CP94" i="2"/>
  <c r="BZ94" i="2"/>
  <c r="BJ94" i="2"/>
  <c r="AT94" i="2"/>
  <c r="AD94" i="2"/>
  <c r="N94" i="2"/>
  <c r="DK93" i="2"/>
  <c r="CU93" i="2"/>
  <c r="CE93" i="2"/>
  <c r="BO93" i="2"/>
  <c r="DE128" i="2"/>
  <c r="AS112" i="2"/>
  <c r="AI106" i="2"/>
  <c r="CE102" i="2"/>
  <c r="CP99" i="2"/>
  <c r="U135" i="2"/>
  <c r="BD132" i="2"/>
  <c r="DO129" i="2"/>
  <c r="BE127" i="2"/>
  <c r="DP124" i="2"/>
  <c r="Q123" i="2"/>
  <c r="AA121" i="2"/>
  <c r="BA119" i="2"/>
  <c r="DK117" i="2"/>
  <c r="BT116" i="2"/>
  <c r="BY115" i="2"/>
  <c r="CH114" i="2"/>
  <c r="CI113" i="2"/>
  <c r="DH112" i="2"/>
  <c r="AJ112" i="2"/>
  <c r="CG111" i="2"/>
  <c r="E111" i="2"/>
  <c r="AX110" i="2"/>
  <c r="CI109" i="2"/>
  <c r="G109" i="2"/>
  <c r="BD108" i="2"/>
  <c r="CS107" i="2"/>
  <c r="U107" i="2"/>
  <c r="CD106" i="2"/>
  <c r="Z106" i="2"/>
  <c r="CE105" i="2"/>
  <c r="AE105" i="2"/>
  <c r="CJ104" i="2"/>
  <c r="AB104" i="2"/>
  <c r="CS103" i="2"/>
  <c r="AK103" i="2"/>
  <c r="CT102" i="2"/>
  <c r="AP102" i="2"/>
  <c r="CY101" i="2"/>
  <c r="AQ101" i="2"/>
  <c r="DD100" i="2"/>
  <c r="BD100" i="2"/>
  <c r="L100" i="2"/>
  <c r="CO99" i="2"/>
  <c r="AW99" i="2"/>
  <c r="BR136" i="2"/>
  <c r="DH135" i="2"/>
  <c r="X135" i="2"/>
  <c r="BA134" i="2"/>
  <c r="CL133" i="2"/>
  <c r="DN132" i="2"/>
  <c r="AD132" i="2"/>
  <c r="BT131" i="2"/>
  <c r="CW130" i="2"/>
  <c r="M130" i="2"/>
  <c r="AX129" i="2"/>
  <c r="BZ128" i="2"/>
  <c r="DH127" i="2"/>
  <c r="AF127" i="2"/>
  <c r="BI126" i="2"/>
  <c r="CL125" i="2"/>
  <c r="J125" i="2"/>
  <c r="AL124" i="2"/>
  <c r="BT123" i="2"/>
  <c r="DE122" i="2"/>
  <c r="U122" i="2"/>
  <c r="AX121" i="2"/>
  <c r="CH120" i="2"/>
  <c r="DP119" i="2"/>
  <c r="AF119" i="2"/>
  <c r="BQ118" i="2"/>
  <c r="CT117" i="2"/>
  <c r="J117" i="2"/>
  <c r="AT116" i="2"/>
  <c r="CB115" i="2"/>
  <c r="DE114" i="2"/>
  <c r="AC114" i="2"/>
  <c r="BF113" i="2"/>
  <c r="CH112" i="2"/>
  <c r="F112" i="2"/>
  <c r="AN111" i="2"/>
  <c r="BQ110" i="2"/>
  <c r="DB109" i="2"/>
  <c r="R109" i="2"/>
  <c r="AT108" i="2"/>
  <c r="CR107" i="2"/>
  <c r="BD107" i="2"/>
  <c r="H107" i="2"/>
  <c r="CG106" i="2"/>
  <c r="AS106" i="2"/>
  <c r="DJ105" i="2"/>
  <c r="BV105" i="2"/>
  <c r="AH105" i="2"/>
  <c r="CX104" i="2"/>
  <c r="BJ104" i="2"/>
  <c r="V104" i="2"/>
  <c r="CR103" i="2"/>
  <c r="BD103" i="2"/>
  <c r="P103" i="2"/>
  <c r="CG102" i="2"/>
  <c r="AS102" i="2"/>
  <c r="E102" i="2"/>
  <c r="BV101" i="2"/>
  <c r="AH101" i="2"/>
  <c r="DF100" i="2"/>
  <c r="BJ100" i="2"/>
  <c r="V100" i="2"/>
  <c r="CZ99" i="2"/>
  <c r="BD99" i="2"/>
  <c r="V99" i="2"/>
  <c r="DO98" i="2"/>
  <c r="CQ98" i="2"/>
  <c r="BW98" i="2"/>
  <c r="BC98" i="2"/>
  <c r="AE98" i="2"/>
  <c r="K98" i="2"/>
  <c r="DD97" i="2"/>
  <c r="CF97" i="2"/>
  <c r="BL97" i="2"/>
  <c r="AR97" i="2"/>
  <c r="T97" i="2"/>
  <c r="DQ96" i="2"/>
  <c r="CW96" i="2"/>
  <c r="BY96" i="2"/>
  <c r="BE96" i="2"/>
  <c r="AK96" i="2"/>
  <c r="M96" i="2"/>
  <c r="DF95" i="2"/>
  <c r="CL95" i="2"/>
  <c r="BN95" i="2"/>
  <c r="AT95" i="2"/>
  <c r="Z95" i="2"/>
  <c r="DO94" i="2"/>
  <c r="CU94" i="2"/>
  <c r="CA94" i="2"/>
  <c r="BC94" i="2"/>
  <c r="AI94" i="2"/>
  <c r="O94" i="2"/>
  <c r="DD93" i="2"/>
  <c r="CJ93" i="2"/>
  <c r="BP93" i="2"/>
  <c r="AR93" i="2"/>
  <c r="X93" i="2"/>
  <c r="D93" i="2"/>
  <c r="CW92" i="2"/>
  <c r="CC92" i="2"/>
  <c r="BI92" i="2"/>
  <c r="AK92" i="2"/>
  <c r="Q92" i="2"/>
  <c r="DJ91" i="2"/>
  <c r="CL91" i="2"/>
  <c r="BR91" i="2"/>
  <c r="AX91" i="2"/>
  <c r="Z91" i="2"/>
  <c r="F91" i="2"/>
  <c r="CY90" i="2"/>
  <c r="CA90" i="2"/>
  <c r="BG90" i="2"/>
  <c r="AQ90" i="2"/>
  <c r="DK136" i="2"/>
  <c r="CE136" i="2"/>
  <c r="AY136" i="2"/>
  <c r="S136" i="2"/>
  <c r="CY135" i="2"/>
  <c r="BS135" i="2"/>
  <c r="AM135" i="2"/>
  <c r="G135" i="2"/>
  <c r="CN134" i="2"/>
  <c r="BH134" i="2"/>
  <c r="AB134" i="2"/>
  <c r="DQ133" i="2"/>
  <c r="CK133" i="2"/>
  <c r="BE133" i="2"/>
  <c r="Y133" i="2"/>
  <c r="DC132" i="2"/>
  <c r="BW132" i="2"/>
  <c r="AQ132" i="2"/>
  <c r="K132" i="2"/>
  <c r="CQ131" i="2"/>
  <c r="BK131" i="2"/>
  <c r="AE131" i="2"/>
  <c r="DL130" i="2"/>
  <c r="CF130" i="2"/>
  <c r="AZ130" i="2"/>
  <c r="T130" i="2"/>
  <c r="DI129" i="2"/>
  <c r="CC129" i="2"/>
  <c r="AW129" i="2"/>
  <c r="Q129" i="2"/>
  <c r="CU128" i="2"/>
  <c r="BO128" i="2"/>
  <c r="AI128" i="2"/>
  <c r="DO127" i="2"/>
  <c r="CI127" i="2"/>
  <c r="BC127" i="2"/>
  <c r="W127" i="2"/>
  <c r="DD126" i="2"/>
  <c r="BX126" i="2"/>
  <c r="AR126" i="2"/>
  <c r="L126" i="2"/>
  <c r="DA125" i="2"/>
  <c r="BU125" i="2"/>
  <c r="AO125" i="2"/>
  <c r="I125" i="2"/>
  <c r="CM124" i="2"/>
  <c r="BG124" i="2"/>
  <c r="AA124" i="2"/>
  <c r="DG123" i="2"/>
  <c r="CA123" i="2"/>
  <c r="AU123" i="2"/>
  <c r="O123" i="2"/>
  <c r="CV122" i="2"/>
  <c r="BP122" i="2"/>
  <c r="AJ122" i="2"/>
  <c r="D122" i="2"/>
  <c r="CS121" i="2"/>
  <c r="BM121" i="2"/>
  <c r="AG121" i="2"/>
  <c r="DK120" i="2"/>
  <c r="CE120" i="2"/>
  <c r="AY120" i="2"/>
  <c r="S120" i="2"/>
  <c r="CY119" i="2"/>
  <c r="BS119" i="2"/>
  <c r="AM119" i="2"/>
  <c r="G119" i="2"/>
  <c r="CN118" i="2"/>
  <c r="BH118" i="2"/>
  <c r="AB118" i="2"/>
  <c r="DQ117" i="2"/>
  <c r="CK117" i="2"/>
  <c r="BE117" i="2"/>
  <c r="Y117" i="2"/>
  <c r="DC116" i="2"/>
  <c r="BW116" i="2"/>
  <c r="AQ116" i="2"/>
  <c r="K116" i="2"/>
  <c r="CQ115" i="2"/>
  <c r="BK115" i="2"/>
  <c r="AE115" i="2"/>
  <c r="DL114" i="2"/>
  <c r="CF114" i="2"/>
  <c r="AZ114" i="2"/>
  <c r="T114" i="2"/>
  <c r="DI113" i="2"/>
  <c r="CC113" i="2"/>
  <c r="AW113" i="2"/>
  <c r="Q113" i="2"/>
  <c r="CU112" i="2"/>
  <c r="BO112" i="2"/>
  <c r="AI112" i="2"/>
  <c r="DO111" i="2"/>
  <c r="CI111" i="2"/>
  <c r="BC111" i="2"/>
  <c r="W111" i="2"/>
  <c r="DD110" i="2"/>
  <c r="BX110" i="2"/>
  <c r="AR110" i="2"/>
  <c r="L110" i="2"/>
  <c r="DA109" i="2"/>
  <c r="BU109" i="2"/>
  <c r="AO109" i="2"/>
  <c r="I109" i="2"/>
  <c r="CM108" i="2"/>
  <c r="BG108" i="2"/>
  <c r="AA108" i="2"/>
  <c r="DG107" i="2"/>
  <c r="CA107" i="2"/>
  <c r="AU107" i="2"/>
  <c r="O107" i="2"/>
  <c r="CV106" i="2"/>
  <c r="BP106" i="2"/>
  <c r="AJ106" i="2"/>
  <c r="D106" i="2"/>
  <c r="CS105" i="2"/>
  <c r="BM105" i="2"/>
  <c r="AG105" i="2"/>
  <c r="DK104" i="2"/>
  <c r="CE104" i="2"/>
  <c r="AY104" i="2"/>
  <c r="S104" i="2"/>
  <c r="CY103" i="2"/>
  <c r="BS103" i="2"/>
  <c r="AM103" i="2"/>
  <c r="G103" i="2"/>
  <c r="CN102" i="2"/>
  <c r="BH102" i="2"/>
  <c r="AB102" i="2"/>
  <c r="DQ101" i="2"/>
  <c r="CK101" i="2"/>
  <c r="BE101" i="2"/>
  <c r="Y101" i="2"/>
  <c r="DC100" i="2"/>
  <c r="BW100" i="2"/>
  <c r="AQ100" i="2"/>
  <c r="K100" i="2"/>
  <c r="CQ99" i="2"/>
  <c r="BK99" i="2"/>
  <c r="AE99" i="2"/>
  <c r="M99" i="2"/>
  <c r="DJ98" i="2"/>
  <c r="CT98" i="2"/>
  <c r="CD98" i="2"/>
  <c r="BN98" i="2"/>
  <c r="AX98" i="2"/>
  <c r="AH98" i="2"/>
  <c r="R98" i="2"/>
  <c r="DO97" i="2"/>
  <c r="CY97" i="2"/>
  <c r="CI97" i="2"/>
  <c r="BS97" i="2"/>
  <c r="BC97" i="2"/>
  <c r="AM97" i="2"/>
  <c r="W97" i="2"/>
  <c r="G97" i="2"/>
  <c r="DD96" i="2"/>
  <c r="CN96" i="2"/>
  <c r="BX96" i="2"/>
  <c r="BH96" i="2"/>
  <c r="AR96" i="2"/>
  <c r="AB96" i="2"/>
  <c r="L96" i="2"/>
  <c r="DM95" i="2"/>
  <c r="CW95" i="2"/>
  <c r="CG95" i="2"/>
  <c r="BQ95" i="2"/>
  <c r="BA95" i="2"/>
  <c r="AK95" i="2"/>
  <c r="U95" i="2"/>
  <c r="E95" i="2"/>
  <c r="DB94" i="2"/>
  <c r="CL94" i="2"/>
  <c r="BV94" i="2"/>
  <c r="BF94" i="2"/>
  <c r="AP94" i="2"/>
  <c r="Z94" i="2"/>
  <c r="J94" i="2"/>
  <c r="DG93" i="2"/>
  <c r="CQ93" i="2"/>
  <c r="CA93" i="2"/>
  <c r="BK93" i="2"/>
  <c r="AG108" i="2"/>
  <c r="P101" i="2"/>
  <c r="CU133" i="2"/>
  <c r="BX128" i="2"/>
  <c r="H124" i="2"/>
  <c r="AB120" i="2"/>
  <c r="AE117" i="2"/>
  <c r="AC115" i="2"/>
  <c r="AM113" i="2"/>
  <c r="DM111" i="2"/>
  <c r="CD110" i="2"/>
  <c r="AY109" i="2"/>
  <c r="L108" i="2"/>
  <c r="DF106" i="2"/>
  <c r="DK105" i="2"/>
  <c r="DL104" i="2"/>
  <c r="D104" i="2"/>
  <c r="M103" i="2"/>
  <c r="J102" i="2"/>
  <c r="O101" i="2"/>
  <c r="AJ100" i="2"/>
  <c r="BQ99" i="2"/>
  <c r="AD136" i="2"/>
  <c r="CW134" i="2"/>
  <c r="AP133" i="2"/>
  <c r="DH131" i="2"/>
  <c r="BI130" i="2"/>
  <c r="DN128" i="2"/>
  <c r="BT127" i="2"/>
  <c r="U126" i="2"/>
  <c r="BZ124" i="2"/>
  <c r="AF123" i="2"/>
  <c r="CT121" i="2"/>
  <c r="AL120" i="2"/>
  <c r="DE118" i="2"/>
  <c r="BF117" i="2"/>
  <c r="DP115" i="2"/>
  <c r="BQ114" i="2"/>
  <c r="R113" i="2"/>
  <c r="CB111" i="2"/>
  <c r="AC110" i="2"/>
  <c r="CP108" i="2"/>
  <c r="BT107" i="2"/>
  <c r="DE106" i="2"/>
  <c r="U106" i="2"/>
  <c r="AX105" i="2"/>
  <c r="CH104" i="2"/>
  <c r="DP103" i="2"/>
  <c r="AF103" i="2"/>
  <c r="BQ102" i="2"/>
  <c r="CT101" i="2"/>
  <c r="J101" i="2"/>
  <c r="AT100" i="2"/>
  <c r="CB99" i="2"/>
  <c r="J99" i="2"/>
  <c r="CI98" i="2"/>
  <c r="AQ98" i="2"/>
  <c r="DL97" i="2"/>
  <c r="BX97" i="2"/>
  <c r="AF97" i="2"/>
  <c r="DE96" i="2"/>
  <c r="BQ96" i="2"/>
  <c r="Y96" i="2"/>
  <c r="CT95" i="2"/>
  <c r="BF95" i="2"/>
  <c r="N95" i="2"/>
  <c r="CI94" i="2"/>
  <c r="AU94" i="2"/>
  <c r="DP93" i="2"/>
  <c r="BX93" i="2"/>
  <c r="AJ93" i="2"/>
  <c r="DI92" i="2"/>
  <c r="BQ92" i="2"/>
  <c r="AC92" i="2"/>
  <c r="CX91" i="2"/>
  <c r="BF91" i="2"/>
  <c r="R91" i="2"/>
  <c r="CM90" i="2"/>
  <c r="AY90" i="2"/>
  <c r="CU136" i="2"/>
  <c r="AI136" i="2"/>
  <c r="CI135" i="2"/>
  <c r="W135" i="2"/>
  <c r="BX134" i="2"/>
  <c r="L134" i="2"/>
  <c r="BU133" i="2"/>
  <c r="I133" i="2"/>
  <c r="BG132" i="2"/>
  <c r="DG131" i="2"/>
  <c r="AU131" i="2"/>
  <c r="CV130" i="2"/>
  <c r="AJ130" i="2"/>
  <c r="CS129" i="2"/>
  <c r="AG129" i="2"/>
  <c r="CE128" i="2"/>
  <c r="S128" i="2"/>
  <c r="BS127" i="2"/>
  <c r="G127" i="2"/>
  <c r="BH126" i="2"/>
  <c r="DQ125" i="2"/>
  <c r="BE125" i="2"/>
  <c r="DC124" i="2"/>
  <c r="AQ124" i="2"/>
  <c r="CQ123" i="2"/>
  <c r="AE123" i="2"/>
  <c r="CF122" i="2"/>
  <c r="T122" i="2"/>
  <c r="CC121" i="2"/>
  <c r="Q121" i="2"/>
  <c r="BO120" i="2"/>
  <c r="DO119" i="2"/>
  <c r="BC119" i="2"/>
  <c r="DD118" i="2"/>
  <c r="AR118" i="2"/>
  <c r="DA117" i="2"/>
  <c r="AO117" i="2"/>
  <c r="CM116" i="2"/>
  <c r="AA116" i="2"/>
  <c r="CA115" i="2"/>
  <c r="O115" i="2"/>
  <c r="BP114" i="2"/>
  <c r="D114" i="2"/>
  <c r="BM113" i="2"/>
  <c r="DK112" i="2"/>
  <c r="AY112" i="2"/>
  <c r="CY111" i="2"/>
  <c r="AM111" i="2"/>
  <c r="CN110" i="2"/>
  <c r="AB110" i="2"/>
  <c r="CK109" i="2"/>
  <c r="Y109" i="2"/>
  <c r="BW108" i="2"/>
  <c r="K108" i="2"/>
  <c r="BK107" i="2"/>
  <c r="DL106" i="2"/>
  <c r="AZ106" i="2"/>
  <c r="DI105" i="2"/>
  <c r="AW105" i="2"/>
  <c r="CU104" i="2"/>
  <c r="AI104" i="2"/>
  <c r="CI103" i="2"/>
  <c r="W103" i="2"/>
  <c r="BX102" i="2"/>
  <c r="L102" i="2"/>
  <c r="BU101" i="2"/>
  <c r="I101" i="2"/>
  <c r="BG100" i="2"/>
  <c r="DG99" i="2"/>
  <c r="AU99" i="2"/>
  <c r="E99" i="2"/>
  <c r="CL98" i="2"/>
  <c r="BF98" i="2"/>
  <c r="Z98" i="2"/>
  <c r="DG97" i="2"/>
  <c r="CA97" i="2"/>
  <c r="AU97" i="2"/>
  <c r="O97" i="2"/>
  <c r="CV96" i="2"/>
  <c r="BP96" i="2"/>
  <c r="AJ96" i="2"/>
  <c r="D96" i="2"/>
  <c r="CO95" i="2"/>
  <c r="BI95" i="2"/>
  <c r="AC95" i="2"/>
  <c r="DJ94" i="2"/>
  <c r="CD94" i="2"/>
  <c r="AX94" i="2"/>
  <c r="R94" i="2"/>
  <c r="CY93" i="2"/>
  <c r="BS93" i="2"/>
  <c r="AU93" i="2"/>
  <c r="AE93" i="2"/>
  <c r="O93" i="2"/>
  <c r="DL92" i="2"/>
  <c r="CV92" i="2"/>
  <c r="CF92" i="2"/>
  <c r="BP92" i="2"/>
  <c r="AZ92" i="2"/>
  <c r="AJ92" i="2"/>
  <c r="T92" i="2"/>
  <c r="D92" i="2"/>
  <c r="DE91" i="2"/>
  <c r="CO91" i="2"/>
  <c r="BY91" i="2"/>
  <c r="BI91" i="2"/>
  <c r="AS91" i="2"/>
  <c r="AC91" i="2"/>
  <c r="M91" i="2"/>
  <c r="DJ90" i="2"/>
  <c r="CT90" i="2"/>
  <c r="CD90" i="2"/>
  <c r="BN90" i="2"/>
  <c r="AX90" i="2"/>
  <c r="AH90" i="2"/>
  <c r="CL136" i="2"/>
  <c r="BF136" i="2"/>
  <c r="Z136" i="2"/>
  <c r="DD135" i="2"/>
  <c r="BX135" i="2"/>
  <c r="AR135" i="2"/>
  <c r="L135" i="2"/>
  <c r="DA134" i="2"/>
  <c r="BU134" i="2"/>
  <c r="AO134" i="2"/>
  <c r="I134" i="2"/>
  <c r="CP133" i="2"/>
  <c r="BJ133" i="2"/>
  <c r="AD133" i="2"/>
  <c r="DJ132" i="2"/>
  <c r="CD132" i="2"/>
  <c r="AX132" i="2"/>
  <c r="R132" i="2"/>
  <c r="CV131" i="2"/>
  <c r="BP131" i="2"/>
  <c r="AJ131" i="2"/>
  <c r="D131" i="2"/>
  <c r="CS130" i="2"/>
  <c r="BM130" i="2"/>
  <c r="AG130" i="2"/>
  <c r="DN129" i="2"/>
  <c r="CH129" i="2"/>
  <c r="BB129" i="2"/>
  <c r="V129" i="2"/>
  <c r="DB128" i="2"/>
  <c r="BV128" i="2"/>
  <c r="AP128" i="2"/>
  <c r="J128" i="2"/>
  <c r="CN127" i="2"/>
  <c r="BH127" i="2"/>
  <c r="AB127" i="2"/>
  <c r="DQ126" i="2"/>
  <c r="CK126" i="2"/>
  <c r="BE126" i="2"/>
  <c r="Y126" i="2"/>
  <c r="DF125" i="2"/>
  <c r="BZ125" i="2"/>
  <c r="AT125" i="2"/>
  <c r="N125" i="2"/>
  <c r="CT124" i="2"/>
  <c r="BN124" i="2"/>
  <c r="AH124" i="2"/>
  <c r="DL123" i="2"/>
  <c r="CF123" i="2"/>
  <c r="AZ123" i="2"/>
  <c r="T123" i="2"/>
  <c r="DI122" i="2"/>
  <c r="CC122" i="2"/>
  <c r="AW122" i="2"/>
  <c r="Q122" i="2"/>
  <c r="CX121" i="2"/>
  <c r="BR121" i="2"/>
  <c r="AL121" i="2"/>
  <c r="F121" i="2"/>
  <c r="CL120" i="2"/>
  <c r="BF120" i="2"/>
  <c r="Z120" i="2"/>
  <c r="DD119" i="2"/>
  <c r="BX119" i="2"/>
  <c r="AR119" i="2"/>
  <c r="L119" i="2"/>
  <c r="DA118" i="2"/>
  <c r="BU118" i="2"/>
  <c r="AO118" i="2"/>
  <c r="I118" i="2"/>
  <c r="CP117" i="2"/>
  <c r="BJ117" i="2"/>
  <c r="AD117" i="2"/>
  <c r="DJ116" i="2"/>
  <c r="CD116" i="2"/>
  <c r="AX116" i="2"/>
  <c r="R116" i="2"/>
  <c r="CV115" i="2"/>
  <c r="BP115" i="2"/>
  <c r="AJ115" i="2"/>
  <c r="D115" i="2"/>
  <c r="CS114" i="2"/>
  <c r="BM114" i="2"/>
  <c r="AG114" i="2"/>
  <c r="DN113" i="2"/>
  <c r="CH113" i="2"/>
  <c r="BB113" i="2"/>
  <c r="V113" i="2"/>
  <c r="DB112" i="2"/>
  <c r="BV112" i="2"/>
  <c r="AP112" i="2"/>
  <c r="J112" i="2"/>
  <c r="CN111" i="2"/>
  <c r="BH111" i="2"/>
  <c r="AB111" i="2"/>
  <c r="DQ110" i="2"/>
  <c r="CK110" i="2"/>
  <c r="BE110" i="2"/>
  <c r="Y110" i="2"/>
  <c r="DF109" i="2"/>
  <c r="BZ109" i="2"/>
  <c r="AT109" i="2"/>
  <c r="N109" i="2"/>
  <c r="CT108" i="2"/>
  <c r="BN108" i="2"/>
  <c r="AH108" i="2"/>
  <c r="DL107" i="2"/>
  <c r="CF107" i="2"/>
  <c r="AZ107" i="2"/>
  <c r="T107" i="2"/>
  <c r="DI106" i="2"/>
  <c r="CC106" i="2"/>
  <c r="AW106" i="2"/>
  <c r="Q106" i="2"/>
  <c r="CX105" i="2"/>
  <c r="BR105" i="2"/>
  <c r="AL105" i="2"/>
  <c r="F105" i="2"/>
  <c r="CL104" i="2"/>
  <c r="BF104" i="2"/>
  <c r="Z104" i="2"/>
  <c r="DD103" i="2"/>
  <c r="BX103" i="2"/>
  <c r="AR103" i="2"/>
  <c r="L103" i="2"/>
  <c r="DA102" i="2"/>
  <c r="BU102" i="2"/>
  <c r="AO102" i="2"/>
  <c r="I102" i="2"/>
  <c r="CP101" i="2"/>
  <c r="BJ101" i="2"/>
  <c r="AD101" i="2"/>
  <c r="DJ100" i="2"/>
  <c r="CD100" i="2"/>
  <c r="I124" i="2"/>
  <c r="BP105" i="2"/>
  <c r="AT99" i="2"/>
  <c r="H132" i="2"/>
  <c r="E127" i="2"/>
  <c r="CH122" i="2"/>
  <c r="U119" i="2"/>
  <c r="BP116" i="2"/>
  <c r="BN114" i="2"/>
  <c r="CV112" i="2"/>
  <c r="BU111" i="2"/>
  <c r="AH110" i="2"/>
  <c r="DP108" i="2"/>
  <c r="CO107" i="2"/>
  <c r="BV106" i="2"/>
  <c r="CA105" i="2"/>
  <c r="CF104" i="2"/>
  <c r="CG103" i="2"/>
  <c r="CL102" i="2"/>
  <c r="CQ101" i="2"/>
  <c r="CR100" i="2"/>
  <c r="H100" i="2"/>
  <c r="AS99" i="2"/>
  <c r="CR135" i="2"/>
  <c r="AS134" i="2"/>
  <c r="DF132" i="2"/>
  <c r="BD131" i="2"/>
  <c r="E130" i="2"/>
  <c r="BR128" i="2"/>
  <c r="P127" i="2"/>
  <c r="CD125" i="2"/>
  <c r="AD124" i="2"/>
  <c r="CO122" i="2"/>
  <c r="AP121" i="2"/>
  <c r="DH119" i="2"/>
  <c r="BA118" i="2"/>
  <c r="DN116" i="2"/>
  <c r="BT115" i="2"/>
  <c r="M114" i="2"/>
  <c r="BZ112" i="2"/>
  <c r="AF111" i="2"/>
  <c r="CL109" i="2"/>
  <c r="AL108" i="2"/>
  <c r="AN107" i="2"/>
  <c r="BY106" i="2"/>
  <c r="DB105" i="2"/>
  <c r="R105" i="2"/>
  <c r="BB104" i="2"/>
  <c r="CJ103" i="2"/>
  <c r="DM102" i="2"/>
  <c r="AK102" i="2"/>
  <c r="BN101" i="2"/>
  <c r="CP100" i="2"/>
  <c r="N100" i="2"/>
  <c r="AV99" i="2"/>
  <c r="DG98" i="2"/>
  <c r="BS98" i="2"/>
  <c r="AA98" i="2"/>
  <c r="CV97" i="2"/>
  <c r="BH97" i="2"/>
  <c r="P97" i="2"/>
  <c r="CO96" i="2"/>
  <c r="BA96" i="2"/>
  <c r="I96" i="2"/>
  <c r="CD95" i="2"/>
  <c r="AP95" i="2"/>
  <c r="DK94" i="2"/>
  <c r="BS94" i="2"/>
  <c r="AE94" i="2"/>
  <c r="CZ93" i="2"/>
  <c r="BH93" i="2"/>
  <c r="T93" i="2"/>
  <c r="CS92" i="2"/>
  <c r="BA92" i="2"/>
  <c r="M92" i="2"/>
  <c r="CH91" i="2"/>
  <c r="AP91" i="2"/>
  <c r="DO90" i="2"/>
  <c r="BW90" i="2"/>
  <c r="AM90" i="2"/>
  <c r="BW136" i="2"/>
  <c r="K136" i="2"/>
  <c r="BK135" i="2"/>
  <c r="DL134" i="2"/>
  <c r="AZ134" i="2"/>
  <c r="DI133" i="2"/>
  <c r="AW133" i="2"/>
  <c r="CU132" i="2"/>
  <c r="AI132" i="2"/>
  <c r="CI131" i="2"/>
  <c r="W131" i="2"/>
  <c r="BX130" i="2"/>
  <c r="L130" i="2"/>
  <c r="BU129" i="2"/>
  <c r="I129" i="2"/>
  <c r="BG128" i="2"/>
  <c r="DG127" i="2"/>
  <c r="AU127" i="2"/>
  <c r="CV126" i="2"/>
  <c r="AJ126" i="2"/>
  <c r="CS125" i="2"/>
  <c r="AG125" i="2"/>
  <c r="CE124" i="2"/>
  <c r="S124" i="2"/>
  <c r="BS123" i="2"/>
  <c r="G123" i="2"/>
  <c r="BH122" i="2"/>
  <c r="DQ121" i="2"/>
  <c r="BE121" i="2"/>
  <c r="DC120" i="2"/>
  <c r="AQ120" i="2"/>
  <c r="CQ119" i="2"/>
  <c r="AE119" i="2"/>
  <c r="CF118" i="2"/>
  <c r="T118" i="2"/>
  <c r="CC117" i="2"/>
  <c r="Q117" i="2"/>
  <c r="BO116" i="2"/>
  <c r="DO115" i="2"/>
  <c r="BC115" i="2"/>
  <c r="DD114" i="2"/>
  <c r="AR114" i="2"/>
  <c r="DA113" i="2"/>
  <c r="AO113" i="2"/>
  <c r="CM112" i="2"/>
  <c r="AA112" i="2"/>
  <c r="CA111" i="2"/>
  <c r="O111" i="2"/>
  <c r="BP110" i="2"/>
  <c r="D110" i="2"/>
  <c r="BM109" i="2"/>
  <c r="DK108" i="2"/>
  <c r="AY108" i="2"/>
  <c r="CY107" i="2"/>
  <c r="AM107" i="2"/>
  <c r="CN106" i="2"/>
  <c r="AB106" i="2"/>
  <c r="CK105" i="2"/>
  <c r="Y105" i="2"/>
  <c r="BW104" i="2"/>
  <c r="K104" i="2"/>
  <c r="BK103" i="2"/>
  <c r="DL102" i="2"/>
  <c r="AZ102" i="2"/>
  <c r="DI101" i="2"/>
  <c r="AW101" i="2"/>
  <c r="CU100" i="2"/>
  <c r="AI100" i="2"/>
  <c r="CI99" i="2"/>
  <c r="Y99" i="2"/>
  <c r="DF98" i="2"/>
  <c r="BZ98" i="2"/>
  <c r="AT98" i="2"/>
  <c r="N98" i="2"/>
  <c r="CU97" i="2"/>
  <c r="BO97" i="2"/>
  <c r="AI97" i="2"/>
  <c r="DP96" i="2"/>
  <c r="CJ96" i="2"/>
  <c r="BD96" i="2"/>
  <c r="X96" i="2"/>
  <c r="DI95" i="2"/>
  <c r="CC95" i="2"/>
  <c r="AW95" i="2"/>
  <c r="Q95" i="2"/>
  <c r="CX94" i="2"/>
  <c r="BR94" i="2"/>
  <c r="AL94" i="2"/>
  <c r="F94" i="2"/>
  <c r="CM93" i="2"/>
  <c r="BG93" i="2"/>
  <c r="AQ93" i="2"/>
  <c r="AA93" i="2"/>
  <c r="K93" i="2"/>
  <c r="DH92" i="2"/>
  <c r="CR92" i="2"/>
  <c r="CB92" i="2"/>
  <c r="BL92" i="2"/>
  <c r="AV92" i="2"/>
  <c r="AF92" i="2"/>
  <c r="P92" i="2"/>
  <c r="DQ91" i="2"/>
  <c r="DA91" i="2"/>
  <c r="CK91" i="2"/>
  <c r="BU91" i="2"/>
  <c r="BE91" i="2"/>
  <c r="AO91" i="2"/>
  <c r="Y91" i="2"/>
  <c r="I91" i="2"/>
  <c r="DF90" i="2"/>
  <c r="CP90" i="2"/>
  <c r="BZ90" i="2"/>
  <c r="BJ90" i="2"/>
  <c r="AT90" i="2"/>
  <c r="DJ136" i="2"/>
  <c r="CD136" i="2"/>
  <c r="AX136" i="2"/>
  <c r="R136" i="2"/>
  <c r="CV135" i="2"/>
  <c r="BP135" i="2"/>
  <c r="AJ135" i="2"/>
  <c r="D135" i="2"/>
  <c r="CS134" i="2"/>
  <c r="BM134" i="2"/>
  <c r="AG134" i="2"/>
  <c r="DN133" i="2"/>
  <c r="CH133" i="2"/>
  <c r="BB133" i="2"/>
  <c r="V133" i="2"/>
  <c r="DB132" i="2"/>
  <c r="BV132" i="2"/>
  <c r="AP132" i="2"/>
  <c r="J132" i="2"/>
  <c r="CN131" i="2"/>
  <c r="BH131" i="2"/>
  <c r="AB131" i="2"/>
  <c r="DQ130" i="2"/>
  <c r="CK130" i="2"/>
  <c r="BE130" i="2"/>
  <c r="Y130" i="2"/>
  <c r="DF129" i="2"/>
  <c r="BZ129" i="2"/>
  <c r="AT129" i="2"/>
  <c r="N129" i="2"/>
  <c r="CT128" i="2"/>
  <c r="BN128" i="2"/>
  <c r="AH128" i="2"/>
  <c r="DL127" i="2"/>
  <c r="CF127" i="2"/>
  <c r="AZ127" i="2"/>
  <c r="T127" i="2"/>
  <c r="DI126" i="2"/>
  <c r="CC126" i="2"/>
  <c r="AW126" i="2"/>
  <c r="Q126" i="2"/>
  <c r="CX125" i="2"/>
  <c r="BR125" i="2"/>
  <c r="AL125" i="2"/>
  <c r="F125" i="2"/>
  <c r="CL124" i="2"/>
  <c r="BF124" i="2"/>
  <c r="Z124" i="2"/>
  <c r="DD123" i="2"/>
  <c r="BX123" i="2"/>
  <c r="AR123" i="2"/>
  <c r="L123" i="2"/>
  <c r="DA122" i="2"/>
  <c r="BU122" i="2"/>
  <c r="AO122" i="2"/>
  <c r="I122" i="2"/>
  <c r="CP121" i="2"/>
  <c r="BJ121" i="2"/>
  <c r="AD121" i="2"/>
  <c r="DJ120" i="2"/>
  <c r="CD120" i="2"/>
  <c r="AX120" i="2"/>
  <c r="R120" i="2"/>
  <c r="CV119" i="2"/>
  <c r="BP119" i="2"/>
  <c r="AJ119" i="2"/>
  <c r="D119" i="2"/>
  <c r="CS118" i="2"/>
  <c r="BM118" i="2"/>
  <c r="AG118" i="2"/>
  <c r="DN117" i="2"/>
  <c r="CH117" i="2"/>
  <c r="BB117" i="2"/>
  <c r="V117" i="2"/>
  <c r="DB116" i="2"/>
  <c r="BV116" i="2"/>
  <c r="AP116" i="2"/>
  <c r="J116" i="2"/>
  <c r="CN115" i="2"/>
  <c r="BH115" i="2"/>
  <c r="AB115" i="2"/>
  <c r="DQ114" i="2"/>
  <c r="CK114" i="2"/>
  <c r="BE114" i="2"/>
  <c r="Y114" i="2"/>
  <c r="DF113" i="2"/>
  <c r="BZ113" i="2"/>
  <c r="AT113" i="2"/>
  <c r="N113" i="2"/>
  <c r="CT112" i="2"/>
  <c r="BN112" i="2"/>
  <c r="AH112" i="2"/>
  <c r="DL111" i="2"/>
  <c r="CF111" i="2"/>
  <c r="AZ111" i="2"/>
  <c r="T111" i="2"/>
  <c r="DI110" i="2"/>
  <c r="CC110" i="2"/>
  <c r="AW110" i="2"/>
  <c r="Q110" i="2"/>
  <c r="CX109" i="2"/>
  <c r="BR109" i="2"/>
  <c r="AL109" i="2"/>
  <c r="F109" i="2"/>
  <c r="CL108" i="2"/>
  <c r="BF108" i="2"/>
  <c r="Z108" i="2"/>
  <c r="DD107" i="2"/>
  <c r="BX107" i="2"/>
  <c r="AR107" i="2"/>
  <c r="L107" i="2"/>
  <c r="DA106" i="2"/>
  <c r="BU106" i="2"/>
  <c r="AO106" i="2"/>
  <c r="I106" i="2"/>
  <c r="CP105" i="2"/>
  <c r="BJ105" i="2"/>
  <c r="AD105" i="2"/>
  <c r="DJ104" i="2"/>
  <c r="CD104" i="2"/>
  <c r="AX104" i="2"/>
  <c r="R104" i="2"/>
  <c r="CV103" i="2"/>
  <c r="BP103" i="2"/>
  <c r="AJ103" i="2"/>
  <c r="D103" i="2"/>
  <c r="CS102" i="2"/>
  <c r="BM102" i="2"/>
  <c r="AG102" i="2"/>
  <c r="DN101" i="2"/>
  <c r="CH101" i="2"/>
  <c r="BB101" i="2"/>
  <c r="V101" i="2"/>
  <c r="DB100" i="2"/>
  <c r="BV100" i="2"/>
  <c r="AP100" i="2"/>
  <c r="J100" i="2"/>
  <c r="CN99" i="2"/>
  <c r="BH99" i="2"/>
  <c r="AC99" i="2"/>
  <c r="L99" i="2"/>
  <c r="DM98" i="2"/>
  <c r="CW98" i="2"/>
  <c r="CG98" i="2"/>
  <c r="BQ98" i="2"/>
  <c r="BA98" i="2"/>
  <c r="AK98" i="2"/>
  <c r="U98" i="2"/>
  <c r="E98" i="2"/>
  <c r="DB97" i="2"/>
  <c r="CL97" i="2"/>
  <c r="BV97" i="2"/>
  <c r="BF97" i="2"/>
  <c r="AP97" i="2"/>
  <c r="Z97" i="2"/>
  <c r="J97" i="2"/>
  <c r="DG96" i="2"/>
  <c r="CQ96" i="2"/>
  <c r="CA96" i="2"/>
  <c r="BK96" i="2"/>
  <c r="AU96" i="2"/>
  <c r="AE96" i="2"/>
  <c r="O96" i="2"/>
  <c r="DL95" i="2"/>
  <c r="CV95" i="2"/>
  <c r="CF95" i="2"/>
  <c r="BP95" i="2"/>
  <c r="AZ95" i="2"/>
  <c r="AJ95" i="2"/>
  <c r="T95" i="2"/>
  <c r="D95" i="2"/>
  <c r="DE94" i="2"/>
  <c r="CO94" i="2"/>
  <c r="BY94" i="2"/>
  <c r="BI94" i="2"/>
  <c r="AS94" i="2"/>
  <c r="AC94" i="2"/>
  <c r="M94" i="2"/>
  <c r="DJ93" i="2"/>
  <c r="CT93" i="2"/>
  <c r="CD93" i="2"/>
  <c r="BN93" i="2"/>
  <c r="AX93" i="2"/>
  <c r="AH93" i="2"/>
  <c r="R93" i="2"/>
  <c r="DO92" i="2"/>
  <c r="CY92" i="2"/>
  <c r="CI92" i="2"/>
  <c r="BS92" i="2"/>
  <c r="BC92" i="2"/>
  <c r="AM92" i="2"/>
  <c r="W92" i="2"/>
  <c r="G92" i="2"/>
  <c r="DD91" i="2"/>
  <c r="CN91" i="2"/>
  <c r="BX91" i="2"/>
  <c r="BH91" i="2"/>
  <c r="AR91" i="2"/>
  <c r="AB91" i="2"/>
  <c r="L91" i="2"/>
  <c r="DM90" i="2"/>
  <c r="CW90" i="2"/>
  <c r="CG90" i="2"/>
  <c r="BQ90" i="2"/>
  <c r="BA90" i="2"/>
  <c r="DO136" i="2"/>
  <c r="CI136" i="2"/>
  <c r="BC136" i="2"/>
  <c r="W136" i="2"/>
  <c r="DC135" i="2"/>
  <c r="BW135" i="2"/>
  <c r="AQ135" i="2"/>
  <c r="K135" i="2"/>
  <c r="CR134" i="2"/>
  <c r="BL134" i="2"/>
  <c r="AF134" i="2"/>
  <c r="DM133" i="2"/>
  <c r="CG133" i="2"/>
  <c r="BA133" i="2"/>
  <c r="U133" i="2"/>
  <c r="DG132" i="2"/>
  <c r="CA132" i="2"/>
  <c r="AU132" i="2"/>
  <c r="O132" i="2"/>
  <c r="CU131" i="2"/>
  <c r="BO131" i="2"/>
  <c r="AI131" i="2"/>
  <c r="DP130" i="2"/>
  <c r="CJ130" i="2"/>
  <c r="BD130" i="2"/>
  <c r="X130" i="2"/>
  <c r="DE129" i="2"/>
  <c r="BY129" i="2"/>
  <c r="AS129" i="2"/>
  <c r="M129" i="2"/>
  <c r="CY128" i="2"/>
  <c r="BS128" i="2"/>
  <c r="AM128" i="2"/>
  <c r="G128" i="2"/>
  <c r="CM127" i="2"/>
  <c r="BG127" i="2"/>
  <c r="AA127" i="2"/>
  <c r="DH126" i="2"/>
  <c r="CB126" i="2"/>
  <c r="AV126" i="2"/>
  <c r="AD119" i="2"/>
  <c r="BI104" i="2"/>
  <c r="AV136" i="2"/>
  <c r="AS131" i="2"/>
  <c r="N126" i="2"/>
  <c r="R122" i="2"/>
  <c r="CL118" i="2"/>
  <c r="T116" i="2"/>
  <c r="V114" i="2"/>
  <c r="BX112" i="2"/>
  <c r="AS111" i="2"/>
  <c r="J110" i="2"/>
  <c r="CN108" i="2"/>
  <c r="BM107" i="2"/>
  <c r="AX106" i="2"/>
  <c r="BC105" i="2"/>
  <c r="BH104" i="2"/>
  <c r="BM103" i="2"/>
  <c r="BR102" i="2"/>
  <c r="BW101" i="2"/>
  <c r="BX100" i="2"/>
  <c r="DI99" i="2"/>
  <c r="DN136" i="2"/>
  <c r="BL135" i="2"/>
  <c r="M134" i="2"/>
  <c r="BZ132" i="2"/>
  <c r="X131" i="2"/>
  <c r="CL129" i="2"/>
  <c r="AL128" i="2"/>
  <c r="CW126" i="2"/>
  <c r="AX125" i="2"/>
  <c r="DP123" i="2"/>
  <c r="BI122" i="2"/>
  <c r="J121" i="2"/>
  <c r="CB119" i="2"/>
  <c r="U118" i="2"/>
  <c r="CH116" i="2"/>
  <c r="AN115" i="2"/>
  <c r="CT113" i="2"/>
  <c r="AT112" i="2"/>
  <c r="DM110" i="2"/>
  <c r="BF109" i="2"/>
  <c r="F108" i="2"/>
  <c r="AF107" i="2"/>
  <c r="BI106" i="2"/>
  <c r="CT105" i="2"/>
  <c r="J105" i="2"/>
  <c r="AL104" i="2"/>
  <c r="CB103" i="2"/>
  <c r="DE102" i="2"/>
  <c r="U102" i="2"/>
  <c r="BF101" i="2"/>
  <c r="CH100" i="2"/>
  <c r="DP99" i="2"/>
  <c r="AN99" i="2"/>
  <c r="DC98" i="2"/>
  <c r="BK98" i="2"/>
  <c r="W98" i="2"/>
  <c r="CR97" i="2"/>
  <c r="AZ97" i="2"/>
  <c r="L97" i="2"/>
  <c r="CK96" i="2"/>
  <c r="AS96" i="2"/>
  <c r="E96" i="2"/>
  <c r="BZ95" i="2"/>
  <c r="AH95" i="2"/>
  <c r="DG94" i="2"/>
  <c r="BO94" i="2"/>
  <c r="W94" i="2"/>
  <c r="CV93" i="2"/>
  <c r="BD93" i="2"/>
  <c r="L93" i="2"/>
  <c r="CO92" i="2"/>
  <c r="AW92" i="2"/>
  <c r="E92" i="2"/>
  <c r="CD91" i="2"/>
  <c r="AL91" i="2"/>
  <c r="DG90" i="2"/>
  <c r="BS90" i="2"/>
  <c r="AI90" i="2"/>
  <c r="BO136" i="2"/>
  <c r="DO135" i="2"/>
  <c r="BC135" i="2"/>
  <c r="DD134" i="2"/>
  <c r="AR134" i="2"/>
  <c r="BG129" i="2"/>
  <c r="BM115" i="2"/>
  <c r="CE109" i="2"/>
  <c r="S105" i="2"/>
  <c r="AM101" i="2"/>
  <c r="P135" i="2"/>
  <c r="AH129" i="2"/>
  <c r="BL123" i="2"/>
  <c r="CL117" i="2"/>
  <c r="DH111" i="2"/>
  <c r="DM106" i="2"/>
  <c r="F104" i="2"/>
  <c r="Z101" i="2"/>
  <c r="CM98" i="2"/>
  <c r="AJ97" i="2"/>
  <c r="DB95" i="2"/>
  <c r="AY94" i="2"/>
  <c r="DM92" i="2"/>
  <c r="BN91" i="2"/>
  <c r="DC136" i="2"/>
  <c r="CF134" i="2"/>
  <c r="AO133" i="2"/>
  <c r="AA132" i="2"/>
  <c r="O131" i="2"/>
  <c r="D130" i="2"/>
  <c r="DK128" i="2"/>
  <c r="CY127" i="2"/>
  <c r="CN126" i="2"/>
  <c r="CK125" i="2"/>
  <c r="BW124" i="2"/>
  <c r="BK123" i="2"/>
  <c r="AZ122" i="2"/>
  <c r="AW121" i="2"/>
  <c r="AI120" i="2"/>
  <c r="W119" i="2"/>
  <c r="L118" i="2"/>
  <c r="I117" i="2"/>
  <c r="DG115" i="2"/>
  <c r="CV114" i="2"/>
  <c r="CS113" i="2"/>
  <c r="CE112" i="2"/>
  <c r="BS111" i="2"/>
  <c r="BH110" i="2"/>
  <c r="BE109" i="2"/>
  <c r="AQ108" i="2"/>
  <c r="AE107" i="2"/>
  <c r="T106" i="2"/>
  <c r="Q105" i="2"/>
  <c r="DO103" i="2"/>
  <c r="DD102" i="2"/>
  <c r="DA101" i="2"/>
  <c r="CM100" i="2"/>
  <c r="CA99" i="2"/>
  <c r="DB98" i="2"/>
  <c r="AP98" i="2"/>
  <c r="CQ97" i="2"/>
  <c r="AE97" i="2"/>
  <c r="CF96" i="2"/>
  <c r="T96" i="2"/>
  <c r="BY95" i="2"/>
  <c r="M95" i="2"/>
  <c r="BN94" i="2"/>
  <c r="DO93" i="2"/>
  <c r="BC93" i="2"/>
  <c r="W93" i="2"/>
  <c r="DD92" i="2"/>
  <c r="BX92" i="2"/>
  <c r="AR92" i="2"/>
  <c r="L92" i="2"/>
  <c r="CW91" i="2"/>
  <c r="BQ91" i="2"/>
  <c r="AK91" i="2"/>
  <c r="E91" i="2"/>
  <c r="CL90" i="2"/>
  <c r="BF90" i="2"/>
  <c r="DB136" i="2"/>
  <c r="AP136" i="2"/>
  <c r="CN135" i="2"/>
  <c r="AB135" i="2"/>
  <c r="CK134" i="2"/>
  <c r="Y134" i="2"/>
  <c r="BZ133" i="2"/>
  <c r="N133" i="2"/>
  <c r="BN132" i="2"/>
  <c r="DL131" i="2"/>
  <c r="AZ131" i="2"/>
  <c r="DI130" i="2"/>
  <c r="AW130" i="2"/>
  <c r="CX129" i="2"/>
  <c r="AL129" i="2"/>
  <c r="CL128" i="2"/>
  <c r="Z128" i="2"/>
  <c r="BX127" i="2"/>
  <c r="L127" i="2"/>
  <c r="BU126" i="2"/>
  <c r="I126" i="2"/>
  <c r="BJ125" i="2"/>
  <c r="DJ124" i="2"/>
  <c r="AX124" i="2"/>
  <c r="CV123" i="2"/>
  <c r="AJ123" i="2"/>
  <c r="CS122" i="2"/>
  <c r="AG122" i="2"/>
  <c r="CH121" i="2"/>
  <c r="V121" i="2"/>
  <c r="BV120" i="2"/>
  <c r="J120" i="2"/>
  <c r="BH119" i="2"/>
  <c r="DQ118" i="2"/>
  <c r="BE118" i="2"/>
  <c r="DF117" i="2"/>
  <c r="AT117" i="2"/>
  <c r="CT116" i="2"/>
  <c r="AH116" i="2"/>
  <c r="CF115" i="2"/>
  <c r="T115" i="2"/>
  <c r="CC114" i="2"/>
  <c r="Q114" i="2"/>
  <c r="BR113" i="2"/>
  <c r="F113" i="2"/>
  <c r="BF112" i="2"/>
  <c r="DD111" i="2"/>
  <c r="AR111" i="2"/>
  <c r="DA110" i="2"/>
  <c r="AO110" i="2"/>
  <c r="CP109" i="2"/>
  <c r="AD109" i="2"/>
  <c r="CD108" i="2"/>
  <c r="R108" i="2"/>
  <c r="BP107" i="2"/>
  <c r="D107" i="2"/>
  <c r="BM106" i="2"/>
  <c r="DN105" i="2"/>
  <c r="BB105" i="2"/>
  <c r="DB104" i="2"/>
  <c r="AP104" i="2"/>
  <c r="CN103" i="2"/>
  <c r="AB103" i="2"/>
  <c r="CK102" i="2"/>
  <c r="Y102" i="2"/>
  <c r="BZ101" i="2"/>
  <c r="N101" i="2"/>
  <c r="BN100" i="2"/>
  <c r="Z100" i="2"/>
  <c r="CV99" i="2"/>
  <c r="AZ99" i="2"/>
  <c r="T99" i="2"/>
  <c r="DQ98" i="2"/>
  <c r="CS98" i="2"/>
  <c r="BY98" i="2"/>
  <c r="BE98" i="2"/>
  <c r="AG98" i="2"/>
  <c r="M98" i="2"/>
  <c r="DF97" i="2"/>
  <c r="CH97" i="2"/>
  <c r="BN97" i="2"/>
  <c r="AT97" i="2"/>
  <c r="V97" i="2"/>
  <c r="DO96" i="2"/>
  <c r="CU96" i="2"/>
  <c r="BW96" i="2"/>
  <c r="BC96" i="2"/>
  <c r="AI96" i="2"/>
  <c r="K96" i="2"/>
  <c r="DD95" i="2"/>
  <c r="CJ95" i="2"/>
  <c r="BL95" i="2"/>
  <c r="AR95" i="2"/>
  <c r="X95" i="2"/>
  <c r="DQ94" i="2"/>
  <c r="BC110" i="2"/>
  <c r="BT124" i="2"/>
  <c r="BW113" i="2"/>
  <c r="AN108" i="2"/>
  <c r="X104" i="2"/>
  <c r="AZ100" i="2"/>
  <c r="BV133" i="2"/>
  <c r="CZ127" i="2"/>
  <c r="M122" i="2"/>
  <c r="AD116" i="2"/>
  <c r="BI110" i="2"/>
  <c r="AC106" i="2"/>
  <c r="AV103" i="2"/>
  <c r="BB100" i="2"/>
  <c r="AU98" i="2"/>
  <c r="DM96" i="2"/>
  <c r="BJ95" i="2"/>
  <c r="G94" i="2"/>
  <c r="BY92" i="2"/>
  <c r="V91" i="2"/>
  <c r="AQ136" i="2"/>
  <c r="T134" i="2"/>
  <c r="Q133" i="2"/>
  <c r="DO131" i="2"/>
  <c r="DD130" i="2"/>
  <c r="DA129" i="2"/>
  <c r="CM128" i="2"/>
  <c r="CA127" i="2"/>
  <c r="BP126" i="2"/>
  <c r="BM125" i="2"/>
  <c r="AY124" i="2"/>
  <c r="AM123" i="2"/>
  <c r="AB122" i="2"/>
  <c r="Y121" i="2"/>
  <c r="K120" i="2"/>
  <c r="DL118" i="2"/>
  <c r="DI117" i="2"/>
  <c r="CU116" i="2"/>
  <c r="CI115" i="2"/>
  <c r="BX114" i="2"/>
  <c r="BU113" i="2"/>
  <c r="BG112" i="2"/>
  <c r="AU111" i="2"/>
  <c r="AJ110" i="2"/>
  <c r="AG109" i="2"/>
  <c r="S108" i="2"/>
  <c r="G107" i="2"/>
  <c r="DQ105" i="2"/>
  <c r="DC104" i="2"/>
  <c r="CQ103" i="2"/>
  <c r="CF102" i="2"/>
  <c r="CC101" i="2"/>
  <c r="BO100" i="2"/>
  <c r="BC99" i="2"/>
  <c r="CP98" i="2"/>
  <c r="AD98" i="2"/>
  <c r="CE97" i="2"/>
  <c r="S97" i="2"/>
  <c r="BT96" i="2"/>
  <c r="H96" i="2"/>
  <c r="BM95" i="2"/>
  <c r="DN94" i="2"/>
  <c r="BB94" i="2"/>
  <c r="DC93" i="2"/>
  <c r="AY93" i="2"/>
  <c r="S93" i="2"/>
  <c r="CZ92" i="2"/>
  <c r="BT92" i="2"/>
  <c r="AN92" i="2"/>
  <c r="H92" i="2"/>
  <c r="CS91" i="2"/>
  <c r="BM91" i="2"/>
  <c r="AG91" i="2"/>
  <c r="DN90" i="2"/>
  <c r="CH90" i="2"/>
  <c r="BB90" i="2"/>
  <c r="K102" i="2"/>
  <c r="CR120" i="2"/>
  <c r="AB112" i="2"/>
  <c r="M107" i="2"/>
  <c r="AG103" i="2"/>
  <c r="CG99" i="2"/>
  <c r="V132" i="2"/>
  <c r="BA126" i="2"/>
  <c r="BR120" i="2"/>
  <c r="CW114" i="2"/>
  <c r="J109" i="2"/>
  <c r="BN105" i="2"/>
  <c r="BY102" i="2"/>
  <c r="CJ99" i="2"/>
  <c r="G98" i="2"/>
  <c r="BU96" i="2"/>
  <c r="R95" i="2"/>
  <c r="CF93" i="2"/>
  <c r="AG92" i="2"/>
  <c r="CQ90" i="2"/>
  <c r="CQ135" i="2"/>
  <c r="DA133" i="2"/>
  <c r="CM132" i="2"/>
  <c r="CA131" i="2"/>
  <c r="BP130" i="2"/>
  <c r="BM129" i="2"/>
  <c r="AY128" i="2"/>
  <c r="AM127" i="2"/>
  <c r="AB126" i="2"/>
  <c r="Y125" i="2"/>
  <c r="K124" i="2"/>
  <c r="DL122" i="2"/>
  <c r="DI121" i="2"/>
  <c r="CU120" i="2"/>
  <c r="CI119" i="2"/>
  <c r="BX118" i="2"/>
  <c r="BU117" i="2"/>
  <c r="BG116" i="2"/>
  <c r="AU115" i="2"/>
  <c r="AJ114" i="2"/>
  <c r="AG113" i="2"/>
  <c r="S112" i="2"/>
  <c r="G111" i="2"/>
  <c r="DQ109" i="2"/>
  <c r="DC108" i="2"/>
  <c r="CQ107" i="2"/>
  <c r="CF106" i="2"/>
  <c r="CC105" i="2"/>
  <c r="BO104" i="2"/>
  <c r="BC103" i="2"/>
  <c r="AR102" i="2"/>
  <c r="AO101" i="2"/>
  <c r="AA100" i="2"/>
  <c r="U99" i="2"/>
  <c r="BV98" i="2"/>
  <c r="J98" i="2"/>
  <c r="BK97" i="2"/>
  <c r="DL96" i="2"/>
  <c r="AZ96" i="2"/>
  <c r="DE95" i="2"/>
  <c r="AS95" i="2"/>
  <c r="CT94" i="2"/>
  <c r="AH94" i="2"/>
  <c r="CI93" i="2"/>
  <c r="AM93" i="2"/>
  <c r="G93" i="2"/>
  <c r="CN92" i="2"/>
  <c r="BH92" i="2"/>
  <c r="AB92" i="2"/>
  <c r="DM91" i="2"/>
  <c r="CG91" i="2"/>
  <c r="BA91" i="2"/>
  <c r="U91" i="2"/>
  <c r="DB90" i="2"/>
  <c r="BV90" i="2"/>
  <c r="AP90" i="2"/>
  <c r="BV136" i="2"/>
  <c r="J136" i="2"/>
  <c r="BH135" i="2"/>
  <c r="DQ134" i="2"/>
  <c r="BE134" i="2"/>
  <c r="DF133" i="2"/>
  <c r="AT133" i="2"/>
  <c r="CT132" i="2"/>
  <c r="AH132" i="2"/>
  <c r="CF131" i="2"/>
  <c r="T131" i="2"/>
  <c r="CC130" i="2"/>
  <c r="Q130" i="2"/>
  <c r="BR129" i="2"/>
  <c r="F129" i="2"/>
  <c r="BF128" i="2"/>
  <c r="DD127" i="2"/>
  <c r="AR127" i="2"/>
  <c r="DA126" i="2"/>
  <c r="AO126" i="2"/>
  <c r="CP125" i="2"/>
  <c r="AD125" i="2"/>
  <c r="CD124" i="2"/>
  <c r="R124" i="2"/>
  <c r="BP123" i="2"/>
  <c r="D123" i="2"/>
  <c r="BM122" i="2"/>
  <c r="DN121" i="2"/>
  <c r="BB121" i="2"/>
  <c r="DB120" i="2"/>
  <c r="AP120" i="2"/>
  <c r="CN119" i="2"/>
  <c r="AB119" i="2"/>
  <c r="CK118" i="2"/>
  <c r="Y118" i="2"/>
  <c r="BZ117" i="2"/>
  <c r="N117" i="2"/>
  <c r="BN116" i="2"/>
  <c r="DL115" i="2"/>
  <c r="AZ115" i="2"/>
  <c r="DI114" i="2"/>
  <c r="AW114" i="2"/>
  <c r="CX113" i="2"/>
  <c r="AL113" i="2"/>
  <c r="CL112" i="2"/>
  <c r="Z112" i="2"/>
  <c r="BX111" i="2"/>
  <c r="L111" i="2"/>
  <c r="BU110" i="2"/>
  <c r="I110" i="2"/>
  <c r="BJ109" i="2"/>
  <c r="DJ108" i="2"/>
  <c r="AX108" i="2"/>
  <c r="CV107" i="2"/>
  <c r="AJ107" i="2"/>
  <c r="CS106" i="2"/>
  <c r="AG106" i="2"/>
  <c r="CH105" i="2"/>
  <c r="V105" i="2"/>
  <c r="BV104" i="2"/>
  <c r="J104" i="2"/>
  <c r="BH103" i="2"/>
  <c r="DQ102" i="2"/>
  <c r="BE102" i="2"/>
  <c r="DF101" i="2"/>
  <c r="AT101" i="2"/>
  <c r="CT100" i="2"/>
  <c r="AX100" i="2"/>
  <c r="DL99" i="2"/>
  <c r="BX99" i="2"/>
  <c r="AJ99" i="2"/>
  <c r="H99" i="2"/>
  <c r="DE98" i="2"/>
  <c r="CK98" i="2"/>
  <c r="BM98" i="2"/>
  <c r="AS98" i="2"/>
  <c r="Y98" i="2"/>
  <c r="DN97" i="2"/>
  <c r="CT97" i="2"/>
  <c r="BZ97" i="2"/>
  <c r="BB97" i="2"/>
  <c r="AH97" i="2"/>
  <c r="N97" i="2"/>
  <c r="DC96" i="2"/>
  <c r="CI96" i="2"/>
  <c r="BO96" i="2"/>
  <c r="AQ96" i="2"/>
  <c r="W96" i="2"/>
  <c r="DP95" i="2"/>
  <c r="CR95" i="2"/>
  <c r="BX95" i="2"/>
  <c r="BD95" i="2"/>
  <c r="AF95" i="2"/>
  <c r="L95" i="2"/>
  <c r="R106" i="2"/>
  <c r="DF124" i="2"/>
  <c r="CP104" i="2"/>
  <c r="AC96" i="2"/>
  <c r="BC90" i="2"/>
  <c r="BC131" i="2"/>
  <c r="O127" i="2"/>
  <c r="CN122" i="2"/>
  <c r="AZ118" i="2"/>
  <c r="L114" i="2"/>
  <c r="CS109" i="2"/>
  <c r="BE105" i="2"/>
  <c r="Q101" i="2"/>
  <c r="DK97" i="2"/>
  <c r="CS95" i="2"/>
  <c r="BW93" i="2"/>
  <c r="BD92" i="2"/>
  <c r="AW91" i="2"/>
  <c r="AL90" i="2"/>
  <c r="DL135" i="2"/>
  <c r="DI134" i="2"/>
  <c r="CX133" i="2"/>
  <c r="CL132" i="2"/>
  <c r="BX131" i="2"/>
  <c r="BU130" i="2"/>
  <c r="BJ129" i="2"/>
  <c r="AX128" i="2"/>
  <c r="AJ127" i="2"/>
  <c r="AG126" i="2"/>
  <c r="V125" i="2"/>
  <c r="J124" i="2"/>
  <c r="DQ122" i="2"/>
  <c r="DF121" i="2"/>
  <c r="CT120" i="2"/>
  <c r="CF119" i="2"/>
  <c r="CC118" i="2"/>
  <c r="BR117" i="2"/>
  <c r="BF116" i="2"/>
  <c r="AR115" i="2"/>
  <c r="AO114" i="2"/>
  <c r="AD113" i="2"/>
  <c r="R112" i="2"/>
  <c r="D111" i="2"/>
  <c r="DN109" i="2"/>
  <c r="DB108" i="2"/>
  <c r="CN107" i="2"/>
  <c r="CK106" i="2"/>
  <c r="BZ105" i="2"/>
  <c r="BN104" i="2"/>
  <c r="AZ103" i="2"/>
  <c r="AW102" i="2"/>
  <c r="AL101" i="2"/>
  <c r="AH100" i="2"/>
  <c r="BP99" i="2"/>
  <c r="D99" i="2"/>
  <c r="CC98" i="2"/>
  <c r="AO98" i="2"/>
  <c r="DJ97" i="2"/>
  <c r="BR97" i="2"/>
  <c r="AD97" i="2"/>
  <c r="CY96" i="2"/>
  <c r="BG96" i="2"/>
  <c r="S96" i="2"/>
  <c r="CN95" i="2"/>
  <c r="AV95" i="2"/>
  <c r="H95" i="2"/>
  <c r="CW94" i="2"/>
  <c r="CC94" i="2"/>
  <c r="BE94" i="2"/>
  <c r="AK94" i="2"/>
  <c r="Q94" i="2"/>
  <c r="DF93" i="2"/>
  <c r="CL93" i="2"/>
  <c r="BR93" i="2"/>
  <c r="AT93" i="2"/>
  <c r="Z93" i="2"/>
  <c r="F93" i="2"/>
  <c r="CU92" i="2"/>
  <c r="CA92" i="2"/>
  <c r="BG92" i="2"/>
  <c r="AI92" i="2"/>
  <c r="O92" i="2"/>
  <c r="DH91" i="2"/>
  <c r="CJ91" i="2"/>
  <c r="BP91" i="2"/>
  <c r="AV91" i="2"/>
  <c r="X91" i="2"/>
  <c r="D91" i="2"/>
  <c r="DA90" i="2"/>
  <c r="CC90" i="2"/>
  <c r="BI90" i="2"/>
  <c r="AO90" i="2"/>
  <c r="CA136" i="2"/>
  <c r="AM136" i="2"/>
  <c r="DK135" i="2"/>
  <c r="BO135" i="2"/>
  <c r="AA135" i="2"/>
  <c r="CZ134" i="2"/>
  <c r="BD134" i="2"/>
  <c r="P134" i="2"/>
  <c r="CO133" i="2"/>
  <c r="AS133" i="2"/>
  <c r="E133" i="2"/>
  <c r="CI132" i="2"/>
  <c r="AM132" i="2"/>
  <c r="DK131" i="2"/>
  <c r="BW131" i="2"/>
  <c r="AA131" i="2"/>
  <c r="CZ130" i="2"/>
  <c r="BL130" i="2"/>
  <c r="P130" i="2"/>
  <c r="CO129" i="2"/>
  <c r="BA129" i="2"/>
  <c r="E129" i="2"/>
  <c r="CI128" i="2"/>
  <c r="AU128" i="2"/>
  <c r="DK127" i="2"/>
  <c r="BW127" i="2"/>
  <c r="AI127" i="2"/>
  <c r="CZ126" i="2"/>
  <c r="BL126" i="2"/>
  <c r="X126" i="2"/>
  <c r="DE125" i="2"/>
  <c r="BY125" i="2"/>
  <c r="AS125" i="2"/>
  <c r="M125" i="2"/>
  <c r="CY124" i="2"/>
  <c r="BS124" i="2"/>
  <c r="AM124" i="2"/>
  <c r="G124" i="2"/>
  <c r="CM123" i="2"/>
  <c r="BG123" i="2"/>
  <c r="AA123" i="2"/>
  <c r="DH122" i="2"/>
  <c r="CB122" i="2"/>
  <c r="AV122" i="2"/>
  <c r="P122" i="2"/>
  <c r="CW121" i="2"/>
  <c r="BQ121" i="2"/>
  <c r="AK121" i="2"/>
  <c r="E121" i="2"/>
  <c r="CQ120" i="2"/>
  <c r="BK120" i="2"/>
  <c r="AE120" i="2"/>
  <c r="DK119" i="2"/>
  <c r="CE119" i="2"/>
  <c r="AY119" i="2"/>
  <c r="S119" i="2"/>
  <c r="CZ118" i="2"/>
  <c r="BT118" i="2"/>
  <c r="AN118" i="2"/>
  <c r="H118" i="2"/>
  <c r="CO117" i="2"/>
  <c r="BI117" i="2"/>
  <c r="AC117" i="2"/>
  <c r="DO116" i="2"/>
  <c r="CI116" i="2"/>
  <c r="BC116" i="2"/>
  <c r="W116" i="2"/>
  <c r="DC115" i="2"/>
  <c r="BW115" i="2"/>
  <c r="AQ115" i="2"/>
  <c r="K115" i="2"/>
  <c r="CR114" i="2"/>
  <c r="BL114" i="2"/>
  <c r="AF114" i="2"/>
  <c r="DM113" i="2"/>
  <c r="CG113" i="2"/>
  <c r="BA113" i="2"/>
  <c r="U113" i="2"/>
  <c r="DG112" i="2"/>
  <c r="CA112" i="2"/>
  <c r="AU112" i="2"/>
  <c r="O112" i="2"/>
  <c r="CU111" i="2"/>
  <c r="BO111" i="2"/>
  <c r="AI111" i="2"/>
  <c r="DP110" i="2"/>
  <c r="CJ110" i="2"/>
  <c r="BD110" i="2"/>
  <c r="X110" i="2"/>
  <c r="DE109" i="2"/>
  <c r="BY109" i="2"/>
  <c r="AS109" i="2"/>
  <c r="M109" i="2"/>
  <c r="CY108" i="2"/>
  <c r="BS108" i="2"/>
  <c r="AM108" i="2"/>
  <c r="G108" i="2"/>
  <c r="CM107" i="2"/>
  <c r="BG107" i="2"/>
  <c r="AA107" i="2"/>
  <c r="DH106" i="2"/>
  <c r="CB106" i="2"/>
  <c r="AV106" i="2"/>
  <c r="P106" i="2"/>
  <c r="CW105" i="2"/>
  <c r="BQ105" i="2"/>
  <c r="AK105" i="2"/>
  <c r="E105" i="2"/>
  <c r="CQ104" i="2"/>
  <c r="BK104" i="2"/>
  <c r="AE104" i="2"/>
  <c r="DK103" i="2"/>
  <c r="CE103" i="2"/>
  <c r="AY103" i="2"/>
  <c r="S103" i="2"/>
  <c r="CZ102" i="2"/>
  <c r="BT102" i="2"/>
  <c r="AN102" i="2"/>
  <c r="H102" i="2"/>
  <c r="CO101" i="2"/>
  <c r="BI101" i="2"/>
  <c r="AC101" i="2"/>
  <c r="DO100" i="2"/>
  <c r="CI100" i="2"/>
  <c r="BC100" i="2"/>
  <c r="W100" i="2"/>
  <c r="DC99" i="2"/>
  <c r="BW99" i="2"/>
  <c r="AQ99" i="2"/>
  <c r="S99" i="2"/>
  <c r="DP98" i="2"/>
  <c r="CZ98" i="2"/>
  <c r="CJ98" i="2"/>
  <c r="AF98" i="2"/>
  <c r="CG97" i="2"/>
  <c r="U97" i="2"/>
  <c r="CH96" i="2"/>
  <c r="V96" i="2"/>
  <c r="CI95" i="2"/>
  <c r="W95" i="2"/>
  <c r="CJ94" i="2"/>
  <c r="X94" i="2"/>
  <c r="BY93" i="2"/>
  <c r="M93" i="2"/>
  <c r="BJ92" i="2"/>
  <c r="DG91" i="2"/>
  <c r="AU91" i="2"/>
  <c r="CR90" i="2"/>
  <c r="AJ90" i="2"/>
  <c r="Q90" i="2"/>
  <c r="DN89" i="2"/>
  <c r="CX89" i="2"/>
  <c r="CH89" i="2"/>
  <c r="BR89" i="2"/>
  <c r="BB89" i="2"/>
  <c r="AL89" i="2"/>
  <c r="V89" i="2"/>
  <c r="F89" i="2"/>
  <c r="DC88" i="2"/>
  <c r="CM88" i="2"/>
  <c r="BW88" i="2"/>
  <c r="BG88" i="2"/>
  <c r="AQ88" i="2"/>
  <c r="AA88" i="2"/>
  <c r="K88" i="2"/>
  <c r="DH87" i="2"/>
  <c r="CR87" i="2"/>
  <c r="CB87" i="2"/>
  <c r="BL87" i="2"/>
  <c r="AV87" i="2"/>
  <c r="AF87" i="2"/>
  <c r="P87" i="2"/>
  <c r="DQ86" i="2"/>
  <c r="DA86" i="2"/>
  <c r="CK86" i="2"/>
  <c r="BU86" i="2"/>
  <c r="BE86" i="2"/>
  <c r="AO86" i="2"/>
  <c r="Y86" i="2"/>
  <c r="I86" i="2"/>
  <c r="DF85" i="2"/>
  <c r="CP85" i="2"/>
  <c r="BZ85" i="2"/>
  <c r="BJ85" i="2"/>
  <c r="AT85" i="2"/>
  <c r="AD85" i="2"/>
  <c r="N85" i="2"/>
  <c r="DK84" i="2"/>
  <c r="CU84" i="2"/>
  <c r="CE84" i="2"/>
  <c r="BO84" i="2"/>
  <c r="AY84" i="2"/>
  <c r="AI84" i="2"/>
  <c r="S84" i="2"/>
  <c r="DP83" i="2"/>
  <c r="CZ83" i="2"/>
  <c r="CJ83" i="2"/>
  <c r="BT83" i="2"/>
  <c r="BD83" i="2"/>
  <c r="AN83" i="2"/>
  <c r="X83" i="2"/>
  <c r="H83" i="2"/>
  <c r="DI82" i="2"/>
  <c r="CS82" i="2"/>
  <c r="CC82" i="2"/>
  <c r="BM82" i="2"/>
  <c r="AW82" i="2"/>
  <c r="AG82" i="2"/>
  <c r="Q82" i="2"/>
  <c r="DN81" i="2"/>
  <c r="CX81" i="2"/>
  <c r="CH81" i="2"/>
  <c r="BR81" i="2"/>
  <c r="BB81" i="2"/>
  <c r="AL81" i="2"/>
  <c r="V81" i="2"/>
  <c r="F81" i="2"/>
  <c r="DC80" i="2"/>
  <c r="CM80" i="2"/>
  <c r="BW80" i="2"/>
  <c r="BG80" i="2"/>
  <c r="AQ80" i="2"/>
  <c r="AA80" i="2"/>
  <c r="K80" i="2"/>
  <c r="DH79" i="2"/>
  <c r="CR79" i="2"/>
  <c r="CB79" i="2"/>
  <c r="BL79" i="2"/>
  <c r="AV79" i="2"/>
  <c r="AF79" i="2"/>
  <c r="P79" i="2"/>
  <c r="DQ78" i="2"/>
  <c r="DA78" i="2"/>
  <c r="CK78" i="2"/>
  <c r="BU78" i="2"/>
  <c r="BE78" i="2"/>
  <c r="AO78" i="2"/>
  <c r="Y78" i="2"/>
  <c r="I78" i="2"/>
  <c r="DF77" i="2"/>
  <c r="CP77" i="2"/>
  <c r="BZ77" i="2"/>
  <c r="BJ77" i="2"/>
  <c r="AT77" i="2"/>
  <c r="AD77" i="2"/>
  <c r="N77" i="2"/>
  <c r="DK76" i="2"/>
  <c r="CU76" i="2"/>
  <c r="CE76" i="2"/>
  <c r="BO76" i="2"/>
  <c r="AY76" i="2"/>
  <c r="AI76" i="2"/>
  <c r="S76" i="2"/>
  <c r="DP75" i="2"/>
  <c r="CZ75" i="2"/>
  <c r="CJ75" i="2"/>
  <c r="BT75" i="2"/>
  <c r="BD75" i="2"/>
  <c r="AN75" i="2"/>
  <c r="X75" i="2"/>
  <c r="H75" i="2"/>
  <c r="DI74" i="2"/>
  <c r="CS74" i="2"/>
  <c r="CC74" i="2"/>
  <c r="BM74" i="2"/>
  <c r="AW74" i="2"/>
  <c r="AG74" i="2"/>
  <c r="Q74" i="2"/>
  <c r="DN73" i="2"/>
  <c r="CX73" i="2"/>
  <c r="CH73" i="2"/>
  <c r="BR73" i="2"/>
  <c r="BB73" i="2"/>
  <c r="AL73" i="2"/>
  <c r="V73" i="2"/>
  <c r="F73" i="2"/>
  <c r="DC72" i="2"/>
  <c r="CM72" i="2"/>
  <c r="BW72" i="2"/>
  <c r="BG72" i="2"/>
  <c r="AQ72" i="2"/>
  <c r="AA72" i="2"/>
  <c r="K72" i="2"/>
  <c r="DH71" i="2"/>
  <c r="CR71" i="2"/>
  <c r="CB71" i="2"/>
  <c r="BL71" i="2"/>
  <c r="AV71" i="2"/>
  <c r="AF71" i="2"/>
  <c r="P71" i="2"/>
  <c r="DQ70" i="2"/>
  <c r="DA70" i="2"/>
  <c r="CK70" i="2"/>
  <c r="BU70" i="2"/>
  <c r="BE70" i="2"/>
  <c r="AO70" i="2"/>
  <c r="Y70" i="2"/>
  <c r="I70" i="2"/>
  <c r="DF69" i="2"/>
  <c r="CP69" i="2"/>
  <c r="BZ69" i="2"/>
  <c r="BJ69" i="2"/>
  <c r="AT69" i="2"/>
  <c r="AD69" i="2"/>
  <c r="N69" i="2"/>
  <c r="DK68" i="2"/>
  <c r="CU68" i="2"/>
  <c r="CE68" i="2"/>
  <c r="BO68" i="2"/>
  <c r="AY68" i="2"/>
  <c r="AI68" i="2"/>
  <c r="S68" i="2"/>
  <c r="DP67" i="2"/>
  <c r="CZ67" i="2"/>
  <c r="CJ67" i="2"/>
  <c r="BT67" i="2"/>
  <c r="BD67" i="2"/>
  <c r="AN67" i="2"/>
  <c r="X67" i="2"/>
  <c r="H67" i="2"/>
  <c r="DI66" i="2"/>
  <c r="CS66" i="2"/>
  <c r="CC66" i="2"/>
  <c r="BM66" i="2"/>
  <c r="AW66" i="2"/>
  <c r="AG66" i="2"/>
  <c r="Q66" i="2"/>
  <c r="DN65" i="2"/>
  <c r="CX65" i="2"/>
  <c r="CH65" i="2"/>
  <c r="BR65" i="2"/>
  <c r="BB65" i="2"/>
  <c r="AL65" i="2"/>
  <c r="V65" i="2"/>
  <c r="F65" i="2"/>
  <c r="DC64" i="2"/>
  <c r="CM64" i="2"/>
  <c r="BW64" i="2"/>
  <c r="BG64" i="2"/>
  <c r="AQ64" i="2"/>
  <c r="AA64" i="2"/>
  <c r="K64" i="2"/>
  <c r="DH63" i="2"/>
  <c r="CR63" i="2"/>
  <c r="CB63" i="2"/>
  <c r="BL63" i="2"/>
  <c r="AV63" i="2"/>
  <c r="AF63" i="2"/>
  <c r="P63" i="2"/>
  <c r="DQ62" i="2"/>
  <c r="DA62" i="2"/>
  <c r="CK62" i="2"/>
  <c r="BU62" i="2"/>
  <c r="BE62" i="2"/>
  <c r="AO62" i="2"/>
  <c r="Y62" i="2"/>
  <c r="I62" i="2"/>
  <c r="DF61" i="2"/>
  <c r="CP61" i="2"/>
  <c r="BZ61" i="2"/>
  <c r="BJ61" i="2"/>
  <c r="AT61" i="2"/>
  <c r="AD61" i="2"/>
  <c r="N61" i="2"/>
  <c r="DK60" i="2"/>
  <c r="CU60" i="2"/>
  <c r="CE60" i="2"/>
  <c r="BO60" i="2"/>
  <c r="AY60" i="2"/>
  <c r="AI60" i="2"/>
  <c r="S60" i="2"/>
  <c r="DP59" i="2"/>
  <c r="CZ59" i="2"/>
  <c r="CJ59" i="2"/>
  <c r="BT59" i="2"/>
  <c r="BD59" i="2"/>
  <c r="AN59" i="2"/>
  <c r="X59" i="2"/>
  <c r="H59" i="2"/>
  <c r="DI58" i="2"/>
  <c r="CS58" i="2"/>
  <c r="CC58" i="2"/>
  <c r="BM58" i="2"/>
  <c r="AW58" i="2"/>
  <c r="AG58" i="2"/>
  <c r="Q58" i="2"/>
  <c r="DN57" i="2"/>
  <c r="CX57" i="2"/>
  <c r="CH57" i="2"/>
  <c r="BR57" i="2"/>
  <c r="BB57" i="2"/>
  <c r="AL57" i="2"/>
  <c r="V57" i="2"/>
  <c r="F57" i="2"/>
  <c r="DC56" i="2"/>
  <c r="CM56" i="2"/>
  <c r="BW56" i="2"/>
  <c r="BG56" i="2"/>
  <c r="AQ56" i="2"/>
  <c r="AA56" i="2"/>
  <c r="K56" i="2"/>
  <c r="DH55" i="2"/>
  <c r="CR55" i="2"/>
  <c r="CB55" i="2"/>
  <c r="BL55" i="2"/>
  <c r="AV55" i="2"/>
  <c r="AF55" i="2"/>
  <c r="P55" i="2"/>
  <c r="DQ54" i="2"/>
  <c r="DA54" i="2"/>
  <c r="CK54" i="2"/>
  <c r="BU54" i="2"/>
  <c r="BE54" i="2"/>
  <c r="AO54" i="2"/>
  <c r="Y54" i="2"/>
  <c r="I54" i="2"/>
  <c r="DF53" i="2"/>
  <c r="CP53" i="2"/>
  <c r="BZ53" i="2"/>
  <c r="BJ53" i="2"/>
  <c r="AT53" i="2"/>
  <c r="AD53" i="2"/>
  <c r="N53" i="2"/>
  <c r="DK52" i="2"/>
  <c r="CU52" i="2"/>
  <c r="CE52" i="2"/>
  <c r="BO52" i="2"/>
  <c r="AY52" i="2"/>
  <c r="AI52" i="2"/>
  <c r="S52" i="2"/>
  <c r="DP51" i="2"/>
  <c r="CZ51" i="2"/>
  <c r="CJ51" i="2"/>
  <c r="BT51" i="2"/>
  <c r="BD51" i="2"/>
  <c r="AN51" i="2"/>
  <c r="X51" i="2"/>
  <c r="H51" i="2"/>
  <c r="DI50" i="2"/>
  <c r="CS50" i="2"/>
  <c r="CC50" i="2"/>
  <c r="BM50" i="2"/>
  <c r="AW50" i="2"/>
  <c r="AG50" i="2"/>
  <c r="Q50" i="2"/>
  <c r="DN49" i="2"/>
  <c r="CX49" i="2"/>
  <c r="CH49" i="2"/>
  <c r="BR49" i="2"/>
  <c r="BB49" i="2"/>
  <c r="AL49" i="2"/>
  <c r="V49" i="2"/>
  <c r="F49" i="2"/>
  <c r="DC48" i="2"/>
  <c r="CM48" i="2"/>
  <c r="BW48" i="2"/>
  <c r="BG48" i="2"/>
  <c r="AQ48" i="2"/>
  <c r="AA48" i="2"/>
  <c r="K48" i="2"/>
  <c r="DH47" i="2"/>
  <c r="CR47" i="2"/>
  <c r="CB47" i="2"/>
  <c r="BL47" i="2"/>
  <c r="AV47" i="2"/>
  <c r="AF47" i="2"/>
  <c r="P47" i="2"/>
  <c r="DQ46" i="2"/>
  <c r="DA46" i="2"/>
  <c r="CK46" i="2"/>
  <c r="BU46" i="2"/>
  <c r="BE46" i="2"/>
  <c r="AO46" i="2"/>
  <c r="Y46" i="2"/>
  <c r="I46" i="2"/>
  <c r="DF45" i="2"/>
  <c r="CP45" i="2"/>
  <c r="BZ45" i="2"/>
  <c r="BJ45" i="2"/>
  <c r="AT45" i="2"/>
  <c r="AD45" i="2"/>
  <c r="N45" i="2"/>
  <c r="DK44" i="2"/>
  <c r="CU44" i="2"/>
  <c r="CE44" i="2"/>
  <c r="BO44" i="2"/>
  <c r="AY44" i="2"/>
  <c r="BZ134" i="2"/>
  <c r="AH102" i="2"/>
  <c r="X119" i="2"/>
  <c r="DB101" i="2"/>
  <c r="CQ94" i="2"/>
  <c r="AE135" i="2"/>
  <c r="AR130" i="2"/>
  <c r="D126" i="2"/>
  <c r="CK121" i="2"/>
  <c r="AW117" i="2"/>
  <c r="I113" i="2"/>
  <c r="CE108" i="2"/>
  <c r="AQ104" i="2"/>
  <c r="DO99" i="2"/>
  <c r="AY97" i="2"/>
  <c r="AG95" i="2"/>
  <c r="AI93" i="2"/>
  <c r="X92" i="2"/>
  <c r="Q91" i="2"/>
  <c r="CT136" i="2"/>
  <c r="CF135" i="2"/>
  <c r="CC134" i="2"/>
  <c r="BR133" i="2"/>
  <c r="BF132" i="2"/>
  <c r="AR131" i="2"/>
  <c r="AO130" i="2"/>
  <c r="AD129" i="2"/>
  <c r="R128" i="2"/>
  <c r="D127" i="2"/>
  <c r="DN125" i="2"/>
  <c r="DB124" i="2"/>
  <c r="CN123" i="2"/>
  <c r="CK122" i="2"/>
  <c r="BZ121" i="2"/>
  <c r="BN120" i="2"/>
  <c r="AZ119" i="2"/>
  <c r="AW118" i="2"/>
  <c r="AL117" i="2"/>
  <c r="Z116" i="2"/>
  <c r="L115" i="2"/>
  <c r="I114" i="2"/>
  <c r="DJ112" i="2"/>
  <c r="CV111" i="2"/>
  <c r="CS110" i="2"/>
  <c r="CH109" i="2"/>
  <c r="BV108" i="2"/>
  <c r="BH107" i="2"/>
  <c r="BE106" i="2"/>
  <c r="AT105" i="2"/>
  <c r="AH104" i="2"/>
  <c r="T103" i="2"/>
  <c r="Q102" i="2"/>
  <c r="F101" i="2"/>
  <c r="R100" i="2"/>
  <c r="AR99" i="2"/>
  <c r="DI98" i="2"/>
  <c r="BU98" i="2"/>
  <c r="AC98" i="2"/>
  <c r="CX97" i="2"/>
  <c r="BJ97" i="2"/>
  <c r="R97" i="2"/>
  <c r="CM96" i="2"/>
  <c r="AY96" i="2"/>
  <c r="G96" i="2"/>
  <c r="CB95" i="2"/>
  <c r="AN95" i="2"/>
  <c r="DM94" i="2"/>
  <c r="CS94" i="2"/>
  <c r="BU94" i="2"/>
  <c r="BA94" i="2"/>
  <c r="AG94" i="2"/>
  <c r="I94" i="2"/>
  <c r="DB93" i="2"/>
  <c r="CH93" i="2"/>
  <c r="BJ93" i="2"/>
  <c r="AP93" i="2"/>
  <c r="V93" i="2"/>
  <c r="DK92" i="2"/>
  <c r="CQ92" i="2"/>
  <c r="BW92" i="2"/>
  <c r="AY92" i="2"/>
  <c r="AE92" i="2"/>
  <c r="K92" i="2"/>
  <c r="CZ91" i="2"/>
  <c r="CF91" i="2"/>
  <c r="BL91" i="2"/>
  <c r="AN91" i="2"/>
  <c r="T91" i="2"/>
  <c r="DQ90" i="2"/>
  <c r="CS90" i="2"/>
  <c r="BY90" i="2"/>
  <c r="BE90" i="2"/>
  <c r="DG136" i="2"/>
  <c r="BS136" i="2"/>
  <c r="AE136" i="2"/>
  <c r="CU135" i="2"/>
  <c r="BG135" i="2"/>
  <c r="S135" i="2"/>
  <c r="CJ134" i="2"/>
  <c r="AV134" i="2"/>
  <c r="H134" i="2"/>
  <c r="BY133" i="2"/>
  <c r="AK133" i="2"/>
  <c r="DO132" i="2"/>
  <c r="BS132" i="2"/>
  <c r="AE132" i="2"/>
  <c r="DC131" i="2"/>
  <c r="BG131" i="2"/>
  <c r="S131" i="2"/>
  <c r="CR130" i="2"/>
  <c r="AV130" i="2"/>
  <c r="H130" i="2"/>
  <c r="CG129" i="2"/>
  <c r="AK129" i="2"/>
  <c r="DO128" i="2"/>
  <c r="CA128" i="2"/>
  <c r="AE128" i="2"/>
  <c r="DC127" i="2"/>
  <c r="BO127" i="2"/>
  <c r="S127" i="2"/>
  <c r="CR126" i="2"/>
  <c r="BD126" i="2"/>
  <c r="P126" i="2"/>
  <c r="CW125" i="2"/>
  <c r="BQ125" i="2"/>
  <c r="AK125" i="2"/>
  <c r="E125" i="2"/>
  <c r="CQ124" i="2"/>
  <c r="BK124" i="2"/>
  <c r="AE124" i="2"/>
  <c r="DK123" i="2"/>
  <c r="CE123" i="2"/>
  <c r="AY123" i="2"/>
  <c r="S123" i="2"/>
  <c r="CZ122" i="2"/>
  <c r="BT122" i="2"/>
  <c r="AN122" i="2"/>
  <c r="H122" i="2"/>
  <c r="CO121" i="2"/>
  <c r="BI121" i="2"/>
  <c r="AC121" i="2"/>
  <c r="DO120" i="2"/>
  <c r="CI120" i="2"/>
  <c r="BC120" i="2"/>
  <c r="W120" i="2"/>
  <c r="DC119" i="2"/>
  <c r="BW119" i="2"/>
  <c r="AQ119" i="2"/>
  <c r="K119" i="2"/>
  <c r="CR118" i="2"/>
  <c r="BL118" i="2"/>
  <c r="AF118" i="2"/>
  <c r="DM117" i="2"/>
  <c r="CG117" i="2"/>
  <c r="BA117" i="2"/>
  <c r="U117" i="2"/>
  <c r="DG116" i="2"/>
  <c r="CA116" i="2"/>
  <c r="AU116" i="2"/>
  <c r="O116" i="2"/>
  <c r="CU115" i="2"/>
  <c r="BO115" i="2"/>
  <c r="AI115" i="2"/>
  <c r="DP114" i="2"/>
  <c r="CJ114" i="2"/>
  <c r="BD114" i="2"/>
  <c r="X114" i="2"/>
  <c r="DE113" i="2"/>
  <c r="BY113" i="2"/>
  <c r="AS113" i="2"/>
  <c r="M113" i="2"/>
  <c r="CY112" i="2"/>
  <c r="BS112" i="2"/>
  <c r="AM112" i="2"/>
  <c r="G112" i="2"/>
  <c r="CM111" i="2"/>
  <c r="BG111" i="2"/>
  <c r="AA111" i="2"/>
  <c r="DH110" i="2"/>
  <c r="CB110" i="2"/>
  <c r="AV110" i="2"/>
  <c r="P110" i="2"/>
  <c r="CW109" i="2"/>
  <c r="BQ109" i="2"/>
  <c r="AK109" i="2"/>
  <c r="E109" i="2"/>
  <c r="CQ108" i="2"/>
  <c r="BK108" i="2"/>
  <c r="AE108" i="2"/>
  <c r="DK107" i="2"/>
  <c r="CE107" i="2"/>
  <c r="AY107" i="2"/>
  <c r="S107" i="2"/>
  <c r="CZ106" i="2"/>
  <c r="BT106" i="2"/>
  <c r="AN106" i="2"/>
  <c r="H106" i="2"/>
  <c r="CO105" i="2"/>
  <c r="BI105" i="2"/>
  <c r="AC105" i="2"/>
  <c r="DO104" i="2"/>
  <c r="CI104" i="2"/>
  <c r="BC104" i="2"/>
  <c r="W104" i="2"/>
  <c r="DC103" i="2"/>
  <c r="BW103" i="2"/>
  <c r="AQ103" i="2"/>
  <c r="K103" i="2"/>
  <c r="CR102" i="2"/>
  <c r="BL102" i="2"/>
  <c r="AF102" i="2"/>
  <c r="DM101" i="2"/>
  <c r="CG101" i="2"/>
  <c r="BA101" i="2"/>
  <c r="U101" i="2"/>
  <c r="DG100" i="2"/>
  <c r="CA100" i="2"/>
  <c r="AU100" i="2"/>
  <c r="O100" i="2"/>
  <c r="CU99" i="2"/>
  <c r="BO99" i="2"/>
  <c r="AI99" i="2"/>
  <c r="O99" i="2"/>
  <c r="DL98" i="2"/>
  <c r="CV98" i="2"/>
  <c r="CB98" i="2"/>
  <c r="P98" i="2"/>
  <c r="BQ97" i="2"/>
  <c r="E97" i="2"/>
  <c r="BR96" i="2"/>
  <c r="F96" i="2"/>
  <c r="BS95" i="2"/>
  <c r="G95" i="2"/>
  <c r="BT94" i="2"/>
  <c r="H94" i="2"/>
  <c r="BI93" i="2"/>
  <c r="CE117" i="2"/>
  <c r="BJ136" i="2"/>
  <c r="AX113" i="2"/>
  <c r="R99" i="2"/>
  <c r="AN93" i="2"/>
  <c r="CC133" i="2"/>
  <c r="AO129" i="2"/>
  <c r="DK124" i="2"/>
  <c r="BW120" i="2"/>
  <c r="AI116" i="2"/>
  <c r="DG111" i="2"/>
  <c r="BS107" i="2"/>
  <c r="AE103" i="2"/>
  <c r="I99" i="2"/>
  <c r="CZ96" i="2"/>
  <c r="CH94" i="2"/>
  <c r="DP92" i="2"/>
  <c r="DI91" i="2"/>
  <c r="CX90" i="2"/>
  <c r="BN136" i="2"/>
  <c r="AZ135" i="2"/>
  <c r="AW134" i="2"/>
  <c r="AL133" i="2"/>
  <c r="Z132" i="2"/>
  <c r="L131" i="2"/>
  <c r="I130" i="2"/>
  <c r="DJ128" i="2"/>
  <c r="CV127" i="2"/>
  <c r="CS126" i="2"/>
  <c r="CH125" i="2"/>
  <c r="BV124" i="2"/>
  <c r="BH123" i="2"/>
  <c r="BE122" i="2"/>
  <c r="AT121" i="2"/>
  <c r="AH120" i="2"/>
  <c r="T119" i="2"/>
  <c r="Q118" i="2"/>
  <c r="F117" i="2"/>
  <c r="DD115" i="2"/>
  <c r="DA114" i="2"/>
  <c r="CP113" i="2"/>
  <c r="CD112" i="2"/>
  <c r="BP111" i="2"/>
  <c r="BM110" i="2"/>
  <c r="BB109" i="2"/>
  <c r="AP108" i="2"/>
  <c r="AB107" i="2"/>
  <c r="Y106" i="2"/>
  <c r="N105" i="2"/>
  <c r="DL103" i="2"/>
  <c r="DI102" i="2"/>
  <c r="CX101" i="2"/>
  <c r="CL100" i="2"/>
  <c r="DD99" i="2"/>
  <c r="X99" i="2"/>
  <c r="DA98" i="2"/>
  <c r="BI98" i="2"/>
  <c r="Q98" i="2"/>
  <c r="CP97" i="2"/>
  <c r="AX97" i="2"/>
  <c r="F97" i="2"/>
  <c r="CE96" i="2"/>
  <c r="AM96" i="2"/>
  <c r="DH95" i="2"/>
  <c r="BT95" i="2"/>
  <c r="AB95" i="2"/>
  <c r="DI94" i="2"/>
  <c r="CK94" i="2"/>
  <c r="BQ94" i="2"/>
  <c r="AW94" i="2"/>
  <c r="Y94" i="2"/>
  <c r="E94" i="2"/>
  <c r="CX93" i="2"/>
  <c r="BZ93" i="2"/>
  <c r="BF93" i="2"/>
  <c r="AL93" i="2"/>
  <c r="N93" i="2"/>
  <c r="DG92" i="2"/>
  <c r="CM92" i="2"/>
  <c r="BO92" i="2"/>
  <c r="AU92" i="2"/>
  <c r="AA92" i="2"/>
  <c r="DP91" i="2"/>
  <c r="CV91" i="2"/>
  <c r="CB91" i="2"/>
  <c r="BD91" i="2"/>
  <c r="AJ91" i="2"/>
  <c r="P91" i="2"/>
  <c r="DI90" i="2"/>
  <c r="CO90" i="2"/>
  <c r="BU90" i="2"/>
  <c r="AW90" i="2"/>
  <c r="CY136" i="2"/>
  <c r="BK136" i="2"/>
  <c r="O136" i="2"/>
  <c r="CM135" i="2"/>
  <c r="AY135" i="2"/>
  <c r="DP134" i="2"/>
  <c r="CB134" i="2"/>
  <c r="AN134" i="2"/>
  <c r="DE133" i="2"/>
  <c r="BQ133" i="2"/>
  <c r="AC133" i="2"/>
  <c r="CY132" i="2"/>
  <c r="BK132" i="2"/>
  <c r="W132" i="2"/>
  <c r="CM131" i="2"/>
  <c r="AY131" i="2"/>
  <c r="K131" i="2"/>
  <c r="CB130" i="2"/>
  <c r="AN130" i="2"/>
  <c r="DM129" i="2"/>
  <c r="BQ129" i="2"/>
  <c r="AC129" i="2"/>
  <c r="DG128" i="2"/>
  <c r="BK128" i="2"/>
  <c r="W128" i="2"/>
  <c r="CU127" i="2"/>
  <c r="AY127" i="2"/>
  <c r="K127" i="2"/>
  <c r="CJ126" i="2"/>
  <c r="AN126" i="2"/>
  <c r="H126" i="2"/>
  <c r="CO125" i="2"/>
  <c r="BI125" i="2"/>
  <c r="AC125" i="2"/>
  <c r="DO124" i="2"/>
  <c r="CI124" i="2"/>
  <c r="BC124" i="2"/>
  <c r="W124" i="2"/>
  <c r="DC123" i="2"/>
  <c r="BW123" i="2"/>
  <c r="AQ123" i="2"/>
  <c r="K123" i="2"/>
  <c r="CR122" i="2"/>
  <c r="BL122" i="2"/>
  <c r="AF122" i="2"/>
  <c r="DM121" i="2"/>
  <c r="CG121" i="2"/>
  <c r="BA121" i="2"/>
  <c r="U121" i="2"/>
  <c r="DG120" i="2"/>
  <c r="CA120" i="2"/>
  <c r="AU120" i="2"/>
  <c r="O120" i="2"/>
  <c r="CU119" i="2"/>
  <c r="BO119" i="2"/>
  <c r="AI119" i="2"/>
  <c r="DP118" i="2"/>
  <c r="CJ118" i="2"/>
  <c r="BD118" i="2"/>
  <c r="X118" i="2"/>
  <c r="DE117" i="2"/>
  <c r="BY117" i="2"/>
  <c r="AS117" i="2"/>
  <c r="M117" i="2"/>
  <c r="CY116" i="2"/>
  <c r="BS116" i="2"/>
  <c r="AM116" i="2"/>
  <c r="G116" i="2"/>
  <c r="CM115" i="2"/>
  <c r="BG115" i="2"/>
  <c r="AA115" i="2"/>
  <c r="DH114" i="2"/>
  <c r="CB114" i="2"/>
  <c r="AV114" i="2"/>
  <c r="P114" i="2"/>
  <c r="CW113" i="2"/>
  <c r="BQ113" i="2"/>
  <c r="AK113" i="2"/>
  <c r="E113" i="2"/>
  <c r="CQ112" i="2"/>
  <c r="BK112" i="2"/>
  <c r="AE112" i="2"/>
  <c r="DK111" i="2"/>
  <c r="CE111" i="2"/>
  <c r="AY111" i="2"/>
  <c r="S111" i="2"/>
  <c r="CZ110" i="2"/>
  <c r="BT110" i="2"/>
  <c r="AN110" i="2"/>
  <c r="H110" i="2"/>
  <c r="CO109" i="2"/>
  <c r="BI109" i="2"/>
  <c r="AC109" i="2"/>
  <c r="DO108" i="2"/>
  <c r="CI108" i="2"/>
  <c r="BC108" i="2"/>
  <c r="W108" i="2"/>
  <c r="DC107" i="2"/>
  <c r="BW107" i="2"/>
  <c r="AQ107" i="2"/>
  <c r="K107" i="2"/>
  <c r="CR106" i="2"/>
  <c r="BL106" i="2"/>
  <c r="AF106" i="2"/>
  <c r="DM105" i="2"/>
  <c r="CG105" i="2"/>
  <c r="BA105" i="2"/>
  <c r="U105" i="2"/>
  <c r="DG104" i="2"/>
  <c r="CA104" i="2"/>
  <c r="AU104" i="2"/>
  <c r="O104" i="2"/>
  <c r="CU103" i="2"/>
  <c r="BO103" i="2"/>
  <c r="AI103" i="2"/>
  <c r="DP102" i="2"/>
  <c r="CJ102" i="2"/>
  <c r="BD102" i="2"/>
  <c r="X102" i="2"/>
  <c r="DE101" i="2"/>
  <c r="BY101" i="2"/>
  <c r="AS101" i="2"/>
  <c r="M101" i="2"/>
  <c r="CY100" i="2"/>
  <c r="BS100" i="2"/>
  <c r="AM100" i="2"/>
  <c r="G100" i="2"/>
  <c r="CM99" i="2"/>
  <c r="BG99" i="2"/>
  <c r="AB99" i="2"/>
  <c r="K99" i="2"/>
  <c r="DH98" i="2"/>
  <c r="CR98" i="2"/>
  <c r="BL98" i="2"/>
  <c r="DM97" i="2"/>
  <c r="BA97" i="2"/>
  <c r="DN96" i="2"/>
  <c r="BB96" i="2"/>
  <c r="DO95" i="2"/>
  <c r="BC95" i="2"/>
  <c r="DP94" i="2"/>
  <c r="BD94" i="2"/>
  <c r="DE93" i="2"/>
  <c r="AS93" i="2"/>
  <c r="CP92" i="2"/>
  <c r="AD92" i="2"/>
  <c r="CA91" i="2"/>
  <c r="O91" i="2"/>
  <c r="BL90" i="2"/>
  <c r="Y90" i="2"/>
  <c r="I90" i="2"/>
  <c r="DF89" i="2"/>
  <c r="CP89" i="2"/>
  <c r="BZ89" i="2"/>
  <c r="BJ89" i="2"/>
  <c r="AT89" i="2"/>
  <c r="AD89" i="2"/>
  <c r="N89" i="2"/>
  <c r="DK88" i="2"/>
  <c r="CU88" i="2"/>
  <c r="CE88" i="2"/>
  <c r="BO88" i="2"/>
  <c r="AY88" i="2"/>
  <c r="AI88" i="2"/>
  <c r="S88" i="2"/>
  <c r="DP87" i="2"/>
  <c r="CZ87" i="2"/>
  <c r="CJ87" i="2"/>
  <c r="BT87" i="2"/>
  <c r="BD87" i="2"/>
  <c r="AN87" i="2"/>
  <c r="X87" i="2"/>
  <c r="H87" i="2"/>
  <c r="DI86" i="2"/>
  <c r="CS86" i="2"/>
  <c r="CC86" i="2"/>
  <c r="BM86" i="2"/>
  <c r="AW86" i="2"/>
  <c r="AG86" i="2"/>
  <c r="Q86" i="2"/>
  <c r="DN85" i="2"/>
  <c r="CX85" i="2"/>
  <c r="CH85" i="2"/>
  <c r="BR85" i="2"/>
  <c r="BB85" i="2"/>
  <c r="AL85" i="2"/>
  <c r="V85" i="2"/>
  <c r="F85" i="2"/>
  <c r="DC84" i="2"/>
  <c r="CM84" i="2"/>
  <c r="BW84" i="2"/>
  <c r="BG84" i="2"/>
  <c r="AQ84" i="2"/>
  <c r="AA84" i="2"/>
  <c r="K84" i="2"/>
  <c r="DH83" i="2"/>
  <c r="CR83" i="2"/>
  <c r="CB83" i="2"/>
  <c r="BL83" i="2"/>
  <c r="AV83" i="2"/>
  <c r="AF83" i="2"/>
  <c r="P83" i="2"/>
  <c r="DQ82" i="2"/>
  <c r="DA82" i="2"/>
  <c r="CK82" i="2"/>
  <c r="BU82" i="2"/>
  <c r="BE82" i="2"/>
  <c r="AO82" i="2"/>
  <c r="Y82" i="2"/>
  <c r="I82" i="2"/>
  <c r="DF81" i="2"/>
  <c r="CP81" i="2"/>
  <c r="BZ81" i="2"/>
  <c r="BJ81" i="2"/>
  <c r="AT81" i="2"/>
  <c r="AD81" i="2"/>
  <c r="N81" i="2"/>
  <c r="DK80" i="2"/>
  <c r="CU80" i="2"/>
  <c r="CE80" i="2"/>
  <c r="BO80" i="2"/>
  <c r="AY80" i="2"/>
  <c r="AI80" i="2"/>
  <c r="S80" i="2"/>
  <c r="DP79" i="2"/>
  <c r="CZ79" i="2"/>
  <c r="CJ79" i="2"/>
  <c r="BT79" i="2"/>
  <c r="BD79" i="2"/>
  <c r="AN79" i="2"/>
  <c r="X79" i="2"/>
  <c r="H79" i="2"/>
  <c r="DI78" i="2"/>
  <c r="CS78" i="2"/>
  <c r="CC78" i="2"/>
  <c r="BM78" i="2"/>
  <c r="AW78" i="2"/>
  <c r="AG78" i="2"/>
  <c r="Q78" i="2"/>
  <c r="DN77" i="2"/>
  <c r="CX77" i="2"/>
  <c r="CH77" i="2"/>
  <c r="BR77" i="2"/>
  <c r="BB77" i="2"/>
  <c r="AL77" i="2"/>
  <c r="V77" i="2"/>
  <c r="F77" i="2"/>
  <c r="DC76" i="2"/>
  <c r="CM76" i="2"/>
  <c r="CB97" i="2"/>
  <c r="CY123" i="2"/>
  <c r="BH106" i="2"/>
  <c r="V94" i="2"/>
  <c r="AH136" i="2"/>
  <c r="DD131" i="2"/>
  <c r="BP127" i="2"/>
  <c r="AB123" i="2"/>
  <c r="DI118" i="2"/>
  <c r="BU114" i="2"/>
  <c r="AG110" i="2"/>
  <c r="DF105" i="2"/>
  <c r="BR101" i="2"/>
  <c r="CO98" i="2"/>
  <c r="AL97" i="2"/>
  <c r="CZ95" i="2"/>
  <c r="CG94" i="2"/>
  <c r="DN93" i="2"/>
  <c r="AD93" i="2"/>
  <c r="BK92" i="2"/>
  <c r="CR91" i="2"/>
  <c r="H91" i="2"/>
  <c r="AS90" i="2"/>
  <c r="CE135" i="2"/>
  <c r="X134" i="2"/>
  <c r="CQ132" i="2"/>
  <c r="AQ131" i="2"/>
  <c r="CW129" i="2"/>
  <c r="BC128" i="2"/>
  <c r="DP126" i="2"/>
  <c r="CG125" i="2"/>
  <c r="CA124" i="2"/>
  <c r="BO123" i="2"/>
  <c r="BD122" i="2"/>
  <c r="AS121" i="2"/>
  <c r="AM120" i="2"/>
  <c r="AA119" i="2"/>
  <c r="P118" i="2"/>
  <c r="E117" i="2"/>
  <c r="DK115" i="2"/>
  <c r="CZ114" i="2"/>
  <c r="CO113" i="2"/>
  <c r="CI112" i="2"/>
  <c r="BW111" i="2"/>
  <c r="BL110" i="2"/>
  <c r="BA109" i="2"/>
  <c r="AU108" i="2"/>
  <c r="AI107" i="2"/>
  <c r="X106" i="2"/>
  <c r="M105" i="2"/>
  <c r="G104" i="2"/>
  <c r="DH102" i="2"/>
  <c r="CW101" i="2"/>
  <c r="CQ100" i="2"/>
  <c r="CE99" i="2"/>
  <c r="DD98" i="2"/>
  <c r="AK97" i="2"/>
  <c r="AM95" i="2"/>
  <c r="AC93" i="2"/>
  <c r="N92" i="2"/>
  <c r="DH90" i="2"/>
  <c r="U90" i="2"/>
  <c r="DB89" i="2"/>
  <c r="BV89" i="2"/>
  <c r="AP89" i="2"/>
  <c r="J89" i="2"/>
  <c r="CQ88" i="2"/>
  <c r="BK88" i="2"/>
  <c r="AE88" i="2"/>
  <c r="DL87" i="2"/>
  <c r="CF87" i="2"/>
  <c r="AZ87" i="2"/>
  <c r="T87" i="2"/>
  <c r="DE86" i="2"/>
  <c r="BY86" i="2"/>
  <c r="AS86" i="2"/>
  <c r="M86" i="2"/>
  <c r="CT85" i="2"/>
  <c r="BN85" i="2"/>
  <c r="AH85" i="2"/>
  <c r="DO84" i="2"/>
  <c r="CI84" i="2"/>
  <c r="BC84" i="2"/>
  <c r="W84" i="2"/>
  <c r="DD83" i="2"/>
  <c r="BX83" i="2"/>
  <c r="AR83" i="2"/>
  <c r="L83" i="2"/>
  <c r="CW82" i="2"/>
  <c r="BQ82" i="2"/>
  <c r="AK82" i="2"/>
  <c r="E82" i="2"/>
  <c r="CL81" i="2"/>
  <c r="BF81" i="2"/>
  <c r="Z81" i="2"/>
  <c r="DG80" i="2"/>
  <c r="CA80" i="2"/>
  <c r="AU80" i="2"/>
  <c r="O80" i="2"/>
  <c r="CV79" i="2"/>
  <c r="BP79" i="2"/>
  <c r="AJ79" i="2"/>
  <c r="D79" i="2"/>
  <c r="CO78" i="2"/>
  <c r="BI78" i="2"/>
  <c r="AC78" i="2"/>
  <c r="DJ77" i="2"/>
  <c r="CD77" i="2"/>
  <c r="AX77" i="2"/>
  <c r="R77" i="2"/>
  <c r="CY76" i="2"/>
  <c r="BW76" i="2"/>
  <c r="BC76" i="2"/>
  <c r="AE76" i="2"/>
  <c r="K76" i="2"/>
  <c r="DD75" i="2"/>
  <c r="CF75" i="2"/>
  <c r="BL75" i="2"/>
  <c r="AR75" i="2"/>
  <c r="T75" i="2"/>
  <c r="DQ74" i="2"/>
  <c r="CW74" i="2"/>
  <c r="BY74" i="2"/>
  <c r="BE74" i="2"/>
  <c r="AK74" i="2"/>
  <c r="M74" i="2"/>
  <c r="DF73" i="2"/>
  <c r="CL73" i="2"/>
  <c r="BN73" i="2"/>
  <c r="AT73" i="2"/>
  <c r="Z73" i="2"/>
  <c r="DO72" i="2"/>
  <c r="CU72" i="2"/>
  <c r="CA72" i="2"/>
  <c r="BC72" i="2"/>
  <c r="AI72" i="2"/>
  <c r="O72" i="2"/>
  <c r="DD71" i="2"/>
  <c r="CJ71" i="2"/>
  <c r="BP71" i="2"/>
  <c r="AR71" i="2"/>
  <c r="X71" i="2"/>
  <c r="D71" i="2"/>
  <c r="CW70" i="2"/>
  <c r="CC70" i="2"/>
  <c r="BI70" i="2"/>
  <c r="AK70" i="2"/>
  <c r="Q70" i="2"/>
  <c r="DJ69" i="2"/>
  <c r="CL69" i="2"/>
  <c r="BR69" i="2"/>
  <c r="AX69" i="2"/>
  <c r="Z69" i="2"/>
  <c r="F69" i="2"/>
  <c r="CY68" i="2"/>
  <c r="CA68" i="2"/>
  <c r="BG68" i="2"/>
  <c r="AM68" i="2"/>
  <c r="O68" i="2"/>
  <c r="DH67" i="2"/>
  <c r="CN67" i="2"/>
  <c r="BP67" i="2"/>
  <c r="AV67" i="2"/>
  <c r="AB67" i="2"/>
  <c r="D67" i="2"/>
  <c r="DA66" i="2"/>
  <c r="CG66" i="2"/>
  <c r="BI66" i="2"/>
  <c r="AO66" i="2"/>
  <c r="U66" i="2"/>
  <c r="DJ65" i="2"/>
  <c r="CP65" i="2"/>
  <c r="BV65" i="2"/>
  <c r="AX65" i="2"/>
  <c r="AD65" i="2"/>
  <c r="J65" i="2"/>
  <c r="CY64" i="2"/>
  <c r="CE64" i="2"/>
  <c r="BK64" i="2"/>
  <c r="AM64" i="2"/>
  <c r="S64" i="2"/>
  <c r="DL63" i="2"/>
  <c r="CN63" i="2"/>
  <c r="BT63" i="2"/>
  <c r="AZ63" i="2"/>
  <c r="AB63" i="2"/>
  <c r="H63" i="2"/>
  <c r="DE62" i="2"/>
  <c r="CG62" i="2"/>
  <c r="BM62" i="2"/>
  <c r="AS62" i="2"/>
  <c r="U62" i="2"/>
  <c r="DN61" i="2"/>
  <c r="CT61" i="2"/>
  <c r="BV61" i="2"/>
  <c r="BB61" i="2"/>
  <c r="AH61" i="2"/>
  <c r="J61" i="2"/>
  <c r="DC60" i="2"/>
  <c r="CI60" i="2"/>
  <c r="BK60" i="2"/>
  <c r="AQ60" i="2"/>
  <c r="W60" i="2"/>
  <c r="DL59" i="2"/>
  <c r="CR59" i="2"/>
  <c r="BX59" i="2"/>
  <c r="AZ59" i="2"/>
  <c r="AF59" i="2"/>
  <c r="L59" i="2"/>
  <c r="DE58" i="2"/>
  <c r="CK58" i="2"/>
  <c r="BQ58" i="2"/>
  <c r="AS58" i="2"/>
  <c r="Y58" i="2"/>
  <c r="E58" i="2"/>
  <c r="CT57" i="2"/>
  <c r="BZ57" i="2"/>
  <c r="BF57" i="2"/>
  <c r="AH57" i="2"/>
  <c r="N57" i="2"/>
  <c r="DG56" i="2"/>
  <c r="CI56" i="2"/>
  <c r="BO56" i="2"/>
  <c r="AU56" i="2"/>
  <c r="W56" i="2"/>
  <c r="DP55" i="2"/>
  <c r="CV55" i="2"/>
  <c r="BX55" i="2"/>
  <c r="BD55" i="2"/>
  <c r="AJ55" i="2"/>
  <c r="L55" i="2"/>
  <c r="DI54" i="2"/>
  <c r="CO54" i="2"/>
  <c r="BQ54" i="2"/>
  <c r="AW54" i="2"/>
  <c r="AC54" i="2"/>
  <c r="E54" i="2"/>
  <c r="CX53" i="2"/>
  <c r="CD53" i="2"/>
  <c r="BF53" i="2"/>
  <c r="AL53" i="2"/>
  <c r="R53" i="2"/>
  <c r="DG52" i="2"/>
  <c r="CM52" i="2"/>
  <c r="BS52" i="2"/>
  <c r="AU52" i="2"/>
  <c r="AA52" i="2"/>
  <c r="G52" i="2"/>
  <c r="CV51" i="2"/>
  <c r="CB51" i="2"/>
  <c r="BH51" i="2"/>
  <c r="AJ51" i="2"/>
  <c r="P51" i="2"/>
  <c r="DM50" i="2"/>
  <c r="CO50" i="2"/>
  <c r="BU50" i="2"/>
  <c r="BA50" i="2"/>
  <c r="AC50" i="2"/>
  <c r="I50" i="2"/>
  <c r="DB49" i="2"/>
  <c r="CD49" i="2"/>
  <c r="BJ49" i="2"/>
  <c r="AP49" i="2"/>
  <c r="R49" i="2"/>
  <c r="DK48" i="2"/>
  <c r="CQ48" i="2"/>
  <c r="BS48" i="2"/>
  <c r="AY48" i="2"/>
  <c r="AE48" i="2"/>
  <c r="G48" i="2"/>
  <c r="CZ47" i="2"/>
  <c r="CF47" i="2"/>
  <c r="BH47" i="2"/>
  <c r="AN47" i="2"/>
  <c r="T47" i="2"/>
  <c r="DM46" i="2"/>
  <c r="CS46" i="2"/>
  <c r="BY46" i="2"/>
  <c r="BA46" i="2"/>
  <c r="AG46" i="2"/>
  <c r="M46" i="2"/>
  <c r="DB45" i="2"/>
  <c r="CH45" i="2"/>
  <c r="BN45" i="2"/>
  <c r="AP45" i="2"/>
  <c r="V45" i="2"/>
  <c r="DO44" i="2"/>
  <c r="CQ44" i="2"/>
  <c r="BW44" i="2"/>
  <c r="BC44" i="2"/>
  <c r="AI44" i="2"/>
  <c r="S44" i="2"/>
  <c r="DP43" i="2"/>
  <c r="CZ43" i="2"/>
  <c r="CJ43" i="2"/>
  <c r="BT43" i="2"/>
  <c r="BD43" i="2"/>
  <c r="AN43" i="2"/>
  <c r="X43" i="2"/>
  <c r="H43" i="2"/>
  <c r="DI42" i="2"/>
  <c r="CS42" i="2"/>
  <c r="CC42" i="2"/>
  <c r="BM42" i="2"/>
  <c r="AW42" i="2"/>
  <c r="AG42" i="2"/>
  <c r="Q42" i="2"/>
  <c r="DN41" i="2"/>
  <c r="CX41" i="2"/>
  <c r="CH41" i="2"/>
  <c r="BR41" i="2"/>
  <c r="BB41" i="2"/>
  <c r="AL41" i="2"/>
  <c r="V41" i="2"/>
  <c r="F41" i="2"/>
  <c r="DC40" i="2"/>
  <c r="CM40" i="2"/>
  <c r="BW40" i="2"/>
  <c r="BG40" i="2"/>
  <c r="AQ40" i="2"/>
  <c r="AA40" i="2"/>
  <c r="K40" i="2"/>
  <c r="DH39" i="2"/>
  <c r="CR39" i="2"/>
  <c r="CB39" i="2"/>
  <c r="BL39" i="2"/>
  <c r="AV39" i="2"/>
  <c r="AF39" i="2"/>
  <c r="P39" i="2"/>
  <c r="DQ38" i="2"/>
  <c r="DA38" i="2"/>
  <c r="CK38" i="2"/>
  <c r="BU38" i="2"/>
  <c r="BE38" i="2"/>
  <c r="AO38" i="2"/>
  <c r="Y38" i="2"/>
  <c r="I38" i="2"/>
  <c r="DF37" i="2"/>
  <c r="CP37" i="2"/>
  <c r="BZ37" i="2"/>
  <c r="BJ37" i="2"/>
  <c r="AT37" i="2"/>
  <c r="AD37" i="2"/>
  <c r="N37" i="2"/>
  <c r="DK36" i="2"/>
  <c r="CU36" i="2"/>
  <c r="CE36" i="2"/>
  <c r="BO36" i="2"/>
  <c r="AY36" i="2"/>
  <c r="AI36" i="2"/>
  <c r="S36" i="2"/>
  <c r="DP35" i="2"/>
  <c r="CZ35" i="2"/>
  <c r="CJ35" i="2"/>
  <c r="BT35" i="2"/>
  <c r="BD35" i="2"/>
  <c r="AN35" i="2"/>
  <c r="X35" i="2"/>
  <c r="H35" i="2"/>
  <c r="DI34" i="2"/>
  <c r="CS34" i="2"/>
  <c r="CC34" i="2"/>
  <c r="BM34" i="2"/>
  <c r="AW34" i="2"/>
  <c r="AG34" i="2"/>
  <c r="Q34" i="2"/>
  <c r="DN33" i="2"/>
  <c r="CX33" i="2"/>
  <c r="CH33" i="2"/>
  <c r="BR33" i="2"/>
  <c r="BB33" i="2"/>
  <c r="AL33" i="2"/>
  <c r="V33" i="2"/>
  <c r="F33" i="2"/>
  <c r="DC32" i="2"/>
  <c r="CM32" i="2"/>
  <c r="BW32" i="2"/>
  <c r="BG32" i="2"/>
  <c r="AQ32" i="2"/>
  <c r="AA32" i="2"/>
  <c r="K32" i="2"/>
  <c r="DH31" i="2"/>
  <c r="CR31" i="2"/>
  <c r="CB31" i="2"/>
  <c r="BL31" i="2"/>
  <c r="AV31" i="2"/>
  <c r="AF31" i="2"/>
  <c r="P31" i="2"/>
  <c r="DQ30" i="2"/>
  <c r="DA30" i="2"/>
  <c r="CK30" i="2"/>
  <c r="BU30" i="2"/>
  <c r="BE30" i="2"/>
  <c r="AO30" i="2"/>
  <c r="Y30" i="2"/>
  <c r="I30" i="2"/>
  <c r="DF29" i="2"/>
  <c r="CP29" i="2"/>
  <c r="BZ29" i="2"/>
  <c r="BJ29" i="2"/>
  <c r="AT29" i="2"/>
  <c r="AD29" i="2"/>
  <c r="N29" i="2"/>
  <c r="DK28" i="2"/>
  <c r="CU28" i="2"/>
  <c r="CE28" i="2"/>
  <c r="BO28" i="2"/>
  <c r="AY28" i="2"/>
  <c r="AI28" i="2"/>
  <c r="S28" i="2"/>
  <c r="DP27" i="2"/>
  <c r="CZ27" i="2"/>
  <c r="CJ27" i="2"/>
  <c r="BT27" i="2"/>
  <c r="BD27" i="2"/>
  <c r="AN27" i="2"/>
  <c r="X27" i="2"/>
  <c r="H27" i="2"/>
  <c r="DI26" i="2"/>
  <c r="CS26" i="2"/>
  <c r="CC26" i="2"/>
  <c r="BM26" i="2"/>
  <c r="AW26" i="2"/>
  <c r="AG26" i="2"/>
  <c r="Q26" i="2"/>
  <c r="DJ110" i="2"/>
  <c r="DB91" i="2"/>
  <c r="BK119" i="2"/>
  <c r="T102" i="2"/>
  <c r="CJ92" i="2"/>
  <c r="T135" i="2"/>
  <c r="DA130" i="2"/>
  <c r="BM126" i="2"/>
  <c r="Y122" i="2"/>
  <c r="CX117" i="2"/>
  <c r="BJ113" i="2"/>
  <c r="V109" i="2"/>
  <c r="CT104" i="2"/>
  <c r="BF100" i="2"/>
  <c r="AW98" i="2"/>
  <c r="DK96" i="2"/>
  <c r="BH95" i="2"/>
  <c r="BM94" i="2"/>
  <c r="CP93" i="2"/>
  <c r="J93" i="2"/>
  <c r="AQ92" i="2"/>
  <c r="BT91" i="2"/>
  <c r="DE90" i="2"/>
  <c r="CQ136" i="2"/>
  <c r="AI135" i="2"/>
  <c r="CW133" i="2"/>
  <c r="BC132" i="2"/>
  <c r="DH130" i="2"/>
  <c r="BI129" i="2"/>
  <c r="O128" i="2"/>
  <c r="BT126" i="2"/>
  <c r="BA125" i="2"/>
  <c r="AU124" i="2"/>
  <c r="AI123" i="2"/>
  <c r="X122" i="2"/>
  <c r="M121" i="2"/>
  <c r="G120" i="2"/>
  <c r="DH118" i="2"/>
  <c r="CW117" i="2"/>
  <c r="CQ116" i="2"/>
  <c r="CE115" i="2"/>
  <c r="BT114" i="2"/>
  <c r="BI113" i="2"/>
  <c r="BC112" i="2"/>
  <c r="AQ111" i="2"/>
  <c r="AF110" i="2"/>
  <c r="U109" i="2"/>
  <c r="O108" i="2"/>
  <c r="DP106" i="2"/>
  <c r="DE105" i="2"/>
  <c r="CY104" i="2"/>
  <c r="CM103" i="2"/>
  <c r="CB102" i="2"/>
  <c r="BQ101" i="2"/>
  <c r="BK100" i="2"/>
  <c r="AY99" i="2"/>
  <c r="CN98" i="2"/>
  <c r="CX96" i="2"/>
  <c r="CZ94" i="2"/>
  <c r="DF92" i="2"/>
  <c r="CQ91" i="2"/>
  <c r="CB90" i="2"/>
  <c r="M90" i="2"/>
  <c r="CT89" i="2"/>
  <c r="BN89" i="2"/>
  <c r="AH89" i="2"/>
  <c r="DO88" i="2"/>
  <c r="CI88" i="2"/>
  <c r="BC88" i="2"/>
  <c r="W88" i="2"/>
  <c r="DD87" i="2"/>
  <c r="BX87" i="2"/>
  <c r="AR87" i="2"/>
  <c r="L87" i="2"/>
  <c r="CW86" i="2"/>
  <c r="BQ86" i="2"/>
  <c r="AK86" i="2"/>
  <c r="E86" i="2"/>
  <c r="CL85" i="2"/>
  <c r="BF85" i="2"/>
  <c r="Z85" i="2"/>
  <c r="DG84" i="2"/>
  <c r="CA84" i="2"/>
  <c r="AU84" i="2"/>
  <c r="O84" i="2"/>
  <c r="CV83" i="2"/>
  <c r="BP83" i="2"/>
  <c r="AJ83" i="2"/>
  <c r="D83" i="2"/>
  <c r="CO82" i="2"/>
  <c r="BI82" i="2"/>
  <c r="AC82" i="2"/>
  <c r="DJ81" i="2"/>
  <c r="CD81" i="2"/>
  <c r="AX81" i="2"/>
  <c r="R81" i="2"/>
  <c r="CY80" i="2"/>
  <c r="BS80" i="2"/>
  <c r="AM80" i="2"/>
  <c r="G80" i="2"/>
  <c r="CN79" i="2"/>
  <c r="BH79" i="2"/>
  <c r="AB79" i="2"/>
  <c r="DM78" i="2"/>
  <c r="CG78" i="2"/>
  <c r="BA78" i="2"/>
  <c r="U78" i="2"/>
  <c r="DB77" i="2"/>
  <c r="BV77" i="2"/>
  <c r="AP77" i="2"/>
  <c r="J77" i="2"/>
  <c r="CQ76" i="2"/>
  <c r="BS76" i="2"/>
  <c r="AU76" i="2"/>
  <c r="AA76" i="2"/>
  <c r="G76" i="2"/>
  <c r="CV75" i="2"/>
  <c r="CB75" i="2"/>
  <c r="BH75" i="2"/>
  <c r="AJ75" i="2"/>
  <c r="P75" i="2"/>
  <c r="DM74" i="2"/>
  <c r="CO74" i="2"/>
  <c r="BU74" i="2"/>
  <c r="BA74" i="2"/>
  <c r="AC74" i="2"/>
  <c r="I74" i="2"/>
  <c r="DB73" i="2"/>
  <c r="CD73" i="2"/>
  <c r="BJ73" i="2"/>
  <c r="AP73" i="2"/>
  <c r="R73" i="2"/>
  <c r="DK72" i="2"/>
  <c r="CQ72" i="2"/>
  <c r="BS72" i="2"/>
  <c r="AY72" i="2"/>
  <c r="AE72" i="2"/>
  <c r="G72" i="2"/>
  <c r="CZ71" i="2"/>
  <c r="CF71" i="2"/>
  <c r="BH71" i="2"/>
  <c r="AN71" i="2"/>
  <c r="T71" i="2"/>
  <c r="DM70" i="2"/>
  <c r="CS70" i="2"/>
  <c r="BY70" i="2"/>
  <c r="BA70" i="2"/>
  <c r="AG70" i="2"/>
  <c r="M70" i="2"/>
  <c r="DB69" i="2"/>
  <c r="CH69" i="2"/>
  <c r="BN69" i="2"/>
  <c r="AP69" i="2"/>
  <c r="V69" i="2"/>
  <c r="DO68" i="2"/>
  <c r="CQ68" i="2"/>
  <c r="BW68" i="2"/>
  <c r="BC68" i="2"/>
  <c r="AE68" i="2"/>
  <c r="K68" i="2"/>
  <c r="DD67" i="2"/>
  <c r="CF67" i="2"/>
  <c r="BL67" i="2"/>
  <c r="AR67" i="2"/>
  <c r="T67" i="2"/>
  <c r="DQ66" i="2"/>
  <c r="CW66" i="2"/>
  <c r="BY66" i="2"/>
  <c r="BE66" i="2"/>
  <c r="AK66" i="2"/>
  <c r="M66" i="2"/>
  <c r="DF65" i="2"/>
  <c r="CL65" i="2"/>
  <c r="BN65" i="2"/>
  <c r="AT65" i="2"/>
  <c r="Z65" i="2"/>
  <c r="DO64" i="2"/>
  <c r="CU64" i="2"/>
  <c r="CA64" i="2"/>
  <c r="BC64" i="2"/>
  <c r="AI64" i="2"/>
  <c r="O64" i="2"/>
  <c r="DD63" i="2"/>
  <c r="CJ63" i="2"/>
  <c r="BP63" i="2"/>
  <c r="AR63" i="2"/>
  <c r="X63" i="2"/>
  <c r="D63" i="2"/>
  <c r="CW62" i="2"/>
  <c r="CC62" i="2"/>
  <c r="BI62" i="2"/>
  <c r="AK62" i="2"/>
  <c r="Q62" i="2"/>
  <c r="DJ61" i="2"/>
  <c r="CL61" i="2"/>
  <c r="BR61" i="2"/>
  <c r="AX61" i="2"/>
  <c r="Z61" i="2"/>
  <c r="F61" i="2"/>
  <c r="CY60" i="2"/>
  <c r="CA60" i="2"/>
  <c r="BG60" i="2"/>
  <c r="AM60" i="2"/>
  <c r="O60" i="2"/>
  <c r="DH59" i="2"/>
  <c r="CN59" i="2"/>
  <c r="BP59" i="2"/>
  <c r="AV59" i="2"/>
  <c r="AB59" i="2"/>
  <c r="D59" i="2"/>
  <c r="DA58" i="2"/>
  <c r="CG58" i="2"/>
  <c r="BI58" i="2"/>
  <c r="AO58" i="2"/>
  <c r="U58" i="2"/>
  <c r="DJ57" i="2"/>
  <c r="CP57" i="2"/>
  <c r="BV57" i="2"/>
  <c r="AX57" i="2"/>
  <c r="AD57" i="2"/>
  <c r="J57" i="2"/>
  <c r="CY56" i="2"/>
  <c r="CE56" i="2"/>
  <c r="BK56" i="2"/>
  <c r="AM56" i="2"/>
  <c r="S56" i="2"/>
  <c r="DL55" i="2"/>
  <c r="CN55" i="2"/>
  <c r="BT55" i="2"/>
  <c r="AZ55" i="2"/>
  <c r="AB55" i="2"/>
  <c r="H55" i="2"/>
  <c r="DE54" i="2"/>
  <c r="CG54" i="2"/>
  <c r="BM54" i="2"/>
  <c r="AS54" i="2"/>
  <c r="U54" i="2"/>
  <c r="DN53" i="2"/>
  <c r="CT53" i="2"/>
  <c r="BV53" i="2"/>
  <c r="BB53" i="2"/>
  <c r="AH53" i="2"/>
  <c r="J53" i="2"/>
  <c r="DC52" i="2"/>
  <c r="CI52" i="2"/>
  <c r="BK52" i="2"/>
  <c r="AQ52" i="2"/>
  <c r="W52" i="2"/>
  <c r="DL51" i="2"/>
  <c r="CR51" i="2"/>
  <c r="BX51" i="2"/>
  <c r="AZ51" i="2"/>
  <c r="AF51" i="2"/>
  <c r="L51" i="2"/>
  <c r="DE50" i="2"/>
  <c r="CK50" i="2"/>
  <c r="BQ50" i="2"/>
  <c r="AS50" i="2"/>
  <c r="Y50" i="2"/>
  <c r="E50" i="2"/>
  <c r="CT49" i="2"/>
  <c r="BZ49" i="2"/>
  <c r="BF49" i="2"/>
  <c r="AH49" i="2"/>
  <c r="N49" i="2"/>
  <c r="DG48" i="2"/>
  <c r="CI48" i="2"/>
  <c r="BO48" i="2"/>
  <c r="AU48" i="2"/>
  <c r="W48" i="2"/>
  <c r="DP47" i="2"/>
  <c r="CV47" i="2"/>
  <c r="BX47" i="2"/>
  <c r="BD47" i="2"/>
  <c r="AJ47" i="2"/>
  <c r="L47" i="2"/>
  <c r="DI46" i="2"/>
  <c r="CO46" i="2"/>
  <c r="BQ46" i="2"/>
  <c r="AW46" i="2"/>
  <c r="AC46" i="2"/>
  <c r="E46" i="2"/>
  <c r="CX45" i="2"/>
  <c r="CD45" i="2"/>
  <c r="BF45" i="2"/>
  <c r="AL45" i="2"/>
  <c r="R45" i="2"/>
  <c r="DG44" i="2"/>
  <c r="CM44" i="2"/>
  <c r="BS44" i="2"/>
  <c r="AU44" i="2"/>
  <c r="AE44" i="2"/>
  <c r="O44" i="2"/>
  <c r="DL43" i="2"/>
  <c r="CV43" i="2"/>
  <c r="CF43" i="2"/>
  <c r="BP43" i="2"/>
  <c r="AZ43" i="2"/>
  <c r="AJ43" i="2"/>
  <c r="T43" i="2"/>
  <c r="D43" i="2"/>
  <c r="DE42" i="2"/>
  <c r="CO42" i="2"/>
  <c r="BY42" i="2"/>
  <c r="BI42" i="2"/>
  <c r="AS42" i="2"/>
  <c r="AC42" i="2"/>
  <c r="M42" i="2"/>
  <c r="DJ41" i="2"/>
  <c r="CT41" i="2"/>
  <c r="CD41" i="2"/>
  <c r="BN41" i="2"/>
  <c r="AX41" i="2"/>
  <c r="AH41" i="2"/>
  <c r="R41" i="2"/>
  <c r="DO40" i="2"/>
  <c r="CY40" i="2"/>
  <c r="CI40" i="2"/>
  <c r="BS40" i="2"/>
  <c r="BC40" i="2"/>
  <c r="AM40" i="2"/>
  <c r="W40" i="2"/>
  <c r="G40" i="2"/>
  <c r="DD39" i="2"/>
  <c r="CN39" i="2"/>
  <c r="BX39" i="2"/>
  <c r="BH39" i="2"/>
  <c r="AR39" i="2"/>
  <c r="AB39" i="2"/>
  <c r="L39" i="2"/>
  <c r="DM38" i="2"/>
  <c r="CW38" i="2"/>
  <c r="CG38" i="2"/>
  <c r="BQ38" i="2"/>
  <c r="BA38" i="2"/>
  <c r="AK38" i="2"/>
  <c r="U38" i="2"/>
  <c r="E38" i="2"/>
  <c r="DB37" i="2"/>
  <c r="CL37" i="2"/>
  <c r="BV37" i="2"/>
  <c r="BF37" i="2"/>
  <c r="AP37" i="2"/>
  <c r="Z37" i="2"/>
  <c r="J37" i="2"/>
  <c r="DG36" i="2"/>
  <c r="CQ36" i="2"/>
  <c r="CA36" i="2"/>
  <c r="BK36" i="2"/>
  <c r="AU36" i="2"/>
  <c r="AE36" i="2"/>
  <c r="O36" i="2"/>
  <c r="DL35" i="2"/>
  <c r="CV35" i="2"/>
  <c r="CF35" i="2"/>
  <c r="BP35" i="2"/>
  <c r="AZ35" i="2"/>
  <c r="AJ35" i="2"/>
  <c r="T35" i="2"/>
  <c r="D35" i="2"/>
  <c r="DE34" i="2"/>
  <c r="CO34" i="2"/>
  <c r="BY34" i="2"/>
  <c r="BI34" i="2"/>
  <c r="AS34" i="2"/>
  <c r="AC34" i="2"/>
  <c r="M34" i="2"/>
  <c r="DJ33" i="2"/>
  <c r="CT33" i="2"/>
  <c r="CD33" i="2"/>
  <c r="BN33" i="2"/>
  <c r="AX33" i="2"/>
  <c r="AH33" i="2"/>
  <c r="R33" i="2"/>
  <c r="DO32" i="2"/>
  <c r="CY32" i="2"/>
  <c r="CI32" i="2"/>
  <c r="BS32" i="2"/>
  <c r="BC32" i="2"/>
  <c r="AM32" i="2"/>
  <c r="W32" i="2"/>
  <c r="G32" i="2"/>
  <c r="DD31" i="2"/>
  <c r="CN31" i="2"/>
  <c r="BX31" i="2"/>
  <c r="BH31" i="2"/>
  <c r="AR31" i="2"/>
  <c r="AB31" i="2"/>
  <c r="L31" i="2"/>
  <c r="DM30" i="2"/>
  <c r="CW30" i="2"/>
  <c r="CG30" i="2"/>
  <c r="BQ30" i="2"/>
  <c r="BA30" i="2"/>
  <c r="AK30" i="2"/>
  <c r="U30" i="2"/>
  <c r="E30" i="2"/>
  <c r="DB29" i="2"/>
  <c r="CL29" i="2"/>
  <c r="BV29" i="2"/>
  <c r="BF29" i="2"/>
  <c r="AP29" i="2"/>
  <c r="Z29" i="2"/>
  <c r="J29" i="2"/>
  <c r="DG28" i="2"/>
  <c r="CQ28" i="2"/>
  <c r="CA28" i="2"/>
  <c r="BK28" i="2"/>
  <c r="AU28" i="2"/>
  <c r="AE28" i="2"/>
  <c r="O28" i="2"/>
  <c r="DL27" i="2"/>
  <c r="CV27" i="2"/>
  <c r="CF27" i="2"/>
  <c r="BP27" i="2"/>
  <c r="AZ27" i="2"/>
  <c r="AJ27" i="2"/>
  <c r="T27" i="2"/>
  <c r="D27" i="2"/>
  <c r="DE26" i="2"/>
  <c r="CO26" i="2"/>
  <c r="BY26" i="2"/>
  <c r="BI26" i="2"/>
  <c r="AS26" i="2"/>
  <c r="AC26" i="2"/>
  <c r="M26" i="2"/>
  <c r="DJ25" i="2"/>
  <c r="CT25" i="2"/>
  <c r="CD25" i="2"/>
  <c r="BN25" i="2"/>
  <c r="AX25" i="2"/>
  <c r="AH25" i="2"/>
  <c r="R25" i="2"/>
  <c r="DO24" i="2"/>
  <c r="CY24" i="2"/>
  <c r="CI24" i="2"/>
  <c r="BS24" i="2"/>
  <c r="BC24" i="2"/>
  <c r="AM24" i="2"/>
  <c r="W24" i="2"/>
  <c r="G24" i="2"/>
  <c r="DD23" i="2"/>
  <c r="CN23" i="2"/>
  <c r="BX23" i="2"/>
  <c r="BH23" i="2"/>
  <c r="AR23" i="2"/>
  <c r="AB23" i="2"/>
  <c r="L23" i="2"/>
  <c r="DM22" i="2"/>
  <c r="CW22" i="2"/>
  <c r="CG22" i="2"/>
  <c r="BQ22" i="2"/>
  <c r="BA22" i="2"/>
  <c r="AK22" i="2"/>
  <c r="U22" i="2"/>
  <c r="E22" i="2"/>
  <c r="DB21" i="2"/>
  <c r="CL21" i="2"/>
  <c r="BV21" i="2"/>
  <c r="BF21" i="2"/>
  <c r="AP21" i="2"/>
  <c r="Z21" i="2"/>
  <c r="J21" i="2"/>
  <c r="DG20" i="2"/>
  <c r="CQ20" i="2"/>
  <c r="CA20" i="2"/>
  <c r="BK20" i="2"/>
  <c r="AU20" i="2"/>
  <c r="AE20" i="2"/>
  <c r="O20" i="2"/>
  <c r="DL19" i="2"/>
  <c r="CV19" i="2"/>
  <c r="CF19" i="2"/>
  <c r="BP19" i="2"/>
  <c r="AZ19" i="2"/>
  <c r="AJ19" i="2"/>
  <c r="T19" i="2"/>
  <c r="D19" i="2"/>
  <c r="DE18" i="2"/>
  <c r="CO18" i="2"/>
  <c r="BY18" i="2"/>
  <c r="BI18" i="2"/>
  <c r="AS18" i="2"/>
  <c r="AC18" i="2"/>
  <c r="M18" i="2"/>
  <c r="DJ17" i="2"/>
  <c r="CT17" i="2"/>
  <c r="CD17" i="2"/>
  <c r="BN17" i="2"/>
  <c r="AX17" i="2"/>
  <c r="AH17" i="2"/>
  <c r="R17" i="2"/>
  <c r="DO16" i="2"/>
  <c r="CY16" i="2"/>
  <c r="CI16" i="2"/>
  <c r="BS16" i="2"/>
  <c r="BC16" i="2"/>
  <c r="AM16" i="2"/>
  <c r="W16" i="2"/>
  <c r="G16" i="2"/>
  <c r="DD15" i="2"/>
  <c r="CN15" i="2"/>
  <c r="BX15" i="2"/>
  <c r="BH15" i="2"/>
  <c r="AR15" i="2"/>
  <c r="AB15" i="2"/>
  <c r="L15" i="2"/>
  <c r="DM14" i="2"/>
  <c r="CW14" i="2"/>
  <c r="CG14" i="2"/>
  <c r="BQ14" i="2"/>
  <c r="BA14" i="2"/>
  <c r="AK14" i="2"/>
  <c r="U14" i="2"/>
  <c r="E14" i="2"/>
  <c r="DB13" i="2"/>
  <c r="CL13" i="2"/>
  <c r="BV13" i="2"/>
  <c r="BF13" i="2"/>
  <c r="AP13" i="2"/>
  <c r="Z13" i="2"/>
  <c r="J13" i="2"/>
  <c r="DG12" i="2"/>
  <c r="CQ12" i="2"/>
  <c r="CA12" i="2"/>
  <c r="BK12" i="2"/>
  <c r="AU12" i="2"/>
  <c r="AE12" i="2"/>
  <c r="O12" i="2"/>
  <c r="DL11" i="2"/>
  <c r="CV11" i="2"/>
  <c r="CF11" i="2"/>
  <c r="BP11" i="2"/>
  <c r="AZ11" i="2"/>
  <c r="AJ11" i="2"/>
  <c r="T11" i="2"/>
  <c r="D11" i="2"/>
  <c r="DE10" i="2"/>
  <c r="CO10" i="2"/>
  <c r="BY10" i="2"/>
  <c r="BI10" i="2"/>
  <c r="AS10" i="2"/>
  <c r="AC10" i="2"/>
  <c r="M10" i="2"/>
  <c r="DJ9" i="2"/>
  <c r="CT9" i="2"/>
  <c r="CD9" i="2"/>
  <c r="BN9" i="2"/>
  <c r="AX9" i="2"/>
  <c r="AH9" i="2"/>
  <c r="R9" i="2"/>
  <c r="BX98" i="2"/>
  <c r="L98" i="2"/>
  <c r="BM97" i="2"/>
  <c r="DJ96" i="2"/>
  <c r="AX96" i="2"/>
  <c r="CU95" i="2"/>
  <c r="AI95" i="2"/>
  <c r="CF94" i="2"/>
  <c r="T94" i="2"/>
  <c r="CK93" i="2"/>
  <c r="Y93" i="2"/>
  <c r="BV92" i="2"/>
  <c r="J92" i="2"/>
  <c r="BG91" i="2"/>
  <c r="DD90" i="2"/>
  <c r="AR90" i="2"/>
  <c r="T90" i="2"/>
  <c r="D90" i="2"/>
  <c r="DE89" i="2"/>
  <c r="CO89" i="2"/>
  <c r="BY89" i="2"/>
  <c r="BI89" i="2"/>
  <c r="AS89" i="2"/>
  <c r="AC89" i="2"/>
  <c r="M89" i="2"/>
  <c r="DJ88" i="2"/>
  <c r="CT88" i="2"/>
  <c r="CD88" i="2"/>
  <c r="BN88" i="2"/>
  <c r="AX88" i="2"/>
  <c r="AH88" i="2"/>
  <c r="R88" i="2"/>
  <c r="DO87" i="2"/>
  <c r="CY87" i="2"/>
  <c r="CI87" i="2"/>
  <c r="BS87" i="2"/>
  <c r="BC87" i="2"/>
  <c r="AM87" i="2"/>
  <c r="W87" i="2"/>
  <c r="G87" i="2"/>
  <c r="DD86" i="2"/>
  <c r="CN86" i="2"/>
  <c r="BX86" i="2"/>
  <c r="BH86" i="2"/>
  <c r="AR86" i="2"/>
  <c r="AB86" i="2"/>
  <c r="L86" i="2"/>
  <c r="DM85" i="2"/>
  <c r="CW85" i="2"/>
  <c r="CG85" i="2"/>
  <c r="BQ85" i="2"/>
  <c r="BA85" i="2"/>
  <c r="AK85" i="2"/>
  <c r="U85" i="2"/>
  <c r="E85" i="2"/>
  <c r="DB84" i="2"/>
  <c r="CL84" i="2"/>
  <c r="BV84" i="2"/>
  <c r="BF84" i="2"/>
  <c r="AP84" i="2"/>
  <c r="Z84" i="2"/>
  <c r="J84" i="2"/>
  <c r="DG83" i="2"/>
  <c r="CQ83" i="2"/>
  <c r="CA83" i="2"/>
  <c r="BK83" i="2"/>
  <c r="AU83" i="2"/>
  <c r="AE83" i="2"/>
  <c r="O83" i="2"/>
  <c r="DL82" i="2"/>
  <c r="CV82" i="2"/>
  <c r="CF82" i="2"/>
  <c r="BP82" i="2"/>
  <c r="AZ82" i="2"/>
  <c r="AJ82" i="2"/>
  <c r="T82" i="2"/>
  <c r="D82" i="2"/>
  <c r="DE81" i="2"/>
  <c r="CO81" i="2"/>
  <c r="BY81" i="2"/>
  <c r="BI81" i="2"/>
  <c r="AS81" i="2"/>
  <c r="AC81" i="2"/>
  <c r="M81" i="2"/>
  <c r="DJ80" i="2"/>
  <c r="CT80" i="2"/>
  <c r="CD80" i="2"/>
  <c r="BN80" i="2"/>
  <c r="AX80" i="2"/>
  <c r="AH80" i="2"/>
  <c r="R80" i="2"/>
  <c r="DO79" i="2"/>
  <c r="CY79" i="2"/>
  <c r="CI79" i="2"/>
  <c r="BS79" i="2"/>
  <c r="BC79" i="2"/>
  <c r="AM79" i="2"/>
  <c r="W79" i="2"/>
  <c r="G79" i="2"/>
  <c r="DD78" i="2"/>
  <c r="CN78" i="2"/>
  <c r="BX78" i="2"/>
  <c r="BH78" i="2"/>
  <c r="AR78" i="2"/>
  <c r="AB78" i="2"/>
  <c r="L78" i="2"/>
  <c r="DM77" i="2"/>
  <c r="CW77" i="2"/>
  <c r="CG77" i="2"/>
  <c r="BQ77" i="2"/>
  <c r="BA77" i="2"/>
  <c r="AK77" i="2"/>
  <c r="U77" i="2"/>
  <c r="E77" i="2"/>
  <c r="DB76" i="2"/>
  <c r="CL76" i="2"/>
  <c r="BV76" i="2"/>
  <c r="BF76" i="2"/>
  <c r="AP76" i="2"/>
  <c r="Z76" i="2"/>
  <c r="J76" i="2"/>
  <c r="DG75" i="2"/>
  <c r="CQ75" i="2"/>
  <c r="CA75" i="2"/>
  <c r="BK75" i="2"/>
  <c r="AU75" i="2"/>
  <c r="AE75" i="2"/>
  <c r="O75" i="2"/>
  <c r="DL74" i="2"/>
  <c r="CV74" i="2"/>
  <c r="CF74" i="2"/>
  <c r="AA128" i="2"/>
  <c r="AN96" i="2"/>
  <c r="F133" i="2"/>
  <c r="AP124" i="2"/>
  <c r="BX115" i="2"/>
  <c r="DQ106" i="2"/>
  <c r="P99" i="2"/>
  <c r="AA96" i="2"/>
  <c r="U94" i="2"/>
  <c r="CE92" i="2"/>
  <c r="AF91" i="2"/>
  <c r="G136" i="2"/>
  <c r="M133" i="2"/>
  <c r="AF130" i="2"/>
  <c r="AQ127" i="2"/>
  <c r="DG124" i="2"/>
  <c r="CJ122" i="2"/>
  <c r="BS120" i="2"/>
  <c r="AV118" i="2"/>
  <c r="AE116" i="2"/>
  <c r="H114" i="2"/>
  <c r="DC111" i="2"/>
  <c r="CG109" i="2"/>
  <c r="BO107" i="2"/>
  <c r="AS105" i="2"/>
  <c r="AA103" i="2"/>
  <c r="E101" i="2"/>
  <c r="G99" i="2"/>
  <c r="CY95" i="2"/>
  <c r="AT92" i="2"/>
  <c r="AC90" i="2"/>
  <c r="CD89" i="2"/>
  <c r="R89" i="2"/>
  <c r="BS88" i="2"/>
  <c r="G88" i="2"/>
  <c r="BH87" i="2"/>
  <c r="DM86" i="2"/>
  <c r="BA86" i="2"/>
  <c r="DB85" i="2"/>
  <c r="AP85" i="2"/>
  <c r="CQ84" i="2"/>
  <c r="AE84" i="2"/>
  <c r="CF83" i="2"/>
  <c r="T83" i="2"/>
  <c r="BY82" i="2"/>
  <c r="M82" i="2"/>
  <c r="BN81" i="2"/>
  <c r="DO80" i="2"/>
  <c r="BC80" i="2"/>
  <c r="DD79" i="2"/>
  <c r="AR79" i="2"/>
  <c r="CW78" i="2"/>
  <c r="AK78" i="2"/>
  <c r="CL77" i="2"/>
  <c r="Z77" i="2"/>
  <c r="CA76" i="2"/>
  <c r="AM76" i="2"/>
  <c r="DH75" i="2"/>
  <c r="BP75" i="2"/>
  <c r="AB75" i="2"/>
  <c r="DA74" i="2"/>
  <c r="BI74" i="2"/>
  <c r="U74" i="2"/>
  <c r="CP73" i="2"/>
  <c r="AX73" i="2"/>
  <c r="J73" i="2"/>
  <c r="CE72" i="2"/>
  <c r="AM72" i="2"/>
  <c r="DL71" i="2"/>
  <c r="BT71" i="2"/>
  <c r="AB71" i="2"/>
  <c r="DE70" i="2"/>
  <c r="BM70" i="2"/>
  <c r="U70" i="2"/>
  <c r="CT69" i="2"/>
  <c r="BB69" i="2"/>
  <c r="J69" i="2"/>
  <c r="CI68" i="2"/>
  <c r="AQ68" i="2"/>
  <c r="DL67" i="2"/>
  <c r="BX67" i="2"/>
  <c r="AF67" i="2"/>
  <c r="DE66" i="2"/>
  <c r="BQ66" i="2"/>
  <c r="Y66" i="2"/>
  <c r="CT65" i="2"/>
  <c r="BF65" i="2"/>
  <c r="N65" i="2"/>
  <c r="CI64" i="2"/>
  <c r="AU64" i="2"/>
  <c r="DP63" i="2"/>
  <c r="BX63" i="2"/>
  <c r="AJ63" i="2"/>
  <c r="DI62" i="2"/>
  <c r="BQ62" i="2"/>
  <c r="AC62" i="2"/>
  <c r="CX61" i="2"/>
  <c r="BF61" i="2"/>
  <c r="R61" i="2"/>
  <c r="CM60" i="2"/>
  <c r="AU60" i="2"/>
  <c r="G60" i="2"/>
  <c r="CB59" i="2"/>
  <c r="AJ59" i="2"/>
  <c r="DM58" i="2"/>
  <c r="BU58" i="2"/>
  <c r="AC58" i="2"/>
  <c r="DB57" i="2"/>
  <c r="BJ57" i="2"/>
  <c r="R57" i="2"/>
  <c r="CQ56" i="2"/>
  <c r="AY56" i="2"/>
  <c r="G56" i="2"/>
  <c r="CF55" i="2"/>
  <c r="AN55" i="2"/>
  <c r="DM54" i="2"/>
  <c r="BY54" i="2"/>
  <c r="AG54" i="2"/>
  <c r="DB53" i="2"/>
  <c r="BN53" i="2"/>
  <c r="V53" i="2"/>
  <c r="CQ52" i="2"/>
  <c r="BC52" i="2"/>
  <c r="K52" i="2"/>
  <c r="CF51" i="2"/>
  <c r="AR51" i="2"/>
  <c r="DQ50" i="2"/>
  <c r="BY50" i="2"/>
  <c r="AK50" i="2"/>
  <c r="DF49" i="2"/>
  <c r="BN49" i="2"/>
  <c r="Z49" i="2"/>
  <c r="CU48" i="2"/>
  <c r="BC48" i="2"/>
  <c r="O48" i="2"/>
  <c r="CJ47" i="2"/>
  <c r="AR47" i="2"/>
  <c r="D47" i="2"/>
  <c r="CC46" i="2"/>
  <c r="AK46" i="2"/>
  <c r="DJ45" i="2"/>
  <c r="BR45" i="2"/>
  <c r="Z45" i="2"/>
  <c r="CY44" i="2"/>
  <c r="BG44" i="2"/>
  <c r="W44" i="2"/>
  <c r="DD43" i="2"/>
  <c r="BX43" i="2"/>
  <c r="AR43" i="2"/>
  <c r="L43" i="2"/>
  <c r="CW42" i="2"/>
  <c r="BQ42" i="2"/>
  <c r="AK42" i="2"/>
  <c r="E42" i="2"/>
  <c r="CL41" i="2"/>
  <c r="BF41" i="2"/>
  <c r="Z41" i="2"/>
  <c r="DG40" i="2"/>
  <c r="CA40" i="2"/>
  <c r="AU40" i="2"/>
  <c r="O40" i="2"/>
  <c r="CV39" i="2"/>
  <c r="BP39" i="2"/>
  <c r="AJ39" i="2"/>
  <c r="D39" i="2"/>
  <c r="CO38" i="2"/>
  <c r="BI38" i="2"/>
  <c r="AC38" i="2"/>
  <c r="DJ37" i="2"/>
  <c r="CD37" i="2"/>
  <c r="AX37" i="2"/>
  <c r="R37" i="2"/>
  <c r="CY36" i="2"/>
  <c r="BS36" i="2"/>
  <c r="AM36" i="2"/>
  <c r="G36" i="2"/>
  <c r="CN35" i="2"/>
  <c r="BH35" i="2"/>
  <c r="AB35" i="2"/>
  <c r="DM34" i="2"/>
  <c r="CG34" i="2"/>
  <c r="BA34" i="2"/>
  <c r="U34" i="2"/>
  <c r="DB33" i="2"/>
  <c r="BV33" i="2"/>
  <c r="AP33" i="2"/>
  <c r="J33" i="2"/>
  <c r="CQ32" i="2"/>
  <c r="BK32" i="2"/>
  <c r="AE32" i="2"/>
  <c r="DL31" i="2"/>
  <c r="CF31" i="2"/>
  <c r="AZ31" i="2"/>
  <c r="T31" i="2"/>
  <c r="DE30" i="2"/>
  <c r="BY30" i="2"/>
  <c r="AS30" i="2"/>
  <c r="M30" i="2"/>
  <c r="CT29" i="2"/>
  <c r="BN29" i="2"/>
  <c r="AH29" i="2"/>
  <c r="DO28" i="2"/>
  <c r="CI28" i="2"/>
  <c r="BC28" i="2"/>
  <c r="W28" i="2"/>
  <c r="DD27" i="2"/>
  <c r="BX27" i="2"/>
  <c r="AR27" i="2"/>
  <c r="L27" i="2"/>
  <c r="CW26" i="2"/>
  <c r="BQ26" i="2"/>
  <c r="AK26" i="2"/>
  <c r="E26" i="2"/>
  <c r="CX25" i="2"/>
  <c r="BZ25" i="2"/>
  <c r="BF25" i="2"/>
  <c r="AL25" i="2"/>
  <c r="N25" i="2"/>
  <c r="DG24" i="2"/>
  <c r="CM24" i="2"/>
  <c r="BO24" i="2"/>
  <c r="AU24" i="2"/>
  <c r="AA24" i="2"/>
  <c r="DP23" i="2"/>
  <c r="CV23" i="2"/>
  <c r="CB23" i="2"/>
  <c r="BD23" i="2"/>
  <c r="AJ23" i="2"/>
  <c r="P23" i="2"/>
  <c r="DI22" i="2"/>
  <c r="CO22" i="2"/>
  <c r="BU22" i="2"/>
  <c r="AW22" i="2"/>
  <c r="AC22" i="2"/>
  <c r="I22" i="2"/>
  <c r="CX21" i="2"/>
  <c r="CD21" i="2"/>
  <c r="BJ21" i="2"/>
  <c r="AL21" i="2"/>
  <c r="R21" i="2"/>
  <c r="DK20" i="2"/>
  <c r="CM20" i="2"/>
  <c r="BS20" i="2"/>
  <c r="AY20" i="2"/>
  <c r="AA20" i="2"/>
  <c r="G20" i="2"/>
  <c r="CZ19" i="2"/>
  <c r="CB19" i="2"/>
  <c r="BH19" i="2"/>
  <c r="AN19" i="2"/>
  <c r="P19" i="2"/>
  <c r="DM18" i="2"/>
  <c r="CS18" i="2"/>
  <c r="BU18" i="2"/>
  <c r="BA18" i="2"/>
  <c r="AG18" i="2"/>
  <c r="I18" i="2"/>
  <c r="DB17" i="2"/>
  <c r="CH17" i="2"/>
  <c r="BJ17" i="2"/>
  <c r="AP17" i="2"/>
  <c r="V17" i="2"/>
  <c r="DK16" i="2"/>
  <c r="CQ16" i="2"/>
  <c r="BW16" i="2"/>
  <c r="AY16" i="2"/>
  <c r="AE16" i="2"/>
  <c r="K16" i="2"/>
  <c r="CZ15" i="2"/>
  <c r="CF15" i="2"/>
  <c r="BL15" i="2"/>
  <c r="AN15" i="2"/>
  <c r="T15" i="2"/>
  <c r="DQ14" i="2"/>
  <c r="CS14" i="2"/>
  <c r="BY14" i="2"/>
  <c r="BE14" i="2"/>
  <c r="AG14" i="2"/>
  <c r="M14" i="2"/>
  <c r="DF13" i="2"/>
  <c r="CH13" i="2"/>
  <c r="BN13" i="2"/>
  <c r="AT13" i="2"/>
  <c r="V13" i="2"/>
  <c r="DO12" i="2"/>
  <c r="CU12" i="2"/>
  <c r="BW12" i="2"/>
  <c r="BC12" i="2"/>
  <c r="AI12" i="2"/>
  <c r="K12" i="2"/>
  <c r="DD11" i="2"/>
  <c r="CJ11" i="2"/>
  <c r="BL11" i="2"/>
  <c r="AR11" i="2"/>
  <c r="X11" i="2"/>
  <c r="DQ10" i="2"/>
  <c r="CW10" i="2"/>
  <c r="CC10" i="2"/>
  <c r="BE10" i="2"/>
  <c r="AK10" i="2"/>
  <c r="Q10" i="2"/>
  <c r="DF9" i="2"/>
  <c r="CL9" i="2"/>
  <c r="BR9" i="2"/>
  <c r="AT9" i="2"/>
  <c r="Z9" i="2"/>
  <c r="F9" i="2"/>
  <c r="DI97" i="2"/>
  <c r="AG97" i="2"/>
  <c r="BN96" i="2"/>
  <c r="CE95" i="2"/>
  <c r="DL94" i="2"/>
  <c r="AJ94" i="2"/>
  <c r="BU93" i="2"/>
  <c r="DB92" i="2"/>
  <c r="Z92" i="2"/>
  <c r="AQ91" i="2"/>
  <c r="BX90" i="2"/>
  <c r="X90" i="2"/>
  <c r="DQ89" i="2"/>
  <c r="CW89" i="2"/>
  <c r="CC89" i="2"/>
  <c r="BE89" i="2"/>
  <c r="AK89" i="2"/>
  <c r="Q89" i="2"/>
  <c r="DF88" i="2"/>
  <c r="CL88" i="2"/>
  <c r="BR88" i="2"/>
  <c r="AT88" i="2"/>
  <c r="Z88" i="2"/>
  <c r="F88" i="2"/>
  <c r="CU87" i="2"/>
  <c r="CA87" i="2"/>
  <c r="BG87" i="2"/>
  <c r="AI87" i="2"/>
  <c r="O87" i="2"/>
  <c r="DH86" i="2"/>
  <c r="CJ86" i="2"/>
  <c r="BP86" i="2"/>
  <c r="AV86" i="2"/>
  <c r="X86" i="2"/>
  <c r="D86" i="2"/>
  <c r="DA85" i="2"/>
  <c r="CC85" i="2"/>
  <c r="BI85" i="2"/>
  <c r="AO85" i="2"/>
  <c r="Q85" i="2"/>
  <c r="DJ84" i="2"/>
  <c r="CP84" i="2"/>
  <c r="BR84" i="2"/>
  <c r="AX84" i="2"/>
  <c r="AD84" i="2"/>
  <c r="F84" i="2"/>
  <c r="CY83" i="2"/>
  <c r="CE83" i="2"/>
  <c r="BG83" i="2"/>
  <c r="AM83" i="2"/>
  <c r="S83" i="2"/>
  <c r="DH82" i="2"/>
  <c r="CN82" i="2"/>
  <c r="BT82" i="2"/>
  <c r="AV82" i="2"/>
  <c r="AB82" i="2"/>
  <c r="H82" i="2"/>
  <c r="DA81" i="2"/>
  <c r="CG81" i="2"/>
  <c r="BM81" i="2"/>
  <c r="AO81" i="2"/>
  <c r="U81" i="2"/>
  <c r="DN80" i="2"/>
  <c r="CP80" i="2"/>
  <c r="BV80" i="2"/>
  <c r="BB80" i="2"/>
  <c r="AD80" i="2"/>
  <c r="J80" i="2"/>
  <c r="DC79" i="2"/>
  <c r="CE79" i="2"/>
  <c r="BK79" i="2"/>
  <c r="AQ79" i="2"/>
  <c r="S79" i="2"/>
  <c r="DL78" i="2"/>
  <c r="CR78" i="2"/>
  <c r="BT78" i="2"/>
  <c r="AZ78" i="2"/>
  <c r="AF78" i="2"/>
  <c r="H78" i="2"/>
  <c r="DE77" i="2"/>
  <c r="CK77" i="2"/>
  <c r="BM77" i="2"/>
  <c r="AS77" i="2"/>
  <c r="Y77" i="2"/>
  <c r="DN76" i="2"/>
  <c r="CT76" i="2"/>
  <c r="BZ76" i="2"/>
  <c r="BB76" i="2"/>
  <c r="AH76" i="2"/>
  <c r="N76" i="2"/>
  <c r="DC75" i="2"/>
  <c r="CI75" i="2"/>
  <c r="BO75" i="2"/>
  <c r="AQ75" i="2"/>
  <c r="W75" i="2"/>
  <c r="DP74" i="2"/>
  <c r="CR74" i="2"/>
  <c r="BX74" i="2"/>
  <c r="BH74" i="2"/>
  <c r="AR74" i="2"/>
  <c r="AB74" i="2"/>
  <c r="L74" i="2"/>
  <c r="DM73" i="2"/>
  <c r="CW73" i="2"/>
  <c r="CG73" i="2"/>
  <c r="BQ73" i="2"/>
  <c r="BA73" i="2"/>
  <c r="AK73" i="2"/>
  <c r="U73" i="2"/>
  <c r="E73" i="2"/>
  <c r="DB72" i="2"/>
  <c r="CL72" i="2"/>
  <c r="BV72" i="2"/>
  <c r="BF72" i="2"/>
  <c r="AP72" i="2"/>
  <c r="Z72" i="2"/>
  <c r="J72" i="2"/>
  <c r="DG71" i="2"/>
  <c r="CQ71" i="2"/>
  <c r="CA71" i="2"/>
  <c r="BK71" i="2"/>
  <c r="AU71" i="2"/>
  <c r="AE71" i="2"/>
  <c r="O71" i="2"/>
  <c r="DL70" i="2"/>
  <c r="CV70" i="2"/>
  <c r="CF70" i="2"/>
  <c r="BP70" i="2"/>
  <c r="AZ70" i="2"/>
  <c r="AJ70" i="2"/>
  <c r="T70" i="2"/>
  <c r="D70" i="2"/>
  <c r="DE69" i="2"/>
  <c r="CO69" i="2"/>
  <c r="BY69" i="2"/>
  <c r="BI69" i="2"/>
  <c r="AS69" i="2"/>
  <c r="AC69" i="2"/>
  <c r="M69" i="2"/>
  <c r="DJ68" i="2"/>
  <c r="CT68" i="2"/>
  <c r="CD68" i="2"/>
  <c r="BN68" i="2"/>
  <c r="AX68" i="2"/>
  <c r="AH68" i="2"/>
  <c r="R68" i="2"/>
  <c r="DO67" i="2"/>
  <c r="CY67" i="2"/>
  <c r="CI67" i="2"/>
  <c r="BS67" i="2"/>
  <c r="BC67" i="2"/>
  <c r="AM67" i="2"/>
  <c r="W67" i="2"/>
  <c r="G67" i="2"/>
  <c r="DD66" i="2"/>
  <c r="CN66" i="2"/>
  <c r="BX66" i="2"/>
  <c r="BH66" i="2"/>
  <c r="AR66" i="2"/>
  <c r="AB66" i="2"/>
  <c r="L66" i="2"/>
  <c r="DM65" i="2"/>
  <c r="CW65" i="2"/>
  <c r="CG65" i="2"/>
  <c r="BQ65" i="2"/>
  <c r="BA65" i="2"/>
  <c r="AK65" i="2"/>
  <c r="U65" i="2"/>
  <c r="E65" i="2"/>
  <c r="DB64" i="2"/>
  <c r="CL64" i="2"/>
  <c r="BV64" i="2"/>
  <c r="BF64" i="2"/>
  <c r="AP64" i="2"/>
  <c r="Z64" i="2"/>
  <c r="J64" i="2"/>
  <c r="DG63" i="2"/>
  <c r="CQ63" i="2"/>
  <c r="CA63" i="2"/>
  <c r="BK63" i="2"/>
  <c r="AU63" i="2"/>
  <c r="AE63" i="2"/>
  <c r="O63" i="2"/>
  <c r="DL62" i="2"/>
  <c r="CV62" i="2"/>
  <c r="CF62" i="2"/>
  <c r="BP62" i="2"/>
  <c r="AZ62" i="2"/>
  <c r="AJ62" i="2"/>
  <c r="T62" i="2"/>
  <c r="D62" i="2"/>
  <c r="DE61" i="2"/>
  <c r="CO61" i="2"/>
  <c r="BY61" i="2"/>
  <c r="BI61" i="2"/>
  <c r="AS61" i="2"/>
  <c r="AC61" i="2"/>
  <c r="M61" i="2"/>
  <c r="DJ60" i="2"/>
  <c r="CT60" i="2"/>
  <c r="CD60" i="2"/>
  <c r="BN60" i="2"/>
  <c r="AX60" i="2"/>
  <c r="AH60" i="2"/>
  <c r="R60" i="2"/>
  <c r="DO59" i="2"/>
  <c r="CY59" i="2"/>
  <c r="CI59" i="2"/>
  <c r="BS59" i="2"/>
  <c r="BC59" i="2"/>
  <c r="AM59" i="2"/>
  <c r="W59" i="2"/>
  <c r="G59" i="2"/>
  <c r="DD58" i="2"/>
  <c r="CN58" i="2"/>
  <c r="BX58" i="2"/>
  <c r="BH58" i="2"/>
  <c r="AR58" i="2"/>
  <c r="AB58" i="2"/>
  <c r="L58" i="2"/>
  <c r="DM57" i="2"/>
  <c r="CW57" i="2"/>
  <c r="CG57" i="2"/>
  <c r="BQ57" i="2"/>
  <c r="BA57" i="2"/>
  <c r="AK57" i="2"/>
  <c r="U57" i="2"/>
  <c r="E57" i="2"/>
  <c r="DB56" i="2"/>
  <c r="CL56" i="2"/>
  <c r="BV56" i="2"/>
  <c r="BF56" i="2"/>
  <c r="AP56" i="2"/>
  <c r="Z56" i="2"/>
  <c r="J56" i="2"/>
  <c r="DG55" i="2"/>
  <c r="CQ55" i="2"/>
  <c r="CA55" i="2"/>
  <c r="BK55" i="2"/>
  <c r="AU55" i="2"/>
  <c r="AE55" i="2"/>
  <c r="O55" i="2"/>
  <c r="DL54" i="2"/>
  <c r="CV54" i="2"/>
  <c r="CF54" i="2"/>
  <c r="BP54" i="2"/>
  <c r="AZ54" i="2"/>
  <c r="AJ54" i="2"/>
  <c r="T54" i="2"/>
  <c r="D54" i="2"/>
  <c r="DE53" i="2"/>
  <c r="CO53" i="2"/>
  <c r="BY53" i="2"/>
  <c r="BI53" i="2"/>
  <c r="AS53" i="2"/>
  <c r="AC53" i="2"/>
  <c r="M53" i="2"/>
  <c r="DJ52" i="2"/>
  <c r="CT52" i="2"/>
  <c r="CD52" i="2"/>
  <c r="BN52" i="2"/>
  <c r="AX52" i="2"/>
  <c r="AH52" i="2"/>
  <c r="R52" i="2"/>
  <c r="DO51" i="2"/>
  <c r="CY51" i="2"/>
  <c r="CI51" i="2"/>
  <c r="BS51" i="2"/>
  <c r="BC51" i="2"/>
  <c r="AM51" i="2"/>
  <c r="W51" i="2"/>
  <c r="G51" i="2"/>
  <c r="DD50" i="2"/>
  <c r="CN50" i="2"/>
  <c r="BX50" i="2"/>
  <c r="BH50" i="2"/>
  <c r="AR50" i="2"/>
  <c r="AB50" i="2"/>
  <c r="L50" i="2"/>
  <c r="DM49" i="2"/>
  <c r="CW49" i="2"/>
  <c r="CG49" i="2"/>
  <c r="BQ49" i="2"/>
  <c r="BA49" i="2"/>
  <c r="AK49" i="2"/>
  <c r="U49" i="2"/>
  <c r="E49" i="2"/>
  <c r="DB48" i="2"/>
  <c r="CL48" i="2"/>
  <c r="BV48" i="2"/>
  <c r="BF48" i="2"/>
  <c r="AP48" i="2"/>
  <c r="Z48" i="2"/>
  <c r="J48" i="2"/>
  <c r="DG47" i="2"/>
  <c r="CQ47" i="2"/>
  <c r="CA47" i="2"/>
  <c r="BK47" i="2"/>
  <c r="AU47" i="2"/>
  <c r="AE47" i="2"/>
  <c r="O47" i="2"/>
  <c r="DL46" i="2"/>
  <c r="CV46" i="2"/>
  <c r="CF46" i="2"/>
  <c r="BP46" i="2"/>
  <c r="AZ46" i="2"/>
  <c r="AJ46" i="2"/>
  <c r="T46" i="2"/>
  <c r="D46" i="2"/>
  <c r="DE45" i="2"/>
  <c r="CO45" i="2"/>
  <c r="BY45" i="2"/>
  <c r="BI45" i="2"/>
  <c r="AS45" i="2"/>
  <c r="AC45" i="2"/>
  <c r="M45" i="2"/>
  <c r="DJ44" i="2"/>
  <c r="CT44" i="2"/>
  <c r="CD44" i="2"/>
  <c r="BN44" i="2"/>
  <c r="AX44" i="2"/>
  <c r="AH44" i="2"/>
  <c r="R44" i="2"/>
  <c r="DO43" i="2"/>
  <c r="CY43" i="2"/>
  <c r="CI43" i="2"/>
  <c r="BS43" i="2"/>
  <c r="BC43" i="2"/>
  <c r="AM43" i="2"/>
  <c r="W43" i="2"/>
  <c r="G43" i="2"/>
  <c r="DD42" i="2"/>
  <c r="CN42" i="2"/>
  <c r="BX42" i="2"/>
  <c r="BH42" i="2"/>
  <c r="AR42" i="2"/>
  <c r="AB42" i="2"/>
  <c r="L42" i="2"/>
  <c r="DM41" i="2"/>
  <c r="CW41" i="2"/>
  <c r="CG41" i="2"/>
  <c r="BQ41" i="2"/>
  <c r="BA41" i="2"/>
  <c r="AK41" i="2"/>
  <c r="U41" i="2"/>
  <c r="E41" i="2"/>
  <c r="DB40" i="2"/>
  <c r="CL40" i="2"/>
  <c r="BV40" i="2"/>
  <c r="BF40" i="2"/>
  <c r="AP40" i="2"/>
  <c r="Z40" i="2"/>
  <c r="J40" i="2"/>
  <c r="DG39" i="2"/>
  <c r="CQ39" i="2"/>
  <c r="CA39" i="2"/>
  <c r="BK39" i="2"/>
  <c r="AU39" i="2"/>
  <c r="AE39" i="2"/>
  <c r="O39" i="2"/>
  <c r="DL38" i="2"/>
  <c r="CV38" i="2"/>
  <c r="CF38" i="2"/>
  <c r="BP38" i="2"/>
  <c r="AZ38" i="2"/>
  <c r="AJ38" i="2"/>
  <c r="T38" i="2"/>
  <c r="D38" i="2"/>
  <c r="DE37" i="2"/>
  <c r="CO37" i="2"/>
  <c r="BY37" i="2"/>
  <c r="BI37" i="2"/>
  <c r="AS37" i="2"/>
  <c r="AC37" i="2"/>
  <c r="M37" i="2"/>
  <c r="CO130" i="2"/>
  <c r="W115" i="2"/>
  <c r="CC91" i="2"/>
  <c r="CP129" i="2"/>
  <c r="N121" i="2"/>
  <c r="AX112" i="2"/>
  <c r="CF103" i="2"/>
  <c r="I98" i="2"/>
  <c r="P95" i="2"/>
  <c r="BV93" i="2"/>
  <c r="S92" i="2"/>
  <c r="CK90" i="2"/>
  <c r="DH134" i="2"/>
  <c r="G132" i="2"/>
  <c r="U129" i="2"/>
  <c r="AF126" i="2"/>
  <c r="O124" i="2"/>
  <c r="DE121" i="2"/>
  <c r="CM119" i="2"/>
  <c r="BQ117" i="2"/>
  <c r="AY115" i="2"/>
  <c r="AC113" i="2"/>
  <c r="K111" i="2"/>
  <c r="DG108" i="2"/>
  <c r="CJ106" i="2"/>
  <c r="BS104" i="2"/>
  <c r="AV102" i="2"/>
  <c r="AE100" i="2"/>
  <c r="AV98" i="2"/>
  <c r="AN94" i="2"/>
  <c r="BK91" i="2"/>
  <c r="E90" i="2"/>
  <c r="BF89" i="2"/>
  <c r="DG88" i="2"/>
  <c r="AU88" i="2"/>
  <c r="CV87" i="2"/>
  <c r="AJ87" i="2"/>
  <c r="CO86" i="2"/>
  <c r="AC86" i="2"/>
  <c r="CD85" i="2"/>
  <c r="R85" i="2"/>
  <c r="BS84" i="2"/>
  <c r="G84" i="2"/>
  <c r="BH83" i="2"/>
  <c r="DM82" i="2"/>
  <c r="BA82" i="2"/>
  <c r="DB81" i="2"/>
  <c r="AP81" i="2"/>
  <c r="CQ80" i="2"/>
  <c r="AE80" i="2"/>
  <c r="CF79" i="2"/>
  <c r="T79" i="2"/>
  <c r="BY78" i="2"/>
  <c r="M78" i="2"/>
  <c r="BN77" i="2"/>
  <c r="DO76" i="2"/>
  <c r="BK76" i="2"/>
  <c r="W76" i="2"/>
  <c r="CR75" i="2"/>
  <c r="AZ75" i="2"/>
  <c r="L75" i="2"/>
  <c r="CK74" i="2"/>
  <c r="AS74" i="2"/>
  <c r="E74" i="2"/>
  <c r="BZ73" i="2"/>
  <c r="AH73" i="2"/>
  <c r="DG72" i="2"/>
  <c r="BO72" i="2"/>
  <c r="W72" i="2"/>
  <c r="CV71" i="2"/>
  <c r="BD71" i="2"/>
  <c r="L71" i="2"/>
  <c r="CO70" i="2"/>
  <c r="AW70" i="2"/>
  <c r="E70" i="2"/>
  <c r="CD69" i="2"/>
  <c r="AL69" i="2"/>
  <c r="DG68" i="2"/>
  <c r="BS68" i="2"/>
  <c r="AA68" i="2"/>
  <c r="CV67" i="2"/>
  <c r="BH67" i="2"/>
  <c r="P67" i="2"/>
  <c r="CO66" i="2"/>
  <c r="BA66" i="2"/>
  <c r="I66" i="2"/>
  <c r="CD65" i="2"/>
  <c r="AP65" i="2"/>
  <c r="DK64" i="2"/>
  <c r="BS64" i="2"/>
  <c r="AE64" i="2"/>
  <c r="CZ63" i="2"/>
  <c r="BH63" i="2"/>
  <c r="T63" i="2"/>
  <c r="CS62" i="2"/>
  <c r="BA62" i="2"/>
  <c r="M62" i="2"/>
  <c r="CH61" i="2"/>
  <c r="AP61" i="2"/>
  <c r="DO60" i="2"/>
  <c r="BW60" i="2"/>
  <c r="AE60" i="2"/>
  <c r="DD59" i="2"/>
  <c r="BL59" i="2"/>
  <c r="T59" i="2"/>
  <c r="CW58" i="2"/>
  <c r="BE58" i="2"/>
  <c r="M58" i="2"/>
  <c r="CL57" i="2"/>
  <c r="AT57" i="2"/>
  <c r="DO56" i="2"/>
  <c r="CA56" i="2"/>
  <c r="AI56" i="2"/>
  <c r="DD55" i="2"/>
  <c r="BP55" i="2"/>
  <c r="X55" i="2"/>
  <c r="CW54" i="2"/>
  <c r="BI54" i="2"/>
  <c r="Q54" i="2"/>
  <c r="CL53" i="2"/>
  <c r="AX53" i="2"/>
  <c r="F53" i="2"/>
  <c r="CA52" i="2"/>
  <c r="AM52" i="2"/>
  <c r="DH51" i="2"/>
  <c r="BP51" i="2"/>
  <c r="AB51" i="2"/>
  <c r="DA50" i="2"/>
  <c r="BI50" i="2"/>
  <c r="U50" i="2"/>
  <c r="CP49" i="2"/>
  <c r="AX49" i="2"/>
  <c r="J49" i="2"/>
  <c r="CE48" i="2"/>
  <c r="AM48" i="2"/>
  <c r="DL47" i="2"/>
  <c r="BT47" i="2"/>
  <c r="AB47" i="2"/>
  <c r="DE46" i="2"/>
  <c r="BM46" i="2"/>
  <c r="U46" i="2"/>
  <c r="CT45" i="2"/>
  <c r="BB45" i="2"/>
  <c r="J45" i="2"/>
  <c r="CI44" i="2"/>
  <c r="AQ44" i="2"/>
  <c r="K44" i="2"/>
  <c r="CR43" i="2"/>
  <c r="BL43" i="2"/>
  <c r="AF43" i="2"/>
  <c r="DQ42" i="2"/>
  <c r="CK42" i="2"/>
  <c r="BE42" i="2"/>
  <c r="Y42" i="2"/>
  <c r="DF41" i="2"/>
  <c r="BZ41" i="2"/>
  <c r="AT41" i="2"/>
  <c r="N41" i="2"/>
  <c r="CU40" i="2"/>
  <c r="BO40" i="2"/>
  <c r="AI40" i="2"/>
  <c r="DP39" i="2"/>
  <c r="CJ39" i="2"/>
  <c r="BD39" i="2"/>
  <c r="X39" i="2"/>
  <c r="DI38" i="2"/>
  <c r="CC38" i="2"/>
  <c r="AW38" i="2"/>
  <c r="Q38" i="2"/>
  <c r="CX37" i="2"/>
  <c r="BR37" i="2"/>
  <c r="AL37" i="2"/>
  <c r="F37" i="2"/>
  <c r="CM36" i="2"/>
  <c r="BG36" i="2"/>
  <c r="AA36" i="2"/>
  <c r="DH35" i="2"/>
  <c r="CB35" i="2"/>
  <c r="AV35" i="2"/>
  <c r="P35" i="2"/>
  <c r="DA34" i="2"/>
  <c r="BU34" i="2"/>
  <c r="AO34" i="2"/>
  <c r="I34" i="2"/>
  <c r="CP33" i="2"/>
  <c r="BJ33" i="2"/>
  <c r="AD33" i="2"/>
  <c r="DK32" i="2"/>
  <c r="CE32" i="2"/>
  <c r="AY32" i="2"/>
  <c r="S32" i="2"/>
  <c r="CZ31" i="2"/>
  <c r="BT31" i="2"/>
  <c r="AN31" i="2"/>
  <c r="H31" i="2"/>
  <c r="CS30" i="2"/>
  <c r="BM30" i="2"/>
  <c r="AG30" i="2"/>
  <c r="DN29" i="2"/>
  <c r="CH29" i="2"/>
  <c r="BB29" i="2"/>
  <c r="V29" i="2"/>
  <c r="DC28" i="2"/>
  <c r="BW28" i="2"/>
  <c r="AQ28" i="2"/>
  <c r="K28" i="2"/>
  <c r="CR27" i="2"/>
  <c r="BL27" i="2"/>
  <c r="AF27" i="2"/>
  <c r="DQ26" i="2"/>
  <c r="CK26" i="2"/>
  <c r="BE26" i="2"/>
  <c r="Y26" i="2"/>
  <c r="DN25" i="2"/>
  <c r="CP25" i="2"/>
  <c r="BV25" i="2"/>
  <c r="BB25" i="2"/>
  <c r="AD25" i="2"/>
  <c r="J25" i="2"/>
  <c r="DC24" i="2"/>
  <c r="CE24" i="2"/>
  <c r="BK24" i="2"/>
  <c r="AQ24" i="2"/>
  <c r="S24" i="2"/>
  <c r="DL23" i="2"/>
  <c r="CR23" i="2"/>
  <c r="BT23" i="2"/>
  <c r="AZ23" i="2"/>
  <c r="AF23" i="2"/>
  <c r="H23" i="2"/>
  <c r="DE22" i="2"/>
  <c r="CK22" i="2"/>
  <c r="BM22" i="2"/>
  <c r="AS22" i="2"/>
  <c r="Y22" i="2"/>
  <c r="DN21" i="2"/>
  <c r="CT21" i="2"/>
  <c r="BZ21" i="2"/>
  <c r="BB21" i="2"/>
  <c r="AH21" i="2"/>
  <c r="N21" i="2"/>
  <c r="DC20" i="2"/>
  <c r="CI20" i="2"/>
  <c r="BO20" i="2"/>
  <c r="AQ20" i="2"/>
  <c r="W20" i="2"/>
  <c r="DP19" i="2"/>
  <c r="CR19" i="2"/>
  <c r="BX19" i="2"/>
  <c r="BD19" i="2"/>
  <c r="AF19" i="2"/>
  <c r="L19" i="2"/>
  <c r="DI18" i="2"/>
  <c r="CK18" i="2"/>
  <c r="BQ18" i="2"/>
  <c r="AW18" i="2"/>
  <c r="Y18" i="2"/>
  <c r="E18" i="2"/>
  <c r="CX17" i="2"/>
  <c r="BZ17" i="2"/>
  <c r="BF17" i="2"/>
  <c r="AL17" i="2"/>
  <c r="N17" i="2"/>
  <c r="DG16" i="2"/>
  <c r="CM16" i="2"/>
  <c r="BO16" i="2"/>
  <c r="AU16" i="2"/>
  <c r="AA16" i="2"/>
  <c r="DP15" i="2"/>
  <c r="CV15" i="2"/>
  <c r="CB15" i="2"/>
  <c r="BD15" i="2"/>
  <c r="AJ15" i="2"/>
  <c r="P15" i="2"/>
  <c r="DI14" i="2"/>
  <c r="CO14" i="2"/>
  <c r="BU14" i="2"/>
  <c r="AW14" i="2"/>
  <c r="AC14" i="2"/>
  <c r="I14" i="2"/>
  <c r="CX13" i="2"/>
  <c r="CD13" i="2"/>
  <c r="BJ13" i="2"/>
  <c r="AL13" i="2"/>
  <c r="R13" i="2"/>
  <c r="DK12" i="2"/>
  <c r="CM12" i="2"/>
  <c r="BS12" i="2"/>
  <c r="AY12" i="2"/>
  <c r="AA12" i="2"/>
  <c r="G12" i="2"/>
  <c r="CZ11" i="2"/>
  <c r="CB11" i="2"/>
  <c r="BH11" i="2"/>
  <c r="AN11" i="2"/>
  <c r="P11" i="2"/>
  <c r="DM10" i="2"/>
  <c r="CS10" i="2"/>
  <c r="BU10" i="2"/>
  <c r="BA10" i="2"/>
  <c r="AG10" i="2"/>
  <c r="I10" i="2"/>
  <c r="DB9" i="2"/>
  <c r="CH9" i="2"/>
  <c r="BJ9" i="2"/>
  <c r="AP9" i="2"/>
  <c r="V9" i="2"/>
  <c r="BH98" i="2"/>
  <c r="CS97" i="2"/>
  <c r="Q97" i="2"/>
  <c r="AH96" i="2"/>
  <c r="BO95" i="2"/>
  <c r="CV94" i="2"/>
  <c r="D94" i="2"/>
  <c r="BE93" i="2"/>
  <c r="CL92" i="2"/>
  <c r="DC91" i="2"/>
  <c r="AA91" i="2"/>
  <c r="BH90" i="2"/>
  <c r="P90" i="2"/>
  <c r="DM89" i="2"/>
  <c r="CS89" i="2"/>
  <c r="BU89" i="2"/>
  <c r="BA89" i="2"/>
  <c r="AG89" i="2"/>
  <c r="I89" i="2"/>
  <c r="DB88" i="2"/>
  <c r="CH88" i="2"/>
  <c r="BJ88" i="2"/>
  <c r="AP88" i="2"/>
  <c r="V88" i="2"/>
  <c r="DK87" i="2"/>
  <c r="CQ87" i="2"/>
  <c r="BW87" i="2"/>
  <c r="AY87" i="2"/>
  <c r="AE87" i="2"/>
  <c r="K87" i="2"/>
  <c r="CZ86" i="2"/>
  <c r="CF86" i="2"/>
  <c r="BL86" i="2"/>
  <c r="AN86" i="2"/>
  <c r="T86" i="2"/>
  <c r="DQ85" i="2"/>
  <c r="CS85" i="2"/>
  <c r="BY85" i="2"/>
  <c r="BE85" i="2"/>
  <c r="AG85" i="2"/>
  <c r="M85" i="2"/>
  <c r="DF84" i="2"/>
  <c r="CH84" i="2"/>
  <c r="BN84" i="2"/>
  <c r="AT84" i="2"/>
  <c r="V84" i="2"/>
  <c r="DO83" i="2"/>
  <c r="CU83" i="2"/>
  <c r="BW83" i="2"/>
  <c r="BC83" i="2"/>
  <c r="AI83" i="2"/>
  <c r="K83" i="2"/>
  <c r="DD82" i="2"/>
  <c r="CJ82" i="2"/>
  <c r="BL82" i="2"/>
  <c r="AR82" i="2"/>
  <c r="X82" i="2"/>
  <c r="DQ81" i="2"/>
  <c r="CW81" i="2"/>
  <c r="CC81" i="2"/>
  <c r="BE81" i="2"/>
  <c r="AK81" i="2"/>
  <c r="Q81" i="2"/>
  <c r="DF80" i="2"/>
  <c r="CL80" i="2"/>
  <c r="BR80" i="2"/>
  <c r="AT80" i="2"/>
  <c r="Z80" i="2"/>
  <c r="F80" i="2"/>
  <c r="CU79" i="2"/>
  <c r="CA79" i="2"/>
  <c r="BG79" i="2"/>
  <c r="AI79" i="2"/>
  <c r="O79" i="2"/>
  <c r="DH78" i="2"/>
  <c r="CJ78" i="2"/>
  <c r="BP78" i="2"/>
  <c r="AV78" i="2"/>
  <c r="X78" i="2"/>
  <c r="D78" i="2"/>
  <c r="DA77" i="2"/>
  <c r="CC77" i="2"/>
  <c r="BI77" i="2"/>
  <c r="AO77" i="2"/>
  <c r="Q77" i="2"/>
  <c r="DJ76" i="2"/>
  <c r="CP76" i="2"/>
  <c r="BR76" i="2"/>
  <c r="AX76" i="2"/>
  <c r="AD76" i="2"/>
  <c r="F76" i="2"/>
  <c r="CY75" i="2"/>
  <c r="CE75" i="2"/>
  <c r="BG75" i="2"/>
  <c r="AM75" i="2"/>
  <c r="S75" i="2"/>
  <c r="DH74" i="2"/>
  <c r="CN74" i="2"/>
  <c r="BT74" i="2"/>
  <c r="BD74" i="2"/>
  <c r="AN74" i="2"/>
  <c r="X74" i="2"/>
  <c r="H74" i="2"/>
  <c r="DI73" i="2"/>
  <c r="CS73" i="2"/>
  <c r="CC73" i="2"/>
  <c r="BM73" i="2"/>
  <c r="AW73" i="2"/>
  <c r="AG73" i="2"/>
  <c r="Q73" i="2"/>
  <c r="DN72" i="2"/>
  <c r="CX72" i="2"/>
  <c r="CH72" i="2"/>
  <c r="BR72" i="2"/>
  <c r="BB72" i="2"/>
  <c r="AL72" i="2"/>
  <c r="V72" i="2"/>
  <c r="F72" i="2"/>
  <c r="DC71" i="2"/>
  <c r="CM71" i="2"/>
  <c r="BW71" i="2"/>
  <c r="BG71" i="2"/>
  <c r="AQ71" i="2"/>
  <c r="AA71" i="2"/>
  <c r="K71" i="2"/>
  <c r="DH70" i="2"/>
  <c r="CR70" i="2"/>
  <c r="CB70" i="2"/>
  <c r="BL70" i="2"/>
  <c r="AV70" i="2"/>
  <c r="AF70" i="2"/>
  <c r="P70" i="2"/>
  <c r="DQ69" i="2"/>
  <c r="DA69" i="2"/>
  <c r="CK69" i="2"/>
  <c r="BU69" i="2"/>
  <c r="BE69" i="2"/>
  <c r="AO69" i="2"/>
  <c r="Y69" i="2"/>
  <c r="I69" i="2"/>
  <c r="DF68" i="2"/>
  <c r="CP68" i="2"/>
  <c r="BZ68" i="2"/>
  <c r="BJ68" i="2"/>
  <c r="AT68" i="2"/>
  <c r="AD68" i="2"/>
  <c r="N68" i="2"/>
  <c r="DK67" i="2"/>
  <c r="CU67" i="2"/>
  <c r="CE67" i="2"/>
  <c r="BO67" i="2"/>
  <c r="AY67" i="2"/>
  <c r="AI67" i="2"/>
  <c r="S67" i="2"/>
  <c r="DP66" i="2"/>
  <c r="CZ66" i="2"/>
  <c r="CJ66" i="2"/>
  <c r="BT66" i="2"/>
  <c r="BD66" i="2"/>
  <c r="AN66" i="2"/>
  <c r="X66" i="2"/>
  <c r="H66" i="2"/>
  <c r="DI65" i="2"/>
  <c r="CS65" i="2"/>
  <c r="CC65" i="2"/>
  <c r="BM65" i="2"/>
  <c r="AW65" i="2"/>
  <c r="AG65" i="2"/>
  <c r="Q65" i="2"/>
  <c r="DN64" i="2"/>
  <c r="CX64" i="2"/>
  <c r="CH64" i="2"/>
  <c r="BR64" i="2"/>
  <c r="BB64" i="2"/>
  <c r="AL64" i="2"/>
  <c r="V64" i="2"/>
  <c r="F64" i="2"/>
  <c r="DC63" i="2"/>
  <c r="CM63" i="2"/>
  <c r="BW63" i="2"/>
  <c r="BG63" i="2"/>
  <c r="AQ63" i="2"/>
  <c r="AA63" i="2"/>
  <c r="K63" i="2"/>
  <c r="DH62" i="2"/>
  <c r="CR62" i="2"/>
  <c r="CB62" i="2"/>
  <c r="BL62" i="2"/>
  <c r="AV62" i="2"/>
  <c r="AF62" i="2"/>
  <c r="P62" i="2"/>
  <c r="DQ61" i="2"/>
  <c r="DA61" i="2"/>
  <c r="CK61" i="2"/>
  <c r="BU61" i="2"/>
  <c r="BE61" i="2"/>
  <c r="AO61" i="2"/>
  <c r="Y61" i="2"/>
  <c r="I61" i="2"/>
  <c r="DF60" i="2"/>
  <c r="CP60" i="2"/>
  <c r="BZ60" i="2"/>
  <c r="BJ60" i="2"/>
  <c r="AT60" i="2"/>
  <c r="AD60" i="2"/>
  <c r="N60" i="2"/>
  <c r="DK59" i="2"/>
  <c r="CU59" i="2"/>
  <c r="CE59" i="2"/>
  <c r="BO59" i="2"/>
  <c r="AY59" i="2"/>
  <c r="AI59" i="2"/>
  <c r="S59" i="2"/>
  <c r="DP58" i="2"/>
  <c r="CZ58" i="2"/>
  <c r="CJ58" i="2"/>
  <c r="BT58" i="2"/>
  <c r="BD58" i="2"/>
  <c r="AN58" i="2"/>
  <c r="X58" i="2"/>
  <c r="H58" i="2"/>
  <c r="DI57" i="2"/>
  <c r="CS57" i="2"/>
  <c r="CC57" i="2"/>
  <c r="BM57" i="2"/>
  <c r="AW57" i="2"/>
  <c r="AG57" i="2"/>
  <c r="Q57" i="2"/>
  <c r="DN56" i="2"/>
  <c r="CX56" i="2"/>
  <c r="CH56" i="2"/>
  <c r="BR56" i="2"/>
  <c r="BB56" i="2"/>
  <c r="AL56" i="2"/>
  <c r="V56" i="2"/>
  <c r="F56" i="2"/>
  <c r="DC55" i="2"/>
  <c r="CM55" i="2"/>
  <c r="BW55" i="2"/>
  <c r="BG55" i="2"/>
  <c r="AQ55" i="2"/>
  <c r="AA55" i="2"/>
  <c r="K55" i="2"/>
  <c r="DH54" i="2"/>
  <c r="CR54" i="2"/>
  <c r="CB54" i="2"/>
  <c r="BL54" i="2"/>
  <c r="AV54" i="2"/>
  <c r="AF54" i="2"/>
  <c r="P54" i="2"/>
  <c r="DQ53" i="2"/>
  <c r="DA53" i="2"/>
  <c r="CK53" i="2"/>
  <c r="BU53" i="2"/>
  <c r="BE53" i="2"/>
  <c r="AO53" i="2"/>
  <c r="Y53" i="2"/>
  <c r="I53" i="2"/>
  <c r="DF52" i="2"/>
  <c r="CP52" i="2"/>
  <c r="BZ52" i="2"/>
  <c r="BJ52" i="2"/>
  <c r="AT52" i="2"/>
  <c r="AD52" i="2"/>
  <c r="N52" i="2"/>
  <c r="DK51" i="2"/>
  <c r="CU51" i="2"/>
  <c r="CE51" i="2"/>
  <c r="BO51" i="2"/>
  <c r="AY51" i="2"/>
  <c r="AI51" i="2"/>
  <c r="S51" i="2"/>
  <c r="DP50" i="2"/>
  <c r="CZ50" i="2"/>
  <c r="CJ50" i="2"/>
  <c r="BT50" i="2"/>
  <c r="BD50" i="2"/>
  <c r="AN50" i="2"/>
  <c r="X50" i="2"/>
  <c r="H50" i="2"/>
  <c r="DI49" i="2"/>
  <c r="CS49" i="2"/>
  <c r="CC49" i="2"/>
  <c r="BM49" i="2"/>
  <c r="AW49" i="2"/>
  <c r="AG49" i="2"/>
  <c r="Q49" i="2"/>
  <c r="DN48" i="2"/>
  <c r="CX48" i="2"/>
  <c r="CH48" i="2"/>
  <c r="BR48" i="2"/>
  <c r="BB48" i="2"/>
  <c r="AL48" i="2"/>
  <c r="V48" i="2"/>
  <c r="F48" i="2"/>
  <c r="DC47" i="2"/>
  <c r="CM47" i="2"/>
  <c r="BW47" i="2"/>
  <c r="BG47" i="2"/>
  <c r="AQ47" i="2"/>
  <c r="AA47" i="2"/>
  <c r="K47" i="2"/>
  <c r="DH46" i="2"/>
  <c r="CR46" i="2"/>
  <c r="CB46" i="2"/>
  <c r="BL46" i="2"/>
  <c r="AV46" i="2"/>
  <c r="AF46" i="2"/>
  <c r="P46" i="2"/>
  <c r="DQ45" i="2"/>
  <c r="DA45" i="2"/>
  <c r="CK45" i="2"/>
  <c r="BU45" i="2"/>
  <c r="BE45" i="2"/>
  <c r="AO45" i="2"/>
  <c r="Y45" i="2"/>
  <c r="I45" i="2"/>
  <c r="DF44" i="2"/>
  <c r="CP44" i="2"/>
  <c r="BZ44" i="2"/>
  <c r="BJ44" i="2"/>
  <c r="AT44" i="2"/>
  <c r="AD44" i="2"/>
  <c r="N44" i="2"/>
  <c r="DK43" i="2"/>
  <c r="CU43" i="2"/>
  <c r="CE43" i="2"/>
  <c r="BO43" i="2"/>
  <c r="AY43" i="2"/>
  <c r="AI43" i="2"/>
  <c r="S43" i="2"/>
  <c r="DP42" i="2"/>
  <c r="CZ42" i="2"/>
  <c r="CJ42" i="2"/>
  <c r="BT42" i="2"/>
  <c r="BD42" i="2"/>
  <c r="AN42" i="2"/>
  <c r="X42" i="2"/>
  <c r="H42" i="2"/>
  <c r="DI41" i="2"/>
  <c r="CS41" i="2"/>
  <c r="CC41" i="2"/>
  <c r="BM41" i="2"/>
  <c r="AW41" i="2"/>
  <c r="AG41" i="2"/>
  <c r="Q41" i="2"/>
  <c r="DN40" i="2"/>
  <c r="CX40" i="2"/>
  <c r="CH40" i="2"/>
  <c r="BR40" i="2"/>
  <c r="BB40" i="2"/>
  <c r="AL40" i="2"/>
  <c r="V40" i="2"/>
  <c r="F40" i="2"/>
  <c r="DC39" i="2"/>
  <c r="CM39" i="2"/>
  <c r="BW39" i="2"/>
  <c r="BG39" i="2"/>
  <c r="AQ39" i="2"/>
  <c r="AA39" i="2"/>
  <c r="K39" i="2"/>
  <c r="DH38" i="2"/>
  <c r="CR38" i="2"/>
  <c r="CB38" i="2"/>
  <c r="BL38" i="2"/>
  <c r="AV38" i="2"/>
  <c r="AF38" i="2"/>
  <c r="P38" i="2"/>
  <c r="DQ37" i="2"/>
  <c r="DA37" i="2"/>
  <c r="CK37" i="2"/>
  <c r="BU37" i="2"/>
  <c r="BE37" i="2"/>
  <c r="AO37" i="2"/>
  <c r="Y37" i="2"/>
  <c r="I37" i="2"/>
  <c r="DF36" i="2"/>
  <c r="CP36" i="2"/>
  <c r="BZ36" i="2"/>
  <c r="BJ36" i="2"/>
  <c r="AT36" i="2"/>
  <c r="AD36" i="2"/>
  <c r="N36" i="2"/>
  <c r="DK35" i="2"/>
  <c r="CU35" i="2"/>
  <c r="CE35" i="2"/>
  <c r="BO35" i="2"/>
  <c r="AY35" i="2"/>
  <c r="AI35" i="2"/>
  <c r="S35" i="2"/>
  <c r="DP34" i="2"/>
  <c r="CZ34" i="2"/>
  <c r="CJ34" i="2"/>
  <c r="BT34" i="2"/>
  <c r="BD34" i="2"/>
  <c r="AN34" i="2"/>
  <c r="X34" i="2"/>
  <c r="H34" i="2"/>
  <c r="DI33" i="2"/>
  <c r="CS33" i="2"/>
  <c r="CC33" i="2"/>
  <c r="BM33" i="2"/>
  <c r="AW33" i="2"/>
  <c r="AG33" i="2"/>
  <c r="Q33" i="2"/>
  <c r="DN32" i="2"/>
  <c r="CX32" i="2"/>
  <c r="CH32" i="2"/>
  <c r="BR32" i="2"/>
  <c r="BB32" i="2"/>
  <c r="AL32" i="2"/>
  <c r="V32" i="2"/>
  <c r="F32" i="2"/>
  <c r="DC31" i="2"/>
  <c r="CM31" i="2"/>
  <c r="BW31" i="2"/>
  <c r="BG31" i="2"/>
  <c r="AQ31" i="2"/>
  <c r="AA31" i="2"/>
  <c r="K31" i="2"/>
  <c r="DH30" i="2"/>
  <c r="CR30" i="2"/>
  <c r="CB30" i="2"/>
  <c r="BL30" i="2"/>
  <c r="AV30" i="2"/>
  <c r="AF30" i="2"/>
  <c r="P30" i="2"/>
  <c r="DQ29" i="2"/>
  <c r="DA29" i="2"/>
  <c r="CK29" i="2"/>
  <c r="BU29" i="2"/>
  <c r="BE29" i="2"/>
  <c r="AO29" i="2"/>
  <c r="Y29" i="2"/>
  <c r="I29" i="2"/>
  <c r="DF28" i="2"/>
  <c r="CP28" i="2"/>
  <c r="BZ28" i="2"/>
  <c r="BJ28" i="2"/>
  <c r="AT28" i="2"/>
  <c r="AD28" i="2"/>
  <c r="N28" i="2"/>
  <c r="DK27" i="2"/>
  <c r="CU27" i="2"/>
  <c r="CE27" i="2"/>
  <c r="BO27" i="2"/>
  <c r="AY27" i="2"/>
  <c r="AI27" i="2"/>
  <c r="S27" i="2"/>
  <c r="DP26" i="2"/>
  <c r="CZ26" i="2"/>
  <c r="CJ26" i="2"/>
  <c r="BT26" i="2"/>
  <c r="BD26" i="2"/>
  <c r="AN26" i="2"/>
  <c r="X26" i="2"/>
  <c r="H26" i="2"/>
  <c r="DI25" i="2"/>
  <c r="CS25" i="2"/>
  <c r="CC25" i="2"/>
  <c r="BM25" i="2"/>
  <c r="AW25" i="2"/>
  <c r="AG25" i="2"/>
  <c r="Q25" i="2"/>
  <c r="DN24" i="2"/>
  <c r="CX24" i="2"/>
  <c r="CH24" i="2"/>
  <c r="BR24" i="2"/>
  <c r="BB24" i="2"/>
  <c r="AL24" i="2"/>
  <c r="BJ98" i="2"/>
  <c r="BB125" i="2"/>
  <c r="J108" i="2"/>
  <c r="BS96" i="2"/>
  <c r="DC92" i="2"/>
  <c r="AU136" i="2"/>
  <c r="BT130" i="2"/>
  <c r="U125" i="2"/>
  <c r="CY120" i="2"/>
  <c r="BK116" i="2"/>
  <c r="W112" i="2"/>
  <c r="CU107" i="2"/>
  <c r="BG103" i="2"/>
  <c r="W99" i="2"/>
  <c r="BZ92" i="2"/>
  <c r="CL89" i="2"/>
  <c r="CA88" i="2"/>
  <c r="BP87" i="2"/>
  <c r="BI86" i="2"/>
  <c r="AX85" i="2"/>
  <c r="AM84" i="2"/>
  <c r="AB83" i="2"/>
  <c r="U82" i="2"/>
  <c r="J81" i="2"/>
  <c r="DL79" i="2"/>
  <c r="DE78" i="2"/>
  <c r="CT77" i="2"/>
  <c r="CI76" i="2"/>
  <c r="DL75" i="2"/>
  <c r="AF75" i="2"/>
  <c r="BQ74" i="2"/>
  <c r="CT73" i="2"/>
  <c r="N73" i="2"/>
  <c r="AU72" i="2"/>
  <c r="BX71" i="2"/>
  <c r="DI70" i="2"/>
  <c r="AC70" i="2"/>
  <c r="BF69" i="2"/>
  <c r="CM68" i="2"/>
  <c r="G68" i="2"/>
  <c r="AJ67" i="2"/>
  <c r="BU66" i="2"/>
  <c r="DB65" i="2"/>
  <c r="R65" i="2"/>
  <c r="AY64" i="2"/>
  <c r="CF63" i="2"/>
  <c r="DM62" i="2"/>
  <c r="AG62" i="2"/>
  <c r="BN61" i="2"/>
  <c r="CQ60" i="2"/>
  <c r="K60" i="2"/>
  <c r="AR59" i="2"/>
  <c r="BY58" i="2"/>
  <c r="DF57" i="2"/>
  <c r="Z57" i="2"/>
  <c r="BC56" i="2"/>
  <c r="CJ55" i="2"/>
  <c r="D55" i="2"/>
  <c r="AK54" i="2"/>
  <c r="BR53" i="2"/>
  <c r="CY52" i="2"/>
  <c r="O52" i="2"/>
  <c r="AV51" i="2"/>
  <c r="CG50" i="2"/>
  <c r="DJ49" i="2"/>
  <c r="AD49" i="2"/>
  <c r="BK48" i="2"/>
  <c r="CN47" i="2"/>
  <c r="H47" i="2"/>
  <c r="AS46" i="2"/>
  <c r="BV45" i="2"/>
  <c r="DC44" i="2"/>
  <c r="AA44" i="2"/>
  <c r="CB43" i="2"/>
  <c r="P43" i="2"/>
  <c r="BU42" i="2"/>
  <c r="I42" i="2"/>
  <c r="BJ41" i="2"/>
  <c r="DK40" i="2"/>
  <c r="AY40" i="2"/>
  <c r="CZ39" i="2"/>
  <c r="AN39" i="2"/>
  <c r="CS38" i="2"/>
  <c r="AG38" i="2"/>
  <c r="CH37" i="2"/>
  <c r="V37" i="2"/>
  <c r="BW36" i="2"/>
  <c r="K36" i="2"/>
  <c r="BL35" i="2"/>
  <c r="DQ34" i="2"/>
  <c r="BE34" i="2"/>
  <c r="DF33" i="2"/>
  <c r="AT33" i="2"/>
  <c r="CU32" i="2"/>
  <c r="AI32" i="2"/>
  <c r="CJ31" i="2"/>
  <c r="X31" i="2"/>
  <c r="CC30" i="2"/>
  <c r="Q30" i="2"/>
  <c r="BR29" i="2"/>
  <c r="F29" i="2"/>
  <c r="BG28" i="2"/>
  <c r="DH27" i="2"/>
  <c r="AV27" i="2"/>
  <c r="DA26" i="2"/>
  <c r="AO26" i="2"/>
  <c r="DB25" i="2"/>
  <c r="BJ25" i="2"/>
  <c r="V25" i="2"/>
  <c r="CQ24" i="2"/>
  <c r="AY24" i="2"/>
  <c r="K24" i="2"/>
  <c r="CF23" i="2"/>
  <c r="AN23" i="2"/>
  <c r="DQ22" i="2"/>
  <c r="BY22" i="2"/>
  <c r="AG22" i="2"/>
  <c r="DF21" i="2"/>
  <c r="BN21" i="2"/>
  <c r="V21" i="2"/>
  <c r="CU20" i="2"/>
  <c r="BC20" i="2"/>
  <c r="K20" i="2"/>
  <c r="CJ19" i="2"/>
  <c r="AR19" i="2"/>
  <c r="DQ18" i="2"/>
  <c r="CC18" i="2"/>
  <c r="AK18" i="2"/>
  <c r="DF17" i="2"/>
  <c r="BR17" i="2"/>
  <c r="Z17" i="2"/>
  <c r="CU16" i="2"/>
  <c r="BG16" i="2"/>
  <c r="O16" i="2"/>
  <c r="CJ15" i="2"/>
  <c r="AV15" i="2"/>
  <c r="D15" i="2"/>
  <c r="CC14" i="2"/>
  <c r="AO14" i="2"/>
  <c r="DJ13" i="2"/>
  <c r="BR13" i="2"/>
  <c r="AD13" i="2"/>
  <c r="CY12" i="2"/>
  <c r="BG12" i="2"/>
  <c r="S12" i="2"/>
  <c r="CN11" i="2"/>
  <c r="AV11" i="2"/>
  <c r="H11" i="2"/>
  <c r="CG10" i="2"/>
  <c r="AO10" i="2"/>
  <c r="DN9" i="2"/>
  <c r="BV9" i="2"/>
  <c r="AD9" i="2"/>
  <c r="AB98" i="2"/>
  <c r="CD96" i="2"/>
  <c r="S95" i="2"/>
  <c r="DA93" i="2"/>
  <c r="AP92" i="2"/>
  <c r="CN90" i="2"/>
  <c r="H90" i="2"/>
  <c r="CG89" i="2"/>
  <c r="AO89" i="2"/>
  <c r="DN88" i="2"/>
  <c r="BV88" i="2"/>
  <c r="AD88" i="2"/>
  <c r="DC87" i="2"/>
  <c r="BK87" i="2"/>
  <c r="S87" i="2"/>
  <c r="CR86" i="2"/>
  <c r="AZ86" i="2"/>
  <c r="H86" i="2"/>
  <c r="CK85" i="2"/>
  <c r="AS85" i="2"/>
  <c r="DN84" i="2"/>
  <c r="BZ84" i="2"/>
  <c r="AH84" i="2"/>
  <c r="DC83" i="2"/>
  <c r="BO83" i="2"/>
  <c r="W83" i="2"/>
  <c r="CR82" i="2"/>
  <c r="BD82" i="2"/>
  <c r="L82" i="2"/>
  <c r="CK81" i="2"/>
  <c r="AW81" i="2"/>
  <c r="E81" i="2"/>
  <c r="BZ80" i="2"/>
  <c r="AL80" i="2"/>
  <c r="DG79" i="2"/>
  <c r="BO79" i="2"/>
  <c r="AA79" i="2"/>
  <c r="CV78" i="2"/>
  <c r="BD78" i="2"/>
  <c r="P78" i="2"/>
  <c r="CO77" i="2"/>
  <c r="AW77" i="2"/>
  <c r="I77" i="2"/>
  <c r="CD76" i="2"/>
  <c r="AL76" i="2"/>
  <c r="DK75" i="2"/>
  <c r="BS75" i="2"/>
  <c r="AA75" i="2"/>
  <c r="CZ74" i="2"/>
  <c r="BL74" i="2"/>
  <c r="AF74" i="2"/>
  <c r="DQ73" i="2"/>
  <c r="CK73" i="2"/>
  <c r="BE73" i="2"/>
  <c r="Y73" i="2"/>
  <c r="DF72" i="2"/>
  <c r="BZ72" i="2"/>
  <c r="AT72" i="2"/>
  <c r="N72" i="2"/>
  <c r="CU71" i="2"/>
  <c r="BO71" i="2"/>
  <c r="AI71" i="2"/>
  <c r="DP70" i="2"/>
  <c r="CJ70" i="2"/>
  <c r="BD70" i="2"/>
  <c r="X70" i="2"/>
  <c r="DI69" i="2"/>
  <c r="CC69" i="2"/>
  <c r="AW69" i="2"/>
  <c r="Q69" i="2"/>
  <c r="CX68" i="2"/>
  <c r="BR68" i="2"/>
  <c r="AL68" i="2"/>
  <c r="F68" i="2"/>
  <c r="CM67" i="2"/>
  <c r="BG67" i="2"/>
  <c r="AA67" i="2"/>
  <c r="DH66" i="2"/>
  <c r="CB66" i="2"/>
  <c r="AV66" i="2"/>
  <c r="P66" i="2"/>
  <c r="DA65" i="2"/>
  <c r="BU65" i="2"/>
  <c r="AO65" i="2"/>
  <c r="I65" i="2"/>
  <c r="CP64" i="2"/>
  <c r="BJ64" i="2"/>
  <c r="AD64" i="2"/>
  <c r="DK63" i="2"/>
  <c r="CE63" i="2"/>
  <c r="AY63" i="2"/>
  <c r="S63" i="2"/>
  <c r="CZ62" i="2"/>
  <c r="BT62" i="2"/>
  <c r="AN62" i="2"/>
  <c r="H62" i="2"/>
  <c r="CS61" i="2"/>
  <c r="BM61" i="2"/>
  <c r="AG61" i="2"/>
  <c r="DN60" i="2"/>
  <c r="CH60" i="2"/>
  <c r="BB60" i="2"/>
  <c r="V60" i="2"/>
  <c r="DC59" i="2"/>
  <c r="BW59" i="2"/>
  <c r="AQ59" i="2"/>
  <c r="K59" i="2"/>
  <c r="CR58" i="2"/>
  <c r="BL58" i="2"/>
  <c r="AF58" i="2"/>
  <c r="DQ57" i="2"/>
  <c r="CK57" i="2"/>
  <c r="BE57" i="2"/>
  <c r="Y57" i="2"/>
  <c r="DF56" i="2"/>
  <c r="BZ56" i="2"/>
  <c r="AT56" i="2"/>
  <c r="N56" i="2"/>
  <c r="CU55" i="2"/>
  <c r="BO55" i="2"/>
  <c r="AI55" i="2"/>
  <c r="DP54" i="2"/>
  <c r="CJ54" i="2"/>
  <c r="BD54" i="2"/>
  <c r="X54" i="2"/>
  <c r="DI53" i="2"/>
  <c r="CC53" i="2"/>
  <c r="AW53" i="2"/>
  <c r="Q53" i="2"/>
  <c r="CX52" i="2"/>
  <c r="BR52" i="2"/>
  <c r="AL52" i="2"/>
  <c r="F52" i="2"/>
  <c r="CM51" i="2"/>
  <c r="BG51" i="2"/>
  <c r="AA51" i="2"/>
  <c r="DH50" i="2"/>
  <c r="CB50" i="2"/>
  <c r="AV50" i="2"/>
  <c r="P50" i="2"/>
  <c r="DA49" i="2"/>
  <c r="BU49" i="2"/>
  <c r="AO49" i="2"/>
  <c r="I49" i="2"/>
  <c r="CP48" i="2"/>
  <c r="BJ48" i="2"/>
  <c r="AD48" i="2"/>
  <c r="DK47" i="2"/>
  <c r="CE47" i="2"/>
  <c r="AY47" i="2"/>
  <c r="S47" i="2"/>
  <c r="CZ46" i="2"/>
  <c r="BT46" i="2"/>
  <c r="AN46" i="2"/>
  <c r="H46" i="2"/>
  <c r="CS45" i="2"/>
  <c r="BM45" i="2"/>
  <c r="AG45" i="2"/>
  <c r="DN44" i="2"/>
  <c r="CH44" i="2"/>
  <c r="BB44" i="2"/>
  <c r="V44" i="2"/>
  <c r="DC43" i="2"/>
  <c r="BW43" i="2"/>
  <c r="AQ43" i="2"/>
  <c r="K43" i="2"/>
  <c r="CR42" i="2"/>
  <c r="BL42" i="2"/>
  <c r="AF42" i="2"/>
  <c r="DQ41" i="2"/>
  <c r="CK41" i="2"/>
  <c r="BE41" i="2"/>
  <c r="Y41" i="2"/>
  <c r="DF40" i="2"/>
  <c r="BZ40" i="2"/>
  <c r="AT40" i="2"/>
  <c r="N40" i="2"/>
  <c r="CU39" i="2"/>
  <c r="BO39" i="2"/>
  <c r="AI39" i="2"/>
  <c r="DP38" i="2"/>
  <c r="CJ38" i="2"/>
  <c r="BD38" i="2"/>
  <c r="X38" i="2"/>
  <c r="DI37" i="2"/>
  <c r="CC37" i="2"/>
  <c r="AW37" i="2"/>
  <c r="Q37" i="2"/>
  <c r="DB36" i="2"/>
  <c r="CH36" i="2"/>
  <c r="BN36" i="2"/>
  <c r="AP36" i="2"/>
  <c r="V36" i="2"/>
  <c r="DO35" i="2"/>
  <c r="CQ35" i="2"/>
  <c r="BW35" i="2"/>
  <c r="BC35" i="2"/>
  <c r="AE35" i="2"/>
  <c r="K35" i="2"/>
  <c r="DD34" i="2"/>
  <c r="CF34" i="2"/>
  <c r="BL34" i="2"/>
  <c r="AR34" i="2"/>
  <c r="T34" i="2"/>
  <c r="DQ33" i="2"/>
  <c r="CW33" i="2"/>
  <c r="BY33" i="2"/>
  <c r="BE33" i="2"/>
  <c r="AK33" i="2"/>
  <c r="M33" i="2"/>
  <c r="DF32" i="2"/>
  <c r="CL32" i="2"/>
  <c r="BN32" i="2"/>
  <c r="AT32" i="2"/>
  <c r="Z32" i="2"/>
  <c r="DO31" i="2"/>
  <c r="CU31" i="2"/>
  <c r="CA31" i="2"/>
  <c r="BC31" i="2"/>
  <c r="AI31" i="2"/>
  <c r="O31" i="2"/>
  <c r="DD30" i="2"/>
  <c r="CJ30" i="2"/>
  <c r="BP30" i="2"/>
  <c r="AR30" i="2"/>
  <c r="X30" i="2"/>
  <c r="D30" i="2"/>
  <c r="CW29" i="2"/>
  <c r="CC29" i="2"/>
  <c r="BI29" i="2"/>
  <c r="AK29" i="2"/>
  <c r="Q29" i="2"/>
  <c r="DJ28" i="2"/>
  <c r="CL28" i="2"/>
  <c r="BR28" i="2"/>
  <c r="AX28" i="2"/>
  <c r="Z28" i="2"/>
  <c r="F28" i="2"/>
  <c r="CY27" i="2"/>
  <c r="CA27" i="2"/>
  <c r="BG27" i="2"/>
  <c r="AM27" i="2"/>
  <c r="O27" i="2"/>
  <c r="DH26" i="2"/>
  <c r="CN26" i="2"/>
  <c r="BP26" i="2"/>
  <c r="AV26" i="2"/>
  <c r="AB26" i="2"/>
  <c r="D26" i="2"/>
  <c r="DA25" i="2"/>
  <c r="CG25" i="2"/>
  <c r="BI25" i="2"/>
  <c r="AO25" i="2"/>
  <c r="U25" i="2"/>
  <c r="DJ24" i="2"/>
  <c r="CP24" i="2"/>
  <c r="BV24" i="2"/>
  <c r="AX24" i="2"/>
  <c r="AD24" i="2"/>
  <c r="N24" i="2"/>
  <c r="DK23" i="2"/>
  <c r="CU23" i="2"/>
  <c r="CE23" i="2"/>
  <c r="BO23" i="2"/>
  <c r="AY23" i="2"/>
  <c r="AI23" i="2"/>
  <c r="S23" i="2"/>
  <c r="DP22" i="2"/>
  <c r="CZ22" i="2"/>
  <c r="CJ22" i="2"/>
  <c r="BT22" i="2"/>
  <c r="BD22" i="2"/>
  <c r="AN22" i="2"/>
  <c r="X22" i="2"/>
  <c r="H22" i="2"/>
  <c r="DI21" i="2"/>
  <c r="CS21" i="2"/>
  <c r="CC21" i="2"/>
  <c r="BM21" i="2"/>
  <c r="AW21" i="2"/>
  <c r="AG21" i="2"/>
  <c r="Q21" i="2"/>
  <c r="DN20" i="2"/>
  <c r="CX20" i="2"/>
  <c r="CH20" i="2"/>
  <c r="BR20" i="2"/>
  <c r="BB20" i="2"/>
  <c r="AL20" i="2"/>
  <c r="V20" i="2"/>
  <c r="F20" i="2"/>
  <c r="DC19" i="2"/>
  <c r="CM19" i="2"/>
  <c r="BW19" i="2"/>
  <c r="BG19" i="2"/>
  <c r="AQ19" i="2"/>
  <c r="AA19" i="2"/>
  <c r="K19" i="2"/>
  <c r="DH18" i="2"/>
  <c r="CR18" i="2"/>
  <c r="CB18" i="2"/>
  <c r="BL18" i="2"/>
  <c r="AV18" i="2"/>
  <c r="AF18" i="2"/>
  <c r="P18" i="2"/>
  <c r="DQ17" i="2"/>
  <c r="DA17" i="2"/>
  <c r="CK17" i="2"/>
  <c r="BU17" i="2"/>
  <c r="BE17" i="2"/>
  <c r="AO17" i="2"/>
  <c r="Y17" i="2"/>
  <c r="I17" i="2"/>
  <c r="DF16" i="2"/>
  <c r="CP16" i="2"/>
  <c r="BZ16" i="2"/>
  <c r="BJ16" i="2"/>
  <c r="AT16" i="2"/>
  <c r="AD16" i="2"/>
  <c r="N16" i="2"/>
  <c r="DK15" i="2"/>
  <c r="CU15" i="2"/>
  <c r="CE15" i="2"/>
  <c r="BO15" i="2"/>
  <c r="AY15" i="2"/>
  <c r="AI15" i="2"/>
  <c r="S15" i="2"/>
  <c r="DP14" i="2"/>
  <c r="CZ14" i="2"/>
  <c r="CJ14" i="2"/>
  <c r="BT14" i="2"/>
  <c r="BD14" i="2"/>
  <c r="AN14" i="2"/>
  <c r="X14" i="2"/>
  <c r="H14" i="2"/>
  <c r="DI13" i="2"/>
  <c r="CS13" i="2"/>
  <c r="CC13" i="2"/>
  <c r="BM13" i="2"/>
  <c r="AW13" i="2"/>
  <c r="AG13" i="2"/>
  <c r="Q13" i="2"/>
  <c r="DN12" i="2"/>
  <c r="CX12" i="2"/>
  <c r="CH12" i="2"/>
  <c r="BR12" i="2"/>
  <c r="BB12" i="2"/>
  <c r="AL12" i="2"/>
  <c r="V12" i="2"/>
  <c r="F12" i="2"/>
  <c r="DC11" i="2"/>
  <c r="CM11" i="2"/>
  <c r="BW11" i="2"/>
  <c r="BG11" i="2"/>
  <c r="AQ11" i="2"/>
  <c r="AA11" i="2"/>
  <c r="K11" i="2"/>
  <c r="DH10" i="2"/>
  <c r="CR10" i="2"/>
  <c r="CB10" i="2"/>
  <c r="BL10" i="2"/>
  <c r="AV10" i="2"/>
  <c r="AF10" i="2"/>
  <c r="P10" i="2"/>
  <c r="DQ9" i="2"/>
  <c r="DA9" i="2"/>
  <c r="CK9" i="2"/>
  <c r="BU9" i="2"/>
  <c r="BE9" i="2"/>
  <c r="AO9" i="2"/>
  <c r="Y9" i="2"/>
  <c r="I9" i="2"/>
  <c r="DF8" i="2"/>
  <c r="CP8" i="2"/>
  <c r="BZ8" i="2"/>
  <c r="BJ8" i="2"/>
  <c r="AT8" i="2"/>
  <c r="AD8" i="2"/>
  <c r="N8" i="2"/>
  <c r="DK7" i="2"/>
  <c r="CU7" i="2"/>
  <c r="CE7" i="2"/>
  <c r="BO7" i="2"/>
  <c r="AY7" i="2"/>
  <c r="AI7" i="2"/>
  <c r="S7" i="2"/>
  <c r="DP6" i="2"/>
  <c r="CZ6" i="2"/>
  <c r="CJ6" i="2"/>
  <c r="BT6" i="2"/>
  <c r="BD6" i="2"/>
  <c r="AN6" i="2"/>
  <c r="X6" i="2"/>
  <c r="H6" i="2"/>
  <c r="DI5" i="2"/>
  <c r="CS5" i="2"/>
  <c r="CC5" i="2"/>
  <c r="BM5" i="2"/>
  <c r="AW5" i="2"/>
  <c r="AG5" i="2"/>
  <c r="Q5" i="2"/>
  <c r="DN4" i="2"/>
  <c r="CX4" i="2"/>
  <c r="CH4" i="2"/>
  <c r="BR4" i="2"/>
  <c r="BB4" i="2"/>
  <c r="AL4" i="2"/>
  <c r="V4" i="2"/>
  <c r="F4" i="2"/>
  <c r="X98" i="2"/>
  <c r="BY97" i="2"/>
  <c r="M97" i="2"/>
  <c r="BJ96" i="2"/>
  <c r="DG95" i="2"/>
  <c r="AU95" i="2"/>
  <c r="CR94" i="2"/>
  <c r="AF94" i="2"/>
  <c r="CG93" i="2"/>
  <c r="U93" i="2"/>
  <c r="CH92" i="2"/>
  <c r="V92" i="2"/>
  <c r="CI91" i="2"/>
  <c r="W91" i="2"/>
  <c r="CJ90" i="2"/>
  <c r="AF90" i="2"/>
  <c r="O90" i="2"/>
  <c r="DL89" i="2"/>
  <c r="CV89" i="2"/>
  <c r="CF89" i="2"/>
  <c r="BP89" i="2"/>
  <c r="AZ89" i="2"/>
  <c r="AJ89" i="2"/>
  <c r="T89" i="2"/>
  <c r="D89" i="2"/>
  <c r="DE88" i="2"/>
  <c r="CO88" i="2"/>
  <c r="BY88" i="2"/>
  <c r="BI88" i="2"/>
  <c r="AS88" i="2"/>
  <c r="AC88" i="2"/>
  <c r="M88" i="2"/>
  <c r="DJ87" i="2"/>
  <c r="CT87" i="2"/>
  <c r="CD87" i="2"/>
  <c r="BN87" i="2"/>
  <c r="AX87" i="2"/>
  <c r="AH87" i="2"/>
  <c r="R87" i="2"/>
  <c r="DO86" i="2"/>
  <c r="CY86" i="2"/>
  <c r="CI86" i="2"/>
  <c r="BS86" i="2"/>
  <c r="BC86" i="2"/>
  <c r="AM86" i="2"/>
  <c r="W86" i="2"/>
  <c r="G86" i="2"/>
  <c r="DD85" i="2"/>
  <c r="CN85" i="2"/>
  <c r="BX85" i="2"/>
  <c r="BH85" i="2"/>
  <c r="AR85" i="2"/>
  <c r="AB85" i="2"/>
  <c r="L85" i="2"/>
  <c r="DM84" i="2"/>
  <c r="CW84" i="2"/>
  <c r="CG84" i="2"/>
  <c r="BQ84" i="2"/>
  <c r="BA84" i="2"/>
  <c r="AK84" i="2"/>
  <c r="U84" i="2"/>
  <c r="E84" i="2"/>
  <c r="DB83" i="2"/>
  <c r="CL83" i="2"/>
  <c r="BV83" i="2"/>
  <c r="BF83" i="2"/>
  <c r="AP83" i="2"/>
  <c r="Z83" i="2"/>
  <c r="J83" i="2"/>
  <c r="DG82" i="2"/>
  <c r="CQ82" i="2"/>
  <c r="CA82" i="2"/>
  <c r="BK82" i="2"/>
  <c r="AU82" i="2"/>
  <c r="AE82" i="2"/>
  <c r="O82" i="2"/>
  <c r="DL81" i="2"/>
  <c r="CV81" i="2"/>
  <c r="CF81" i="2"/>
  <c r="BP81" i="2"/>
  <c r="AZ81" i="2"/>
  <c r="AJ81" i="2"/>
  <c r="T81" i="2"/>
  <c r="D81" i="2"/>
  <c r="DE80" i="2"/>
  <c r="CO80" i="2"/>
  <c r="BY80" i="2"/>
  <c r="BI80" i="2"/>
  <c r="AS80" i="2"/>
  <c r="AC80" i="2"/>
  <c r="M80" i="2"/>
  <c r="DJ79" i="2"/>
  <c r="CT79" i="2"/>
  <c r="CD79" i="2"/>
  <c r="BN79" i="2"/>
  <c r="AX79" i="2"/>
  <c r="AH79" i="2"/>
  <c r="R79" i="2"/>
  <c r="DO78" i="2"/>
  <c r="CY78" i="2"/>
  <c r="CI78" i="2"/>
  <c r="BS78" i="2"/>
  <c r="BC78" i="2"/>
  <c r="AM78" i="2"/>
  <c r="W78" i="2"/>
  <c r="G78" i="2"/>
  <c r="DD77" i="2"/>
  <c r="CN77" i="2"/>
  <c r="BX77" i="2"/>
  <c r="BH77" i="2"/>
  <c r="AR77" i="2"/>
  <c r="AB77" i="2"/>
  <c r="L77" i="2"/>
  <c r="DM76" i="2"/>
  <c r="CW76" i="2"/>
  <c r="CG76" i="2"/>
  <c r="BQ76" i="2"/>
  <c r="BA76" i="2"/>
  <c r="AK76" i="2"/>
  <c r="U76" i="2"/>
  <c r="E76" i="2"/>
  <c r="DB75" i="2"/>
  <c r="CL75" i="2"/>
  <c r="BV75" i="2"/>
  <c r="BF75" i="2"/>
  <c r="AP75" i="2"/>
  <c r="Z75" i="2"/>
  <c r="J75" i="2"/>
  <c r="DG74" i="2"/>
  <c r="CQ74" i="2"/>
  <c r="CA74" i="2"/>
  <c r="BK74" i="2"/>
  <c r="AU74" i="2"/>
  <c r="AE74" i="2"/>
  <c r="O74" i="2"/>
  <c r="DL73" i="2"/>
  <c r="CV73" i="2"/>
  <c r="CF73" i="2"/>
  <c r="BP73" i="2"/>
  <c r="AZ73" i="2"/>
  <c r="AJ73" i="2"/>
  <c r="T73" i="2"/>
  <c r="D73" i="2"/>
  <c r="DE72" i="2"/>
  <c r="CO72" i="2"/>
  <c r="BY72" i="2"/>
  <c r="BI72" i="2"/>
  <c r="AS72" i="2"/>
  <c r="AC72" i="2"/>
  <c r="M72" i="2"/>
  <c r="DJ71" i="2"/>
  <c r="CT71" i="2"/>
  <c r="CD71" i="2"/>
  <c r="BN71" i="2"/>
  <c r="AX71" i="2"/>
  <c r="AH71" i="2"/>
  <c r="R71" i="2"/>
  <c r="DO70" i="2"/>
  <c r="CY70" i="2"/>
  <c r="CI70" i="2"/>
  <c r="BS70" i="2"/>
  <c r="BC70" i="2"/>
  <c r="AM70" i="2"/>
  <c r="W70" i="2"/>
  <c r="G70" i="2"/>
  <c r="DD69" i="2"/>
  <c r="CN69" i="2"/>
  <c r="BX69" i="2"/>
  <c r="BH69" i="2"/>
  <c r="AR69" i="2"/>
  <c r="AB69" i="2"/>
  <c r="L69" i="2"/>
  <c r="DM68" i="2"/>
  <c r="CW68" i="2"/>
  <c r="CG68" i="2"/>
  <c r="BQ68" i="2"/>
  <c r="BA68" i="2"/>
  <c r="AK68" i="2"/>
  <c r="U68" i="2"/>
  <c r="E68" i="2"/>
  <c r="DB67" i="2"/>
  <c r="CL67" i="2"/>
  <c r="BV67" i="2"/>
  <c r="BF67" i="2"/>
  <c r="AP67" i="2"/>
  <c r="Z67" i="2"/>
  <c r="J67" i="2"/>
  <c r="DG66" i="2"/>
  <c r="CQ66" i="2"/>
  <c r="CA66" i="2"/>
  <c r="BK66" i="2"/>
  <c r="AU66" i="2"/>
  <c r="AE66" i="2"/>
  <c r="O66" i="2"/>
  <c r="DL65" i="2"/>
  <c r="CV65" i="2"/>
  <c r="CF65" i="2"/>
  <c r="BP65" i="2"/>
  <c r="AZ65" i="2"/>
  <c r="AJ65" i="2"/>
  <c r="T65" i="2"/>
  <c r="D65" i="2"/>
  <c r="DE64" i="2"/>
  <c r="CO64" i="2"/>
  <c r="BY64" i="2"/>
  <c r="BI64" i="2"/>
  <c r="AS64" i="2"/>
  <c r="AC64" i="2"/>
  <c r="M64" i="2"/>
  <c r="DJ63" i="2"/>
  <c r="CT63" i="2"/>
  <c r="CD63" i="2"/>
  <c r="BN63" i="2"/>
  <c r="AX63" i="2"/>
  <c r="AH63" i="2"/>
  <c r="R63" i="2"/>
  <c r="DO62" i="2"/>
  <c r="CY62" i="2"/>
  <c r="CI62" i="2"/>
  <c r="BS62" i="2"/>
  <c r="BC62" i="2"/>
  <c r="AM62" i="2"/>
  <c r="W62" i="2"/>
  <c r="G62" i="2"/>
  <c r="DD61" i="2"/>
  <c r="CN61" i="2"/>
  <c r="BX61" i="2"/>
  <c r="BH61" i="2"/>
  <c r="AR61" i="2"/>
  <c r="AB61" i="2"/>
  <c r="L61" i="2"/>
  <c r="DM60" i="2"/>
  <c r="CW60" i="2"/>
  <c r="CG60" i="2"/>
  <c r="BQ60" i="2"/>
  <c r="BA60" i="2"/>
  <c r="AK60" i="2"/>
  <c r="U60" i="2"/>
  <c r="E60" i="2"/>
  <c r="DB59" i="2"/>
  <c r="CL59" i="2"/>
  <c r="BV59" i="2"/>
  <c r="BF59" i="2"/>
  <c r="AP59" i="2"/>
  <c r="Z59" i="2"/>
  <c r="J59" i="2"/>
  <c r="DG58" i="2"/>
  <c r="CQ58" i="2"/>
  <c r="CA58" i="2"/>
  <c r="BK58" i="2"/>
  <c r="AU58" i="2"/>
  <c r="AE58" i="2"/>
  <c r="O58" i="2"/>
  <c r="DL57" i="2"/>
  <c r="CV57" i="2"/>
  <c r="CF57" i="2"/>
  <c r="BP57" i="2"/>
  <c r="AZ57" i="2"/>
  <c r="AJ57" i="2"/>
  <c r="T57" i="2"/>
  <c r="D57" i="2"/>
  <c r="DE56" i="2"/>
  <c r="CO56" i="2"/>
  <c r="BY56" i="2"/>
  <c r="BI56" i="2"/>
  <c r="AS56" i="2"/>
  <c r="AC56" i="2"/>
  <c r="M56" i="2"/>
  <c r="DJ55" i="2"/>
  <c r="CT55" i="2"/>
  <c r="CD55" i="2"/>
  <c r="BN55" i="2"/>
  <c r="AX55" i="2"/>
  <c r="AH55" i="2"/>
  <c r="R55" i="2"/>
  <c r="DO54" i="2"/>
  <c r="CY54" i="2"/>
  <c r="CI54" i="2"/>
  <c r="BS54" i="2"/>
  <c r="BC54" i="2"/>
  <c r="AM54" i="2"/>
  <c r="W54" i="2"/>
  <c r="G54" i="2"/>
  <c r="DD53" i="2"/>
  <c r="CN53" i="2"/>
  <c r="BX53" i="2"/>
  <c r="BH53" i="2"/>
  <c r="AR53" i="2"/>
  <c r="AB53" i="2"/>
  <c r="L53" i="2"/>
  <c r="DM52" i="2"/>
  <c r="CW52" i="2"/>
  <c r="CG52" i="2"/>
  <c r="BQ52" i="2"/>
  <c r="BA52" i="2"/>
  <c r="AK52" i="2"/>
  <c r="U52" i="2"/>
  <c r="E52" i="2"/>
  <c r="DB51" i="2"/>
  <c r="CL51" i="2"/>
  <c r="BV51" i="2"/>
  <c r="BF51" i="2"/>
  <c r="AP51" i="2"/>
  <c r="Z51" i="2"/>
  <c r="J51" i="2"/>
  <c r="DG50" i="2"/>
  <c r="CQ50" i="2"/>
  <c r="CA50" i="2"/>
  <c r="BK50" i="2"/>
  <c r="AU50" i="2"/>
  <c r="AE50" i="2"/>
  <c r="O50" i="2"/>
  <c r="DL49" i="2"/>
  <c r="CV49" i="2"/>
  <c r="CF49" i="2"/>
  <c r="BP49" i="2"/>
  <c r="AZ49" i="2"/>
  <c r="AJ49" i="2"/>
  <c r="T49" i="2"/>
  <c r="D49" i="2"/>
  <c r="DE48" i="2"/>
  <c r="CO48" i="2"/>
  <c r="BY48" i="2"/>
  <c r="BI48" i="2"/>
  <c r="AS48" i="2"/>
  <c r="AC48" i="2"/>
  <c r="M48" i="2"/>
  <c r="DJ47" i="2"/>
  <c r="CT47" i="2"/>
  <c r="CD47" i="2"/>
  <c r="BN47" i="2"/>
  <c r="AX47" i="2"/>
  <c r="AH47" i="2"/>
  <c r="R47" i="2"/>
  <c r="DO46" i="2"/>
  <c r="CY46" i="2"/>
  <c r="CI46" i="2"/>
  <c r="BS46" i="2"/>
  <c r="BC46" i="2"/>
  <c r="AM46" i="2"/>
  <c r="W46" i="2"/>
  <c r="G46" i="2"/>
  <c r="DD45" i="2"/>
  <c r="CN45" i="2"/>
  <c r="BX45" i="2"/>
  <c r="BH45" i="2"/>
  <c r="AR45" i="2"/>
  <c r="AB45" i="2"/>
  <c r="L45" i="2"/>
  <c r="DM44" i="2"/>
  <c r="CW44" i="2"/>
  <c r="CG44" i="2"/>
  <c r="BQ44" i="2"/>
  <c r="BA44" i="2"/>
  <c r="AK44" i="2"/>
  <c r="U44" i="2"/>
  <c r="E44" i="2"/>
  <c r="DB43" i="2"/>
  <c r="CL43" i="2"/>
  <c r="BV43" i="2"/>
  <c r="BF43" i="2"/>
  <c r="AP43" i="2"/>
  <c r="Z43" i="2"/>
  <c r="J43" i="2"/>
  <c r="DG42" i="2"/>
  <c r="CQ42" i="2"/>
  <c r="CA42" i="2"/>
  <c r="BK42" i="2"/>
  <c r="AU42" i="2"/>
  <c r="AE42" i="2"/>
  <c r="O42" i="2"/>
  <c r="DL41" i="2"/>
  <c r="CV41" i="2"/>
  <c r="CF41" i="2"/>
  <c r="BP41" i="2"/>
  <c r="AZ41" i="2"/>
  <c r="AJ41" i="2"/>
  <c r="T41" i="2"/>
  <c r="D41" i="2"/>
  <c r="DE40" i="2"/>
  <c r="CO40" i="2"/>
  <c r="BY40" i="2"/>
  <c r="BI40" i="2"/>
  <c r="AS40" i="2"/>
  <c r="AC40" i="2"/>
  <c r="M40" i="2"/>
  <c r="DJ39" i="2"/>
  <c r="CT39" i="2"/>
  <c r="CD39" i="2"/>
  <c r="BN39" i="2"/>
  <c r="AX39" i="2"/>
  <c r="AH39" i="2"/>
  <c r="R39" i="2"/>
  <c r="DO38" i="2"/>
  <c r="CY38" i="2"/>
  <c r="CI38" i="2"/>
  <c r="BS38" i="2"/>
  <c r="BC38" i="2"/>
  <c r="AM38" i="2"/>
  <c r="W38" i="2"/>
  <c r="G38" i="2"/>
  <c r="DD37" i="2"/>
  <c r="CN37" i="2"/>
  <c r="BX37" i="2"/>
  <c r="BH37" i="2"/>
  <c r="AR37" i="2"/>
  <c r="AB37" i="2"/>
  <c r="L37" i="2"/>
  <c r="DM36" i="2"/>
  <c r="CW36" i="2"/>
  <c r="CG36" i="2"/>
  <c r="BQ36" i="2"/>
  <c r="BA36" i="2"/>
  <c r="AK36" i="2"/>
  <c r="U36" i="2"/>
  <c r="E36" i="2"/>
  <c r="DB35" i="2"/>
  <c r="CL35" i="2"/>
  <c r="BV35" i="2"/>
  <c r="BF35" i="2"/>
  <c r="AP35" i="2"/>
  <c r="Z35" i="2"/>
  <c r="J35" i="2"/>
  <c r="DG34" i="2"/>
  <c r="CQ34" i="2"/>
  <c r="CA34" i="2"/>
  <c r="BK34" i="2"/>
  <c r="AU34" i="2"/>
  <c r="AE34" i="2"/>
  <c r="O34" i="2"/>
  <c r="DL33" i="2"/>
  <c r="CV33" i="2"/>
  <c r="CF33" i="2"/>
  <c r="BP33" i="2"/>
  <c r="AZ33" i="2"/>
  <c r="AJ33" i="2"/>
  <c r="T33" i="2"/>
  <c r="D33" i="2"/>
  <c r="DE32" i="2"/>
  <c r="CO32" i="2"/>
  <c r="BY32" i="2"/>
  <c r="BI32" i="2"/>
  <c r="AS32" i="2"/>
  <c r="AC32" i="2"/>
  <c r="M32" i="2"/>
  <c r="DJ31" i="2"/>
  <c r="CT31" i="2"/>
  <c r="CD31" i="2"/>
  <c r="BN31" i="2"/>
  <c r="AX31" i="2"/>
  <c r="AH31" i="2"/>
  <c r="R31" i="2"/>
  <c r="DO30" i="2"/>
  <c r="CY30" i="2"/>
  <c r="CI30" i="2"/>
  <c r="BS30" i="2"/>
  <c r="BC30" i="2"/>
  <c r="AM30" i="2"/>
  <c r="W30" i="2"/>
  <c r="G30" i="2"/>
  <c r="DD29" i="2"/>
  <c r="CN29" i="2"/>
  <c r="BX29" i="2"/>
  <c r="BH29" i="2"/>
  <c r="AR29" i="2"/>
  <c r="AB29" i="2"/>
  <c r="L29" i="2"/>
  <c r="DM28" i="2"/>
  <c r="CW28" i="2"/>
  <c r="CG28" i="2"/>
  <c r="BQ28" i="2"/>
  <c r="BA28" i="2"/>
  <c r="AK28" i="2"/>
  <c r="U28" i="2"/>
  <c r="E28" i="2"/>
  <c r="DB27" i="2"/>
  <c r="CL27" i="2"/>
  <c r="BV27" i="2"/>
  <c r="BF27" i="2"/>
  <c r="AP27" i="2"/>
  <c r="Z27" i="2"/>
  <c r="J27" i="2"/>
  <c r="DG26" i="2"/>
  <c r="CQ26" i="2"/>
  <c r="CA26" i="2"/>
  <c r="BK26" i="2"/>
  <c r="AU26" i="2"/>
  <c r="AE26" i="2"/>
  <c r="O26" i="2"/>
  <c r="DL25" i="2"/>
  <c r="CV25" i="2"/>
  <c r="CF25" i="2"/>
  <c r="BP25" i="2"/>
  <c r="AZ25" i="2"/>
  <c r="AJ25" i="2"/>
  <c r="T25" i="2"/>
  <c r="D25" i="2"/>
  <c r="DE24" i="2"/>
  <c r="CO24" i="2"/>
  <c r="BY24" i="2"/>
  <c r="BI24" i="2"/>
  <c r="AS24" i="2"/>
  <c r="AC24" i="2"/>
  <c r="M24" i="2"/>
  <c r="DJ23" i="2"/>
  <c r="CT23" i="2"/>
  <c r="CD23" i="2"/>
  <c r="BN23" i="2"/>
  <c r="AX23" i="2"/>
  <c r="AH23" i="2"/>
  <c r="R23" i="2"/>
  <c r="DO22" i="2"/>
  <c r="CY22" i="2"/>
  <c r="CI22" i="2"/>
  <c r="BS22" i="2"/>
  <c r="BC22" i="2"/>
  <c r="AM22" i="2"/>
  <c r="W22" i="2"/>
  <c r="G22" i="2"/>
  <c r="DD21" i="2"/>
  <c r="CN21" i="2"/>
  <c r="BX21" i="2"/>
  <c r="BH21" i="2"/>
  <c r="AR21" i="2"/>
  <c r="AB21" i="2"/>
  <c r="L21" i="2"/>
  <c r="DM20" i="2"/>
  <c r="CW20" i="2"/>
  <c r="CG20" i="2"/>
  <c r="BQ20" i="2"/>
  <c r="BA20" i="2"/>
  <c r="AK20" i="2"/>
  <c r="U20" i="2"/>
  <c r="E20" i="2"/>
  <c r="DB19" i="2"/>
  <c r="CL19" i="2"/>
  <c r="BV19" i="2"/>
  <c r="BF19" i="2"/>
  <c r="AP19" i="2"/>
  <c r="Z19" i="2"/>
  <c r="J19" i="2"/>
  <c r="DG18" i="2"/>
  <c r="CQ18" i="2"/>
  <c r="CA18" i="2"/>
  <c r="BK18" i="2"/>
  <c r="AU18" i="2"/>
  <c r="AE18" i="2"/>
  <c r="O18" i="2"/>
  <c r="DL17" i="2"/>
  <c r="CV17" i="2"/>
  <c r="CF17" i="2"/>
  <c r="BP17" i="2"/>
  <c r="AZ17" i="2"/>
  <c r="AJ17" i="2"/>
  <c r="T17" i="2"/>
  <c r="D17" i="2"/>
  <c r="DE16" i="2"/>
  <c r="CO16" i="2"/>
  <c r="BY16" i="2"/>
  <c r="BI16" i="2"/>
  <c r="AS16" i="2"/>
  <c r="AC16" i="2"/>
  <c r="M16" i="2"/>
  <c r="DJ15" i="2"/>
  <c r="CT15" i="2"/>
  <c r="CD15" i="2"/>
  <c r="BN15" i="2"/>
  <c r="AX15" i="2"/>
  <c r="AH15" i="2"/>
  <c r="R15" i="2"/>
  <c r="DO14" i="2"/>
  <c r="CY14" i="2"/>
  <c r="CI14" i="2"/>
  <c r="BS14" i="2"/>
  <c r="BC14" i="2"/>
  <c r="AM14" i="2"/>
  <c r="W14" i="2"/>
  <c r="G14" i="2"/>
  <c r="DD13" i="2"/>
  <c r="CN13" i="2"/>
  <c r="BX13" i="2"/>
  <c r="BH13" i="2"/>
  <c r="AR13" i="2"/>
  <c r="AB13" i="2"/>
  <c r="L13" i="2"/>
  <c r="DM12" i="2"/>
  <c r="CW12" i="2"/>
  <c r="CG12" i="2"/>
  <c r="BQ12" i="2"/>
  <c r="BA12" i="2"/>
  <c r="AK12" i="2"/>
  <c r="U12" i="2"/>
  <c r="E12" i="2"/>
  <c r="DB11" i="2"/>
  <c r="CL11" i="2"/>
  <c r="BV11" i="2"/>
  <c r="BF11" i="2"/>
  <c r="AP11" i="2"/>
  <c r="Z11" i="2"/>
  <c r="J11" i="2"/>
  <c r="DG10" i="2"/>
  <c r="CQ10" i="2"/>
  <c r="CA10" i="2"/>
  <c r="BK10" i="2"/>
  <c r="AU10" i="2"/>
  <c r="AE10" i="2"/>
  <c r="O10" i="2"/>
  <c r="DL9" i="2"/>
  <c r="CV9" i="2"/>
  <c r="CF9" i="2"/>
  <c r="BP9" i="2"/>
  <c r="AZ9" i="2"/>
  <c r="AJ9" i="2"/>
  <c r="T9" i="2"/>
  <c r="D9" i="2"/>
  <c r="DE8" i="2"/>
  <c r="CO8" i="2"/>
  <c r="BY8" i="2"/>
  <c r="BI8" i="2"/>
  <c r="AS8" i="2"/>
  <c r="AC8" i="2"/>
  <c r="M8" i="2"/>
  <c r="DJ7" i="2"/>
  <c r="CT7" i="2"/>
  <c r="CD7" i="2"/>
  <c r="BN7" i="2"/>
  <c r="AX7" i="2"/>
  <c r="AH7" i="2"/>
  <c r="R7" i="2"/>
  <c r="DO6" i="2"/>
  <c r="CY6" i="2"/>
  <c r="CI6" i="2"/>
  <c r="BS6" i="2"/>
  <c r="BC6" i="2"/>
  <c r="AM6" i="2"/>
  <c r="W6" i="2"/>
  <c r="G6" i="2"/>
  <c r="DD5" i="2"/>
  <c r="CN5" i="2"/>
  <c r="BX5" i="2"/>
  <c r="BH5" i="2"/>
  <c r="AR5" i="2"/>
  <c r="AB5" i="2"/>
  <c r="L5" i="2"/>
  <c r="DM4" i="2"/>
  <c r="CW4" i="2"/>
  <c r="CG4" i="2"/>
  <c r="BQ4" i="2"/>
  <c r="BA4" i="2"/>
  <c r="AK4" i="2"/>
  <c r="U4" i="2"/>
  <c r="E4" i="2"/>
  <c r="AI4" i="2"/>
  <c r="BO4" i="2"/>
  <c r="CU4" i="2"/>
  <c r="O5" i="2"/>
  <c r="AU5" i="2"/>
  <c r="CA5" i="2"/>
  <c r="DG5" i="2"/>
  <c r="U6" i="2"/>
  <c r="BA6" i="2"/>
  <c r="CG6" i="2"/>
  <c r="DM6" i="2"/>
  <c r="AF7" i="2"/>
  <c r="BL7" i="2"/>
  <c r="CR7" i="2"/>
  <c r="K8" i="2"/>
  <c r="AQ8" i="2"/>
  <c r="BW8" i="2"/>
  <c r="DC8" i="2"/>
  <c r="AQ9" i="2"/>
  <c r="DC9" i="2"/>
  <c r="CJ107" i="2"/>
  <c r="BR90" i="2"/>
  <c r="DL119" i="2"/>
  <c r="CC102" i="2"/>
  <c r="DA94" i="2"/>
  <c r="DL91" i="2"/>
  <c r="BT134" i="2"/>
  <c r="CQ128" i="2"/>
  <c r="CU123" i="2"/>
  <c r="BG119" i="2"/>
  <c r="S115" i="2"/>
  <c r="CR110" i="2"/>
  <c r="BD106" i="2"/>
  <c r="P102" i="2"/>
  <c r="CW97" i="2"/>
  <c r="AE91" i="2"/>
  <c r="AX89" i="2"/>
  <c r="AM88" i="2"/>
  <c r="AB87" i="2"/>
  <c r="U86" i="2"/>
  <c r="J85" i="2"/>
  <c r="DL83" i="2"/>
  <c r="DE82" i="2"/>
  <c r="CT81" i="2"/>
  <c r="CI80" i="2"/>
  <c r="BX79" i="2"/>
  <c r="BQ78" i="2"/>
  <c r="BF77" i="2"/>
  <c r="BG76" i="2"/>
  <c r="CN75" i="2"/>
  <c r="D75" i="2"/>
  <c r="AO74" i="2"/>
  <c r="BV73" i="2"/>
  <c r="CY72" i="2"/>
  <c r="S72" i="2"/>
  <c r="AZ71" i="2"/>
  <c r="CG70" i="2"/>
  <c r="DN69" i="2"/>
  <c r="AH69" i="2"/>
  <c r="BK68" i="2"/>
  <c r="CR67" i="2"/>
  <c r="L67" i="2"/>
  <c r="AS66" i="2"/>
  <c r="BZ65" i="2"/>
  <c r="DG64" i="2"/>
  <c r="W64" i="2"/>
  <c r="BD63" i="2"/>
  <c r="CO62" i="2"/>
  <c r="E62" i="2"/>
  <c r="AL61" i="2"/>
  <c r="BS60" i="2"/>
  <c r="CV59" i="2"/>
  <c r="P59" i="2"/>
  <c r="BA58" i="2"/>
  <c r="CD57" i="2"/>
  <c r="DK56" i="2"/>
  <c r="AE56" i="2"/>
  <c r="BH55" i="2"/>
  <c r="CS54" i="2"/>
  <c r="M54" i="2"/>
  <c r="AP53" i="2"/>
  <c r="BW52" i="2"/>
  <c r="DD51" i="2"/>
  <c r="T51" i="2"/>
  <c r="BE50" i="2"/>
  <c r="CL49" i="2"/>
  <c r="DO48" i="2"/>
  <c r="AI48" i="2"/>
  <c r="BP47" i="2"/>
  <c r="CW46" i="2"/>
  <c r="Q46" i="2"/>
  <c r="AX45" i="2"/>
  <c r="CA44" i="2"/>
  <c r="G44" i="2"/>
  <c r="BH43" i="2"/>
  <c r="DM42" i="2"/>
  <c r="BA42" i="2"/>
  <c r="DB41" i="2"/>
  <c r="AP41" i="2"/>
  <c r="CQ40" i="2"/>
  <c r="AE40" i="2"/>
  <c r="CF39" i="2"/>
  <c r="T39" i="2"/>
  <c r="BY38" i="2"/>
  <c r="M38" i="2"/>
  <c r="BN37" i="2"/>
  <c r="DO36" i="2"/>
  <c r="BC36" i="2"/>
  <c r="DD35" i="2"/>
  <c r="AR35" i="2"/>
  <c r="CW34" i="2"/>
  <c r="AK34" i="2"/>
  <c r="CL33" i="2"/>
  <c r="Z33" i="2"/>
  <c r="CA32" i="2"/>
  <c r="O32" i="2"/>
  <c r="BP31" i="2"/>
  <c r="D31" i="2"/>
  <c r="BI30" i="2"/>
  <c r="DJ29" i="2"/>
  <c r="AX29" i="2"/>
  <c r="CY28" i="2"/>
  <c r="AM28" i="2"/>
  <c r="CN27" i="2"/>
  <c r="AB27" i="2"/>
  <c r="CG26" i="2"/>
  <c r="U26" i="2"/>
  <c r="CL25" i="2"/>
  <c r="AT25" i="2"/>
  <c r="F25" i="2"/>
  <c r="CA24" i="2"/>
  <c r="AI24" i="2"/>
  <c r="DH23" i="2"/>
  <c r="BP23" i="2"/>
  <c r="X23" i="2"/>
  <c r="DA22" i="2"/>
  <c r="BI22" i="2"/>
  <c r="Q22" i="2"/>
  <c r="CP21" i="2"/>
  <c r="AX21" i="2"/>
  <c r="F21" i="2"/>
  <c r="CE20" i="2"/>
  <c r="AM20" i="2"/>
  <c r="DH19" i="2"/>
  <c r="BT19" i="2"/>
  <c r="AB19" i="2"/>
  <c r="DA18" i="2"/>
  <c r="BM18" i="2"/>
  <c r="U18" i="2"/>
  <c r="CP17" i="2"/>
  <c r="BB17" i="2"/>
  <c r="J17" i="2"/>
  <c r="CE16" i="2"/>
  <c r="AQ16" i="2"/>
  <c r="DL15" i="2"/>
  <c r="BT15" i="2"/>
  <c r="AF15" i="2"/>
  <c r="DE14" i="2"/>
  <c r="BM14" i="2"/>
  <c r="Y14" i="2"/>
  <c r="CT13" i="2"/>
  <c r="BB13" i="2"/>
  <c r="N13" i="2"/>
  <c r="CI12" i="2"/>
  <c r="AQ12" i="2"/>
  <c r="DP11" i="2"/>
  <c r="BX11" i="2"/>
  <c r="AF11" i="2"/>
  <c r="DI10" i="2"/>
  <c r="BQ10" i="2"/>
  <c r="Y10" i="2"/>
  <c r="CX9" i="2"/>
  <c r="BF9" i="2"/>
  <c r="N9" i="2"/>
  <c r="CC97" i="2"/>
  <c r="R96" i="2"/>
  <c r="BP94" i="2"/>
  <c r="AO93" i="2"/>
  <c r="CM91" i="2"/>
  <c r="AG90" i="2"/>
  <c r="DI89" i="2"/>
  <c r="BQ89" i="2"/>
  <c r="Y89" i="2"/>
  <c r="CX88" i="2"/>
  <c r="BF88" i="2"/>
  <c r="N88" i="2"/>
  <c r="CM87" i="2"/>
  <c r="AU87" i="2"/>
  <c r="DP86" i="2"/>
  <c r="CB86" i="2"/>
  <c r="AJ86" i="2"/>
  <c r="DI85" i="2"/>
  <c r="BU85" i="2"/>
  <c r="AC85" i="2"/>
  <c r="CX84" i="2"/>
  <c r="BJ84" i="2"/>
  <c r="R84" i="2"/>
  <c r="CM83" i="2"/>
  <c r="AY83" i="2"/>
  <c r="G83" i="2"/>
  <c r="CB82" i="2"/>
  <c r="AN82" i="2"/>
  <c r="DM81" i="2"/>
  <c r="BU81" i="2"/>
  <c r="AG81" i="2"/>
  <c r="DB80" i="2"/>
  <c r="BJ80" i="2"/>
  <c r="V80" i="2"/>
  <c r="CQ79" i="2"/>
  <c r="AY79" i="2"/>
  <c r="K79" i="2"/>
  <c r="CF78" i="2"/>
  <c r="AN78" i="2"/>
  <c r="DQ77" i="2"/>
  <c r="BY77" i="2"/>
  <c r="AG77" i="2"/>
  <c r="DF76" i="2"/>
  <c r="BN76" i="2"/>
  <c r="V76" i="2"/>
  <c r="CU75" i="2"/>
  <c r="BC75" i="2"/>
  <c r="K75" i="2"/>
  <c r="CJ74" i="2"/>
  <c r="AZ74" i="2"/>
  <c r="T74" i="2"/>
  <c r="DE73" i="2"/>
  <c r="BY73" i="2"/>
  <c r="AS73" i="2"/>
  <c r="M73" i="2"/>
  <c r="CT72" i="2"/>
  <c r="BN72" i="2"/>
  <c r="AH72" i="2"/>
  <c r="DO71" i="2"/>
  <c r="CI71" i="2"/>
  <c r="BC71" i="2"/>
  <c r="W71" i="2"/>
  <c r="DD70" i="2"/>
  <c r="BX70" i="2"/>
  <c r="AR70" i="2"/>
  <c r="L70" i="2"/>
  <c r="CW69" i="2"/>
  <c r="BQ69" i="2"/>
  <c r="AK69" i="2"/>
  <c r="E69" i="2"/>
  <c r="CL68" i="2"/>
  <c r="BF68" i="2"/>
  <c r="Z68" i="2"/>
  <c r="DG67" i="2"/>
  <c r="CA67" i="2"/>
  <c r="AU67" i="2"/>
  <c r="O67" i="2"/>
  <c r="CV66" i="2"/>
  <c r="BP66" i="2"/>
  <c r="AJ66" i="2"/>
  <c r="D66" i="2"/>
  <c r="CO65" i="2"/>
  <c r="BI65" i="2"/>
  <c r="AC65" i="2"/>
  <c r="DJ64" i="2"/>
  <c r="CD64" i="2"/>
  <c r="AX64" i="2"/>
  <c r="R64" i="2"/>
  <c r="CY63" i="2"/>
  <c r="BS63" i="2"/>
  <c r="AM63" i="2"/>
  <c r="G63" i="2"/>
  <c r="CN62" i="2"/>
  <c r="BH62" i="2"/>
  <c r="AB62" i="2"/>
  <c r="DM61" i="2"/>
  <c r="CG61" i="2"/>
  <c r="BA61" i="2"/>
  <c r="U61" i="2"/>
  <c r="DB60" i="2"/>
  <c r="BV60" i="2"/>
  <c r="AP60" i="2"/>
  <c r="J60" i="2"/>
  <c r="CQ59" i="2"/>
  <c r="BK59" i="2"/>
  <c r="AE59" i="2"/>
  <c r="DL58" i="2"/>
  <c r="CF58" i="2"/>
  <c r="AZ58" i="2"/>
  <c r="T58" i="2"/>
  <c r="DE57" i="2"/>
  <c r="BY57" i="2"/>
  <c r="AS57" i="2"/>
  <c r="M57" i="2"/>
  <c r="CT56" i="2"/>
  <c r="BN56" i="2"/>
  <c r="AH56" i="2"/>
  <c r="DO55" i="2"/>
  <c r="CI55" i="2"/>
  <c r="BC55" i="2"/>
  <c r="W55" i="2"/>
  <c r="DD54" i="2"/>
  <c r="BX54" i="2"/>
  <c r="AR54" i="2"/>
  <c r="L54" i="2"/>
  <c r="CW53" i="2"/>
  <c r="BQ53" i="2"/>
  <c r="AK53" i="2"/>
  <c r="E53" i="2"/>
  <c r="CL52" i="2"/>
  <c r="BF52" i="2"/>
  <c r="Z52" i="2"/>
  <c r="DG51" i="2"/>
  <c r="CA51" i="2"/>
  <c r="AU51" i="2"/>
  <c r="O51" i="2"/>
  <c r="CV50" i="2"/>
  <c r="BP50" i="2"/>
  <c r="AJ50" i="2"/>
  <c r="D50" i="2"/>
  <c r="CO49" i="2"/>
  <c r="BI49" i="2"/>
  <c r="AC49" i="2"/>
  <c r="DJ48" i="2"/>
  <c r="CD48" i="2"/>
  <c r="AX48" i="2"/>
  <c r="R48" i="2"/>
  <c r="CY47" i="2"/>
  <c r="BS47" i="2"/>
  <c r="AM47" i="2"/>
  <c r="G47" i="2"/>
  <c r="CN46" i="2"/>
  <c r="BH46" i="2"/>
  <c r="AB46" i="2"/>
  <c r="DM45" i="2"/>
  <c r="CG45" i="2"/>
  <c r="BA45" i="2"/>
  <c r="U45" i="2"/>
  <c r="DB44" i="2"/>
  <c r="BV44" i="2"/>
  <c r="AP44" i="2"/>
  <c r="J44" i="2"/>
  <c r="CQ43" i="2"/>
  <c r="BK43" i="2"/>
  <c r="AE43" i="2"/>
  <c r="DL42" i="2"/>
  <c r="CF42" i="2"/>
  <c r="AZ42" i="2"/>
  <c r="T42" i="2"/>
  <c r="DE41" i="2"/>
  <c r="BY41" i="2"/>
  <c r="AS41" i="2"/>
  <c r="M41" i="2"/>
  <c r="CT40" i="2"/>
  <c r="BN40" i="2"/>
  <c r="AH40" i="2"/>
  <c r="DO39" i="2"/>
  <c r="CI39" i="2"/>
  <c r="BC39" i="2"/>
  <c r="W39" i="2"/>
  <c r="DD38" i="2"/>
  <c r="BX38" i="2"/>
  <c r="AR38" i="2"/>
  <c r="L38" i="2"/>
  <c r="CW37" i="2"/>
  <c r="BQ37" i="2"/>
  <c r="AK37" i="2"/>
  <c r="E37" i="2"/>
  <c r="CX36" i="2"/>
  <c r="CD36" i="2"/>
  <c r="BF36" i="2"/>
  <c r="AL36" i="2"/>
  <c r="R36" i="2"/>
  <c r="DG35" i="2"/>
  <c r="CM35" i="2"/>
  <c r="BS35" i="2"/>
  <c r="AU35" i="2"/>
  <c r="AA35" i="2"/>
  <c r="G35" i="2"/>
  <c r="CV34" i="2"/>
  <c r="CB34" i="2"/>
  <c r="BH34" i="2"/>
  <c r="AJ34" i="2"/>
  <c r="P34" i="2"/>
  <c r="DM33" i="2"/>
  <c r="CO33" i="2"/>
  <c r="BU33" i="2"/>
  <c r="BA33" i="2"/>
  <c r="AC33" i="2"/>
  <c r="I33" i="2"/>
  <c r="DB32" i="2"/>
  <c r="CD32" i="2"/>
  <c r="BJ32" i="2"/>
  <c r="AP32" i="2"/>
  <c r="R32" i="2"/>
  <c r="DK31" i="2"/>
  <c r="CQ31" i="2"/>
  <c r="BS31" i="2"/>
  <c r="AY31" i="2"/>
  <c r="AE31" i="2"/>
  <c r="G31" i="2"/>
  <c r="CZ30" i="2"/>
  <c r="CF30" i="2"/>
  <c r="BH30" i="2"/>
  <c r="AN30" i="2"/>
  <c r="T30" i="2"/>
  <c r="DM29" i="2"/>
  <c r="CS29" i="2"/>
  <c r="BY29" i="2"/>
  <c r="BA29" i="2"/>
  <c r="AG29" i="2"/>
  <c r="M29" i="2"/>
  <c r="DB28" i="2"/>
  <c r="CH28" i="2"/>
  <c r="BN28" i="2"/>
  <c r="AP28" i="2"/>
  <c r="V28" i="2"/>
  <c r="DO27" i="2"/>
  <c r="CQ27" i="2"/>
  <c r="BW27" i="2"/>
  <c r="BC27" i="2"/>
  <c r="AE27" i="2"/>
  <c r="K27" i="2"/>
  <c r="DD26" i="2"/>
  <c r="CF26" i="2"/>
  <c r="BL26" i="2"/>
  <c r="AR26" i="2"/>
  <c r="T26" i="2"/>
  <c r="DQ25" i="2"/>
  <c r="CW25" i="2"/>
  <c r="BY25" i="2"/>
  <c r="BE25" i="2"/>
  <c r="AK25" i="2"/>
  <c r="M25" i="2"/>
  <c r="DF24" i="2"/>
  <c r="CL24" i="2"/>
  <c r="BN24" i="2"/>
  <c r="AT24" i="2"/>
  <c r="Z24" i="2"/>
  <c r="J24" i="2"/>
  <c r="DG23" i="2"/>
  <c r="CQ23" i="2"/>
  <c r="CA23" i="2"/>
  <c r="BK23" i="2"/>
  <c r="AU23" i="2"/>
  <c r="AE23" i="2"/>
  <c r="O23" i="2"/>
  <c r="DL22" i="2"/>
  <c r="CV22" i="2"/>
  <c r="CF22" i="2"/>
  <c r="BP22" i="2"/>
  <c r="AZ22" i="2"/>
  <c r="AJ22" i="2"/>
  <c r="T22" i="2"/>
  <c r="D22" i="2"/>
  <c r="DE21" i="2"/>
  <c r="CO21" i="2"/>
  <c r="BY21" i="2"/>
  <c r="BI21" i="2"/>
  <c r="AS21" i="2"/>
  <c r="AC21" i="2"/>
  <c r="M21" i="2"/>
  <c r="DJ20" i="2"/>
  <c r="CT20" i="2"/>
  <c r="CD20" i="2"/>
  <c r="BN20" i="2"/>
  <c r="AX20" i="2"/>
  <c r="AH20" i="2"/>
  <c r="R20" i="2"/>
  <c r="DO19" i="2"/>
  <c r="CY19" i="2"/>
  <c r="CI19" i="2"/>
  <c r="BS19" i="2"/>
  <c r="BC19" i="2"/>
  <c r="AM19" i="2"/>
  <c r="W19" i="2"/>
  <c r="G19" i="2"/>
  <c r="DD18" i="2"/>
  <c r="CN18" i="2"/>
  <c r="BX18" i="2"/>
  <c r="BH18" i="2"/>
  <c r="AR18" i="2"/>
  <c r="AB18" i="2"/>
  <c r="L18" i="2"/>
  <c r="DM17" i="2"/>
  <c r="CW17" i="2"/>
  <c r="CG17" i="2"/>
  <c r="BQ17" i="2"/>
  <c r="BA17" i="2"/>
  <c r="AK17" i="2"/>
  <c r="U17" i="2"/>
  <c r="E17" i="2"/>
  <c r="DB16" i="2"/>
  <c r="CL16" i="2"/>
  <c r="BV16" i="2"/>
  <c r="BF16" i="2"/>
  <c r="AP16" i="2"/>
  <c r="Z16" i="2"/>
  <c r="J16" i="2"/>
  <c r="DG15" i="2"/>
  <c r="CQ15" i="2"/>
  <c r="CA15" i="2"/>
  <c r="BK15" i="2"/>
  <c r="AU15" i="2"/>
  <c r="AE15" i="2"/>
  <c r="O15" i="2"/>
  <c r="DL14" i="2"/>
  <c r="CV14" i="2"/>
  <c r="CF14" i="2"/>
  <c r="BP14" i="2"/>
  <c r="AZ14" i="2"/>
  <c r="AJ14" i="2"/>
  <c r="T14" i="2"/>
  <c r="D14" i="2"/>
  <c r="DE13" i="2"/>
  <c r="CO13" i="2"/>
  <c r="BY13" i="2"/>
  <c r="BI13" i="2"/>
  <c r="AS13" i="2"/>
  <c r="AC13" i="2"/>
  <c r="M13" i="2"/>
  <c r="DJ12" i="2"/>
  <c r="CT12" i="2"/>
  <c r="CD12" i="2"/>
  <c r="BN12" i="2"/>
  <c r="AX12" i="2"/>
  <c r="AH12" i="2"/>
  <c r="R12" i="2"/>
  <c r="DO11" i="2"/>
  <c r="CY11" i="2"/>
  <c r="CI11" i="2"/>
  <c r="BS11" i="2"/>
  <c r="BC11" i="2"/>
  <c r="AM11" i="2"/>
  <c r="W11" i="2"/>
  <c r="G11" i="2"/>
  <c r="DD10" i="2"/>
  <c r="CN10" i="2"/>
  <c r="BX10" i="2"/>
  <c r="BH10" i="2"/>
  <c r="AR10" i="2"/>
  <c r="AB10" i="2"/>
  <c r="L10" i="2"/>
  <c r="DM9" i="2"/>
  <c r="CW9" i="2"/>
  <c r="CG9" i="2"/>
  <c r="BQ9" i="2"/>
  <c r="BA9" i="2"/>
  <c r="AK9" i="2"/>
  <c r="U9" i="2"/>
  <c r="E9" i="2"/>
  <c r="DB8" i="2"/>
  <c r="CL8" i="2"/>
  <c r="BV8" i="2"/>
  <c r="BF8" i="2"/>
  <c r="AP8" i="2"/>
  <c r="Z8" i="2"/>
  <c r="J8" i="2"/>
  <c r="DG7" i="2"/>
  <c r="CQ7" i="2"/>
  <c r="CA7" i="2"/>
  <c r="BK7" i="2"/>
  <c r="AU7" i="2"/>
  <c r="AE7" i="2"/>
  <c r="O7" i="2"/>
  <c r="DL6" i="2"/>
  <c r="CV6" i="2"/>
  <c r="CF6" i="2"/>
  <c r="BP6" i="2"/>
  <c r="AZ6" i="2"/>
  <c r="AJ6" i="2"/>
  <c r="T6" i="2"/>
  <c r="D6" i="2"/>
  <c r="DE5" i="2"/>
  <c r="CO5" i="2"/>
  <c r="BY5" i="2"/>
  <c r="BI5" i="2"/>
  <c r="AS5" i="2"/>
  <c r="AC5" i="2"/>
  <c r="M5" i="2"/>
  <c r="DJ4" i="2"/>
  <c r="CT4" i="2"/>
  <c r="CD4" i="2"/>
  <c r="BN4" i="2"/>
  <c r="AX4" i="2"/>
  <c r="AH4" i="2"/>
  <c r="R4" i="2"/>
  <c r="BT98" i="2"/>
  <c r="H98" i="2"/>
  <c r="BI97" i="2"/>
  <c r="DF96" i="2"/>
  <c r="AT96" i="2"/>
  <c r="CQ95" i="2"/>
  <c r="AE95" i="2"/>
  <c r="CB94" i="2"/>
  <c r="P94" i="2"/>
  <c r="BQ93" i="2"/>
  <c r="E93" i="2"/>
  <c r="BR92" i="2"/>
  <c r="F92" i="2"/>
  <c r="BS91" i="2"/>
  <c r="G91" i="2"/>
  <c r="BT90" i="2"/>
  <c r="AA90" i="2"/>
  <c r="K90" i="2"/>
  <c r="DH89" i="2"/>
  <c r="CR89" i="2"/>
  <c r="CB89" i="2"/>
  <c r="BL89" i="2"/>
  <c r="AV89" i="2"/>
  <c r="AF89" i="2"/>
  <c r="P89" i="2"/>
  <c r="DQ88" i="2"/>
  <c r="DA88" i="2"/>
  <c r="CK88" i="2"/>
  <c r="BU88" i="2"/>
  <c r="BE88" i="2"/>
  <c r="AO88" i="2"/>
  <c r="Y88" i="2"/>
  <c r="I88" i="2"/>
  <c r="DF87" i="2"/>
  <c r="CP87" i="2"/>
  <c r="BZ87" i="2"/>
  <c r="BJ87" i="2"/>
  <c r="AT87" i="2"/>
  <c r="AD87" i="2"/>
  <c r="N87" i="2"/>
  <c r="DK86" i="2"/>
  <c r="CU86" i="2"/>
  <c r="CE86" i="2"/>
  <c r="BO86" i="2"/>
  <c r="AY86" i="2"/>
  <c r="AI86" i="2"/>
  <c r="S86" i="2"/>
  <c r="DP85" i="2"/>
  <c r="CZ85" i="2"/>
  <c r="CJ85" i="2"/>
  <c r="BT85" i="2"/>
  <c r="BD85" i="2"/>
  <c r="AN85" i="2"/>
  <c r="X85" i="2"/>
  <c r="H85" i="2"/>
  <c r="DI84" i="2"/>
  <c r="CS84" i="2"/>
  <c r="CC84" i="2"/>
  <c r="BM84" i="2"/>
  <c r="AW84" i="2"/>
  <c r="AG84" i="2"/>
  <c r="Q84" i="2"/>
  <c r="DN83" i="2"/>
  <c r="CX83" i="2"/>
  <c r="CH83" i="2"/>
  <c r="BR83" i="2"/>
  <c r="BB83" i="2"/>
  <c r="AL83" i="2"/>
  <c r="V83" i="2"/>
  <c r="F83" i="2"/>
  <c r="DC82" i="2"/>
  <c r="CM82" i="2"/>
  <c r="BW82" i="2"/>
  <c r="BG82" i="2"/>
  <c r="AQ82" i="2"/>
  <c r="AA82" i="2"/>
  <c r="K82" i="2"/>
  <c r="DH81" i="2"/>
  <c r="CR81" i="2"/>
  <c r="CB81" i="2"/>
  <c r="BL81" i="2"/>
  <c r="AV81" i="2"/>
  <c r="AF81" i="2"/>
  <c r="P81" i="2"/>
  <c r="DQ80" i="2"/>
  <c r="DA80" i="2"/>
  <c r="CK80" i="2"/>
  <c r="BU80" i="2"/>
  <c r="BE80" i="2"/>
  <c r="AO80" i="2"/>
  <c r="Y80" i="2"/>
  <c r="I80" i="2"/>
  <c r="DF79" i="2"/>
  <c r="CP79" i="2"/>
  <c r="BZ79" i="2"/>
  <c r="BJ79" i="2"/>
  <c r="AT79" i="2"/>
  <c r="AD79" i="2"/>
  <c r="N79" i="2"/>
  <c r="DK78" i="2"/>
  <c r="CU78" i="2"/>
  <c r="CE78" i="2"/>
  <c r="BO78" i="2"/>
  <c r="AY78" i="2"/>
  <c r="AI78" i="2"/>
  <c r="S78" i="2"/>
  <c r="DP77" i="2"/>
  <c r="CZ77" i="2"/>
  <c r="CJ77" i="2"/>
  <c r="BT77" i="2"/>
  <c r="BD77" i="2"/>
  <c r="AN77" i="2"/>
  <c r="X77" i="2"/>
  <c r="H77" i="2"/>
  <c r="DI76" i="2"/>
  <c r="CS76" i="2"/>
  <c r="CC76" i="2"/>
  <c r="BM76" i="2"/>
  <c r="AW76" i="2"/>
  <c r="AG76" i="2"/>
  <c r="Q76" i="2"/>
  <c r="DN75" i="2"/>
  <c r="CX75" i="2"/>
  <c r="CH75" i="2"/>
  <c r="BR75" i="2"/>
  <c r="BB75" i="2"/>
  <c r="AL75" i="2"/>
  <c r="V75" i="2"/>
  <c r="F75" i="2"/>
  <c r="DC74" i="2"/>
  <c r="CM74" i="2"/>
  <c r="BW74" i="2"/>
  <c r="BG74" i="2"/>
  <c r="AQ74" i="2"/>
  <c r="AA74" i="2"/>
  <c r="K74" i="2"/>
  <c r="DH73" i="2"/>
  <c r="CR73" i="2"/>
  <c r="CB73" i="2"/>
  <c r="BL73" i="2"/>
  <c r="AV73" i="2"/>
  <c r="AF73" i="2"/>
  <c r="P73" i="2"/>
  <c r="DQ72" i="2"/>
  <c r="DA72" i="2"/>
  <c r="CK72" i="2"/>
  <c r="BU72" i="2"/>
  <c r="BE72" i="2"/>
  <c r="AO72" i="2"/>
  <c r="Y72" i="2"/>
  <c r="I72" i="2"/>
  <c r="DF71" i="2"/>
  <c r="CP71" i="2"/>
  <c r="BZ71" i="2"/>
  <c r="BJ71" i="2"/>
  <c r="AT71" i="2"/>
  <c r="AD71" i="2"/>
  <c r="N71" i="2"/>
  <c r="DK70" i="2"/>
  <c r="CU70" i="2"/>
  <c r="CE70" i="2"/>
  <c r="BO70" i="2"/>
  <c r="AY70" i="2"/>
  <c r="AI70" i="2"/>
  <c r="S70" i="2"/>
  <c r="DP69" i="2"/>
  <c r="CZ69" i="2"/>
  <c r="CJ69" i="2"/>
  <c r="BT69" i="2"/>
  <c r="BD69" i="2"/>
  <c r="AN69" i="2"/>
  <c r="X69" i="2"/>
  <c r="H69" i="2"/>
  <c r="DI68" i="2"/>
  <c r="CS68" i="2"/>
  <c r="CC68" i="2"/>
  <c r="BM68" i="2"/>
  <c r="AW68" i="2"/>
  <c r="AG68" i="2"/>
  <c r="Q68" i="2"/>
  <c r="DN67" i="2"/>
  <c r="CX67" i="2"/>
  <c r="CH67" i="2"/>
  <c r="BR67" i="2"/>
  <c r="BB67" i="2"/>
  <c r="AL67" i="2"/>
  <c r="V67" i="2"/>
  <c r="F67" i="2"/>
  <c r="DC66" i="2"/>
  <c r="CM66" i="2"/>
  <c r="BW66" i="2"/>
  <c r="BG66" i="2"/>
  <c r="AQ66" i="2"/>
  <c r="AA66" i="2"/>
  <c r="K66" i="2"/>
  <c r="DH65" i="2"/>
  <c r="CR65" i="2"/>
  <c r="CB65" i="2"/>
  <c r="BL65" i="2"/>
  <c r="AV65" i="2"/>
  <c r="AF65" i="2"/>
  <c r="P65" i="2"/>
  <c r="DQ64" i="2"/>
  <c r="DA64" i="2"/>
  <c r="CK64" i="2"/>
  <c r="BU64" i="2"/>
  <c r="BE64" i="2"/>
  <c r="AO64" i="2"/>
  <c r="Y64" i="2"/>
  <c r="I64" i="2"/>
  <c r="DF63" i="2"/>
  <c r="CP63" i="2"/>
  <c r="BZ63" i="2"/>
  <c r="BJ63" i="2"/>
  <c r="AT63" i="2"/>
  <c r="AD63" i="2"/>
  <c r="N63" i="2"/>
  <c r="DK62" i="2"/>
  <c r="CU62" i="2"/>
  <c r="CE62" i="2"/>
  <c r="BO62" i="2"/>
  <c r="AY62" i="2"/>
  <c r="AI62" i="2"/>
  <c r="S62" i="2"/>
  <c r="DP61" i="2"/>
  <c r="CZ61" i="2"/>
  <c r="CJ61" i="2"/>
  <c r="BT61" i="2"/>
  <c r="BD61" i="2"/>
  <c r="AN61" i="2"/>
  <c r="X61" i="2"/>
  <c r="H61" i="2"/>
  <c r="DI60" i="2"/>
  <c r="CS60" i="2"/>
  <c r="CC60" i="2"/>
  <c r="BM60" i="2"/>
  <c r="AW60" i="2"/>
  <c r="AG60" i="2"/>
  <c r="Q60" i="2"/>
  <c r="DN59" i="2"/>
  <c r="CX59" i="2"/>
  <c r="CH59" i="2"/>
  <c r="BR59" i="2"/>
  <c r="BB59" i="2"/>
  <c r="AL59" i="2"/>
  <c r="V59" i="2"/>
  <c r="F59" i="2"/>
  <c r="DC58" i="2"/>
  <c r="CM58" i="2"/>
  <c r="BW58" i="2"/>
  <c r="BG58" i="2"/>
  <c r="AQ58" i="2"/>
  <c r="AA58" i="2"/>
  <c r="K58" i="2"/>
  <c r="DH57" i="2"/>
  <c r="CR57" i="2"/>
  <c r="CB57" i="2"/>
  <c r="BL57" i="2"/>
  <c r="AV57" i="2"/>
  <c r="AF57" i="2"/>
  <c r="P57" i="2"/>
  <c r="DQ56" i="2"/>
  <c r="DA56" i="2"/>
  <c r="CK56" i="2"/>
  <c r="BU56" i="2"/>
  <c r="BE56" i="2"/>
  <c r="AO56" i="2"/>
  <c r="Y56" i="2"/>
  <c r="I56" i="2"/>
  <c r="DF55" i="2"/>
  <c r="CP55" i="2"/>
  <c r="BZ55" i="2"/>
  <c r="BJ55" i="2"/>
  <c r="AT55" i="2"/>
  <c r="AD55" i="2"/>
  <c r="N55" i="2"/>
  <c r="DK54" i="2"/>
  <c r="CU54" i="2"/>
  <c r="CE54" i="2"/>
  <c r="BO54" i="2"/>
  <c r="AY54" i="2"/>
  <c r="AI54" i="2"/>
  <c r="S54" i="2"/>
  <c r="DP53" i="2"/>
  <c r="CZ53" i="2"/>
  <c r="CJ53" i="2"/>
  <c r="BT53" i="2"/>
  <c r="BD53" i="2"/>
  <c r="AN53" i="2"/>
  <c r="X53" i="2"/>
  <c r="H53" i="2"/>
  <c r="DI52" i="2"/>
  <c r="CS52" i="2"/>
  <c r="CC52" i="2"/>
  <c r="BM52" i="2"/>
  <c r="AW52" i="2"/>
  <c r="AG52" i="2"/>
  <c r="Q52" i="2"/>
  <c r="DN51" i="2"/>
  <c r="CX51" i="2"/>
  <c r="CH51" i="2"/>
  <c r="BR51" i="2"/>
  <c r="BB51" i="2"/>
  <c r="AL51" i="2"/>
  <c r="V51" i="2"/>
  <c r="F51" i="2"/>
  <c r="DC50" i="2"/>
  <c r="CM50" i="2"/>
  <c r="BW50" i="2"/>
  <c r="BG50" i="2"/>
  <c r="AQ50" i="2"/>
  <c r="AA50" i="2"/>
  <c r="K50" i="2"/>
  <c r="DH49" i="2"/>
  <c r="CR49" i="2"/>
  <c r="CB49" i="2"/>
  <c r="BL49" i="2"/>
  <c r="AV49" i="2"/>
  <c r="AF49" i="2"/>
  <c r="P49" i="2"/>
  <c r="DQ48" i="2"/>
  <c r="DA48" i="2"/>
  <c r="CK48" i="2"/>
  <c r="BU48" i="2"/>
  <c r="BE48" i="2"/>
  <c r="AO48" i="2"/>
  <c r="Y48" i="2"/>
  <c r="I48" i="2"/>
  <c r="DF47" i="2"/>
  <c r="CP47" i="2"/>
  <c r="BZ47" i="2"/>
  <c r="BJ47" i="2"/>
  <c r="AT47" i="2"/>
  <c r="AD47" i="2"/>
  <c r="N47" i="2"/>
  <c r="DK46" i="2"/>
  <c r="CU46" i="2"/>
  <c r="CE46" i="2"/>
  <c r="BO46" i="2"/>
  <c r="AY46" i="2"/>
  <c r="AI46" i="2"/>
  <c r="S46" i="2"/>
  <c r="DP45" i="2"/>
  <c r="CZ45" i="2"/>
  <c r="CJ45" i="2"/>
  <c r="BT45" i="2"/>
  <c r="BD45" i="2"/>
  <c r="AN45" i="2"/>
  <c r="X45" i="2"/>
  <c r="H45" i="2"/>
  <c r="DI44" i="2"/>
  <c r="CS44" i="2"/>
  <c r="CC44" i="2"/>
  <c r="BM44" i="2"/>
  <c r="AW44" i="2"/>
  <c r="AG44" i="2"/>
  <c r="Q44" i="2"/>
  <c r="DN43" i="2"/>
  <c r="CX43" i="2"/>
  <c r="CH43" i="2"/>
  <c r="BR43" i="2"/>
  <c r="BB43" i="2"/>
  <c r="AL43" i="2"/>
  <c r="V43" i="2"/>
  <c r="F43" i="2"/>
  <c r="DC42" i="2"/>
  <c r="CM42" i="2"/>
  <c r="BW42" i="2"/>
  <c r="BG42" i="2"/>
  <c r="AQ42" i="2"/>
  <c r="AA42" i="2"/>
  <c r="K42" i="2"/>
  <c r="DH41" i="2"/>
  <c r="CR41" i="2"/>
  <c r="CB41" i="2"/>
  <c r="BL41" i="2"/>
  <c r="AV41" i="2"/>
  <c r="AF41" i="2"/>
  <c r="P41" i="2"/>
  <c r="DQ40" i="2"/>
  <c r="DA40" i="2"/>
  <c r="CK40" i="2"/>
  <c r="BU40" i="2"/>
  <c r="BE40" i="2"/>
  <c r="AO40" i="2"/>
  <c r="Y40" i="2"/>
  <c r="I40" i="2"/>
  <c r="DF39" i="2"/>
  <c r="CP39" i="2"/>
  <c r="BZ39" i="2"/>
  <c r="BJ39" i="2"/>
  <c r="AT39" i="2"/>
  <c r="AD39" i="2"/>
  <c r="N39" i="2"/>
  <c r="DK38" i="2"/>
  <c r="CU38" i="2"/>
  <c r="CE38" i="2"/>
  <c r="BO38" i="2"/>
  <c r="AY38" i="2"/>
  <c r="AI38" i="2"/>
  <c r="S38" i="2"/>
  <c r="DP37" i="2"/>
  <c r="CZ37" i="2"/>
  <c r="CJ37" i="2"/>
  <c r="BT37" i="2"/>
  <c r="BD37" i="2"/>
  <c r="AN37" i="2"/>
  <c r="X37" i="2"/>
  <c r="H37" i="2"/>
  <c r="DI36" i="2"/>
  <c r="CS36" i="2"/>
  <c r="CC36" i="2"/>
  <c r="BM36" i="2"/>
  <c r="AW36" i="2"/>
  <c r="AG36" i="2"/>
  <c r="Q36" i="2"/>
  <c r="DN35" i="2"/>
  <c r="CX35" i="2"/>
  <c r="CH35" i="2"/>
  <c r="BR35" i="2"/>
  <c r="BB35" i="2"/>
  <c r="AL35" i="2"/>
  <c r="V35" i="2"/>
  <c r="F35" i="2"/>
  <c r="DC34" i="2"/>
  <c r="CM34" i="2"/>
  <c r="BW34" i="2"/>
  <c r="BG34" i="2"/>
  <c r="AQ34" i="2"/>
  <c r="AA34" i="2"/>
  <c r="K34" i="2"/>
  <c r="DH33" i="2"/>
  <c r="CR33" i="2"/>
  <c r="CB33" i="2"/>
  <c r="BL33" i="2"/>
  <c r="AV33" i="2"/>
  <c r="AF33" i="2"/>
  <c r="P33" i="2"/>
  <c r="DQ32" i="2"/>
  <c r="DA32" i="2"/>
  <c r="CK32" i="2"/>
  <c r="BU32" i="2"/>
  <c r="BE32" i="2"/>
  <c r="AO32" i="2"/>
  <c r="Y32" i="2"/>
  <c r="I32" i="2"/>
  <c r="DF31" i="2"/>
  <c r="CP31" i="2"/>
  <c r="BZ31" i="2"/>
  <c r="BJ31" i="2"/>
  <c r="AT31" i="2"/>
  <c r="AD31" i="2"/>
  <c r="N31" i="2"/>
  <c r="DK30" i="2"/>
  <c r="CU30" i="2"/>
  <c r="CE30" i="2"/>
  <c r="BO30" i="2"/>
  <c r="AY30" i="2"/>
  <c r="AI30" i="2"/>
  <c r="S30" i="2"/>
  <c r="DP29" i="2"/>
  <c r="CZ29" i="2"/>
  <c r="CJ29" i="2"/>
  <c r="BT29" i="2"/>
  <c r="BD29" i="2"/>
  <c r="AN29" i="2"/>
  <c r="X29" i="2"/>
  <c r="H29" i="2"/>
  <c r="DI28" i="2"/>
  <c r="CS28" i="2"/>
  <c r="CC28" i="2"/>
  <c r="BM28" i="2"/>
  <c r="AW28" i="2"/>
  <c r="AG28" i="2"/>
  <c r="Q28" i="2"/>
  <c r="DN27" i="2"/>
  <c r="CX27" i="2"/>
  <c r="CH27" i="2"/>
  <c r="BR27" i="2"/>
  <c r="BB27" i="2"/>
  <c r="AL27" i="2"/>
  <c r="V27" i="2"/>
  <c r="F27" i="2"/>
  <c r="DC26" i="2"/>
  <c r="CM26" i="2"/>
  <c r="BW26" i="2"/>
  <c r="BG26" i="2"/>
  <c r="AQ26" i="2"/>
  <c r="AA26" i="2"/>
  <c r="K26" i="2"/>
  <c r="DH25" i="2"/>
  <c r="CR25" i="2"/>
  <c r="CB25" i="2"/>
  <c r="BL25" i="2"/>
  <c r="AV25" i="2"/>
  <c r="AF25" i="2"/>
  <c r="P25" i="2"/>
  <c r="DQ24" i="2"/>
  <c r="DA24" i="2"/>
  <c r="CK24" i="2"/>
  <c r="BU24" i="2"/>
  <c r="BE24" i="2"/>
  <c r="AO24" i="2"/>
  <c r="Y24" i="2"/>
  <c r="I24" i="2"/>
  <c r="DF23" i="2"/>
  <c r="CP23" i="2"/>
  <c r="BZ23" i="2"/>
  <c r="BJ23" i="2"/>
  <c r="AT23" i="2"/>
  <c r="AD23" i="2"/>
  <c r="N23" i="2"/>
  <c r="DK22" i="2"/>
  <c r="CU22" i="2"/>
  <c r="CE22" i="2"/>
  <c r="BO22" i="2"/>
  <c r="AY22" i="2"/>
  <c r="AI22" i="2"/>
  <c r="S22" i="2"/>
  <c r="DP21" i="2"/>
  <c r="CZ21" i="2"/>
  <c r="CJ21" i="2"/>
  <c r="BT21" i="2"/>
  <c r="BD21" i="2"/>
  <c r="AN21" i="2"/>
  <c r="X21" i="2"/>
  <c r="H21" i="2"/>
  <c r="DI20" i="2"/>
  <c r="CS20" i="2"/>
  <c r="CC20" i="2"/>
  <c r="BM20" i="2"/>
  <c r="AW20" i="2"/>
  <c r="AG20" i="2"/>
  <c r="Q20" i="2"/>
  <c r="DN19" i="2"/>
  <c r="CX19" i="2"/>
  <c r="CH19" i="2"/>
  <c r="BR19" i="2"/>
  <c r="BB19" i="2"/>
  <c r="AL19" i="2"/>
  <c r="V19" i="2"/>
  <c r="F19" i="2"/>
  <c r="DC18" i="2"/>
  <c r="CM18" i="2"/>
  <c r="BW18" i="2"/>
  <c r="BG18" i="2"/>
  <c r="AQ18" i="2"/>
  <c r="AA18" i="2"/>
  <c r="K18" i="2"/>
  <c r="DH17" i="2"/>
  <c r="CR17" i="2"/>
  <c r="CB17" i="2"/>
  <c r="BL17" i="2"/>
  <c r="AV17" i="2"/>
  <c r="AF17" i="2"/>
  <c r="P17" i="2"/>
  <c r="DQ16" i="2"/>
  <c r="DA16" i="2"/>
  <c r="CK16" i="2"/>
  <c r="BU16" i="2"/>
  <c r="BE16" i="2"/>
  <c r="AO16" i="2"/>
  <c r="Y16" i="2"/>
  <c r="I16" i="2"/>
  <c r="DF15" i="2"/>
  <c r="CP15" i="2"/>
  <c r="BZ15" i="2"/>
  <c r="BJ15" i="2"/>
  <c r="AT15" i="2"/>
  <c r="AD15" i="2"/>
  <c r="N15" i="2"/>
  <c r="DK14" i="2"/>
  <c r="CU14" i="2"/>
  <c r="CE14" i="2"/>
  <c r="BO14" i="2"/>
  <c r="AY14" i="2"/>
  <c r="AI14" i="2"/>
  <c r="S14" i="2"/>
  <c r="DP13" i="2"/>
  <c r="CZ13" i="2"/>
  <c r="CJ13" i="2"/>
  <c r="BT13" i="2"/>
  <c r="BD13" i="2"/>
  <c r="AN13" i="2"/>
  <c r="X13" i="2"/>
  <c r="H13" i="2"/>
  <c r="DI12" i="2"/>
  <c r="CS12" i="2"/>
  <c r="CC12" i="2"/>
  <c r="BM12" i="2"/>
  <c r="AW12" i="2"/>
  <c r="AG12" i="2"/>
  <c r="Q12" i="2"/>
  <c r="DN11" i="2"/>
  <c r="CX11" i="2"/>
  <c r="CH11" i="2"/>
  <c r="BR11" i="2"/>
  <c r="BB11" i="2"/>
  <c r="AL11" i="2"/>
  <c r="V11" i="2"/>
  <c r="F11" i="2"/>
  <c r="DC10" i="2"/>
  <c r="CM10" i="2"/>
  <c r="BW10" i="2"/>
  <c r="BG10" i="2"/>
  <c r="AQ10" i="2"/>
  <c r="AA10" i="2"/>
  <c r="K10" i="2"/>
  <c r="DH9" i="2"/>
  <c r="CR9" i="2"/>
  <c r="CB9" i="2"/>
  <c r="BL9" i="2"/>
  <c r="AV9" i="2"/>
  <c r="AF9" i="2"/>
  <c r="P9" i="2"/>
  <c r="DQ8" i="2"/>
  <c r="DA8" i="2"/>
  <c r="CK8" i="2"/>
  <c r="BU8" i="2"/>
  <c r="BE8" i="2"/>
  <c r="AO8" i="2"/>
  <c r="Y8" i="2"/>
  <c r="I8" i="2"/>
  <c r="DF7" i="2"/>
  <c r="CP7" i="2"/>
  <c r="BZ7" i="2"/>
  <c r="BJ7" i="2"/>
  <c r="AT7" i="2"/>
  <c r="AD7" i="2"/>
  <c r="N7" i="2"/>
  <c r="DK6" i="2"/>
  <c r="CU6" i="2"/>
  <c r="CE6" i="2"/>
  <c r="BO6" i="2"/>
  <c r="AY6" i="2"/>
  <c r="AI6" i="2"/>
  <c r="S6" i="2"/>
  <c r="DP5" i="2"/>
  <c r="CZ5" i="2"/>
  <c r="CJ5" i="2"/>
  <c r="BT5" i="2"/>
  <c r="BD5" i="2"/>
  <c r="AN5" i="2"/>
  <c r="X5" i="2"/>
  <c r="H5" i="2"/>
  <c r="DI4" i="2"/>
  <c r="CS4" i="2"/>
  <c r="CC4" i="2"/>
  <c r="BM4" i="2"/>
  <c r="AW4" i="2"/>
  <c r="AG4" i="2"/>
  <c r="Q4" i="2"/>
  <c r="K4" i="2"/>
  <c r="AQ4" i="2"/>
  <c r="BW4" i="2"/>
  <c r="DC4" i="2"/>
  <c r="W5" i="2"/>
  <c r="BC5" i="2"/>
  <c r="CI5" i="2"/>
  <c r="DO5" i="2"/>
  <c r="AC6" i="2"/>
  <c r="BI6" i="2"/>
  <c r="CO6" i="2"/>
  <c r="H7" i="2"/>
  <c r="AN7" i="2"/>
  <c r="BT7" i="2"/>
  <c r="CZ7" i="2"/>
  <c r="S8" i="2"/>
  <c r="AY8" i="2"/>
  <c r="CE8" i="2"/>
  <c r="DK8" i="2"/>
  <c r="BG9" i="2"/>
  <c r="J10" i="2"/>
  <c r="BV10" i="2"/>
  <c r="Y11" i="2"/>
  <c r="CK11" i="2"/>
  <c r="T12" i="2"/>
  <c r="CF12" i="2"/>
  <c r="AI13" i="2"/>
  <c r="CU13" i="2"/>
  <c r="AX14" i="2"/>
  <c r="DJ14" i="2"/>
  <c r="BM15" i="2"/>
  <c r="L16" i="2"/>
  <c r="BX16" i="2"/>
  <c r="AA17" i="2"/>
  <c r="CM17" i="2"/>
  <c r="AP18" i="2"/>
  <c r="DB18" i="2"/>
  <c r="BE19" i="2"/>
  <c r="DQ19" i="2"/>
  <c r="AZ20" i="2"/>
  <c r="DL20" i="2"/>
  <c r="BO21" i="2"/>
  <c r="R22" i="2"/>
  <c r="CD22" i="2"/>
  <c r="AG23" i="2"/>
  <c r="CS23" i="2"/>
  <c r="AR24" i="2"/>
  <c r="DD24" i="2"/>
  <c r="BG25" i="2"/>
  <c r="J26" i="2"/>
  <c r="BV26" i="2"/>
  <c r="Y27" i="2"/>
  <c r="CK27" i="2"/>
  <c r="T28" i="2"/>
  <c r="CF28" i="2"/>
  <c r="AI29" i="2"/>
  <c r="CU29" i="2"/>
  <c r="AX30" i="2"/>
  <c r="DJ30" i="2"/>
  <c r="BM31" i="2"/>
  <c r="L32" i="2"/>
  <c r="BX32" i="2"/>
  <c r="AA33" i="2"/>
  <c r="CM33" i="2"/>
  <c r="AP34" i="2"/>
  <c r="DB34" i="2"/>
  <c r="BE35" i="2"/>
  <c r="DQ35" i="2"/>
  <c r="AZ36" i="2"/>
  <c r="DL36" i="2"/>
  <c r="BO37" i="2"/>
  <c r="R38" i="2"/>
  <c r="CD38" i="2"/>
  <c r="AG39" i="2"/>
  <c r="CS39" i="2"/>
  <c r="AR40" i="2"/>
  <c r="DD40" i="2"/>
  <c r="BG41" i="2"/>
  <c r="J42" i="2"/>
  <c r="BV42" i="2"/>
  <c r="Y43" i="2"/>
  <c r="CK43" i="2"/>
  <c r="T44" i="2"/>
  <c r="CF44" i="2"/>
  <c r="AI45" i="2"/>
  <c r="CU45" i="2"/>
  <c r="AX46" i="2"/>
  <c r="DJ46" i="2"/>
  <c r="BM47" i="2"/>
  <c r="L48" i="2"/>
  <c r="BX48" i="2"/>
  <c r="AA49" i="2"/>
  <c r="CM49" i="2"/>
  <c r="AP50" i="2"/>
  <c r="DB50" i="2"/>
  <c r="BE51" i="2"/>
  <c r="DQ51" i="2"/>
  <c r="AZ52" i="2"/>
  <c r="DL52" i="2"/>
  <c r="BO53" i="2"/>
  <c r="R54" i="2"/>
  <c r="CD54" i="2"/>
  <c r="AG55" i="2"/>
  <c r="CS55" i="2"/>
  <c r="AR56" i="2"/>
  <c r="DD56" i="2"/>
  <c r="BG57" i="2"/>
  <c r="J58" i="2"/>
  <c r="BV58" i="2"/>
  <c r="Y59" i="2"/>
  <c r="CK59" i="2"/>
  <c r="T60" i="2"/>
  <c r="CF60" i="2"/>
  <c r="AI61" i="2"/>
  <c r="CU61" i="2"/>
  <c r="AX62" i="2"/>
  <c r="DJ62" i="2"/>
  <c r="BM63" i="2"/>
  <c r="L64" i="2"/>
  <c r="BX64" i="2"/>
  <c r="AA65" i="2"/>
  <c r="CM65" i="2"/>
  <c r="AP66" i="2"/>
  <c r="DB66" i="2"/>
  <c r="BE67" i="2"/>
  <c r="DQ67" i="2"/>
  <c r="AZ68" i="2"/>
  <c r="DL68" i="2"/>
  <c r="BO69" i="2"/>
  <c r="R70" i="2"/>
  <c r="CD70" i="2"/>
  <c r="AG71" i="2"/>
  <c r="CS71" i="2"/>
  <c r="AR72" i="2"/>
  <c r="DD72" i="2"/>
  <c r="BG73" i="2"/>
  <c r="J74" i="2"/>
  <c r="BV74" i="2"/>
  <c r="Y75" i="2"/>
  <c r="CK75" i="2"/>
  <c r="T76" i="2"/>
  <c r="CF76" i="2"/>
  <c r="AI77" i="2"/>
  <c r="CU77" i="2"/>
  <c r="AX78" i="2"/>
  <c r="DJ78" i="2"/>
  <c r="BM79" i="2"/>
  <c r="L80" i="2"/>
  <c r="BX80" i="2"/>
  <c r="AA81" i="2"/>
  <c r="CM81" i="2"/>
  <c r="AP82" i="2"/>
  <c r="CD128" i="2"/>
  <c r="CD97" i="2"/>
  <c r="BM90" i="2"/>
  <c r="DM125" i="2"/>
  <c r="AK117" i="2"/>
  <c r="CA108" i="2"/>
  <c r="DK99" i="2"/>
  <c r="DJ89" i="2"/>
  <c r="CN87" i="2"/>
  <c r="BV85" i="2"/>
  <c r="AZ83" i="2"/>
  <c r="AH81" i="2"/>
  <c r="L79" i="2"/>
  <c r="DG76" i="2"/>
  <c r="AV75" i="2"/>
  <c r="DJ73" i="2"/>
  <c r="BK72" i="2"/>
  <c r="H71" i="2"/>
  <c r="BV69" i="2"/>
  <c r="W68" i="2"/>
  <c r="CK66" i="2"/>
  <c r="AH65" i="2"/>
  <c r="CV63" i="2"/>
  <c r="AW62" i="2"/>
  <c r="DG60" i="2"/>
  <c r="BH59" i="2"/>
  <c r="I58" i="2"/>
  <c r="BS56" i="2"/>
  <c r="T55" i="2"/>
  <c r="CH53" i="2"/>
  <c r="AE52" i="2"/>
  <c r="CW50" i="2"/>
  <c r="AT49" i="2"/>
  <c r="DD47" i="2"/>
  <c r="BI46" i="2"/>
  <c r="F45" i="2"/>
  <c r="CN43" i="2"/>
  <c r="CG42" i="2"/>
  <c r="BV41" i="2"/>
  <c r="BK40" i="2"/>
  <c r="AZ39" i="2"/>
  <c r="AS38" i="2"/>
  <c r="AH37" i="2"/>
  <c r="W36" i="2"/>
  <c r="L35" i="2"/>
  <c r="E34" i="2"/>
  <c r="DG32" i="2"/>
  <c r="CV31" i="2"/>
  <c r="CO30" i="2"/>
  <c r="CD29" i="2"/>
  <c r="BS28" i="2"/>
  <c r="BH27" i="2"/>
  <c r="BA26" i="2"/>
  <c r="BR25" i="2"/>
  <c r="CU24" i="2"/>
  <c r="O24" i="2"/>
  <c r="AV23" i="2"/>
  <c r="CC22" i="2"/>
  <c r="DJ21" i="2"/>
  <c r="AD21" i="2"/>
  <c r="BG20" i="2"/>
  <c r="CN19" i="2"/>
  <c r="H19" i="2"/>
  <c r="AO18" i="2"/>
  <c r="BV17" i="2"/>
  <c r="DC16" i="2"/>
  <c r="S16" i="2"/>
  <c r="AZ15" i="2"/>
  <c r="CK14" i="2"/>
  <c r="DN13" i="2"/>
  <c r="AH13" i="2"/>
  <c r="BO12" i="2"/>
  <c r="CR11" i="2"/>
  <c r="L11" i="2"/>
  <c r="AW10" i="2"/>
  <c r="BZ9" i="2"/>
  <c r="AR98" i="2"/>
  <c r="AY95" i="2"/>
  <c r="BF92" i="2"/>
  <c r="L90" i="2"/>
  <c r="AW89" i="2"/>
  <c r="BZ88" i="2"/>
  <c r="DG87" i="2"/>
  <c r="AA87" i="2"/>
  <c r="BD86" i="2"/>
  <c r="CO85" i="2"/>
  <c r="I85" i="2"/>
  <c r="AL84" i="2"/>
  <c r="BS83" i="2"/>
  <c r="CZ82" i="2"/>
  <c r="P82" i="2"/>
  <c r="BA81" i="2"/>
  <c r="CH80" i="2"/>
  <c r="DK79" i="2"/>
  <c r="AE79" i="2"/>
  <c r="BL78" i="2"/>
  <c r="CS77" i="2"/>
  <c r="M77" i="2"/>
  <c r="AT76" i="2"/>
  <c r="BW75" i="2"/>
  <c r="DD74" i="2"/>
  <c r="AJ74" i="2"/>
  <c r="CO73" i="2"/>
  <c r="AC73" i="2"/>
  <c r="CD72" i="2"/>
  <c r="R72" i="2"/>
  <c r="BS71" i="2"/>
  <c r="G71" i="2"/>
  <c r="BH70" i="2"/>
  <c r="DM69" i="2"/>
  <c r="BA69" i="2"/>
  <c r="DB68" i="2"/>
  <c r="AP68" i="2"/>
  <c r="CQ67" i="2"/>
  <c r="AE67" i="2"/>
  <c r="CF66" i="2"/>
  <c r="T66" i="2"/>
  <c r="BY65" i="2"/>
  <c r="M65" i="2"/>
  <c r="BN64" i="2"/>
  <c r="DO63" i="2"/>
  <c r="BC63" i="2"/>
  <c r="DD62" i="2"/>
  <c r="AR62" i="2"/>
  <c r="CW61" i="2"/>
  <c r="AK61" i="2"/>
  <c r="CL60" i="2"/>
  <c r="Z60" i="2"/>
  <c r="CA59" i="2"/>
  <c r="O59" i="2"/>
  <c r="BP58" i="2"/>
  <c r="D58" i="2"/>
  <c r="BI57" i="2"/>
  <c r="DJ56" i="2"/>
  <c r="AX56" i="2"/>
  <c r="CY55" i="2"/>
  <c r="AM55" i="2"/>
  <c r="CN54" i="2"/>
  <c r="AB54" i="2"/>
  <c r="CG53" i="2"/>
  <c r="U53" i="2"/>
  <c r="BV52" i="2"/>
  <c r="J52" i="2"/>
  <c r="BK51" i="2"/>
  <c r="DL50" i="2"/>
  <c r="AZ50" i="2"/>
  <c r="DE49" i="2"/>
  <c r="AS49" i="2"/>
  <c r="CT48" i="2"/>
  <c r="AH48" i="2"/>
  <c r="CI47" i="2"/>
  <c r="W47" i="2"/>
  <c r="BX46" i="2"/>
  <c r="L46" i="2"/>
  <c r="BQ45" i="2"/>
  <c r="E45" i="2"/>
  <c r="BF44" i="2"/>
  <c r="DG43" i="2"/>
  <c r="AU43" i="2"/>
  <c r="CV42" i="2"/>
  <c r="AJ42" i="2"/>
  <c r="CO41" i="2"/>
  <c r="AC41" i="2"/>
  <c r="CD40" i="2"/>
  <c r="R40" i="2"/>
  <c r="BS39" i="2"/>
  <c r="G39" i="2"/>
  <c r="BH38" i="2"/>
  <c r="DM37" i="2"/>
  <c r="BA37" i="2"/>
  <c r="DJ36" i="2"/>
  <c r="BR36" i="2"/>
  <c r="Z36" i="2"/>
  <c r="CY35" i="2"/>
  <c r="BG35" i="2"/>
  <c r="O35" i="2"/>
  <c r="CN34" i="2"/>
  <c r="AV34" i="2"/>
  <c r="D34" i="2"/>
  <c r="CG33" i="2"/>
  <c r="AO33" i="2"/>
  <c r="DJ32" i="2"/>
  <c r="BV32" i="2"/>
  <c r="AD32" i="2"/>
  <c r="CY31" i="2"/>
  <c r="BK31" i="2"/>
  <c r="S31" i="2"/>
  <c r="CN30" i="2"/>
  <c r="AZ30" i="2"/>
  <c r="H30" i="2"/>
  <c r="CG29" i="2"/>
  <c r="AS29" i="2"/>
  <c r="DN28" i="2"/>
  <c r="BV28" i="2"/>
  <c r="AH28" i="2"/>
  <c r="DC27" i="2"/>
  <c r="BK27" i="2"/>
  <c r="W27" i="2"/>
  <c r="CR26" i="2"/>
  <c r="AZ26" i="2"/>
  <c r="L26" i="2"/>
  <c r="CK25" i="2"/>
  <c r="AS25" i="2"/>
  <c r="E25" i="2"/>
  <c r="BZ24" i="2"/>
  <c r="AH24" i="2"/>
  <c r="DO23" i="2"/>
  <c r="CI23" i="2"/>
  <c r="BC23" i="2"/>
  <c r="W23" i="2"/>
  <c r="DD22" i="2"/>
  <c r="BX22" i="2"/>
  <c r="AR22" i="2"/>
  <c r="L22" i="2"/>
  <c r="CW21" i="2"/>
  <c r="BQ21" i="2"/>
  <c r="AK21" i="2"/>
  <c r="E21" i="2"/>
  <c r="CL20" i="2"/>
  <c r="BF20" i="2"/>
  <c r="Z20" i="2"/>
  <c r="DG19" i="2"/>
  <c r="CA19" i="2"/>
  <c r="AU19" i="2"/>
  <c r="O19" i="2"/>
  <c r="CV18" i="2"/>
  <c r="BP18" i="2"/>
  <c r="AJ18" i="2"/>
  <c r="D18" i="2"/>
  <c r="CO17" i="2"/>
  <c r="BI17" i="2"/>
  <c r="AC17" i="2"/>
  <c r="DJ16" i="2"/>
  <c r="CD16" i="2"/>
  <c r="AX16" i="2"/>
  <c r="R16" i="2"/>
  <c r="CY15" i="2"/>
  <c r="BS15" i="2"/>
  <c r="AM15" i="2"/>
  <c r="G15" i="2"/>
  <c r="CN14" i="2"/>
  <c r="BH14" i="2"/>
  <c r="AB14" i="2"/>
  <c r="DM13" i="2"/>
  <c r="CG13" i="2"/>
  <c r="BA13" i="2"/>
  <c r="U13" i="2"/>
  <c r="DB12" i="2"/>
  <c r="BV12" i="2"/>
  <c r="AP12" i="2"/>
  <c r="J12" i="2"/>
  <c r="CQ11" i="2"/>
  <c r="BK11" i="2"/>
  <c r="AE11" i="2"/>
  <c r="DL10" i="2"/>
  <c r="CF10" i="2"/>
  <c r="AZ10" i="2"/>
  <c r="T10" i="2"/>
  <c r="DE9" i="2"/>
  <c r="BY9" i="2"/>
  <c r="AS9" i="2"/>
  <c r="M9" i="2"/>
  <c r="CT8" i="2"/>
  <c r="BN8" i="2"/>
  <c r="AH8" i="2"/>
  <c r="DO7" i="2"/>
  <c r="CI7" i="2"/>
  <c r="BC7" i="2"/>
  <c r="W7" i="2"/>
  <c r="DD6" i="2"/>
  <c r="BX6" i="2"/>
  <c r="AR6" i="2"/>
  <c r="L6" i="2"/>
  <c r="CW5" i="2"/>
  <c r="BQ5" i="2"/>
  <c r="AK5" i="2"/>
  <c r="E5" i="2"/>
  <c r="CL4" i="2"/>
  <c r="BF4" i="2"/>
  <c r="Z4" i="2"/>
  <c r="AN98" i="2"/>
  <c r="AC97" i="2"/>
  <c r="N96" i="2"/>
  <c r="DH94" i="2"/>
  <c r="CW93" i="2"/>
  <c r="CX92" i="2"/>
  <c r="CY91" i="2"/>
  <c r="CZ90" i="2"/>
  <c r="S90" i="2"/>
  <c r="CZ89" i="2"/>
  <c r="BT89" i="2"/>
  <c r="AN89" i="2"/>
  <c r="H89" i="2"/>
  <c r="CS88" i="2"/>
  <c r="BM88" i="2"/>
  <c r="AG88" i="2"/>
  <c r="DN87" i="2"/>
  <c r="CH87" i="2"/>
  <c r="BB87" i="2"/>
  <c r="V87" i="2"/>
  <c r="DC86" i="2"/>
  <c r="BW86" i="2"/>
  <c r="AQ86" i="2"/>
  <c r="K86" i="2"/>
  <c r="CR85" i="2"/>
  <c r="BL85" i="2"/>
  <c r="AF85" i="2"/>
  <c r="DQ84" i="2"/>
  <c r="CK84" i="2"/>
  <c r="BE84" i="2"/>
  <c r="Y84" i="2"/>
  <c r="DF83" i="2"/>
  <c r="BZ83" i="2"/>
  <c r="AT83" i="2"/>
  <c r="N83" i="2"/>
  <c r="CU82" i="2"/>
  <c r="BO82" i="2"/>
  <c r="AI82" i="2"/>
  <c r="DP81" i="2"/>
  <c r="CJ81" i="2"/>
  <c r="BD81" i="2"/>
  <c r="X81" i="2"/>
  <c r="DI80" i="2"/>
  <c r="CC80" i="2"/>
  <c r="AW80" i="2"/>
  <c r="Q80" i="2"/>
  <c r="CX79" i="2"/>
  <c r="BR79" i="2"/>
  <c r="AL79" i="2"/>
  <c r="F79" i="2"/>
  <c r="CM78" i="2"/>
  <c r="BG78" i="2"/>
  <c r="AA78" i="2"/>
  <c r="DH77" i="2"/>
  <c r="CB77" i="2"/>
  <c r="AV77" i="2"/>
  <c r="P77" i="2"/>
  <c r="DA76" i="2"/>
  <c r="BU76" i="2"/>
  <c r="AO76" i="2"/>
  <c r="I76" i="2"/>
  <c r="CP75" i="2"/>
  <c r="BJ75" i="2"/>
  <c r="AD75" i="2"/>
  <c r="DK74" i="2"/>
  <c r="CE74" i="2"/>
  <c r="AY74" i="2"/>
  <c r="S74" i="2"/>
  <c r="CZ73" i="2"/>
  <c r="BT73" i="2"/>
  <c r="AN73" i="2"/>
  <c r="H73" i="2"/>
  <c r="CS72" i="2"/>
  <c r="BM72" i="2"/>
  <c r="AG72" i="2"/>
  <c r="DN71" i="2"/>
  <c r="CH71" i="2"/>
  <c r="BB71" i="2"/>
  <c r="V71" i="2"/>
  <c r="DC70" i="2"/>
  <c r="BW70" i="2"/>
  <c r="AQ70" i="2"/>
  <c r="K70" i="2"/>
  <c r="CR69" i="2"/>
  <c r="BL69" i="2"/>
  <c r="AF69" i="2"/>
  <c r="DQ68" i="2"/>
  <c r="CK68" i="2"/>
  <c r="BE68" i="2"/>
  <c r="Y68" i="2"/>
  <c r="DF67" i="2"/>
  <c r="BZ67" i="2"/>
  <c r="AT67" i="2"/>
  <c r="N67" i="2"/>
  <c r="CU66" i="2"/>
  <c r="BO66" i="2"/>
  <c r="AI66" i="2"/>
  <c r="DP65" i="2"/>
  <c r="CJ65" i="2"/>
  <c r="BD65" i="2"/>
  <c r="X65" i="2"/>
  <c r="DI64" i="2"/>
  <c r="CC64" i="2"/>
  <c r="AW64" i="2"/>
  <c r="Q64" i="2"/>
  <c r="CX63" i="2"/>
  <c r="BR63" i="2"/>
  <c r="AL63" i="2"/>
  <c r="F63" i="2"/>
  <c r="CM62" i="2"/>
  <c r="BG62" i="2"/>
  <c r="AA62" i="2"/>
  <c r="DH61" i="2"/>
  <c r="CB61" i="2"/>
  <c r="AV61" i="2"/>
  <c r="P61" i="2"/>
  <c r="DA60" i="2"/>
  <c r="BU60" i="2"/>
  <c r="AO60" i="2"/>
  <c r="I60" i="2"/>
  <c r="CP59" i="2"/>
  <c r="BJ59" i="2"/>
  <c r="AD59" i="2"/>
  <c r="DK58" i="2"/>
  <c r="CE58" i="2"/>
  <c r="AY58" i="2"/>
  <c r="S58" i="2"/>
  <c r="CZ57" i="2"/>
  <c r="BT57" i="2"/>
  <c r="AN57" i="2"/>
  <c r="H57" i="2"/>
  <c r="CS56" i="2"/>
  <c r="BM56" i="2"/>
  <c r="AG56" i="2"/>
  <c r="DN55" i="2"/>
  <c r="CH55" i="2"/>
  <c r="BB55" i="2"/>
  <c r="V55" i="2"/>
  <c r="DC54" i="2"/>
  <c r="BW54" i="2"/>
  <c r="AQ54" i="2"/>
  <c r="K54" i="2"/>
  <c r="CR53" i="2"/>
  <c r="BL53" i="2"/>
  <c r="AF53" i="2"/>
  <c r="DQ52" i="2"/>
  <c r="CK52" i="2"/>
  <c r="BE52" i="2"/>
  <c r="Y52" i="2"/>
  <c r="DF51" i="2"/>
  <c r="BZ51" i="2"/>
  <c r="AT51" i="2"/>
  <c r="N51" i="2"/>
  <c r="CU50" i="2"/>
  <c r="BO50" i="2"/>
  <c r="AI50" i="2"/>
  <c r="DP49" i="2"/>
  <c r="CJ49" i="2"/>
  <c r="BD49" i="2"/>
  <c r="X49" i="2"/>
  <c r="DI48" i="2"/>
  <c r="CC48" i="2"/>
  <c r="AW48" i="2"/>
  <c r="Q48" i="2"/>
  <c r="CX47" i="2"/>
  <c r="BR47" i="2"/>
  <c r="AL47" i="2"/>
  <c r="F47" i="2"/>
  <c r="CM46" i="2"/>
  <c r="BG46" i="2"/>
  <c r="AA46" i="2"/>
  <c r="DH45" i="2"/>
  <c r="CB45" i="2"/>
  <c r="AV45" i="2"/>
  <c r="P45" i="2"/>
  <c r="DA44" i="2"/>
  <c r="BU44" i="2"/>
  <c r="AO44" i="2"/>
  <c r="I44" i="2"/>
  <c r="CP43" i="2"/>
  <c r="BJ43" i="2"/>
  <c r="AD43" i="2"/>
  <c r="DK42" i="2"/>
  <c r="CE42" i="2"/>
  <c r="AY42" i="2"/>
  <c r="S42" i="2"/>
  <c r="CZ41" i="2"/>
  <c r="BT41" i="2"/>
  <c r="AN41" i="2"/>
  <c r="H41" i="2"/>
  <c r="CS40" i="2"/>
  <c r="BM40" i="2"/>
  <c r="AG40" i="2"/>
  <c r="DN39" i="2"/>
  <c r="CH39" i="2"/>
  <c r="BB39" i="2"/>
  <c r="V39" i="2"/>
  <c r="DC38" i="2"/>
  <c r="BW38" i="2"/>
  <c r="AQ38" i="2"/>
  <c r="K38" i="2"/>
  <c r="CR37" i="2"/>
  <c r="BL37" i="2"/>
  <c r="AF37" i="2"/>
  <c r="DQ36" i="2"/>
  <c r="CK36" i="2"/>
  <c r="BE36" i="2"/>
  <c r="Y36" i="2"/>
  <c r="DF35" i="2"/>
  <c r="BZ35" i="2"/>
  <c r="AT35" i="2"/>
  <c r="N35" i="2"/>
  <c r="CU34" i="2"/>
  <c r="BO34" i="2"/>
  <c r="AI34" i="2"/>
  <c r="DP33" i="2"/>
  <c r="CJ33" i="2"/>
  <c r="BD33" i="2"/>
  <c r="X33" i="2"/>
  <c r="DI32" i="2"/>
  <c r="CC32" i="2"/>
  <c r="AW32" i="2"/>
  <c r="Q32" i="2"/>
  <c r="CX31" i="2"/>
  <c r="BR31" i="2"/>
  <c r="AL31" i="2"/>
  <c r="F31" i="2"/>
  <c r="CM30" i="2"/>
  <c r="BG30" i="2"/>
  <c r="AA30" i="2"/>
  <c r="DH29" i="2"/>
  <c r="CB29" i="2"/>
  <c r="AV29" i="2"/>
  <c r="P29" i="2"/>
  <c r="DA28" i="2"/>
  <c r="BU28" i="2"/>
  <c r="AO28" i="2"/>
  <c r="I28" i="2"/>
  <c r="CP27" i="2"/>
  <c r="BJ27" i="2"/>
  <c r="AD27" i="2"/>
  <c r="DK26" i="2"/>
  <c r="CE26" i="2"/>
  <c r="AY26" i="2"/>
  <c r="S26" i="2"/>
  <c r="CZ25" i="2"/>
  <c r="BT25" i="2"/>
  <c r="AN25" i="2"/>
  <c r="H25" i="2"/>
  <c r="CS24" i="2"/>
  <c r="BM24" i="2"/>
  <c r="AG24" i="2"/>
  <c r="DN23" i="2"/>
  <c r="CH23" i="2"/>
  <c r="BB23" i="2"/>
  <c r="V23" i="2"/>
  <c r="DC22" i="2"/>
  <c r="BW22" i="2"/>
  <c r="AQ22" i="2"/>
  <c r="K22" i="2"/>
  <c r="CR21" i="2"/>
  <c r="BL21" i="2"/>
  <c r="AF21" i="2"/>
  <c r="DQ20" i="2"/>
  <c r="CK20" i="2"/>
  <c r="BE20" i="2"/>
  <c r="Y20" i="2"/>
  <c r="DF19" i="2"/>
  <c r="BZ19" i="2"/>
  <c r="AT19" i="2"/>
  <c r="N19" i="2"/>
  <c r="CU18" i="2"/>
  <c r="BO18" i="2"/>
  <c r="AI18" i="2"/>
  <c r="DP17" i="2"/>
  <c r="CJ17" i="2"/>
  <c r="BD17" i="2"/>
  <c r="X17" i="2"/>
  <c r="DI16" i="2"/>
  <c r="CC16" i="2"/>
  <c r="AW16" i="2"/>
  <c r="Q16" i="2"/>
  <c r="CX15" i="2"/>
  <c r="BR15" i="2"/>
  <c r="AL15" i="2"/>
  <c r="F15" i="2"/>
  <c r="CM14" i="2"/>
  <c r="BG14" i="2"/>
  <c r="AA14" i="2"/>
  <c r="DH13" i="2"/>
  <c r="CB13" i="2"/>
  <c r="AV13" i="2"/>
  <c r="P13" i="2"/>
  <c r="DA12" i="2"/>
  <c r="BU12" i="2"/>
  <c r="AO12" i="2"/>
  <c r="I12" i="2"/>
  <c r="CP11" i="2"/>
  <c r="BJ11" i="2"/>
  <c r="AD11" i="2"/>
  <c r="DK10" i="2"/>
  <c r="CE10" i="2"/>
  <c r="AY10" i="2"/>
  <c r="S10" i="2"/>
  <c r="CZ9" i="2"/>
  <c r="BT9" i="2"/>
  <c r="AN9" i="2"/>
  <c r="H9" i="2"/>
  <c r="CS8" i="2"/>
  <c r="BM8" i="2"/>
  <c r="AG8" i="2"/>
  <c r="DN7" i="2"/>
  <c r="CH7" i="2"/>
  <c r="BB7" i="2"/>
  <c r="V7" i="2"/>
  <c r="DC6" i="2"/>
  <c r="BW6" i="2"/>
  <c r="AQ6" i="2"/>
  <c r="K6" i="2"/>
  <c r="CR5" i="2"/>
  <c r="BL5" i="2"/>
  <c r="AF5" i="2"/>
  <c r="DQ4" i="2"/>
  <c r="CK4" i="2"/>
  <c r="BE4" i="2"/>
  <c r="Y4" i="2"/>
  <c r="AA4" i="2"/>
  <c r="CM4" i="2"/>
  <c r="AM5" i="2"/>
  <c r="CY5" i="2"/>
  <c r="AS6" i="2"/>
  <c r="DE6" i="2"/>
  <c r="BD7" i="2"/>
  <c r="DP7" i="2"/>
  <c r="BO8" i="2"/>
  <c r="AA9" i="2"/>
  <c r="AP10" i="2"/>
  <c r="I11" i="2"/>
  <c r="DA11" i="2"/>
  <c r="AZ12" i="2"/>
  <c r="S13" i="2"/>
  <c r="DK13" i="2"/>
  <c r="CD14" i="2"/>
  <c r="AW15" i="2"/>
  <c r="AB16" i="2"/>
  <c r="DD16" i="2"/>
  <c r="BW17" i="2"/>
  <c r="BF18" i="2"/>
  <c r="Y19" i="2"/>
  <c r="DA19" i="2"/>
  <c r="BP20" i="2"/>
  <c r="AI21" i="2"/>
  <c r="DK21" i="2"/>
  <c r="CT22" i="2"/>
  <c r="BM23" i="2"/>
  <c r="AB24" i="2"/>
  <c r="K25" i="2"/>
  <c r="CM25" i="2"/>
  <c r="BF26" i="2"/>
  <c r="AO27" i="2"/>
  <c r="DQ27" i="2"/>
  <c r="BP28" i="2"/>
  <c r="AY29" i="2"/>
  <c r="R30" i="2"/>
  <c r="CT30" i="2"/>
  <c r="CC31" i="2"/>
  <c r="AR32" i="2"/>
  <c r="K33" i="2"/>
  <c r="DC33" i="2"/>
  <c r="BV34" i="2"/>
  <c r="AO35" i="2"/>
  <c r="D36" i="2"/>
  <c r="CF36" i="2"/>
  <c r="AY37" i="2"/>
  <c r="AH38" i="2"/>
  <c r="DJ38" i="2"/>
  <c r="CC39" i="2"/>
  <c r="BH40" i="2"/>
  <c r="AA41" i="2"/>
  <c r="DC41" i="2"/>
  <c r="CL42" i="2"/>
  <c r="BE43" i="2"/>
  <c r="D44" i="2"/>
  <c r="CV44" i="2"/>
  <c r="BO45" i="2"/>
  <c r="AH46" i="2"/>
  <c r="Q47" i="2"/>
  <c r="CS47" i="2"/>
  <c r="BH48" i="2"/>
  <c r="AQ49" i="2"/>
  <c r="J50" i="2"/>
  <c r="CL50" i="2"/>
  <c r="BU51" i="2"/>
  <c r="T52" i="2"/>
  <c r="CV52" i="2"/>
  <c r="CE53" i="2"/>
  <c r="AX54" i="2"/>
  <c r="Q55" i="2"/>
  <c r="DI55" i="2"/>
  <c r="BX56" i="2"/>
  <c r="AQ57" i="2"/>
  <c r="Z58" i="2"/>
  <c r="DB58" i="2"/>
  <c r="BU59" i="2"/>
  <c r="AJ60" i="2"/>
  <c r="DL60" i="2"/>
  <c r="CE61" i="2"/>
  <c r="BN62" i="2"/>
  <c r="AG63" i="2"/>
  <c r="DI63" i="2"/>
  <c r="CN64" i="2"/>
  <c r="BG65" i="2"/>
  <c r="Z66" i="2"/>
  <c r="I67" i="2"/>
  <c r="CK67" i="2"/>
  <c r="AJ68" i="2"/>
  <c r="S69" i="2"/>
  <c r="CU69" i="2"/>
  <c r="BN70" i="2"/>
  <c r="AW71" i="2"/>
  <c r="L72" i="2"/>
  <c r="CN72" i="2"/>
  <c r="BW73" i="2"/>
  <c r="AP74" i="2"/>
  <c r="I75" i="2"/>
  <c r="DA75" i="2"/>
  <c r="AZ76" i="2"/>
  <c r="S77" i="2"/>
  <c r="DK77" i="2"/>
  <c r="CD78" i="2"/>
  <c r="AW79" i="2"/>
  <c r="AB80" i="2"/>
  <c r="DD80" i="2"/>
  <c r="BW81" i="2"/>
  <c r="BF82" i="2"/>
  <c r="I83" i="2"/>
  <c r="BU83" i="2"/>
  <c r="D84" i="2"/>
  <c r="BP84" i="2"/>
  <c r="S85" i="2"/>
  <c r="CE85" i="2"/>
  <c r="AH86" i="2"/>
  <c r="CT86" i="2"/>
  <c r="AW87" i="2"/>
  <c r="DI87" i="2"/>
  <c r="BH88" i="2"/>
  <c r="K89" i="2"/>
  <c r="BW89" i="2"/>
  <c r="Z90" i="2"/>
  <c r="BN92" i="2"/>
  <c r="AA95" i="2"/>
  <c r="CK97" i="2"/>
  <c r="T4" i="2"/>
  <c r="AZ4" i="2"/>
  <c r="CF4" i="2"/>
  <c r="DL4" i="2"/>
  <c r="AH5" i="2"/>
  <c r="BN5" i="2"/>
  <c r="CT5" i="2"/>
  <c r="N6" i="2"/>
  <c r="AT6" i="2"/>
  <c r="BZ6" i="2"/>
  <c r="DF6" i="2"/>
  <c r="Y7" i="2"/>
  <c r="BE7" i="2"/>
  <c r="CC6" i="2"/>
  <c r="CC35" i="2"/>
  <c r="CC67" i="2"/>
  <c r="CS7" i="2"/>
  <c r="D8" i="2"/>
  <c r="AJ8" i="2"/>
  <c r="BP8" i="2"/>
  <c r="CV8" i="2"/>
  <c r="AE9" i="2"/>
  <c r="CQ9" i="2"/>
  <c r="AT10" i="2"/>
  <c r="DF10" i="2"/>
  <c r="BI11" i="2"/>
  <c r="H12" i="2"/>
  <c r="BT12" i="2"/>
  <c r="G13" i="2"/>
  <c r="BS13" i="2"/>
  <c r="F14" i="2"/>
  <c r="BR14" i="2"/>
  <c r="E15" i="2"/>
  <c r="BQ15" i="2"/>
  <c r="P16" i="2"/>
  <c r="CB16" i="2"/>
  <c r="AE17" i="2"/>
  <c r="CQ17" i="2"/>
  <c r="AT18" i="2"/>
  <c r="DF18" i="2"/>
  <c r="BI19" i="2"/>
  <c r="H20" i="2"/>
  <c r="BT20" i="2"/>
  <c r="G21" i="2"/>
  <c r="BS21" i="2"/>
  <c r="F22" i="2"/>
  <c r="BR22" i="2"/>
  <c r="E23" i="2"/>
  <c r="BQ23" i="2"/>
  <c r="P24" i="2"/>
  <c r="CB24" i="2"/>
  <c r="AE25" i="2"/>
  <c r="CQ25" i="2"/>
  <c r="AT26" i="2"/>
  <c r="DF26" i="2"/>
  <c r="BI27" i="2"/>
  <c r="H28" i="2"/>
  <c r="BT28" i="2"/>
  <c r="G29" i="2"/>
  <c r="BS29" i="2"/>
  <c r="F30" i="2"/>
  <c r="BR30" i="2"/>
  <c r="E31" i="2"/>
  <c r="BQ31" i="2"/>
  <c r="P32" i="2"/>
  <c r="CB32" i="2"/>
  <c r="AE33" i="2"/>
  <c r="CQ33" i="2"/>
  <c r="AT34" i="2"/>
  <c r="DF34" i="2"/>
  <c r="BI35" i="2"/>
  <c r="H36" i="2"/>
  <c r="BT36" i="2"/>
  <c r="G37" i="2"/>
  <c r="BS37" i="2"/>
  <c r="F38" i="2"/>
  <c r="BR38" i="2"/>
  <c r="E39" i="2"/>
  <c r="BQ39" i="2"/>
  <c r="P40" i="2"/>
  <c r="CB40" i="2"/>
  <c r="AE41" i="2"/>
  <c r="CQ41" i="2"/>
  <c r="AT42" i="2"/>
  <c r="DF42" i="2"/>
  <c r="BI43" i="2"/>
  <c r="H44" i="2"/>
  <c r="BT44" i="2"/>
  <c r="G45" i="2"/>
  <c r="BS45" i="2"/>
  <c r="F46" i="2"/>
  <c r="BR46" i="2"/>
  <c r="E47" i="2"/>
  <c r="BQ47" i="2"/>
  <c r="P48" i="2"/>
  <c r="CB48" i="2"/>
  <c r="AE49" i="2"/>
  <c r="CQ49" i="2"/>
  <c r="AT50" i="2"/>
  <c r="DF50" i="2"/>
  <c r="BI51" i="2"/>
  <c r="H52" i="2"/>
  <c r="BT52" i="2"/>
  <c r="G53" i="2"/>
  <c r="BS53" i="2"/>
  <c r="F54" i="2"/>
  <c r="BR54" i="2"/>
  <c r="E55" i="2"/>
  <c r="BQ55" i="2"/>
  <c r="P56" i="2"/>
  <c r="CB56" i="2"/>
  <c r="AE57" i="2"/>
  <c r="CQ57" i="2"/>
  <c r="AT58" i="2"/>
  <c r="DF58" i="2"/>
  <c r="BI59" i="2"/>
  <c r="H60" i="2"/>
  <c r="BT60" i="2"/>
  <c r="G61" i="2"/>
  <c r="BS61" i="2"/>
  <c r="F62" i="2"/>
  <c r="BR62" i="2"/>
  <c r="E63" i="2"/>
  <c r="BQ63" i="2"/>
  <c r="P64" i="2"/>
  <c r="CB64" i="2"/>
  <c r="AE65" i="2"/>
  <c r="CQ65" i="2"/>
  <c r="AT66" i="2"/>
  <c r="DF66" i="2"/>
  <c r="BI67" i="2"/>
  <c r="H68" i="2"/>
  <c r="BT68" i="2"/>
  <c r="G69" i="2"/>
  <c r="BS69" i="2"/>
  <c r="F70" i="2"/>
  <c r="BR70" i="2"/>
  <c r="E71" i="2"/>
  <c r="BQ71" i="2"/>
  <c r="P72" i="2"/>
  <c r="CB72" i="2"/>
  <c r="AE73" i="2"/>
  <c r="CQ73" i="2"/>
  <c r="AT74" i="2"/>
  <c r="DF74" i="2"/>
  <c r="BI75" i="2"/>
  <c r="H76" i="2"/>
  <c r="BT76" i="2"/>
  <c r="G77" i="2"/>
  <c r="BS77" i="2"/>
  <c r="F78" i="2"/>
  <c r="BR78" i="2"/>
  <c r="E79" i="2"/>
  <c r="BQ79" i="2"/>
  <c r="P80" i="2"/>
  <c r="CB80" i="2"/>
  <c r="AE81" i="2"/>
  <c r="CQ81" i="2"/>
  <c r="AT82" i="2"/>
  <c r="DF82" i="2"/>
  <c r="BI83" i="2"/>
  <c r="H84" i="2"/>
  <c r="BT84" i="2"/>
  <c r="G85" i="2"/>
  <c r="BS85" i="2"/>
  <c r="F86" i="2"/>
  <c r="BR86" i="2"/>
  <c r="E87" i="2"/>
  <c r="BQ87" i="2"/>
  <c r="P88" i="2"/>
  <c r="CB88" i="2"/>
  <c r="AE89" i="2"/>
  <c r="CQ89" i="2"/>
  <c r="CF90" i="2"/>
  <c r="CD92" i="2"/>
  <c r="BX94" i="2"/>
  <c r="BV96" i="2"/>
  <c r="G4" i="2"/>
  <c r="AM4" i="2"/>
  <c r="BS4" i="2"/>
  <c r="CY4" i="2"/>
  <c r="S5" i="2"/>
  <c r="AY5" i="2"/>
  <c r="CE5" i="2"/>
  <c r="DK5" i="2"/>
  <c r="AG6" i="2"/>
  <c r="BM6" i="2"/>
  <c r="CS11" i="2"/>
  <c r="CS43" i="2"/>
  <c r="CS75" i="2"/>
  <c r="DQ6" i="2"/>
  <c r="AB7" i="2"/>
  <c r="BH7" i="2"/>
  <c r="CN7" i="2"/>
  <c r="G8" i="2"/>
  <c r="AM8" i="2"/>
  <c r="BS8" i="2"/>
  <c r="CY8" i="2"/>
  <c r="AI9" i="2"/>
  <c r="CU9" i="2"/>
  <c r="AX10" i="2"/>
  <c r="DJ10" i="2"/>
  <c r="BM11" i="2"/>
  <c r="AR12" i="2"/>
  <c r="DD12" i="2"/>
  <c r="BG13" i="2"/>
  <c r="J14" i="2"/>
  <c r="BV14" i="2"/>
  <c r="Y15" i="2"/>
  <c r="CK15" i="2"/>
  <c r="T16" i="2"/>
  <c r="CF16" i="2"/>
  <c r="AI17" i="2"/>
  <c r="CU17" i="2"/>
  <c r="AX18" i="2"/>
  <c r="DJ18" i="2"/>
  <c r="BM19" i="2"/>
  <c r="AR20" i="2"/>
  <c r="DD20" i="2"/>
  <c r="BG21" i="2"/>
  <c r="J22" i="2"/>
  <c r="BV22" i="2"/>
  <c r="Y23" i="2"/>
  <c r="CK23" i="2"/>
  <c r="T24" i="2"/>
  <c r="CF24" i="2"/>
  <c r="AI25" i="2"/>
  <c r="CU25" i="2"/>
  <c r="AX26" i="2"/>
  <c r="DJ26" i="2"/>
  <c r="BM27" i="2"/>
  <c r="AR28" i="2"/>
  <c r="DD28" i="2"/>
  <c r="BG29" i="2"/>
  <c r="J30" i="2"/>
  <c r="BV30" i="2"/>
  <c r="Y31" i="2"/>
  <c r="CK31" i="2"/>
  <c r="T32" i="2"/>
  <c r="CF32" i="2"/>
  <c r="AI33" i="2"/>
  <c r="CU33" i="2"/>
  <c r="AX34" i="2"/>
  <c r="DJ34" i="2"/>
  <c r="BM35" i="2"/>
  <c r="AR36" i="2"/>
  <c r="DD36" i="2"/>
  <c r="BG37" i="2"/>
  <c r="J38" i="2"/>
  <c r="BV38" i="2"/>
  <c r="Y39" i="2"/>
  <c r="CK39" i="2"/>
  <c r="T40" i="2"/>
  <c r="CF40" i="2"/>
  <c r="AI41" i="2"/>
  <c r="CU41" i="2"/>
  <c r="AX42" i="2"/>
  <c r="DJ42" i="2"/>
  <c r="BM43" i="2"/>
  <c r="AR44" i="2"/>
  <c r="DD44" i="2"/>
  <c r="BG45" i="2"/>
  <c r="J46" i="2"/>
  <c r="BV46" i="2"/>
  <c r="Y47" i="2"/>
  <c r="CK47" i="2"/>
  <c r="T48" i="2"/>
  <c r="CF48" i="2"/>
  <c r="AI49" i="2"/>
  <c r="CU49" i="2"/>
  <c r="AX50" i="2"/>
  <c r="DJ50" i="2"/>
  <c r="BM51" i="2"/>
  <c r="AR52" i="2"/>
  <c r="DD52" i="2"/>
  <c r="BG53" i="2"/>
  <c r="J54" i="2"/>
  <c r="BV54" i="2"/>
  <c r="Y55" i="2"/>
  <c r="CK55" i="2"/>
  <c r="T56" i="2"/>
  <c r="CF56" i="2"/>
  <c r="AI57" i="2"/>
  <c r="CU57" i="2"/>
  <c r="AX58" i="2"/>
  <c r="DJ58" i="2"/>
  <c r="BM59" i="2"/>
  <c r="AR60" i="2"/>
  <c r="DD60" i="2"/>
  <c r="BG61" i="2"/>
  <c r="J62" i="2"/>
  <c r="BV62" i="2"/>
  <c r="Y63" i="2"/>
  <c r="CK63" i="2"/>
  <c r="T64" i="2"/>
  <c r="CF64" i="2"/>
  <c r="AI65" i="2"/>
  <c r="CU65" i="2"/>
  <c r="AX66" i="2"/>
  <c r="DJ66" i="2"/>
  <c r="BM67" i="2"/>
  <c r="AR68" i="2"/>
  <c r="DD68" i="2"/>
  <c r="BG69" i="2"/>
  <c r="J70" i="2"/>
  <c r="BV70" i="2"/>
  <c r="Y71" i="2"/>
  <c r="CK71" i="2"/>
  <c r="T72" i="2"/>
  <c r="CF72" i="2"/>
  <c r="AI73" i="2"/>
  <c r="CU73" i="2"/>
  <c r="AX74" i="2"/>
  <c r="DJ74" i="2"/>
  <c r="BM75" i="2"/>
  <c r="AR76" i="2"/>
  <c r="DD76" i="2"/>
  <c r="BG77" i="2"/>
  <c r="J78" i="2"/>
  <c r="BV78" i="2"/>
  <c r="Y79" i="2"/>
  <c r="CK79" i="2"/>
  <c r="T80" i="2"/>
  <c r="CF80" i="2"/>
  <c r="AI81" i="2"/>
  <c r="CU81" i="2"/>
  <c r="AX82" i="2"/>
  <c r="DJ82" i="2"/>
  <c r="BM83" i="2"/>
  <c r="AR84" i="2"/>
  <c r="DD84" i="2"/>
  <c r="BG85" i="2"/>
  <c r="J86" i="2"/>
  <c r="BV86" i="2"/>
  <c r="Y87" i="2"/>
  <c r="CK87" i="2"/>
  <c r="T88" i="2"/>
  <c r="CF88" i="2"/>
  <c r="AI89" i="2"/>
  <c r="CU89" i="2"/>
  <c r="CV90" i="2"/>
  <c r="BM93" i="2"/>
  <c r="Z96" i="2"/>
  <c r="D98" i="2"/>
  <c r="BO132" i="2"/>
  <c r="CL116" i="2"/>
  <c r="AO94" i="2"/>
  <c r="BI133" i="2"/>
  <c r="DP122" i="2"/>
  <c r="AN114" i="2"/>
  <c r="BY105" i="2"/>
  <c r="AL96" i="2"/>
  <c r="Z89" i="2"/>
  <c r="D87" i="2"/>
  <c r="CY84" i="2"/>
  <c r="CG82" i="2"/>
  <c r="BK80" i="2"/>
  <c r="AS78" i="2"/>
  <c r="AQ76" i="2"/>
  <c r="DE74" i="2"/>
  <c r="BF73" i="2"/>
  <c r="DP71" i="2"/>
  <c r="BQ70" i="2"/>
  <c r="R69" i="2"/>
  <c r="CB67" i="2"/>
  <c r="AC66" i="2"/>
  <c r="CQ64" i="2"/>
  <c r="AN63" i="2"/>
  <c r="DB61" i="2"/>
  <c r="BC60" i="2"/>
  <c r="DQ58" i="2"/>
  <c r="BN57" i="2"/>
  <c r="O56" i="2"/>
  <c r="CC54" i="2"/>
  <c r="Z53" i="2"/>
  <c r="CN51" i="2"/>
  <c r="AO50" i="2"/>
  <c r="CY48" i="2"/>
  <c r="AZ47" i="2"/>
  <c r="DN45" i="2"/>
  <c r="BK44" i="2"/>
  <c r="AV43" i="2"/>
  <c r="AO42" i="2"/>
  <c r="AD41" i="2"/>
  <c r="S40" i="2"/>
  <c r="H39" i="2"/>
  <c r="DN37" i="2"/>
  <c r="DC36" i="2"/>
  <c r="CR35" i="2"/>
  <c r="CK34" i="2"/>
  <c r="BZ33" i="2"/>
  <c r="BO32" i="2"/>
  <c r="BD31" i="2"/>
  <c r="AW30" i="2"/>
  <c r="AL29" i="2"/>
  <c r="AA28" i="2"/>
  <c r="P27" i="2"/>
  <c r="I26" i="2"/>
  <c r="AP25" i="2"/>
  <c r="BW24" i="2"/>
  <c r="CZ23" i="2"/>
  <c r="T23" i="2"/>
  <c r="BE22" i="2"/>
  <c r="CH21" i="2"/>
  <c r="DO20" i="2"/>
  <c r="AI20" i="2"/>
  <c r="BL19" i="2"/>
  <c r="CW18" i="2"/>
  <c r="Q18" i="2"/>
  <c r="AT17" i="2"/>
  <c r="CA16" i="2"/>
  <c r="DH15" i="2"/>
  <c r="X15" i="2"/>
  <c r="BI14" i="2"/>
  <c r="CP13" i="2"/>
  <c r="F13" i="2"/>
  <c r="AM12" i="2"/>
  <c r="BT11" i="2"/>
  <c r="DA10" i="2"/>
  <c r="U10" i="2"/>
  <c r="BB9" i="2"/>
  <c r="AW97" i="2"/>
  <c r="AZ94" i="2"/>
  <c r="BW91" i="2"/>
  <c r="DA89" i="2"/>
  <c r="U89" i="2"/>
  <c r="BB88" i="2"/>
  <c r="CE87" i="2"/>
  <c r="DL86" i="2"/>
  <c r="AF86" i="2"/>
  <c r="BM85" i="2"/>
  <c r="CT84" i="2"/>
  <c r="N84" i="2"/>
  <c r="AQ83" i="2"/>
  <c r="BX82" i="2"/>
  <c r="DI81" i="2"/>
  <c r="Y81" i="2"/>
  <c r="BF80" i="2"/>
  <c r="CM79" i="2"/>
  <c r="DP78" i="2"/>
  <c r="AJ78" i="2"/>
  <c r="BU77" i="2"/>
  <c r="CX76" i="2"/>
  <c r="R76" i="2"/>
  <c r="AY75" i="2"/>
  <c r="CB74" i="2"/>
  <c r="P74" i="2"/>
  <c r="BU73" i="2"/>
  <c r="I73" i="2"/>
  <c r="BJ72" i="2"/>
  <c r="DK71" i="2"/>
  <c r="AY71" i="2"/>
  <c r="CZ70" i="2"/>
  <c r="AN70" i="2"/>
  <c r="CS69" i="2"/>
  <c r="AG69" i="2"/>
  <c r="CH68" i="2"/>
  <c r="V68" i="2"/>
  <c r="BW67" i="2"/>
  <c r="K67" i="2"/>
  <c r="BL66" i="2"/>
  <c r="DQ65" i="2"/>
  <c r="BE65" i="2"/>
  <c r="DF64" i="2"/>
  <c r="AT64" i="2"/>
  <c r="CU63" i="2"/>
  <c r="AI63" i="2"/>
  <c r="CJ62" i="2"/>
  <c r="X62" i="2"/>
  <c r="CC61" i="2"/>
  <c r="Q61" i="2"/>
  <c r="BR60" i="2"/>
  <c r="F60" i="2"/>
  <c r="BG59" i="2"/>
  <c r="DH58" i="2"/>
  <c r="AV58" i="2"/>
  <c r="DA57" i="2"/>
  <c r="AO57" i="2"/>
  <c r="CP56" i="2"/>
  <c r="AD56" i="2"/>
  <c r="CE55" i="2"/>
  <c r="S55" i="2"/>
  <c r="BT54" i="2"/>
  <c r="H54" i="2"/>
  <c r="BM53" i="2"/>
  <c r="DN52" i="2"/>
  <c r="BB52" i="2"/>
  <c r="DC51" i="2"/>
  <c r="AQ51" i="2"/>
  <c r="CR50" i="2"/>
  <c r="AF50" i="2"/>
  <c r="CK49" i="2"/>
  <c r="Y49" i="2"/>
  <c r="BZ48" i="2"/>
  <c r="N48" i="2"/>
  <c r="BO47" i="2"/>
  <c r="DP46" i="2"/>
  <c r="BD46" i="2"/>
  <c r="DI45" i="2"/>
  <c r="AW45" i="2"/>
  <c r="CX44" i="2"/>
  <c r="AL44" i="2"/>
  <c r="CM43" i="2"/>
  <c r="AA43" i="2"/>
  <c r="CB42" i="2"/>
  <c r="P42" i="2"/>
  <c r="BU41" i="2"/>
  <c r="I41" i="2"/>
  <c r="BJ40" i="2"/>
  <c r="DK39" i="2"/>
  <c r="AY39" i="2"/>
  <c r="CZ38" i="2"/>
  <c r="AN38" i="2"/>
  <c r="CS37" i="2"/>
  <c r="AG37" i="2"/>
  <c r="CT36" i="2"/>
  <c r="BB36" i="2"/>
  <c r="J36" i="2"/>
  <c r="CI35" i="2"/>
  <c r="AQ35" i="2"/>
  <c r="DL34" i="2"/>
  <c r="BX34" i="2"/>
  <c r="AF34" i="2"/>
  <c r="DE33" i="2"/>
  <c r="BQ33" i="2"/>
  <c r="Y33" i="2"/>
  <c r="CT32" i="2"/>
  <c r="BF32" i="2"/>
  <c r="N32" i="2"/>
  <c r="CI31" i="2"/>
  <c r="AU31" i="2"/>
  <c r="DP30" i="2"/>
  <c r="BX30" i="2"/>
  <c r="AJ30" i="2"/>
  <c r="DI29" i="2"/>
  <c r="BQ29" i="2"/>
  <c r="AC29" i="2"/>
  <c r="CX28" i="2"/>
  <c r="BF28" i="2"/>
  <c r="R28" i="2"/>
  <c r="CM27" i="2"/>
  <c r="AU27" i="2"/>
  <c r="G27" i="2"/>
  <c r="CB26" i="2"/>
  <c r="AJ26" i="2"/>
  <c r="DM25" i="2"/>
  <c r="BU25" i="2"/>
  <c r="AC25" i="2"/>
  <c r="DB24" i="2"/>
  <c r="BJ24" i="2"/>
  <c r="V24" i="2"/>
  <c r="DC23" i="2"/>
  <c r="BW23" i="2"/>
  <c r="AQ23" i="2"/>
  <c r="K23" i="2"/>
  <c r="CR22" i="2"/>
  <c r="BL22" i="2"/>
  <c r="AF22" i="2"/>
  <c r="DQ21" i="2"/>
  <c r="CK21" i="2"/>
  <c r="BE21" i="2"/>
  <c r="Y21" i="2"/>
  <c r="DF20" i="2"/>
  <c r="BZ20" i="2"/>
  <c r="AT20" i="2"/>
  <c r="N20" i="2"/>
  <c r="CU19" i="2"/>
  <c r="BO19" i="2"/>
  <c r="AI19" i="2"/>
  <c r="DP18" i="2"/>
  <c r="CJ18" i="2"/>
  <c r="BD18" i="2"/>
  <c r="X18" i="2"/>
  <c r="DI17" i="2"/>
  <c r="CC17" i="2"/>
  <c r="AW17" i="2"/>
  <c r="Q17" i="2"/>
  <c r="CX16" i="2"/>
  <c r="BR16" i="2"/>
  <c r="AL16" i="2"/>
  <c r="F16" i="2"/>
  <c r="CM15" i="2"/>
  <c r="BG15" i="2"/>
  <c r="AA15" i="2"/>
  <c r="DH14" i="2"/>
  <c r="CB14" i="2"/>
  <c r="AV14" i="2"/>
  <c r="P14" i="2"/>
  <c r="DA13" i="2"/>
  <c r="BU13" i="2"/>
  <c r="AO13" i="2"/>
  <c r="I13" i="2"/>
  <c r="CP12" i="2"/>
  <c r="BJ12" i="2"/>
  <c r="AD12" i="2"/>
  <c r="DK11" i="2"/>
  <c r="CE11" i="2"/>
  <c r="AY11" i="2"/>
  <c r="S11" i="2"/>
  <c r="CZ10" i="2"/>
  <c r="BT10" i="2"/>
  <c r="AN10" i="2"/>
  <c r="H10" i="2"/>
  <c r="CS9" i="2"/>
  <c r="BM9" i="2"/>
  <c r="AG9" i="2"/>
  <c r="DN8" i="2"/>
  <c r="CH8" i="2"/>
  <c r="BB8" i="2"/>
  <c r="V8" i="2"/>
  <c r="DC7" i="2"/>
  <c r="BW7" i="2"/>
  <c r="AQ7" i="2"/>
  <c r="K7" i="2"/>
  <c r="CR6" i="2"/>
  <c r="BL6" i="2"/>
  <c r="AF6" i="2"/>
  <c r="DQ5" i="2"/>
  <c r="CK5" i="2"/>
  <c r="BE5" i="2"/>
  <c r="Y5" i="2"/>
  <c r="DF4" i="2"/>
  <c r="BZ4" i="2"/>
  <c r="AT4" i="2"/>
  <c r="N4" i="2"/>
  <c r="DE97" i="2"/>
  <c r="CP96" i="2"/>
  <c r="CA95" i="2"/>
  <c r="BL94" i="2"/>
  <c r="BA93" i="2"/>
  <c r="BB92" i="2"/>
  <c r="BC91" i="2"/>
  <c r="BD90" i="2"/>
  <c r="G90" i="2"/>
  <c r="CN89" i="2"/>
  <c r="BH89" i="2"/>
  <c r="AB89" i="2"/>
  <c r="DM88" i="2"/>
  <c r="CG88" i="2"/>
  <c r="BA88" i="2"/>
  <c r="U88" i="2"/>
  <c r="DB87" i="2"/>
  <c r="BV87" i="2"/>
  <c r="AP87" i="2"/>
  <c r="J87" i="2"/>
  <c r="CQ86" i="2"/>
  <c r="BK86" i="2"/>
  <c r="AE86" i="2"/>
  <c r="DL85" i="2"/>
  <c r="CF85" i="2"/>
  <c r="AZ85" i="2"/>
  <c r="T85" i="2"/>
  <c r="DE84" i="2"/>
  <c r="BY84" i="2"/>
  <c r="AS84" i="2"/>
  <c r="M84" i="2"/>
  <c r="CT83" i="2"/>
  <c r="BN83" i="2"/>
  <c r="AH83" i="2"/>
  <c r="DO82" i="2"/>
  <c r="CI82" i="2"/>
  <c r="BC82" i="2"/>
  <c r="W82" i="2"/>
  <c r="DD81" i="2"/>
  <c r="BX81" i="2"/>
  <c r="AR81" i="2"/>
  <c r="L81" i="2"/>
  <c r="CW80" i="2"/>
  <c r="BQ80" i="2"/>
  <c r="AK80" i="2"/>
  <c r="E80" i="2"/>
  <c r="CL79" i="2"/>
  <c r="BF79" i="2"/>
  <c r="Z79" i="2"/>
  <c r="DG78" i="2"/>
  <c r="CA78" i="2"/>
  <c r="AU78" i="2"/>
  <c r="O78" i="2"/>
  <c r="CV77" i="2"/>
  <c r="BP77" i="2"/>
  <c r="AJ77" i="2"/>
  <c r="D77" i="2"/>
  <c r="CO76" i="2"/>
  <c r="BI76" i="2"/>
  <c r="AC76" i="2"/>
  <c r="DJ75" i="2"/>
  <c r="CD75" i="2"/>
  <c r="AX75" i="2"/>
  <c r="R75" i="2"/>
  <c r="CY74" i="2"/>
  <c r="BS74" i="2"/>
  <c r="AM74" i="2"/>
  <c r="G74" i="2"/>
  <c r="CN73" i="2"/>
  <c r="BH73" i="2"/>
  <c r="AB73" i="2"/>
  <c r="DM72" i="2"/>
  <c r="CG72" i="2"/>
  <c r="BA72" i="2"/>
  <c r="U72" i="2"/>
  <c r="DB71" i="2"/>
  <c r="BV71" i="2"/>
  <c r="AP71" i="2"/>
  <c r="J71" i="2"/>
  <c r="CQ70" i="2"/>
  <c r="BK70" i="2"/>
  <c r="AE70" i="2"/>
  <c r="DL69" i="2"/>
  <c r="CF69" i="2"/>
  <c r="AZ69" i="2"/>
  <c r="T69" i="2"/>
  <c r="DE68" i="2"/>
  <c r="BY68" i="2"/>
  <c r="AS68" i="2"/>
  <c r="M68" i="2"/>
  <c r="CT67" i="2"/>
  <c r="BN67" i="2"/>
  <c r="AH67" i="2"/>
  <c r="DO66" i="2"/>
  <c r="CI66" i="2"/>
  <c r="BC66" i="2"/>
  <c r="W66" i="2"/>
  <c r="DD65" i="2"/>
  <c r="BX65" i="2"/>
  <c r="AR65" i="2"/>
  <c r="L65" i="2"/>
  <c r="CW64" i="2"/>
  <c r="BQ64" i="2"/>
  <c r="AK64" i="2"/>
  <c r="E64" i="2"/>
  <c r="CL63" i="2"/>
  <c r="BF63" i="2"/>
  <c r="Z63" i="2"/>
  <c r="DG62" i="2"/>
  <c r="CA62" i="2"/>
  <c r="AU62" i="2"/>
  <c r="O62" i="2"/>
  <c r="CV61" i="2"/>
  <c r="BP61" i="2"/>
  <c r="AJ61" i="2"/>
  <c r="D61" i="2"/>
  <c r="CO60" i="2"/>
  <c r="BI60" i="2"/>
  <c r="AC60" i="2"/>
  <c r="DJ59" i="2"/>
  <c r="CD59" i="2"/>
  <c r="AX59" i="2"/>
  <c r="R59" i="2"/>
  <c r="CY58" i="2"/>
  <c r="BS58" i="2"/>
  <c r="AM58" i="2"/>
  <c r="G58" i="2"/>
  <c r="CN57" i="2"/>
  <c r="BH57" i="2"/>
  <c r="AB57" i="2"/>
  <c r="DM56" i="2"/>
  <c r="CG56" i="2"/>
  <c r="BA56" i="2"/>
  <c r="U56" i="2"/>
  <c r="DB55" i="2"/>
  <c r="BV55" i="2"/>
  <c r="AP55" i="2"/>
  <c r="J55" i="2"/>
  <c r="CQ54" i="2"/>
  <c r="BK54" i="2"/>
  <c r="AE54" i="2"/>
  <c r="DL53" i="2"/>
  <c r="CF53" i="2"/>
  <c r="AZ53" i="2"/>
  <c r="T53" i="2"/>
  <c r="DE52" i="2"/>
  <c r="BY52" i="2"/>
  <c r="AS52" i="2"/>
  <c r="M52" i="2"/>
  <c r="CT51" i="2"/>
  <c r="BN51" i="2"/>
  <c r="AH51" i="2"/>
  <c r="DO50" i="2"/>
  <c r="CI50" i="2"/>
  <c r="BC50" i="2"/>
  <c r="W50" i="2"/>
  <c r="DD49" i="2"/>
  <c r="BX49" i="2"/>
  <c r="AR49" i="2"/>
  <c r="L49" i="2"/>
  <c r="CW48" i="2"/>
  <c r="BQ48" i="2"/>
  <c r="AK48" i="2"/>
  <c r="E48" i="2"/>
  <c r="CL47" i="2"/>
  <c r="BF47" i="2"/>
  <c r="Z47" i="2"/>
  <c r="DG46" i="2"/>
  <c r="CA46" i="2"/>
  <c r="AU46" i="2"/>
  <c r="O46" i="2"/>
  <c r="CV45" i="2"/>
  <c r="BP45" i="2"/>
  <c r="AJ45" i="2"/>
  <c r="D45" i="2"/>
  <c r="CO44" i="2"/>
  <c r="BI44" i="2"/>
  <c r="AC44" i="2"/>
  <c r="DJ43" i="2"/>
  <c r="CD43" i="2"/>
  <c r="AX43" i="2"/>
  <c r="R43" i="2"/>
  <c r="CY42" i="2"/>
  <c r="BS42" i="2"/>
  <c r="AM42" i="2"/>
  <c r="G42" i="2"/>
  <c r="CN41" i="2"/>
  <c r="BH41" i="2"/>
  <c r="AB41" i="2"/>
  <c r="DM40" i="2"/>
  <c r="CG40" i="2"/>
  <c r="BA40" i="2"/>
  <c r="U40" i="2"/>
  <c r="DB39" i="2"/>
  <c r="BV39" i="2"/>
  <c r="AP39" i="2"/>
  <c r="J39" i="2"/>
  <c r="CQ38" i="2"/>
  <c r="BK38" i="2"/>
  <c r="AE38" i="2"/>
  <c r="DL37" i="2"/>
  <c r="CF37" i="2"/>
  <c r="AZ37" i="2"/>
  <c r="T37" i="2"/>
  <c r="DE36" i="2"/>
  <c r="BY36" i="2"/>
  <c r="AS36" i="2"/>
  <c r="M36" i="2"/>
  <c r="CT35" i="2"/>
  <c r="BN35" i="2"/>
  <c r="AH35" i="2"/>
  <c r="DO34" i="2"/>
  <c r="CI34" i="2"/>
  <c r="BC34" i="2"/>
  <c r="W34" i="2"/>
  <c r="DD33" i="2"/>
  <c r="BX33" i="2"/>
  <c r="AR33" i="2"/>
  <c r="L33" i="2"/>
  <c r="CW32" i="2"/>
  <c r="BQ32" i="2"/>
  <c r="AK32" i="2"/>
  <c r="E32" i="2"/>
  <c r="CL31" i="2"/>
  <c r="BF31" i="2"/>
  <c r="Z31" i="2"/>
  <c r="DG30" i="2"/>
  <c r="CA30" i="2"/>
  <c r="AU30" i="2"/>
  <c r="O30" i="2"/>
  <c r="CV29" i="2"/>
  <c r="BP29" i="2"/>
  <c r="AJ29" i="2"/>
  <c r="D29" i="2"/>
  <c r="CO28" i="2"/>
  <c r="BI28" i="2"/>
  <c r="AC28" i="2"/>
  <c r="DJ27" i="2"/>
  <c r="CD27" i="2"/>
  <c r="AX27" i="2"/>
  <c r="R27" i="2"/>
  <c r="CY26" i="2"/>
  <c r="BS26" i="2"/>
  <c r="AM26" i="2"/>
  <c r="G26" i="2"/>
  <c r="CN25" i="2"/>
  <c r="BH25" i="2"/>
  <c r="AB25" i="2"/>
  <c r="DM24" i="2"/>
  <c r="CG24" i="2"/>
  <c r="BA24" i="2"/>
  <c r="U24" i="2"/>
  <c r="DB23" i="2"/>
  <c r="BV23" i="2"/>
  <c r="AP23" i="2"/>
  <c r="J23" i="2"/>
  <c r="CQ22" i="2"/>
  <c r="BK22" i="2"/>
  <c r="AE22" i="2"/>
  <c r="DL21" i="2"/>
  <c r="CF21" i="2"/>
  <c r="AZ21" i="2"/>
  <c r="T21" i="2"/>
  <c r="DE20" i="2"/>
  <c r="BY20" i="2"/>
  <c r="AS20" i="2"/>
  <c r="M20" i="2"/>
  <c r="CT19" i="2"/>
  <c r="BN19" i="2"/>
  <c r="AH19" i="2"/>
  <c r="DO18" i="2"/>
  <c r="CI18" i="2"/>
  <c r="BC18" i="2"/>
  <c r="W18" i="2"/>
  <c r="DD17" i="2"/>
  <c r="BX17" i="2"/>
  <c r="AR17" i="2"/>
  <c r="L17" i="2"/>
  <c r="CW16" i="2"/>
  <c r="BQ16" i="2"/>
  <c r="AK16" i="2"/>
  <c r="E16" i="2"/>
  <c r="CL15" i="2"/>
  <c r="BF15" i="2"/>
  <c r="Z15" i="2"/>
  <c r="DG14" i="2"/>
  <c r="CA14" i="2"/>
  <c r="AU14" i="2"/>
  <c r="O14" i="2"/>
  <c r="CV13" i="2"/>
  <c r="BP13" i="2"/>
  <c r="AJ13" i="2"/>
  <c r="D13" i="2"/>
  <c r="CO12" i="2"/>
  <c r="BI12" i="2"/>
  <c r="AC12" i="2"/>
  <c r="DJ11" i="2"/>
  <c r="CD11" i="2"/>
  <c r="AX11" i="2"/>
  <c r="R11" i="2"/>
  <c r="CY10" i="2"/>
  <c r="BS10" i="2"/>
  <c r="AM10" i="2"/>
  <c r="G10" i="2"/>
  <c r="CN9" i="2"/>
  <c r="BH9" i="2"/>
  <c r="AB9" i="2"/>
  <c r="DM8" i="2"/>
  <c r="CG8" i="2"/>
  <c r="BA8" i="2"/>
  <c r="U8" i="2"/>
  <c r="DB7" i="2"/>
  <c r="BV7" i="2"/>
  <c r="AP7" i="2"/>
  <c r="J7" i="2"/>
  <c r="CQ6" i="2"/>
  <c r="BK6" i="2"/>
  <c r="AE6" i="2"/>
  <c r="DL5" i="2"/>
  <c r="CF5" i="2"/>
  <c r="AZ5" i="2"/>
  <c r="T5" i="2"/>
  <c r="DE4" i="2"/>
  <c r="BY4" i="2"/>
  <c r="AS4" i="2"/>
  <c r="M4" i="2"/>
  <c r="AY4" i="2"/>
  <c r="DK4" i="2"/>
  <c r="BK5" i="2"/>
  <c r="E6" i="2"/>
  <c r="BQ6" i="2"/>
  <c r="P7" i="2"/>
  <c r="CB7" i="2"/>
  <c r="AA8" i="2"/>
  <c r="CM8" i="2"/>
  <c r="BW9" i="2"/>
  <c r="BF10" i="2"/>
  <c r="AO11" i="2"/>
  <c r="DQ11" i="2"/>
  <c r="BP12" i="2"/>
  <c r="AY13" i="2"/>
  <c r="R14" i="2"/>
  <c r="CT14" i="2"/>
  <c r="CC15" i="2"/>
  <c r="AR16" i="2"/>
  <c r="K17" i="2"/>
  <c r="DC17" i="2"/>
  <c r="BV18" i="2"/>
  <c r="AO19" i="2"/>
  <c r="D20" i="2"/>
  <c r="CF20" i="2"/>
  <c r="AY21" i="2"/>
  <c r="AH22" i="2"/>
  <c r="DJ22" i="2"/>
  <c r="CC23" i="2"/>
  <c r="BH24" i="2"/>
  <c r="AA25" i="2"/>
  <c r="DC25" i="2"/>
  <c r="CL26" i="2"/>
  <c r="BE27" i="2"/>
  <c r="D28" i="2"/>
  <c r="CV28" i="2"/>
  <c r="BO29" i="2"/>
  <c r="AH30" i="2"/>
  <c r="Q31" i="2"/>
  <c r="CS31" i="2"/>
  <c r="BH32" i="2"/>
  <c r="AQ33" i="2"/>
  <c r="J34" i="2"/>
  <c r="CL34" i="2"/>
  <c r="BU35" i="2"/>
  <c r="T36" i="2"/>
  <c r="CV36" i="2"/>
  <c r="CE37" i="2"/>
  <c r="AX38" i="2"/>
  <c r="Q39" i="2"/>
  <c r="DI39" i="2"/>
  <c r="BX40" i="2"/>
  <c r="AQ41" i="2"/>
  <c r="Z42" i="2"/>
  <c r="DB42" i="2"/>
  <c r="BU43" i="2"/>
  <c r="AJ44" i="2"/>
  <c r="DL44" i="2"/>
  <c r="CE45" i="2"/>
  <c r="BN46" i="2"/>
  <c r="AG47" i="2"/>
  <c r="DI47" i="2"/>
  <c r="CN48" i="2"/>
  <c r="BG49" i="2"/>
  <c r="Z50" i="2"/>
  <c r="I51" i="2"/>
  <c r="CK51" i="2"/>
  <c r="AJ52" i="2"/>
  <c r="S53" i="2"/>
  <c r="CU53" i="2"/>
  <c r="BN54" i="2"/>
  <c r="AW55" i="2"/>
  <c r="L56" i="2"/>
  <c r="CN56" i="2"/>
  <c r="BW57" i="2"/>
  <c r="AP58" i="2"/>
  <c r="I59" i="2"/>
  <c r="DA59" i="2"/>
  <c r="AZ60" i="2"/>
  <c r="S61" i="2"/>
  <c r="DK61" i="2"/>
  <c r="CD62" i="2"/>
  <c r="AW63" i="2"/>
  <c r="AB64" i="2"/>
  <c r="DD64" i="2"/>
  <c r="BW65" i="2"/>
  <c r="BF66" i="2"/>
  <c r="Y67" i="2"/>
  <c r="DA67" i="2"/>
  <c r="BP68" i="2"/>
  <c r="AI69" i="2"/>
  <c r="DK69" i="2"/>
  <c r="CT70" i="2"/>
  <c r="BM71" i="2"/>
  <c r="AB72" i="2"/>
  <c r="K73" i="2"/>
  <c r="CM73" i="2"/>
  <c r="BF74" i="2"/>
  <c r="AO75" i="2"/>
  <c r="DQ75" i="2"/>
  <c r="BP76" i="2"/>
  <c r="AY77" i="2"/>
  <c r="R78" i="2"/>
  <c r="CT78" i="2"/>
  <c r="CC79" i="2"/>
  <c r="AR80" i="2"/>
  <c r="K81" i="2"/>
  <c r="DC81" i="2"/>
  <c r="BV82" i="2"/>
  <c r="Y83" i="2"/>
  <c r="CK83" i="2"/>
  <c r="T84" i="2"/>
  <c r="CF84" i="2"/>
  <c r="AI85" i="2"/>
  <c r="CU85" i="2"/>
  <c r="AX86" i="2"/>
  <c r="DJ86" i="2"/>
  <c r="BM87" i="2"/>
  <c r="L88" i="2"/>
  <c r="BX88" i="2"/>
  <c r="AA89" i="2"/>
  <c r="CM89" i="2"/>
  <c r="BP90" i="2"/>
  <c r="AG93" i="2"/>
  <c r="CM95" i="2"/>
  <c r="AJ98" i="2"/>
  <c r="AB4" i="2"/>
  <c r="BH4" i="2"/>
  <c r="CN4" i="2"/>
  <c r="J5" i="2"/>
  <c r="AP5" i="2"/>
  <c r="BV5" i="2"/>
  <c r="DB5" i="2"/>
  <c r="V6" i="2"/>
  <c r="BB6" i="2"/>
  <c r="CH6" i="2"/>
  <c r="DN6" i="2"/>
  <c r="AG7" i="2"/>
  <c r="BM7" i="2"/>
  <c r="CC11" i="2"/>
  <c r="CC43" i="2"/>
  <c r="CC75" i="2"/>
  <c r="DA7" i="2"/>
  <c r="L8" i="2"/>
  <c r="AR8" i="2"/>
  <c r="BX8" i="2"/>
  <c r="DD8" i="2"/>
  <c r="AU9" i="2"/>
  <c r="DG9" i="2"/>
  <c r="BJ10" i="2"/>
  <c r="M11" i="2"/>
  <c r="BY11" i="2"/>
  <c r="X12" i="2"/>
  <c r="CJ12" i="2"/>
  <c r="W13" i="2"/>
  <c r="CI13" i="2"/>
  <c r="V14" i="2"/>
  <c r="CH14" i="2"/>
  <c r="U15" i="2"/>
  <c r="CG15" i="2"/>
  <c r="AF16" i="2"/>
  <c r="CR16" i="2"/>
  <c r="AU17" i="2"/>
  <c r="DG17" i="2"/>
  <c r="BJ18" i="2"/>
  <c r="M19" i="2"/>
  <c r="BY19" i="2"/>
  <c r="X20" i="2"/>
  <c r="CJ20" i="2"/>
  <c r="W21" i="2"/>
  <c r="CI21" i="2"/>
  <c r="V22" i="2"/>
  <c r="CH22" i="2"/>
  <c r="U23" i="2"/>
  <c r="CG23" i="2"/>
  <c r="AF24" i="2"/>
  <c r="CR24" i="2"/>
  <c r="AU25" i="2"/>
  <c r="DG25" i="2"/>
  <c r="BJ26" i="2"/>
  <c r="M27" i="2"/>
  <c r="BY27" i="2"/>
  <c r="X28" i="2"/>
  <c r="CJ28" i="2"/>
  <c r="W29" i="2"/>
  <c r="CI29" i="2"/>
  <c r="V30" i="2"/>
  <c r="CH30" i="2"/>
  <c r="U31" i="2"/>
  <c r="CG31" i="2"/>
  <c r="AF32" i="2"/>
  <c r="CR32" i="2"/>
  <c r="AU33" i="2"/>
  <c r="DG33" i="2"/>
  <c r="BJ34" i="2"/>
  <c r="M35" i="2"/>
  <c r="BY35" i="2"/>
  <c r="X36" i="2"/>
  <c r="CJ36" i="2"/>
  <c r="W37" i="2"/>
  <c r="CI37" i="2"/>
  <c r="V38" i="2"/>
  <c r="CH38" i="2"/>
  <c r="U39" i="2"/>
  <c r="CG39" i="2"/>
  <c r="AF40" i="2"/>
  <c r="CR40" i="2"/>
  <c r="AU41" i="2"/>
  <c r="DG41" i="2"/>
  <c r="BJ42" i="2"/>
  <c r="M43" i="2"/>
  <c r="BY43" i="2"/>
  <c r="X44" i="2"/>
  <c r="CJ44" i="2"/>
  <c r="W45" i="2"/>
  <c r="CI45" i="2"/>
  <c r="V46" i="2"/>
  <c r="CH46" i="2"/>
  <c r="U47" i="2"/>
  <c r="CG47" i="2"/>
  <c r="AF48" i="2"/>
  <c r="CR48" i="2"/>
  <c r="AU49" i="2"/>
  <c r="DG49" i="2"/>
  <c r="BJ50" i="2"/>
  <c r="M51" i="2"/>
  <c r="BY51" i="2"/>
  <c r="X52" i="2"/>
  <c r="CJ52" i="2"/>
  <c r="W53" i="2"/>
  <c r="CI53" i="2"/>
  <c r="V54" i="2"/>
  <c r="CH54" i="2"/>
  <c r="U55" i="2"/>
  <c r="CG55" i="2"/>
  <c r="AF56" i="2"/>
  <c r="CR56" i="2"/>
  <c r="AU57" i="2"/>
  <c r="DG57" i="2"/>
  <c r="BJ58" i="2"/>
  <c r="M59" i="2"/>
  <c r="BY59" i="2"/>
  <c r="X60" i="2"/>
  <c r="CJ60" i="2"/>
  <c r="W61" i="2"/>
  <c r="CI61" i="2"/>
  <c r="V62" i="2"/>
  <c r="CH62" i="2"/>
  <c r="U63" i="2"/>
  <c r="CG63" i="2"/>
  <c r="AF64" i="2"/>
  <c r="CR64" i="2"/>
  <c r="AU65" i="2"/>
  <c r="DG65" i="2"/>
  <c r="BJ66" i="2"/>
  <c r="M67" i="2"/>
  <c r="BY67" i="2"/>
  <c r="X68" i="2"/>
  <c r="CJ68" i="2"/>
  <c r="W69" i="2"/>
  <c r="CI69" i="2"/>
  <c r="V70" i="2"/>
  <c r="CH70" i="2"/>
  <c r="U71" i="2"/>
  <c r="CG71" i="2"/>
  <c r="AF72" i="2"/>
  <c r="CR72" i="2"/>
  <c r="AU73" i="2"/>
  <c r="DG73" i="2"/>
  <c r="BJ74" i="2"/>
  <c r="M75" i="2"/>
  <c r="BY75" i="2"/>
  <c r="X76" i="2"/>
  <c r="CJ76" i="2"/>
  <c r="W77" i="2"/>
  <c r="CI77" i="2"/>
  <c r="V78" i="2"/>
  <c r="CH78" i="2"/>
  <c r="U79" i="2"/>
  <c r="CG79" i="2"/>
  <c r="AF80" i="2"/>
  <c r="CR80" i="2"/>
  <c r="AU81" i="2"/>
  <c r="DG81" i="2"/>
  <c r="BJ82" i="2"/>
  <c r="M83" i="2"/>
  <c r="BY83" i="2"/>
  <c r="X84" i="2"/>
  <c r="CJ84" i="2"/>
  <c r="W85" i="2"/>
  <c r="CI85" i="2"/>
  <c r="V86" i="2"/>
  <c r="CH86" i="2"/>
  <c r="U87" i="2"/>
  <c r="CG87" i="2"/>
  <c r="AF88" i="2"/>
  <c r="CR88" i="2"/>
  <c r="AU89" i="2"/>
  <c r="DG89" i="2"/>
  <c r="AY91" i="2"/>
  <c r="AW93" i="2"/>
  <c r="AQ95" i="2"/>
  <c r="AO97" i="2"/>
  <c r="O4" i="2"/>
  <c r="AU4" i="2"/>
  <c r="CA4" i="2"/>
  <c r="DG4" i="2"/>
  <c r="AA5" i="2"/>
  <c r="BG5" i="2"/>
  <c r="CM5" i="2"/>
  <c r="I6" i="2"/>
  <c r="AO6" i="2"/>
  <c r="BU6" i="2"/>
  <c r="CS19" i="2"/>
  <c r="CS51" i="2"/>
  <c r="CS83" i="2"/>
  <c r="D7" i="2"/>
  <c r="AJ7" i="2"/>
  <c r="BP7" i="2"/>
  <c r="CV7" i="2"/>
  <c r="O8" i="2"/>
  <c r="AU8" i="2"/>
  <c r="CA8" i="2"/>
  <c r="DG8" i="2"/>
  <c r="AY9" i="2"/>
  <c r="DK9" i="2"/>
  <c r="BN10" i="2"/>
  <c r="Q11" i="2"/>
  <c r="DI11" i="2"/>
  <c r="BH12" i="2"/>
  <c r="K13" i="2"/>
  <c r="BW13" i="2"/>
  <c r="Z14" i="2"/>
  <c r="CL14" i="2"/>
  <c r="AO15" i="2"/>
  <c r="DA15" i="2"/>
  <c r="AJ16" i="2"/>
  <c r="CV16" i="2"/>
  <c r="AY17" i="2"/>
  <c r="DK17" i="2"/>
  <c r="BN18" i="2"/>
  <c r="Q19" i="2"/>
  <c r="DI19" i="2"/>
  <c r="BH20" i="2"/>
  <c r="K21" i="2"/>
  <c r="BW21" i="2"/>
  <c r="Z22" i="2"/>
  <c r="CL22" i="2"/>
  <c r="AO23" i="2"/>
  <c r="DA23" i="2"/>
  <c r="AJ24" i="2"/>
  <c r="CV24" i="2"/>
  <c r="AY25" i="2"/>
  <c r="DK25" i="2"/>
  <c r="BN26" i="2"/>
  <c r="Q27" i="2"/>
  <c r="DI27" i="2"/>
  <c r="BH28" i="2"/>
  <c r="K29" i="2"/>
  <c r="BW29" i="2"/>
  <c r="Z30" i="2"/>
  <c r="CL30" i="2"/>
  <c r="AO31" i="2"/>
  <c r="DA31" i="2"/>
  <c r="AJ32" i="2"/>
  <c r="CV32" i="2"/>
  <c r="AY33" i="2"/>
  <c r="DK33" i="2"/>
  <c r="BN34" i="2"/>
  <c r="Q35" i="2"/>
  <c r="DI35" i="2"/>
  <c r="BH36" i="2"/>
  <c r="K37" i="2"/>
  <c r="BW37" i="2"/>
  <c r="Z38" i="2"/>
  <c r="CL38" i="2"/>
  <c r="AO39" i="2"/>
  <c r="DA39" i="2"/>
  <c r="AJ40" i="2"/>
  <c r="CV40" i="2"/>
  <c r="AY41" i="2"/>
  <c r="DK41" i="2"/>
  <c r="BN42" i="2"/>
  <c r="Q43" i="2"/>
  <c r="DI43" i="2"/>
  <c r="BH44" i="2"/>
  <c r="K45" i="2"/>
  <c r="BW45" i="2"/>
  <c r="Z46" i="2"/>
  <c r="CL46" i="2"/>
  <c r="AO47" i="2"/>
  <c r="DA47" i="2"/>
  <c r="AJ48" i="2"/>
  <c r="CV48" i="2"/>
  <c r="AY49" i="2"/>
  <c r="DK49" i="2"/>
  <c r="BN50" i="2"/>
  <c r="Q51" i="2"/>
  <c r="DI51" i="2"/>
  <c r="BH52" i="2"/>
  <c r="K53" i="2"/>
  <c r="BW53" i="2"/>
  <c r="Z54" i="2"/>
  <c r="CL54" i="2"/>
  <c r="AO55" i="2"/>
  <c r="DA55" i="2"/>
  <c r="AJ56" i="2"/>
  <c r="CV56" i="2"/>
  <c r="AY57" i="2"/>
  <c r="DK57" i="2"/>
  <c r="BN58" i="2"/>
  <c r="Q59" i="2"/>
  <c r="DI59" i="2"/>
  <c r="BH60" i="2"/>
  <c r="K61" i="2"/>
  <c r="BW61" i="2"/>
  <c r="Z62" i="2"/>
  <c r="CL62" i="2"/>
  <c r="AO63" i="2"/>
  <c r="DA63" i="2"/>
  <c r="AJ64" i="2"/>
  <c r="CV64" i="2"/>
  <c r="AY65" i="2"/>
  <c r="DK65" i="2"/>
  <c r="BN66" i="2"/>
  <c r="Q67" i="2"/>
  <c r="DI67" i="2"/>
  <c r="BH68" i="2"/>
  <c r="K69" i="2"/>
  <c r="BW69" i="2"/>
  <c r="Z70" i="2"/>
  <c r="CL70" i="2"/>
  <c r="AO71" i="2"/>
  <c r="DA71" i="2"/>
  <c r="AJ72" i="2"/>
  <c r="CV72" i="2"/>
  <c r="AY73" i="2"/>
  <c r="DK73" i="2"/>
  <c r="BN74" i="2"/>
  <c r="Q75" i="2"/>
  <c r="DI75" i="2"/>
  <c r="BH76" i="2"/>
  <c r="K77" i="2"/>
  <c r="BW77" i="2"/>
  <c r="Z78" i="2"/>
  <c r="CL78" i="2"/>
  <c r="AO79" i="2"/>
  <c r="DA79" i="2"/>
  <c r="AJ80" i="2"/>
  <c r="CV80" i="2"/>
  <c r="AY81" i="2"/>
  <c r="DK81" i="2"/>
  <c r="BN82" i="2"/>
  <c r="Q83" i="2"/>
  <c r="DI83" i="2"/>
  <c r="BH84" i="2"/>
  <c r="K85" i="2"/>
  <c r="BW85" i="2"/>
  <c r="Z86" i="2"/>
  <c r="CL86" i="2"/>
  <c r="AO87" i="2"/>
  <c r="DA87" i="2"/>
  <c r="AJ88" i="2"/>
  <c r="CV88" i="2"/>
  <c r="AY89" i="2"/>
  <c r="DK89" i="2"/>
  <c r="BO91" i="2"/>
  <c r="AB94" i="2"/>
  <c r="CL96" i="2"/>
  <c r="BP98" i="2"/>
  <c r="CV110" i="2"/>
  <c r="AJ111" i="2"/>
  <c r="BB93" i="2"/>
  <c r="CE131" i="2"/>
  <c r="BY121" i="2"/>
  <c r="DO112" i="2"/>
  <c r="AM104" i="2"/>
  <c r="CO93" i="2"/>
  <c r="CY88" i="2"/>
  <c r="CG86" i="2"/>
  <c r="BK84" i="2"/>
  <c r="AS82" i="2"/>
  <c r="W80" i="2"/>
  <c r="E78" i="2"/>
  <c r="O76" i="2"/>
  <c r="CG74" i="2"/>
  <c r="AD73" i="2"/>
  <c r="CN71" i="2"/>
  <c r="AS70" i="2"/>
  <c r="DC68" i="2"/>
  <c r="AZ67" i="2"/>
  <c r="E66" i="2"/>
  <c r="BO64" i="2"/>
  <c r="L63" i="2"/>
  <c r="CD61" i="2"/>
  <c r="AA60" i="2"/>
  <c r="CO58" i="2"/>
  <c r="AP57" i="2"/>
  <c r="CZ55" i="2"/>
  <c r="BA54" i="2"/>
  <c r="DO52" i="2"/>
  <c r="BL51" i="2"/>
  <c r="M50" i="2"/>
  <c r="CA48" i="2"/>
  <c r="X47" i="2"/>
  <c r="CL45" i="2"/>
  <c r="AM44" i="2"/>
  <c r="AB43" i="2"/>
  <c r="U42" i="2"/>
  <c r="J41" i="2"/>
  <c r="DL39" i="2"/>
  <c r="DE38" i="2"/>
  <c r="CT37" i="2"/>
  <c r="CI36" i="2"/>
  <c r="BX35" i="2"/>
  <c r="BQ34" i="2"/>
  <c r="BF33" i="2"/>
  <c r="AU32" i="2"/>
  <c r="AJ31" i="2"/>
  <c r="AC30" i="2"/>
  <c r="R29" i="2"/>
  <c r="G28" i="2"/>
  <c r="DM26" i="2"/>
  <c r="DF25" i="2"/>
  <c r="Z25" i="2"/>
  <c r="BG24" i="2"/>
  <c r="CJ23" i="2"/>
  <c r="D23" i="2"/>
  <c r="AO22" i="2"/>
  <c r="BR21" i="2"/>
  <c r="CY20" i="2"/>
  <c r="S20" i="2"/>
  <c r="AV19" i="2"/>
  <c r="CG18" i="2"/>
  <c r="DN17" i="2"/>
  <c r="AD17" i="2"/>
  <c r="BK16" i="2"/>
  <c r="CR15" i="2"/>
  <c r="H15" i="2"/>
  <c r="AS14" i="2"/>
  <c r="BZ13" i="2"/>
  <c r="DC12" i="2"/>
  <c r="W12" i="2"/>
  <c r="BD11" i="2"/>
  <c r="CK10" i="2"/>
  <c r="E10" i="2"/>
  <c r="AL9" i="2"/>
  <c r="CT96" i="2"/>
  <c r="DQ93" i="2"/>
  <c r="K91" i="2"/>
  <c r="CK89" i="2"/>
  <c r="E89" i="2"/>
  <c r="AL88" i="2"/>
  <c r="BO87" i="2"/>
  <c r="CV86" i="2"/>
  <c r="P86" i="2"/>
  <c r="AW85" i="2"/>
  <c r="CD84" i="2"/>
  <c r="DK83" i="2"/>
  <c r="AA83" i="2"/>
  <c r="BH82" i="2"/>
  <c r="CS81" i="2"/>
  <c r="I81" i="2"/>
  <c r="AP80" i="2"/>
  <c r="BW79" i="2"/>
  <c r="CZ78" i="2"/>
  <c r="T78" i="2"/>
  <c r="BE77" i="2"/>
  <c r="CH76" i="2"/>
  <c r="DO75" i="2"/>
  <c r="AI75" i="2"/>
  <c r="BP74" i="2"/>
  <c r="D74" i="2"/>
  <c r="BI73" i="2"/>
  <c r="DJ72" i="2"/>
  <c r="AX72" i="2"/>
  <c r="CY71" i="2"/>
  <c r="AM71" i="2"/>
  <c r="CN70" i="2"/>
  <c r="AB70" i="2"/>
  <c r="CG69" i="2"/>
  <c r="U69" i="2"/>
  <c r="BV68" i="2"/>
  <c r="J68" i="2"/>
  <c r="BK67" i="2"/>
  <c r="DL66" i="2"/>
  <c r="AZ66" i="2"/>
  <c r="DE65" i="2"/>
  <c r="AS65" i="2"/>
  <c r="CT64" i="2"/>
  <c r="AH64" i="2"/>
  <c r="CI63" i="2"/>
  <c r="W63" i="2"/>
  <c r="BX62" i="2"/>
  <c r="L62" i="2"/>
  <c r="BQ61" i="2"/>
  <c r="E61" i="2"/>
  <c r="BF60" i="2"/>
  <c r="DG59" i="2"/>
  <c r="AU59" i="2"/>
  <c r="CV58" i="2"/>
  <c r="AJ58" i="2"/>
  <c r="CO57" i="2"/>
  <c r="AC57" i="2"/>
  <c r="CD56" i="2"/>
  <c r="R56" i="2"/>
  <c r="BS55" i="2"/>
  <c r="G55" i="2"/>
  <c r="BH54" i="2"/>
  <c r="DM53" i="2"/>
  <c r="BA53" i="2"/>
  <c r="DB52" i="2"/>
  <c r="AP52" i="2"/>
  <c r="CQ51" i="2"/>
  <c r="AE51" i="2"/>
  <c r="CF50" i="2"/>
  <c r="T50" i="2"/>
  <c r="BY49" i="2"/>
  <c r="M49" i="2"/>
  <c r="BN48" i="2"/>
  <c r="DO47" i="2"/>
  <c r="BC47" i="2"/>
  <c r="DD46" i="2"/>
  <c r="AR46" i="2"/>
  <c r="CW45" i="2"/>
  <c r="AK45" i="2"/>
  <c r="CL44" i="2"/>
  <c r="Z44" i="2"/>
  <c r="CA43" i="2"/>
  <c r="O43" i="2"/>
  <c r="BP42" i="2"/>
  <c r="D42" i="2"/>
  <c r="BI41" i="2"/>
  <c r="DJ40" i="2"/>
  <c r="AX40" i="2"/>
  <c r="CY39" i="2"/>
  <c r="AM39" i="2"/>
  <c r="CN38" i="2"/>
  <c r="AB38" i="2"/>
  <c r="CG37" i="2"/>
  <c r="U37" i="2"/>
  <c r="CL36" i="2"/>
  <c r="AX36" i="2"/>
  <c r="F36" i="2"/>
  <c r="CA35" i="2"/>
  <c r="AM35" i="2"/>
  <c r="DH34" i="2"/>
  <c r="BP34" i="2"/>
  <c r="AB34" i="2"/>
  <c r="DA33" i="2"/>
  <c r="BI33" i="2"/>
  <c r="U33" i="2"/>
  <c r="CP32" i="2"/>
  <c r="AX32" i="2"/>
  <c r="J32" i="2"/>
  <c r="CE31" i="2"/>
  <c r="AM31" i="2"/>
  <c r="DL30" i="2"/>
  <c r="BT30" i="2"/>
  <c r="AB30" i="2"/>
  <c r="DE29" i="2"/>
  <c r="BM29" i="2"/>
  <c r="U29" i="2"/>
  <c r="CT28" i="2"/>
  <c r="BB28" i="2"/>
  <c r="J28" i="2"/>
  <c r="CI27" i="2"/>
  <c r="AQ27" i="2"/>
  <c r="DL26" i="2"/>
  <c r="BX26" i="2"/>
  <c r="AF26" i="2"/>
  <c r="DE25" i="2"/>
  <c r="BQ25" i="2"/>
  <c r="Y25" i="2"/>
  <c r="CT24" i="2"/>
  <c r="BF24" i="2"/>
  <c r="R24" i="2"/>
  <c r="CY23" i="2"/>
  <c r="BS23" i="2"/>
  <c r="AM23" i="2"/>
  <c r="G23" i="2"/>
  <c r="CN22" i="2"/>
  <c r="BH22" i="2"/>
  <c r="AB22" i="2"/>
  <c r="DM21" i="2"/>
  <c r="CG21" i="2"/>
  <c r="BA21" i="2"/>
  <c r="U21" i="2"/>
  <c r="DB20" i="2"/>
  <c r="BV20" i="2"/>
  <c r="AP20" i="2"/>
  <c r="J20" i="2"/>
  <c r="CQ19" i="2"/>
  <c r="BK19" i="2"/>
  <c r="AE19" i="2"/>
  <c r="DL18" i="2"/>
  <c r="CF18" i="2"/>
  <c r="AZ18" i="2"/>
  <c r="T18" i="2"/>
  <c r="DE17" i="2"/>
  <c r="BY17" i="2"/>
  <c r="AS17" i="2"/>
  <c r="M17" i="2"/>
  <c r="CT16" i="2"/>
  <c r="BN16" i="2"/>
  <c r="AH16" i="2"/>
  <c r="DO15" i="2"/>
  <c r="CI15" i="2"/>
  <c r="BC15" i="2"/>
  <c r="W15" i="2"/>
  <c r="DD14" i="2"/>
  <c r="BX14" i="2"/>
  <c r="AR14" i="2"/>
  <c r="L14" i="2"/>
  <c r="CW13" i="2"/>
  <c r="BQ13" i="2"/>
  <c r="AK13" i="2"/>
  <c r="E13" i="2"/>
  <c r="CL12" i="2"/>
  <c r="BF12" i="2"/>
  <c r="Z12" i="2"/>
  <c r="DG11" i="2"/>
  <c r="CA11" i="2"/>
  <c r="AU11" i="2"/>
  <c r="O11" i="2"/>
  <c r="CV10" i="2"/>
  <c r="BP10" i="2"/>
  <c r="AJ10" i="2"/>
  <c r="D10" i="2"/>
  <c r="CO9" i="2"/>
  <c r="BI9" i="2"/>
  <c r="AC9" i="2"/>
  <c r="DJ8" i="2"/>
  <c r="CD8" i="2"/>
  <c r="AX8" i="2"/>
  <c r="R8" i="2"/>
  <c r="CY7" i="2"/>
  <c r="BS7" i="2"/>
  <c r="AM7" i="2"/>
  <c r="G7" i="2"/>
  <c r="CN6" i="2"/>
  <c r="BH6" i="2"/>
  <c r="AB6" i="2"/>
  <c r="DM5" i="2"/>
  <c r="CG5" i="2"/>
  <c r="BA5" i="2"/>
  <c r="U5" i="2"/>
  <c r="DB4" i="2"/>
  <c r="BV4" i="2"/>
  <c r="AP4" i="2"/>
  <c r="J4" i="2"/>
  <c r="CO97" i="2"/>
  <c r="BZ96" i="2"/>
  <c r="BK95" i="2"/>
  <c r="AV94" i="2"/>
  <c r="AK93" i="2"/>
  <c r="AL92" i="2"/>
  <c r="AM91" i="2"/>
  <c r="AN90" i="2"/>
  <c r="DP89" i="2"/>
  <c r="CJ89" i="2"/>
  <c r="BD89" i="2"/>
  <c r="X89" i="2"/>
  <c r="DI88" i="2"/>
  <c r="CC88" i="2"/>
  <c r="AW88" i="2"/>
  <c r="Q88" i="2"/>
  <c r="CX87" i="2"/>
  <c r="BR87" i="2"/>
  <c r="AL87" i="2"/>
  <c r="F87" i="2"/>
  <c r="CM86" i="2"/>
  <c r="BG86" i="2"/>
  <c r="AA86" i="2"/>
  <c r="DH85" i="2"/>
  <c r="CB85" i="2"/>
  <c r="AV85" i="2"/>
  <c r="P85" i="2"/>
  <c r="DA84" i="2"/>
  <c r="BU84" i="2"/>
  <c r="AO84" i="2"/>
  <c r="I84" i="2"/>
  <c r="CP83" i="2"/>
  <c r="BJ83" i="2"/>
  <c r="AD83" i="2"/>
  <c r="DK82" i="2"/>
  <c r="CE82" i="2"/>
  <c r="AY82" i="2"/>
  <c r="S82" i="2"/>
  <c r="CZ81" i="2"/>
  <c r="BT81" i="2"/>
  <c r="AN81" i="2"/>
  <c r="H81" i="2"/>
  <c r="CS80" i="2"/>
  <c r="BM80" i="2"/>
  <c r="AG80" i="2"/>
  <c r="DN79" i="2"/>
  <c r="CH79" i="2"/>
  <c r="BB79" i="2"/>
  <c r="V79" i="2"/>
  <c r="DC78" i="2"/>
  <c r="BW78" i="2"/>
  <c r="AQ78" i="2"/>
  <c r="K78" i="2"/>
  <c r="CR77" i="2"/>
  <c r="BL77" i="2"/>
  <c r="AF77" i="2"/>
  <c r="DQ76" i="2"/>
  <c r="CK76" i="2"/>
  <c r="BE76" i="2"/>
  <c r="Y76" i="2"/>
  <c r="DF75" i="2"/>
  <c r="BZ75" i="2"/>
  <c r="AT75" i="2"/>
  <c r="N75" i="2"/>
  <c r="CU74" i="2"/>
  <c r="BO74" i="2"/>
  <c r="AI74" i="2"/>
  <c r="DP73" i="2"/>
  <c r="CJ73" i="2"/>
  <c r="BD73" i="2"/>
  <c r="X73" i="2"/>
  <c r="DI72" i="2"/>
  <c r="CC72" i="2"/>
  <c r="AW72" i="2"/>
  <c r="Q72" i="2"/>
  <c r="CX71" i="2"/>
  <c r="BR71" i="2"/>
  <c r="AL71" i="2"/>
  <c r="F71" i="2"/>
  <c r="CM70" i="2"/>
  <c r="BG70" i="2"/>
  <c r="AA70" i="2"/>
  <c r="DH69" i="2"/>
  <c r="CB69" i="2"/>
  <c r="AV69" i="2"/>
  <c r="P69" i="2"/>
  <c r="DA68" i="2"/>
  <c r="BU68" i="2"/>
  <c r="AO68" i="2"/>
  <c r="I68" i="2"/>
  <c r="CP67" i="2"/>
  <c r="BJ67" i="2"/>
  <c r="AD67" i="2"/>
  <c r="DK66" i="2"/>
  <c r="CE66" i="2"/>
  <c r="AY66" i="2"/>
  <c r="S66" i="2"/>
  <c r="CZ65" i="2"/>
  <c r="BT65" i="2"/>
  <c r="AN65" i="2"/>
  <c r="H65" i="2"/>
  <c r="CS64" i="2"/>
  <c r="BM64" i="2"/>
  <c r="AG64" i="2"/>
  <c r="DN63" i="2"/>
  <c r="CH63" i="2"/>
  <c r="BB63" i="2"/>
  <c r="V63" i="2"/>
  <c r="DC62" i="2"/>
  <c r="BW62" i="2"/>
  <c r="AQ62" i="2"/>
  <c r="K62" i="2"/>
  <c r="CR61" i="2"/>
  <c r="BL61" i="2"/>
  <c r="AF61" i="2"/>
  <c r="DQ60" i="2"/>
  <c r="CK60" i="2"/>
  <c r="BE60" i="2"/>
  <c r="Y60" i="2"/>
  <c r="DF59" i="2"/>
  <c r="BZ59" i="2"/>
  <c r="AT59" i="2"/>
  <c r="N59" i="2"/>
  <c r="CU58" i="2"/>
  <c r="BO58" i="2"/>
  <c r="AI58" i="2"/>
  <c r="DP57" i="2"/>
  <c r="CJ57" i="2"/>
  <c r="BD57" i="2"/>
  <c r="X57" i="2"/>
  <c r="DI56" i="2"/>
  <c r="CC56" i="2"/>
  <c r="AW56" i="2"/>
  <c r="Q56" i="2"/>
  <c r="CX55" i="2"/>
  <c r="BR55" i="2"/>
  <c r="AL55" i="2"/>
  <c r="F55" i="2"/>
  <c r="CM54" i="2"/>
  <c r="BG54" i="2"/>
  <c r="AA54" i="2"/>
  <c r="DH53" i="2"/>
  <c r="CB53" i="2"/>
  <c r="AV53" i="2"/>
  <c r="P53" i="2"/>
  <c r="DA52" i="2"/>
  <c r="BU52" i="2"/>
  <c r="AO52" i="2"/>
  <c r="I52" i="2"/>
  <c r="CP51" i="2"/>
  <c r="BJ51" i="2"/>
  <c r="AD51" i="2"/>
  <c r="DK50" i="2"/>
  <c r="CE50" i="2"/>
  <c r="AY50" i="2"/>
  <c r="S50" i="2"/>
  <c r="CZ49" i="2"/>
  <c r="BT49" i="2"/>
  <c r="AN49" i="2"/>
  <c r="H49" i="2"/>
  <c r="CS48" i="2"/>
  <c r="BM48" i="2"/>
  <c r="AG48" i="2"/>
  <c r="DN47" i="2"/>
  <c r="CH47" i="2"/>
  <c r="BB47" i="2"/>
  <c r="V47" i="2"/>
  <c r="DC46" i="2"/>
  <c r="BW46" i="2"/>
  <c r="AQ46" i="2"/>
  <c r="K46" i="2"/>
  <c r="CR45" i="2"/>
  <c r="BL45" i="2"/>
  <c r="AF45" i="2"/>
  <c r="DQ44" i="2"/>
  <c r="CK44" i="2"/>
  <c r="BE44" i="2"/>
  <c r="Y44" i="2"/>
  <c r="DF43" i="2"/>
  <c r="BZ43" i="2"/>
  <c r="AT43" i="2"/>
  <c r="N43" i="2"/>
  <c r="CU42" i="2"/>
  <c r="BO42" i="2"/>
  <c r="AI42" i="2"/>
  <c r="DP41" i="2"/>
  <c r="CJ41" i="2"/>
  <c r="BD41" i="2"/>
  <c r="X41" i="2"/>
  <c r="DI40" i="2"/>
  <c r="CC40" i="2"/>
  <c r="AW40" i="2"/>
  <c r="Q40" i="2"/>
  <c r="CX39" i="2"/>
  <c r="BR39" i="2"/>
  <c r="AL39" i="2"/>
  <c r="F39" i="2"/>
  <c r="CM38" i="2"/>
  <c r="BG38" i="2"/>
  <c r="AA38" i="2"/>
  <c r="DH37" i="2"/>
  <c r="CB37" i="2"/>
  <c r="AV37" i="2"/>
  <c r="P37" i="2"/>
  <c r="DA36" i="2"/>
  <c r="BU36" i="2"/>
  <c r="AO36" i="2"/>
  <c r="I36" i="2"/>
  <c r="CP35" i="2"/>
  <c r="BJ35" i="2"/>
  <c r="AD35" i="2"/>
  <c r="DK34" i="2"/>
  <c r="CE34" i="2"/>
  <c r="AY34" i="2"/>
  <c r="S34" i="2"/>
  <c r="CZ33" i="2"/>
  <c r="BT33" i="2"/>
  <c r="AN33" i="2"/>
  <c r="H33" i="2"/>
  <c r="CS32" i="2"/>
  <c r="BM32" i="2"/>
  <c r="AG32" i="2"/>
  <c r="DN31" i="2"/>
  <c r="CH31" i="2"/>
  <c r="BB31" i="2"/>
  <c r="V31" i="2"/>
  <c r="DC30" i="2"/>
  <c r="BW30" i="2"/>
  <c r="AQ30" i="2"/>
  <c r="K30" i="2"/>
  <c r="CR29" i="2"/>
  <c r="BL29" i="2"/>
  <c r="AF29" i="2"/>
  <c r="DQ28" i="2"/>
  <c r="CK28" i="2"/>
  <c r="BE28" i="2"/>
  <c r="Y28" i="2"/>
  <c r="DF27" i="2"/>
  <c r="BZ27" i="2"/>
  <c r="AT27" i="2"/>
  <c r="N27" i="2"/>
  <c r="CU26" i="2"/>
  <c r="BO26" i="2"/>
  <c r="AI26" i="2"/>
  <c r="DP25" i="2"/>
  <c r="CJ25" i="2"/>
  <c r="BD25" i="2"/>
  <c r="X25" i="2"/>
  <c r="DI24" i="2"/>
  <c r="CC24" i="2"/>
  <c r="AW24" i="2"/>
  <c r="Q24" i="2"/>
  <c r="CX23" i="2"/>
  <c r="BR23" i="2"/>
  <c r="AL23" i="2"/>
  <c r="F23" i="2"/>
  <c r="CM22" i="2"/>
  <c r="BG22" i="2"/>
  <c r="AA22" i="2"/>
  <c r="DH21" i="2"/>
  <c r="CB21" i="2"/>
  <c r="AV21" i="2"/>
  <c r="P21" i="2"/>
  <c r="DA20" i="2"/>
  <c r="BU20" i="2"/>
  <c r="AO20" i="2"/>
  <c r="I20" i="2"/>
  <c r="CP19" i="2"/>
  <c r="BJ19" i="2"/>
  <c r="AD19" i="2"/>
  <c r="DK18" i="2"/>
  <c r="CE18" i="2"/>
  <c r="AY18" i="2"/>
  <c r="S18" i="2"/>
  <c r="CZ17" i="2"/>
  <c r="BT17" i="2"/>
  <c r="AN17" i="2"/>
  <c r="H17" i="2"/>
  <c r="CS16" i="2"/>
  <c r="BM16" i="2"/>
  <c r="AG16" i="2"/>
  <c r="DN15" i="2"/>
  <c r="CH15" i="2"/>
  <c r="BB15" i="2"/>
  <c r="V15" i="2"/>
  <c r="DC14" i="2"/>
  <c r="BW14" i="2"/>
  <c r="AQ14" i="2"/>
  <c r="K14" i="2"/>
  <c r="CR13" i="2"/>
  <c r="BL13" i="2"/>
  <c r="AF13" i="2"/>
  <c r="DQ12" i="2"/>
  <c r="CK12" i="2"/>
  <c r="BE12" i="2"/>
  <c r="Y12" i="2"/>
  <c r="DF11" i="2"/>
  <c r="BZ11" i="2"/>
  <c r="AT11" i="2"/>
  <c r="N11" i="2"/>
  <c r="CU10" i="2"/>
  <c r="BO10" i="2"/>
  <c r="AI10" i="2"/>
  <c r="DP9" i="2"/>
  <c r="CJ9" i="2"/>
  <c r="BD9" i="2"/>
  <c r="X9" i="2"/>
  <c r="DI8" i="2"/>
  <c r="CC8" i="2"/>
  <c r="AW8" i="2"/>
  <c r="Q8" i="2"/>
  <c r="CX7" i="2"/>
  <c r="BR7" i="2"/>
  <c r="AL7" i="2"/>
  <c r="F7" i="2"/>
  <c r="CM6" i="2"/>
  <c r="BG6" i="2"/>
  <c r="AA6" i="2"/>
  <c r="DH5" i="2"/>
  <c r="CB5" i="2"/>
  <c r="AV5" i="2"/>
  <c r="P5" i="2"/>
  <c r="DA4" i="2"/>
  <c r="BU4" i="2"/>
  <c r="AO4" i="2"/>
  <c r="I4" i="2"/>
  <c r="BG4" i="2"/>
  <c r="G5" i="2"/>
  <c r="BS5" i="2"/>
  <c r="M6" i="2"/>
  <c r="BY6" i="2"/>
  <c r="X7" i="2"/>
  <c r="CJ7" i="2"/>
  <c r="AI8" i="2"/>
  <c r="CU8" i="2"/>
  <c r="CM9" i="2"/>
  <c r="CL10" i="2"/>
  <c r="BE11" i="2"/>
  <c r="D12" i="2"/>
  <c r="CV12" i="2"/>
  <c r="BO13" i="2"/>
  <c r="AH14" i="2"/>
  <c r="Q15" i="2"/>
  <c r="CS15" i="2"/>
  <c r="BH16" i="2"/>
  <c r="AQ17" i="2"/>
  <c r="J18" i="2"/>
  <c r="CL18" i="2"/>
  <c r="BU19" i="2"/>
  <c r="T20" i="2"/>
  <c r="CV20" i="2"/>
  <c r="CE21" i="2"/>
  <c r="AX22" i="2"/>
  <c r="Q23" i="2"/>
  <c r="DI23" i="2"/>
  <c r="BX24" i="2"/>
  <c r="AQ25" i="2"/>
  <c r="Z26" i="2"/>
  <c r="DB26" i="2"/>
  <c r="BU27" i="2"/>
  <c r="AJ28" i="2"/>
  <c r="DL28" i="2"/>
  <c r="CE29" i="2"/>
  <c r="BN30" i="2"/>
  <c r="AG31" i="2"/>
  <c r="DI31" i="2"/>
  <c r="CN32" i="2"/>
  <c r="BG33" i="2"/>
  <c r="Z34" i="2"/>
  <c r="I35" i="2"/>
  <c r="CK35" i="2"/>
  <c r="AJ36" i="2"/>
  <c r="S37" i="2"/>
  <c r="CU37" i="2"/>
  <c r="BN38" i="2"/>
  <c r="AW39" i="2"/>
  <c r="L40" i="2"/>
  <c r="CN40" i="2"/>
  <c r="BW41" i="2"/>
  <c r="AP42" i="2"/>
  <c r="I43" i="2"/>
  <c r="DA43" i="2"/>
  <c r="AZ44" i="2"/>
  <c r="S45" i="2"/>
  <c r="DK45" i="2"/>
  <c r="CD46" i="2"/>
  <c r="AW47" i="2"/>
  <c r="AB48" i="2"/>
  <c r="DD48" i="2"/>
  <c r="BW49" i="2"/>
  <c r="BF50" i="2"/>
  <c r="Y51" i="2"/>
  <c r="DA51" i="2"/>
  <c r="BP52" i="2"/>
  <c r="AI53" i="2"/>
  <c r="DK53" i="2"/>
  <c r="CT54" i="2"/>
  <c r="BM55" i="2"/>
  <c r="AB56" i="2"/>
  <c r="K57" i="2"/>
  <c r="CM57" i="2"/>
  <c r="M23" i="2"/>
  <c r="CA21" i="2"/>
  <c r="F90" i="2"/>
  <c r="DF46" i="2"/>
  <c r="CZ4" i="2"/>
  <c r="DF22" i="2"/>
  <c r="BJ22" i="2"/>
  <c r="CB8" i="2"/>
  <c r="W57" i="2"/>
  <c r="AF3" i="3"/>
  <c r="AF4" i="6"/>
  <c r="CB19" i="3"/>
  <c r="CB20" i="6"/>
  <c r="M19" i="3"/>
  <c r="M20" i="6"/>
  <c r="AA7" i="3"/>
  <c r="AA8" i="6"/>
  <c r="CB11" i="3"/>
  <c r="CB12" i="6"/>
  <c r="BI79" i="2"/>
  <c r="AE69" i="2"/>
  <c r="BT133" i="2"/>
  <c r="AI134" i="2"/>
  <c r="CU134" i="2"/>
  <c r="CP135" i="2"/>
  <c r="AO136" i="2"/>
  <c r="DA136" i="2"/>
  <c r="BJ70" i="2"/>
  <c r="BA43" i="2"/>
  <c r="V18" i="2"/>
  <c r="CW7" i="2"/>
  <c r="F82" i="2"/>
  <c r="DE47" i="2"/>
  <c r="O29" i="2"/>
  <c r="CJ16" i="2"/>
  <c r="BI31" i="2"/>
  <c r="BQ43" i="2"/>
  <c r="CR52" i="2"/>
  <c r="AK51" i="2"/>
  <c r="G81" i="2"/>
  <c r="BQ83" i="2"/>
  <c r="BK61" i="2"/>
  <c r="CB44" i="2"/>
  <c r="AT135" i="2"/>
  <c r="BD24" i="2"/>
  <c r="DP16" i="2"/>
  <c r="BD8" i="2"/>
  <c r="AD70" i="2"/>
  <c r="AC87" i="2"/>
  <c r="H56" i="2"/>
  <c r="P36" i="2"/>
  <c r="DO33" i="2"/>
  <c r="AC23" i="2"/>
  <c r="BK13" i="2"/>
  <c r="U7" i="2"/>
  <c r="AM25" i="2"/>
  <c r="BB18" i="2"/>
  <c r="CP38" i="2"/>
  <c r="X48" i="2"/>
  <c r="AM57" i="2"/>
  <c r="G49" i="2"/>
  <c r="BA67" i="2"/>
  <c r="CJ72" i="2"/>
  <c r="BR26" i="2"/>
  <c r="BY71" i="2"/>
  <c r="DP88" i="2"/>
  <c r="DP40" i="2"/>
  <c r="BS49" i="2"/>
  <c r="CH58" i="2"/>
  <c r="CH74" i="2"/>
  <c r="DM59" i="2"/>
  <c r="DM67" i="2"/>
  <c r="DM75" i="2"/>
  <c r="DM83" i="2"/>
  <c r="BU97" i="2"/>
  <c r="AM73" i="2"/>
  <c r="BB82" i="2"/>
  <c r="DD94" i="2"/>
  <c r="AL5" i="2"/>
  <c r="DM19" i="2"/>
  <c r="BL68" i="2"/>
  <c r="G89" i="2"/>
  <c r="G41" i="2"/>
  <c r="CQ45" i="2"/>
  <c r="AC55" i="2"/>
  <c r="V66" i="2"/>
  <c r="CG83" i="2"/>
  <c r="H64" i="2"/>
  <c r="H72" i="2"/>
  <c r="H80" i="2"/>
  <c r="H88" i="2"/>
  <c r="CR68" i="2"/>
  <c r="AD78" i="2"/>
  <c r="BI87" i="2"/>
  <c r="CX50" i="2"/>
  <c r="AT14" i="2"/>
  <c r="CA61" i="2"/>
  <c r="DF78" i="2"/>
  <c r="AP96" i="2"/>
  <c r="CW43" i="2"/>
  <c r="AE53" i="2"/>
  <c r="AN64" i="2"/>
  <c r="DP80" i="2"/>
  <c r="BZ62" i="2"/>
  <c r="BZ70" i="2"/>
  <c r="BZ78" i="2"/>
  <c r="BZ86" i="2"/>
  <c r="E67" i="2"/>
  <c r="AF76" i="2"/>
  <c r="BK85" i="2"/>
  <c r="O61" i="2"/>
  <c r="BT4" i="2"/>
  <c r="BT16" i="2"/>
  <c r="BX19" i="3"/>
  <c r="BX20" i="6"/>
  <c r="BK31" i="3"/>
  <c r="BK32" i="6"/>
  <c r="AO19" i="3"/>
  <c r="AO20" i="6"/>
  <c r="AU19" i="3"/>
  <c r="AU20" i="6"/>
  <c r="BU19" i="3"/>
  <c r="BU20" i="6"/>
  <c r="G23" i="3"/>
  <c r="G24" i="6"/>
  <c r="BP19" i="3"/>
  <c r="BP20" i="6"/>
  <c r="AC19" i="3"/>
  <c r="AC20" i="6"/>
  <c r="DC19" i="3"/>
  <c r="DC20" i="6"/>
  <c r="CG19" i="3"/>
  <c r="CG20" i="6"/>
  <c r="DM19" i="3"/>
  <c r="DM20" i="6"/>
  <c r="AV19" i="3"/>
  <c r="AV20" i="6"/>
  <c r="CU19" i="3"/>
  <c r="CU20" i="6"/>
  <c r="S19" i="3"/>
  <c r="S20" i="6"/>
  <c r="V19" i="3"/>
  <c r="V20" i="6"/>
  <c r="AI19" i="3"/>
  <c r="AI20" i="6"/>
  <c r="AT19" i="3"/>
  <c r="AT20" i="6"/>
  <c r="BS19" i="3"/>
  <c r="BS20" i="6"/>
  <c r="CT19" i="3"/>
  <c r="CT20" i="6"/>
  <c r="DO19" i="3"/>
  <c r="DO20" i="6"/>
  <c r="AQ19" i="3"/>
  <c r="AQ20" i="6"/>
  <c r="CP19" i="3"/>
  <c r="CP20" i="6"/>
  <c r="F19" i="3"/>
  <c r="F20" i="6"/>
  <c r="BF19" i="3"/>
  <c r="BF20" i="6"/>
  <c r="Y19" i="3"/>
  <c r="Y20" i="6"/>
  <c r="BA19" i="3"/>
  <c r="BA20" i="6"/>
  <c r="CF79" i="3"/>
  <c r="CF80" i="6"/>
  <c r="CI19" i="3"/>
  <c r="CI20" i="6"/>
  <c r="BK15" i="3"/>
  <c r="BK16" i="6"/>
  <c r="BV15" i="3"/>
  <c r="BV16" i="6"/>
  <c r="CU15" i="3"/>
  <c r="CU16" i="6"/>
  <c r="DF15" i="3"/>
  <c r="DF16" i="6"/>
  <c r="DG15" i="3"/>
  <c r="DG16" i="6"/>
  <c r="DB15" i="3"/>
  <c r="DB16" i="6"/>
  <c r="CM15" i="3"/>
  <c r="CM16" i="6"/>
  <c r="W15" i="3"/>
  <c r="W16" i="6"/>
  <c r="BR15" i="3"/>
  <c r="BR16" i="6"/>
  <c r="F15" i="3"/>
  <c r="F16" i="6"/>
  <c r="AE15" i="3"/>
  <c r="AE16" i="6"/>
  <c r="CH15" i="3"/>
  <c r="CH16" i="6"/>
  <c r="V15" i="3"/>
  <c r="V16" i="6"/>
  <c r="DQ15" i="3"/>
  <c r="DQ16" i="6"/>
  <c r="CS15" i="3"/>
  <c r="CS16" i="6"/>
  <c r="DI15" i="3"/>
  <c r="DI16" i="6"/>
  <c r="AS15" i="3"/>
  <c r="AS16" i="6"/>
  <c r="M15" i="3"/>
  <c r="M16" i="6"/>
  <c r="U15" i="3"/>
  <c r="U16" i="6"/>
  <c r="CR15" i="3"/>
  <c r="CR16" i="6"/>
  <c r="BI15" i="3"/>
  <c r="BI16" i="6"/>
  <c r="CB15" i="3"/>
  <c r="CB16" i="6"/>
  <c r="CJ15" i="3"/>
  <c r="CJ16" i="6"/>
  <c r="DP15" i="3"/>
  <c r="DP16" i="6"/>
  <c r="D15" i="3"/>
  <c r="D16" i="6"/>
  <c r="CN15" i="3"/>
  <c r="CN16" i="6"/>
  <c r="T15" i="3"/>
  <c r="T16" i="6"/>
  <c r="DL15" i="3"/>
  <c r="DL16" i="6"/>
  <c r="CI15" i="3"/>
  <c r="CI16" i="6"/>
  <c r="BV6" i="2"/>
  <c r="DH84" i="2"/>
  <c r="DO73" i="2"/>
  <c r="DO9" i="2"/>
  <c r="CI25" i="2"/>
  <c r="AT54" i="2"/>
  <c r="J6" i="2"/>
  <c r="X64" i="2"/>
  <c r="BI7" i="2"/>
  <c r="N22" i="2"/>
  <c r="CI49" i="2"/>
  <c r="DH8" i="2"/>
  <c r="CO71" i="2"/>
  <c r="AF8" i="2"/>
  <c r="CO23" i="2"/>
  <c r="AL50" i="2"/>
  <c r="BY7" i="2"/>
  <c r="DH60" i="2"/>
  <c r="DH44" i="2"/>
  <c r="BY15" i="2"/>
  <c r="CI33" i="2"/>
  <c r="H4" i="2"/>
  <c r="AL10" i="2"/>
  <c r="P12" i="2"/>
  <c r="CA29" i="2"/>
  <c r="AN24" i="2"/>
  <c r="U59" i="2"/>
  <c r="U43" i="2"/>
  <c r="AV12" i="2"/>
  <c r="M15" i="2"/>
  <c r="BA27" i="2"/>
  <c r="Z6" i="2"/>
  <c r="BC17" i="2"/>
  <c r="BY39" i="2"/>
  <c r="DH20" i="2"/>
  <c r="DH19" i="3"/>
  <c r="DH20" i="6" s="1"/>
  <c r="U19" i="3"/>
  <c r="U20" i="6" s="1"/>
  <c r="K15" i="3"/>
  <c r="K16" i="6"/>
  <c r="AL11" i="3"/>
  <c r="AL12" i="6" s="1"/>
  <c r="DQ97" i="2"/>
  <c r="CT92" i="2"/>
  <c r="CE89" i="2"/>
  <c r="BP88" i="2"/>
  <c r="BU87" i="2"/>
  <c r="BF86" i="2"/>
  <c r="AQ85" i="2"/>
  <c r="AB84" i="2"/>
  <c r="CT82" i="2"/>
  <c r="CE81" i="2"/>
  <c r="BP80" i="2"/>
  <c r="BU79" i="2"/>
  <c r="BF78" i="2"/>
  <c r="AQ77" i="2"/>
  <c r="AB76" i="2"/>
  <c r="CT74" i="2"/>
  <c r="CE73" i="2"/>
  <c r="BP72" i="2"/>
  <c r="BU71" i="2"/>
  <c r="BF70" i="2"/>
  <c r="AQ69" i="2"/>
  <c r="AB68" i="2"/>
  <c r="CT66" i="2"/>
  <c r="CE65" i="2"/>
  <c r="BP64" i="2"/>
  <c r="BU63" i="2"/>
  <c r="BF62" i="2"/>
  <c r="AQ61" i="2"/>
  <c r="AB60" i="2"/>
  <c r="CT58" i="2"/>
  <c r="CE57" i="2"/>
  <c r="BP56" i="2"/>
  <c r="BU55" i="2"/>
  <c r="BF54" i="2"/>
  <c r="AQ53" i="2"/>
  <c r="AB52" i="2"/>
  <c r="CT50" i="2"/>
  <c r="CE49" i="2"/>
  <c r="BP48" i="2"/>
  <c r="BU47" i="2"/>
  <c r="BF46" i="2"/>
  <c r="AQ45" i="2"/>
  <c r="AB44" i="2"/>
  <c r="CT42" i="2"/>
  <c r="CE41" i="2"/>
  <c r="BP40" i="2"/>
  <c r="BU39" i="2"/>
  <c r="BF38" i="2"/>
  <c r="AQ37" i="2"/>
  <c r="AB36" i="2"/>
  <c r="CT34" i="2"/>
  <c r="CE33" i="2"/>
  <c r="BP32" i="2"/>
  <c r="BU31" i="2"/>
  <c r="BF30" i="2"/>
  <c r="AQ29" i="2"/>
  <c r="AB28" i="2"/>
  <c r="CT26" i="2"/>
  <c r="CE25" i="2"/>
  <c r="BP24" i="2"/>
  <c r="BU23" i="2"/>
  <c r="BF22" i="2"/>
  <c r="AQ21" i="2"/>
  <c r="AB20" i="2"/>
  <c r="CT18" i="2"/>
  <c r="CE17" i="2"/>
  <c r="BP16" i="2"/>
  <c r="BU15" i="2"/>
  <c r="BF14" i="2"/>
  <c r="AQ13" i="2"/>
  <c r="AB12" i="2"/>
  <c r="CT10" i="2"/>
  <c r="CE9" i="2"/>
  <c r="CQ8" i="2"/>
  <c r="AE8" i="2"/>
  <c r="CF7" i="2"/>
  <c r="T7" i="2"/>
  <c r="CS67" i="2"/>
  <c r="CS6" i="2"/>
  <c r="Y6" i="2"/>
  <c r="BW5" i="2"/>
  <c r="K5" i="2"/>
  <c r="BK4" i="2"/>
  <c r="AZ98" i="2"/>
  <c r="L94" i="2"/>
  <c r="AD90" i="2"/>
  <c r="O89" i="2"/>
  <c r="DM87" i="2"/>
  <c r="DN86" i="2"/>
  <c r="DO85" i="2"/>
  <c r="DP84" i="2"/>
  <c r="DE83" i="2"/>
  <c r="CP82" i="2"/>
  <c r="CA81" i="2"/>
  <c r="BL80" i="2"/>
  <c r="BA79" i="2"/>
  <c r="BB78" i="2"/>
  <c r="BC77" i="2"/>
  <c r="BD76" i="2"/>
  <c r="AS75" i="2"/>
  <c r="AD74" i="2"/>
  <c r="O73" i="2"/>
  <c r="DM71" i="2"/>
  <c r="DN70" i="2"/>
  <c r="DO69" i="2"/>
  <c r="DP68" i="2"/>
  <c r="DE67" i="2"/>
  <c r="CP66" i="2"/>
  <c r="CA65" i="2"/>
  <c r="BL64" i="2"/>
  <c r="BA63" i="2"/>
  <c r="BB62" i="2"/>
  <c r="BC61" i="2"/>
  <c r="BD60" i="2"/>
  <c r="AS59" i="2"/>
  <c r="AD58" i="2"/>
  <c r="O57" i="2"/>
  <c r="DM55" i="2"/>
  <c r="DN54" i="2"/>
  <c r="DO53" i="2"/>
  <c r="DP52" i="2"/>
  <c r="DE51" i="2"/>
  <c r="CP50" i="2"/>
  <c r="CA49" i="2"/>
  <c r="BL48" i="2"/>
  <c r="BA47" i="2"/>
  <c r="BB46" i="2"/>
  <c r="BC45" i="2"/>
  <c r="BD44" i="2"/>
  <c r="AS43" i="2"/>
  <c r="AD42" i="2"/>
  <c r="O41" i="2"/>
  <c r="DM39" i="2"/>
  <c r="DN38" i="2"/>
  <c r="DO37" i="2"/>
  <c r="DP36" i="2"/>
  <c r="DE35" i="2"/>
  <c r="CP34" i="2"/>
  <c r="CA33" i="2"/>
  <c r="BL32" i="2"/>
  <c r="BA31" i="2"/>
  <c r="BB30" i="2"/>
  <c r="BC29" i="2"/>
  <c r="BD28" i="2"/>
  <c r="AS27" i="2"/>
  <c r="AD26" i="2"/>
  <c r="O25" i="2"/>
  <c r="DM23" i="2"/>
  <c r="DN22" i="2"/>
  <c r="DO21" i="2"/>
  <c r="DP20" i="2"/>
  <c r="DE19" i="2"/>
  <c r="CP18" i="2"/>
  <c r="CA17" i="2"/>
  <c r="BL16" i="2"/>
  <c r="BA15" i="2"/>
  <c r="BB14" i="2"/>
  <c r="BC13" i="2"/>
  <c r="BD12" i="2"/>
  <c r="AS11" i="2"/>
  <c r="AD10" i="2"/>
  <c r="O9" i="2"/>
  <c r="BH8" i="2"/>
  <c r="DQ7" i="2"/>
  <c r="CC59" i="2"/>
  <c r="CC7" i="2"/>
  <c r="Q7" i="2"/>
  <c r="BR6" i="2"/>
  <c r="F6" i="2"/>
  <c r="BF5" i="2"/>
  <c r="DD4" i="2"/>
  <c r="AR4" i="2"/>
  <c r="Y97" i="2"/>
  <c r="CU91" i="2"/>
  <c r="BG89" i="2"/>
  <c r="AR88" i="2"/>
  <c r="AG87" i="2"/>
  <c r="R86" i="2"/>
  <c r="DL84" i="2"/>
  <c r="DQ83" i="2"/>
  <c r="DB82" i="2"/>
  <c r="BG81" i="2"/>
  <c r="DI79" i="2"/>
  <c r="BN78" i="2"/>
  <c r="DL76" i="2"/>
  <c r="BU75" i="2"/>
  <c r="Z74" i="2"/>
  <c r="BX72" i="2"/>
  <c r="Q71" i="2"/>
  <c r="CE69" i="2"/>
  <c r="T68" i="2"/>
  <c r="CL66" i="2"/>
  <c r="AQ65" i="2"/>
  <c r="CS63" i="2"/>
  <c r="AH62" i="2"/>
  <c r="CV60" i="2"/>
  <c r="BE59" i="2"/>
  <c r="DC57" i="2"/>
  <c r="DJ54" i="2"/>
  <c r="D52" i="2"/>
  <c r="K49" i="2"/>
  <c r="R46" i="2"/>
  <c r="AO43" i="2"/>
  <c r="AB40" i="2"/>
  <c r="AI37" i="2"/>
  <c r="BF34" i="2"/>
  <c r="AW31" i="2"/>
  <c r="AZ28" i="2"/>
  <c r="BW25" i="2"/>
  <c r="BN22" i="2"/>
  <c r="CK19" i="2"/>
  <c r="CN16" i="2"/>
  <c r="CE13" i="2"/>
  <c r="DB10" i="2"/>
  <c r="DH7" i="2"/>
  <c r="CQ5" i="2"/>
  <c r="AC4" i="2"/>
  <c r="AJ5" i="2"/>
  <c r="AU6" i="2"/>
  <c r="BF7" i="2"/>
  <c r="BQ8" i="2"/>
  <c r="BX9" i="2"/>
  <c r="CI10" i="2"/>
  <c r="CT11" i="2"/>
  <c r="DE12" i="2"/>
  <c r="DL13" i="2"/>
  <c r="J15" i="2"/>
  <c r="U16" i="2"/>
  <c r="AB17" i="2"/>
  <c r="AM18" i="2"/>
  <c r="AX19" i="2"/>
  <c r="BI20" i="2"/>
  <c r="BP21" i="2"/>
  <c r="CA22" i="2"/>
  <c r="CL23" i="2"/>
  <c r="CW24" i="2"/>
  <c r="DD25" i="2"/>
  <c r="DO26" i="2"/>
  <c r="M28" i="2"/>
  <c r="T29" i="2"/>
  <c r="AE30" i="2"/>
  <c r="AP31" i="2"/>
  <c r="BA32" i="2"/>
  <c r="BH33" i="2"/>
  <c r="BS34" i="2"/>
  <c r="CD35" i="2"/>
  <c r="CO36" i="2"/>
  <c r="CV37" i="2"/>
  <c r="DG38" i="2"/>
  <c r="E40" i="2"/>
  <c r="L41" i="2"/>
  <c r="W42" i="2"/>
  <c r="AH43" i="2"/>
  <c r="AS44" i="2"/>
  <c r="AZ45" i="2"/>
  <c r="BK46" i="2"/>
  <c r="BV47" i="2"/>
  <c r="CG48" i="2"/>
  <c r="CN49" i="2"/>
  <c r="CY50" i="2"/>
  <c r="DJ51" i="2"/>
  <c r="D53" i="2"/>
  <c r="O54" i="2"/>
  <c r="Z55" i="2"/>
  <c r="AK56" i="2"/>
  <c r="AR57" i="2"/>
  <c r="BC58" i="2"/>
  <c r="BN59" i="2"/>
  <c r="BY60" i="2"/>
  <c r="CF61" i="2"/>
  <c r="CQ62" i="2"/>
  <c r="DB63" i="2"/>
  <c r="DM64" i="2"/>
  <c r="G66" i="2"/>
  <c r="R67" i="2"/>
  <c r="AC68" i="2"/>
  <c r="AJ69" i="2"/>
  <c r="AU70" i="2"/>
  <c r="BF71" i="2"/>
  <c r="BQ72" i="2"/>
  <c r="BX73" i="2"/>
  <c r="CI74" i="2"/>
  <c r="CT75" i="2"/>
  <c r="DE76" i="2"/>
  <c r="DL77" i="2"/>
  <c r="J79" i="2"/>
  <c r="U80" i="2"/>
  <c r="AB81" i="2"/>
  <c r="AM82" i="2"/>
  <c r="AX83" i="2"/>
  <c r="BI84" i="2"/>
  <c r="BP85" i="2"/>
  <c r="CA86" i="2"/>
  <c r="CL87" i="2"/>
  <c r="CW88" i="2"/>
  <c r="DD89" i="2"/>
  <c r="DN92" i="2"/>
  <c r="AS97" i="2"/>
  <c r="CP4" i="2"/>
  <c r="DA5" i="2"/>
  <c r="DH6" i="2"/>
  <c r="F8" i="2"/>
  <c r="Q9" i="2"/>
  <c r="X10" i="2"/>
  <c r="AI11" i="2"/>
  <c r="AT12" i="2"/>
  <c r="BE13" i="2"/>
  <c r="BL14" i="2"/>
  <c r="BW15" i="2"/>
  <c r="CH16" i="2"/>
  <c r="CS17" i="2"/>
  <c r="CZ18" i="2"/>
  <c r="DK19" i="2"/>
  <c r="I21" i="2"/>
  <c r="P22" i="2"/>
  <c r="AA23" i="2"/>
  <c r="AP24" i="2"/>
  <c r="CO25" i="2"/>
  <c r="AA27" i="2"/>
  <c r="CD28" i="2"/>
  <c r="L30" i="2"/>
  <c r="BO31" i="2"/>
  <c r="E33" i="2"/>
  <c r="AZ34" i="2"/>
  <c r="DC35" i="2"/>
  <c r="BM37" i="2"/>
  <c r="CE39" i="2"/>
  <c r="DA41" i="2"/>
  <c r="F44" i="2"/>
  <c r="X46" i="2"/>
  <c r="AT48" i="2"/>
  <c r="BL50" i="2"/>
  <c r="CH52" i="2"/>
  <c r="CZ54" i="2"/>
  <c r="I57" i="2"/>
  <c r="AA59" i="2"/>
  <c r="AW61" i="2"/>
  <c r="BO63" i="2"/>
  <c r="CK65" i="2"/>
  <c r="DC67" i="2"/>
  <c r="H70" i="2"/>
  <c r="AD72" i="2"/>
  <c r="AV74" i="2"/>
  <c r="AC77" i="2"/>
  <c r="N80" i="2"/>
  <c r="DP82" i="2"/>
  <c r="DE85" i="2"/>
  <c r="CP88" i="2"/>
  <c r="DK95" i="2"/>
  <c r="AB11" i="2"/>
  <c r="Q14" i="2"/>
  <c r="F17" i="2"/>
  <c r="DD19" i="2"/>
  <c r="CS22" i="2"/>
  <c r="CH25" i="2"/>
  <c r="CX29" i="2"/>
  <c r="Y34" i="2"/>
  <c r="BM38" i="2"/>
  <c r="DA42" i="2"/>
  <c r="S48" i="2"/>
  <c r="DJ53" i="2"/>
  <c r="CF59" i="2"/>
  <c r="BJ65" i="2"/>
  <c r="AJ71" i="2"/>
  <c r="AH77" i="2"/>
  <c r="DJ85" i="2"/>
  <c r="DM109" i="2"/>
  <c r="CF99" i="2"/>
  <c r="DE15" i="2"/>
  <c r="AE29" i="2"/>
  <c r="CX5" i="2"/>
  <c r="DF54" i="2"/>
  <c r="CA37" i="2"/>
  <c r="BZ14" i="2"/>
  <c r="DP32" i="2"/>
  <c r="M31" i="2"/>
  <c r="BC65" i="2"/>
  <c r="CZ19" i="3"/>
  <c r="CZ20" i="6"/>
  <c r="BT19" i="3"/>
  <c r="BT20" i="6"/>
  <c r="DE7" i="3"/>
  <c r="DE8" i="6"/>
  <c r="CU7" i="3"/>
  <c r="CU8" i="6"/>
  <c r="D11" i="3"/>
  <c r="D12" i="6"/>
  <c r="CY65" i="2"/>
  <c r="CE91" i="2"/>
  <c r="BU3" i="3"/>
  <c r="BU4" i="6"/>
  <c r="CZ133" i="2"/>
  <c r="AY134" i="2"/>
  <c r="DK134" i="2"/>
  <c r="DF135" i="2"/>
  <c r="BE136" i="2"/>
  <c r="DQ136" i="2"/>
  <c r="BQ59" i="2"/>
  <c r="N38" i="2"/>
  <c r="CO15" i="2"/>
  <c r="CD6" i="2"/>
  <c r="AV68" i="2"/>
  <c r="BR42" i="2"/>
  <c r="AL26" i="2"/>
  <c r="AN8" i="2"/>
  <c r="DN34" i="2"/>
  <c r="CP46" i="2"/>
  <c r="X56" i="2"/>
  <c r="AK35" i="2"/>
  <c r="W65" i="2"/>
  <c r="CG11" i="2"/>
  <c r="BT56" i="2"/>
  <c r="BT40" i="2"/>
  <c r="AT22" i="2"/>
  <c r="AE21" i="2"/>
  <c r="BJ14" i="2"/>
  <c r="AK7" i="2"/>
  <c r="AD22" i="2"/>
  <c r="CZ72" i="2"/>
  <c r="H48" i="2"/>
  <c r="DO81" i="2"/>
  <c r="BZ30" i="2"/>
  <c r="AF28" i="2"/>
  <c r="E11" i="2"/>
  <c r="DF5" i="2"/>
  <c r="E27" i="2"/>
  <c r="BB10" i="2"/>
  <c r="AM41" i="2"/>
  <c r="BB50" i="2"/>
  <c r="E59" i="2"/>
  <c r="V58" i="2"/>
  <c r="BA75" i="2"/>
  <c r="CY81" i="2"/>
  <c r="BY87" i="2"/>
  <c r="CG75" i="2"/>
  <c r="AX92" i="2"/>
  <c r="CH42" i="2"/>
  <c r="CW51" i="2"/>
  <c r="AT62" i="2"/>
  <c r="AT78" i="2"/>
  <c r="DG61" i="2"/>
  <c r="DG69" i="2"/>
  <c r="DG77" i="2"/>
  <c r="DG85" i="2"/>
  <c r="BB66" i="2"/>
  <c r="E75" i="2"/>
  <c r="AF84" i="2"/>
  <c r="O69" i="2"/>
  <c r="U11" i="2"/>
  <c r="AV44" i="2"/>
  <c r="DP72" i="2"/>
  <c r="BW95" i="2"/>
  <c r="AK43" i="2"/>
  <c r="BD48" i="2"/>
  <c r="G57" i="2"/>
  <c r="M71" i="2"/>
  <c r="BD88" i="2"/>
  <c r="AL66" i="2"/>
  <c r="AL74" i="2"/>
  <c r="AL82" i="2"/>
  <c r="AZ90" i="2"/>
  <c r="BI71" i="2"/>
  <c r="CJ80" i="2"/>
  <c r="CY89" i="2"/>
  <c r="CX34" i="2"/>
  <c r="BR10" i="2"/>
  <c r="BS65" i="2"/>
  <c r="CH82" i="2"/>
  <c r="AE37" i="2"/>
  <c r="BJ46" i="2"/>
  <c r="CO55" i="2"/>
  <c r="CG67" i="2"/>
  <c r="AE85" i="2"/>
  <c r="BT64" i="2"/>
  <c r="BT72" i="2"/>
  <c r="BT80" i="2"/>
  <c r="BT88" i="2"/>
  <c r="BK69" i="2"/>
  <c r="CP78" i="2"/>
  <c r="X88" i="2"/>
  <c r="O45" i="2"/>
  <c r="CA13" i="2"/>
  <c r="CA53" i="2"/>
  <c r="X19" i="3"/>
  <c r="X20" i="6"/>
  <c r="AZ19" i="3"/>
  <c r="AZ20" i="6"/>
  <c r="CZ27" i="3"/>
  <c r="CZ28" i="6"/>
  <c r="AJ19" i="3"/>
  <c r="AJ20" i="6"/>
  <c r="T19" i="3"/>
  <c r="T20" i="6"/>
  <c r="BI19" i="3"/>
  <c r="BI20" i="6"/>
  <c r="DE19" i="3"/>
  <c r="DE20" i="6"/>
  <c r="Q19" i="3"/>
  <c r="Q20" i="6"/>
  <c r="I19" i="3"/>
  <c r="I20" i="6"/>
  <c r="AG19" i="3"/>
  <c r="AG20" i="6"/>
  <c r="W19" i="3"/>
  <c r="W20" i="6"/>
  <c r="AB19" i="3"/>
  <c r="AB20" i="6"/>
  <c r="D19" i="3"/>
  <c r="D20" i="6"/>
  <c r="H19" i="3"/>
  <c r="H20" i="6"/>
  <c r="CA19" i="3"/>
  <c r="CA20" i="6"/>
  <c r="DF19" i="3"/>
  <c r="DF20" i="6"/>
  <c r="DK19" i="3"/>
  <c r="DK20" i="6"/>
  <c r="O19" i="3"/>
  <c r="O20" i="6"/>
  <c r="R19" i="3"/>
  <c r="R20" i="6"/>
  <c r="AY19" i="3"/>
  <c r="AY20" i="6"/>
  <c r="BN19" i="3"/>
  <c r="BN20" i="6"/>
  <c r="CY19" i="3"/>
  <c r="CY20" i="6"/>
  <c r="AA19" i="3"/>
  <c r="AA20" i="6"/>
  <c r="BR19" i="3"/>
  <c r="BR20" i="6"/>
  <c r="DB19" i="3"/>
  <c r="DB20" i="6"/>
  <c r="AP19" i="3"/>
  <c r="AP20" i="6"/>
  <c r="DQ19" i="3"/>
  <c r="DQ20" i="6"/>
  <c r="BE19" i="3"/>
  <c r="BE20" i="6"/>
  <c r="BF15" i="3"/>
  <c r="BF16" i="6"/>
  <c r="AI15" i="3"/>
  <c r="AI16" i="6"/>
  <c r="AD15" i="3"/>
  <c r="AD16" i="6"/>
  <c r="CA15" i="3"/>
  <c r="CA16" i="6"/>
  <c r="CL15" i="3"/>
  <c r="CL16" i="6"/>
  <c r="CQ15" i="3"/>
  <c r="CQ16" i="6"/>
  <c r="BJ15" i="3"/>
  <c r="BJ16" i="6"/>
  <c r="BW15" i="3"/>
  <c r="BW16" i="6"/>
  <c r="DJ15" i="3"/>
  <c r="DJ16" i="6"/>
  <c r="AX15" i="3"/>
  <c r="AX16" i="6"/>
  <c r="BS15" i="3"/>
  <c r="BS16" i="6"/>
  <c r="O15" i="3"/>
  <c r="O16" i="6"/>
  <c r="BN15" i="3"/>
  <c r="BN16" i="6"/>
  <c r="Q15" i="3"/>
  <c r="Q16" i="6"/>
  <c r="CC15" i="3"/>
  <c r="CC16" i="6"/>
  <c r="BU15" i="3"/>
  <c r="BU16" i="6"/>
  <c r="CK15" i="3"/>
  <c r="CK16" i="6"/>
  <c r="CG15" i="3"/>
  <c r="CG16" i="6"/>
  <c r="AK15" i="3"/>
  <c r="AK16" i="6"/>
  <c r="CW15" i="3"/>
  <c r="CW16" i="6"/>
  <c r="AR15" i="3"/>
  <c r="AR16" i="6"/>
  <c r="DM15" i="3"/>
  <c r="DM16" i="6"/>
  <c r="AV15" i="3"/>
  <c r="AV16" i="6"/>
  <c r="X15" i="3"/>
  <c r="X16" i="6"/>
  <c r="BD15" i="3"/>
  <c r="BD16" i="6"/>
  <c r="CF15" i="3"/>
  <c r="CF16" i="6"/>
  <c r="BH15" i="3"/>
  <c r="BH16" i="6"/>
  <c r="AJ15" i="3"/>
  <c r="AJ16" i="6"/>
  <c r="C16" i="6"/>
  <c r="DH12" i="2"/>
  <c r="AF60" i="2"/>
  <c r="BY47" i="2"/>
  <c r="CA77" i="2"/>
  <c r="DG13" i="2"/>
  <c r="BJ30" i="2"/>
  <c r="AD62" i="2"/>
  <c r="AN4" i="2"/>
  <c r="F74" i="2"/>
  <c r="F10" i="2"/>
  <c r="V26" i="2"/>
  <c r="CI57" i="2"/>
  <c r="DN5" i="2"/>
  <c r="CW75" i="2"/>
  <c r="BA11" i="2"/>
  <c r="CW27" i="2"/>
  <c r="AL58" i="2"/>
  <c r="BB5" i="2"/>
  <c r="CZ56" i="2"/>
  <c r="CZ40" i="2"/>
  <c r="AS7" i="2"/>
  <c r="CX18" i="2"/>
  <c r="CB28" i="2"/>
  <c r="CL6" i="2"/>
  <c r="H16" i="2"/>
  <c r="AV36" i="2"/>
  <c r="CQ61" i="2"/>
  <c r="M55" i="2"/>
  <c r="M39" i="2"/>
  <c r="BF6" i="2"/>
  <c r="AV8" i="2"/>
  <c r="AS23" i="2"/>
  <c r="BD4" i="2"/>
  <c r="AU21" i="2"/>
  <c r="AV52" i="2"/>
  <c r="E19" i="3"/>
  <c r="E20" i="6"/>
  <c r="CO19" i="3"/>
  <c r="CO20" i="6"/>
  <c r="BO19" i="3"/>
  <c r="BO20" i="6"/>
  <c r="DJ11" i="3"/>
  <c r="DJ12" i="6"/>
  <c r="BE97" i="2"/>
  <c r="AH92" i="2"/>
  <c r="BO89" i="2"/>
  <c r="AZ88" i="2"/>
  <c r="BE87" i="2"/>
  <c r="AP86" i="2"/>
  <c r="AA85" i="2"/>
  <c r="L84" i="2"/>
  <c r="CD82" i="2"/>
  <c r="BO81" i="2"/>
  <c r="AZ80" i="2"/>
  <c r="BE79" i="2"/>
  <c r="AP78" i="2"/>
  <c r="AA77" i="2"/>
  <c r="L76" i="2"/>
  <c r="CD74" i="2"/>
  <c r="BO73" i="2"/>
  <c r="AZ72" i="2"/>
  <c r="BE71" i="2"/>
  <c r="AP70" i="2"/>
  <c r="AA69" i="2"/>
  <c r="L68" i="2"/>
  <c r="CD66" i="2"/>
  <c r="BO65" i="2"/>
  <c r="AZ64" i="2"/>
  <c r="BE63" i="2"/>
  <c r="AP62" i="2"/>
  <c r="AA61" i="2"/>
  <c r="L60" i="2"/>
  <c r="CD58" i="2"/>
  <c r="BO57" i="2"/>
  <c r="AZ56" i="2"/>
  <c r="BE55" i="2"/>
  <c r="AP54" i="2"/>
  <c r="AA53" i="2"/>
  <c r="L52" i="2"/>
  <c r="CD50" i="2"/>
  <c r="BO49" i="2"/>
  <c r="AZ48" i="2"/>
  <c r="BE47" i="2"/>
  <c r="AP46" i="2"/>
  <c r="AA45" i="2"/>
  <c r="L44" i="2"/>
  <c r="CD42" i="2"/>
  <c r="BO41" i="2"/>
  <c r="AZ40" i="2"/>
  <c r="BE39" i="2"/>
  <c r="AP38" i="2"/>
  <c r="AA37" i="2"/>
  <c r="L36" i="2"/>
  <c r="CD34" i="2"/>
  <c r="BO33" i="2"/>
  <c r="AZ32" i="2"/>
  <c r="BE31" i="2"/>
  <c r="AP30" i="2"/>
  <c r="AA29" i="2"/>
  <c r="L28" i="2"/>
  <c r="CD26" i="2"/>
  <c r="BO25" i="2"/>
  <c r="AZ24" i="2"/>
  <c r="BE23" i="2"/>
  <c r="AP22" i="2"/>
  <c r="AA21" i="2"/>
  <c r="L20" i="2"/>
  <c r="CD18" i="2"/>
  <c r="BO17" i="2"/>
  <c r="AZ16" i="2"/>
  <c r="BE15" i="2"/>
  <c r="AP14" i="2"/>
  <c r="AA13" i="2"/>
  <c r="L12" i="2"/>
  <c r="CD10" i="2"/>
  <c r="BO9" i="2"/>
  <c r="CI8" i="2"/>
  <c r="W8" i="2"/>
  <c r="BX7" i="2"/>
  <c r="L7" i="2"/>
  <c r="CS59" i="2"/>
  <c r="CK6" i="2"/>
  <c r="Q6" i="2"/>
  <c r="BO5" i="2"/>
  <c r="DO4" i="2"/>
  <c r="BC4" i="2"/>
  <c r="DA97" i="2"/>
  <c r="DI93" i="2"/>
  <c r="N90" i="2"/>
  <c r="DH88" i="2"/>
  <c r="CW87" i="2"/>
  <c r="CX86" i="2"/>
  <c r="CY85" i="2"/>
  <c r="CZ84" i="2"/>
  <c r="CO83" i="2"/>
  <c r="BZ82" i="2"/>
  <c r="BK81" i="2"/>
  <c r="AV80" i="2"/>
  <c r="AK79" i="2"/>
  <c r="AL78" i="2"/>
  <c r="AM77" i="2"/>
  <c r="AN76" i="2"/>
  <c r="AC75" i="2"/>
  <c r="N74" i="2"/>
  <c r="DH72" i="2"/>
  <c r="CW71" i="2"/>
  <c r="CX70" i="2"/>
  <c r="CY69" i="2"/>
  <c r="CZ68" i="2"/>
  <c r="CO67" i="2"/>
  <c r="BZ66" i="2"/>
  <c r="BK65" i="2"/>
  <c r="AV64" i="2"/>
  <c r="AK63" i="2"/>
  <c r="AL62" i="2"/>
  <c r="AM61" i="2"/>
  <c r="AN60" i="2"/>
  <c r="AC59" i="2"/>
  <c r="N58" i="2"/>
  <c r="DH56" i="2"/>
  <c r="CW55" i="2"/>
  <c r="CX54" i="2"/>
  <c r="CY53" i="2"/>
  <c r="CZ52" i="2"/>
  <c r="CO51" i="2"/>
  <c r="BZ50" i="2"/>
  <c r="BK49" i="2"/>
  <c r="AV48" i="2"/>
  <c r="AK47" i="2"/>
  <c r="AL46" i="2"/>
  <c r="AM45" i="2"/>
  <c r="AN44" i="2"/>
  <c r="AC43" i="2"/>
  <c r="N42" i="2"/>
  <c r="DH40" i="2"/>
  <c r="CW39" i="2"/>
  <c r="CX38" i="2"/>
  <c r="CY37" i="2"/>
  <c r="CZ36" i="2"/>
  <c r="CO35" i="2"/>
  <c r="BZ34" i="2"/>
  <c r="BK33" i="2"/>
  <c r="AV32" i="2"/>
  <c r="AK31" i="2"/>
  <c r="AL30" i="2"/>
  <c r="AM29" i="2"/>
  <c r="AN28" i="2"/>
  <c r="AC27" i="2"/>
  <c r="N26" i="2"/>
  <c r="DH24" i="2"/>
  <c r="CW23" i="2"/>
  <c r="CX22" i="2"/>
  <c r="CY21" i="2"/>
  <c r="CZ20" i="2"/>
  <c r="CO19" i="2"/>
  <c r="BZ18" i="2"/>
  <c r="BK17" i="2"/>
  <c r="AV16" i="2"/>
  <c r="AK15" i="2"/>
  <c r="AL14" i="2"/>
  <c r="AM13" i="2"/>
  <c r="AN12" i="2"/>
  <c r="AC11" i="2"/>
  <c r="N10" i="2"/>
  <c r="DL8" i="2"/>
  <c r="AZ8" i="2"/>
  <c r="DI7" i="2"/>
  <c r="CC51" i="2"/>
  <c r="BU7" i="2"/>
  <c r="I7" i="2"/>
  <c r="BJ6" i="2"/>
  <c r="DJ5" i="2"/>
  <c r="AX5" i="2"/>
  <c r="CV4" i="2"/>
  <c r="AJ4" i="2"/>
  <c r="BF96" i="2"/>
  <c r="AI91" i="2"/>
  <c r="AQ89" i="2"/>
  <c r="AB88" i="2"/>
  <c r="Q87" i="2"/>
  <c r="DK85" i="2"/>
  <c r="CV84" i="2"/>
  <c r="DA83" i="2"/>
  <c r="CL82" i="2"/>
  <c r="AQ81" i="2"/>
  <c r="CS79" i="2"/>
  <c r="AH78" i="2"/>
  <c r="CV76" i="2"/>
  <c r="BE75" i="2"/>
  <c r="DC73" i="2"/>
  <c r="BH72" i="2"/>
  <c r="DJ70" i="2"/>
  <c r="AY69" i="2"/>
  <c r="D68" i="2"/>
  <c r="BV66" i="2"/>
  <c r="K65" i="2"/>
  <c r="CC63" i="2"/>
  <c r="R62" i="2"/>
  <c r="BP60" i="2"/>
  <c r="AO59" i="2"/>
  <c r="AA57" i="2"/>
  <c r="AH54" i="2"/>
  <c r="AO51" i="2"/>
  <c r="AR48" i="2"/>
  <c r="AY45" i="2"/>
  <c r="BF42" i="2"/>
  <c r="BM39" i="2"/>
  <c r="BP36" i="2"/>
  <c r="BW33" i="2"/>
  <c r="CD30" i="2"/>
  <c r="DA27" i="2"/>
  <c r="CN24" i="2"/>
  <c r="CU21" i="2"/>
  <c r="I19" i="2"/>
  <c r="DI15" i="2"/>
  <c r="DL12" i="2"/>
  <c r="Z10" i="2"/>
  <c r="AV7" i="2"/>
  <c r="AE5" i="2"/>
  <c r="BI4" i="2"/>
  <c r="BP5" i="2"/>
  <c r="CA6" i="2"/>
  <c r="CL7" i="2"/>
  <c r="CW8" i="2"/>
  <c r="DD9" i="2"/>
  <c r="DO10" i="2"/>
  <c r="M12" i="2"/>
  <c r="T13" i="2"/>
  <c r="AE14" i="2"/>
  <c r="AP15" i="2"/>
  <c r="BA16" i="2"/>
  <c r="BH17" i="2"/>
  <c r="BS18" i="2"/>
  <c r="CD19" i="2"/>
  <c r="CO20" i="2"/>
  <c r="CV21" i="2"/>
  <c r="DG22" i="2"/>
  <c r="E24" i="2"/>
  <c r="L25" i="2"/>
  <c r="W26" i="2"/>
  <c r="AH27" i="2"/>
  <c r="AS28" i="2"/>
  <c r="AZ29" i="2"/>
  <c r="BK30" i="2"/>
  <c r="BV31" i="2"/>
  <c r="CG32" i="2"/>
  <c r="CN33" i="2"/>
  <c r="CY34" i="2"/>
  <c r="DJ35" i="2"/>
  <c r="D37" i="2"/>
  <c r="O38" i="2"/>
  <c r="Z39" i="2"/>
  <c r="AK40" i="2"/>
  <c r="AR41" i="2"/>
  <c r="BC42" i="2"/>
  <c r="BN43" i="2"/>
  <c r="BY44" i="2"/>
  <c r="CF45" i="2"/>
  <c r="CQ46" i="2"/>
  <c r="DB47" i="2"/>
  <c r="DM48" i="2"/>
  <c r="G50" i="2"/>
  <c r="R51" i="2"/>
  <c r="AC52" i="2"/>
  <c r="AJ53" i="2"/>
  <c r="AU54" i="2"/>
  <c r="BF55" i="2"/>
  <c r="BQ56" i="2"/>
  <c r="BX57" i="2"/>
  <c r="CI58" i="2"/>
  <c r="CT59" i="2"/>
  <c r="DE60" i="2"/>
  <c r="DL61" i="2"/>
  <c r="J63" i="2"/>
  <c r="U64" i="2"/>
  <c r="AB65" i="2"/>
  <c r="AM66" i="2"/>
  <c r="AX67" i="2"/>
  <c r="BI68" i="2"/>
  <c r="BP69" i="2"/>
  <c r="CA70" i="2"/>
  <c r="CL71" i="2"/>
  <c r="CW72" i="2"/>
  <c r="DD73" i="2"/>
  <c r="DO74" i="2"/>
  <c r="M76" i="2"/>
  <c r="T77" i="2"/>
  <c r="AE78" i="2"/>
  <c r="AP79" i="2"/>
  <c r="BA80" i="2"/>
  <c r="BH81" i="2"/>
  <c r="BS82" i="2"/>
  <c r="CD83" i="2"/>
  <c r="CO84" i="2"/>
  <c r="CV85" i="2"/>
  <c r="DG86" i="2"/>
  <c r="E88" i="2"/>
  <c r="L89" i="2"/>
  <c r="W90" i="2"/>
  <c r="DM93" i="2"/>
  <c r="BD98" i="2"/>
  <c r="I5" i="2"/>
  <c r="P6" i="2"/>
  <c r="AA7" i="2"/>
  <c r="AL8" i="2"/>
  <c r="AW9" i="2"/>
  <c r="BD10" i="2"/>
  <c r="BO11" i="2"/>
  <c r="BZ12" i="2"/>
  <c r="CK13" i="2"/>
  <c r="CR14" i="2"/>
  <c r="DC15" i="2"/>
  <c r="DN16" i="2"/>
  <c r="H18" i="2"/>
  <c r="S19" i="2"/>
  <c r="AD20" i="2"/>
  <c r="AO21" i="2"/>
  <c r="AV22" i="2"/>
  <c r="BG23" i="2"/>
  <c r="CD24" i="2"/>
  <c r="P26" i="2"/>
  <c r="BS27" i="2"/>
  <c r="E29" i="2"/>
  <c r="BD30" i="2"/>
  <c r="DG31" i="2"/>
  <c r="AS33" i="2"/>
  <c r="CR34" i="2"/>
  <c r="AH36" i="2"/>
  <c r="H38" i="2"/>
  <c r="AD40" i="2"/>
  <c r="AV42" i="2"/>
  <c r="BR44" i="2"/>
  <c r="CJ46" i="2"/>
  <c r="DF48" i="2"/>
  <c r="K51" i="2"/>
  <c r="AG53" i="2"/>
  <c r="AY55" i="2"/>
  <c r="BU57" i="2"/>
  <c r="CM59" i="2"/>
  <c r="DI61" i="2"/>
  <c r="N64" i="2"/>
  <c r="AF66" i="2"/>
  <c r="BB68" i="2"/>
  <c r="BT70" i="2"/>
  <c r="CP72" i="2"/>
  <c r="G75" i="2"/>
  <c r="DI77" i="2"/>
  <c r="CX80" i="2"/>
  <c r="CI83" i="2"/>
  <c r="BT86" i="2"/>
  <c r="BM89" i="2"/>
  <c r="J9" i="2"/>
  <c r="DH11" i="2"/>
  <c r="DA14" i="2"/>
  <c r="CL17" i="2"/>
  <c r="BW20" i="2"/>
  <c r="BL23" i="2"/>
  <c r="BU26" i="2"/>
  <c r="DI30" i="2"/>
  <c r="AF35" i="2"/>
  <c r="BT39" i="2"/>
  <c r="DH43" i="2"/>
  <c r="BV49" i="2"/>
  <c r="AR55" i="2"/>
  <c r="V61" i="2"/>
  <c r="DM66" i="2"/>
  <c r="CI72" i="2"/>
  <c r="AZ79" i="2"/>
  <c r="O88" i="2"/>
  <c r="CB118" i="2"/>
  <c r="Q134" i="2"/>
  <c r="BO15" i="3"/>
  <c r="BO16" i="6"/>
  <c r="CY15" i="3"/>
  <c r="CY16" i="6"/>
  <c r="G15" i="3"/>
  <c r="G16" i="6"/>
  <c r="J15" i="3"/>
  <c r="J16" i="6"/>
  <c r="BC15" i="3"/>
  <c r="BC16" i="6"/>
  <c r="AT15" i="3"/>
  <c r="AT16" i="6" s="1"/>
  <c r="AU15" i="3"/>
  <c r="AU16" i="6"/>
  <c r="AP15" i="3"/>
  <c r="AP16" i="6"/>
  <c r="AY15" i="3"/>
  <c r="AY16" i="6"/>
  <c r="CX15" i="3"/>
  <c r="CX16" i="6" s="1"/>
  <c r="AL15" i="3"/>
  <c r="AL16" i="6"/>
  <c r="BG15" i="3"/>
  <c r="BG16" i="6" s="1"/>
  <c r="DN15" i="3"/>
  <c r="DN16" i="6"/>
  <c r="BB15" i="3"/>
  <c r="BB16" i="6" s="1"/>
  <c r="BE15" i="3"/>
  <c r="BE16" i="6"/>
  <c r="DA15" i="3"/>
  <c r="DA16" i="6"/>
  <c r="AG15" i="3"/>
  <c r="AG16" i="6"/>
  <c r="AW15" i="3"/>
  <c r="AW16" i="6" s="1"/>
  <c r="DH15" i="3"/>
  <c r="DH16" i="6"/>
  <c r="DD15" i="3"/>
  <c r="DD16" i="6" s="1"/>
  <c r="BQ15" i="3"/>
  <c r="BQ16" i="6"/>
  <c r="L15" i="3"/>
  <c r="L16" i="6" s="1"/>
  <c r="BL15" i="3"/>
  <c r="BL16" i="6"/>
  <c r="BY15" i="3"/>
  <c r="BY16" i="6"/>
  <c r="CZ15" i="3"/>
  <c r="CZ16" i="6"/>
  <c r="AC15" i="3"/>
  <c r="AC16" i="6" s="1"/>
  <c r="CV15" i="3"/>
  <c r="CV16" i="6"/>
  <c r="E15" i="3"/>
  <c r="E16" i="6"/>
  <c r="CO15" i="3"/>
  <c r="CO16" i="6"/>
  <c r="CA45" i="2"/>
  <c r="CG43" i="2"/>
  <c r="BY55" i="2"/>
  <c r="BC81" i="2"/>
  <c r="DO17" i="2"/>
  <c r="AT38" i="2"/>
  <c r="W17" i="2"/>
  <c r="AN48" i="2"/>
  <c r="BJ78" i="2"/>
  <c r="N14" i="2"/>
  <c r="BT32" i="2"/>
  <c r="CO31" i="2"/>
  <c r="X4" i="2"/>
  <c r="AC79" i="2"/>
  <c r="AS15" i="2"/>
  <c r="BR34" i="2"/>
  <c r="O21" i="2"/>
  <c r="AN32" i="2"/>
  <c r="DH68" i="2"/>
  <c r="DH52" i="2"/>
  <c r="DH36" i="2"/>
  <c r="CJ4" i="2"/>
  <c r="CX10" i="2"/>
  <c r="BT24" i="2"/>
  <c r="DP4" i="2"/>
  <c r="P20" i="2"/>
  <c r="CG51" i="2"/>
  <c r="AK67" i="2"/>
  <c r="U51" i="2"/>
  <c r="U35" i="2"/>
  <c r="AN88" i="2"/>
  <c r="CH5" i="2"/>
  <c r="CI17" i="2"/>
  <c r="BC9" i="2"/>
  <c r="G25" i="2"/>
  <c r="CR8" i="2"/>
  <c r="BZ11" i="3"/>
  <c r="BZ12" i="6"/>
  <c r="BG95" i="2"/>
  <c r="AK90" i="2"/>
  <c r="S89" i="2"/>
  <c r="D88" i="2"/>
  <c r="I87" i="2"/>
  <c r="DC85" i="2"/>
  <c r="CN84" i="2"/>
  <c r="AW83" i="2"/>
  <c r="AH82" i="2"/>
  <c r="S81" i="2"/>
  <c r="D80" i="2"/>
  <c r="I79" i="2"/>
  <c r="DC77" i="2"/>
  <c r="CN76" i="2"/>
  <c r="AW75" i="2"/>
  <c r="AH74" i="2"/>
  <c r="S73" i="2"/>
  <c r="D72" i="2"/>
  <c r="I71" i="2"/>
  <c r="DC69" i="2"/>
  <c r="CN68" i="2"/>
  <c r="AW67" i="2"/>
  <c r="AH66" i="2"/>
  <c r="S65" i="2"/>
  <c r="D64" i="2"/>
  <c r="I63" i="2"/>
  <c r="DC61" i="2"/>
  <c r="CN60" i="2"/>
  <c r="AW59" i="2"/>
  <c r="AH58" i="2"/>
  <c r="S57" i="2"/>
  <c r="D56" i="2"/>
  <c r="I55" i="2"/>
  <c r="DC53" i="2"/>
  <c r="CN52" i="2"/>
  <c r="AW51" i="2"/>
  <c r="AH50" i="2"/>
  <c r="S49" i="2"/>
  <c r="D48" i="2"/>
  <c r="I47" i="2"/>
  <c r="DC45" i="2"/>
  <c r="CN44" i="2"/>
  <c r="AW43" i="2"/>
  <c r="AH42" i="2"/>
  <c r="S41" i="2"/>
  <c r="D40" i="2"/>
  <c r="I39" i="2"/>
  <c r="DC37" i="2"/>
  <c r="CN36" i="2"/>
  <c r="AW35" i="2"/>
  <c r="AH34" i="2"/>
  <c r="S33" i="2"/>
  <c r="D32" i="2"/>
  <c r="I31" i="2"/>
  <c r="DC29" i="2"/>
  <c r="CN28" i="2"/>
  <c r="AW27" i="2"/>
  <c r="AH26" i="2"/>
  <c r="S25" i="2"/>
  <c r="D24" i="2"/>
  <c r="I23" i="2"/>
  <c r="DC21" i="2"/>
  <c r="CN20" i="2"/>
  <c r="AW19" i="2"/>
  <c r="AH18" i="2"/>
  <c r="S17" i="2"/>
  <c r="D16" i="2"/>
  <c r="I15" i="2"/>
  <c r="DC13" i="2"/>
  <c r="CN12" i="2"/>
  <c r="AW11" i="2"/>
  <c r="AH10" i="2"/>
  <c r="S9" i="2"/>
  <c r="BK8" i="2"/>
  <c r="DL7" i="2"/>
  <c r="AZ7" i="2"/>
  <c r="DI6" i="2"/>
  <c r="CS35" i="2"/>
  <c r="BE6" i="2"/>
  <c r="DC5" i="2"/>
  <c r="AQ5" i="2"/>
  <c r="CQ4" i="2"/>
  <c r="AE4" i="2"/>
  <c r="J96" i="2"/>
  <c r="R92" i="2"/>
  <c r="CA89" i="2"/>
  <c r="BL88" i="2"/>
  <c r="BA87" i="2"/>
  <c r="BB86" i="2"/>
  <c r="BC85" i="2"/>
  <c r="BD84" i="2"/>
  <c r="AS83" i="2"/>
  <c r="AD82" i="2"/>
  <c r="O81" i="2"/>
  <c r="DM79" i="2"/>
  <c r="DN78" i="2"/>
  <c r="DO77" i="2"/>
  <c r="DP76" i="2"/>
  <c r="DE75" i="2"/>
  <c r="CP74" i="2"/>
  <c r="CA73" i="2"/>
  <c r="BL72" i="2"/>
  <c r="BA71" i="2"/>
  <c r="BB70" i="2"/>
  <c r="BC69" i="2"/>
  <c r="BD68" i="2"/>
  <c r="AS67" i="2"/>
  <c r="AD66" i="2"/>
  <c r="O65" i="2"/>
  <c r="DM63" i="2"/>
  <c r="DN62" i="2"/>
  <c r="DO61" i="2"/>
  <c r="DP60" i="2"/>
  <c r="DE59" i="2"/>
  <c r="CP58" i="2"/>
  <c r="CA57" i="2"/>
  <c r="BL56" i="2"/>
  <c r="BA55" i="2"/>
  <c r="BB54" i="2"/>
  <c r="BC53" i="2"/>
  <c r="BD52" i="2"/>
  <c r="AS51" i="2"/>
  <c r="AD50" i="2"/>
  <c r="O49" i="2"/>
  <c r="DM47" i="2"/>
  <c r="DN46" i="2"/>
  <c r="DO45" i="2"/>
  <c r="DP44" i="2"/>
  <c r="DE43" i="2"/>
  <c r="CP42" i="2"/>
  <c r="CA41" i="2"/>
  <c r="BL40" i="2"/>
  <c r="BA39" i="2"/>
  <c r="BB38" i="2"/>
  <c r="BC37" i="2"/>
  <c r="BD36" i="2"/>
  <c r="AS35" i="2"/>
  <c r="AD34" i="2"/>
  <c r="O33" i="2"/>
  <c r="DM31" i="2"/>
  <c r="DN30" i="2"/>
  <c r="DO29" i="2"/>
  <c r="DP28" i="2"/>
  <c r="DE27" i="2"/>
  <c r="CP26" i="2"/>
  <c r="CA25" i="2"/>
  <c r="BL24" i="2"/>
  <c r="BA23" i="2"/>
  <c r="BB22" i="2"/>
  <c r="BC21" i="2"/>
  <c r="BD20" i="2"/>
  <c r="AS19" i="2"/>
  <c r="AD18" i="2"/>
  <c r="O17" i="2"/>
  <c r="DM15" i="2"/>
  <c r="DN14" i="2"/>
  <c r="DO13" i="2"/>
  <c r="DP12" i="2"/>
  <c r="DE11" i="2"/>
  <c r="CP10" i="2"/>
  <c r="CA9" i="2"/>
  <c r="CN8" i="2"/>
  <c r="AB8" i="2"/>
  <c r="CK7" i="2"/>
  <c r="CC27" i="2"/>
  <c r="AW7" i="2"/>
  <c r="CX6" i="2"/>
  <c r="AL6" i="2"/>
  <c r="CL5" i="2"/>
  <c r="Z5" i="2"/>
  <c r="BX4" i="2"/>
  <c r="L4" i="2"/>
  <c r="BH94" i="2"/>
  <c r="J90" i="2"/>
  <c r="DD88" i="2"/>
  <c r="CS87" i="2"/>
  <c r="CD86" i="2"/>
  <c r="BO85" i="2"/>
  <c r="AZ84" i="2"/>
  <c r="BE83" i="2"/>
  <c r="Z82" i="2"/>
  <c r="CN80" i="2"/>
  <c r="AG79" i="2"/>
  <c r="CE77" i="2"/>
  <c r="AJ76" i="2"/>
  <c r="DB74" i="2"/>
  <c r="AQ73" i="2"/>
  <c r="DI71" i="2"/>
  <c r="AX70" i="2"/>
  <c r="CV68" i="2"/>
  <c r="BU67" i="2"/>
  <c r="J66" i="2"/>
  <c r="BH64" i="2"/>
  <c r="Q63" i="2"/>
  <c r="BO61" i="2"/>
  <c r="D60" i="2"/>
  <c r="CL58" i="2"/>
  <c r="BH56" i="2"/>
  <c r="AY53" i="2"/>
  <c r="BV50" i="2"/>
  <c r="CC47" i="2"/>
  <c r="BP44" i="2"/>
  <c r="CM41" i="2"/>
  <c r="CT38" i="2"/>
  <c r="DA35" i="2"/>
  <c r="DD32" i="2"/>
  <c r="DK29" i="2"/>
  <c r="I27" i="2"/>
  <c r="L24" i="2"/>
  <c r="S21" i="2"/>
  <c r="Z18" i="2"/>
  <c r="AG15" i="2"/>
  <c r="AJ12" i="2"/>
  <c r="K9" i="2"/>
  <c r="CW6" i="2"/>
  <c r="CE4" i="2"/>
  <c r="CO4" i="2"/>
  <c r="CV5" i="2"/>
  <c r="DG6" i="2"/>
  <c r="E8" i="2"/>
  <c r="L9" i="2"/>
  <c r="W10" i="2"/>
  <c r="AH11" i="2"/>
  <c r="AS12" i="2"/>
  <c r="AZ13" i="2"/>
  <c r="BK14" i="2"/>
  <c r="BV15" i="2"/>
  <c r="CG16" i="2"/>
  <c r="CN17" i="2"/>
  <c r="CY18" i="2"/>
  <c r="DJ19" i="2"/>
  <c r="D21" i="2"/>
  <c r="O22" i="2"/>
  <c r="Z23" i="2"/>
  <c r="AK24" i="2"/>
  <c r="AR25" i="2"/>
  <c r="BC26" i="2"/>
  <c r="BN27" i="2"/>
  <c r="BY28" i="2"/>
  <c r="CF29" i="2"/>
  <c r="CQ30" i="2"/>
  <c r="DB31" i="2"/>
  <c r="DM32" i="2"/>
  <c r="G34" i="2"/>
  <c r="R35" i="2"/>
  <c r="AC36" i="2"/>
  <c r="AJ37" i="2"/>
  <c r="AU38" i="2"/>
  <c r="BF39" i="2"/>
  <c r="BQ40" i="2"/>
  <c r="BX41" i="2"/>
  <c r="CI42" i="2"/>
  <c r="CT43" i="2"/>
  <c r="DE44" i="2"/>
  <c r="DL45" i="2"/>
  <c r="J47" i="2"/>
  <c r="U48" i="2"/>
  <c r="AB49" i="2"/>
  <c r="AM50" i="2"/>
  <c r="AX51" i="2"/>
  <c r="BI52" i="2"/>
  <c r="BP53" i="2"/>
  <c r="CA54" i="2"/>
  <c r="CL55" i="2"/>
  <c r="CW56" i="2"/>
  <c r="DD57" i="2"/>
  <c r="DO58" i="2"/>
  <c r="M60" i="2"/>
  <c r="T61" i="2"/>
  <c r="AE62" i="2"/>
  <c r="AP63" i="2"/>
  <c r="BA64" i="2"/>
  <c r="BH65" i="2"/>
  <c r="BS66" i="2"/>
  <c r="CD67" i="2"/>
  <c r="CO68" i="2"/>
  <c r="CV69" i="2"/>
  <c r="DG70" i="2"/>
  <c r="E72" i="2"/>
  <c r="L73" i="2"/>
  <c r="W74" i="2"/>
  <c r="AH75" i="2"/>
  <c r="AS76" i="2"/>
  <c r="AZ77" i="2"/>
  <c r="BK78" i="2"/>
  <c r="BV79" i="2"/>
  <c r="CG80" i="2"/>
  <c r="CN81" i="2"/>
  <c r="CY82" i="2"/>
  <c r="DJ83" i="2"/>
  <c r="D85" i="2"/>
  <c r="O86" i="2"/>
  <c r="Z87" i="2"/>
  <c r="AK88" i="2"/>
  <c r="AR89" i="2"/>
  <c r="DP90" i="2"/>
  <c r="O95" i="2"/>
  <c r="AD4" i="2"/>
  <c r="AO5" i="2"/>
  <c r="AV6" i="2"/>
  <c r="BG7" i="2"/>
  <c r="BR8" i="2"/>
  <c r="CC9" i="2"/>
  <c r="CJ10" i="2"/>
  <c r="CU11" i="2"/>
  <c r="DF12" i="2"/>
  <c r="DQ13" i="2"/>
  <c r="K15" i="2"/>
  <c r="V16" i="2"/>
  <c r="AG17" i="2"/>
  <c r="AN18" i="2"/>
  <c r="AY19" i="2"/>
  <c r="BJ20" i="2"/>
  <c r="BU21" i="2"/>
  <c r="CB22" i="2"/>
  <c r="CM23" i="2"/>
  <c r="I25" i="2"/>
  <c r="BH26" i="2"/>
  <c r="DG27" i="2"/>
  <c r="AW29" i="2"/>
  <c r="CV30" i="2"/>
  <c r="AH32" i="2"/>
  <c r="CK33" i="2"/>
  <c r="W35" i="2"/>
  <c r="BV36" i="2"/>
  <c r="BT38" i="2"/>
  <c r="CP40" i="2"/>
  <c r="DH42" i="2"/>
  <c r="Q45" i="2"/>
  <c r="AI47" i="2"/>
  <c r="BE49" i="2"/>
  <c r="BW51" i="2"/>
  <c r="CS53" i="2"/>
  <c r="DK55" i="2"/>
  <c r="P58" i="2"/>
  <c r="AL60" i="2"/>
  <c r="BD62" i="2"/>
  <c r="BZ64" i="2"/>
  <c r="CR66" i="2"/>
  <c r="DN68" i="2"/>
  <c r="S71" i="2"/>
  <c r="AO73" i="2"/>
  <c r="CM75" i="2"/>
  <c r="CB78" i="2"/>
  <c r="BQ81" i="2"/>
  <c r="BB84" i="2"/>
  <c r="AQ87" i="2"/>
  <c r="AB90" i="2"/>
  <c r="CP9" i="2"/>
  <c r="CE12" i="2"/>
  <c r="BP15" i="2"/>
  <c r="BE18" i="2"/>
  <c r="AT21" i="2"/>
  <c r="AE24" i="2"/>
  <c r="CB27" i="2"/>
  <c r="DP31" i="2"/>
  <c r="AQ36" i="2"/>
  <c r="CE40" i="2"/>
  <c r="AH45" i="2"/>
  <c r="D51" i="2"/>
  <c r="CU56" i="2"/>
  <c r="BY62" i="2"/>
  <c r="AU68" i="2"/>
  <c r="Y74" i="2"/>
  <c r="BV81" i="2"/>
  <c r="AV90" i="2"/>
  <c r="CE127" i="2"/>
  <c r="AN31" i="3"/>
  <c r="AN32" i="6" s="1"/>
  <c r="CX99" i="3"/>
  <c r="CX100" i="6"/>
  <c r="V39" i="3"/>
  <c r="V40" i="6" s="1"/>
  <c r="AQ31" i="3"/>
  <c r="AQ32" i="6"/>
  <c r="BU23" i="3"/>
  <c r="BU24" i="6" s="1"/>
  <c r="T27" i="3"/>
  <c r="T28" i="6"/>
  <c r="DP27" i="3"/>
  <c r="DP28" i="6" s="1"/>
  <c r="CH31" i="3"/>
  <c r="CH32" i="6"/>
  <c r="BG99" i="3"/>
  <c r="BG100" i="6" s="1"/>
  <c r="DH31" i="3"/>
  <c r="DH32" i="6" s="1"/>
  <c r="BN99" i="3"/>
  <c r="BN100" i="6" s="1"/>
  <c r="DO27" i="3"/>
  <c r="DO28" i="6" s="1"/>
  <c r="CR23" i="3"/>
  <c r="CR24" i="6" s="1"/>
  <c r="CW23" i="3"/>
  <c r="CW24" i="6" s="1"/>
  <c r="H99" i="3"/>
  <c r="H100" i="6" s="1"/>
  <c r="AL99" i="3"/>
  <c r="AL100" i="6"/>
  <c r="Q31" i="3"/>
  <c r="Q32" i="6" s="1"/>
  <c r="AF27" i="3"/>
  <c r="AF28" i="6"/>
  <c r="CV31" i="3"/>
  <c r="CV32" i="6" s="1"/>
  <c r="AP27" i="3"/>
  <c r="AP28" i="6"/>
  <c r="DD31" i="3"/>
  <c r="DD32" i="6" s="1"/>
  <c r="CE31" i="3"/>
  <c r="CE32" i="6"/>
  <c r="E23" i="3"/>
  <c r="E24" i="6" s="1"/>
  <c r="CB23" i="3"/>
  <c r="CB24" i="6"/>
  <c r="L23" i="3"/>
  <c r="L24" i="6"/>
  <c r="DD23" i="3"/>
  <c r="DD24" i="6"/>
  <c r="AQ23" i="3"/>
  <c r="AQ24" i="6" s="1"/>
  <c r="DE23" i="3"/>
  <c r="DE24" i="6" s="1"/>
  <c r="DL23" i="3"/>
  <c r="DL24" i="6"/>
  <c r="H23" i="3"/>
  <c r="H24" i="6"/>
  <c r="AR23" i="3"/>
  <c r="AR24" i="6" s="1"/>
  <c r="AD23" i="3"/>
  <c r="AD24" i="6"/>
  <c r="CP23" i="3"/>
  <c r="CP24" i="6"/>
  <c r="F23" i="3"/>
  <c r="F24" i="6"/>
  <c r="CL23" i="3"/>
  <c r="CL24" i="6" s="1"/>
  <c r="AM23" i="3"/>
  <c r="AM24" i="6"/>
  <c r="CY23" i="3"/>
  <c r="CY24" i="6"/>
  <c r="CH23" i="3"/>
  <c r="CH24" i="6"/>
  <c r="BO23" i="3"/>
  <c r="BO24" i="6" s="1"/>
  <c r="AL23" i="3"/>
  <c r="AL24" i="6" s="1"/>
  <c r="AE23" i="3"/>
  <c r="AE24" i="6"/>
  <c r="DK23" i="3"/>
  <c r="DK24" i="6"/>
  <c r="BQ23" i="3"/>
  <c r="BQ24" i="6" s="1"/>
  <c r="T23" i="3"/>
  <c r="T24" i="6"/>
  <c r="DQ23" i="3"/>
  <c r="DQ24" i="6"/>
  <c r="CG23" i="3"/>
  <c r="CG24" i="6"/>
  <c r="AT23" i="3"/>
  <c r="AT24" i="6" s="1"/>
  <c r="DF23" i="3"/>
  <c r="DF24" i="6" s="1"/>
  <c r="Z23" i="3"/>
  <c r="Z24" i="6"/>
  <c r="DJ23" i="3"/>
  <c r="DJ24" i="6"/>
  <c r="BC23" i="3"/>
  <c r="BC24" i="6" s="1"/>
  <c r="DO23" i="3"/>
  <c r="DO24" i="6" s="1"/>
  <c r="DN23" i="3"/>
  <c r="DN24" i="6"/>
  <c r="CM23" i="3"/>
  <c r="CM24" i="6"/>
  <c r="BN23" i="3"/>
  <c r="BN24" i="6" s="1"/>
  <c r="AY23" i="3"/>
  <c r="AY24" i="6"/>
  <c r="R23" i="3"/>
  <c r="R24" i="6"/>
  <c r="O23" i="3"/>
  <c r="O24" i="6"/>
  <c r="CU23" i="3"/>
  <c r="CU24" i="6" s="1"/>
  <c r="BL23" i="3"/>
  <c r="BL24" i="6" s="1"/>
  <c r="U23" i="3"/>
  <c r="U24" i="6"/>
  <c r="DC23" i="3"/>
  <c r="DC24" i="6"/>
  <c r="D23" i="3"/>
  <c r="D24" i="6" s="1"/>
  <c r="CV23" i="3"/>
  <c r="CV24" i="6"/>
  <c r="CI23" i="3"/>
  <c r="CI24" i="6"/>
  <c r="BY23" i="3"/>
  <c r="BY24" i="6"/>
  <c r="N23" i="3"/>
  <c r="N24" i="6" s="1"/>
  <c r="AJ23" i="3"/>
  <c r="AJ24" i="6"/>
  <c r="W23" i="3"/>
  <c r="W24" i="6"/>
  <c r="BF23" i="3"/>
  <c r="BF24" i="6"/>
  <c r="J23" i="3"/>
  <c r="J24" i="6" s="1"/>
  <c r="CQ23" i="3"/>
  <c r="CQ24" i="6" s="1"/>
  <c r="AI23" i="3"/>
  <c r="AI24" i="6"/>
  <c r="CE23" i="3"/>
  <c r="CE24" i="6"/>
  <c r="DP23" i="3"/>
  <c r="DP24" i="6" s="1"/>
  <c r="Y23" i="3"/>
  <c r="Y24" i="6"/>
  <c r="AZ23" i="3"/>
  <c r="AZ24" i="6"/>
  <c r="BM23" i="3"/>
  <c r="BM24" i="6"/>
  <c r="I23" i="3"/>
  <c r="I24" i="6" s="1"/>
  <c r="BD23" i="3"/>
  <c r="BD24" i="6" s="1"/>
  <c r="BA23" i="3"/>
  <c r="BA24" i="6"/>
  <c r="BK23" i="3"/>
  <c r="BK24" i="6"/>
  <c r="BI23" i="3"/>
  <c r="BI24" i="6" s="1"/>
  <c r="Q23" i="3"/>
  <c r="Q24" i="6"/>
  <c r="BJ23" i="3"/>
  <c r="BJ24" i="6"/>
  <c r="AX23" i="3"/>
  <c r="AX24" i="6"/>
  <c r="BS23" i="3"/>
  <c r="BS24" i="6" s="1"/>
  <c r="AA23" i="3"/>
  <c r="AA24" i="6"/>
  <c r="CT23" i="3"/>
  <c r="CT24" i="6"/>
  <c r="AP23" i="3"/>
  <c r="AP24" i="6"/>
  <c r="BG23" i="3"/>
  <c r="BG24" i="6" s="1"/>
  <c r="AO23" i="3"/>
  <c r="AO24" i="6" s="1"/>
  <c r="BE23" i="3"/>
  <c r="BE24" i="6"/>
  <c r="DB23" i="3"/>
  <c r="DB24" i="6"/>
  <c r="AF23" i="3"/>
  <c r="AF24" i="6" s="1"/>
  <c r="DH23" i="3"/>
  <c r="DH24" i="6"/>
  <c r="X23" i="3"/>
  <c r="X24" i="6"/>
  <c r="AS23" i="3"/>
  <c r="AS24" i="6"/>
  <c r="BB23" i="3"/>
  <c r="BB24" i="6" s="1"/>
  <c r="AV23" i="3"/>
  <c r="AV24" i="6"/>
  <c r="AK23" i="3"/>
  <c r="AK24" i="6"/>
  <c r="BZ23" i="3"/>
  <c r="BZ24" i="6"/>
  <c r="BR23" i="3"/>
  <c r="BR24" i="6" s="1"/>
  <c r="K23" i="3"/>
  <c r="K24" i="6" s="1"/>
  <c r="BV23" i="3"/>
  <c r="BV24" i="6"/>
  <c r="CA23" i="3"/>
  <c r="CA24" i="6"/>
  <c r="CO23" i="3"/>
  <c r="CO24" i="6" s="1"/>
  <c r="CC23" i="3"/>
  <c r="CC24" i="6"/>
  <c r="AG23" i="3"/>
  <c r="AG24" i="6"/>
  <c r="CZ23" i="3"/>
  <c r="CZ24" i="6"/>
  <c r="AU23" i="3"/>
  <c r="AU24" i="6" s="1"/>
  <c r="CS23" i="3"/>
  <c r="CS24" i="6" s="1"/>
  <c r="S23" i="3"/>
  <c r="S24" i="6"/>
  <c r="CS27" i="3"/>
  <c r="CS28" i="6"/>
  <c r="L27" i="3"/>
  <c r="L28" i="6" s="1"/>
  <c r="CO27" i="3"/>
  <c r="CO28" i="6"/>
  <c r="CG27" i="3"/>
  <c r="CG28" i="6"/>
  <c r="CK27" i="3"/>
  <c r="CK28" i="6"/>
  <c r="AY27" i="3"/>
  <c r="AY28" i="6" s="1"/>
  <c r="BR27" i="3"/>
  <c r="BR28" i="6"/>
  <c r="BB27" i="3"/>
  <c r="BB28" i="6"/>
  <c r="CL27" i="3"/>
  <c r="CL28" i="6"/>
  <c r="DH27" i="3"/>
  <c r="DH28" i="6" s="1"/>
  <c r="CV27" i="3"/>
  <c r="CV28" i="6" s="1"/>
  <c r="DI27" i="3"/>
  <c r="DI28" i="6"/>
  <c r="DK27" i="3"/>
  <c r="DK28" i="6"/>
  <c r="BC27" i="3"/>
  <c r="BC28" i="6" s="1"/>
  <c r="AT27" i="3"/>
  <c r="AT28" i="6"/>
  <c r="CI27" i="3"/>
  <c r="CI28" i="6"/>
  <c r="AV27" i="3"/>
  <c r="AV28" i="6"/>
  <c r="C28" i="6"/>
  <c r="AS27" i="3"/>
  <c r="AS28" i="6"/>
  <c r="R27" i="3"/>
  <c r="R28" i="6" s="1"/>
  <c r="BK27" i="3"/>
  <c r="BK28" i="6" s="1"/>
  <c r="BH27" i="3"/>
  <c r="BH28" i="6" s="1"/>
  <c r="CE27" i="3"/>
  <c r="CE28" i="6"/>
  <c r="V27" i="3"/>
  <c r="V28" i="6" s="1"/>
  <c r="BQ27" i="3"/>
  <c r="BQ28" i="6" s="1"/>
  <c r="J27" i="3"/>
  <c r="J28" i="6" s="1"/>
  <c r="BD27" i="3"/>
  <c r="BD28" i="6"/>
  <c r="CY27" i="3"/>
  <c r="CY28" i="6" s="1"/>
  <c r="BF27" i="3"/>
  <c r="BF28" i="6" s="1"/>
  <c r="BJ27" i="3"/>
  <c r="BJ28" i="6"/>
  <c r="BW27" i="3"/>
  <c r="BW28" i="6"/>
  <c r="CF27" i="3"/>
  <c r="CF28" i="6" s="1"/>
  <c r="DD27" i="3"/>
  <c r="DD28" i="6" s="1"/>
  <c r="AC27" i="3"/>
  <c r="AC28" i="6"/>
  <c r="D27" i="3"/>
  <c r="D28" i="6"/>
  <c r="H27" i="3"/>
  <c r="H28" i="6" s="1"/>
  <c r="AG27" i="3"/>
  <c r="AG28" i="6" s="1"/>
  <c r="CH27" i="3"/>
  <c r="CH28" i="6" s="1"/>
  <c r="DB27" i="3"/>
  <c r="DB28" i="6"/>
  <c r="BO27" i="3"/>
  <c r="BO28" i="6" s="1"/>
  <c r="AR27" i="3"/>
  <c r="AR28" i="6" s="1"/>
  <c r="P27" i="3"/>
  <c r="P28" i="6" s="1"/>
  <c r="O27" i="3"/>
  <c r="O28" i="6"/>
  <c r="CT27" i="3"/>
  <c r="CT28" i="6" s="1"/>
  <c r="AL27" i="3"/>
  <c r="AL28" i="6" s="1"/>
  <c r="AA27" i="3"/>
  <c r="AA28" i="6"/>
  <c r="DA27" i="3"/>
  <c r="DA28" i="6"/>
  <c r="BY27" i="3"/>
  <c r="BY28" i="6" s="1"/>
  <c r="CR27" i="3"/>
  <c r="CR28" i="6" s="1"/>
  <c r="S27" i="3"/>
  <c r="S28" i="6"/>
  <c r="Z27" i="3"/>
  <c r="Z28" i="6"/>
  <c r="G27" i="3"/>
  <c r="G28" i="6" s="1"/>
  <c r="DJ27" i="3"/>
  <c r="DJ28" i="6" s="1"/>
  <c r="AQ27" i="3"/>
  <c r="AQ28" i="6" s="1"/>
  <c r="AW27" i="3"/>
  <c r="AW28" i="6"/>
  <c r="U27" i="3"/>
  <c r="U28" i="6" s="1"/>
  <c r="DL27" i="3"/>
  <c r="DL28" i="6" s="1"/>
  <c r="DM27" i="3"/>
  <c r="DM28" i="6" s="1"/>
  <c r="BS27" i="3"/>
  <c r="BS28" i="6"/>
  <c r="CU27" i="3"/>
  <c r="CU28" i="6" s="1"/>
  <c r="Q27" i="3"/>
  <c r="Q28" i="6" s="1"/>
  <c r="CQ27" i="3"/>
  <c r="CQ28" i="6"/>
  <c r="CX27" i="3"/>
  <c r="CX28" i="6"/>
  <c r="CN27" i="3"/>
  <c r="CN28" i="6" s="1"/>
  <c r="AJ27" i="3"/>
  <c r="AJ28" i="6" s="1"/>
  <c r="M27" i="3"/>
  <c r="M28" i="6"/>
  <c r="BN27" i="3"/>
  <c r="BN28" i="6"/>
  <c r="CP27" i="3"/>
  <c r="CP28" i="6" s="1"/>
  <c r="CJ27" i="3"/>
  <c r="CJ28" i="6" s="1"/>
  <c r="BI27" i="3"/>
  <c r="BI28" i="6"/>
  <c r="DE27" i="3"/>
  <c r="DE28" i="6"/>
  <c r="AK27" i="3"/>
  <c r="AK28" i="6" s="1"/>
  <c r="Y27" i="3"/>
  <c r="Y28" i="6" s="1"/>
  <c r="BA27" i="3"/>
  <c r="BA28" i="6" s="1"/>
  <c r="BV27" i="3"/>
  <c r="BV28" i="6"/>
  <c r="I39" i="3"/>
  <c r="I40" i="6" s="1"/>
  <c r="DK39" i="3"/>
  <c r="DK40" i="6" s="1"/>
  <c r="AA39" i="3"/>
  <c r="AA40" i="6"/>
  <c r="N39" i="3"/>
  <c r="N40" i="6"/>
  <c r="BU39" i="3"/>
  <c r="BU40" i="6" s="1"/>
  <c r="DD39" i="3"/>
  <c r="DD40" i="6" s="1"/>
  <c r="CZ43" i="3"/>
  <c r="CZ44" i="6"/>
  <c r="L43" i="3"/>
  <c r="L44" i="6"/>
  <c r="BB43" i="3"/>
  <c r="BB44" i="6" s="1"/>
  <c r="AK43" i="3"/>
  <c r="AK44" i="6" s="1"/>
  <c r="AS43" i="3"/>
  <c r="AS44" i="6"/>
  <c r="BC43" i="3"/>
  <c r="BC44" i="6"/>
  <c r="AP79" i="3"/>
  <c r="AP80" i="6" s="1"/>
  <c r="C80" i="6"/>
  <c r="CL79" i="3"/>
  <c r="CL80" i="6"/>
  <c r="AI79" i="3"/>
  <c r="AI80" i="6" s="1"/>
  <c r="CQ79" i="3"/>
  <c r="CQ80" i="6" s="1"/>
  <c r="BB79" i="3"/>
  <c r="BB80" i="6"/>
  <c r="AZ79" i="3"/>
  <c r="AZ80" i="6"/>
  <c r="DL79" i="3"/>
  <c r="DL80" i="6" s="1"/>
  <c r="DQ79" i="3"/>
  <c r="DQ80" i="6"/>
  <c r="AT79" i="3"/>
  <c r="AT80" i="6"/>
  <c r="E79" i="3"/>
  <c r="E80" i="6"/>
  <c r="Z79" i="3"/>
  <c r="Z80" i="6" s="1"/>
  <c r="CS79" i="3"/>
  <c r="CS80" i="6"/>
  <c r="DN79" i="3"/>
  <c r="DN80" i="6"/>
  <c r="J79" i="3"/>
  <c r="J80" i="6"/>
  <c r="BF79" i="3"/>
  <c r="BF80" i="6" s="1"/>
  <c r="R79" i="3"/>
  <c r="R80" i="6" s="1"/>
  <c r="DJ79" i="3"/>
  <c r="DJ80" i="6"/>
  <c r="AU79" i="3"/>
  <c r="AU80" i="6"/>
  <c r="DC79" i="3"/>
  <c r="DC80" i="6" s="1"/>
  <c r="AN79" i="3"/>
  <c r="AN80" i="6"/>
  <c r="CZ79" i="3"/>
  <c r="CZ80" i="6"/>
  <c r="AM79" i="3"/>
  <c r="AM80" i="6"/>
  <c r="CU79" i="3"/>
  <c r="CU80" i="6" s="1"/>
  <c r="BS79" i="3"/>
  <c r="BS80" i="6"/>
  <c r="BH79" i="3"/>
  <c r="BH80" i="6"/>
  <c r="AY79" i="3"/>
  <c r="AY80" i="6"/>
  <c r="AR79" i="3"/>
  <c r="AR80" i="6" s="1"/>
  <c r="AA79" i="3"/>
  <c r="AA80" i="6" s="1"/>
  <c r="AV79" i="3"/>
  <c r="AV80" i="6"/>
  <c r="BM79" i="3"/>
  <c r="BM80" i="6"/>
  <c r="CD79" i="3"/>
  <c r="CD80" i="6" s="1"/>
  <c r="CO79" i="3"/>
  <c r="CO80" i="6"/>
  <c r="V79" i="3"/>
  <c r="V80" i="6"/>
  <c r="AD79" i="3"/>
  <c r="AD80" i="6" s="1"/>
  <c r="BX79" i="3"/>
  <c r="BX80" i="6" s="1"/>
  <c r="DI79" i="3"/>
  <c r="DI80" i="6" s="1"/>
  <c r="BE79" i="3"/>
  <c r="BE80" i="6"/>
  <c r="AS79" i="3"/>
  <c r="AS80" i="6"/>
  <c r="CH79" i="3"/>
  <c r="CH80" i="6" s="1"/>
  <c r="F79" i="3"/>
  <c r="F80" i="6" s="1"/>
  <c r="AF79" i="3"/>
  <c r="AF80" i="6"/>
  <c r="BZ79" i="3"/>
  <c r="BZ80" i="6"/>
  <c r="BN79" i="3"/>
  <c r="BN80" i="6" s="1"/>
  <c r="AH79" i="3"/>
  <c r="AH80" i="6"/>
  <c r="DE79" i="3"/>
  <c r="DE80" i="6"/>
  <c r="AL79" i="3"/>
  <c r="AL80" i="6" s="1"/>
  <c r="AC79" i="3"/>
  <c r="AC80" i="6" s="1"/>
  <c r="M79" i="3"/>
  <c r="M80" i="6" s="1"/>
  <c r="BV79" i="3"/>
  <c r="BV80" i="6"/>
  <c r="O79" i="3"/>
  <c r="O80" i="6"/>
  <c r="CM79" i="3"/>
  <c r="CM80" i="6" s="1"/>
  <c r="BD79" i="3"/>
  <c r="BD80" i="6"/>
  <c r="G79" i="3"/>
  <c r="G80" i="6"/>
  <c r="CE79" i="3"/>
  <c r="CE80" i="6" s="1"/>
  <c r="CY79" i="3"/>
  <c r="CY80" i="6" s="1"/>
  <c r="CV79" i="3"/>
  <c r="CV80" i="6"/>
  <c r="T79" i="3"/>
  <c r="T80" i="6"/>
  <c r="DO79" i="3"/>
  <c r="DO80" i="6" s="1"/>
  <c r="CN79" i="3"/>
  <c r="CN80" i="6" s="1"/>
  <c r="U79" i="3"/>
  <c r="U80" i="6" s="1"/>
  <c r="CR79" i="3"/>
  <c r="CR80" i="6"/>
  <c r="BK79" i="3"/>
  <c r="BK80" i="6"/>
  <c r="BY79" i="3"/>
  <c r="BY80" i="6" s="1"/>
  <c r="BQ79" i="3"/>
  <c r="BQ80" i="6"/>
  <c r="AK79" i="3"/>
  <c r="AK80" i="6"/>
  <c r="CI79" i="3"/>
  <c r="CI80" i="6" s="1"/>
  <c r="BA79" i="3"/>
  <c r="BA80" i="6" s="1"/>
  <c r="Y79" i="3"/>
  <c r="Y80" i="6" s="1"/>
  <c r="BJ79" i="3"/>
  <c r="BJ80" i="6"/>
  <c r="CW79" i="3"/>
  <c r="CW80" i="6"/>
  <c r="AE79" i="3"/>
  <c r="AE80" i="6" s="1"/>
  <c r="H79" i="3"/>
  <c r="H80" i="6"/>
  <c r="BT79" i="3"/>
  <c r="BT80" i="6"/>
  <c r="W79" i="3"/>
  <c r="W80" i="6"/>
  <c r="DK79" i="3"/>
  <c r="DK80" i="6" s="1"/>
  <c r="P79" i="3"/>
  <c r="P80" i="6"/>
  <c r="S79" i="3"/>
  <c r="S80" i="6"/>
  <c r="BL79" i="3"/>
  <c r="BL80" i="6" s="1"/>
  <c r="D79" i="3"/>
  <c r="D80" i="6" s="1"/>
  <c r="DH79" i="3"/>
  <c r="DH80" i="6" s="1"/>
  <c r="AO79" i="3"/>
  <c r="AO80" i="6"/>
  <c r="L79" i="3"/>
  <c r="L80" i="6"/>
  <c r="DA79" i="3"/>
  <c r="DA80" i="6" s="1"/>
  <c r="Q79" i="3"/>
  <c r="Q80" i="6"/>
  <c r="CX79" i="3"/>
  <c r="CX80" i="6"/>
  <c r="I79" i="3"/>
  <c r="I80" i="6" s="1"/>
  <c r="X79" i="3"/>
  <c r="X80" i="6" s="1"/>
  <c r="BO79" i="3"/>
  <c r="BO80" i="6"/>
  <c r="CB79" i="3"/>
  <c r="CB80" i="6"/>
  <c r="DD79" i="3"/>
  <c r="DD80" i="6" s="1"/>
  <c r="CG79" i="3"/>
  <c r="CG80" i="6" s="1"/>
  <c r="AX79" i="3"/>
  <c r="AX80" i="6" s="1"/>
  <c r="CP79" i="3"/>
  <c r="CP80" i="6"/>
  <c r="BU79" i="3"/>
  <c r="BU80" i="6"/>
  <c r="CK79" i="3"/>
  <c r="CK80" i="6" s="1"/>
  <c r="BG79" i="3"/>
  <c r="BG80" i="6"/>
  <c r="CJ79" i="3"/>
  <c r="CJ80" i="6"/>
  <c r="K79" i="3"/>
  <c r="K80" i="6" s="1"/>
  <c r="CA79" i="3"/>
  <c r="CA80" i="6" s="1"/>
  <c r="AB79" i="3"/>
  <c r="AB80" i="6" s="1"/>
  <c r="BR79" i="3"/>
  <c r="BR80" i="6"/>
  <c r="AW79" i="3"/>
  <c r="AW80" i="6"/>
  <c r="DM79" i="3"/>
  <c r="DM80" i="6" s="1"/>
  <c r="CT79" i="3"/>
  <c r="CT80" i="6"/>
  <c r="BW79" i="3"/>
  <c r="BW80" i="6"/>
  <c r="DP79" i="3"/>
  <c r="DP80" i="6"/>
  <c r="AQ79" i="3"/>
  <c r="AQ80" i="6" s="1"/>
  <c r="DG79" i="3"/>
  <c r="DG80" i="6"/>
  <c r="BP79" i="3"/>
  <c r="BP80" i="6"/>
  <c r="DB79" i="3"/>
  <c r="DB80" i="6" s="1"/>
  <c r="BR83" i="3"/>
  <c r="BR84" i="6" s="1"/>
  <c r="AA83" i="3"/>
  <c r="AA84" i="6" s="1"/>
  <c r="AN83" i="3"/>
  <c r="AN84" i="6"/>
  <c r="DE83" i="3"/>
  <c r="DE84" i="6"/>
  <c r="DJ83" i="3"/>
  <c r="DJ84" i="6" s="1"/>
  <c r="DP83" i="3"/>
  <c r="DP84" i="6"/>
  <c r="CW128" i="3"/>
  <c r="CW129" i="6"/>
  <c r="CK128" i="3"/>
  <c r="CK129" i="6" s="1"/>
  <c r="AC23" i="3"/>
  <c r="AC24" i="6" s="1"/>
  <c r="DO35" i="3"/>
  <c r="DO36" i="6"/>
  <c r="CL99" i="3"/>
  <c r="CL100" i="6"/>
  <c r="BW43" i="3"/>
  <c r="BW44" i="6"/>
  <c r="Y43" i="3"/>
  <c r="Y44" i="6" s="1"/>
  <c r="M23" i="3"/>
  <c r="M24" i="6" s="1"/>
  <c r="DA31" i="3"/>
  <c r="DA32" i="6"/>
  <c r="BU27" i="3"/>
  <c r="BU28" i="6"/>
  <c r="AB27" i="3"/>
  <c r="AB28" i="6" s="1"/>
  <c r="AD27" i="3"/>
  <c r="AD28" i="6"/>
  <c r="BP27" i="3"/>
  <c r="BP28" i="6"/>
  <c r="N27" i="3"/>
  <c r="N28" i="6" s="1"/>
  <c r="CF23" i="3"/>
  <c r="CF24" i="6" s="1"/>
  <c r="DL31" i="3"/>
  <c r="DL32" i="6" s="1"/>
  <c r="AZ27" i="3"/>
  <c r="AZ28" i="6"/>
  <c r="DN27" i="3"/>
  <c r="DN28" i="6"/>
  <c r="CK23" i="3"/>
  <c r="CK24" i="6" s="1"/>
  <c r="BD31" i="3"/>
  <c r="BD32" i="6" s="1"/>
  <c r="CN23" i="3"/>
  <c r="CN24" i="6"/>
  <c r="CC27" i="3"/>
  <c r="CC28" i="6"/>
  <c r="X27" i="3"/>
  <c r="X28" i="6" s="1"/>
  <c r="W27" i="3"/>
  <c r="W28" i="6"/>
  <c r="AI31" i="3"/>
  <c r="AI32" i="6"/>
  <c r="AU31" i="3"/>
  <c r="AU32" i="6" s="1"/>
  <c r="F31" i="3"/>
  <c r="F32" i="6" s="1"/>
  <c r="P23" i="3"/>
  <c r="P24" i="6" s="1"/>
  <c r="BW23" i="3"/>
  <c r="BW24" i="6"/>
  <c r="BT23" i="3"/>
  <c r="BT24" i="6"/>
  <c r="O99" i="3"/>
  <c r="O100" i="6" s="1"/>
  <c r="Q99" i="3"/>
  <c r="Q100" i="6"/>
  <c r="AJ79" i="3"/>
  <c r="AJ80" i="6"/>
  <c r="AG79" i="3"/>
  <c r="AG80" i="6" s="1"/>
  <c r="CI31" i="3"/>
  <c r="CI32" i="6" s="1"/>
  <c r="N79" i="3"/>
  <c r="N80" i="6"/>
  <c r="BZ27" i="3"/>
  <c r="BZ28" i="6"/>
  <c r="CM75" i="3"/>
  <c r="CM76" i="6"/>
  <c r="CX75" i="3"/>
  <c r="CX76" i="6" s="1"/>
  <c r="O75" i="3"/>
  <c r="O76" i="6" s="1"/>
  <c r="C32" i="6"/>
  <c r="CZ31" i="3"/>
  <c r="CZ32" i="6" s="1"/>
  <c r="BE31" i="3"/>
  <c r="BE32" i="6"/>
  <c r="BU99" i="3"/>
  <c r="BU100" i="6"/>
  <c r="Z99" i="3"/>
  <c r="Z100" i="6"/>
  <c r="T43" i="3"/>
  <c r="T44" i="6" s="1"/>
  <c r="BD39" i="3"/>
  <c r="BD40" i="6" s="1"/>
  <c r="DA23" i="3"/>
  <c r="DA24" i="6"/>
  <c r="AB35" i="3"/>
  <c r="AB36" i="6"/>
  <c r="BL35" i="3"/>
  <c r="BL36" i="6" s="1"/>
  <c r="CV35" i="3"/>
  <c r="CV36" i="6" s="1"/>
  <c r="CG31" i="3"/>
  <c r="CG32" i="6"/>
  <c r="DA99" i="3"/>
  <c r="DA100" i="6"/>
  <c r="J99" i="3"/>
  <c r="J100" i="6" s="1"/>
  <c r="BZ99" i="3"/>
  <c r="BZ100" i="6" s="1"/>
  <c r="U39" i="3"/>
  <c r="U40" i="6"/>
  <c r="AZ43" i="3"/>
  <c r="AZ44" i="6"/>
  <c r="AI43" i="3"/>
  <c r="AI44" i="6" s="1"/>
  <c r="DM39" i="3"/>
  <c r="DM40" i="6"/>
  <c r="AB23" i="3"/>
  <c r="AB24" i="6"/>
  <c r="BX27" i="3"/>
  <c r="BX28" i="6"/>
  <c r="BG27" i="3"/>
  <c r="BG28" i="6" s="1"/>
  <c r="CA27" i="3"/>
  <c r="CA28" i="6"/>
  <c r="CW27" i="3"/>
  <c r="CW28" i="6"/>
  <c r="E27" i="3"/>
  <c r="E28" i="6"/>
  <c r="AU27" i="3"/>
  <c r="AU28" i="6" s="1"/>
  <c r="BX23" i="3"/>
  <c r="BX24" i="6"/>
  <c r="CC31" i="3"/>
  <c r="CC32" i="6"/>
  <c r="BH23" i="3"/>
  <c r="BH24" i="6"/>
  <c r="AN27" i="3"/>
  <c r="AN28" i="6" s="1"/>
  <c r="DM23" i="3"/>
  <c r="DM24" i="6"/>
  <c r="BL31" i="3"/>
  <c r="BL32" i="6"/>
  <c r="DQ27" i="3"/>
  <c r="DQ28" i="6"/>
  <c r="K27" i="3"/>
  <c r="K28" i="6" s="1"/>
  <c r="AH27" i="3"/>
  <c r="AH28" i="6"/>
  <c r="I31" i="3"/>
  <c r="I32" i="6"/>
  <c r="AT31" i="3"/>
  <c r="AT32" i="6"/>
  <c r="BP23" i="3"/>
  <c r="BP24" i="6" s="1"/>
  <c r="DI23" i="3"/>
  <c r="DI24" i="6" s="1"/>
  <c r="DG23" i="3"/>
  <c r="DG24" i="6"/>
  <c r="AW23" i="3"/>
  <c r="AW24" i="6"/>
  <c r="BS99" i="3"/>
  <c r="BS100" i="6" s="1"/>
  <c r="O83" i="3"/>
  <c r="O84" i="6" s="1"/>
  <c r="BC79" i="3"/>
  <c r="BC80" i="6"/>
  <c r="DP75" i="3"/>
  <c r="DP76" i="6"/>
  <c r="CC79" i="3"/>
  <c r="CC80" i="6" s="1"/>
  <c r="I27" i="3"/>
  <c r="I28" i="6"/>
  <c r="AI6" i="3"/>
  <c r="AI7" i="6"/>
  <c r="CO31" i="3"/>
  <c r="CO32" i="6"/>
  <c r="DE31" i="3"/>
  <c r="DE32" i="6" s="1"/>
  <c r="Y31" i="3"/>
  <c r="Y32" i="6"/>
  <c r="BA31" i="3"/>
  <c r="BA32" i="6"/>
  <c r="CJ31" i="3"/>
  <c r="CJ32" i="6"/>
  <c r="BM31" i="3"/>
  <c r="BM32" i="6" s="1"/>
  <c r="AK31" i="3"/>
  <c r="AK32" i="6"/>
  <c r="CK31" i="3"/>
  <c r="CK32" i="6"/>
  <c r="BB31" i="3"/>
  <c r="BB32" i="6"/>
  <c r="DN31" i="3"/>
  <c r="DN32" i="6" s="1"/>
  <c r="BC31" i="3"/>
  <c r="BC32" i="6"/>
  <c r="N31" i="3"/>
  <c r="N32" i="6"/>
  <c r="CT31" i="3"/>
  <c r="CT32" i="6"/>
  <c r="CM31" i="3"/>
  <c r="CM32" i="6" s="1"/>
  <c r="BJ31" i="3"/>
  <c r="BJ32" i="6"/>
  <c r="AE31" i="3"/>
  <c r="AE32" i="6"/>
  <c r="DK31" i="3"/>
  <c r="DK32" i="6"/>
  <c r="CL31" i="3"/>
  <c r="CL32" i="6" s="1"/>
  <c r="BG31" i="3"/>
  <c r="BG32" i="6"/>
  <c r="CP31" i="3"/>
  <c r="CP32" i="6"/>
  <c r="AZ31" i="3"/>
  <c r="AZ32" i="6"/>
  <c r="DJ31" i="3"/>
  <c r="DJ32" i="6" s="1"/>
  <c r="AW31" i="3"/>
  <c r="AW32" i="6" s="1"/>
  <c r="AC31" i="3"/>
  <c r="AC32" i="6"/>
  <c r="CB31" i="3"/>
  <c r="CB32" i="6"/>
  <c r="V31" i="3"/>
  <c r="V32" i="6" s="1"/>
  <c r="CX31" i="3"/>
  <c r="CX32" i="6" s="1"/>
  <c r="BS31" i="3"/>
  <c r="BS32" i="6"/>
  <c r="BF31" i="3"/>
  <c r="BF32" i="6"/>
  <c r="BO31" i="3"/>
  <c r="BO32" i="6" s="1"/>
  <c r="CD31" i="3"/>
  <c r="CD32" i="6"/>
  <c r="BW31" i="3"/>
  <c r="BW32" i="6"/>
  <c r="BN31" i="3"/>
  <c r="BN32" i="6"/>
  <c r="CA31" i="3"/>
  <c r="CA32" i="6" s="1"/>
  <c r="AO31" i="3"/>
  <c r="AO32" i="6"/>
  <c r="AD31" i="3"/>
  <c r="AD32" i="6"/>
  <c r="CN31" i="3"/>
  <c r="CN32" i="6"/>
  <c r="CS31" i="3"/>
  <c r="CS32" i="6" s="1"/>
  <c r="BU31" i="3"/>
  <c r="BU32" i="6"/>
  <c r="BI31" i="3"/>
  <c r="BI32" i="6"/>
  <c r="X31" i="3"/>
  <c r="X32" i="6"/>
  <c r="BV31" i="3"/>
  <c r="BV32" i="6" s="1"/>
  <c r="DP31" i="3"/>
  <c r="DP32" i="6"/>
  <c r="U31" i="3"/>
  <c r="U32" i="6"/>
  <c r="DM31" i="3"/>
  <c r="DM32" i="6"/>
  <c r="AG31" i="3"/>
  <c r="AG32" i="6" s="1"/>
  <c r="DQ31" i="3"/>
  <c r="DQ32" i="6"/>
  <c r="H31" i="3"/>
  <c r="H32" i="6"/>
  <c r="M31" i="3"/>
  <c r="M32" i="6"/>
  <c r="AL31" i="3"/>
  <c r="AL32" i="6" s="1"/>
  <c r="G31" i="3"/>
  <c r="G32" i="6" s="1"/>
  <c r="CY31" i="3"/>
  <c r="CY32" i="6"/>
  <c r="BZ31" i="3"/>
  <c r="BZ32" i="6"/>
  <c r="DG31" i="3"/>
  <c r="DG32" i="6" s="1"/>
  <c r="DB31" i="3"/>
  <c r="DB32" i="6" s="1"/>
  <c r="CQ31" i="3"/>
  <c r="CQ32" i="6"/>
  <c r="DF31" i="3"/>
  <c r="DF32" i="6"/>
  <c r="CU31" i="3"/>
  <c r="CU32" i="6" s="1"/>
  <c r="BH31" i="3"/>
  <c r="BH32" i="6" s="1"/>
  <c r="S31" i="3"/>
  <c r="S32" i="6"/>
  <c r="CW31" i="3"/>
  <c r="CW32" i="6"/>
  <c r="BP31" i="3"/>
  <c r="BP32" i="6" s="1"/>
  <c r="CF31" i="3"/>
  <c r="CF32" i="6" s="1"/>
  <c r="AF31" i="3"/>
  <c r="AF32" i="6"/>
  <c r="T31" i="3"/>
  <c r="T32" i="6"/>
  <c r="L31" i="3"/>
  <c r="L32" i="6" s="1"/>
  <c r="D31" i="3"/>
  <c r="D32" i="6"/>
  <c r="AX31" i="3"/>
  <c r="AX32" i="6"/>
  <c r="AR31" i="3"/>
  <c r="AR32" i="6"/>
  <c r="AV31" i="3"/>
  <c r="AV32" i="6" s="1"/>
  <c r="AS31" i="3"/>
  <c r="AS32" i="6"/>
  <c r="BT31" i="3"/>
  <c r="BT32" i="6"/>
  <c r="P31" i="3"/>
  <c r="P32" i="6"/>
  <c r="W31" i="3"/>
  <c r="W32" i="6" s="1"/>
  <c r="DO31" i="3"/>
  <c r="DO32" i="6"/>
  <c r="R31" i="3"/>
  <c r="R32" i="6"/>
  <c r="K31" i="3"/>
  <c r="K32" i="6"/>
  <c r="Z31" i="3"/>
  <c r="Z32" i="6" s="1"/>
  <c r="J31" i="3"/>
  <c r="J32" i="6"/>
  <c r="DI31" i="3"/>
  <c r="DI32" i="6"/>
  <c r="AJ31" i="3"/>
  <c r="AJ32" i="6"/>
  <c r="BR31" i="3"/>
  <c r="BR32" i="6" s="1"/>
  <c r="AA31" i="3"/>
  <c r="AA32" i="6" s="1"/>
  <c r="O31" i="3"/>
  <c r="O32" i="6"/>
  <c r="DC31" i="3"/>
  <c r="DC32" i="6"/>
  <c r="CH35" i="3"/>
  <c r="CH36" i="6" s="1"/>
  <c r="CA35" i="3"/>
  <c r="CA36" i="6" s="1"/>
  <c r="AU35" i="3"/>
  <c r="AU36" i="6"/>
  <c r="DG35" i="3"/>
  <c r="DG36" i="6"/>
  <c r="CB35" i="3"/>
  <c r="CB36" i="6" s="1"/>
  <c r="AZ51" i="3"/>
  <c r="AZ52" i="6" s="1"/>
  <c r="DI51" i="3"/>
  <c r="DI52" i="6"/>
  <c r="AE51" i="3"/>
  <c r="AE52" i="6"/>
  <c r="CR51" i="3"/>
  <c r="CR52" i="6" s="1"/>
  <c r="CL55" i="3"/>
  <c r="CL56" i="6"/>
  <c r="CH55" i="3"/>
  <c r="CH56" i="6"/>
  <c r="CO55" i="3"/>
  <c r="CO56" i="6"/>
  <c r="CF55" i="3"/>
  <c r="CF56" i="6" s="1"/>
  <c r="L55" i="3"/>
  <c r="L56" i="6"/>
  <c r="W99" i="3"/>
  <c r="W100" i="6"/>
  <c r="DD99" i="3"/>
  <c r="DD100" i="6"/>
  <c r="DG99" i="3"/>
  <c r="DG100" i="6" s="1"/>
  <c r="T99" i="3"/>
  <c r="T100" i="6"/>
  <c r="BL99" i="3"/>
  <c r="BL100" i="6"/>
  <c r="BA99" i="3"/>
  <c r="BA100" i="6"/>
  <c r="C100" i="6"/>
  <c r="BO99" i="3"/>
  <c r="BO100" i="6"/>
  <c r="CF99" i="3"/>
  <c r="CF100" i="6" s="1"/>
  <c r="AU99" i="3"/>
  <c r="AU100" i="6"/>
  <c r="BI99" i="3"/>
  <c r="BI100" i="6"/>
  <c r="CH99" i="3"/>
  <c r="CH100" i="6" s="1"/>
  <c r="DQ99" i="3"/>
  <c r="DQ100" i="6" s="1"/>
  <c r="BY99" i="3"/>
  <c r="BY100" i="6" s="1"/>
  <c r="CT99" i="3"/>
  <c r="CT100" i="6" s="1"/>
  <c r="BB99" i="3"/>
  <c r="BB100" i="6"/>
  <c r="AS99" i="3"/>
  <c r="AS100" i="6" s="1"/>
  <c r="K99" i="3"/>
  <c r="K100" i="6"/>
  <c r="BW99" i="3"/>
  <c r="BW100" i="6"/>
  <c r="AN99" i="3"/>
  <c r="AN100" i="6"/>
  <c r="G99" i="3"/>
  <c r="G100" i="6" s="1"/>
  <c r="CQ99" i="3"/>
  <c r="CQ100" i="6"/>
  <c r="BP99" i="3"/>
  <c r="BP100" i="6" s="1"/>
  <c r="AI99" i="3"/>
  <c r="AI100" i="6" s="1"/>
  <c r="DO99" i="3"/>
  <c r="DO100" i="6" s="1"/>
  <c r="BX99" i="3"/>
  <c r="BX100" i="6" s="1"/>
  <c r="AM99" i="3"/>
  <c r="AM100" i="6"/>
  <c r="P99" i="3"/>
  <c r="P100" i="6"/>
  <c r="CV99" i="3"/>
  <c r="CV100" i="6" s="1"/>
  <c r="AR99" i="3"/>
  <c r="AR100" i="6"/>
  <c r="AD99" i="3"/>
  <c r="AD100" i="6"/>
  <c r="CK99" i="3"/>
  <c r="CK100" i="6" s="1"/>
  <c r="V99" i="3"/>
  <c r="V100" i="6" s="1"/>
  <c r="CC99" i="3"/>
  <c r="CC100" i="6"/>
  <c r="M99" i="3"/>
  <c r="M100" i="6" s="1"/>
  <c r="AC99" i="3"/>
  <c r="AC100" i="6"/>
  <c r="CG99" i="3"/>
  <c r="CG100" i="6" s="1"/>
  <c r="CW99" i="3"/>
  <c r="CW100" i="6" s="1"/>
  <c r="AA99" i="3"/>
  <c r="AA100" i="6"/>
  <c r="CM99" i="3"/>
  <c r="CM100" i="6"/>
  <c r="BD99" i="3"/>
  <c r="BD100" i="6" s="1"/>
  <c r="CZ99" i="3"/>
  <c r="CZ100" i="6"/>
  <c r="AE99" i="3"/>
  <c r="AE100" i="6"/>
  <c r="DK99" i="3"/>
  <c r="DK100" i="6" s="1"/>
  <c r="CN99" i="3"/>
  <c r="CN100" i="6" s="1"/>
  <c r="BC99" i="3"/>
  <c r="BC100" i="6" s="1"/>
  <c r="L99" i="3"/>
  <c r="L100" i="6" s="1"/>
  <c r="CR99" i="3"/>
  <c r="CR100" i="6"/>
  <c r="BK99" i="3"/>
  <c r="BK100" i="6" s="1"/>
  <c r="AJ99" i="3"/>
  <c r="AJ100" i="6" s="1"/>
  <c r="AW99" i="3"/>
  <c r="AW100" i="6"/>
  <c r="AG99" i="3"/>
  <c r="AG100" i="6"/>
  <c r="DI99" i="3"/>
  <c r="DI100" i="6" s="1"/>
  <c r="E99" i="3"/>
  <c r="E100" i="6" s="1"/>
  <c r="DC99" i="3"/>
  <c r="DC100" i="6"/>
  <c r="DP99" i="3"/>
  <c r="DP100" i="6"/>
  <c r="AB99" i="3"/>
  <c r="AB100" i="6" s="1"/>
  <c r="CA99" i="3"/>
  <c r="CA100" i="6"/>
  <c r="DL99" i="3"/>
  <c r="DL100" i="6"/>
  <c r="BH99" i="3"/>
  <c r="BH100" i="6"/>
  <c r="BV99" i="3"/>
  <c r="BV100" i="6" s="1"/>
  <c r="BQ99" i="3"/>
  <c r="BQ100" i="6"/>
  <c r="CP99" i="3"/>
  <c r="CP100" i="6"/>
  <c r="AK99" i="3"/>
  <c r="AK100" i="6"/>
  <c r="BJ99" i="3"/>
  <c r="BJ100" i="6" s="1"/>
  <c r="AO99" i="3"/>
  <c r="AO100" i="6"/>
  <c r="N99" i="3"/>
  <c r="N100" i="6"/>
  <c r="CI99" i="3"/>
  <c r="CI100" i="6"/>
  <c r="I99" i="3"/>
  <c r="I100" i="6" s="1"/>
  <c r="D99" i="3"/>
  <c r="D100" i="6"/>
  <c r="Y99" i="3"/>
  <c r="Y100" i="6"/>
  <c r="BM99" i="3"/>
  <c r="BM100" i="6"/>
  <c r="X99" i="3"/>
  <c r="X100" i="6" s="1"/>
  <c r="DN99" i="3"/>
  <c r="DN100" i="6"/>
  <c r="AV99" i="3"/>
  <c r="AV100" i="6"/>
  <c r="CU99" i="3"/>
  <c r="CU100" i="6"/>
  <c r="S99" i="3"/>
  <c r="S100" i="6" s="1"/>
  <c r="CB99" i="3"/>
  <c r="CB100" i="6"/>
  <c r="F99" i="3"/>
  <c r="F100" i="6"/>
  <c r="R99" i="3"/>
  <c r="R100" i="6"/>
  <c r="AT99" i="3"/>
  <c r="AT100" i="6" s="1"/>
  <c r="DF99" i="3"/>
  <c r="DF100" i="6" s="1"/>
  <c r="CD99" i="3"/>
  <c r="CD100" i="6"/>
  <c r="DE99" i="3"/>
  <c r="DE100" i="6"/>
  <c r="BR99" i="3"/>
  <c r="BR100" i="6" s="1"/>
  <c r="CS99" i="3"/>
  <c r="CS100" i="6" s="1"/>
  <c r="DH99" i="3"/>
  <c r="DH100" i="6"/>
  <c r="CE99" i="3"/>
  <c r="CE100" i="6"/>
  <c r="DB99" i="3"/>
  <c r="DB100" i="6" s="1"/>
  <c r="AP99" i="3"/>
  <c r="AP100" i="6" s="1"/>
  <c r="BF99" i="3"/>
  <c r="BF100" i="6"/>
  <c r="AQ99" i="3"/>
  <c r="AQ100" i="6"/>
  <c r="BT99" i="3"/>
  <c r="BT100" i="6" s="1"/>
  <c r="AY99" i="3"/>
  <c r="AY100" i="6" s="1"/>
  <c r="AF99" i="3"/>
  <c r="AF100" i="6"/>
  <c r="CE35" i="3"/>
  <c r="CE36" i="6"/>
  <c r="AS35" i="3"/>
  <c r="AS36" i="6" s="1"/>
  <c r="DF35" i="3"/>
  <c r="DF36" i="6"/>
  <c r="BX31" i="3"/>
  <c r="BX32" i="6"/>
  <c r="CR31" i="3"/>
  <c r="CR32" i="6"/>
  <c r="AH99" i="3"/>
  <c r="AH100" i="6" s="1"/>
  <c r="DM99" i="3"/>
  <c r="DM100" i="6"/>
  <c r="U99" i="3"/>
  <c r="U100" i="6"/>
  <c r="AX99" i="3"/>
  <c r="AX100" i="6"/>
  <c r="AM39" i="3"/>
  <c r="AM40" i="6" s="1"/>
  <c r="DB39" i="3"/>
  <c r="DB40" i="6"/>
  <c r="C40" i="6"/>
  <c r="CU43" i="3"/>
  <c r="CU44" i="6" s="1"/>
  <c r="V23" i="3"/>
  <c r="V24" i="6" s="1"/>
  <c r="AB31" i="3"/>
  <c r="AB32" i="6"/>
  <c r="BT27" i="3"/>
  <c r="BT28" i="6" s="1"/>
  <c r="CM27" i="3"/>
  <c r="CM28" i="6" s="1"/>
  <c r="AM27" i="3"/>
  <c r="AM28" i="6"/>
  <c r="BE27" i="3"/>
  <c r="BE28" i="6"/>
  <c r="AX27" i="3"/>
  <c r="AX28" i="6" s="1"/>
  <c r="E31" i="3"/>
  <c r="E32" i="6" s="1"/>
  <c r="AI27" i="3"/>
  <c r="AI28" i="6"/>
  <c r="BQ31" i="3"/>
  <c r="BQ32" i="6"/>
  <c r="BM27" i="3"/>
  <c r="BM28" i="6" s="1"/>
  <c r="AO27" i="3"/>
  <c r="AO28" i="6" s="1"/>
  <c r="DC27" i="3"/>
  <c r="DC28" i="6" s="1"/>
  <c r="DG27" i="3"/>
  <c r="DG28" i="6"/>
  <c r="CX55" i="3"/>
  <c r="CX56" i="6" s="1"/>
  <c r="BY31" i="3"/>
  <c r="BY32" i="6" s="1"/>
  <c r="AY31" i="3"/>
  <c r="AY32" i="6" s="1"/>
  <c r="AM31" i="3"/>
  <c r="AM32" i="6"/>
  <c r="CJ23" i="3"/>
  <c r="CJ24" i="6" s="1"/>
  <c r="CD23" i="3"/>
  <c r="CD24" i="6" s="1"/>
  <c r="AH23" i="3"/>
  <c r="AH24" i="6"/>
  <c r="AN23" i="3"/>
  <c r="AN24" i="6"/>
  <c r="CY99" i="3"/>
  <c r="CY100" i="6" s="1"/>
  <c r="CJ99" i="3"/>
  <c r="CJ100" i="6" s="1"/>
  <c r="DJ99" i="3"/>
  <c r="DJ100" i="6"/>
  <c r="DF79" i="3"/>
  <c r="DF80" i="6"/>
  <c r="AG35" i="3"/>
  <c r="AG36" i="6" s="1"/>
  <c r="DL35" i="3"/>
  <c r="DL36" i="6" s="1"/>
  <c r="CS35" i="3"/>
  <c r="CS36" i="6" s="1"/>
  <c r="CI35" i="3"/>
  <c r="CI36" i="6"/>
  <c r="X35" i="3"/>
  <c r="X36" i="6" s="1"/>
  <c r="DP35" i="3"/>
  <c r="DP36" i="6" s="1"/>
  <c r="CF35" i="3"/>
  <c r="CF36" i="6" s="1"/>
  <c r="M35" i="3"/>
  <c r="M36" i="6"/>
  <c r="R35" i="3"/>
  <c r="R36" i="6"/>
  <c r="BZ35" i="3"/>
  <c r="BZ36" i="6" s="1"/>
  <c r="CO35" i="3"/>
  <c r="CO36" i="6"/>
  <c r="AP35" i="3"/>
  <c r="AP36" i="6"/>
  <c r="N35" i="3"/>
  <c r="N36" i="6" s="1"/>
  <c r="O35" i="3"/>
  <c r="O36" i="6" s="1"/>
  <c r="BG35" i="3"/>
  <c r="BG36" i="6"/>
  <c r="V35" i="3"/>
  <c r="V36" i="6"/>
  <c r="S35" i="3"/>
  <c r="S36" i="6" s="1"/>
  <c r="CM35" i="3"/>
  <c r="CM36" i="6" s="1"/>
  <c r="CD35" i="3"/>
  <c r="CD36" i="6"/>
  <c r="AM35" i="3"/>
  <c r="AM36" i="6"/>
  <c r="J35" i="3"/>
  <c r="J36" i="6" s="1"/>
  <c r="AH35" i="3"/>
  <c r="AH36" i="6" s="1"/>
  <c r="K35" i="3"/>
  <c r="K36" i="6"/>
  <c r="BE35" i="3"/>
  <c r="BE36" i="6"/>
  <c r="DI35" i="3"/>
  <c r="DI36" i="6"/>
  <c r="CG35" i="3"/>
  <c r="CG36" i="6" s="1"/>
  <c r="BI35" i="3"/>
  <c r="BI36" i="6" s="1"/>
  <c r="AC35" i="3"/>
  <c r="AC36" i="6"/>
  <c r="CN35" i="3"/>
  <c r="CN36" i="6" s="1"/>
  <c r="DA35" i="3"/>
  <c r="DA36" i="6" s="1"/>
  <c r="BU35" i="3"/>
  <c r="BU36" i="6" s="1"/>
  <c r="C36" i="6"/>
  <c r="DD35" i="3"/>
  <c r="DD36" i="6"/>
  <c r="E35" i="3"/>
  <c r="E36" i="6"/>
  <c r="CW35" i="3"/>
  <c r="CW36" i="6"/>
  <c r="CC35" i="3"/>
  <c r="CC36" i="6" s="1"/>
  <c r="AK35" i="3"/>
  <c r="AK36" i="6"/>
  <c r="AN35" i="3"/>
  <c r="AN36" i="6"/>
  <c r="AD35" i="3"/>
  <c r="AD36" i="6"/>
  <c r="CP35" i="3"/>
  <c r="CP36" i="6" s="1"/>
  <c r="CK35" i="3"/>
  <c r="CK36" i="6"/>
  <c r="BN35" i="3"/>
  <c r="BN36" i="6"/>
  <c r="AL35" i="3"/>
  <c r="AL36" i="6"/>
  <c r="AE35" i="3"/>
  <c r="AE36" i="6" s="1"/>
  <c r="BW35" i="3"/>
  <c r="BW36" i="6" s="1"/>
  <c r="AX35" i="3"/>
  <c r="AX36" i="6"/>
  <c r="AI35" i="3"/>
  <c r="AI36" i="6"/>
  <c r="DC35" i="3"/>
  <c r="DC36" i="6" s="1"/>
  <c r="DJ35" i="3"/>
  <c r="DJ36" i="6" s="1"/>
  <c r="BO35" i="3"/>
  <c r="BO36" i="6"/>
  <c r="DN35" i="3"/>
  <c r="DN36" i="6"/>
  <c r="BC35" i="3"/>
  <c r="BC36" i="6" s="1"/>
  <c r="BS35" i="3"/>
  <c r="BS36" i="6" s="1"/>
  <c r="L35" i="3"/>
  <c r="L36" i="6" s="1"/>
  <c r="H35" i="3"/>
  <c r="H36" i="6"/>
  <c r="T35" i="3"/>
  <c r="T36" i="6" s="1"/>
  <c r="AF35" i="3"/>
  <c r="AF36" i="6"/>
  <c r="AO35" i="3"/>
  <c r="AO36" i="6" s="1"/>
  <c r="BD35" i="3"/>
  <c r="BD36" i="6"/>
  <c r="CL35" i="3"/>
  <c r="CL36" i="6" s="1"/>
  <c r="DM35" i="3"/>
  <c r="DM36" i="6"/>
  <c r="BT35" i="3"/>
  <c r="BT36" i="6"/>
  <c r="CJ35" i="3"/>
  <c r="CJ36" i="6"/>
  <c r="CR35" i="3"/>
  <c r="CR36" i="6" s="1"/>
  <c r="CE51" i="3"/>
  <c r="CE52" i="6"/>
  <c r="BY51" i="3"/>
  <c r="BY52" i="6"/>
  <c r="DF51" i="3"/>
  <c r="DF52" i="6"/>
  <c r="CO51" i="3"/>
  <c r="CO52" i="6" s="1"/>
  <c r="AP51" i="3"/>
  <c r="AP52" i="6"/>
  <c r="AH51" i="3"/>
  <c r="AH52" i="6"/>
  <c r="BR51" i="3"/>
  <c r="BR52" i="6"/>
  <c r="AO51" i="3"/>
  <c r="AO52" i="6" s="1"/>
  <c r="AS51" i="3"/>
  <c r="AS52" i="6" s="1"/>
  <c r="BJ51" i="3"/>
  <c r="BJ52" i="6"/>
  <c r="AC51" i="3"/>
  <c r="AC52" i="6"/>
  <c r="BN51" i="3"/>
  <c r="BN52" i="6" s="1"/>
  <c r="V51" i="3"/>
  <c r="V52" i="6" s="1"/>
  <c r="DA51" i="3"/>
  <c r="DA52" i="6"/>
  <c r="E51" i="3"/>
  <c r="E52" i="6"/>
  <c r="BC51" i="3"/>
  <c r="BC52" i="6" s="1"/>
  <c r="D51" i="3"/>
  <c r="D52" i="6" s="1"/>
  <c r="BP51" i="3"/>
  <c r="BP52" i="6"/>
  <c r="R51" i="3"/>
  <c r="R52" i="6"/>
  <c r="BB51" i="3"/>
  <c r="BB52" i="6" s="1"/>
  <c r="CM51" i="3"/>
  <c r="CM52" i="6" s="1"/>
  <c r="BL51" i="3"/>
  <c r="BL52" i="6"/>
  <c r="K51" i="3"/>
  <c r="K52" i="6"/>
  <c r="CQ51" i="3"/>
  <c r="CQ52" i="6"/>
  <c r="AV51" i="3"/>
  <c r="AV52" i="6" s="1"/>
  <c r="O51" i="3"/>
  <c r="O52" i="6"/>
  <c r="CU51" i="3"/>
  <c r="CU52" i="6"/>
  <c r="BD51" i="3"/>
  <c r="BD52" i="6" s="1"/>
  <c r="S51" i="3"/>
  <c r="S52" i="6" s="1"/>
  <c r="P51" i="3"/>
  <c r="P52" i="6"/>
  <c r="M51" i="3"/>
  <c r="M52" i="6"/>
  <c r="N51" i="3"/>
  <c r="N52" i="6"/>
  <c r="Y51" i="3"/>
  <c r="Y52" i="6" s="1"/>
  <c r="CW51" i="3"/>
  <c r="CW52" i="6" s="1"/>
  <c r="CD51" i="3"/>
  <c r="CD52" i="6"/>
  <c r="CT51" i="3"/>
  <c r="CT52" i="6"/>
  <c r="DJ51" i="3"/>
  <c r="DJ52" i="6" s="1"/>
  <c r="U51" i="3"/>
  <c r="U52" i="6" s="1"/>
  <c r="CS51" i="3"/>
  <c r="CS52" i="6"/>
  <c r="DQ51" i="3"/>
  <c r="DQ52" i="6"/>
  <c r="AM51" i="3"/>
  <c r="AM52" i="6" s="1"/>
  <c r="T51" i="3"/>
  <c r="T52" i="6" s="1"/>
  <c r="CV51" i="3"/>
  <c r="CV52" i="6"/>
  <c r="J51" i="3"/>
  <c r="J52" i="6"/>
  <c r="DG51" i="3"/>
  <c r="DG52" i="6" s="1"/>
  <c r="DD51" i="3"/>
  <c r="DD52" i="6" s="1"/>
  <c r="BW51" i="3"/>
  <c r="BW52" i="6"/>
  <c r="BT51" i="3"/>
  <c r="BT52" i="6"/>
  <c r="BG51" i="3"/>
  <c r="BG52" i="6" s="1"/>
  <c r="AF51" i="3"/>
  <c r="AF52" i="6" s="1"/>
  <c r="DC51" i="3"/>
  <c r="DC52" i="6"/>
  <c r="BK51" i="3"/>
  <c r="BK52" i="6"/>
  <c r="AN51" i="3"/>
  <c r="AN52" i="6" s="1"/>
  <c r="BF51" i="3"/>
  <c r="BF52" i="6" s="1"/>
  <c r="Q51" i="3"/>
  <c r="Q52" i="6"/>
  <c r="AX51" i="3"/>
  <c r="AX52" i="6"/>
  <c r="DE51" i="3"/>
  <c r="DE52" i="6" s="1"/>
  <c r="CX51" i="3"/>
  <c r="CX52" i="6" s="1"/>
  <c r="DM51" i="3"/>
  <c r="DM52" i="6"/>
  <c r="C52" i="6"/>
  <c r="BU51" i="3"/>
  <c r="BU52" i="6" s="1"/>
  <c r="Z51" i="3"/>
  <c r="Z52" i="6" s="1"/>
  <c r="CL51" i="3"/>
  <c r="CL52" i="6"/>
  <c r="BI51" i="3"/>
  <c r="BI52" i="6"/>
  <c r="BS51" i="3"/>
  <c r="BS52" i="6"/>
  <c r="AJ51" i="3"/>
  <c r="AJ52" i="6" s="1"/>
  <c r="DL51" i="3"/>
  <c r="DL52" i="6"/>
  <c r="AA51" i="3"/>
  <c r="AA52" i="6"/>
  <c r="X51" i="3"/>
  <c r="X52" i="6" s="1"/>
  <c r="CK51" i="3"/>
  <c r="CK52" i="6" s="1"/>
  <c r="DK51" i="3"/>
  <c r="DK52" i="6"/>
  <c r="CN51" i="3"/>
  <c r="CN52" i="6"/>
  <c r="CA51" i="3"/>
  <c r="CA52" i="6"/>
  <c r="BX51" i="3"/>
  <c r="BX52" i="6" s="1"/>
  <c r="CB51" i="3"/>
  <c r="CB52" i="6"/>
  <c r="CG51" i="3"/>
  <c r="CG52" i="6"/>
  <c r="F51" i="3"/>
  <c r="F52" i="6"/>
  <c r="AD51" i="3"/>
  <c r="AD52" i="6" s="1"/>
  <c r="BE51" i="3"/>
  <c r="BE52" i="6"/>
  <c r="W51" i="3"/>
  <c r="W52" i="6"/>
  <c r="CF51" i="3"/>
  <c r="CF52" i="6"/>
  <c r="BO51" i="3"/>
  <c r="BO52" i="6" s="1"/>
  <c r="AY51" i="3"/>
  <c r="AY52" i="6"/>
  <c r="AI51" i="3"/>
  <c r="AI52" i="6"/>
  <c r="DP51" i="3"/>
  <c r="DP52" i="6"/>
  <c r="BZ51" i="3"/>
  <c r="BZ52" i="6" s="1"/>
  <c r="BQ51" i="3"/>
  <c r="BQ52" i="6"/>
  <c r="BV51" i="3"/>
  <c r="BV52" i="6"/>
  <c r="DB51" i="3"/>
  <c r="DB52" i="6"/>
  <c r="DN51" i="3"/>
  <c r="DN52" i="6" s="1"/>
  <c r="CY51" i="3"/>
  <c r="CY52" i="6"/>
  <c r="AW51" i="3"/>
  <c r="AW52" i="6"/>
  <c r="AR51" i="3"/>
  <c r="AR52" i="6"/>
  <c r="H51" i="3"/>
  <c r="H52" i="6" s="1"/>
  <c r="AQ51" i="3"/>
  <c r="AQ52" i="6"/>
  <c r="AA75" i="3"/>
  <c r="AA76" i="6"/>
  <c r="CJ75" i="3"/>
  <c r="CJ76" i="6"/>
  <c r="DQ75" i="3"/>
  <c r="DQ76" i="6" s="1"/>
  <c r="AK75" i="3"/>
  <c r="AK76" i="6"/>
  <c r="CT75" i="3"/>
  <c r="CT76" i="6"/>
  <c r="DA75" i="3"/>
  <c r="DA76" i="6" s="1"/>
  <c r="CL75" i="3"/>
  <c r="CL76" i="6" s="1"/>
  <c r="BB75" i="3"/>
  <c r="BB76" i="6"/>
  <c r="BI75" i="3"/>
  <c r="BI76" i="6"/>
  <c r="BM75" i="3"/>
  <c r="BM76" i="6" s="1"/>
  <c r="BG75" i="3"/>
  <c r="BG76" i="6" s="1"/>
  <c r="CP75" i="3"/>
  <c r="CP76" i="6"/>
  <c r="M75" i="3"/>
  <c r="M76" i="6"/>
  <c r="BA75" i="3"/>
  <c r="BA76" i="6"/>
  <c r="AG75" i="3"/>
  <c r="AG76" i="6" s="1"/>
  <c r="CC75" i="3"/>
  <c r="CC76" i="6"/>
  <c r="AT75" i="3"/>
  <c r="AT76" i="6"/>
  <c r="V75" i="3"/>
  <c r="V76" i="6"/>
  <c r="AD75" i="3"/>
  <c r="AD76" i="6" s="1"/>
  <c r="BQ75" i="3"/>
  <c r="BQ76" i="6"/>
  <c r="DM75" i="3"/>
  <c r="DM76" i="6"/>
  <c r="E75" i="3"/>
  <c r="E76" i="6"/>
  <c r="CI75" i="3"/>
  <c r="CI76" i="6" s="1"/>
  <c r="DN75" i="3"/>
  <c r="DN76" i="6"/>
  <c r="AX75" i="3"/>
  <c r="AX76" i="6"/>
  <c r="BV75" i="3"/>
  <c r="BV76" i="6"/>
  <c r="R75" i="3"/>
  <c r="R76" i="6" s="1"/>
  <c r="BC75" i="3"/>
  <c r="BC76" i="6"/>
  <c r="P75" i="3"/>
  <c r="P76" i="6"/>
  <c r="AP75" i="3"/>
  <c r="AP76" i="6"/>
  <c r="BK75" i="3"/>
  <c r="BK76" i="6" s="1"/>
  <c r="H75" i="3"/>
  <c r="H76" i="6"/>
  <c r="BT75" i="3"/>
  <c r="BT76" i="6"/>
  <c r="D75" i="3"/>
  <c r="D76" i="6"/>
  <c r="DL75" i="3"/>
  <c r="DL76" i="6" s="1"/>
  <c r="DC75" i="3"/>
  <c r="DC76" i="6"/>
  <c r="CV75" i="3"/>
  <c r="CV76" i="6"/>
  <c r="CE75" i="3"/>
  <c r="CE76" i="6" s="1"/>
  <c r="DF75" i="3"/>
  <c r="DF76" i="6" s="1"/>
  <c r="AL75" i="3"/>
  <c r="AL76" i="6"/>
  <c r="Z75" i="3"/>
  <c r="Z76" i="6"/>
  <c r="AB75" i="3"/>
  <c r="AB76" i="6" s="1"/>
  <c r="BJ75" i="3"/>
  <c r="BJ76" i="6" s="1"/>
  <c r="BH75" i="3"/>
  <c r="BH76" i="6"/>
  <c r="F75" i="3"/>
  <c r="F76" i="6"/>
  <c r="AC75" i="3"/>
  <c r="AC76" i="6"/>
  <c r="AO75" i="3"/>
  <c r="AO76" i="6" s="1"/>
  <c r="BF75" i="3"/>
  <c r="BF76" i="6"/>
  <c r="BR75" i="3"/>
  <c r="BR76" i="6"/>
  <c r="Q75" i="3"/>
  <c r="Q76" i="6"/>
  <c r="AM75" i="3"/>
  <c r="AM76" i="6" s="1"/>
  <c r="AF75" i="3"/>
  <c r="AF76" i="6"/>
  <c r="CR75" i="3"/>
  <c r="CR76" i="6"/>
  <c r="AU75" i="3"/>
  <c r="AU76" i="6"/>
  <c r="X75" i="3"/>
  <c r="X76" i="6" s="1"/>
  <c r="BO75" i="3"/>
  <c r="BO76" i="6"/>
  <c r="CN75" i="3"/>
  <c r="CN76" i="6"/>
  <c r="L75" i="3"/>
  <c r="L76" i="6"/>
  <c r="S75" i="3"/>
  <c r="S76" i="6" s="1"/>
  <c r="AZ75" i="3"/>
  <c r="AZ76" i="6"/>
  <c r="U75" i="3"/>
  <c r="U76" i="6" s="1"/>
  <c r="AW75" i="3"/>
  <c r="AW76" i="6" s="1"/>
  <c r="CG75" i="3"/>
  <c r="CG76" i="6" s="1"/>
  <c r="I75" i="3"/>
  <c r="I76" i="6"/>
  <c r="AH75" i="3"/>
  <c r="AH76" i="6"/>
  <c r="AS75" i="3"/>
  <c r="AS76" i="6"/>
  <c r="CD75" i="3"/>
  <c r="CD76" i="6" s="1"/>
  <c r="BS75" i="3"/>
  <c r="BS76" i="6"/>
  <c r="BL75" i="3"/>
  <c r="BL76" i="6"/>
  <c r="AE75" i="3"/>
  <c r="AE76" i="6" s="1"/>
  <c r="AN75" i="3"/>
  <c r="AN76" i="6" s="1"/>
  <c r="AJ75" i="3"/>
  <c r="AJ76" i="6"/>
  <c r="BW75" i="3"/>
  <c r="BW76" i="6"/>
  <c r="AY75" i="3"/>
  <c r="AY76" i="6" s="1"/>
  <c r="CZ75" i="3"/>
  <c r="CZ76" i="6" s="1"/>
  <c r="CS75" i="3"/>
  <c r="CS76" i="6"/>
  <c r="DD75" i="3"/>
  <c r="DD76" i="6"/>
  <c r="CO75" i="3"/>
  <c r="CO76" i="6"/>
  <c r="BY75" i="3"/>
  <c r="BY76" i="6" s="1"/>
  <c r="DB75" i="3"/>
  <c r="DB76" i="6"/>
  <c r="CY75" i="3"/>
  <c r="CY76" i="6"/>
  <c r="CB75" i="3"/>
  <c r="CB76" i="6"/>
  <c r="CA75" i="3"/>
  <c r="CA76" i="6" s="1"/>
  <c r="BD75" i="3"/>
  <c r="BD76" i="6"/>
  <c r="BP75" i="3"/>
  <c r="BP76" i="6"/>
  <c r="AR75" i="3"/>
  <c r="AR76" i="6"/>
  <c r="DK75" i="3"/>
  <c r="DK76" i="6" s="1"/>
  <c r="CK75" i="3"/>
  <c r="CK76" i="6"/>
  <c r="DE75" i="3"/>
  <c r="DE76" i="6"/>
  <c r="BU75" i="3"/>
  <c r="BU76" i="6"/>
  <c r="CW75" i="3"/>
  <c r="CW76" i="6" s="1"/>
  <c r="DJ75" i="3"/>
  <c r="DJ76" i="6"/>
  <c r="DO75" i="3"/>
  <c r="DO76" i="6" s="1"/>
  <c r="CQ75" i="3"/>
  <c r="CQ76" i="6"/>
  <c r="K75" i="3"/>
  <c r="K76" i="6" s="1"/>
  <c r="T75" i="3"/>
  <c r="T76" i="6"/>
  <c r="DI75" i="3"/>
  <c r="DI76" i="6"/>
  <c r="Y75" i="3"/>
  <c r="Y76" i="6"/>
  <c r="CH75" i="3"/>
  <c r="CH76" i="6" s="1"/>
  <c r="J75" i="3"/>
  <c r="J76" i="6"/>
  <c r="AV75" i="3"/>
  <c r="AV76" i="6"/>
  <c r="DG75" i="3"/>
  <c r="DG76" i="6" s="1"/>
  <c r="AQ75" i="3"/>
  <c r="AQ76" i="6" s="1"/>
  <c r="CF75" i="3"/>
  <c r="CF76" i="6"/>
  <c r="BM127" i="3"/>
  <c r="BM128" i="6"/>
  <c r="CX127" i="3"/>
  <c r="CX128" i="6"/>
  <c r="CU127" i="3"/>
  <c r="CU128" i="6" s="1"/>
  <c r="DO127" i="3"/>
  <c r="DO128" i="6"/>
  <c r="R127" i="3"/>
  <c r="R128" i="6"/>
  <c r="AH127" i="3"/>
  <c r="AH128" i="6"/>
  <c r="AX127" i="3"/>
  <c r="AX128" i="6" s="1"/>
  <c r="DK127" i="3"/>
  <c r="DK128" i="6"/>
  <c r="H127" i="3"/>
  <c r="H128" i="6"/>
  <c r="CL128" i="3"/>
  <c r="CL129" i="6"/>
  <c r="BM128" i="3"/>
  <c r="BM129" i="6" s="1"/>
  <c r="P128" i="3"/>
  <c r="P129" i="6"/>
  <c r="X128" i="3"/>
  <c r="X129" i="6"/>
  <c r="CJ128" i="3"/>
  <c r="CJ129" i="6"/>
  <c r="BG128" i="3"/>
  <c r="BG129" i="6" s="1"/>
  <c r="CS128" i="3"/>
  <c r="CS129" i="6"/>
  <c r="T128" i="3"/>
  <c r="T129" i="6"/>
  <c r="AT128" i="3"/>
  <c r="AT129" i="6"/>
  <c r="AR128" i="3"/>
  <c r="AR129" i="6" s="1"/>
  <c r="U132" i="3"/>
  <c r="U133" i="6"/>
  <c r="BC132" i="3"/>
  <c r="BC133" i="6" s="1"/>
  <c r="CY132" i="3"/>
  <c r="CY133" i="6"/>
  <c r="AJ132" i="3"/>
  <c r="AJ133" i="6" s="1"/>
  <c r="AJ35" i="3"/>
  <c r="AJ36" i="6"/>
  <c r="AA35" i="3"/>
  <c r="AA36" i="6"/>
  <c r="DE35" i="3"/>
  <c r="DE36" i="6"/>
  <c r="AZ35" i="3"/>
  <c r="AZ36" i="6" s="1"/>
  <c r="U35" i="3"/>
  <c r="U36" i="6"/>
  <c r="DQ35" i="3"/>
  <c r="DQ36" i="6" s="1"/>
  <c r="CU35" i="3"/>
  <c r="CU36" i="6" s="1"/>
  <c r="W35" i="3"/>
  <c r="W36" i="6" s="1"/>
  <c r="BK35" i="3"/>
  <c r="BK36" i="6"/>
  <c r="DK35" i="3"/>
  <c r="DK36" i="6"/>
  <c r="CT35" i="3"/>
  <c r="CT36" i="6" s="1"/>
  <c r="Z35" i="3"/>
  <c r="Z36" i="6" s="1"/>
  <c r="BJ35" i="3"/>
  <c r="BJ36" i="6"/>
  <c r="I35" i="3"/>
  <c r="I36" i="6"/>
  <c r="CO39" i="3"/>
  <c r="CO40" i="6" s="1"/>
  <c r="AO43" i="3"/>
  <c r="AO44" i="6" s="1"/>
  <c r="M43" i="3"/>
  <c r="M44" i="6"/>
  <c r="DO39" i="3"/>
  <c r="DO40" i="6"/>
  <c r="DG39" i="3"/>
  <c r="DG40" i="6" s="1"/>
  <c r="CL39" i="3"/>
  <c r="CL40" i="6" s="1"/>
  <c r="X39" i="3"/>
  <c r="X40" i="6" s="1"/>
  <c r="K39" i="3"/>
  <c r="K40" i="6"/>
  <c r="F39" i="3"/>
  <c r="F40" i="6"/>
  <c r="BI39" i="3"/>
  <c r="BI40" i="6" s="1"/>
  <c r="DA39" i="3"/>
  <c r="DA40" i="6" s="1"/>
  <c r="DQ43" i="3"/>
  <c r="DQ44" i="6"/>
  <c r="DA43" i="3"/>
  <c r="DA44" i="6" s="1"/>
  <c r="CC39" i="3"/>
  <c r="CC40" i="6" s="1"/>
  <c r="CS43" i="3"/>
  <c r="CS44" i="6" s="1"/>
  <c r="J128" i="3"/>
  <c r="J129" i="6"/>
  <c r="O43" i="3"/>
  <c r="O44" i="6" s="1"/>
  <c r="DF43" i="3"/>
  <c r="DF44" i="6" s="1"/>
  <c r="AQ43" i="3"/>
  <c r="AQ44" i="6" s="1"/>
  <c r="CE43" i="3"/>
  <c r="CE44" i="6"/>
  <c r="CD43" i="3"/>
  <c r="CD44" i="6"/>
  <c r="CW43" i="3"/>
  <c r="CW44" i="6" s="1"/>
  <c r="I43" i="3"/>
  <c r="I44" i="6" s="1"/>
  <c r="BD43" i="3"/>
  <c r="BD44" i="6"/>
  <c r="BP35" i="3"/>
  <c r="BP36" i="6"/>
  <c r="AW43" i="3"/>
  <c r="AW44" i="6" s="1"/>
  <c r="W55" i="3"/>
  <c r="W56" i="6"/>
  <c r="T55" i="3"/>
  <c r="T56" i="6"/>
  <c r="BK55" i="3"/>
  <c r="BK56" i="6"/>
  <c r="BU55" i="3"/>
  <c r="BU56" i="6" s="1"/>
  <c r="BR55" i="3"/>
  <c r="BR56" i="6"/>
  <c r="L51" i="3"/>
  <c r="L52" i="6"/>
  <c r="CJ51" i="3"/>
  <c r="CJ52" i="6" s="1"/>
  <c r="DO51" i="3"/>
  <c r="DO52" i="6" s="1"/>
  <c r="BM51" i="3"/>
  <c r="BM52" i="6" s="1"/>
  <c r="CC51" i="3"/>
  <c r="CC52" i="6"/>
  <c r="BX75" i="3"/>
  <c r="BX76" i="6"/>
  <c r="DH75" i="3"/>
  <c r="DH76" i="6" s="1"/>
  <c r="BZ75" i="3"/>
  <c r="BZ76" i="6" s="1"/>
  <c r="CI43" i="3"/>
  <c r="CI44" i="6"/>
  <c r="CI39" i="3"/>
  <c r="CI40" i="6"/>
  <c r="AR35" i="3"/>
  <c r="AR36" i="6" s="1"/>
  <c r="P35" i="3"/>
  <c r="P36" i="6" s="1"/>
  <c r="AY35" i="3"/>
  <c r="AY36" i="6"/>
  <c r="AT35" i="3"/>
  <c r="AT36" i="6"/>
  <c r="AD39" i="3"/>
  <c r="AD40" i="6" s="1"/>
  <c r="DE43" i="3"/>
  <c r="DE44" i="6"/>
  <c r="AI39" i="3"/>
  <c r="AI40" i="6"/>
  <c r="AP39" i="3"/>
  <c r="AP40" i="6"/>
  <c r="M39" i="3"/>
  <c r="M40" i="6" s="1"/>
  <c r="DN43" i="3"/>
  <c r="DN44" i="6" s="1"/>
  <c r="G39" i="3"/>
  <c r="G40" i="6"/>
  <c r="G55" i="3"/>
  <c r="G56" i="6" s="1"/>
  <c r="CR55" i="3"/>
  <c r="CR56" i="6" s="1"/>
  <c r="AN55" i="3"/>
  <c r="AN56" i="6" s="1"/>
  <c r="AI55" i="3"/>
  <c r="AI56" i="6"/>
  <c r="BF55" i="3"/>
  <c r="BF56" i="6"/>
  <c r="BA55" i="3"/>
  <c r="BA56" i="6" s="1"/>
  <c r="DH51" i="3"/>
  <c r="DH52" i="6" s="1"/>
  <c r="AU51" i="3"/>
  <c r="AU52" i="6"/>
  <c r="G51" i="3"/>
  <c r="G52" i="6"/>
  <c r="CP51" i="3"/>
  <c r="CP52" i="6" s="1"/>
  <c r="I51" i="3"/>
  <c r="I52" i="6" s="1"/>
  <c r="N75" i="3"/>
  <c r="N76" i="6"/>
  <c r="CU75" i="3"/>
  <c r="CU76" i="6"/>
  <c r="W75" i="3"/>
  <c r="W76" i="6" s="1"/>
  <c r="CI51" i="3"/>
  <c r="CI52" i="6" s="1"/>
  <c r="BN75" i="3"/>
  <c r="BN76" i="6"/>
  <c r="CJ39" i="3"/>
  <c r="CJ40" i="6" s="1"/>
  <c r="R39" i="3"/>
  <c r="R40" i="6" s="1"/>
  <c r="Q39" i="3"/>
  <c r="Q40" i="6" s="1"/>
  <c r="CE39" i="3"/>
  <c r="CE40" i="6"/>
  <c r="CW39" i="3"/>
  <c r="CW40" i="6"/>
  <c r="AO39" i="3"/>
  <c r="AO40" i="6" s="1"/>
  <c r="AN39" i="3"/>
  <c r="AN40" i="6" s="1"/>
  <c r="BQ39" i="3"/>
  <c r="BQ40" i="6"/>
  <c r="AY39" i="3"/>
  <c r="AY40" i="6"/>
  <c r="CB39" i="3"/>
  <c r="CB40" i="6" s="1"/>
  <c r="CV39" i="3"/>
  <c r="CV40" i="6"/>
  <c r="BA39" i="3"/>
  <c r="BA40" i="6"/>
  <c r="BM39" i="3"/>
  <c r="BM40" i="6"/>
  <c r="AL39" i="3"/>
  <c r="AL40" i="6" s="1"/>
  <c r="CX39" i="3"/>
  <c r="CX40" i="6" s="1"/>
  <c r="AQ39" i="3"/>
  <c r="AQ40" i="6"/>
  <c r="DC39" i="3"/>
  <c r="DC40" i="6" s="1"/>
  <c r="BE39" i="3"/>
  <c r="BE40" i="6" s="1"/>
  <c r="BF39" i="3"/>
  <c r="BF40" i="6" s="1"/>
  <c r="O39" i="3"/>
  <c r="O40" i="6"/>
  <c r="CA39" i="3"/>
  <c r="CA40" i="6" s="1"/>
  <c r="BP39" i="3"/>
  <c r="BP40" i="6" s="1"/>
  <c r="W39" i="3"/>
  <c r="W40" i="6" s="1"/>
  <c r="AT39" i="3"/>
  <c r="AT40" i="6"/>
  <c r="BO39" i="3"/>
  <c r="BO40" i="6"/>
  <c r="BT39" i="3"/>
  <c r="BT40" i="6" s="1"/>
  <c r="H39" i="3"/>
  <c r="H40" i="6" s="1"/>
  <c r="DL39" i="3"/>
  <c r="DL40" i="6"/>
  <c r="BL39" i="3"/>
  <c r="BL40" i="6"/>
  <c r="CK39" i="3"/>
  <c r="CK40" i="6" s="1"/>
  <c r="P39" i="3"/>
  <c r="P40" i="6" s="1"/>
  <c r="CG39" i="3"/>
  <c r="CG40" i="6"/>
  <c r="CN39" i="3"/>
  <c r="CN40" i="6" s="1"/>
  <c r="BJ39" i="3"/>
  <c r="BJ40" i="6" s="1"/>
  <c r="DQ39" i="3"/>
  <c r="DQ40" i="6" s="1"/>
  <c r="D39" i="3"/>
  <c r="D40" i="6"/>
  <c r="AW39" i="3"/>
  <c r="AW40" i="6"/>
  <c r="DI39" i="3"/>
  <c r="DI40" i="6" s="1"/>
  <c r="L39" i="3"/>
  <c r="L40" i="6" s="1"/>
  <c r="DE39" i="3"/>
  <c r="DE40" i="6"/>
  <c r="Y39" i="3"/>
  <c r="Y40" i="6"/>
  <c r="BB39" i="3"/>
  <c r="BB40" i="6" s="1"/>
  <c r="DN39" i="3"/>
  <c r="DN40" i="6" s="1"/>
  <c r="BG39" i="3"/>
  <c r="BG40" i="6"/>
  <c r="DH39" i="3"/>
  <c r="DH40" i="6"/>
  <c r="J39" i="3"/>
  <c r="J40" i="6" s="1"/>
  <c r="BV39" i="3"/>
  <c r="BV40" i="6" s="1"/>
  <c r="AE39" i="3"/>
  <c r="AE40" i="6"/>
  <c r="CQ39" i="3"/>
  <c r="CQ40" i="6" s="1"/>
  <c r="AH39" i="3"/>
  <c r="AH40" i="6" s="1"/>
  <c r="BC39" i="3"/>
  <c r="BC40" i="6"/>
  <c r="BZ39" i="3"/>
  <c r="BZ40" i="6"/>
  <c r="CU39" i="3"/>
  <c r="CU40" i="6"/>
  <c r="AK39" i="3"/>
  <c r="AK40" i="6" s="1"/>
  <c r="BX39" i="3"/>
  <c r="BX40" i="6" s="1"/>
  <c r="AS39" i="3"/>
  <c r="AS40" i="6"/>
  <c r="T39" i="3"/>
  <c r="T40" i="6"/>
  <c r="CY39" i="3"/>
  <c r="CY40" i="6" s="1"/>
  <c r="CP39" i="3"/>
  <c r="CP40" i="6" s="1"/>
  <c r="CF39" i="3"/>
  <c r="CF40" i="6"/>
  <c r="CD39" i="3"/>
  <c r="CD40" i="6"/>
  <c r="AR43" i="3"/>
  <c r="AR44" i="6" s="1"/>
  <c r="J43" i="3"/>
  <c r="J44" i="6" s="1"/>
  <c r="AD43" i="3"/>
  <c r="AD44" i="6"/>
  <c r="AB43" i="3"/>
  <c r="AB44" i="6"/>
  <c r="DP43" i="3"/>
  <c r="DP44" i="6" s="1"/>
  <c r="AU43" i="3"/>
  <c r="AU44" i="6" s="1"/>
  <c r="CC43" i="3"/>
  <c r="CC44" i="6"/>
  <c r="DG43" i="3"/>
  <c r="DG44" i="6"/>
  <c r="AJ43" i="3"/>
  <c r="AJ44" i="6" s="1"/>
  <c r="BM43" i="3"/>
  <c r="BM44" i="6"/>
  <c r="BH43" i="3"/>
  <c r="BH44" i="6"/>
  <c r="CK43" i="3"/>
  <c r="CK44" i="6"/>
  <c r="H43" i="3"/>
  <c r="H44" i="6" s="1"/>
  <c r="AV43" i="3"/>
  <c r="AV44" i="6" s="1"/>
  <c r="CM43" i="3"/>
  <c r="CM44" i="6"/>
  <c r="BV43" i="3"/>
  <c r="BV44" i="6"/>
  <c r="BX43" i="3"/>
  <c r="BX44" i="6" s="1"/>
  <c r="CG43" i="3"/>
  <c r="CG44" i="6"/>
  <c r="AF43" i="3"/>
  <c r="AF44" i="6"/>
  <c r="AX43" i="3"/>
  <c r="AX44" i="6"/>
  <c r="DJ43" i="3"/>
  <c r="DJ44" i="6" s="1"/>
  <c r="AY43" i="3"/>
  <c r="AY44" i="6" s="1"/>
  <c r="DK43" i="3"/>
  <c r="DK44" i="6"/>
  <c r="V43" i="3"/>
  <c r="V44" i="6"/>
  <c r="BR43" i="3"/>
  <c r="BR44" i="6" s="1"/>
  <c r="K43" i="3"/>
  <c r="K44" i="6"/>
  <c r="BS43" i="3"/>
  <c r="BS44" i="6"/>
  <c r="AT43" i="3"/>
  <c r="AT44" i="6" s="1"/>
  <c r="BK43" i="3"/>
  <c r="BK44" i="6" s="1"/>
  <c r="BF43" i="3"/>
  <c r="BF44" i="6" s="1"/>
  <c r="DC43" i="3"/>
  <c r="DC44" i="6"/>
  <c r="BL43" i="3"/>
  <c r="BL44" i="6"/>
  <c r="AN43" i="3"/>
  <c r="AN44" i="6" s="1"/>
  <c r="CA43" i="3"/>
  <c r="CA44" i="6" s="1"/>
  <c r="BE43" i="3"/>
  <c r="BE44" i="6"/>
  <c r="DD43" i="3"/>
  <c r="DD44" i="6"/>
  <c r="BT43" i="3"/>
  <c r="BT44" i="6" s="1"/>
  <c r="DH43" i="3"/>
  <c r="DH44" i="6" s="1"/>
  <c r="BG43" i="3"/>
  <c r="BG44" i="6"/>
  <c r="AP43" i="3"/>
  <c r="AP44" i="6"/>
  <c r="P43" i="3"/>
  <c r="P44" i="6" s="1"/>
  <c r="BA43" i="3"/>
  <c r="BA44" i="6" s="1"/>
  <c r="U43" i="3"/>
  <c r="U44" i="6"/>
  <c r="AE43" i="3"/>
  <c r="AE44" i="6" s="1"/>
  <c r="CR43" i="3"/>
  <c r="CR44" i="6" s="1"/>
  <c r="CJ43" i="3"/>
  <c r="CJ44" i="6" s="1"/>
  <c r="CN43" i="3"/>
  <c r="CN44" i="6"/>
  <c r="BN43" i="3"/>
  <c r="BN44" i="6" s="1"/>
  <c r="G43" i="3"/>
  <c r="G44" i="6" s="1"/>
  <c r="BO43" i="3"/>
  <c r="BO44" i="6" s="1"/>
  <c r="X43" i="3"/>
  <c r="X44" i="6"/>
  <c r="AL43" i="3"/>
  <c r="AL44" i="6"/>
  <c r="CH43" i="3"/>
  <c r="CH44" i="6" s="1"/>
  <c r="AA43" i="3"/>
  <c r="AA44" i="6" s="1"/>
  <c r="CY43" i="3"/>
  <c r="CY44" i="6"/>
  <c r="BZ43" i="3"/>
  <c r="BZ44" i="6" s="1"/>
  <c r="CQ43" i="3"/>
  <c r="CQ44" i="6" s="1"/>
  <c r="CL43" i="3"/>
  <c r="CL44" i="6" s="1"/>
  <c r="AG43" i="3"/>
  <c r="AG44" i="6"/>
  <c r="CV43" i="3"/>
  <c r="CV44" i="6" s="1"/>
  <c r="DM43" i="3"/>
  <c r="DM44" i="6" s="1"/>
  <c r="CB43" i="3"/>
  <c r="CB44" i="6" s="1"/>
  <c r="S43" i="3"/>
  <c r="S44" i="6"/>
  <c r="BJ43" i="3"/>
  <c r="BJ44" i="6"/>
  <c r="D43" i="3"/>
  <c r="D44" i="6" s="1"/>
  <c r="CP43" i="3"/>
  <c r="CP44" i="6" s="1"/>
  <c r="CF43" i="3"/>
  <c r="CF44" i="6"/>
  <c r="CM55" i="3"/>
  <c r="CM56" i="6"/>
  <c r="DP55" i="3"/>
  <c r="DP56" i="6" s="1"/>
  <c r="CI55" i="3"/>
  <c r="CI56" i="6" s="1"/>
  <c r="BQ55" i="3"/>
  <c r="BQ56" i="6"/>
  <c r="AX55" i="3"/>
  <c r="AX56" i="6" s="1"/>
  <c r="AL55" i="3"/>
  <c r="AL56" i="6" s="1"/>
  <c r="R55" i="3"/>
  <c r="R56" i="6" s="1"/>
  <c r="BJ55" i="3"/>
  <c r="BJ56" i="6"/>
  <c r="J55" i="3"/>
  <c r="J56" i="6" s="1"/>
  <c r="AP55" i="3"/>
  <c r="AP56" i="6" s="1"/>
  <c r="DA55" i="3"/>
  <c r="DA56" i="6"/>
  <c r="AS55" i="3"/>
  <c r="AS56" i="6"/>
  <c r="CS55" i="3"/>
  <c r="CS56" i="6"/>
  <c r="BB55" i="3"/>
  <c r="BB56" i="6" s="1"/>
  <c r="CC55" i="3"/>
  <c r="CC56" i="6" s="1"/>
  <c r="AE55" i="3"/>
  <c r="AE56" i="6"/>
  <c r="CQ55" i="3"/>
  <c r="CQ56" i="6"/>
  <c r="BE55" i="3"/>
  <c r="BE56" i="6" s="1"/>
  <c r="AW55" i="3"/>
  <c r="AW56" i="6" s="1"/>
  <c r="K55" i="3"/>
  <c r="K56" i="6"/>
  <c r="CU55" i="3"/>
  <c r="CU56" i="6"/>
  <c r="AJ55" i="3"/>
  <c r="AJ56" i="6" s="1"/>
  <c r="DD55" i="3"/>
  <c r="DD56" i="6" s="1"/>
  <c r="BG55" i="3"/>
  <c r="BG56" i="6"/>
  <c r="H55" i="3"/>
  <c r="H56" i="6"/>
  <c r="BT55" i="3"/>
  <c r="BT56" i="6" s="1"/>
  <c r="CD55" i="3"/>
  <c r="CD56" i="6" s="1"/>
  <c r="DC55" i="3"/>
  <c r="DC56" i="6"/>
  <c r="BH55" i="3"/>
  <c r="BH56" i="6"/>
  <c r="DL55" i="3"/>
  <c r="DL56" i="6" s="1"/>
  <c r="CK55" i="3"/>
  <c r="CK56" i="6" s="1"/>
  <c r="DJ55" i="3"/>
  <c r="DJ56" i="6"/>
  <c r="F55" i="3"/>
  <c r="F56" i="6"/>
  <c r="DF55" i="3"/>
  <c r="DF56" i="6" s="1"/>
  <c r="DM55" i="3"/>
  <c r="DM56" i="6" s="1"/>
  <c r="CW55" i="3"/>
  <c r="CW56" i="6"/>
  <c r="AO55" i="3"/>
  <c r="AO56" i="6"/>
  <c r="C56" i="6"/>
  <c r="CT55" i="3"/>
  <c r="CT56" i="6" s="1"/>
  <c r="BY55" i="3"/>
  <c r="BY56" i="6"/>
  <c r="CA55" i="3"/>
  <c r="CA56" i="6"/>
  <c r="V55" i="3"/>
  <c r="V56" i="6"/>
  <c r="DN55" i="3"/>
  <c r="DN56" i="6" s="1"/>
  <c r="BW55" i="3"/>
  <c r="BW56" i="6"/>
  <c r="AZ55" i="3"/>
  <c r="AZ56" i="6" s="1"/>
  <c r="S55" i="3"/>
  <c r="S56" i="6"/>
  <c r="CJ55" i="3"/>
  <c r="CJ56" i="6" s="1"/>
  <c r="AQ55" i="3"/>
  <c r="AQ56" i="6"/>
  <c r="AR55" i="3"/>
  <c r="AR56" i="6" s="1"/>
  <c r="AY55" i="3"/>
  <c r="AY56" i="6"/>
  <c r="AV55" i="3"/>
  <c r="AV56" i="6" s="1"/>
  <c r="DK55" i="3"/>
  <c r="DK56" i="6"/>
  <c r="E55" i="3"/>
  <c r="E56" i="6"/>
  <c r="DB55" i="3"/>
  <c r="DB56" i="6" s="1"/>
  <c r="BV55" i="3"/>
  <c r="BV56" i="6" s="1"/>
  <c r="U55" i="3"/>
  <c r="U56" i="6"/>
  <c r="BI55" i="3"/>
  <c r="BI56" i="6"/>
  <c r="AD55" i="3"/>
  <c r="AD56" i="6"/>
  <c r="I55" i="3"/>
  <c r="I56" i="6" s="1"/>
  <c r="BM55" i="3"/>
  <c r="BM56" i="6"/>
  <c r="AT55" i="3"/>
  <c r="AT56" i="6"/>
  <c r="O55" i="3"/>
  <c r="O56" i="6"/>
  <c r="DG55" i="3"/>
  <c r="DG56" i="6" s="1"/>
  <c r="DE55" i="3"/>
  <c r="DE56" i="6"/>
  <c r="Y55" i="3"/>
  <c r="Y56" i="6"/>
  <c r="DO55" i="3"/>
  <c r="DO56" i="6"/>
  <c r="BP55" i="3"/>
  <c r="BP56" i="6" s="1"/>
  <c r="AM55" i="3"/>
  <c r="AM56" i="6"/>
  <c r="X55" i="3"/>
  <c r="X56" i="6"/>
  <c r="CV55" i="3"/>
  <c r="CV56" i="6"/>
  <c r="BO55" i="3"/>
  <c r="BO56" i="6" s="1"/>
  <c r="BX55" i="3"/>
  <c r="BX56" i="6"/>
  <c r="AF55" i="3"/>
  <c r="AF56" i="6"/>
  <c r="CB55" i="3"/>
  <c r="CB56" i="6"/>
  <c r="Z55" i="3"/>
  <c r="Z56" i="6" s="1"/>
  <c r="BZ55" i="3"/>
  <c r="BZ56" i="6"/>
  <c r="AK55" i="3"/>
  <c r="AK56" i="6" s="1"/>
  <c r="Q55" i="3"/>
  <c r="Q56" i="6"/>
  <c r="DQ55" i="3"/>
  <c r="DQ56" i="6" s="1"/>
  <c r="BC55" i="3"/>
  <c r="BC56" i="6"/>
  <c r="BN55" i="3"/>
  <c r="BN56" i="6"/>
  <c r="BD55" i="3"/>
  <c r="BD56" i="6"/>
  <c r="AB55" i="3"/>
  <c r="AB56" i="6" s="1"/>
  <c r="BS55" i="3"/>
  <c r="BS56" i="6"/>
  <c r="N55" i="3"/>
  <c r="N56" i="6"/>
  <c r="AC55" i="3"/>
  <c r="AC56" i="6" s="1"/>
  <c r="CP55" i="3"/>
  <c r="CP56" i="6" s="1"/>
  <c r="AG55" i="3"/>
  <c r="AG56" i="6"/>
  <c r="AU55" i="3"/>
  <c r="AU56" i="6"/>
  <c r="DI55" i="3"/>
  <c r="DI56" i="6"/>
  <c r="D55" i="3"/>
  <c r="D56" i="6" s="1"/>
  <c r="CE55" i="3"/>
  <c r="CE56" i="6"/>
  <c r="DH55" i="3"/>
  <c r="DH56" i="6"/>
  <c r="CN55" i="3"/>
  <c r="CN56" i="6" s="1"/>
  <c r="BH35" i="3"/>
  <c r="BH36" i="6" s="1"/>
  <c r="BY35" i="3"/>
  <c r="BY36" i="6"/>
  <c r="AQ35" i="3"/>
  <c r="AQ36" i="6"/>
  <c r="G35" i="3"/>
  <c r="G36" i="6"/>
  <c r="CY35" i="3"/>
  <c r="CY36" i="6" s="1"/>
  <c r="BR35" i="3"/>
  <c r="BR36" i="6"/>
  <c r="F35" i="3"/>
  <c r="F36" i="6"/>
  <c r="CZ35" i="3"/>
  <c r="CZ36" i="6"/>
  <c r="AZ39" i="3"/>
  <c r="AZ40" i="6" s="1"/>
  <c r="DL43" i="3"/>
  <c r="DL44" i="6"/>
  <c r="CT39" i="3"/>
  <c r="CT40" i="6"/>
  <c r="BK39" i="3"/>
  <c r="BK40" i="6"/>
  <c r="CM39" i="3"/>
  <c r="CM40" i="6" s="1"/>
  <c r="CH39" i="3"/>
  <c r="CH40" i="6"/>
  <c r="AF39" i="3"/>
  <c r="AF40" i="6" s="1"/>
  <c r="AX39" i="3"/>
  <c r="AX40" i="6"/>
  <c r="AB39" i="3"/>
  <c r="AB40" i="6" s="1"/>
  <c r="DI43" i="3"/>
  <c r="DI44" i="6"/>
  <c r="AG39" i="3"/>
  <c r="AG40" i="6" s="1"/>
  <c r="Z128" i="3"/>
  <c r="Z129" i="6"/>
  <c r="Z43" i="3"/>
  <c r="Z44" i="6" s="1"/>
  <c r="N43" i="3"/>
  <c r="N44" i="6"/>
  <c r="F43" i="3"/>
  <c r="F44" i="6" s="1"/>
  <c r="AM43" i="3"/>
  <c r="AM44" i="6" s="1"/>
  <c r="AH43" i="3"/>
  <c r="AH44" i="6" s="1"/>
  <c r="Q43" i="3"/>
  <c r="Q44" i="6"/>
  <c r="BY43" i="3"/>
  <c r="BY44" i="6"/>
  <c r="BY39" i="3"/>
  <c r="BY40" i="6" s="1"/>
  <c r="P55" i="3"/>
  <c r="P56" i="6" s="1"/>
  <c r="CG71" i="3"/>
  <c r="CG72" i="6"/>
  <c r="BA35" i="3"/>
  <c r="BA36" i="6"/>
  <c r="Y35" i="3"/>
  <c r="Y36" i="6" s="1"/>
  <c r="BX35" i="3"/>
  <c r="BX36" i="6" s="1"/>
  <c r="Q35" i="3"/>
  <c r="Q36" i="6"/>
  <c r="BM35" i="3"/>
  <c r="BM36" i="6"/>
  <c r="BF35" i="3"/>
  <c r="BF36" i="6"/>
  <c r="CQ35" i="3"/>
  <c r="CQ36" i="6" s="1"/>
  <c r="BB35" i="3"/>
  <c r="BB36" i="6"/>
  <c r="CX35" i="3"/>
  <c r="CX36" i="6"/>
  <c r="DB35" i="3"/>
  <c r="DB36" i="6"/>
  <c r="DH35" i="3"/>
  <c r="DH36" i="6" s="1"/>
  <c r="D35" i="3"/>
  <c r="D36" i="6"/>
  <c r="AV35" i="3"/>
  <c r="AV36" i="6"/>
  <c r="DB43" i="3"/>
  <c r="DB44" i="6"/>
  <c r="CO43" i="3"/>
  <c r="CO44" i="6" s="1"/>
  <c r="CR39" i="3"/>
  <c r="CR40" i="6"/>
  <c r="DF39" i="3"/>
  <c r="DF40" i="6" s="1"/>
  <c r="BN39" i="3"/>
  <c r="BN40" i="6"/>
  <c r="AU39" i="3"/>
  <c r="AU40" i="6" s="1"/>
  <c r="Z39" i="3"/>
  <c r="Z40" i="6"/>
  <c r="BW39" i="3"/>
  <c r="BW40" i="6" s="1"/>
  <c r="BR39" i="3"/>
  <c r="BR40" i="6"/>
  <c r="DP39" i="3"/>
  <c r="DP40" i="6" s="1"/>
  <c r="CS39" i="3"/>
  <c r="CS40" i="6"/>
  <c r="DJ39" i="3"/>
  <c r="DJ40" i="6"/>
  <c r="AC39" i="3"/>
  <c r="AC40" i="6" s="1"/>
  <c r="BP43" i="3"/>
  <c r="BP44" i="6" s="1"/>
  <c r="CZ39" i="3"/>
  <c r="CZ40" i="6"/>
  <c r="E128" i="3"/>
  <c r="E129" i="6"/>
  <c r="BI43" i="3"/>
  <c r="BI44" i="6"/>
  <c r="DO43" i="3"/>
  <c r="DO44" i="6" s="1"/>
  <c r="CX43" i="3"/>
  <c r="CX44" i="6"/>
  <c r="E43" i="3"/>
  <c r="E44" i="6"/>
  <c r="W43" i="3"/>
  <c r="W44" i="6" s="1"/>
  <c r="R43" i="3"/>
  <c r="R44" i="6" s="1"/>
  <c r="BU43" i="3"/>
  <c r="BU44" i="6"/>
  <c r="BS39" i="3"/>
  <c r="BS40" i="6"/>
  <c r="BH39" i="3"/>
  <c r="BH40" i="6"/>
  <c r="BQ43" i="3"/>
  <c r="BQ44" i="6" s="1"/>
  <c r="C44" i="6"/>
  <c r="BQ35" i="3"/>
  <c r="BQ36" i="6"/>
  <c r="AJ39" i="3"/>
  <c r="AJ40" i="6"/>
  <c r="AC43" i="3"/>
  <c r="AC44" i="6" s="1"/>
  <c r="BL55" i="3"/>
  <c r="BL56" i="6" s="1"/>
  <c r="AR39" i="3"/>
  <c r="AR40" i="6"/>
  <c r="AV39" i="3"/>
  <c r="AV40" i="6"/>
  <c r="AK51" i="3"/>
  <c r="AK52" i="6" s="1"/>
  <c r="BH51" i="3"/>
  <c r="BH52" i="6" s="1"/>
  <c r="CZ55" i="3"/>
  <c r="CZ56" i="6"/>
  <c r="CY55" i="3"/>
  <c r="CY56" i="6"/>
  <c r="AH55" i="3"/>
  <c r="AH56" i="6" s="1"/>
  <c r="M55" i="3"/>
  <c r="M56" i="6" s="1"/>
  <c r="CG55" i="3"/>
  <c r="CG56" i="6"/>
  <c r="CZ51" i="3"/>
  <c r="CZ52" i="6"/>
  <c r="AB51" i="3"/>
  <c r="AB52" i="6" s="1"/>
  <c r="CH51" i="3"/>
  <c r="CH52" i="6" s="1"/>
  <c r="BA51" i="3"/>
  <c r="BA52" i="6"/>
  <c r="AG51" i="3"/>
  <c r="AG52" i="6"/>
  <c r="AT51" i="3"/>
  <c r="AT52" i="6" s="1"/>
  <c r="S39" i="3"/>
  <c r="S40" i="6" s="1"/>
  <c r="C76" i="6"/>
  <c r="AI75" i="3"/>
  <c r="AI76" i="6" s="1"/>
  <c r="G75" i="3"/>
  <c r="G76" i="6"/>
  <c r="BE75" i="3"/>
  <c r="BE76" i="6" s="1"/>
  <c r="BS134" i="2"/>
  <c r="CL131" i="2"/>
  <c r="BH129" i="2"/>
  <c r="AC128" i="2"/>
  <c r="DG126" i="2"/>
  <c r="CB125" i="2"/>
  <c r="BM124" i="2"/>
  <c r="BR123" i="2"/>
  <c r="BW122" i="2"/>
  <c r="BT121" i="2"/>
  <c r="CC120" i="2"/>
  <c r="CH119" i="2"/>
  <c r="CI118" i="2"/>
  <c r="CN117" i="2"/>
  <c r="H117" i="2"/>
  <c r="AO116" i="2"/>
  <c r="BV115" i="2"/>
  <c r="DC114" i="2"/>
  <c r="S114" i="2"/>
  <c r="AZ113" i="2"/>
  <c r="CK112" i="2"/>
  <c r="Y112" i="2"/>
  <c r="CH111" i="2"/>
  <c r="AD111" i="2"/>
  <c r="CI110" i="2"/>
  <c r="AI110" i="2"/>
  <c r="DD109" i="2"/>
  <c r="BL109" i="2"/>
  <c r="X109" i="2"/>
  <c r="CW108" i="2"/>
  <c r="BE108" i="2"/>
  <c r="Q108" i="2"/>
  <c r="CL107" i="2"/>
  <c r="BK134" i="2"/>
  <c r="CD131" i="2"/>
  <c r="AZ129" i="2"/>
  <c r="U128" i="2"/>
  <c r="DC126" i="2"/>
  <c r="BL125" i="2"/>
  <c r="BE124" i="2"/>
  <c r="BJ123" i="2"/>
  <c r="BK122" i="2"/>
  <c r="BP121" i="2"/>
  <c r="BY120" i="2"/>
  <c r="BZ119" i="2"/>
  <c r="CE118" i="2"/>
  <c r="CJ117" i="2"/>
  <c r="DQ116" i="2"/>
  <c r="AK116" i="2"/>
  <c r="BR115" i="2"/>
  <c r="CU114" i="2"/>
  <c r="O114" i="2"/>
  <c r="AV113" i="2"/>
  <c r="CC112" i="2"/>
  <c r="Q112" i="2"/>
  <c r="BZ111" i="2"/>
  <c r="V111" i="2"/>
  <c r="CE110" i="2"/>
  <c r="AA110" i="2"/>
  <c r="CZ109" i="2"/>
  <c r="BH109" i="2"/>
  <c r="P109" i="2"/>
  <c r="CS108" i="2"/>
  <c r="BA108" i="2"/>
  <c r="I108" i="2"/>
  <c r="CH107" i="2"/>
  <c r="CO48" i="3"/>
  <c r="CO49" i="6" s="1"/>
  <c r="C49" i="6"/>
  <c r="CV48" i="3"/>
  <c r="CV49" i="6" s="1"/>
  <c r="BL48" i="3"/>
  <c r="BL49" i="6" s="1"/>
  <c r="CB52" i="3"/>
  <c r="CB53" i="6"/>
  <c r="AJ52" i="3"/>
  <c r="AJ53" i="6"/>
  <c r="E52" i="3"/>
  <c r="E53" i="6" s="1"/>
  <c r="BU52" i="3"/>
  <c r="BU53" i="6"/>
  <c r="CZ52" i="3"/>
  <c r="CZ53" i="6"/>
  <c r="DH52" i="3"/>
  <c r="DH53" i="6"/>
  <c r="DA52" i="3"/>
  <c r="DA53" i="6" s="1"/>
  <c r="AN60" i="3"/>
  <c r="AN61" i="6" s="1"/>
  <c r="DL64" i="3"/>
  <c r="DL65" i="6"/>
  <c r="BH64" i="3"/>
  <c r="BH65" i="6"/>
  <c r="E64" i="3"/>
  <c r="E65" i="6" s="1"/>
  <c r="BQ64" i="3"/>
  <c r="BQ65" i="6"/>
  <c r="M64" i="3"/>
  <c r="M65" i="6"/>
  <c r="BY64" i="3"/>
  <c r="BY65" i="6" s="1"/>
  <c r="X64" i="3"/>
  <c r="X65" i="6" s="1"/>
  <c r="BD64" i="3"/>
  <c r="BD65" i="6"/>
  <c r="CB64" i="3"/>
  <c r="CB65" i="6"/>
  <c r="DH64" i="3"/>
  <c r="DH65" i="6"/>
  <c r="AG64" i="3"/>
  <c r="AG65" i="6" s="1"/>
  <c r="BM64" i="3"/>
  <c r="BM65" i="6" s="1"/>
  <c r="DQ64" i="3"/>
  <c r="DQ65" i="6"/>
  <c r="CF64" i="3"/>
  <c r="CF65" i="6"/>
  <c r="BP64" i="3"/>
  <c r="BP65" i="6" s="1"/>
  <c r="U64" i="3"/>
  <c r="U65" i="6"/>
  <c r="CG64" i="3"/>
  <c r="CG65" i="6"/>
  <c r="AC64" i="3"/>
  <c r="AC65" i="6"/>
  <c r="CO64" i="3"/>
  <c r="CO65" i="6" s="1"/>
  <c r="AF64" i="3"/>
  <c r="AF65" i="6"/>
  <c r="CJ64" i="3"/>
  <c r="CJ65" i="6"/>
  <c r="DP64" i="3"/>
  <c r="DP65" i="6"/>
  <c r="I64" i="3"/>
  <c r="I65" i="6" s="1"/>
  <c r="AO64" i="3"/>
  <c r="AO65" i="6"/>
  <c r="BU64" i="3"/>
  <c r="BU65" i="6"/>
  <c r="CS64" i="3"/>
  <c r="CS65" i="6"/>
  <c r="CT127" i="3"/>
  <c r="CT128" i="6" s="1"/>
  <c r="C128" i="6"/>
  <c r="DI127" i="3"/>
  <c r="DI128" i="6"/>
  <c r="CG127" i="3"/>
  <c r="CG128" i="6"/>
  <c r="BU127" i="3"/>
  <c r="BU128" i="6"/>
  <c r="BI127" i="3"/>
  <c r="BI128" i="6" s="1"/>
  <c r="AW127" i="3"/>
  <c r="AW128" i="6"/>
  <c r="U127" i="3"/>
  <c r="U128" i="6"/>
  <c r="I127" i="3"/>
  <c r="I128" i="6"/>
  <c r="DC127" i="3"/>
  <c r="DC128" i="6" s="1"/>
  <c r="BR127" i="3"/>
  <c r="BR128" i="6"/>
  <c r="AV127" i="3"/>
  <c r="AV128" i="6" s="1"/>
  <c r="AA127" i="3"/>
  <c r="AA128" i="6" s="1"/>
  <c r="F127" i="3"/>
  <c r="F128" i="6" s="1"/>
  <c r="AE127" i="3"/>
  <c r="AE128" i="6"/>
  <c r="BH127" i="3"/>
  <c r="BH128" i="6"/>
  <c r="CD127" i="3"/>
  <c r="CD128" i="6"/>
  <c r="DF127" i="3"/>
  <c r="DF128" i="6" s="1"/>
  <c r="DE127" i="3"/>
  <c r="DE128" i="6"/>
  <c r="CO127" i="3"/>
  <c r="CO128" i="6" s="1"/>
  <c r="BY127" i="3"/>
  <c r="BY128" i="6" s="1"/>
  <c r="BE127" i="3"/>
  <c r="BE128" i="6" s="1"/>
  <c r="AO127" i="3"/>
  <c r="AO128" i="6"/>
  <c r="Y127" i="3"/>
  <c r="Y128" i="6"/>
  <c r="E127" i="3"/>
  <c r="E128" i="6" s="1"/>
  <c r="CR127" i="3"/>
  <c r="CR128" i="6" s="1"/>
  <c r="BW127" i="3"/>
  <c r="BW128" i="6"/>
  <c r="AQ127" i="3"/>
  <c r="AQ128" i="6"/>
  <c r="P127" i="3"/>
  <c r="P128" i="6" s="1"/>
  <c r="X127" i="3"/>
  <c r="X128" i="6" s="1"/>
  <c r="CQ127" i="3"/>
  <c r="CQ128" i="6"/>
  <c r="AD127" i="3"/>
  <c r="AD128" i="6"/>
  <c r="BF127" i="3"/>
  <c r="BF128" i="6"/>
  <c r="O127" i="3"/>
  <c r="O128" i="6" s="1"/>
  <c r="Z127" i="3"/>
  <c r="Z128" i="6"/>
  <c r="BC127" i="3"/>
  <c r="BC128" i="6" s="1"/>
  <c r="AJ127" i="3"/>
  <c r="AJ128" i="6"/>
  <c r="DD127" i="3"/>
  <c r="DD128" i="6" s="1"/>
  <c r="CE127" i="3"/>
  <c r="CE128" i="6"/>
  <c r="S127" i="3"/>
  <c r="S128" i="6"/>
  <c r="L127" i="3"/>
  <c r="L128" i="6"/>
  <c r="BZ127" i="3"/>
  <c r="BZ128" i="6" s="1"/>
  <c r="DQ127" i="3"/>
  <c r="DQ128" i="6"/>
  <c r="DA127" i="3"/>
  <c r="DA128" i="6" s="1"/>
  <c r="CK127" i="3"/>
  <c r="CK128" i="6" s="1"/>
  <c r="BQ127" i="3"/>
  <c r="BQ128" i="6" s="1"/>
  <c r="BA127" i="3"/>
  <c r="BA128" i="6"/>
  <c r="AK127" i="3"/>
  <c r="AK128" i="6"/>
  <c r="DN127" i="3"/>
  <c r="DN128" i="6"/>
  <c r="CM127" i="3"/>
  <c r="CM128" i="6" s="1"/>
  <c r="BL127" i="3"/>
  <c r="BL128" i="6"/>
  <c r="AL127" i="3"/>
  <c r="AL128" i="6" s="1"/>
  <c r="K127" i="3"/>
  <c r="K128" i="6" s="1"/>
  <c r="AM127" i="3"/>
  <c r="AM128" i="6" s="1"/>
  <c r="BO127" i="3"/>
  <c r="BO128" i="6"/>
  <c r="CY127" i="3"/>
  <c r="CY128" i="6"/>
  <c r="DB127" i="3"/>
  <c r="DB128" i="6" s="1"/>
  <c r="BP127" i="3"/>
  <c r="BP128" i="6" s="1"/>
  <c r="T127" i="3"/>
  <c r="T128" i="6"/>
  <c r="CI127" i="3"/>
  <c r="CI128" i="6"/>
  <c r="AI127" i="3"/>
  <c r="AI128" i="6"/>
  <c r="BX127" i="3"/>
  <c r="BX128" i="6" s="1"/>
  <c r="CZ127" i="3"/>
  <c r="CZ128" i="6"/>
  <c r="CL127" i="3"/>
  <c r="CL128" i="6"/>
  <c r="CN127" i="3"/>
  <c r="CN128" i="6"/>
  <c r="W127" i="3"/>
  <c r="W128" i="6" s="1"/>
  <c r="AU127" i="3"/>
  <c r="AU128" i="6"/>
  <c r="AN127" i="3"/>
  <c r="AN128" i="6" s="1"/>
  <c r="CA127" i="3"/>
  <c r="CA128" i="6"/>
  <c r="AB127" i="3"/>
  <c r="AB128" i="6" s="1"/>
  <c r="CW127" i="3"/>
  <c r="CW128" i="6"/>
  <c r="AG127" i="3"/>
  <c r="AG128" i="6"/>
  <c r="DH127" i="3"/>
  <c r="DH128" i="6"/>
  <c r="BG127" i="3"/>
  <c r="BG128" i="6" s="1"/>
  <c r="J127" i="3"/>
  <c r="J128" i="6"/>
  <c r="BV127" i="3"/>
  <c r="BV128" i="6" s="1"/>
  <c r="BJ127" i="3"/>
  <c r="BJ128" i="6" s="1"/>
  <c r="AR127" i="3"/>
  <c r="AR128" i="6" s="1"/>
  <c r="G127" i="3"/>
  <c r="G128" i="6"/>
  <c r="DP127" i="3"/>
  <c r="DP128" i="6"/>
  <c r="DM127" i="3"/>
  <c r="DM128" i="6"/>
  <c r="Q127" i="3"/>
  <c r="Q128" i="6" s="1"/>
  <c r="CH127" i="3"/>
  <c r="CH128" i="6"/>
  <c r="AF127" i="3"/>
  <c r="AF128" i="6" s="1"/>
  <c r="AT127" i="3"/>
  <c r="AT128" i="6" s="1"/>
  <c r="DL127" i="3"/>
  <c r="DL128" i="6" s="1"/>
  <c r="AP127" i="3"/>
  <c r="AP128" i="6"/>
  <c r="DG127" i="3"/>
  <c r="DG128" i="6"/>
  <c r="N127" i="3"/>
  <c r="N128" i="6" s="1"/>
  <c r="D127" i="3"/>
  <c r="D128" i="6" s="1"/>
  <c r="DP128" i="3"/>
  <c r="DP129" i="6"/>
  <c r="BS128" i="3"/>
  <c r="BS129" i="6"/>
  <c r="AY128" i="3"/>
  <c r="AY129" i="6" s="1"/>
  <c r="DJ128" i="3"/>
  <c r="DJ129" i="6" s="1"/>
  <c r="G128" i="3"/>
  <c r="G129" i="6"/>
  <c r="BT128" i="3"/>
  <c r="BT129" i="6"/>
  <c r="N128" i="3"/>
  <c r="N129" i="6"/>
  <c r="CG128" i="3"/>
  <c r="CG129" i="6" s="1"/>
  <c r="CU128" i="3"/>
  <c r="CU129" i="6"/>
  <c r="BQ128" i="3"/>
  <c r="BQ129" i="6" s="1"/>
  <c r="DK128" i="3"/>
  <c r="DK129" i="6"/>
  <c r="CM128" i="3"/>
  <c r="CM129" i="6" s="1"/>
  <c r="AW128" i="3"/>
  <c r="AW129" i="6"/>
  <c r="I128" i="3"/>
  <c r="I129" i="6"/>
  <c r="DH128" i="3"/>
  <c r="DH129" i="6"/>
  <c r="AZ128" i="3"/>
  <c r="AZ129" i="6" s="1"/>
  <c r="D128" i="3"/>
  <c r="D129" i="6"/>
  <c r="AS128" i="3"/>
  <c r="AS129" i="6" s="1"/>
  <c r="BO128" i="3"/>
  <c r="BO129" i="6"/>
  <c r="AQ128" i="3"/>
  <c r="AQ129" i="6" s="1"/>
  <c r="DD128" i="3"/>
  <c r="DD129" i="6"/>
  <c r="AV128" i="3"/>
  <c r="AV129" i="6"/>
  <c r="CT128" i="3"/>
  <c r="CT129" i="6"/>
  <c r="R128" i="3"/>
  <c r="R129" i="6" s="1"/>
  <c r="CX128" i="3"/>
  <c r="CX129" i="6"/>
  <c r="M128" i="3"/>
  <c r="M129" i="6"/>
  <c r="BX128" i="3"/>
  <c r="BX129" i="6" s="1"/>
  <c r="BN128" i="3"/>
  <c r="BN129" i="6" s="1"/>
  <c r="DL128" i="3"/>
  <c r="DL129" i="6"/>
  <c r="Y128" i="3"/>
  <c r="Y129" i="6"/>
  <c r="CC128" i="3"/>
  <c r="CC129" i="6"/>
  <c r="BH128" i="3"/>
  <c r="BH129" i="6" s="1"/>
  <c r="AX128" i="3"/>
  <c r="AX129" i="6"/>
  <c r="CV128" i="3"/>
  <c r="CV129" i="6"/>
  <c r="DC128" i="3"/>
  <c r="DC129" i="6" s="1"/>
  <c r="AI128" i="3"/>
  <c r="AI129" i="6" s="1"/>
  <c r="AU128" i="3"/>
  <c r="AU129" i="6"/>
  <c r="DN128" i="3"/>
  <c r="DN129" i="6"/>
  <c r="DG128" i="3"/>
  <c r="DG129" i="6"/>
  <c r="AK128" i="3"/>
  <c r="AK129" i="6" s="1"/>
  <c r="AJ128" i="3"/>
  <c r="AJ129" i="6"/>
  <c r="W128" i="3"/>
  <c r="W129" i="6"/>
  <c r="BU128" i="3"/>
  <c r="BU129" i="6"/>
  <c r="AF128" i="3"/>
  <c r="AF129" i="6" s="1"/>
  <c r="Q128" i="3"/>
  <c r="Q129" i="6"/>
  <c r="DF128" i="3"/>
  <c r="DF129" i="6"/>
  <c r="CZ128" i="3"/>
  <c r="CZ129" i="6"/>
  <c r="CI128" i="3"/>
  <c r="CI129" i="6" s="1"/>
  <c r="AP128" i="3"/>
  <c r="AP129" i="6"/>
  <c r="AG128" i="3"/>
  <c r="AG129" i="6" s="1"/>
  <c r="U128" i="3"/>
  <c r="U129" i="6"/>
  <c r="BB128" i="3"/>
  <c r="BB129" i="6" s="1"/>
  <c r="S128" i="3"/>
  <c r="S129" i="6"/>
  <c r="CR128" i="3"/>
  <c r="CR129" i="6" s="1"/>
  <c r="CY128" i="3"/>
  <c r="CY129" i="6"/>
  <c r="CQ128" i="3"/>
  <c r="CQ129" i="6" s="1"/>
  <c r="CN128" i="3"/>
  <c r="CN129" i="6"/>
  <c r="BY128" i="3"/>
  <c r="BY129" i="6"/>
  <c r="CO128" i="3"/>
  <c r="CO129" i="6" s="1"/>
  <c r="CF127" i="3"/>
  <c r="CF128" i="6" s="1"/>
  <c r="DE128" i="3"/>
  <c r="DE129" i="6"/>
  <c r="L128" i="3"/>
  <c r="L129" i="6"/>
  <c r="AM128" i="3"/>
  <c r="AM129" i="6"/>
  <c r="BL128" i="3"/>
  <c r="BL129" i="6" s="1"/>
  <c r="O128" i="3"/>
  <c r="O129" i="6"/>
  <c r="BI128" i="3"/>
  <c r="BI129" i="6"/>
  <c r="BP128" i="3"/>
  <c r="BP129" i="6"/>
  <c r="CE128" i="3"/>
  <c r="CE129" i="6" s="1"/>
  <c r="AA128" i="3"/>
  <c r="AA129" i="6"/>
  <c r="BR128" i="3"/>
  <c r="BR129" i="6"/>
  <c r="BK128" i="3"/>
  <c r="BK129" i="6"/>
  <c r="DI128" i="3"/>
  <c r="DI129" i="6" s="1"/>
  <c r="DM128" i="3"/>
  <c r="DM129" i="6"/>
  <c r="AB128" i="3"/>
  <c r="AB129" i="6"/>
  <c r="AH128" i="3"/>
  <c r="AH129" i="6"/>
  <c r="BF128" i="3"/>
  <c r="BF129" i="6" s="1"/>
  <c r="AY127" i="3"/>
  <c r="CP127" i="3"/>
  <c r="CP128" i="6"/>
  <c r="V127" i="3"/>
  <c r="V128" i="6"/>
  <c r="M127" i="3"/>
  <c r="M128" i="6" s="1"/>
  <c r="CC127" i="3"/>
  <c r="CC128" i="6"/>
  <c r="Y132" i="3"/>
  <c r="Y133" i="6"/>
  <c r="AE132" i="3"/>
  <c r="AE133" i="6"/>
  <c r="AQ132" i="3"/>
  <c r="AQ133" i="6" s="1"/>
  <c r="CR132" i="3"/>
  <c r="CR133" i="6"/>
  <c r="BH132" i="3"/>
  <c r="BH133" i="6"/>
  <c r="BA132" i="3"/>
  <c r="BA133" i="6" s="1"/>
  <c r="AW132" i="3"/>
  <c r="AW133" i="6" s="1"/>
  <c r="AD128" i="3"/>
  <c r="AD129" i="6"/>
  <c r="CF128" i="3"/>
  <c r="CF129" i="6"/>
  <c r="DJ127" i="3"/>
  <c r="DJ128" i="6"/>
  <c r="CJ127" i="3"/>
  <c r="CJ128" i="6" s="1"/>
  <c r="BB127" i="3"/>
  <c r="BB128" i="6"/>
  <c r="AC127" i="3"/>
  <c r="AC128" i="6"/>
  <c r="CS127" i="3"/>
  <c r="CS128" i="6"/>
  <c r="CK132" i="3"/>
  <c r="CK133" i="6" s="1"/>
  <c r="DO132" i="3"/>
  <c r="DO133" i="6"/>
  <c r="V128" i="3"/>
  <c r="V129" i="6"/>
  <c r="X132" i="3"/>
  <c r="X133" i="6"/>
  <c r="CA128" i="3"/>
  <c r="CA129" i="6" s="1"/>
  <c r="AC128" i="3"/>
  <c r="AC129" i="6" s="1"/>
  <c r="BC128" i="3"/>
  <c r="BC129" i="6"/>
  <c r="CB128" i="3"/>
  <c r="CB129" i="6"/>
  <c r="K128" i="3"/>
  <c r="K129" i="6" s="1"/>
  <c r="CD128" i="3"/>
  <c r="CD129" i="6" s="1"/>
  <c r="DA128" i="3"/>
  <c r="DA129" i="6"/>
  <c r="BZ128" i="3"/>
  <c r="BZ129" i="6" s="1"/>
  <c r="BW128" i="3"/>
  <c r="BW129" i="6" s="1"/>
  <c r="BE128" i="3"/>
  <c r="BE129" i="6" s="1"/>
  <c r="DQ128" i="3"/>
  <c r="DQ129" i="6"/>
  <c r="AN128" i="3"/>
  <c r="AN129" i="6"/>
  <c r="BK127" i="3"/>
  <c r="BK128" i="6" s="1"/>
  <c r="BT127" i="3"/>
  <c r="BT128" i="6"/>
  <c r="CV127" i="3"/>
  <c r="CV128" i="6"/>
  <c r="BN127" i="3"/>
  <c r="BN128" i="6" s="1"/>
  <c r="CA132" i="3"/>
  <c r="CA133" i="6" s="1"/>
  <c r="AL132" i="3"/>
  <c r="AL133" i="6" s="1"/>
  <c r="BD128" i="3"/>
  <c r="BD129" i="6"/>
  <c r="AE128" i="3"/>
  <c r="AE129" i="6"/>
  <c r="CH128" i="3"/>
  <c r="CH129" i="6" s="1"/>
  <c r="BA128" i="3"/>
  <c r="BA129" i="6" s="1"/>
  <c r="BV128" i="3"/>
  <c r="BV129" i="6"/>
  <c r="DO128" i="3"/>
  <c r="DO129" i="6"/>
  <c r="C129" i="6"/>
  <c r="AL128" i="3"/>
  <c r="AL129" i="6" s="1"/>
  <c r="CP128" i="3"/>
  <c r="CP129" i="6"/>
  <c r="BJ128" i="3"/>
  <c r="BJ129" i="6" s="1"/>
  <c r="DB128" i="3"/>
  <c r="DB129" i="6"/>
  <c r="AO128" i="3"/>
  <c r="AO129" i="6" s="1"/>
  <c r="F128" i="3"/>
  <c r="F129" i="6"/>
  <c r="H128" i="3"/>
  <c r="H129" i="6" s="1"/>
  <c r="BS127" i="3"/>
  <c r="BS128" i="6" s="1"/>
  <c r="BD127" i="3"/>
  <c r="BD128" i="6" s="1"/>
  <c r="AZ127" i="3"/>
  <c r="AZ128" i="6"/>
  <c r="CB127" i="3"/>
  <c r="CB128" i="6" s="1"/>
  <c r="AS127" i="3"/>
  <c r="AS128" i="6" s="1"/>
  <c r="BL44" i="2"/>
  <c r="BB42" i="2"/>
  <c r="BL4" i="2"/>
  <c r="BQ19" i="2"/>
  <c r="DM51" i="2"/>
  <c r="BJ5" i="2"/>
  <c r="CH10" i="2"/>
  <c r="BZ22" i="2"/>
  <c r="DG37" i="2"/>
  <c r="AS55" i="2"/>
  <c r="AV84" i="2"/>
  <c r="DE136" i="2"/>
  <c r="CC136" i="2"/>
  <c r="AW136" i="2"/>
  <c r="U136" i="2"/>
  <c r="DJ135" i="2"/>
  <c r="CD135" i="2"/>
  <c r="BB135" i="2"/>
  <c r="Z135" i="2"/>
  <c r="DG134" i="2"/>
  <c r="CI134" i="2"/>
  <c r="BG134" i="2"/>
  <c r="AA134" i="2"/>
  <c r="DL133" i="2"/>
  <c r="CN133" i="2"/>
  <c r="BH133" i="2"/>
  <c r="AF133" i="2"/>
  <c r="L133" i="2"/>
  <c r="DE132" i="2"/>
  <c r="CK132" i="2"/>
  <c r="BQ132" i="2"/>
  <c r="AS132" i="2"/>
  <c r="Y132" i="2"/>
  <c r="E132" i="2"/>
  <c r="CT131" i="2"/>
  <c r="BZ131" i="2"/>
  <c r="BF131" i="2"/>
  <c r="AH131" i="2"/>
  <c r="N131" i="2"/>
  <c r="DG130" i="2"/>
  <c r="CI130" i="2"/>
  <c r="BO130" i="2"/>
  <c r="AU130" i="2"/>
  <c r="W130" i="2"/>
  <c r="DP129" i="2"/>
  <c r="CJ88" i="2"/>
  <c r="M79" i="2"/>
  <c r="CY41" i="2"/>
  <c r="AH6" i="2"/>
  <c r="H24" i="2"/>
  <c r="BZ54" i="2"/>
  <c r="CP5" i="2"/>
  <c r="AE13" i="2"/>
  <c r="BY23" i="2"/>
  <c r="AS39" i="2"/>
  <c r="F58" i="2"/>
  <c r="BC89" i="2"/>
  <c r="CW136" i="2"/>
  <c r="BQ136" i="2"/>
  <c r="AS136" i="2"/>
  <c r="Q136" i="2"/>
  <c r="CX135" i="2"/>
  <c r="BV135" i="2"/>
  <c r="AX135" i="2"/>
  <c r="R135" i="2"/>
  <c r="DC134" i="2"/>
  <c r="CA134" i="2"/>
  <c r="AU134" i="2"/>
  <c r="W134" i="2"/>
  <c r="DH133" i="2"/>
  <c r="CB133" i="2"/>
  <c r="AZ133" i="2"/>
  <c r="AB133" i="2"/>
  <c r="D133" i="2"/>
  <c r="DA132" i="2"/>
  <c r="CG132" i="2"/>
  <c r="BI132" i="2"/>
  <c r="AO132" i="2"/>
  <c r="U132" i="2"/>
  <c r="DJ131" i="2"/>
  <c r="CP131" i="2"/>
  <c r="BV131" i="2"/>
  <c r="AX131" i="2"/>
  <c r="AD131" i="2"/>
  <c r="J131" i="2"/>
  <c r="CY130" i="2"/>
  <c r="CE130" i="2"/>
  <c r="BK130" i="2"/>
  <c r="AM130" i="2"/>
  <c r="S130" i="2"/>
  <c r="DL129" i="2"/>
  <c r="CN129" i="2"/>
  <c r="AS71" i="2"/>
  <c r="CR28" i="2"/>
  <c r="BZ38" i="2"/>
  <c r="X8" i="2"/>
  <c r="DE31" i="2"/>
  <c r="BR74" i="2"/>
  <c r="CG136" i="2"/>
  <c r="AC136" i="2"/>
  <c r="CL135" i="2"/>
  <c r="AH135" i="2"/>
  <c r="CM134" i="2"/>
  <c r="AM134" i="2"/>
  <c r="CR133" i="2"/>
  <c r="AJ133" i="2"/>
  <c r="DM132" i="2"/>
  <c r="BU132" i="2"/>
  <c r="AC132" i="2"/>
  <c r="DB131" i="2"/>
  <c r="BJ131" i="2"/>
  <c r="R131" i="2"/>
  <c r="CQ130" i="2"/>
  <c r="AY130" i="2"/>
  <c r="G130" i="2"/>
  <c r="CJ129" i="2"/>
  <c r="BP129" i="2"/>
  <c r="AR129" i="2"/>
  <c r="X129" i="2"/>
  <c r="D129" i="2"/>
  <c r="CW128" i="2"/>
  <c r="CC128" i="2"/>
  <c r="BI128" i="2"/>
  <c r="AK128" i="2"/>
  <c r="Q128" i="2"/>
  <c r="DJ127" i="2"/>
  <c r="CL127" i="2"/>
  <c r="BR127" i="2"/>
  <c r="AX127" i="2"/>
  <c r="Z127" i="2"/>
  <c r="F127" i="2"/>
  <c r="CY126" i="2"/>
  <c r="CA126" i="2"/>
  <c r="BG126" i="2"/>
  <c r="AM126" i="2"/>
  <c r="O126" i="2"/>
  <c r="DH125" i="2"/>
  <c r="CN125" i="2"/>
  <c r="BP125" i="2"/>
  <c r="AV125" i="2"/>
  <c r="AB125" i="2"/>
  <c r="D125" i="2"/>
  <c r="DE124" i="2"/>
  <c r="CO124" i="2"/>
  <c r="BY124" i="2"/>
  <c r="BI124" i="2"/>
  <c r="AS124" i="2"/>
  <c r="AC124" i="2"/>
  <c r="M124" i="2"/>
  <c r="DJ123" i="2"/>
  <c r="CT123" i="2"/>
  <c r="CD123" i="2"/>
  <c r="BN123" i="2"/>
  <c r="AX123" i="2"/>
  <c r="AH123" i="2"/>
  <c r="R123" i="2"/>
  <c r="DO122" i="2"/>
  <c r="CY122" i="2"/>
  <c r="CI122" i="2"/>
  <c r="BS122" i="2"/>
  <c r="BC122" i="2"/>
  <c r="AM122" i="2"/>
  <c r="W122" i="2"/>
  <c r="G122" i="2"/>
  <c r="DD121" i="2"/>
  <c r="CN121" i="2"/>
  <c r="BX121" i="2"/>
  <c r="BH121" i="2"/>
  <c r="AR121" i="2"/>
  <c r="AB121" i="2"/>
  <c r="L121" i="2"/>
  <c r="DM120" i="2"/>
  <c r="CW120" i="2"/>
  <c r="CG120" i="2"/>
  <c r="BQ120" i="2"/>
  <c r="BA120" i="2"/>
  <c r="AK120" i="2"/>
  <c r="U120" i="2"/>
  <c r="E120" i="2"/>
  <c r="DB119" i="2"/>
  <c r="CL119" i="2"/>
  <c r="BV119" i="2"/>
  <c r="BF119" i="2"/>
  <c r="AP119" i="2"/>
  <c r="Z119" i="2"/>
  <c r="J119" i="2"/>
  <c r="DG118" i="2"/>
  <c r="CQ118" i="2"/>
  <c r="CA118" i="2"/>
  <c r="BK118" i="2"/>
  <c r="AU118" i="2"/>
  <c r="AE118" i="2"/>
  <c r="O118" i="2"/>
  <c r="DL117" i="2"/>
  <c r="CV117" i="2"/>
  <c r="CF117" i="2"/>
  <c r="BP117" i="2"/>
  <c r="AZ117" i="2"/>
  <c r="AJ117" i="2"/>
  <c r="T117" i="2"/>
  <c r="D117" i="2"/>
  <c r="DE116" i="2"/>
  <c r="CO116" i="2"/>
  <c r="BY116" i="2"/>
  <c r="BI116" i="2"/>
  <c r="AS116" i="2"/>
  <c r="AC116" i="2"/>
  <c r="M116" i="2"/>
  <c r="DJ115" i="2"/>
  <c r="CT115" i="2"/>
  <c r="CD115" i="2"/>
  <c r="BN115" i="2"/>
  <c r="AX115" i="2"/>
  <c r="AH115" i="2"/>
  <c r="R115" i="2"/>
  <c r="DO114" i="2"/>
  <c r="CY114" i="2"/>
  <c r="CI114" i="2"/>
  <c r="BS114" i="2"/>
  <c r="BC114" i="2"/>
  <c r="AM114" i="2"/>
  <c r="W114" i="2"/>
  <c r="G114" i="2"/>
  <c r="DD113" i="2"/>
  <c r="CN113" i="2"/>
  <c r="BX113" i="2"/>
  <c r="BH113" i="2"/>
  <c r="AR113" i="2"/>
  <c r="AB113" i="2"/>
  <c r="L113" i="2"/>
  <c r="DM112" i="2"/>
  <c r="CW112" i="2"/>
  <c r="CG112" i="2"/>
  <c r="BQ112" i="2"/>
  <c r="BA112" i="2"/>
  <c r="AK112" i="2"/>
  <c r="U112" i="2"/>
  <c r="E112" i="2"/>
  <c r="DB111" i="2"/>
  <c r="CL111" i="2"/>
  <c r="BV111" i="2"/>
  <c r="BF111" i="2"/>
  <c r="AP111" i="2"/>
  <c r="Z111" i="2"/>
  <c r="J111" i="2"/>
  <c r="DG110" i="2"/>
  <c r="CQ110" i="2"/>
  <c r="CA110" i="2"/>
  <c r="BK110" i="2"/>
  <c r="AU110" i="2"/>
  <c r="AM33" i="2"/>
  <c r="O77" i="2"/>
  <c r="BS17" i="2"/>
  <c r="AC71" i="2"/>
  <c r="CO136" i="2"/>
  <c r="E136" i="2"/>
  <c r="BF135" i="2"/>
  <c r="CY134" i="2"/>
  <c r="O134" i="2"/>
  <c r="BP133" i="2"/>
  <c r="DQ132" i="2"/>
  <c r="BE132" i="2"/>
  <c r="I132" i="2"/>
  <c r="BN131" i="2"/>
  <c r="DO130" i="2"/>
  <c r="BS130" i="2"/>
  <c r="O130" i="2"/>
  <c r="CF129" i="2"/>
  <c r="BD129" i="2"/>
  <c r="AB129" i="2"/>
  <c r="DM128" i="2"/>
  <c r="CO128" i="2"/>
  <c r="BM128" i="2"/>
  <c r="AG128" i="2"/>
  <c r="E128" i="2"/>
  <c r="CT127" i="2"/>
  <c r="BN127" i="2"/>
  <c r="AL127" i="2"/>
  <c r="J127" i="2"/>
  <c r="CQ126" i="2"/>
  <c r="BS126" i="2"/>
  <c r="AQ126" i="2"/>
  <c r="K126" i="2"/>
  <c r="CV125" i="2"/>
  <c r="BX125" i="2"/>
  <c r="AR125" i="2"/>
  <c r="P125" i="2"/>
  <c r="DI124" i="2"/>
  <c r="CK124" i="2"/>
  <c r="BQ124" i="2"/>
  <c r="AW124" i="2"/>
  <c r="Y124" i="2"/>
  <c r="E124" i="2"/>
  <c r="CX123" i="2"/>
  <c r="BZ123" i="2"/>
  <c r="BF123" i="2"/>
  <c r="AL123" i="2"/>
  <c r="N123" i="2"/>
  <c r="DG122" i="2"/>
  <c r="CM122" i="2"/>
  <c r="BO122" i="2"/>
  <c r="AU122" i="2"/>
  <c r="AA122" i="2"/>
  <c r="DP121" i="2"/>
  <c r="CV121" i="2"/>
  <c r="CB121" i="2"/>
  <c r="BD121" i="2"/>
  <c r="AJ121" i="2"/>
  <c r="P121" i="2"/>
  <c r="DI120" i="2"/>
  <c r="CO120" i="2"/>
  <c r="BU120" i="2"/>
  <c r="AW120" i="2"/>
  <c r="AC120" i="2"/>
  <c r="I120" i="2"/>
  <c r="CX119" i="2"/>
  <c r="CD119" i="2"/>
  <c r="BJ119" i="2"/>
  <c r="AL119" i="2"/>
  <c r="R119" i="2"/>
  <c r="DK118" i="2"/>
  <c r="CM118" i="2"/>
  <c r="BS118" i="2"/>
  <c r="AY118" i="2"/>
  <c r="AA118" i="2"/>
  <c r="G118" i="2"/>
  <c r="CZ117" i="2"/>
  <c r="DN10" i="2"/>
  <c r="BQ7" i="2"/>
  <c r="AS47" i="2"/>
  <c r="DI136" i="2"/>
  <c r="DN135" i="2"/>
  <c r="J135" i="2"/>
  <c r="AQ134" i="2"/>
  <c r="AV133" i="2"/>
  <c r="CO132" i="2"/>
  <c r="M132" i="2"/>
  <c r="AT131" i="2"/>
  <c r="CU130" i="2"/>
  <c r="AE130" i="2"/>
  <c r="BX129" i="2"/>
  <c r="AN129" i="2"/>
  <c r="H129" i="2"/>
  <c r="CG128" i="2"/>
  <c r="AW128" i="2"/>
  <c r="M128" i="2"/>
  <c r="CH127" i="2"/>
  <c r="BB127" i="2"/>
  <c r="R127" i="2"/>
  <c r="CM126" i="2"/>
  <c r="BC126" i="2"/>
  <c r="W126" i="2"/>
  <c r="CR125" i="2"/>
  <c r="BH125" i="2"/>
  <c r="T125" i="2"/>
  <c r="DA124" i="2"/>
  <c r="CC124" i="2"/>
  <c r="BA124" i="2"/>
  <c r="U124" i="2"/>
  <c r="DF123" i="2"/>
  <c r="CH123" i="2"/>
  <c r="BB123" i="2"/>
  <c r="Z123" i="2"/>
  <c r="DK122" i="2"/>
  <c r="CE122" i="2"/>
  <c r="BG122" i="2"/>
  <c r="AE122" i="2"/>
  <c r="DL121" i="2"/>
  <c r="CJ121" i="2"/>
  <c r="BL121" i="2"/>
  <c r="AF121" i="2"/>
  <c r="D121" i="2"/>
  <c r="CS120" i="2"/>
  <c r="BM120" i="2"/>
  <c r="AO120" i="2"/>
  <c r="M120" i="2"/>
  <c r="CT119" i="2"/>
  <c r="BR119" i="2"/>
  <c r="AT119" i="2"/>
  <c r="N119" i="2"/>
  <c r="CY118" i="2"/>
  <c r="BW118" i="2"/>
  <c r="AQ118" i="2"/>
  <c r="S118" i="2"/>
  <c r="DD117" i="2"/>
  <c r="CB117" i="2"/>
  <c r="BH117" i="2"/>
  <c r="AN117" i="2"/>
  <c r="P117" i="2"/>
  <c r="DM116" i="2"/>
  <c r="CS116" i="2"/>
  <c r="BU116" i="2"/>
  <c r="BA116" i="2"/>
  <c r="AG116" i="2"/>
  <c r="I116" i="2"/>
  <c r="DB115" i="2"/>
  <c r="CH115" i="2"/>
  <c r="BJ115" i="2"/>
  <c r="AP115" i="2"/>
  <c r="V115" i="2"/>
  <c r="DK114" i="2"/>
  <c r="CQ114" i="2"/>
  <c r="BW114" i="2"/>
  <c r="AY114" i="2"/>
  <c r="AE114" i="2"/>
  <c r="K114" i="2"/>
  <c r="CZ113" i="2"/>
  <c r="CF113" i="2"/>
  <c r="BL113" i="2"/>
  <c r="AN113" i="2"/>
  <c r="T113" i="2"/>
  <c r="DQ112" i="2"/>
  <c r="CS112" i="2"/>
  <c r="BY112" i="2"/>
  <c r="W73" i="2"/>
  <c r="BQ11" i="2"/>
  <c r="G17" i="2"/>
  <c r="BM136" i="2"/>
  <c r="CT135" i="2"/>
  <c r="F135" i="2"/>
  <c r="G134" i="2"/>
  <c r="T133" i="2"/>
  <c r="BY132" i="2"/>
  <c r="DF131" i="2"/>
  <c r="AP131" i="2"/>
  <c r="CA130" i="2"/>
  <c r="DD129" i="2"/>
  <c r="BT129" i="2"/>
  <c r="AJ129" i="2"/>
  <c r="DI128" i="2"/>
  <c r="BY128" i="2"/>
  <c r="AS128" i="2"/>
  <c r="DN127" i="2"/>
  <c r="CD127" i="2"/>
  <c r="AP127" i="2"/>
  <c r="DO126" i="2"/>
  <c r="CI126" i="2"/>
  <c r="AU126" i="2"/>
  <c r="G126" i="2"/>
  <c r="CF125" i="2"/>
  <c r="AZ125" i="2"/>
  <c r="L125" i="2"/>
  <c r="CW124" i="2"/>
  <c r="BU124" i="2"/>
  <c r="AO124" i="2"/>
  <c r="Q124" i="2"/>
  <c r="DB123" i="2"/>
  <c r="BV123" i="2"/>
  <c r="AT123" i="2"/>
  <c r="V123" i="2"/>
  <c r="DC122" i="2"/>
  <c r="CA122" i="2"/>
  <c r="AY122" i="2"/>
  <c r="S122" i="2"/>
  <c r="DH121" i="2"/>
  <c r="CF121" i="2"/>
  <c r="AZ121" i="2"/>
  <c r="X121" i="2"/>
  <c r="DQ120" i="2"/>
  <c r="CK120" i="2"/>
  <c r="BI120" i="2"/>
  <c r="AG120" i="2"/>
  <c r="DN119" i="2"/>
  <c r="CP119" i="2"/>
  <c r="BN119" i="2"/>
  <c r="AH119" i="2"/>
  <c r="F119" i="2"/>
  <c r="CU118" i="2"/>
  <c r="BO118" i="2"/>
  <c r="AM118" i="2"/>
  <c r="K118" i="2"/>
  <c r="CR117" i="2"/>
  <c r="BX117" i="2"/>
  <c r="BD117" i="2"/>
  <c r="AF117" i="2"/>
  <c r="L117" i="2"/>
  <c r="DI116" i="2"/>
  <c r="CK116" i="2"/>
  <c r="BQ116" i="2"/>
  <c r="AW116" i="2"/>
  <c r="Y116" i="2"/>
  <c r="E116" i="2"/>
  <c r="CX115" i="2"/>
  <c r="BZ115" i="2"/>
  <c r="BF115" i="2"/>
  <c r="AL115" i="2"/>
  <c r="N115" i="2"/>
  <c r="DG114" i="2"/>
  <c r="CM114" i="2"/>
  <c r="BO114" i="2"/>
  <c r="AU114" i="2"/>
  <c r="AA114" i="2"/>
  <c r="DP113" i="2"/>
  <c r="CV113" i="2"/>
  <c r="CB113" i="2"/>
  <c r="BD113" i="2"/>
  <c r="AJ113" i="2"/>
  <c r="P113" i="2"/>
  <c r="DI112" i="2"/>
  <c r="CO112" i="2"/>
  <c r="BU112" i="2"/>
  <c r="AW112" i="2"/>
  <c r="AC112" i="2"/>
  <c r="I112" i="2"/>
  <c r="CX111" i="2"/>
  <c r="CD111" i="2"/>
  <c r="BJ111" i="2"/>
  <c r="AL111" i="2"/>
  <c r="R111" i="2"/>
  <c r="DK110" i="2"/>
  <c r="CM110" i="2"/>
  <c r="BS110" i="2"/>
  <c r="AY110" i="2"/>
  <c r="AE110" i="2"/>
  <c r="O110" i="2"/>
  <c r="DL109" i="2"/>
  <c r="CV109" i="2"/>
  <c r="CF109" i="2"/>
  <c r="BP109" i="2"/>
  <c r="AZ109" i="2"/>
  <c r="AJ109" i="2"/>
  <c r="T109" i="2"/>
  <c r="D109" i="2"/>
  <c r="DE108" i="2"/>
  <c r="CO108" i="2"/>
  <c r="BY108" i="2"/>
  <c r="BI108" i="2"/>
  <c r="AS108" i="2"/>
  <c r="AC108" i="2"/>
  <c r="M108" i="2"/>
  <c r="DJ107" i="2"/>
  <c r="CT107" i="2"/>
  <c r="CD107" i="2"/>
  <c r="BN107" i="2"/>
  <c r="AX107" i="2"/>
  <c r="AH107" i="2"/>
  <c r="R107" i="2"/>
  <c r="DO106" i="2"/>
  <c r="CY106" i="2"/>
  <c r="CI106" i="2"/>
  <c r="BS106" i="2"/>
  <c r="BC106" i="2"/>
  <c r="AM106" i="2"/>
  <c r="W106" i="2"/>
  <c r="G106" i="2"/>
  <c r="DD105" i="2"/>
  <c r="CN105" i="2"/>
  <c r="BX105" i="2"/>
  <c r="BH105" i="2"/>
  <c r="AR105" i="2"/>
  <c r="AB105" i="2"/>
  <c r="L105" i="2"/>
  <c r="DM104" i="2"/>
  <c r="CW104" i="2"/>
  <c r="CG104" i="2"/>
  <c r="BQ104" i="2"/>
  <c r="BA104" i="2"/>
  <c r="AK104" i="2"/>
  <c r="U104" i="2"/>
  <c r="E104" i="2"/>
  <c r="DB103" i="2"/>
  <c r="CL103" i="2"/>
  <c r="BV103" i="2"/>
  <c r="BF103" i="2"/>
  <c r="AP103" i="2"/>
  <c r="Z103" i="2"/>
  <c r="J103" i="2"/>
  <c r="DG102" i="2"/>
  <c r="CQ102" i="2"/>
  <c r="CA102" i="2"/>
  <c r="BK102" i="2"/>
  <c r="AU102" i="2"/>
  <c r="AE102" i="2"/>
  <c r="O102" i="2"/>
  <c r="DL101" i="2"/>
  <c r="CV101" i="2"/>
  <c r="CF101" i="2"/>
  <c r="BP101" i="2"/>
  <c r="AZ101" i="2"/>
  <c r="BK53" i="2"/>
  <c r="BL28" i="2"/>
  <c r="BR135" i="2"/>
  <c r="CV133" i="2"/>
  <c r="BA132" i="2"/>
  <c r="Z131" i="2"/>
  <c r="CZ129" i="2"/>
  <c r="T129" i="2"/>
  <c r="BQ128" i="2"/>
  <c r="DB127" i="2"/>
  <c r="AH127" i="2"/>
  <c r="BW126" i="2"/>
  <c r="DL125" i="2"/>
  <c r="AJ125" i="2"/>
  <c r="CS124" i="2"/>
  <c r="AK124" i="2"/>
  <c r="CP123" i="2"/>
  <c r="AP123" i="2"/>
  <c r="CU122" i="2"/>
  <c r="AQ122" i="2"/>
  <c r="CZ121" i="2"/>
  <c r="AV121" i="2"/>
  <c r="DE120" i="2"/>
  <c r="BE120" i="2"/>
  <c r="DJ119" i="2"/>
  <c r="BB119" i="2"/>
  <c r="DO118" i="2"/>
  <c r="BG118" i="2"/>
  <c r="DP117" i="2"/>
  <c r="BT117" i="2"/>
  <c r="AB117" i="2"/>
  <c r="DA116" i="2"/>
  <c r="BM116" i="2"/>
  <c r="U116" i="2"/>
  <c r="CP115" i="2"/>
  <c r="BB115" i="2"/>
  <c r="J115" i="2"/>
  <c r="CE114" i="2"/>
  <c r="AQ114" i="2"/>
  <c r="DL113" i="2"/>
  <c r="BT113" i="2"/>
  <c r="AF113" i="2"/>
  <c r="DE112" i="2"/>
  <c r="BM112" i="2"/>
  <c r="AO112" i="2"/>
  <c r="M112" i="2"/>
  <c r="CT111" i="2"/>
  <c r="BR111" i="2"/>
  <c r="AT111" i="2"/>
  <c r="N111" i="2"/>
  <c r="CY110" i="2"/>
  <c r="BW110" i="2"/>
  <c r="AQ110" i="2"/>
  <c r="W110" i="2"/>
  <c r="DP109" i="2"/>
  <c r="CR109" i="2"/>
  <c r="BX109" i="2"/>
  <c r="BD109" i="2"/>
  <c r="AF109" i="2"/>
  <c r="L109" i="2"/>
  <c r="DI108" i="2"/>
  <c r="CK108" i="2"/>
  <c r="BQ108" i="2"/>
  <c r="AW108" i="2"/>
  <c r="Y108" i="2"/>
  <c r="E108" i="2"/>
  <c r="CX107" i="2"/>
  <c r="BZ107" i="2"/>
  <c r="BF107" i="2"/>
  <c r="AL107" i="2"/>
  <c r="N107" i="2"/>
  <c r="DG106" i="2"/>
  <c r="CM106" i="2"/>
  <c r="BO106" i="2"/>
  <c r="AU106" i="2"/>
  <c r="AA106" i="2"/>
  <c r="DP105" i="2"/>
  <c r="CV105" i="2"/>
  <c r="CB105" i="2"/>
  <c r="BD105" i="2"/>
  <c r="AJ105" i="2"/>
  <c r="P105" i="2"/>
  <c r="DI104" i="2"/>
  <c r="CO104" i="2"/>
  <c r="BU104" i="2"/>
  <c r="AW104" i="2"/>
  <c r="AC104" i="2"/>
  <c r="I104" i="2"/>
  <c r="CX103" i="2"/>
  <c r="CD103" i="2"/>
  <c r="BJ103" i="2"/>
  <c r="AL103" i="2"/>
  <c r="R103" i="2"/>
  <c r="DK102" i="2"/>
  <c r="CM102" i="2"/>
  <c r="BS102" i="2"/>
  <c r="AY102" i="2"/>
  <c r="AA102" i="2"/>
  <c r="G102" i="2"/>
  <c r="CZ101" i="2"/>
  <c r="CB101" i="2"/>
  <c r="BH101" i="2"/>
  <c r="AN101" i="2"/>
  <c r="X101" i="2"/>
  <c r="H101" i="2"/>
  <c r="DI100" i="2"/>
  <c r="CS100" i="2"/>
  <c r="CC100" i="2"/>
  <c r="BM100" i="2"/>
  <c r="AW100" i="2"/>
  <c r="AG100" i="2"/>
  <c r="Q100" i="2"/>
  <c r="DN99" i="2"/>
  <c r="CX99" i="2"/>
  <c r="CH99" i="2"/>
  <c r="BR99" i="2"/>
  <c r="BB99" i="2"/>
  <c r="AL99" i="2"/>
  <c r="DP136" i="2"/>
  <c r="CZ136" i="2"/>
  <c r="CJ136" i="2"/>
  <c r="BT136" i="2"/>
  <c r="BD136" i="2"/>
  <c r="AN136" i="2"/>
  <c r="X136" i="2"/>
  <c r="H136" i="2"/>
  <c r="DI135" i="2"/>
  <c r="CS135" i="2"/>
  <c r="CC135" i="2"/>
  <c r="BM135" i="2"/>
  <c r="AW135" i="2"/>
  <c r="AG135" i="2"/>
  <c r="Q135" i="2"/>
  <c r="DN134" i="2"/>
  <c r="CX134" i="2"/>
  <c r="CH134" i="2"/>
  <c r="BR134" i="2"/>
  <c r="BB134" i="2"/>
  <c r="AL134" i="2"/>
  <c r="V134" i="2"/>
  <c r="F134" i="2"/>
  <c r="DC133" i="2"/>
  <c r="CM133" i="2"/>
  <c r="BW133" i="2"/>
  <c r="BG133" i="2"/>
  <c r="AQ133" i="2"/>
  <c r="AA133" i="2"/>
  <c r="K133" i="2"/>
  <c r="DH132" i="2"/>
  <c r="CR132" i="2"/>
  <c r="CB132" i="2"/>
  <c r="BL132" i="2"/>
  <c r="AV132" i="2"/>
  <c r="AF132" i="2"/>
  <c r="P132" i="2"/>
  <c r="DQ131" i="2"/>
  <c r="DA131" i="2"/>
  <c r="CK131" i="2"/>
  <c r="BU131" i="2"/>
  <c r="BE131" i="2"/>
  <c r="AO131" i="2"/>
  <c r="Y131" i="2"/>
  <c r="I131" i="2"/>
  <c r="DF130" i="2"/>
  <c r="CP130" i="2"/>
  <c r="BZ130" i="2"/>
  <c r="BJ130" i="2"/>
  <c r="AT130" i="2"/>
  <c r="AD130" i="2"/>
  <c r="N130" i="2"/>
  <c r="DK129" i="2"/>
  <c r="CU129" i="2"/>
  <c r="CE129" i="2"/>
  <c r="BO129" i="2"/>
  <c r="AY129" i="2"/>
  <c r="AI129" i="2"/>
  <c r="S129" i="2"/>
  <c r="DP128" i="2"/>
  <c r="CZ128" i="2"/>
  <c r="CJ128" i="2"/>
  <c r="BT128" i="2"/>
  <c r="BD128" i="2"/>
  <c r="AN128" i="2"/>
  <c r="X128" i="2"/>
  <c r="H128" i="2"/>
  <c r="DI127" i="2"/>
  <c r="CS127" i="2"/>
  <c r="CC127" i="2"/>
  <c r="BM127" i="2"/>
  <c r="AW127" i="2"/>
  <c r="AG127" i="2"/>
  <c r="Q127" i="2"/>
  <c r="DN126" i="2"/>
  <c r="CX126" i="2"/>
  <c r="CH126" i="2"/>
  <c r="BR126" i="2"/>
  <c r="BB126" i="2"/>
  <c r="AL126" i="2"/>
  <c r="V126" i="2"/>
  <c r="F126" i="2"/>
  <c r="DC125" i="2"/>
  <c r="CM125" i="2"/>
  <c r="BW125" i="2"/>
  <c r="BG125" i="2"/>
  <c r="AQ125" i="2"/>
  <c r="AA125" i="2"/>
  <c r="K125" i="2"/>
  <c r="DH124" i="2"/>
  <c r="CR124" i="2"/>
  <c r="CB124" i="2"/>
  <c r="BL124" i="2"/>
  <c r="AV124" i="2"/>
  <c r="AF124" i="2"/>
  <c r="P124" i="2"/>
  <c r="DQ123" i="2"/>
  <c r="DA123" i="2"/>
  <c r="CK123" i="2"/>
  <c r="BU123" i="2"/>
  <c r="BE123" i="2"/>
  <c r="AO123" i="2"/>
  <c r="Y123" i="2"/>
  <c r="I123" i="2"/>
  <c r="DF122" i="2"/>
  <c r="CP122" i="2"/>
  <c r="BZ122" i="2"/>
  <c r="BJ122" i="2"/>
  <c r="AT122" i="2"/>
  <c r="AD122" i="2"/>
  <c r="N122" i="2"/>
  <c r="DK121" i="2"/>
  <c r="CU121" i="2"/>
  <c r="CE121" i="2"/>
  <c r="BO121" i="2"/>
  <c r="AY121" i="2"/>
  <c r="AI121" i="2"/>
  <c r="S121" i="2"/>
  <c r="DP120" i="2"/>
  <c r="CZ120" i="2"/>
  <c r="CJ120" i="2"/>
  <c r="BT120" i="2"/>
  <c r="BD120" i="2"/>
  <c r="AN120" i="2"/>
  <c r="X120" i="2"/>
  <c r="H120" i="2"/>
  <c r="DI119" i="2"/>
  <c r="CS119" i="2"/>
  <c r="CC119" i="2"/>
  <c r="BM119" i="2"/>
  <c r="AW119" i="2"/>
  <c r="AG119" i="2"/>
  <c r="Q119" i="2"/>
  <c r="DN118" i="2"/>
  <c r="CX118" i="2"/>
  <c r="CH118" i="2"/>
  <c r="BR118" i="2"/>
  <c r="BB118" i="2"/>
  <c r="AL118" i="2"/>
  <c r="V118" i="2"/>
  <c r="F118" i="2"/>
  <c r="DC117" i="2"/>
  <c r="CM117" i="2"/>
  <c r="BW117" i="2"/>
  <c r="BG117" i="2"/>
  <c r="AQ117" i="2"/>
  <c r="AA117" i="2"/>
  <c r="K117" i="2"/>
  <c r="DH116" i="2"/>
  <c r="CR116" i="2"/>
  <c r="CB116" i="2"/>
  <c r="BL116" i="2"/>
  <c r="AV116" i="2"/>
  <c r="AF116" i="2"/>
  <c r="P116" i="2"/>
  <c r="DQ115" i="2"/>
  <c r="DA115" i="2"/>
  <c r="CK115" i="2"/>
  <c r="BU115" i="2"/>
  <c r="BE115" i="2"/>
  <c r="AO115" i="2"/>
  <c r="Y115" i="2"/>
  <c r="I115" i="2"/>
  <c r="DF114" i="2"/>
  <c r="CP114" i="2"/>
  <c r="BZ114" i="2"/>
  <c r="BJ114" i="2"/>
  <c r="AT114" i="2"/>
  <c r="AD114" i="2"/>
  <c r="N114" i="2"/>
  <c r="DK113" i="2"/>
  <c r="CU113" i="2"/>
  <c r="CE113" i="2"/>
  <c r="BO113" i="2"/>
  <c r="AY113" i="2"/>
  <c r="AI113" i="2"/>
  <c r="S113" i="2"/>
  <c r="DP112" i="2"/>
  <c r="CZ112" i="2"/>
  <c r="CJ112" i="2"/>
  <c r="BT112" i="2"/>
  <c r="BD112" i="2"/>
  <c r="AN112" i="2"/>
  <c r="X112" i="2"/>
  <c r="H112" i="2"/>
  <c r="DI111" i="2"/>
  <c r="CS111" i="2"/>
  <c r="CC111" i="2"/>
  <c r="BM111" i="2"/>
  <c r="AW111" i="2"/>
  <c r="AG111" i="2"/>
  <c r="Q111" i="2"/>
  <c r="DN110" i="2"/>
  <c r="CX110" i="2"/>
  <c r="CH110" i="2"/>
  <c r="BR110" i="2"/>
  <c r="BB110" i="2"/>
  <c r="AL110" i="2"/>
  <c r="V110" i="2"/>
  <c r="F110" i="2"/>
  <c r="DC109" i="2"/>
  <c r="CM109" i="2"/>
  <c r="BW109" i="2"/>
  <c r="BG109" i="2"/>
  <c r="AQ109" i="2"/>
  <c r="AA109" i="2"/>
  <c r="K109" i="2"/>
  <c r="DH108" i="2"/>
  <c r="CR108" i="2"/>
  <c r="CB108" i="2"/>
  <c r="BL108" i="2"/>
  <c r="AV108" i="2"/>
  <c r="AF108" i="2"/>
  <c r="P108" i="2"/>
  <c r="DQ107" i="2"/>
  <c r="DA107" i="2"/>
  <c r="CK107" i="2"/>
  <c r="BU107" i="2"/>
  <c r="BE107" i="2"/>
  <c r="AO107" i="2"/>
  <c r="Y107" i="2"/>
  <c r="DN50" i="2"/>
  <c r="N46" i="2"/>
  <c r="AL135" i="2"/>
  <c r="BX133" i="2"/>
  <c r="AK132" i="2"/>
  <c r="DK130" i="2"/>
  <c r="CV129" i="2"/>
  <c r="L129" i="2"/>
  <c r="BA128" i="2"/>
  <c r="CX127" i="2"/>
  <c r="V127" i="2"/>
  <c r="BK126" i="2"/>
  <c r="DD125" i="2"/>
  <c r="AF125" i="2"/>
  <c r="CG124" i="2"/>
  <c r="AG124" i="2"/>
  <c r="CL123" i="2"/>
  <c r="AD123" i="2"/>
  <c r="CQ122" i="2"/>
  <c r="AI122" i="2"/>
  <c r="CR121" i="2"/>
  <c r="AN121" i="2"/>
  <c r="DA120" i="2"/>
  <c r="AS120" i="2"/>
  <c r="DF119" i="2"/>
  <c r="AX119" i="2"/>
  <c r="DC118" i="2"/>
  <c r="BC118" i="2"/>
  <c r="DH117" i="2"/>
  <c r="BL117" i="2"/>
  <c r="X117" i="2"/>
  <c r="CW116" i="2"/>
  <c r="BE116" i="2"/>
  <c r="Q116" i="2"/>
  <c r="CL115" i="2"/>
  <c r="AT115" i="2"/>
  <c r="F115" i="2"/>
  <c r="CA114" i="2"/>
  <c r="AI114" i="2"/>
  <c r="DH113" i="2"/>
  <c r="BP113" i="2"/>
  <c r="X113" i="2"/>
  <c r="DA112" i="2"/>
  <c r="BI112" i="2"/>
  <c r="AG112" i="2"/>
  <c r="DN111" i="2"/>
  <c r="CP111" i="2"/>
  <c r="BN111" i="2"/>
  <c r="AH111" i="2"/>
  <c r="F111" i="2"/>
  <c r="CU110" i="2"/>
  <c r="BO110" i="2"/>
  <c r="AM110" i="2"/>
  <c r="S110" i="2"/>
  <c r="DH109" i="2"/>
  <c r="CN109" i="2"/>
  <c r="BT109" i="2"/>
  <c r="AV109" i="2"/>
  <c r="AB109" i="2"/>
  <c r="H109" i="2"/>
  <c r="DA108" i="2"/>
  <c r="CG108" i="2"/>
  <c r="BM108" i="2"/>
  <c r="AO108" i="2"/>
  <c r="U108" i="2"/>
  <c r="DN107" i="2"/>
  <c r="CP107" i="2"/>
  <c r="BV107" i="2"/>
  <c r="BB107" i="2"/>
  <c r="AD107" i="2"/>
  <c r="J107" i="2"/>
  <c r="DC106" i="2"/>
  <c r="CE106" i="2"/>
  <c r="BK106" i="2"/>
  <c r="AQ106" i="2"/>
  <c r="S106" i="2"/>
  <c r="DL105" i="2"/>
  <c r="CR105" i="2"/>
  <c r="BT105" i="2"/>
  <c r="AZ105" i="2"/>
  <c r="AF105" i="2"/>
  <c r="H105" i="2"/>
  <c r="DE104" i="2"/>
  <c r="CK104" i="2"/>
  <c r="BM104" i="2"/>
  <c r="AS104" i="2"/>
  <c r="Y104" i="2"/>
  <c r="DN103" i="2"/>
  <c r="CT103" i="2"/>
  <c r="BZ103" i="2"/>
  <c r="BB103" i="2"/>
  <c r="AH103" i="2"/>
  <c r="N103" i="2"/>
  <c r="DC102" i="2"/>
  <c r="CI102" i="2"/>
  <c r="BO102" i="2"/>
  <c r="AQ102" i="2"/>
  <c r="W102" i="2"/>
  <c r="DP101" i="2"/>
  <c r="CR101" i="2"/>
  <c r="BX101" i="2"/>
  <c r="BD101" i="2"/>
  <c r="AJ101" i="2"/>
  <c r="T101" i="2"/>
  <c r="D101" i="2"/>
  <c r="DE100" i="2"/>
  <c r="CO100" i="2"/>
  <c r="BY100" i="2"/>
  <c r="BI100" i="2"/>
  <c r="AS100" i="2"/>
  <c r="AC100" i="2"/>
  <c r="M100" i="2"/>
  <c r="DJ99" i="2"/>
  <c r="CT99" i="2"/>
  <c r="CD99" i="2"/>
  <c r="BN99" i="2"/>
  <c r="AX99" i="2"/>
  <c r="AH99" i="2"/>
  <c r="DL136" i="2"/>
  <c r="CV136" i="2"/>
  <c r="CF136" i="2"/>
  <c r="BP136" i="2"/>
  <c r="AZ136" i="2"/>
  <c r="AJ136" i="2"/>
  <c r="T136" i="2"/>
  <c r="D136" i="2"/>
  <c r="DE135" i="2"/>
  <c r="CO135" i="2"/>
  <c r="BY135" i="2"/>
  <c r="BI135" i="2"/>
  <c r="AS135" i="2"/>
  <c r="AC135" i="2"/>
  <c r="M135" i="2"/>
  <c r="DJ134" i="2"/>
  <c r="CT134" i="2"/>
  <c r="CD134" i="2"/>
  <c r="BN134" i="2"/>
  <c r="AX134" i="2"/>
  <c r="AH134" i="2"/>
  <c r="R134" i="2"/>
  <c r="DO133" i="2"/>
  <c r="CY133" i="2"/>
  <c r="CI133" i="2"/>
  <c r="BS133" i="2"/>
  <c r="BC133" i="2"/>
  <c r="AM133" i="2"/>
  <c r="W133" i="2"/>
  <c r="G133" i="2"/>
  <c r="DD132" i="2"/>
  <c r="CN132" i="2"/>
  <c r="BX132" i="2"/>
  <c r="BH132" i="2"/>
  <c r="AR132" i="2"/>
  <c r="AB132" i="2"/>
  <c r="L132" i="2"/>
  <c r="DM131" i="2"/>
  <c r="CW131" i="2"/>
  <c r="CG131" i="2"/>
  <c r="BQ131" i="2"/>
  <c r="BA131" i="2"/>
  <c r="AK131" i="2"/>
  <c r="U131" i="2"/>
  <c r="E131" i="2"/>
  <c r="DB130" i="2"/>
  <c r="CL130" i="2"/>
  <c r="BV130" i="2"/>
  <c r="BF130" i="2"/>
  <c r="AP130" i="2"/>
  <c r="Z130" i="2"/>
  <c r="J130" i="2"/>
  <c r="DG129" i="2"/>
  <c r="CQ129" i="2"/>
  <c r="CA129" i="2"/>
  <c r="BK129" i="2"/>
  <c r="AU129" i="2"/>
  <c r="AE129" i="2"/>
  <c r="O129" i="2"/>
  <c r="DL128" i="2"/>
  <c r="CV128" i="2"/>
  <c r="CF128" i="2"/>
  <c r="BP128" i="2"/>
  <c r="AZ128" i="2"/>
  <c r="AJ128" i="2"/>
  <c r="T128" i="2"/>
  <c r="D128" i="2"/>
  <c r="DE127" i="2"/>
  <c r="CO127" i="2"/>
  <c r="BY127" i="2"/>
  <c r="BI127" i="2"/>
  <c r="AS127" i="2"/>
  <c r="AC127" i="2"/>
  <c r="M127" i="2"/>
  <c r="DJ126" i="2"/>
  <c r="CT126" i="2"/>
  <c r="CD126" i="2"/>
  <c r="BN126" i="2"/>
  <c r="AX126" i="2"/>
  <c r="AH126" i="2"/>
  <c r="R126" i="2"/>
  <c r="DO125" i="2"/>
  <c r="CY125" i="2"/>
  <c r="CI125" i="2"/>
  <c r="BS125" i="2"/>
  <c r="BC125" i="2"/>
  <c r="AM125" i="2"/>
  <c r="W125" i="2"/>
  <c r="G125" i="2"/>
  <c r="DD124" i="2"/>
  <c r="CN124" i="2"/>
  <c r="BX124" i="2"/>
  <c r="BH124" i="2"/>
  <c r="AR124" i="2"/>
  <c r="AB124" i="2"/>
  <c r="L124" i="2"/>
  <c r="DM123" i="2"/>
  <c r="CW123" i="2"/>
  <c r="CG123" i="2"/>
  <c r="BQ123" i="2"/>
  <c r="BA123" i="2"/>
  <c r="AK123" i="2"/>
  <c r="U123" i="2"/>
  <c r="E123" i="2"/>
  <c r="DB122" i="2"/>
  <c r="CL122" i="2"/>
  <c r="BV122" i="2"/>
  <c r="BF122" i="2"/>
  <c r="AP122" i="2"/>
  <c r="Z122" i="2"/>
  <c r="J122" i="2"/>
  <c r="DG121" i="2"/>
  <c r="CQ121" i="2"/>
  <c r="CA121" i="2"/>
  <c r="BK121" i="2"/>
  <c r="AU121" i="2"/>
  <c r="AE121" i="2"/>
  <c r="O121" i="2"/>
  <c r="DL120" i="2"/>
  <c r="CV120" i="2"/>
  <c r="CF120" i="2"/>
  <c r="BP120" i="2"/>
  <c r="AZ120" i="2"/>
  <c r="AJ120" i="2"/>
  <c r="T120" i="2"/>
  <c r="D120" i="2"/>
  <c r="DE119" i="2"/>
  <c r="CO119" i="2"/>
  <c r="BY119" i="2"/>
  <c r="BI119" i="2"/>
  <c r="AS119" i="2"/>
  <c r="AC119" i="2"/>
  <c r="M119" i="2"/>
  <c r="DJ118" i="2"/>
  <c r="CT118" i="2"/>
  <c r="CD118" i="2"/>
  <c r="BN118" i="2"/>
  <c r="AX118" i="2"/>
  <c r="AH118" i="2"/>
  <c r="R118" i="2"/>
  <c r="DO117" i="2"/>
  <c r="CY117" i="2"/>
  <c r="CI117" i="2"/>
  <c r="BS117" i="2"/>
  <c r="BC117" i="2"/>
  <c r="AM117" i="2"/>
  <c r="W117" i="2"/>
  <c r="G117" i="2"/>
  <c r="DD116" i="2"/>
  <c r="CN116" i="2"/>
  <c r="BX116" i="2"/>
  <c r="BH116" i="2"/>
  <c r="AR116" i="2"/>
  <c r="AB116" i="2"/>
  <c r="L116" i="2"/>
  <c r="DM115" i="2"/>
  <c r="CW115" i="2"/>
  <c r="CG115" i="2"/>
  <c r="BQ115" i="2"/>
  <c r="BA115" i="2"/>
  <c r="AK115" i="2"/>
  <c r="U115" i="2"/>
  <c r="E115" i="2"/>
  <c r="DB114" i="2"/>
  <c r="CL114" i="2"/>
  <c r="BV114" i="2"/>
  <c r="BF114" i="2"/>
  <c r="AP114" i="2"/>
  <c r="Z114" i="2"/>
  <c r="J114" i="2"/>
  <c r="DG113" i="2"/>
  <c r="CQ113" i="2"/>
  <c r="CA113" i="2"/>
  <c r="BK113" i="2"/>
  <c r="AU113" i="2"/>
  <c r="F34" i="2"/>
  <c r="BU11" i="3"/>
  <c r="BU12" i="6"/>
  <c r="P111" i="3"/>
  <c r="P112" i="6" s="1"/>
  <c r="CS111" i="3"/>
  <c r="CS112" i="6" s="1"/>
  <c r="BD111" i="3"/>
  <c r="BD112" i="6"/>
  <c r="AX115" i="3"/>
  <c r="AX116" i="6"/>
  <c r="I115" i="3"/>
  <c r="I116" i="6"/>
  <c r="BD115" i="3"/>
  <c r="BD116" i="6" s="1"/>
  <c r="DQ52" i="3"/>
  <c r="DQ53" i="6"/>
  <c r="CS52" i="3"/>
  <c r="CS53" i="6"/>
  <c r="BM52" i="3"/>
  <c r="BM53" i="6" s="1"/>
  <c r="AO52" i="3"/>
  <c r="AO53" i="6" s="1"/>
  <c r="I52" i="3"/>
  <c r="I53" i="6"/>
  <c r="BE48" i="3"/>
  <c r="BE49" i="6"/>
  <c r="AW48" i="3"/>
  <c r="AW49" i="6"/>
  <c r="P48" i="3"/>
  <c r="P49" i="6" s="1"/>
  <c r="BT48" i="3"/>
  <c r="BT49" i="6"/>
  <c r="BX52" i="3"/>
  <c r="BX53" i="6" s="1"/>
  <c r="CN52" i="3"/>
  <c r="CN53" i="6"/>
  <c r="DD52" i="3"/>
  <c r="DD53" i="6" s="1"/>
  <c r="T52" i="3"/>
  <c r="T53" i="6"/>
  <c r="BT52" i="3"/>
  <c r="BT53" i="6" s="1"/>
  <c r="DL52" i="3"/>
  <c r="DL53" i="6"/>
  <c r="BD52" i="3"/>
  <c r="BD53" i="6" s="1"/>
  <c r="DE52" i="3"/>
  <c r="DE53" i="6"/>
  <c r="CK52" i="3"/>
  <c r="CK53" i="6" s="1"/>
  <c r="BE52" i="3"/>
  <c r="BE53" i="6" s="1"/>
  <c r="AG52" i="3"/>
  <c r="AG53" i="6" s="1"/>
  <c r="M48" i="3"/>
  <c r="M49" i="6"/>
  <c r="CC48" i="3"/>
  <c r="CC49" i="6"/>
  <c r="AN48" i="3"/>
  <c r="AN49" i="6" s="1"/>
  <c r="CR48" i="3"/>
  <c r="CR49" i="6" s="1"/>
  <c r="BA52" i="3"/>
  <c r="BA53" i="6"/>
  <c r="BQ52" i="3"/>
  <c r="BQ53" i="6" s="1"/>
  <c r="BL52" i="3"/>
  <c r="BL53" i="6" s="1"/>
  <c r="AC52" i="3"/>
  <c r="AC53" i="6" s="1"/>
  <c r="CF52" i="3"/>
  <c r="CF53" i="6"/>
  <c r="M52" i="3"/>
  <c r="M53" i="6"/>
  <c r="BP52" i="3"/>
  <c r="BP53" i="6" s="1"/>
  <c r="C53" i="6"/>
  <c r="P52" i="3"/>
  <c r="P53" i="6" s="1"/>
  <c r="DI52" i="3"/>
  <c r="DI53" i="6"/>
  <c r="CC52" i="3"/>
  <c r="CC53" i="6"/>
  <c r="Y52" i="3"/>
  <c r="Y53" i="6" s="1"/>
  <c r="E48" i="3"/>
  <c r="E49" i="6" s="1"/>
  <c r="CN48" i="3"/>
  <c r="CN49" i="6" s="1"/>
  <c r="AV48" i="3"/>
  <c r="AV49" i="6"/>
  <c r="CZ48" i="3"/>
  <c r="CZ49" i="6"/>
  <c r="AF52" i="3"/>
  <c r="AF53" i="6"/>
  <c r="AB52" i="3"/>
  <c r="AB53" i="6" s="1"/>
  <c r="AR52" i="3"/>
  <c r="AR53" i="6"/>
  <c r="AN52" i="3"/>
  <c r="AN53" i="6" s="1"/>
  <c r="CO52" i="3"/>
  <c r="CO53" i="6" s="1"/>
  <c r="X52" i="3"/>
  <c r="X53" i="6" s="1"/>
  <c r="CJ52" i="3"/>
  <c r="CJ53" i="6"/>
  <c r="X3" i="3"/>
  <c r="X4" i="6"/>
  <c r="BD132" i="3"/>
  <c r="BD133" i="6" s="1"/>
  <c r="CW132" i="3"/>
  <c r="CW133" i="6" s="1"/>
  <c r="AC132" i="3"/>
  <c r="AC133" i="6" s="1"/>
  <c r="BY132" i="3"/>
  <c r="BY133" i="6"/>
  <c r="AA132" i="3"/>
  <c r="AA133" i="6" s="1"/>
  <c r="Q87" i="3"/>
  <c r="Q88" i="6"/>
  <c r="J95" i="3"/>
  <c r="J96" i="6" s="1"/>
  <c r="AW3" i="3"/>
  <c r="AW4" i="6"/>
  <c r="BX84" i="3"/>
  <c r="BX85" i="6" s="1"/>
  <c r="CL84" i="3"/>
  <c r="CL85" i="6" s="1"/>
  <c r="AW84" i="3"/>
  <c r="AW85" i="6" s="1"/>
  <c r="AH84" i="3"/>
  <c r="AH85" i="6" s="1"/>
  <c r="CP88" i="3"/>
  <c r="CP89" i="6"/>
  <c r="AS88" i="3"/>
  <c r="AS89" i="6" s="1"/>
  <c r="L88" i="3"/>
  <c r="L89" i="6" s="1"/>
  <c r="T88" i="3"/>
  <c r="T89" i="6" s="1"/>
  <c r="CC88" i="3"/>
  <c r="CC89" i="6"/>
  <c r="K83" i="3"/>
  <c r="K84" i="6" s="1"/>
  <c r="BW95" i="3"/>
  <c r="BW96" i="6" s="1"/>
  <c r="CY95" i="3"/>
  <c r="CY96" i="6" s="1"/>
  <c r="CK95" i="3"/>
  <c r="CK96" i="6"/>
  <c r="BT95" i="3"/>
  <c r="E95" i="3"/>
  <c r="E96" i="6"/>
  <c r="AV95" i="3"/>
  <c r="AV96" i="6" s="1"/>
  <c r="DJ95" i="3"/>
  <c r="DJ96" i="6" s="1"/>
  <c r="AR83" i="3"/>
  <c r="AR84" i="6"/>
  <c r="BL83" i="3"/>
  <c r="BL84" i="6"/>
  <c r="AT83" i="3"/>
  <c r="AT84" i="6" s="1"/>
  <c r="C84" i="6"/>
  <c r="DC95" i="3"/>
  <c r="DC96" i="6"/>
  <c r="DE56" i="3"/>
  <c r="DE57" i="6"/>
  <c r="C57" i="6"/>
  <c r="CN56" i="3"/>
  <c r="CN57" i="6" s="1"/>
  <c r="BP56" i="3"/>
  <c r="BP57" i="6" s="1"/>
  <c r="AR56" i="3"/>
  <c r="AR57" i="6"/>
  <c r="L56" i="3"/>
  <c r="L57" i="6"/>
  <c r="CB56" i="3"/>
  <c r="CB57" i="6" s="1"/>
  <c r="AV56" i="3"/>
  <c r="AV57" i="6" s="1"/>
  <c r="P56" i="3"/>
  <c r="P57" i="6"/>
  <c r="CO56" i="3"/>
  <c r="CO57" i="6"/>
  <c r="AC56" i="3"/>
  <c r="AC57" i="6" s="1"/>
  <c r="DA56" i="3"/>
  <c r="DA57" i="6" s="1"/>
  <c r="AO56" i="3"/>
  <c r="AO57" i="6"/>
  <c r="BY56" i="3"/>
  <c r="BY57" i="6"/>
  <c r="BU56" i="3"/>
  <c r="BU57" i="6"/>
  <c r="I56" i="3"/>
  <c r="I57" i="6" s="1"/>
  <c r="DL56" i="3"/>
  <c r="DL57" i="6"/>
  <c r="CF56" i="3"/>
  <c r="CF57" i="6" s="1"/>
  <c r="BH56" i="3"/>
  <c r="BH57" i="6"/>
  <c r="AJ56" i="3"/>
  <c r="AJ57" i="6" s="1"/>
  <c r="DH56" i="3"/>
  <c r="DH57" i="6"/>
  <c r="BQ56" i="3"/>
  <c r="BQ57" i="6" s="1"/>
  <c r="AK56" i="3"/>
  <c r="AK57" i="6"/>
  <c r="E56" i="3"/>
  <c r="E57" i="6" s="1"/>
  <c r="BI56" i="3"/>
  <c r="BI57" i="6"/>
  <c r="Q56" i="3"/>
  <c r="Q57" i="6" s="1"/>
  <c r="CG56" i="3"/>
  <c r="CG57" i="6" s="1"/>
  <c r="U56" i="3"/>
  <c r="U57" i="6" s="1"/>
  <c r="M56" i="3"/>
  <c r="M57" i="6"/>
  <c r="BA56" i="3"/>
  <c r="BA57" i="6" s="1"/>
  <c r="CJ56" i="3"/>
  <c r="CJ57" i="6" s="1"/>
  <c r="AS56" i="3"/>
  <c r="AS57" i="6" s="1"/>
  <c r="BX56" i="3"/>
  <c r="BX57" i="6"/>
  <c r="AB56" i="3"/>
  <c r="AB57" i="6"/>
  <c r="CW56" i="3"/>
  <c r="CW57" i="6" s="1"/>
  <c r="CC56" i="3"/>
  <c r="CC57" i="6" s="1"/>
  <c r="H56" i="3"/>
  <c r="H57" i="6"/>
  <c r="DP56" i="3"/>
  <c r="DP57" i="6"/>
  <c r="DM56" i="3"/>
  <c r="DM57" i="6"/>
  <c r="T56" i="3"/>
  <c r="T57" i="6" s="1"/>
  <c r="CK56" i="3"/>
  <c r="CK57" i="6"/>
  <c r="Y56" i="3"/>
  <c r="Y57" i="6"/>
  <c r="BT56" i="3"/>
  <c r="BT57" i="6"/>
  <c r="CS56" i="3"/>
  <c r="CS57" i="6" s="1"/>
  <c r="CR56" i="3"/>
  <c r="CR57" i="6"/>
  <c r="J56" i="3"/>
  <c r="J57" i="6"/>
  <c r="DB56" i="3"/>
  <c r="DB57" i="6" s="1"/>
  <c r="G56" i="3"/>
  <c r="G57" i="6" s="1"/>
  <c r="S56" i="3"/>
  <c r="S57" i="6"/>
  <c r="AE56" i="3"/>
  <c r="AE57" i="6" s="1"/>
  <c r="AQ56" i="3"/>
  <c r="AQ57" i="6"/>
  <c r="BS56" i="3"/>
  <c r="BS57" i="6" s="1"/>
  <c r="CE56" i="3"/>
  <c r="CE57" i="6"/>
  <c r="CQ56" i="3"/>
  <c r="CQ57" i="6" s="1"/>
  <c r="DG56" i="3"/>
  <c r="DG57" i="6"/>
  <c r="DD56" i="3"/>
  <c r="DD57" i="6" s="1"/>
  <c r="D56" i="3"/>
  <c r="D57" i="6"/>
  <c r="BE56" i="3"/>
  <c r="BE57" i="6" s="1"/>
  <c r="DI56" i="3"/>
  <c r="DI57" i="6" s="1"/>
  <c r="AW56" i="3"/>
  <c r="AW57" i="6" s="1"/>
  <c r="BD56" i="3"/>
  <c r="BD57" i="6"/>
  <c r="AF56" i="3"/>
  <c r="AF57" i="6" s="1"/>
  <c r="N56" i="3"/>
  <c r="N57" i="6" s="1"/>
  <c r="V56" i="3"/>
  <c r="AD56" i="3"/>
  <c r="AD57" i="6"/>
  <c r="AL56" i="3"/>
  <c r="AL57" i="6" s="1"/>
  <c r="AT56" i="3"/>
  <c r="AT57" i="6" s="1"/>
  <c r="BB56" i="3"/>
  <c r="BB57" i="6"/>
  <c r="BJ56" i="3"/>
  <c r="BJ57" i="6"/>
  <c r="BR56" i="3"/>
  <c r="BR57" i="6"/>
  <c r="BZ56" i="3"/>
  <c r="BZ57" i="6" s="1"/>
  <c r="CH56" i="3"/>
  <c r="CH57" i="6"/>
  <c r="CP56" i="3"/>
  <c r="CP57" i="6"/>
  <c r="DF56" i="3"/>
  <c r="DF57" i="6"/>
  <c r="W56" i="3"/>
  <c r="W57" i="6" s="1"/>
  <c r="AI56" i="3"/>
  <c r="AI57" i="6"/>
  <c r="AU56" i="3"/>
  <c r="AU57" i="6"/>
  <c r="BG56" i="3"/>
  <c r="BG57" i="6"/>
  <c r="CI56" i="3"/>
  <c r="CI57" i="6" s="1"/>
  <c r="CU56" i="3"/>
  <c r="CU57" i="6"/>
  <c r="DK56" i="3"/>
  <c r="DK57" i="6"/>
  <c r="AG56" i="3"/>
  <c r="AG57" i="6" s="1"/>
  <c r="F56" i="3"/>
  <c r="F57" i="6" s="1"/>
  <c r="Z56" i="3"/>
  <c r="Z57" i="6"/>
  <c r="AP56" i="3"/>
  <c r="AP57" i="6"/>
  <c r="BF56" i="3"/>
  <c r="BF57" i="6" s="1"/>
  <c r="BV56" i="3"/>
  <c r="BV57" i="6" s="1"/>
  <c r="CL56" i="3"/>
  <c r="CL57" i="6"/>
  <c r="DN56" i="3"/>
  <c r="DN57" i="6"/>
  <c r="AY56" i="3"/>
  <c r="AY57" i="6" s="1"/>
  <c r="BW56" i="3"/>
  <c r="BW57" i="6" s="1"/>
  <c r="CY56" i="3"/>
  <c r="CY57" i="6"/>
  <c r="CV56" i="3"/>
  <c r="CV57" i="6"/>
  <c r="CZ56" i="3"/>
  <c r="CZ57" i="6"/>
  <c r="CT56" i="3"/>
  <c r="CT57" i="6" s="1"/>
  <c r="AA56" i="3"/>
  <c r="AA57" i="6"/>
  <c r="BC56" i="3"/>
  <c r="BC57" i="6"/>
  <c r="CA56" i="3"/>
  <c r="CA57" i="6" s="1"/>
  <c r="DC56" i="3"/>
  <c r="DC57" i="6" s="1"/>
  <c r="AZ56" i="3"/>
  <c r="AZ57" i="6"/>
  <c r="AN56" i="3"/>
  <c r="AN57" i="6"/>
  <c r="R56" i="3"/>
  <c r="R57" i="6"/>
  <c r="AH56" i="3"/>
  <c r="AH57" i="6" s="1"/>
  <c r="AX56" i="3"/>
  <c r="AX57" i="6"/>
  <c r="BN56" i="3"/>
  <c r="BN57" i="6"/>
  <c r="CD56" i="3"/>
  <c r="CD57" i="6"/>
  <c r="CX56" i="3"/>
  <c r="CX57" i="6" s="1"/>
  <c r="K56" i="3"/>
  <c r="K57" i="6"/>
  <c r="AM56" i="3"/>
  <c r="AM57" i="6"/>
  <c r="BK56" i="3"/>
  <c r="BK57" i="6"/>
  <c r="DQ56" i="3"/>
  <c r="DQ57" i="6" s="1"/>
  <c r="DJ56" i="3"/>
  <c r="DJ57" i="6"/>
  <c r="CM56" i="3"/>
  <c r="CM57" i="6"/>
  <c r="DO56" i="3"/>
  <c r="DO57" i="6" s="1"/>
  <c r="BL56" i="3"/>
  <c r="BL57" i="6" s="1"/>
  <c r="O56" i="3"/>
  <c r="O57" i="6"/>
  <c r="BO56" i="3"/>
  <c r="BO57" i="6"/>
  <c r="X56" i="3"/>
  <c r="X57" i="6" s="1"/>
  <c r="T83" i="3"/>
  <c r="T84" i="6" s="1"/>
  <c r="BQ83" i="3"/>
  <c r="BQ84" i="6" s="1"/>
  <c r="CC83" i="3"/>
  <c r="CC84" i="6"/>
  <c r="CX83" i="3"/>
  <c r="CX84" i="6"/>
  <c r="F83" i="3"/>
  <c r="F84" i="6" s="1"/>
  <c r="BN83" i="3"/>
  <c r="BN84" i="6"/>
  <c r="CP83" i="3"/>
  <c r="CP84" i="6" s="1"/>
  <c r="DB83" i="3"/>
  <c r="DB84" i="6"/>
  <c r="AC83" i="3"/>
  <c r="AC84" i="6"/>
  <c r="CD83" i="3"/>
  <c r="CD84" i="6" s="1"/>
  <c r="N83" i="3"/>
  <c r="N84" i="6" s="1"/>
  <c r="BM83" i="3"/>
  <c r="BM84" i="6"/>
  <c r="CL83" i="3"/>
  <c r="CL84" i="6"/>
  <c r="BV83" i="3"/>
  <c r="BV84" i="6" s="1"/>
  <c r="BE83" i="3"/>
  <c r="BE84" i="6"/>
  <c r="AG83" i="3"/>
  <c r="AG84" i="6"/>
  <c r="BC83" i="3"/>
  <c r="BC84" i="6"/>
  <c r="DO83" i="3"/>
  <c r="DO84" i="6" s="1"/>
  <c r="CR83" i="3"/>
  <c r="CR84" i="6"/>
  <c r="CA83" i="3"/>
  <c r="CA84" i="6"/>
  <c r="S83" i="3"/>
  <c r="S84" i="6"/>
  <c r="DK83" i="3"/>
  <c r="DK84" i="6" s="1"/>
  <c r="BP83" i="3"/>
  <c r="BP84" i="6" s="1"/>
  <c r="H83" i="3"/>
  <c r="H84" i="6"/>
  <c r="BT83" i="3"/>
  <c r="BT84" i="6" s="1"/>
  <c r="AI83" i="3"/>
  <c r="AI84" i="6"/>
  <c r="AJ83" i="3"/>
  <c r="AJ84" i="6" s="1"/>
  <c r="BW83" i="3"/>
  <c r="BW84" i="6"/>
  <c r="CF83" i="3"/>
  <c r="CF84" i="6"/>
  <c r="BA83" i="3"/>
  <c r="BA84" i="6" s="1"/>
  <c r="AW83" i="3"/>
  <c r="AW84" i="6"/>
  <c r="AS83" i="3"/>
  <c r="AS84" i="6"/>
  <c r="BU83" i="3"/>
  <c r="BU84" i="6"/>
  <c r="AD83" i="3"/>
  <c r="AD84" i="6" s="1"/>
  <c r="CO83" i="3"/>
  <c r="CO84" i="6" s="1"/>
  <c r="BZ83" i="3"/>
  <c r="BZ84" i="6" s="1"/>
  <c r="AH83" i="3"/>
  <c r="AH84" i="6"/>
  <c r="DN83" i="3"/>
  <c r="DN84" i="6"/>
  <c r="BY83" i="3"/>
  <c r="BY84" i="6"/>
  <c r="DF83" i="3"/>
  <c r="DF84" i="6" s="1"/>
  <c r="Z83" i="3"/>
  <c r="Z84" i="6"/>
  <c r="BI83" i="3"/>
  <c r="BI84" i="6"/>
  <c r="BS83" i="3"/>
  <c r="BS84" i="6" s="1"/>
  <c r="P83" i="3"/>
  <c r="P84" i="6" s="1"/>
  <c r="CB83" i="3"/>
  <c r="CB84" i="6"/>
  <c r="AE83" i="3"/>
  <c r="AE84" i="6" s="1"/>
  <c r="DG83" i="3"/>
  <c r="DG84" i="6" s="1"/>
  <c r="CE83" i="3"/>
  <c r="CE84" i="6" s="1"/>
  <c r="BG83" i="3"/>
  <c r="BG84" i="6"/>
  <c r="BO83" i="3"/>
  <c r="BO84" i="6"/>
  <c r="BD83" i="3"/>
  <c r="BD84" i="6"/>
  <c r="BH83" i="3"/>
  <c r="BH84" i="6" s="1"/>
  <c r="CZ83" i="3"/>
  <c r="CZ84" i="6"/>
  <c r="CI83" i="3"/>
  <c r="CI84" i="6"/>
  <c r="CG83" i="3"/>
  <c r="CG84" i="6" s="1"/>
  <c r="Q83" i="3"/>
  <c r="Q84" i="6" s="1"/>
  <c r="AL83" i="3"/>
  <c r="AL84" i="6"/>
  <c r="AO83" i="3"/>
  <c r="AO84" i="6"/>
  <c r="DM83" i="3"/>
  <c r="DM84" i="6"/>
  <c r="R83" i="3"/>
  <c r="R84" i="6" s="1"/>
  <c r="AX83" i="3"/>
  <c r="AX84" i="6"/>
  <c r="U83" i="3"/>
  <c r="U84" i="6" s="1"/>
  <c r="V83" i="3"/>
  <c r="V84" i="6"/>
  <c r="G83" i="3"/>
  <c r="G84" i="6" s="1"/>
  <c r="AF83" i="3"/>
  <c r="AF84" i="6"/>
  <c r="AU83" i="3"/>
  <c r="AU84" i="6" s="1"/>
  <c r="D83" i="3"/>
  <c r="D84" i="6"/>
  <c r="CJ83" i="3"/>
  <c r="CJ84" i="6" s="1"/>
  <c r="CM83" i="3"/>
  <c r="CM84" i="6"/>
  <c r="CN83" i="3"/>
  <c r="CN84" i="6" s="1"/>
  <c r="CU83" i="3"/>
  <c r="CU84" i="6" s="1"/>
  <c r="BX83" i="3"/>
  <c r="BX84" i="6" s="1"/>
  <c r="DC83" i="3"/>
  <c r="DC84" i="6"/>
  <c r="AQ83" i="3"/>
  <c r="AQ84" i="6"/>
  <c r="E83" i="3"/>
  <c r="E84" i="6" s="1"/>
  <c r="BF83" i="3"/>
  <c r="BF84" i="6" s="1"/>
  <c r="CW83" i="3"/>
  <c r="CW84" i="6"/>
  <c r="I83" i="3"/>
  <c r="I84" i="6" s="1"/>
  <c r="AP83" i="3"/>
  <c r="AP84" i="6"/>
  <c r="CT83" i="3"/>
  <c r="CT84" i="6" s="1"/>
  <c r="CK83" i="3"/>
  <c r="CK84" i="6"/>
  <c r="J83" i="3"/>
  <c r="J84" i="6"/>
  <c r="BB83" i="3"/>
  <c r="BB84" i="6"/>
  <c r="AK83" i="3"/>
  <c r="AK84" i="6" s="1"/>
  <c r="CS83" i="3"/>
  <c r="CS84" i="6"/>
  <c r="M83" i="3"/>
  <c r="M84" i="6"/>
  <c r="W83" i="3"/>
  <c r="W84" i="6" s="1"/>
  <c r="CY83" i="3"/>
  <c r="CY84" i="6" s="1"/>
  <c r="AV83" i="3"/>
  <c r="AV84" i="6"/>
  <c r="DH83" i="3"/>
  <c r="DH84" i="6"/>
  <c r="BK83" i="3"/>
  <c r="BK84" i="6"/>
  <c r="AY83" i="3"/>
  <c r="AY84" i="6" s="1"/>
  <c r="X83" i="3"/>
  <c r="X84" i="6"/>
  <c r="DD83" i="3"/>
  <c r="DD84" i="6" s="1"/>
  <c r="AB83" i="3"/>
  <c r="AB84" i="6"/>
  <c r="L83" i="3"/>
  <c r="L84" i="6" s="1"/>
  <c r="CV83" i="3"/>
  <c r="CV84" i="6"/>
  <c r="M87" i="3"/>
  <c r="M88" i="6" s="1"/>
  <c r="BA87" i="3"/>
  <c r="BA88" i="6"/>
  <c r="AM87" i="3"/>
  <c r="AM88" i="6" s="1"/>
  <c r="BU87" i="3"/>
  <c r="BU88" i="6"/>
  <c r="U87" i="3"/>
  <c r="U88" i="6" s="1"/>
  <c r="CK87" i="3"/>
  <c r="CK88" i="6" s="1"/>
  <c r="K87" i="3"/>
  <c r="K88" i="6" s="1"/>
  <c r="AN87" i="3"/>
  <c r="AN88" i="6"/>
  <c r="DC87" i="3"/>
  <c r="DC88" i="6"/>
  <c r="BT132" i="3"/>
  <c r="BT133" i="6" s="1"/>
  <c r="CD132" i="3"/>
  <c r="CD133" i="6" s="1"/>
  <c r="D132" i="3"/>
  <c r="D133" i="6"/>
  <c r="CS132" i="3"/>
  <c r="CS133" i="6" s="1"/>
  <c r="BX132" i="3"/>
  <c r="BX133" i="6" s="1"/>
  <c r="BQ132" i="3"/>
  <c r="BQ133" i="6" s="1"/>
  <c r="I132" i="3"/>
  <c r="I133" i="6"/>
  <c r="F132" i="3"/>
  <c r="F133" i="6"/>
  <c r="W87" i="3"/>
  <c r="W88" i="6"/>
  <c r="BU132" i="3"/>
  <c r="BU133" i="6" s="1"/>
  <c r="AU132" i="3"/>
  <c r="AU133" i="6"/>
  <c r="AP132" i="3"/>
  <c r="AP133" i="6"/>
  <c r="E132" i="3"/>
  <c r="E133" i="6" s="1"/>
  <c r="P132" i="3"/>
  <c r="P133" i="6" s="1"/>
  <c r="R132" i="3"/>
  <c r="R133" i="6"/>
  <c r="DG132" i="3"/>
  <c r="DG133" i="6"/>
  <c r="BP132" i="3"/>
  <c r="BP133" i="6"/>
  <c r="CX132" i="3"/>
  <c r="CX133" i="6" s="1"/>
  <c r="M132" i="3"/>
  <c r="M133" i="6"/>
  <c r="G132" i="3"/>
  <c r="G133" i="6" s="1"/>
  <c r="AX132" i="3"/>
  <c r="AX133" i="6"/>
  <c r="AO132" i="3"/>
  <c r="AO133" i="6" s="1"/>
  <c r="BR132" i="3"/>
  <c r="BR133" i="6"/>
  <c r="BH87" i="3"/>
  <c r="BH88" i="6" s="1"/>
  <c r="L87" i="3"/>
  <c r="L88" i="6"/>
  <c r="CS87" i="3"/>
  <c r="CS88" i="6" s="1"/>
  <c r="BP95" i="3"/>
  <c r="BP96" i="6"/>
  <c r="BP3" i="3"/>
  <c r="BP4" i="6"/>
  <c r="DB132" i="3"/>
  <c r="DB133" i="6" s="1"/>
  <c r="W88" i="3"/>
  <c r="W89" i="6" s="1"/>
  <c r="BP84" i="3"/>
  <c r="BP85" i="6"/>
  <c r="BV84" i="3"/>
  <c r="BV85" i="6"/>
  <c r="CL88" i="3"/>
  <c r="CL89" i="6" s="1"/>
  <c r="R88" i="3"/>
  <c r="R89" i="6" s="1"/>
  <c r="N88" i="3"/>
  <c r="N89" i="6"/>
  <c r="DQ88" i="3"/>
  <c r="DQ89" i="6" s="1"/>
  <c r="AG88" i="3"/>
  <c r="AG89" i="6" s="1"/>
  <c r="W95" i="3"/>
  <c r="W96" i="6" s="1"/>
  <c r="R95" i="3"/>
  <c r="R96" i="6"/>
  <c r="DL83" i="3"/>
  <c r="DL84" i="6"/>
  <c r="CH83" i="3"/>
  <c r="CH84" i="6"/>
  <c r="BJ83" i="3"/>
  <c r="BJ84" i="6" s="1"/>
  <c r="DI83" i="3"/>
  <c r="DI84" i="6"/>
  <c r="BE3" i="3"/>
  <c r="BE4" i="6"/>
  <c r="AK3" i="3"/>
  <c r="AK4" i="6" s="1"/>
  <c r="DL3" i="3"/>
  <c r="DL4" i="6" s="1"/>
  <c r="BX3" i="3"/>
  <c r="BX4" i="6"/>
  <c r="AB3" i="3"/>
  <c r="AB4" i="6"/>
  <c r="AG3" i="3"/>
  <c r="AG4" i="6"/>
  <c r="CS3" i="3"/>
  <c r="CS4" i="6" s="1"/>
  <c r="CK3" i="3"/>
  <c r="CK4" i="6"/>
  <c r="DM3" i="3"/>
  <c r="DM4" i="6" s="1"/>
  <c r="BQ3" i="3"/>
  <c r="BQ4" i="6"/>
  <c r="U3" i="3"/>
  <c r="U4" i="6" s="1"/>
  <c r="CF3" i="3"/>
  <c r="CF4" i="6"/>
  <c r="T3" i="3"/>
  <c r="T4" i="6" s="1"/>
  <c r="BM3" i="3"/>
  <c r="BM4" i="6"/>
  <c r="Y3" i="3"/>
  <c r="Y4" i="6" s="1"/>
  <c r="DA3" i="3"/>
  <c r="DA4" i="6"/>
  <c r="CW3" i="3"/>
  <c r="CW4" i="6" s="1"/>
  <c r="BI3" i="3"/>
  <c r="BI4" i="6" s="1"/>
  <c r="E3" i="3"/>
  <c r="E4" i="6" s="1"/>
  <c r="BH3" i="3"/>
  <c r="BH4" i="6"/>
  <c r="D3" i="3"/>
  <c r="D4" i="6"/>
  <c r="CC3" i="3"/>
  <c r="CC4" i="6" s="1"/>
  <c r="BA3" i="3"/>
  <c r="BA4" i="6" s="1"/>
  <c r="AZ3" i="3"/>
  <c r="AZ4" i="6"/>
  <c r="C4" i="6"/>
  <c r="AC3" i="3"/>
  <c r="AC4" i="6"/>
  <c r="AR3" i="3"/>
  <c r="AR4" i="6" s="1"/>
  <c r="F3" i="3"/>
  <c r="F4" i="6"/>
  <c r="R3" i="3"/>
  <c r="R4" i="6"/>
  <c r="AD3" i="3"/>
  <c r="AD4" i="6" s="1"/>
  <c r="AP3" i="3"/>
  <c r="AP4" i="6" s="1"/>
  <c r="BR3" i="3"/>
  <c r="BR4" i="6"/>
  <c r="CD3" i="3"/>
  <c r="CD4" i="6"/>
  <c r="CP3" i="3"/>
  <c r="CP4" i="6"/>
  <c r="DB3" i="3"/>
  <c r="DB4" i="6" s="1"/>
  <c r="S3" i="3"/>
  <c r="S4" i="6"/>
  <c r="AE3" i="3"/>
  <c r="AE4" i="6"/>
  <c r="AU3" i="3"/>
  <c r="AU4" i="6"/>
  <c r="BG3" i="3"/>
  <c r="BG4" i="6" s="1"/>
  <c r="BW3" i="3"/>
  <c r="BW4" i="6"/>
  <c r="CI3" i="3"/>
  <c r="CI4" i="6"/>
  <c r="DK3" i="3"/>
  <c r="DK4" i="6"/>
  <c r="AO3" i="3"/>
  <c r="AO4" i="6" s="1"/>
  <c r="CO3" i="3"/>
  <c r="CO4" i="6"/>
  <c r="DD3" i="3"/>
  <c r="DD4" i="6"/>
  <c r="Q3" i="3"/>
  <c r="Q4" i="6" s="1"/>
  <c r="V3" i="3"/>
  <c r="V4" i="6" s="1"/>
  <c r="AH3" i="3"/>
  <c r="AH4" i="6"/>
  <c r="AT3" i="3"/>
  <c r="AT4" i="6"/>
  <c r="BF3" i="3"/>
  <c r="BF4" i="6" s="1"/>
  <c r="CH3" i="3"/>
  <c r="CH4" i="6" s="1"/>
  <c r="CT3" i="3"/>
  <c r="CT4" i="6"/>
  <c r="DF3" i="3"/>
  <c r="DF4" i="6"/>
  <c r="G3" i="3"/>
  <c r="G4" i="6" s="1"/>
  <c r="AI3" i="3"/>
  <c r="AI4" i="6" s="1"/>
  <c r="AY3" i="3"/>
  <c r="AY4" i="6"/>
  <c r="BK3" i="3"/>
  <c r="BK4" i="6"/>
  <c r="CA3" i="3"/>
  <c r="CA4" i="6"/>
  <c r="CM3" i="3"/>
  <c r="CM4" i="6" s="1"/>
  <c r="CY3" i="3"/>
  <c r="CY4" i="6" s="1"/>
  <c r="CG3" i="3"/>
  <c r="CG4" i="6"/>
  <c r="Z3" i="3"/>
  <c r="Z4" i="6"/>
  <c r="BB3" i="3"/>
  <c r="BB4" i="6" s="1"/>
  <c r="BZ3" i="3"/>
  <c r="BZ4" i="6" s="1"/>
  <c r="O3" i="3"/>
  <c r="O4" i="6"/>
  <c r="AQ3" i="3"/>
  <c r="AQ4" i="6"/>
  <c r="BS3" i="3"/>
  <c r="BS4" i="6" s="1"/>
  <c r="CU3" i="3"/>
  <c r="CU4" i="6"/>
  <c r="CN3" i="3"/>
  <c r="CN4" i="6"/>
  <c r="J3" i="3"/>
  <c r="J4" i="6" s="1"/>
  <c r="AL3" i="3"/>
  <c r="AL4" i="6" s="1"/>
  <c r="BJ3" i="3"/>
  <c r="BJ4" i="6"/>
  <c r="DJ3" i="3"/>
  <c r="DJ4" i="6"/>
  <c r="W3" i="3"/>
  <c r="W4" i="6" s="1"/>
  <c r="CE3" i="3"/>
  <c r="CE4" i="6" s="1"/>
  <c r="DC3" i="3"/>
  <c r="DC4" i="6"/>
  <c r="N3" i="3"/>
  <c r="N4" i="6"/>
  <c r="BN3" i="3"/>
  <c r="BN4" i="6" s="1"/>
  <c r="CL3" i="3"/>
  <c r="CL4" i="6" s="1"/>
  <c r="DN3" i="3"/>
  <c r="DN4" i="6" s="1"/>
  <c r="AA3" i="3"/>
  <c r="AA4" i="6"/>
  <c r="BC3" i="3"/>
  <c r="BC4" i="6" s="1"/>
  <c r="DG3" i="3"/>
  <c r="DG4" i="6" s="1"/>
  <c r="AX3" i="3"/>
  <c r="AX4" i="6" s="1"/>
  <c r="K3" i="3"/>
  <c r="K4" i="6"/>
  <c r="DO3" i="3"/>
  <c r="DO4" i="6"/>
  <c r="BT3" i="3"/>
  <c r="BT4" i="6" s="1"/>
  <c r="P3" i="3"/>
  <c r="P4" i="6" s="1"/>
  <c r="DH3" i="3"/>
  <c r="DH4" i="6"/>
  <c r="CX3" i="3"/>
  <c r="CX4" i="6" s="1"/>
  <c r="BO3" i="3"/>
  <c r="BO4" i="6" s="1"/>
  <c r="AM3" i="3"/>
  <c r="AM4" i="6" s="1"/>
  <c r="DQ3" i="3"/>
  <c r="DQ4" i="6"/>
  <c r="CB3" i="3"/>
  <c r="CB4" i="6"/>
  <c r="CQ3" i="3"/>
  <c r="CQ4" i="6" s="1"/>
  <c r="DP3" i="3"/>
  <c r="DP4" i="6" s="1"/>
  <c r="CJ3" i="3"/>
  <c r="CJ4" i="6"/>
  <c r="AV3" i="3"/>
  <c r="AV4" i="6" s="1"/>
  <c r="BV3" i="3"/>
  <c r="BV4" i="6" s="1"/>
  <c r="AN3" i="3"/>
  <c r="AN4" i="6" s="1"/>
  <c r="M3" i="3"/>
  <c r="M4" i="6"/>
  <c r="AJ3" i="3"/>
  <c r="AJ4" i="6"/>
  <c r="DI3" i="3"/>
  <c r="DI4" i="6" s="1"/>
  <c r="H3" i="3"/>
  <c r="H4" i="6" s="1"/>
  <c r="DE3" i="3"/>
  <c r="DE4" i="6"/>
  <c r="L3" i="3"/>
  <c r="L4" i="6" s="1"/>
  <c r="BD3" i="3"/>
  <c r="BD4" i="6" s="1"/>
  <c r="BL3" i="3"/>
  <c r="BL4" i="6" s="1"/>
  <c r="I3" i="3"/>
  <c r="I4" i="6"/>
  <c r="BY3" i="3"/>
  <c r="BY4" i="6" s="1"/>
  <c r="CV3" i="3"/>
  <c r="CV4" i="6" s="1"/>
  <c r="DO82" i="3"/>
  <c r="DO83" i="6"/>
  <c r="P84" i="3"/>
  <c r="P85" i="6"/>
  <c r="CB84" i="3"/>
  <c r="CB85" i="6"/>
  <c r="BU84" i="3"/>
  <c r="BU85" i="6" s="1"/>
  <c r="DB84" i="3"/>
  <c r="DB85" i="6"/>
  <c r="AM84" i="3"/>
  <c r="AM85" i="6"/>
  <c r="BW84" i="3"/>
  <c r="BW85" i="6" s="1"/>
  <c r="CZ84" i="3"/>
  <c r="CZ85" i="6" s="1"/>
  <c r="DD84" i="3"/>
  <c r="DD85" i="6" s="1"/>
  <c r="AP84" i="3"/>
  <c r="AP85" i="6"/>
  <c r="CD84" i="3"/>
  <c r="CD85" i="6"/>
  <c r="AT84" i="3"/>
  <c r="AT85" i="6" s="1"/>
  <c r="BN84" i="3"/>
  <c r="BN85" i="6"/>
  <c r="CO84" i="3"/>
  <c r="CO85" i="6"/>
  <c r="E84" i="3"/>
  <c r="E85" i="6"/>
  <c r="BH84" i="3"/>
  <c r="BH85" i="6" s="1"/>
  <c r="BF84" i="3"/>
  <c r="BF85" i="6" s="1"/>
  <c r="CR84" i="3"/>
  <c r="CR85" i="6"/>
  <c r="BM84" i="3"/>
  <c r="BM85" i="6" s="1"/>
  <c r="DO84" i="3"/>
  <c r="DO85" i="6" s="1"/>
  <c r="CY84" i="3"/>
  <c r="CY85" i="6" s="1"/>
  <c r="AS84" i="3"/>
  <c r="AS85" i="6"/>
  <c r="BE84" i="3"/>
  <c r="BE85" i="6"/>
  <c r="BC84" i="3"/>
  <c r="BC85" i="6" s="1"/>
  <c r="V84" i="3"/>
  <c r="V85" i="6" s="1"/>
  <c r="K84" i="3"/>
  <c r="K85" i="6"/>
  <c r="DK84" i="3"/>
  <c r="DK85" i="6"/>
  <c r="BG84" i="3"/>
  <c r="BG85" i="6" s="1"/>
  <c r="CP84" i="3"/>
  <c r="CP85" i="6"/>
  <c r="AG84" i="3"/>
  <c r="AG85" i="6"/>
  <c r="Q84" i="3"/>
  <c r="Q85" i="6"/>
  <c r="BD84" i="3"/>
  <c r="BD85" i="6" s="1"/>
  <c r="L84" i="3"/>
  <c r="L85" i="6" s="1"/>
  <c r="DL84" i="3"/>
  <c r="DL85" i="6"/>
  <c r="BT84" i="3"/>
  <c r="BT85" i="6" s="1"/>
  <c r="DF84" i="3"/>
  <c r="DF85" i="6" s="1"/>
  <c r="DQ84" i="3"/>
  <c r="DQ85" i="6" s="1"/>
  <c r="D84" i="3"/>
  <c r="D85" i="6"/>
  <c r="CW84" i="3"/>
  <c r="CW85" i="6" s="1"/>
  <c r="BO84" i="3"/>
  <c r="BO85" i="6" s="1"/>
  <c r="CQ84" i="3"/>
  <c r="CQ85" i="6" s="1"/>
  <c r="BS84" i="3"/>
  <c r="BS85" i="6"/>
  <c r="O84" i="3"/>
  <c r="O85" i="6" s="1"/>
  <c r="CF84" i="3"/>
  <c r="CF85" i="6" s="1"/>
  <c r="CK84" i="3"/>
  <c r="CK85" i="6" s="1"/>
  <c r="C85" i="6"/>
  <c r="DH84" i="3"/>
  <c r="DH85" i="6"/>
  <c r="DJ84" i="3"/>
  <c r="DJ85" i="6"/>
  <c r="CE84" i="3"/>
  <c r="CE85" i="6" s="1"/>
  <c r="CU84" i="3"/>
  <c r="CU85" i="6"/>
  <c r="BK84" i="3"/>
  <c r="BK85" i="6" s="1"/>
  <c r="DN84" i="3"/>
  <c r="DN85" i="6"/>
  <c r="BB84" i="3"/>
  <c r="BB85" i="6" s="1"/>
  <c r="AD84" i="3"/>
  <c r="AD85" i="6"/>
  <c r="DA84" i="3"/>
  <c r="DA85" i="6" s="1"/>
  <c r="AR84" i="3"/>
  <c r="AR85" i="6"/>
  <c r="H84" i="3"/>
  <c r="H85" i="6" s="1"/>
  <c r="AC84" i="3"/>
  <c r="AC85" i="6"/>
  <c r="R84" i="3"/>
  <c r="R85" i="6"/>
  <c r="BL84" i="3"/>
  <c r="BL85" i="6" s="1"/>
  <c r="CX84" i="3"/>
  <c r="CX85" i="6" s="1"/>
  <c r="AL84" i="3"/>
  <c r="AL85" i="6"/>
  <c r="J84" i="3"/>
  <c r="J85" i="6"/>
  <c r="CV84" i="3"/>
  <c r="CV85" i="6" s="1"/>
  <c r="CJ84" i="3"/>
  <c r="CJ85" i="6" s="1"/>
  <c r="G84" i="3"/>
  <c r="G85" i="6"/>
  <c r="CT84" i="3"/>
  <c r="CT85" i="6" s="1"/>
  <c r="BJ84" i="3"/>
  <c r="BJ85" i="6" s="1"/>
  <c r="Y84" i="3"/>
  <c r="Y85" i="6" s="1"/>
  <c r="U84" i="3"/>
  <c r="U85" i="6"/>
  <c r="X84" i="3"/>
  <c r="X85" i="6"/>
  <c r="AK84" i="3"/>
  <c r="AK85" i="6"/>
  <c r="N84" i="3"/>
  <c r="N85" i="6" s="1"/>
  <c r="CC84" i="3"/>
  <c r="CC85" i="6"/>
  <c r="AO84" i="3"/>
  <c r="AO85" i="6"/>
  <c r="AF84" i="3"/>
  <c r="AF85" i="6" s="1"/>
  <c r="AY84" i="3"/>
  <c r="AY85" i="6" s="1"/>
  <c r="CM84" i="3"/>
  <c r="CM85" i="6"/>
  <c r="BI84" i="3"/>
  <c r="BI85" i="6"/>
  <c r="F84" i="3"/>
  <c r="F85" i="6"/>
  <c r="BR84" i="3"/>
  <c r="BR85" i="6" s="1"/>
  <c r="I84" i="3"/>
  <c r="I85" i="6"/>
  <c r="CG84" i="3"/>
  <c r="CG85" i="6" s="1"/>
  <c r="M84" i="3"/>
  <c r="M85" i="6"/>
  <c r="AN84" i="3"/>
  <c r="AN85" i="6" s="1"/>
  <c r="CI84" i="3"/>
  <c r="CI85" i="6"/>
  <c r="AX84" i="3"/>
  <c r="AX85" i="6" s="1"/>
  <c r="AE84" i="3"/>
  <c r="AE85" i="6"/>
  <c r="DC84" i="3"/>
  <c r="DC85" i="6" s="1"/>
  <c r="AZ84" i="3"/>
  <c r="AZ85" i="6"/>
  <c r="CH84" i="3"/>
  <c r="CH85" i="6" s="1"/>
  <c r="DI84" i="3"/>
  <c r="DI85" i="6" s="1"/>
  <c r="AU84" i="3"/>
  <c r="AU85" i="6" s="1"/>
  <c r="AB84" i="3"/>
  <c r="AB85" i="6"/>
  <c r="DM84" i="3"/>
  <c r="DM85" i="6"/>
  <c r="Z84" i="3"/>
  <c r="Z85" i="6" s="1"/>
  <c r="CS84" i="3"/>
  <c r="CS85" i="6" s="1"/>
  <c r="DE84" i="3"/>
  <c r="DE85" i="6"/>
  <c r="BN88" i="3"/>
  <c r="BN89" i="6" s="1"/>
  <c r="X88" i="3"/>
  <c r="X89" i="6"/>
  <c r="CY88" i="3"/>
  <c r="CY89" i="6" s="1"/>
  <c r="CI88" i="3"/>
  <c r="CI89" i="6"/>
  <c r="AN88" i="3"/>
  <c r="AN89" i="6"/>
  <c r="CJ88" i="3"/>
  <c r="CJ89" i="6"/>
  <c r="CF88" i="3"/>
  <c r="CF89" i="6" s="1"/>
  <c r="DA88" i="3"/>
  <c r="DA89" i="6"/>
  <c r="AF88" i="3"/>
  <c r="AF89" i="6"/>
  <c r="DD88" i="3"/>
  <c r="DD89" i="6" s="1"/>
  <c r="CK88" i="3"/>
  <c r="CK89" i="6" s="1"/>
  <c r="P88" i="3"/>
  <c r="P89" i="6"/>
  <c r="BP88" i="3"/>
  <c r="BP89" i="6"/>
  <c r="AL88" i="3"/>
  <c r="AL89" i="6"/>
  <c r="CX88" i="3"/>
  <c r="CX89" i="6" s="1"/>
  <c r="E88" i="3"/>
  <c r="E89" i="6"/>
  <c r="DH88" i="3"/>
  <c r="DH89" i="6" s="1"/>
  <c r="BU88" i="3"/>
  <c r="BU89" i="6"/>
  <c r="AV88" i="3"/>
  <c r="AV89" i="6" s="1"/>
  <c r="AX88" i="3"/>
  <c r="AX89" i="6"/>
  <c r="DJ88" i="3"/>
  <c r="DJ89" i="6" s="1"/>
  <c r="BG88" i="3"/>
  <c r="BG89" i="6"/>
  <c r="AH88" i="3"/>
  <c r="AH89" i="6" s="1"/>
  <c r="CT88" i="3"/>
  <c r="CT89" i="6"/>
  <c r="AU88" i="3"/>
  <c r="AU89" i="6" s="1"/>
  <c r="DG88" i="3"/>
  <c r="DG89" i="6" s="1"/>
  <c r="CD88" i="3"/>
  <c r="CD89" i="6" s="1"/>
  <c r="AY88" i="3"/>
  <c r="AY89" i="6"/>
  <c r="BC88" i="3"/>
  <c r="BC89" i="6"/>
  <c r="Z88" i="3"/>
  <c r="Z89" i="6" s="1"/>
  <c r="BS88" i="3"/>
  <c r="BS89" i="6" s="1"/>
  <c r="DP88" i="3"/>
  <c r="DP89" i="6"/>
  <c r="AM88" i="3"/>
  <c r="AM89" i="6" s="1"/>
  <c r="DI88" i="3"/>
  <c r="DI89" i="6" s="1"/>
  <c r="AW88" i="3"/>
  <c r="AW89" i="6" s="1"/>
  <c r="C89" i="6"/>
  <c r="AC88" i="3"/>
  <c r="AC89" i="6"/>
  <c r="AZ88" i="3"/>
  <c r="AZ89" i="6" s="1"/>
  <c r="CS88" i="3"/>
  <c r="CS89" i="6" s="1"/>
  <c r="BA88" i="3"/>
  <c r="BA89" i="6"/>
  <c r="BX88" i="3"/>
  <c r="BX89" i="6"/>
  <c r="Y88" i="3"/>
  <c r="Y89" i="6"/>
  <c r="D88" i="3"/>
  <c r="D89" i="6" s="1"/>
  <c r="F88" i="3"/>
  <c r="F89" i="6"/>
  <c r="BB88" i="3"/>
  <c r="BB89" i="6"/>
  <c r="DN88" i="3"/>
  <c r="DN89" i="6"/>
  <c r="BM88" i="3"/>
  <c r="BM89" i="6" s="1"/>
  <c r="CV88" i="3"/>
  <c r="CV89" i="6"/>
  <c r="BL88" i="3"/>
  <c r="BL89" i="6"/>
  <c r="J88" i="3"/>
  <c r="J89" i="6"/>
  <c r="BV88" i="3"/>
  <c r="BV89" i="6" s="1"/>
  <c r="K88" i="3"/>
  <c r="K89" i="6"/>
  <c r="DC88" i="3"/>
  <c r="DC89" i="6"/>
  <c r="BF88" i="3"/>
  <c r="BF89" i="6" s="1"/>
  <c r="O88" i="3"/>
  <c r="O89" i="6" s="1"/>
  <c r="BK88" i="3"/>
  <c r="BK89" i="6"/>
  <c r="AP88" i="3"/>
  <c r="AP89" i="6"/>
  <c r="DB88" i="3"/>
  <c r="DB89" i="6" s="1"/>
  <c r="CU88" i="3"/>
  <c r="CU89" i="6" s="1"/>
  <c r="DO88" i="3"/>
  <c r="DO89" i="6"/>
  <c r="DF88" i="3"/>
  <c r="DF89" i="6"/>
  <c r="BE88" i="3"/>
  <c r="BE89" i="6" s="1"/>
  <c r="H88" i="3"/>
  <c r="H89" i="6" s="1"/>
  <c r="BT88" i="3"/>
  <c r="BT89" i="6"/>
  <c r="DL88" i="3"/>
  <c r="DL89" i="6"/>
  <c r="AO88" i="3"/>
  <c r="AO89" i="6"/>
  <c r="DM88" i="3"/>
  <c r="DM89" i="6" s="1"/>
  <c r="AR88" i="3"/>
  <c r="AR89" i="6"/>
  <c r="BY88" i="3"/>
  <c r="BY89" i="6"/>
  <c r="I88" i="3"/>
  <c r="I89" i="6" s="1"/>
  <c r="BR88" i="3"/>
  <c r="BR89" i="6" s="1"/>
  <c r="BH88" i="3"/>
  <c r="BH89" i="6"/>
  <c r="DE88" i="3"/>
  <c r="DE89" i="6"/>
  <c r="AA88" i="3"/>
  <c r="AA89" i="6"/>
  <c r="BW88" i="3"/>
  <c r="BW89" i="6" s="1"/>
  <c r="BZ88" i="3"/>
  <c r="BZ89" i="6" s="1"/>
  <c r="CA88" i="3"/>
  <c r="CA89" i="6"/>
  <c r="BJ88" i="3"/>
  <c r="BJ89" i="6"/>
  <c r="BO88" i="3"/>
  <c r="BO89" i="6" s="1"/>
  <c r="DK88" i="3"/>
  <c r="DK89" i="6" s="1"/>
  <c r="BD88" i="3"/>
  <c r="BD89" i="6"/>
  <c r="CO88" i="3"/>
  <c r="CO89" i="6" s="1"/>
  <c r="U88" i="3"/>
  <c r="U89" i="6" s="1"/>
  <c r="V88" i="3"/>
  <c r="V89" i="6" s="1"/>
  <c r="AJ88" i="3"/>
  <c r="AJ89" i="6"/>
  <c r="AD88" i="3"/>
  <c r="AD89" i="6"/>
  <c r="CN88" i="3"/>
  <c r="CN89" i="6" s="1"/>
  <c r="AB88" i="3"/>
  <c r="AB89" i="6"/>
  <c r="S88" i="3"/>
  <c r="S89" i="6"/>
  <c r="CW88" i="3"/>
  <c r="CW89" i="6" s="1"/>
  <c r="AT88" i="3"/>
  <c r="AT89" i="6" s="1"/>
  <c r="Y91" i="3"/>
  <c r="Y92" i="6"/>
  <c r="CY91" i="3"/>
  <c r="CY92" i="6"/>
  <c r="BA91" i="3"/>
  <c r="BA92" i="6"/>
  <c r="DF91" i="3"/>
  <c r="DF92" i="6" s="1"/>
  <c r="CA91" i="3"/>
  <c r="CA92" i="6" s="1"/>
  <c r="BK95" i="3"/>
  <c r="BK96" i="6"/>
  <c r="AQ95" i="3"/>
  <c r="AQ96" i="6"/>
  <c r="CI95" i="3"/>
  <c r="CI96" i="6" s="1"/>
  <c r="CJ95" i="3"/>
  <c r="CJ96" i="6" s="1"/>
  <c r="CH95" i="3"/>
  <c r="CH96" i="6"/>
  <c r="CC95" i="3"/>
  <c r="CC96" i="6" s="1"/>
  <c r="DH95" i="3"/>
  <c r="DH96" i="6" s="1"/>
  <c r="Z95" i="3"/>
  <c r="Z96" i="6" s="1"/>
  <c r="DQ95" i="3"/>
  <c r="DQ96" i="6"/>
  <c r="DE95" i="3"/>
  <c r="DE96" i="6"/>
  <c r="BX95" i="3"/>
  <c r="BX96" i="6" s="1"/>
  <c r="DA95" i="3"/>
  <c r="DA96" i="6" s="1"/>
  <c r="CZ95" i="3"/>
  <c r="CZ96" i="6"/>
  <c r="U95" i="3"/>
  <c r="U96" i="6"/>
  <c r="DN95" i="3"/>
  <c r="DN96" i="6" s="1"/>
  <c r="CE95" i="3"/>
  <c r="CE96" i="6" s="1"/>
  <c r="CB95" i="3"/>
  <c r="CB96" i="6"/>
  <c r="BM95" i="3"/>
  <c r="BM96" i="6"/>
  <c r="DI95" i="3"/>
  <c r="DI96" i="6" s="1"/>
  <c r="CF95" i="3"/>
  <c r="CF96" i="6" s="1"/>
  <c r="BV95" i="3"/>
  <c r="BV96" i="6"/>
  <c r="AS95" i="3"/>
  <c r="AS96" i="6" s="1"/>
  <c r="X95" i="3"/>
  <c r="X96" i="6" s="1"/>
  <c r="T95" i="3"/>
  <c r="T96" i="6" s="1"/>
  <c r="DF95" i="3"/>
  <c r="DF96" i="6"/>
  <c r="AZ95" i="3"/>
  <c r="AZ96" i="6"/>
  <c r="F95" i="3"/>
  <c r="F96" i="6" s="1"/>
  <c r="AT95" i="3"/>
  <c r="AT96" i="6" s="1"/>
  <c r="N95" i="3"/>
  <c r="N96" i="6"/>
  <c r="CT95" i="3"/>
  <c r="CT96" i="6"/>
  <c r="BL95" i="3"/>
  <c r="BL96" i="6" s="1"/>
  <c r="CL95" i="3"/>
  <c r="CL96" i="6" s="1"/>
  <c r="CG95" i="3"/>
  <c r="CG96" i="6"/>
  <c r="BA95" i="3"/>
  <c r="BA96" i="6"/>
  <c r="BQ95" i="3"/>
  <c r="BQ96" i="6" s="1"/>
  <c r="M95" i="3"/>
  <c r="M96" i="6" s="1"/>
  <c r="BE95" i="3"/>
  <c r="BE96" i="6"/>
  <c r="AM95" i="3"/>
  <c r="AM96" i="6" s="1"/>
  <c r="DO95" i="3"/>
  <c r="DO96" i="6" s="1"/>
  <c r="CM95" i="3"/>
  <c r="CM96" i="6" s="1"/>
  <c r="AE95" i="3"/>
  <c r="AE96" i="6"/>
  <c r="CQ95" i="3"/>
  <c r="CQ96" i="6"/>
  <c r="BG95" i="3"/>
  <c r="BG96" i="6" s="1"/>
  <c r="AP95" i="3"/>
  <c r="AP96" i="6" s="1"/>
  <c r="DM95" i="3"/>
  <c r="DM96" i="6"/>
  <c r="BI95" i="3"/>
  <c r="BI96" i="6"/>
  <c r="AX95" i="3"/>
  <c r="AX96" i="6" s="1"/>
  <c r="AR95" i="3"/>
  <c r="AR96" i="6" s="1"/>
  <c r="BB95" i="3"/>
  <c r="BB96" i="6"/>
  <c r="AK95" i="3"/>
  <c r="AK96" i="6"/>
  <c r="H95" i="3"/>
  <c r="H96" i="6" s="1"/>
  <c r="CX95" i="3"/>
  <c r="CX96" i="6" s="1"/>
  <c r="Q95" i="3"/>
  <c r="Q96" i="6"/>
  <c r="BU95" i="3"/>
  <c r="BU96" i="6" s="1"/>
  <c r="BJ95" i="3"/>
  <c r="BJ96" i="6" s="1"/>
  <c r="CO95" i="3"/>
  <c r="CO96" i="6" s="1"/>
  <c r="CS95" i="3"/>
  <c r="CS96" i="6"/>
  <c r="AO95" i="3"/>
  <c r="AO96" i="6"/>
  <c r="CN95" i="3"/>
  <c r="CN96" i="6" s="1"/>
  <c r="BF95" i="3"/>
  <c r="BF96" i="6" s="1"/>
  <c r="DL95" i="3"/>
  <c r="DL96" i="6"/>
  <c r="G95" i="3"/>
  <c r="G96" i="6"/>
  <c r="BC95" i="3"/>
  <c r="BC96" i="6" s="1"/>
  <c r="AA95" i="3"/>
  <c r="AA96" i="6" s="1"/>
  <c r="DG95" i="3"/>
  <c r="DG96" i="6"/>
  <c r="AY95" i="3"/>
  <c r="AY96" i="6"/>
  <c r="DK95" i="3"/>
  <c r="DK96" i="6" s="1"/>
  <c r="DB95" i="3"/>
  <c r="DB96" i="6" s="1"/>
  <c r="CV95" i="3"/>
  <c r="CV96" i="6"/>
  <c r="AD95" i="3"/>
  <c r="AD96" i="6" s="1"/>
  <c r="S95" i="3"/>
  <c r="S96" i="6" s="1"/>
  <c r="DD95" i="3"/>
  <c r="DD96" i="6" s="1"/>
  <c r="V95" i="3"/>
  <c r="V96" i="6"/>
  <c r="AB95" i="3"/>
  <c r="AB96" i="6"/>
  <c r="BD95" i="3"/>
  <c r="BD96" i="6" s="1"/>
  <c r="BZ95" i="3"/>
  <c r="BZ96" i="6" s="1"/>
  <c r="BY95" i="3"/>
  <c r="BY96" i="6"/>
  <c r="BN95" i="3"/>
  <c r="BN96" i="6"/>
  <c r="AJ95" i="3"/>
  <c r="AJ96" i="6" s="1"/>
  <c r="BH95" i="3"/>
  <c r="BH96" i="6" s="1"/>
  <c r="P95" i="3"/>
  <c r="P96" i="6"/>
  <c r="CP95" i="3"/>
  <c r="CP96" i="6"/>
  <c r="AN95" i="3"/>
  <c r="AN96" i="6" s="1"/>
  <c r="AG95" i="3"/>
  <c r="AG96" i="6" s="1"/>
  <c r="AH95" i="3"/>
  <c r="AH96" i="6"/>
  <c r="I95" i="3"/>
  <c r="I96" i="6" s="1"/>
  <c r="Y95" i="3"/>
  <c r="Y96" i="6" s="1"/>
  <c r="BR95" i="3"/>
  <c r="BR96" i="6" s="1"/>
  <c r="BS95" i="3"/>
  <c r="BS96" i="6"/>
  <c r="L95" i="3"/>
  <c r="L96" i="6"/>
  <c r="AU95" i="3"/>
  <c r="AU96" i="6" s="1"/>
  <c r="K95" i="3"/>
  <c r="K96" i="6" s="1"/>
  <c r="O95" i="3"/>
  <c r="O96" i="6"/>
  <c r="CA95" i="3"/>
  <c r="CA96" i="6"/>
  <c r="CI132" i="3"/>
  <c r="CI133" i="6" s="1"/>
  <c r="AY132" i="3"/>
  <c r="AY133" i="6" s="1"/>
  <c r="DF132" i="3"/>
  <c r="DF133" i="6"/>
  <c r="DI132" i="3"/>
  <c r="DI133" i="6"/>
  <c r="CE132" i="3"/>
  <c r="CE133" i="6" s="1"/>
  <c r="CU132" i="3"/>
  <c r="CU133" i="6" s="1"/>
  <c r="CT132" i="3"/>
  <c r="CT133" i="6"/>
  <c r="DC132" i="3"/>
  <c r="DC133" i="6" s="1"/>
  <c r="N132" i="3"/>
  <c r="N133" i="6" s="1"/>
  <c r="BM132" i="3"/>
  <c r="BM133" i="6" s="1"/>
  <c r="CH132" i="3"/>
  <c r="CH133" i="6"/>
  <c r="BG132" i="3"/>
  <c r="BG133" i="6"/>
  <c r="C133" i="6"/>
  <c r="AK132" i="3"/>
  <c r="AK133" i="6" s="1"/>
  <c r="AT132" i="3"/>
  <c r="AT133" i="6"/>
  <c r="W132" i="3"/>
  <c r="W133" i="6"/>
  <c r="CZ132" i="3"/>
  <c r="CZ133" i="6"/>
  <c r="DM132" i="3"/>
  <c r="DM133" i="6" s="1"/>
  <c r="BF132" i="3"/>
  <c r="BF133" i="6"/>
  <c r="AG132" i="3"/>
  <c r="AG133" i="6"/>
  <c r="DN132" i="3"/>
  <c r="DN133" i="6" s="1"/>
  <c r="BI132" i="3"/>
  <c r="BI133" i="6" s="1"/>
  <c r="BV132" i="3"/>
  <c r="BV133" i="6"/>
  <c r="CJ132" i="3"/>
  <c r="CJ133" i="6"/>
  <c r="CG132" i="3"/>
  <c r="CG133" i="6"/>
  <c r="BL132" i="3"/>
  <c r="BL133" i="6" s="1"/>
  <c r="AD132" i="3"/>
  <c r="AD133" i="6"/>
  <c r="AM132" i="3"/>
  <c r="AM133" i="6" s="1"/>
  <c r="L132" i="3"/>
  <c r="L133" i="6"/>
  <c r="CV132" i="3"/>
  <c r="CV133" i="6" s="1"/>
  <c r="CP132" i="3"/>
  <c r="CP133" i="6"/>
  <c r="CB132" i="3"/>
  <c r="CB133" i="6" s="1"/>
  <c r="T132" i="3"/>
  <c r="T133" i="6"/>
  <c r="DA132" i="3"/>
  <c r="DA133" i="6" s="1"/>
  <c r="CM132" i="3"/>
  <c r="CM133" i="6"/>
  <c r="AI132" i="3"/>
  <c r="AI133" i="6" s="1"/>
  <c r="S132" i="3"/>
  <c r="S133" i="6" s="1"/>
  <c r="BE132" i="3"/>
  <c r="BE133" i="6" s="1"/>
  <c r="BS132" i="3"/>
  <c r="BS133" i="6"/>
  <c r="DQ132" i="3"/>
  <c r="DQ133" i="6"/>
  <c r="BJ132" i="3"/>
  <c r="BJ133" i="6" s="1"/>
  <c r="BZ132" i="3"/>
  <c r="BZ133" i="6" s="1"/>
  <c r="DH132" i="3"/>
  <c r="DH133" i="6"/>
  <c r="CF132" i="3"/>
  <c r="CF133" i="6" s="1"/>
  <c r="AZ132" i="3"/>
  <c r="AZ133" i="6" s="1"/>
  <c r="H132" i="3"/>
  <c r="H133" i="6" s="1"/>
  <c r="CL132" i="3"/>
  <c r="CL133" i="6"/>
  <c r="BO132" i="3"/>
  <c r="BO133" i="6"/>
  <c r="BN132" i="3"/>
  <c r="BN133" i="6"/>
  <c r="CN132" i="3"/>
  <c r="CN133" i="6" s="1"/>
  <c r="AR132" i="3"/>
  <c r="AR133" i="6"/>
  <c r="Z132" i="3"/>
  <c r="Z133" i="6"/>
  <c r="BW132" i="3"/>
  <c r="BW133" i="6" s="1"/>
  <c r="K132" i="3"/>
  <c r="K133" i="6" s="1"/>
  <c r="AB132" i="3"/>
  <c r="AB133" i="6"/>
  <c r="DL132" i="3"/>
  <c r="DL133" i="6"/>
  <c r="BB132" i="3"/>
  <c r="BB133" i="6"/>
  <c r="DP132" i="3"/>
  <c r="DP133" i="6" s="1"/>
  <c r="AN132" i="3"/>
  <c r="AN133" i="6"/>
  <c r="Q132" i="3"/>
  <c r="Q133" i="6" s="1"/>
  <c r="AV132" i="3"/>
  <c r="AV133" i="6"/>
  <c r="DD132" i="3"/>
  <c r="DD133" i="6" s="1"/>
  <c r="BK132" i="3"/>
  <c r="BK133" i="6"/>
  <c r="BE2" i="1"/>
  <c r="BD2" i="1" s="1"/>
  <c r="BC2" i="1" s="1"/>
  <c r="BB2" i="1" s="1"/>
  <c r="BE2" i="2"/>
  <c r="BE2" i="3"/>
  <c r="BE2" i="6"/>
  <c r="CZ3" i="3"/>
  <c r="CZ4" i="6"/>
  <c r="CQ132" i="3"/>
  <c r="CQ133" i="6" s="1"/>
  <c r="J132" i="3"/>
  <c r="J133" i="6" s="1"/>
  <c r="AS132" i="3"/>
  <c r="AS133" i="6"/>
  <c r="AF132" i="3"/>
  <c r="AF133" i="6"/>
  <c r="DE132" i="3"/>
  <c r="DE133" i="6" s="1"/>
  <c r="O132" i="3"/>
  <c r="O133" i="6" s="1"/>
  <c r="CC132" i="3"/>
  <c r="CC133" i="6"/>
  <c r="V132" i="3"/>
  <c r="V133" i="6"/>
  <c r="DJ132" i="3"/>
  <c r="DJ133" i="6"/>
  <c r="CO132" i="3"/>
  <c r="CO133" i="6" s="1"/>
  <c r="AH132" i="3"/>
  <c r="AH133" i="6" s="1"/>
  <c r="DK132" i="3"/>
  <c r="DK133" i="6"/>
  <c r="CZ87" i="3"/>
  <c r="CZ88" i="6" s="1"/>
  <c r="DE87" i="3"/>
  <c r="DE88" i="6" s="1"/>
  <c r="AK87" i="3"/>
  <c r="AK88" i="6"/>
  <c r="D95" i="3"/>
  <c r="D96" i="6"/>
  <c r="AS3" i="3"/>
  <c r="AS4" i="6"/>
  <c r="BA84" i="3"/>
  <c r="BA85" i="6" s="1"/>
  <c r="CA84" i="3"/>
  <c r="CA85" i="6"/>
  <c r="AV84" i="3"/>
  <c r="AV85" i="6"/>
  <c r="DG84" i="3"/>
  <c r="DG85" i="6"/>
  <c r="BY84" i="3"/>
  <c r="BY85" i="6" s="1"/>
  <c r="AJ84" i="3"/>
  <c r="AJ85" i="6"/>
  <c r="AQ84" i="3"/>
  <c r="AQ85" i="6"/>
  <c r="CE88" i="3"/>
  <c r="CE89" i="6"/>
  <c r="CQ88" i="3"/>
  <c r="CQ89" i="6" s="1"/>
  <c r="CM88" i="3"/>
  <c r="CM89" i="6"/>
  <c r="AK88" i="3"/>
  <c r="AK89" i="6"/>
  <c r="BQ88" i="3"/>
  <c r="BQ89" i="6" s="1"/>
  <c r="M88" i="3"/>
  <c r="M89" i="6" s="1"/>
  <c r="CG88" i="3"/>
  <c r="CG89" i="6"/>
  <c r="BI88" i="3"/>
  <c r="BI89" i="6"/>
  <c r="CU95" i="3"/>
  <c r="CU96" i="6" s="1"/>
  <c r="BO95" i="3"/>
  <c r="BO96" i="6" s="1"/>
  <c r="AL95" i="3"/>
  <c r="AL96" i="6" s="1"/>
  <c r="CR95" i="3"/>
  <c r="CR96" i="6"/>
  <c r="AF95" i="3"/>
  <c r="AF96" i="6"/>
  <c r="DP95" i="3"/>
  <c r="DP96" i="6" s="1"/>
  <c r="AZ83" i="3"/>
  <c r="AZ84" i="6" s="1"/>
  <c r="CQ83" i="3"/>
  <c r="CQ84" i="6"/>
  <c r="AM83" i="3"/>
  <c r="AM84" i="6"/>
  <c r="DQ83" i="3"/>
  <c r="DQ84" i="6" s="1"/>
  <c r="Y83" i="3"/>
  <c r="Y84" i="6" s="1"/>
  <c r="DA83" i="3"/>
  <c r="DA84" i="6"/>
  <c r="BM56" i="3"/>
  <c r="BM57" i="6"/>
  <c r="L119" i="3"/>
  <c r="L120" i="6" s="1"/>
  <c r="CX42" i="2"/>
  <c r="BQ67" i="2"/>
  <c r="DF86" i="2"/>
  <c r="U83" i="2"/>
  <c r="AD54" i="2"/>
  <c r="AD46" i="2"/>
  <c r="AD38" i="2"/>
  <c r="AD30" i="2"/>
  <c r="AF4" i="2"/>
  <c r="DM7" i="2"/>
  <c r="CP14" i="2"/>
  <c r="DE23" i="2"/>
  <c r="BD32" i="2"/>
  <c r="AU45" i="2"/>
  <c r="BL60" i="2"/>
  <c r="CA85" i="2"/>
  <c r="CB4" i="2"/>
  <c r="DJ6" i="2"/>
  <c r="CJ8" i="2"/>
  <c r="AK11" i="2"/>
  <c r="BD16" i="2"/>
  <c r="CW19" i="2"/>
  <c r="W25" i="2"/>
  <c r="AC31" i="2"/>
  <c r="BA35" i="2"/>
  <c r="F42" i="2"/>
  <c r="F50" i="2"/>
  <c r="DO57" i="2"/>
  <c r="F66" i="2"/>
  <c r="AN80" i="2"/>
  <c r="DJ92" i="2"/>
  <c r="AD86" i="2"/>
  <c r="CQ77" i="2"/>
  <c r="BB58" i="2"/>
  <c r="AM49" i="2"/>
  <c r="CR36" i="2"/>
  <c r="BB26" i="2"/>
  <c r="BN6" i="2"/>
  <c r="BI15" i="2"/>
  <c r="DM27" i="2"/>
  <c r="DE39" i="2"/>
  <c r="BD64" i="2"/>
  <c r="DB96" i="2"/>
  <c r="R6" i="2"/>
  <c r="DP8" i="2"/>
  <c r="CQ13" i="2"/>
  <c r="AK19" i="2"/>
  <c r="F26" i="2"/>
  <c r="H32" i="2"/>
  <c r="DO41" i="2"/>
  <c r="BA51" i="2"/>
  <c r="BI63" i="2"/>
  <c r="AK75" i="2"/>
  <c r="Q93" i="2"/>
  <c r="DF14" i="2"/>
  <c r="W89" i="2"/>
  <c r="CQ53" i="2"/>
  <c r="CY57" i="2"/>
  <c r="CR44" i="2"/>
  <c r="CY33" i="2"/>
  <c r="CJ24" i="2"/>
  <c r="BT8" i="2"/>
  <c r="DN18" i="2"/>
  <c r="DH28" i="2"/>
  <c r="BZ46" i="2"/>
  <c r="DH76" i="2"/>
  <c r="AV4" i="2"/>
  <c r="E7" i="2"/>
  <c r="V10" i="2"/>
  <c r="AC15" i="2"/>
  <c r="BL20" i="2"/>
  <c r="CG27" i="2"/>
  <c r="AL34" i="2"/>
  <c r="DG45" i="2"/>
  <c r="DG53" i="2"/>
  <c r="DO65" i="2"/>
  <c r="CW83" i="2"/>
  <c r="DM136" i="2"/>
  <c r="CS136" i="2"/>
  <c r="BY136" i="2"/>
  <c r="BA136" i="2"/>
  <c r="AG136" i="2"/>
  <c r="M136" i="2"/>
  <c r="DB135" i="2"/>
  <c r="CH135" i="2"/>
  <c r="BN135" i="2"/>
  <c r="AP135" i="2"/>
  <c r="V135" i="2"/>
  <c r="DO134" i="2"/>
  <c r="CQ134" i="2"/>
  <c r="BW134" i="2"/>
  <c r="BC134" i="2"/>
  <c r="AE134" i="2"/>
  <c r="K134" i="2"/>
  <c r="DD133" i="2"/>
  <c r="CF133" i="2"/>
  <c r="BL133" i="2"/>
  <c r="AR133" i="2"/>
  <c r="X133" i="2"/>
  <c r="H133" i="2"/>
  <c r="DI132" i="2"/>
  <c r="CS132" i="2"/>
  <c r="CC132" i="2"/>
  <c r="BM132" i="2"/>
  <c r="AW132" i="2"/>
  <c r="AG132" i="2"/>
  <c r="Q132" i="2"/>
  <c r="DN131" i="2"/>
  <c r="CX131" i="2"/>
  <c r="CH131" i="2"/>
  <c r="BR131" i="2"/>
  <c r="BB131" i="2"/>
  <c r="AL131" i="2"/>
  <c r="V131" i="2"/>
  <c r="F131" i="2"/>
  <c r="DC130" i="2"/>
  <c r="CM130" i="2"/>
  <c r="BW130" i="2"/>
  <c r="BG130" i="2"/>
  <c r="AQ130" i="2"/>
  <c r="AA130" i="2"/>
  <c r="K130" i="2"/>
  <c r="DH129" i="2"/>
  <c r="CR129" i="2"/>
  <c r="CB129" i="2"/>
  <c r="BL129" i="2"/>
  <c r="AV129" i="2"/>
  <c r="AF129" i="2"/>
  <c r="P129" i="2"/>
  <c r="DQ128" i="2"/>
  <c r="DA128" i="2"/>
  <c r="CK128" i="2"/>
  <c r="BU128" i="2"/>
  <c r="BE128" i="2"/>
  <c r="AO128" i="2"/>
  <c r="Y128" i="2"/>
  <c r="I128" i="2"/>
  <c r="DF127" i="2"/>
  <c r="CP127" i="2"/>
  <c r="BZ127" i="2"/>
  <c r="BJ127" i="2"/>
  <c r="AT127" i="2"/>
  <c r="AD127" i="2"/>
  <c r="N127" i="2"/>
  <c r="DK126" i="2"/>
  <c r="CU126" i="2"/>
  <c r="CE126" i="2"/>
  <c r="BO126" i="2"/>
  <c r="AY126" i="2"/>
  <c r="AI126" i="2"/>
  <c r="S126" i="2"/>
  <c r="DP125" i="2"/>
  <c r="CZ125" i="2"/>
  <c r="CJ125" i="2"/>
  <c r="BT125" i="2"/>
  <c r="BD125" i="2"/>
  <c r="AN125" i="2"/>
  <c r="X125" i="2"/>
  <c r="H125" i="2"/>
  <c r="CW52" i="3"/>
  <c r="CW53" i="6"/>
  <c r="BH52" i="3"/>
  <c r="BH53" i="6"/>
  <c r="DP52" i="3"/>
  <c r="DP53" i="6"/>
  <c r="BY52" i="3"/>
  <c r="BY53" i="6" s="1"/>
  <c r="AS52" i="3"/>
  <c r="AS53" i="6"/>
  <c r="D52" i="3"/>
  <c r="D53" i="6" s="1"/>
  <c r="AZ52" i="3"/>
  <c r="AZ53" i="6"/>
  <c r="H52" i="3"/>
  <c r="H53" i="6" s="1"/>
  <c r="CG52" i="3"/>
  <c r="CG53" i="6"/>
  <c r="AV52" i="3"/>
  <c r="AV53" i="6" s="1"/>
  <c r="L52" i="3"/>
  <c r="L53" i="6"/>
  <c r="CR52" i="3"/>
  <c r="CR53" i="6" s="1"/>
  <c r="Y48" i="3"/>
  <c r="Y49" i="6"/>
  <c r="T48" i="3"/>
  <c r="T49" i="6"/>
  <c r="CR76" i="2"/>
  <c r="AU85" i="2"/>
  <c r="AU69" i="2"/>
  <c r="DP64" i="2"/>
  <c r="V42" i="2"/>
  <c r="CH66" i="2"/>
  <c r="CJ56" i="2"/>
  <c r="BQ51" i="2"/>
  <c r="CJ48" i="2"/>
  <c r="AF44" i="2"/>
  <c r="X40" i="2"/>
  <c r="BQ35" i="2"/>
  <c r="CJ32" i="2"/>
  <c r="BQ27" i="2"/>
  <c r="X24" i="2"/>
  <c r="N5" i="2"/>
  <c r="BA7" i="2"/>
  <c r="CZ8" i="2"/>
  <c r="AF12" i="2"/>
  <c r="AM17" i="2"/>
  <c r="CR20" i="2"/>
  <c r="CZ24" i="2"/>
  <c r="CQ29" i="2"/>
  <c r="CH34" i="2"/>
  <c r="BC41" i="2"/>
  <c r="BC49" i="2"/>
  <c r="DE55" i="2"/>
  <c r="CW67" i="2"/>
  <c r="BR5" i="2"/>
  <c r="DN74" i="2"/>
  <c r="W81" i="2"/>
  <c r="AU61" i="2"/>
  <c r="BD56" i="2"/>
  <c r="CQ37" i="2"/>
  <c r="CG59" i="2"/>
  <c r="BI55" i="2"/>
  <c r="E51" i="2"/>
  <c r="BI47" i="2"/>
  <c r="DN42" i="2"/>
  <c r="BI39" i="2"/>
  <c r="E35" i="2"/>
  <c r="CP30" i="2"/>
  <c r="DN26" i="2"/>
  <c r="BI23" i="2"/>
  <c r="BZ5" i="2"/>
  <c r="CG7" i="2"/>
  <c r="CY9" i="2"/>
  <c r="AD14" i="2"/>
  <c r="CY17" i="2"/>
  <c r="BK21" i="2"/>
  <c r="AK27" i="2"/>
  <c r="BY31" i="2"/>
  <c r="DM35" i="2"/>
  <c r="DM43" i="2"/>
  <c r="BR50" i="2"/>
  <c r="BC57" i="2"/>
  <c r="BC73" i="2"/>
  <c r="C37" i="6"/>
  <c r="G36" i="3"/>
  <c r="G37" i="6" s="1"/>
  <c r="O36" i="3"/>
  <c r="O37" i="6"/>
  <c r="W36" i="3"/>
  <c r="W37" i="6"/>
  <c r="AE36" i="3"/>
  <c r="AE37" i="6" s="1"/>
  <c r="AM36" i="3"/>
  <c r="AM37" i="6" s="1"/>
  <c r="AU36" i="3"/>
  <c r="AU37" i="6"/>
  <c r="BC36" i="3"/>
  <c r="BC37" i="6" s="1"/>
  <c r="BK36" i="3"/>
  <c r="BK37" i="6"/>
  <c r="BS36" i="3"/>
  <c r="BS37" i="6" s="1"/>
  <c r="CA36" i="3"/>
  <c r="CA37" i="6"/>
  <c r="CI36" i="3"/>
  <c r="CI37" i="6" s="1"/>
  <c r="CQ36" i="3"/>
  <c r="CQ37" i="6"/>
  <c r="CU36" i="3"/>
  <c r="CU37" i="6" s="1"/>
  <c r="DC36" i="3"/>
  <c r="DC37" i="6"/>
  <c r="DK36" i="3"/>
  <c r="DK37" i="6"/>
  <c r="S36" i="3"/>
  <c r="S37" i="6" s="1"/>
  <c r="AI36" i="3"/>
  <c r="AI37" i="6" s="1"/>
  <c r="AY36" i="3"/>
  <c r="AY37" i="6"/>
  <c r="BO36" i="3"/>
  <c r="BO37" i="6"/>
  <c r="CE36" i="3"/>
  <c r="CE37" i="6" s="1"/>
  <c r="D36" i="3"/>
  <c r="D37" i="6" s="1"/>
  <c r="I36" i="3"/>
  <c r="I37" i="6"/>
  <c r="Q36" i="3"/>
  <c r="Q37" i="6" s="1"/>
  <c r="Y36" i="3"/>
  <c r="Y37" i="6"/>
  <c r="AG36" i="3"/>
  <c r="AG37" i="6" s="1"/>
  <c r="AO36" i="3"/>
  <c r="AO37" i="6"/>
  <c r="AW36" i="3"/>
  <c r="AW37" i="6" s="1"/>
  <c r="BE36" i="3"/>
  <c r="BE37" i="6"/>
  <c r="BM36" i="3"/>
  <c r="BM37" i="6" s="1"/>
  <c r="BU36" i="3"/>
  <c r="BU37" i="6"/>
  <c r="CC36" i="3"/>
  <c r="CC37" i="6" s="1"/>
  <c r="CK36" i="3"/>
  <c r="CK37" i="6" s="1"/>
  <c r="CS36" i="3"/>
  <c r="CS37" i="6" s="1"/>
  <c r="DA36" i="3"/>
  <c r="DA37" i="6"/>
  <c r="DI36" i="3"/>
  <c r="DI37" i="6"/>
  <c r="DQ36" i="3"/>
  <c r="DQ37" i="6" s="1"/>
  <c r="F36" i="3"/>
  <c r="F37" i="6" s="1"/>
  <c r="N36" i="3"/>
  <c r="N37" i="6"/>
  <c r="V36" i="3"/>
  <c r="V37" i="6" s="1"/>
  <c r="AD36" i="3"/>
  <c r="AD37" i="6"/>
  <c r="AL36" i="3"/>
  <c r="AL37" i="6" s="1"/>
  <c r="AT36" i="3"/>
  <c r="AT37" i="6"/>
  <c r="BB36" i="3"/>
  <c r="BB37" i="6" s="1"/>
  <c r="BJ36" i="3"/>
  <c r="BJ37" i="6"/>
  <c r="BR36" i="3"/>
  <c r="BR37" i="6" s="1"/>
  <c r="BZ36" i="3"/>
  <c r="BZ37" i="6"/>
  <c r="CH36" i="3"/>
  <c r="CH37" i="6"/>
  <c r="CP36" i="3"/>
  <c r="CP37" i="6" s="1"/>
  <c r="CY36" i="3"/>
  <c r="CY37" i="6" s="1"/>
  <c r="DO36" i="3"/>
  <c r="DO37" i="6"/>
  <c r="H36" i="3"/>
  <c r="H37" i="6"/>
  <c r="P36" i="3"/>
  <c r="P37" i="6" s="1"/>
  <c r="X36" i="3"/>
  <c r="X37" i="6" s="1"/>
  <c r="AF36" i="3"/>
  <c r="AF37" i="6"/>
  <c r="AN36" i="3"/>
  <c r="AN37" i="6" s="1"/>
  <c r="AV36" i="3"/>
  <c r="AV37" i="6"/>
  <c r="BD36" i="3"/>
  <c r="BD37" i="6" s="1"/>
  <c r="BL36" i="3"/>
  <c r="BL37" i="6"/>
  <c r="BT36" i="3"/>
  <c r="BT37" i="6" s="1"/>
  <c r="CB36" i="3"/>
  <c r="CB37" i="6"/>
  <c r="CJ36" i="3"/>
  <c r="CJ37" i="6" s="1"/>
  <c r="CR36" i="3"/>
  <c r="CR37" i="6"/>
  <c r="CZ36" i="3"/>
  <c r="CZ37" i="6" s="1"/>
  <c r="DH36" i="3"/>
  <c r="DH37" i="6" s="1"/>
  <c r="DP36" i="3"/>
  <c r="DP37" i="6" s="1"/>
  <c r="CT36" i="3"/>
  <c r="CT37" i="6"/>
  <c r="DB36" i="3"/>
  <c r="DB37" i="6"/>
  <c r="DJ36" i="3"/>
  <c r="DJ37" i="6" s="1"/>
  <c r="DG36" i="3"/>
  <c r="DG37" i="6" s="1"/>
  <c r="BW36" i="3"/>
  <c r="BW37" i="6"/>
  <c r="T36" i="3"/>
  <c r="T37" i="6" s="1"/>
  <c r="BH36" i="3"/>
  <c r="BH37" i="6" s="1"/>
  <c r="CF36" i="3"/>
  <c r="CF37" i="6" s="1"/>
  <c r="M36" i="3"/>
  <c r="M37" i="6"/>
  <c r="AC36" i="3"/>
  <c r="AC37" i="6"/>
  <c r="AS36" i="3"/>
  <c r="AS37" i="6"/>
  <c r="BI36" i="3"/>
  <c r="BI37" i="6" s="1"/>
  <c r="BY36" i="3"/>
  <c r="BY37" i="6"/>
  <c r="CO36" i="3"/>
  <c r="CO37" i="6"/>
  <c r="DE36" i="3"/>
  <c r="DE37" i="6" s="1"/>
  <c r="DF36" i="3"/>
  <c r="DF37" i="6" s="1"/>
  <c r="K36" i="3"/>
  <c r="K37" i="6"/>
  <c r="BG36" i="3"/>
  <c r="BG37" i="6"/>
  <c r="AB36" i="3"/>
  <c r="AB37" i="6"/>
  <c r="AZ36" i="3"/>
  <c r="AZ37" i="6" s="1"/>
  <c r="CN36" i="3"/>
  <c r="CN37" i="6"/>
  <c r="DL36" i="3"/>
  <c r="DL37" i="6" s="1"/>
  <c r="U36" i="3"/>
  <c r="U37" i="6"/>
  <c r="AK36" i="3"/>
  <c r="AK37" i="6" s="1"/>
  <c r="BA36" i="3"/>
  <c r="BA37" i="6"/>
  <c r="BQ36" i="3"/>
  <c r="BQ37" i="6" s="1"/>
  <c r="CG36" i="3"/>
  <c r="CG37" i="6"/>
  <c r="CW36" i="3"/>
  <c r="CW37" i="6" s="1"/>
  <c r="DM36" i="3"/>
  <c r="DM37" i="6"/>
  <c r="CX36" i="3"/>
  <c r="CX37" i="6"/>
  <c r="DN36" i="3"/>
  <c r="DN37" i="6" s="1"/>
  <c r="CL36" i="3"/>
  <c r="CL37" i="6" s="1"/>
  <c r="BF36" i="3"/>
  <c r="BF37" i="6"/>
  <c r="Z36" i="3"/>
  <c r="Z37" i="6"/>
  <c r="BX36" i="3"/>
  <c r="BX37" i="6" s="1"/>
  <c r="AJ36" i="3"/>
  <c r="AJ37" i="6" s="1"/>
  <c r="CM36" i="3"/>
  <c r="CM37" i="6"/>
  <c r="CD36" i="3"/>
  <c r="CD37" i="6" s="1"/>
  <c r="AX36" i="3"/>
  <c r="AX37" i="6" s="1"/>
  <c r="R36" i="3"/>
  <c r="R37" i="6" s="1"/>
  <c r="DD36" i="3"/>
  <c r="DD37" i="6"/>
  <c r="BP36" i="3"/>
  <c r="BP37" i="6"/>
  <c r="L134" i="3"/>
  <c r="L135" i="6"/>
  <c r="CJ74" i="3"/>
  <c r="CJ75" i="6" s="1"/>
  <c r="AJ74" i="3"/>
  <c r="AJ75" i="6"/>
  <c r="CO111" i="3"/>
  <c r="CO112" i="6"/>
  <c r="K111" i="3"/>
  <c r="K112" i="6" s="1"/>
  <c r="AA111" i="3"/>
  <c r="AA112" i="6" s="1"/>
  <c r="AQ111" i="3"/>
  <c r="AQ112" i="6"/>
  <c r="BG111" i="3"/>
  <c r="BG112" i="6"/>
  <c r="BW111" i="3"/>
  <c r="BW112" i="6"/>
  <c r="CM111" i="3"/>
  <c r="CM112" i="6" s="1"/>
  <c r="DC111" i="3"/>
  <c r="DC112" i="6"/>
  <c r="G115" i="3"/>
  <c r="G116" i="6" s="1"/>
  <c r="BO115" i="3"/>
  <c r="BO116" i="6"/>
  <c r="BQ119" i="3"/>
  <c r="BQ120" i="6" s="1"/>
  <c r="E119" i="3"/>
  <c r="E120" i="6" s="1"/>
  <c r="BG119" i="3"/>
  <c r="BG120" i="6" s="1"/>
  <c r="AT119" i="3"/>
  <c r="AT120" i="6" s="1"/>
  <c r="BV119" i="3"/>
  <c r="BV120" i="6" s="1"/>
  <c r="CO74" i="3"/>
  <c r="CO75" i="6"/>
  <c r="S74" i="3"/>
  <c r="S75" i="6"/>
  <c r="DI6" i="3"/>
  <c r="DI7" i="6" s="1"/>
  <c r="Z74" i="3"/>
  <c r="Z75" i="6" s="1"/>
  <c r="CT6" i="3"/>
  <c r="CT7" i="6"/>
  <c r="AA74" i="3"/>
  <c r="AA75" i="6"/>
  <c r="BD74" i="3"/>
  <c r="BD75" i="6" s="1"/>
  <c r="AP6" i="3"/>
  <c r="AP7" i="6" s="1"/>
  <c r="AU6" i="3"/>
  <c r="AU7" i="6"/>
  <c r="CR74" i="3"/>
  <c r="CR75" i="6" s="1"/>
  <c r="BH74" i="3"/>
  <c r="BH75" i="6"/>
  <c r="CH74" i="3"/>
  <c r="CH75" i="6" s="1"/>
  <c r="R74" i="3"/>
  <c r="R75" i="6"/>
  <c r="CD74" i="3"/>
  <c r="CD75" i="6" s="1"/>
  <c r="DF74" i="3"/>
  <c r="DF75" i="6"/>
  <c r="O74" i="3"/>
  <c r="O75" i="6" s="1"/>
  <c r="AH74" i="3"/>
  <c r="AH75" i="6"/>
  <c r="BF74" i="3"/>
  <c r="BF75" i="6"/>
  <c r="C75" i="6"/>
  <c r="CA74" i="3"/>
  <c r="CA75" i="6" s="1"/>
  <c r="DB74" i="3"/>
  <c r="DB75" i="6"/>
  <c r="AO74" i="3"/>
  <c r="AO75" i="6" s="1"/>
  <c r="BP74" i="3"/>
  <c r="BP75" i="6" s="1"/>
  <c r="AI74" i="3"/>
  <c r="AI75" i="6" s="1"/>
  <c r="BQ74" i="3"/>
  <c r="BQ75" i="6"/>
  <c r="DD74" i="3"/>
  <c r="DD75" i="6" s="1"/>
  <c r="AF74" i="3"/>
  <c r="AF75" i="6"/>
  <c r="CF74" i="3"/>
  <c r="CF75" i="6" s="1"/>
  <c r="DI74" i="3"/>
  <c r="DI75" i="6"/>
  <c r="BB74" i="3"/>
  <c r="BB75" i="6"/>
  <c r="J74" i="3"/>
  <c r="J75" i="6" s="1"/>
  <c r="DL74" i="3"/>
  <c r="DL75" i="6" s="1"/>
  <c r="BS74" i="3"/>
  <c r="BS75" i="6" s="1"/>
  <c r="AM74" i="3"/>
  <c r="AM75" i="6"/>
  <c r="BE74" i="3"/>
  <c r="BE75" i="6" s="1"/>
  <c r="CG74" i="3"/>
  <c r="CG75" i="6"/>
  <c r="DC74" i="3"/>
  <c r="DC75" i="6" s="1"/>
  <c r="CY74" i="3"/>
  <c r="CY75" i="6" s="1"/>
  <c r="DA74" i="3"/>
  <c r="DA75" i="6"/>
  <c r="Y74" i="3"/>
  <c r="Y75" i="6" s="1"/>
  <c r="AZ74" i="3"/>
  <c r="AZ75" i="6"/>
  <c r="CU74" i="3"/>
  <c r="CU75" i="6" s="1"/>
  <c r="BA74" i="3"/>
  <c r="BA75" i="6"/>
  <c r="CN74" i="3"/>
  <c r="CN75" i="6" s="1"/>
  <c r="K74" i="3"/>
  <c r="K75" i="6" s="1"/>
  <c r="AX74" i="3"/>
  <c r="AX75" i="6" s="1"/>
  <c r="X74" i="3"/>
  <c r="X75" i="6"/>
  <c r="DP74" i="3"/>
  <c r="DP75" i="6" s="1"/>
  <c r="DN74" i="3"/>
  <c r="DN75" i="6" s="1"/>
  <c r="CL74" i="3"/>
  <c r="CL75" i="6"/>
  <c r="AB74" i="3"/>
  <c r="AB75" i="6" s="1"/>
  <c r="BI74" i="3"/>
  <c r="BI75" i="6"/>
  <c r="DJ74" i="3"/>
  <c r="DJ75" i="6" s="1"/>
  <c r="DH74" i="3"/>
  <c r="DH75" i="6"/>
  <c r="U74" i="3"/>
  <c r="U75" i="6" s="1"/>
  <c r="AW74" i="3"/>
  <c r="AW75" i="6"/>
  <c r="BN74" i="3"/>
  <c r="BN75" i="6"/>
  <c r="CK74" i="3"/>
  <c r="CK75" i="6"/>
  <c r="I74" i="3"/>
  <c r="I75" i="6" s="1"/>
  <c r="T74" i="3"/>
  <c r="T75" i="6"/>
  <c r="DM74" i="3"/>
  <c r="DM75" i="6" s="1"/>
  <c r="AK74" i="3"/>
  <c r="AK75" i="6" s="1"/>
  <c r="BL74" i="3"/>
  <c r="BL75" i="6" s="1"/>
  <c r="AQ74" i="3"/>
  <c r="AQ75" i="6" s="1"/>
  <c r="P74" i="3"/>
  <c r="P75" i="6" s="1"/>
  <c r="DQ74" i="3"/>
  <c r="DQ75" i="6"/>
  <c r="G74" i="3"/>
  <c r="G75" i="6"/>
  <c r="DG74" i="3"/>
  <c r="DG75" i="6" s="1"/>
  <c r="AT74" i="3"/>
  <c r="AT75" i="6" s="1"/>
  <c r="E74" i="3"/>
  <c r="E75" i="6"/>
  <c r="BU74" i="3"/>
  <c r="BU75" i="6" s="1"/>
  <c r="CB74" i="3"/>
  <c r="CB75" i="6"/>
  <c r="BV74" i="3"/>
  <c r="BV75" i="6" s="1"/>
  <c r="BZ74" i="3"/>
  <c r="BZ75" i="6"/>
  <c r="AU74" i="3"/>
  <c r="AU75" i="6" s="1"/>
  <c r="CM74" i="3"/>
  <c r="CM75" i="6"/>
  <c r="CW74" i="3"/>
  <c r="CW75" i="6" s="1"/>
  <c r="V74" i="3"/>
  <c r="V75" i="6" s="1"/>
  <c r="BO74" i="3"/>
  <c r="BO75" i="6"/>
  <c r="N74" i="3"/>
  <c r="N75" i="6" s="1"/>
  <c r="CC74" i="3"/>
  <c r="CC75" i="6" s="1"/>
  <c r="CE74" i="3"/>
  <c r="CE75" i="6" s="1"/>
  <c r="AC74" i="3"/>
  <c r="AC75" i="6"/>
  <c r="AP74" i="3"/>
  <c r="AP75" i="6" s="1"/>
  <c r="CT74" i="3"/>
  <c r="CT75" i="6" s="1"/>
  <c r="BW74" i="3"/>
  <c r="BW75" i="6" s="1"/>
  <c r="D74" i="3"/>
  <c r="D75" i="6" s="1"/>
  <c r="AH58" i="3"/>
  <c r="AH59" i="6"/>
  <c r="AG37" i="3"/>
  <c r="AG38" i="6"/>
  <c r="AD53" i="3"/>
  <c r="AD54" i="6" s="1"/>
  <c r="X82" i="3"/>
  <c r="X83" i="6" s="1"/>
  <c r="BP82" i="3"/>
  <c r="BP83" i="6"/>
  <c r="BM82" i="3"/>
  <c r="BM83" i="6"/>
  <c r="CV82" i="3"/>
  <c r="CV83" i="6" s="1"/>
  <c r="AQ82" i="3"/>
  <c r="AQ83" i="6" s="1"/>
  <c r="AS82" i="3"/>
  <c r="AS83" i="6"/>
  <c r="AX82" i="3"/>
  <c r="AX83" i="6"/>
  <c r="DG82" i="3"/>
  <c r="DG83" i="6" s="1"/>
  <c r="D94" i="3"/>
  <c r="D95" i="6" s="1"/>
  <c r="J94" i="3"/>
  <c r="J95" i="6"/>
  <c r="DE94" i="3"/>
  <c r="DE95" i="6"/>
  <c r="CK94" i="3"/>
  <c r="CK95" i="6" s="1"/>
  <c r="CQ94" i="3"/>
  <c r="CQ95" i="6" s="1"/>
  <c r="BG94" i="3"/>
  <c r="BG95" i="6"/>
  <c r="BP94" i="3"/>
  <c r="BP95" i="6"/>
  <c r="W94" i="3"/>
  <c r="W95" i="6"/>
  <c r="D98" i="3"/>
  <c r="D99" i="6" s="1"/>
  <c r="AB98" i="3"/>
  <c r="AB99" i="6"/>
  <c r="CZ98" i="3"/>
  <c r="CZ99" i="6" s="1"/>
  <c r="DM98" i="3"/>
  <c r="DM99" i="6"/>
  <c r="BV98" i="3"/>
  <c r="BV99" i="6" s="1"/>
  <c r="W98" i="3"/>
  <c r="W99" i="6" s="1"/>
  <c r="CQ98" i="3"/>
  <c r="CQ99" i="6"/>
  <c r="AC98" i="3"/>
  <c r="AC99" i="6"/>
  <c r="AZ98" i="3"/>
  <c r="AZ99" i="6" s="1"/>
  <c r="CO98" i="3"/>
  <c r="CO99" i="6" s="1"/>
  <c r="BZ98" i="3"/>
  <c r="BZ99" i="6"/>
  <c r="AU98" i="3"/>
  <c r="AU99" i="6"/>
  <c r="AK98" i="3"/>
  <c r="AK99" i="6" s="1"/>
  <c r="BL98" i="3"/>
  <c r="BL99" i="6" s="1"/>
  <c r="AX98" i="3"/>
  <c r="AX99" i="6" s="1"/>
  <c r="AQ98" i="3"/>
  <c r="AQ99" i="6" s="1"/>
  <c r="AS98" i="3"/>
  <c r="AS99" i="6"/>
  <c r="BP98" i="3"/>
  <c r="BP99" i="6" s="1"/>
  <c r="F98" i="3"/>
  <c r="F99" i="6"/>
  <c r="DF98" i="3"/>
  <c r="DF99" i="6" s="1"/>
  <c r="CU98" i="3"/>
  <c r="CU99" i="6" s="1"/>
  <c r="AV98" i="3"/>
  <c r="AV99" i="6" s="1"/>
  <c r="DI98" i="3"/>
  <c r="DI99" i="6" s="1"/>
  <c r="DJ98" i="3"/>
  <c r="DJ99" i="6" s="1"/>
  <c r="DC98" i="3"/>
  <c r="DC99" i="6"/>
  <c r="CI98" i="3"/>
  <c r="CI99" i="6" s="1"/>
  <c r="BH98" i="3"/>
  <c r="BH99" i="6" s="1"/>
  <c r="C99" i="6"/>
  <c r="M98" i="3"/>
  <c r="M99" i="6"/>
  <c r="BQ98" i="3"/>
  <c r="BQ99" i="6"/>
  <c r="BK98" i="3"/>
  <c r="BK99" i="6" s="1"/>
  <c r="BT98" i="3"/>
  <c r="BT99" i="6"/>
  <c r="DA98" i="3"/>
  <c r="DA99" i="6"/>
  <c r="CL98" i="3"/>
  <c r="CL99" i="6" s="1"/>
  <c r="BC98" i="3"/>
  <c r="BC99" i="6" s="1"/>
  <c r="BE98" i="3"/>
  <c r="BE99" i="6"/>
  <c r="BX98" i="3"/>
  <c r="BX99" i="6"/>
  <c r="AL98" i="3"/>
  <c r="AL99" i="6"/>
  <c r="AA98" i="3"/>
  <c r="AA99" i="6" s="1"/>
  <c r="BM98" i="3"/>
  <c r="BM99" i="6"/>
  <c r="CW98" i="3"/>
  <c r="CW99" i="6" s="1"/>
  <c r="O98" i="3"/>
  <c r="O99" i="6"/>
  <c r="AG98" i="3"/>
  <c r="AG99" i="6" s="1"/>
  <c r="CC98" i="3"/>
  <c r="CC99" i="6"/>
  <c r="CD98" i="3"/>
  <c r="CD99" i="6" s="1"/>
  <c r="BA98" i="3"/>
  <c r="BA99" i="6"/>
  <c r="DD98" i="3"/>
  <c r="DD99" i="6" s="1"/>
  <c r="CH98" i="3"/>
  <c r="CH99" i="6"/>
  <c r="AF98" i="3"/>
  <c r="AF99" i="6"/>
  <c r="BU98" i="3"/>
  <c r="BU99" i="6" s="1"/>
  <c r="DK98" i="3"/>
  <c r="DK99" i="6" s="1"/>
  <c r="DH98" i="3"/>
  <c r="DH99" i="6"/>
  <c r="I98" i="3"/>
  <c r="I99" i="6"/>
  <c r="CJ98" i="3"/>
  <c r="CJ99" i="6" s="1"/>
  <c r="R98" i="3"/>
  <c r="R99" i="6" s="1"/>
  <c r="DB98" i="3"/>
  <c r="DB99" i="6"/>
  <c r="CE98" i="3"/>
  <c r="CE99" i="6" s="1"/>
  <c r="BY98" i="3"/>
  <c r="BY99" i="6" s="1"/>
  <c r="CR98" i="3"/>
  <c r="CR99" i="6" s="1"/>
  <c r="BF98" i="3"/>
  <c r="BF99" i="6"/>
  <c r="BO98" i="3"/>
  <c r="BO99" i="6" s="1"/>
  <c r="H98" i="3"/>
  <c r="H99" i="6"/>
  <c r="Z98" i="3"/>
  <c r="Z99" i="6" s="1"/>
  <c r="BS98" i="3"/>
  <c r="BS99" i="6"/>
  <c r="T98" i="3"/>
  <c r="T99" i="6"/>
  <c r="DE98" i="3"/>
  <c r="DE99" i="6" s="1"/>
  <c r="S98" i="3"/>
  <c r="S99" i="6" s="1"/>
  <c r="Q98" i="3"/>
  <c r="Q99" i="6"/>
  <c r="CG98" i="3"/>
  <c r="CG99" i="6" s="1"/>
  <c r="AE98" i="3"/>
  <c r="AE99" i="6" s="1"/>
  <c r="DQ98" i="3"/>
  <c r="DQ99" i="6" s="1"/>
  <c r="BI98" i="3"/>
  <c r="BI99" i="6"/>
  <c r="CF98" i="3"/>
  <c r="CF99" i="6" s="1"/>
  <c r="CS98" i="3"/>
  <c r="CS99" i="6"/>
  <c r="Y98" i="3"/>
  <c r="Y99" i="6" s="1"/>
  <c r="DP98" i="3"/>
  <c r="DP99" i="6"/>
  <c r="G98" i="3"/>
  <c r="G99" i="6" s="1"/>
  <c r="P98" i="3"/>
  <c r="P99" i="6" s="1"/>
  <c r="CT98" i="3"/>
  <c r="CT99" i="6" s="1"/>
  <c r="AN98" i="3"/>
  <c r="AN99" i="6"/>
  <c r="CM98" i="3"/>
  <c r="CM99" i="6" s="1"/>
  <c r="AD98" i="3"/>
  <c r="AD99" i="6" s="1"/>
  <c r="X98" i="3"/>
  <c r="X99" i="6" s="1"/>
  <c r="BG98" i="3"/>
  <c r="BG99" i="6"/>
  <c r="N98" i="3"/>
  <c r="N99" i="6"/>
  <c r="AW98" i="3"/>
  <c r="AW99" i="6" s="1"/>
  <c r="L98" i="3"/>
  <c r="L99" i="6" s="1"/>
  <c r="DG98" i="3"/>
  <c r="DG99" i="6"/>
  <c r="CY98" i="3"/>
  <c r="CY99" i="6" s="1"/>
  <c r="AR98" i="3"/>
  <c r="AR99" i="6" s="1"/>
  <c r="AY98" i="3"/>
  <c r="AY99" i="6" s="1"/>
  <c r="CP98" i="3"/>
  <c r="CP99" i="6"/>
  <c r="CK98" i="3"/>
  <c r="CK99" i="6" s="1"/>
  <c r="AM98" i="3"/>
  <c r="AM99" i="6"/>
  <c r="AJ98" i="3"/>
  <c r="AJ99" i="6" s="1"/>
  <c r="DN98" i="3"/>
  <c r="DN99" i="6"/>
  <c r="CN98" i="3"/>
  <c r="CN99" i="6"/>
  <c r="DO98" i="3"/>
  <c r="DO99" i="6" s="1"/>
  <c r="BB98" i="3"/>
  <c r="BB99" i="6" s="1"/>
  <c r="CB98" i="3"/>
  <c r="CB99" i="6"/>
  <c r="CA98" i="3"/>
  <c r="CA99" i="6" s="1"/>
  <c r="K98" i="3"/>
  <c r="K99" i="6" s="1"/>
  <c r="BN98" i="3"/>
  <c r="BN99" i="6" s="1"/>
  <c r="AT98" i="3"/>
  <c r="AT99" i="6"/>
  <c r="DL98" i="3"/>
  <c r="DL99" i="6" s="1"/>
  <c r="BR98" i="3"/>
  <c r="BR99" i="6"/>
  <c r="J98" i="3"/>
  <c r="J99" i="6" s="1"/>
  <c r="AP98" i="3"/>
  <c r="AP99" i="6"/>
  <c r="BV82" i="3"/>
  <c r="BV83" i="6" s="1"/>
  <c r="CT82" i="3"/>
  <c r="CT83" i="6" s="1"/>
  <c r="J126" i="3"/>
  <c r="J127" i="6" s="1"/>
  <c r="AD118" i="3"/>
  <c r="AD119" i="6"/>
  <c r="AS118" i="3"/>
  <c r="AS119" i="6" s="1"/>
  <c r="N118" i="3"/>
  <c r="N119" i="6" s="1"/>
  <c r="M118" i="3"/>
  <c r="M119" i="6" s="1"/>
  <c r="AX122" i="3"/>
  <c r="AX123" i="6"/>
  <c r="BT122" i="3"/>
  <c r="BT123" i="6"/>
  <c r="AT122" i="3"/>
  <c r="AT123" i="6" s="1"/>
  <c r="T122" i="3"/>
  <c r="T123" i="6" s="1"/>
  <c r="AU122" i="3"/>
  <c r="AU123" i="6"/>
  <c r="DG122" i="3"/>
  <c r="DG123" i="6" s="1"/>
  <c r="CK122" i="3"/>
  <c r="CK123" i="6" s="1"/>
  <c r="BL118" i="3"/>
  <c r="BL119" i="6" s="1"/>
  <c r="CC126" i="3"/>
  <c r="CC127" i="6"/>
  <c r="DJ118" i="3"/>
  <c r="DJ119" i="6" s="1"/>
  <c r="DP118" i="3"/>
  <c r="DP119" i="6"/>
  <c r="CX126" i="3"/>
  <c r="CX127" i="6" s="1"/>
  <c r="BZ126" i="3"/>
  <c r="BZ127" i="6"/>
  <c r="DF126" i="3"/>
  <c r="DF127" i="6"/>
  <c r="CE126" i="3"/>
  <c r="CE127" i="6" s="1"/>
  <c r="H118" i="3"/>
  <c r="H119" i="6" s="1"/>
  <c r="G118" i="3"/>
  <c r="G119" i="6"/>
  <c r="BE118" i="3"/>
  <c r="BE119" i="6" s="1"/>
  <c r="DM114" i="3"/>
  <c r="DM115" i="6" s="1"/>
  <c r="BG118" i="3"/>
  <c r="BG119" i="6"/>
  <c r="Q114" i="3"/>
  <c r="Q115" i="6" s="1"/>
  <c r="CD114" i="3"/>
  <c r="CD115" i="6" s="1"/>
  <c r="AW114" i="3"/>
  <c r="AW115" i="6"/>
  <c r="AG114" i="3"/>
  <c r="AG115" i="6"/>
  <c r="BM106" i="3"/>
  <c r="BM107" i="6" s="1"/>
  <c r="F106" i="3"/>
  <c r="F107" i="6" s="1"/>
  <c r="AE106" i="3"/>
  <c r="AE107" i="6" s="1"/>
  <c r="CG78" i="3"/>
  <c r="CG79" i="6"/>
  <c r="AI98" i="3"/>
  <c r="AI99" i="6" s="1"/>
  <c r="CV98" i="3"/>
  <c r="CV99" i="6" s="1"/>
  <c r="U98" i="3"/>
  <c r="U99" i="6" s="1"/>
  <c r="CN82" i="3"/>
  <c r="CN83" i="6"/>
  <c r="U82" i="3"/>
  <c r="U83" i="6" s="1"/>
  <c r="C123" i="6"/>
  <c r="BX126" i="3"/>
  <c r="BX127" i="6"/>
  <c r="CW118" i="3"/>
  <c r="CW119" i="6" s="1"/>
  <c r="BW118" i="3"/>
  <c r="BW119" i="6"/>
  <c r="Q118" i="3"/>
  <c r="Q119" i="6" s="1"/>
  <c r="CD118" i="3"/>
  <c r="CD119" i="6"/>
  <c r="CO118" i="3"/>
  <c r="CO119" i="6" s="1"/>
  <c r="CZ122" i="3"/>
  <c r="CZ123" i="6" s="1"/>
  <c r="AL122" i="3"/>
  <c r="AL123" i="6" s="1"/>
  <c r="DN122" i="3"/>
  <c r="DN123" i="6"/>
  <c r="BA122" i="3"/>
  <c r="BA123" i="6" s="1"/>
  <c r="AB122" i="3"/>
  <c r="AB123" i="6"/>
  <c r="AV122" i="3"/>
  <c r="AV123" i="6" s="1"/>
  <c r="DQ126" i="3"/>
  <c r="DQ127" i="6"/>
  <c r="CV118" i="3"/>
  <c r="CV119" i="6" s="1"/>
  <c r="N126" i="3"/>
  <c r="N127" i="6" s="1"/>
  <c r="BD126" i="3"/>
  <c r="BD127" i="6" s="1"/>
  <c r="P126" i="3"/>
  <c r="P127" i="6"/>
  <c r="BS126" i="3"/>
  <c r="BS127" i="6" s="1"/>
  <c r="DC118" i="3"/>
  <c r="DC119" i="6"/>
  <c r="CP118" i="3"/>
  <c r="CP119" i="6" s="1"/>
  <c r="AN114" i="3"/>
  <c r="AN115" i="6"/>
  <c r="DD114" i="3"/>
  <c r="DD115" i="6" s="1"/>
  <c r="AL114" i="3"/>
  <c r="AL115" i="6" s="1"/>
  <c r="AR114" i="3"/>
  <c r="AR115" i="6" s="1"/>
  <c r="BS106" i="3"/>
  <c r="BS107" i="6"/>
  <c r="AD106" i="3"/>
  <c r="AD107" i="6" s="1"/>
  <c r="AO98" i="3"/>
  <c r="AO99" i="6"/>
  <c r="CX98" i="3"/>
  <c r="CX99" i="6" s="1"/>
  <c r="BJ98" i="3"/>
  <c r="BJ99" i="6"/>
  <c r="BF78" i="3"/>
  <c r="BF79" i="6" s="1"/>
  <c r="S78" i="3"/>
  <c r="S79" i="6" s="1"/>
  <c r="H78" i="3"/>
  <c r="H79" i="6" s="1"/>
  <c r="Y78" i="3"/>
  <c r="Y79" i="6"/>
  <c r="DE78" i="3"/>
  <c r="DE79" i="6" s="1"/>
  <c r="BN78" i="3"/>
  <c r="BN79" i="6"/>
  <c r="W78" i="3"/>
  <c r="W79" i="6" s="1"/>
  <c r="T78" i="3"/>
  <c r="T79" i="6"/>
  <c r="I78" i="3"/>
  <c r="I79" i="6" s="1"/>
  <c r="CO78" i="3"/>
  <c r="CO79" i="6" s="1"/>
  <c r="AL78" i="3"/>
  <c r="AL79" i="6" s="1"/>
  <c r="CX78" i="3"/>
  <c r="CX79" i="6"/>
  <c r="CJ78" i="3"/>
  <c r="CJ79" i="6" s="1"/>
  <c r="N78" i="3"/>
  <c r="N79" i="6"/>
  <c r="AA78" i="3"/>
  <c r="AA79" i="6" s="1"/>
  <c r="CM78" i="3"/>
  <c r="CM79" i="6"/>
  <c r="AR78" i="3"/>
  <c r="AR79" i="6" s="1"/>
  <c r="DD78" i="3"/>
  <c r="DD79" i="6" s="1"/>
  <c r="AK78" i="3"/>
  <c r="AK79" i="6" s="1"/>
  <c r="CW78" i="3"/>
  <c r="CW79" i="6"/>
  <c r="AU78" i="3"/>
  <c r="AU79" i="6" s="1"/>
  <c r="DG78" i="3"/>
  <c r="DG79" i="6"/>
  <c r="BL78" i="3"/>
  <c r="BL79" i="6" s="1"/>
  <c r="AY78" i="3"/>
  <c r="AY79" i="6"/>
  <c r="AN78" i="3"/>
  <c r="AN79" i="6" s="1"/>
  <c r="AS78" i="3"/>
  <c r="AS79" i="6" s="1"/>
  <c r="R78" i="3"/>
  <c r="R79" i="6" s="1"/>
  <c r="CD78" i="3"/>
  <c r="CD79" i="6"/>
  <c r="BC78" i="3"/>
  <c r="BC79" i="6" s="1"/>
  <c r="AZ78" i="3"/>
  <c r="AZ79" i="6"/>
  <c r="AC78" i="3"/>
  <c r="AC79" i="6" s="1"/>
  <c r="DI78" i="3"/>
  <c r="DI79" i="6"/>
  <c r="BB78" i="3"/>
  <c r="BB79" i="6" s="1"/>
  <c r="DN78" i="3"/>
  <c r="DN79" i="6" s="1"/>
  <c r="AG78" i="3"/>
  <c r="AG79" i="6" s="1"/>
  <c r="AT78" i="3"/>
  <c r="AT79" i="6"/>
  <c r="CZ78" i="3"/>
  <c r="CZ79" i="6" s="1"/>
  <c r="AX78" i="3"/>
  <c r="AX79" i="6"/>
  <c r="DO78" i="3"/>
  <c r="DO79" i="6" s="1"/>
  <c r="BU78" i="3"/>
  <c r="BU79" i="6"/>
  <c r="CH78" i="3"/>
  <c r="CH79" i="6" s="1"/>
  <c r="DQ78" i="3"/>
  <c r="DQ79" i="6" s="1"/>
  <c r="K78" i="3"/>
  <c r="K79" i="6" s="1"/>
  <c r="DC78" i="3"/>
  <c r="DC79" i="6"/>
  <c r="BX78" i="3"/>
  <c r="BX79" i="6" s="1"/>
  <c r="U78" i="3"/>
  <c r="U79" i="6"/>
  <c r="DM78" i="3"/>
  <c r="DM79" i="6" s="1"/>
  <c r="CA78" i="3"/>
  <c r="CA79" i="6"/>
  <c r="AV78" i="3"/>
  <c r="AV79" i="6" s="1"/>
  <c r="CE78" i="3"/>
  <c r="CE79" i="6" s="1"/>
  <c r="BM78" i="3"/>
  <c r="BM79" i="6" s="1"/>
  <c r="CT78" i="3"/>
  <c r="CT79" i="6"/>
  <c r="CF78" i="3"/>
  <c r="CF79" i="6" s="1"/>
  <c r="F78" i="3"/>
  <c r="F79" i="6"/>
  <c r="BO78" i="3"/>
  <c r="BO79" i="6" s="1"/>
  <c r="BZ78" i="3"/>
  <c r="BZ79" i="6"/>
  <c r="AQ78" i="3"/>
  <c r="AQ79" i="6" s="1"/>
  <c r="L78" i="3"/>
  <c r="L79" i="6" s="1"/>
  <c r="CN78" i="3"/>
  <c r="CN79" i="6" s="1"/>
  <c r="BA78" i="3"/>
  <c r="BA79" i="6"/>
  <c r="O78" i="3"/>
  <c r="O79" i="6" s="1"/>
  <c r="CQ78" i="3"/>
  <c r="CQ79" i="6"/>
  <c r="CB78" i="3"/>
  <c r="CB79" i="6" s="1"/>
  <c r="DK78" i="3"/>
  <c r="DK79" i="6"/>
  <c r="CK78" i="3"/>
  <c r="CK79" i="6" s="1"/>
  <c r="DJ78" i="3"/>
  <c r="DJ79" i="6" s="1"/>
  <c r="DL78" i="3"/>
  <c r="DL79" i="6" s="1"/>
  <c r="V78" i="3"/>
  <c r="V79" i="6"/>
  <c r="X78" i="3"/>
  <c r="X79" i="6" s="1"/>
  <c r="DF78" i="3"/>
  <c r="DF79" i="6"/>
  <c r="AW78" i="3"/>
  <c r="AW79" i="6" s="1"/>
  <c r="BG78" i="3"/>
  <c r="BG79" i="6"/>
  <c r="DP78" i="3"/>
  <c r="DP79" i="6" s="1"/>
  <c r="AE78" i="3"/>
  <c r="AE79" i="6" s="1"/>
  <c r="CR78" i="3"/>
  <c r="CR79" i="6" s="1"/>
  <c r="P78" i="3"/>
  <c r="P79" i="6"/>
  <c r="BT78" i="3"/>
  <c r="BT79" i="6" s="1"/>
  <c r="BR78" i="3"/>
  <c r="BR79" i="6"/>
  <c r="BW78" i="3"/>
  <c r="BW79" i="6" s="1"/>
  <c r="E78" i="3"/>
  <c r="E79" i="6"/>
  <c r="BK78" i="3"/>
  <c r="BK79" i="6" s="1"/>
  <c r="DH78" i="3"/>
  <c r="DH79" i="6" s="1"/>
  <c r="AB78" i="3"/>
  <c r="AB79" i="6" s="1"/>
  <c r="AH78" i="3"/>
  <c r="AH79" i="6"/>
  <c r="BY78" i="3"/>
  <c r="BY79" i="6" s="1"/>
  <c r="BQ78" i="3"/>
  <c r="BQ79" i="6"/>
  <c r="D86" i="3"/>
  <c r="D87" i="6" s="1"/>
  <c r="Y90" i="3"/>
  <c r="Y91" i="6"/>
  <c r="BG90" i="3"/>
  <c r="BG91" i="6" s="1"/>
  <c r="AM90" i="3"/>
  <c r="AM91" i="6" s="1"/>
  <c r="CY90" i="3"/>
  <c r="CY91" i="6" s="1"/>
  <c r="X90" i="3"/>
  <c r="X91" i="6"/>
  <c r="BD90" i="3"/>
  <c r="BD91" i="6" s="1"/>
  <c r="CJ90" i="3"/>
  <c r="CJ91" i="6"/>
  <c r="F90" i="3"/>
  <c r="F91" i="6" s="1"/>
  <c r="AL90" i="3"/>
  <c r="AL91" i="6"/>
  <c r="BR90" i="3"/>
  <c r="BR91" i="6" s="1"/>
  <c r="CX90" i="3"/>
  <c r="CX91" i="6" s="1"/>
  <c r="AE90" i="3"/>
  <c r="AE91" i="6" s="1"/>
  <c r="CQ90" i="3"/>
  <c r="CQ91" i="6"/>
  <c r="U90" i="3"/>
  <c r="U91" i="6" s="1"/>
  <c r="BA90" i="3"/>
  <c r="BA91" i="6"/>
  <c r="CG90" i="3"/>
  <c r="CG91" i="6" s="1"/>
  <c r="DQ90" i="3"/>
  <c r="DQ91" i="6"/>
  <c r="CT90" i="3"/>
  <c r="CT91" i="6" s="1"/>
  <c r="AH90" i="3"/>
  <c r="AH91" i="6" s="1"/>
  <c r="CC90" i="3"/>
  <c r="CC91" i="6" s="1"/>
  <c r="Q90" i="3"/>
  <c r="Q91" i="6"/>
  <c r="BP90" i="3"/>
  <c r="BP91" i="6" s="1"/>
  <c r="G90" i="3"/>
  <c r="G91" i="6"/>
  <c r="D90" i="3"/>
  <c r="D91" i="6" s="1"/>
  <c r="K90" i="3"/>
  <c r="K91" i="6"/>
  <c r="DP90" i="3"/>
  <c r="DP91" i="6" s="1"/>
  <c r="AY90" i="3"/>
  <c r="AY91" i="6" s="1"/>
  <c r="DN90" i="3"/>
  <c r="DN91" i="6" s="1"/>
  <c r="AF90" i="3"/>
  <c r="AF91" i="6"/>
  <c r="BL90" i="3"/>
  <c r="BL91" i="6" s="1"/>
  <c r="CR90" i="3"/>
  <c r="CR91" i="6"/>
  <c r="N90" i="3"/>
  <c r="N91" i="6" s="1"/>
  <c r="AT90" i="3"/>
  <c r="AT91" i="6"/>
  <c r="BZ90" i="3"/>
  <c r="BZ91" i="6" s="1"/>
  <c r="DG90" i="3"/>
  <c r="DG91" i="6" s="1"/>
  <c r="AQ90" i="3"/>
  <c r="AQ91" i="6" s="1"/>
  <c r="DC90" i="3"/>
  <c r="DC91" i="6"/>
  <c r="AC90" i="3"/>
  <c r="AC91" i="6" s="1"/>
  <c r="BI90" i="3"/>
  <c r="BI91" i="6"/>
  <c r="CO90" i="3"/>
  <c r="CO91" i="6" s="1"/>
  <c r="CD90" i="3"/>
  <c r="CD91" i="6"/>
  <c r="R90" i="3"/>
  <c r="R91" i="6" s="1"/>
  <c r="BM90" i="3"/>
  <c r="BM91" i="6"/>
  <c r="DO90" i="3"/>
  <c r="DO91" i="6" s="1"/>
  <c r="AZ90" i="3"/>
  <c r="AZ91" i="6"/>
  <c r="CU90" i="3"/>
  <c r="CU91" i="6" s="1"/>
  <c r="BO90" i="3"/>
  <c r="BO91" i="6"/>
  <c r="DD90" i="3"/>
  <c r="DD91" i="6" s="1"/>
  <c r="BS90" i="3"/>
  <c r="BS91" i="6"/>
  <c r="H90" i="3"/>
  <c r="H91" i="6" s="1"/>
  <c r="AN90" i="3"/>
  <c r="AN91" i="6" s="1"/>
  <c r="BT90" i="3"/>
  <c r="BT91" i="6" s="1"/>
  <c r="CZ90" i="3"/>
  <c r="CZ91" i="6"/>
  <c r="V90" i="3"/>
  <c r="V91" i="6" s="1"/>
  <c r="BB90" i="3"/>
  <c r="BB91" i="6"/>
  <c r="CH90" i="3"/>
  <c r="CH91" i="6" s="1"/>
  <c r="DL90" i="3"/>
  <c r="DL91" i="6"/>
  <c r="BK90" i="3"/>
  <c r="BK91" i="6" s="1"/>
  <c r="E90" i="3"/>
  <c r="E91" i="6" s="1"/>
  <c r="AK90" i="3"/>
  <c r="AK91" i="6" s="1"/>
  <c r="BQ90" i="3"/>
  <c r="BQ91" i="6"/>
  <c r="CW90" i="3"/>
  <c r="CW91" i="6" s="1"/>
  <c r="BN90" i="3"/>
  <c r="BN91" i="6"/>
  <c r="DK90" i="3"/>
  <c r="DK91" i="6" s="1"/>
  <c r="AW90" i="3"/>
  <c r="AW91" i="6"/>
  <c r="CV90" i="3"/>
  <c r="CV91" i="6" s="1"/>
  <c r="AJ90" i="3"/>
  <c r="AJ91" i="6" s="1"/>
  <c r="BC90" i="3"/>
  <c r="BC91" i="6" s="1"/>
  <c r="O90" i="3"/>
  <c r="O91" i="6"/>
  <c r="CB90" i="3"/>
  <c r="CB91" i="6" s="1"/>
  <c r="CP90" i="3"/>
  <c r="CP91" i="6"/>
  <c r="AS90" i="3"/>
  <c r="AS91" i="6" s="1"/>
  <c r="DM90" i="3"/>
  <c r="DM91" i="6"/>
  <c r="CF90" i="3"/>
  <c r="CF91" i="6" s="1"/>
  <c r="AA90" i="3"/>
  <c r="AA91" i="6" s="1"/>
  <c r="CA90" i="3"/>
  <c r="CA91" i="6" s="1"/>
  <c r="CE90" i="3"/>
  <c r="CE91" i="6"/>
  <c r="DJ90" i="3"/>
  <c r="DJ91" i="6" s="1"/>
  <c r="S90" i="3"/>
  <c r="S91" i="6"/>
  <c r="BY90" i="3"/>
  <c r="BY91" i="6" s="1"/>
  <c r="AX90" i="3"/>
  <c r="AX91" i="6"/>
  <c r="T90" i="3"/>
  <c r="T91" i="6" s="1"/>
  <c r="DI90" i="3"/>
  <c r="DI91" i="6" s="1"/>
  <c r="DH90" i="3"/>
  <c r="DH91" i="6" s="1"/>
  <c r="P90" i="3"/>
  <c r="P91" i="6"/>
  <c r="AD90" i="3"/>
  <c r="AD91" i="6" s="1"/>
  <c r="BW90" i="3"/>
  <c r="BW91" i="6"/>
  <c r="DF90" i="3"/>
  <c r="DF91" i="6" s="1"/>
  <c r="CS90" i="3"/>
  <c r="CS91" i="6"/>
  <c r="CM90" i="3"/>
  <c r="CM91" i="6" s="1"/>
  <c r="AV90" i="3"/>
  <c r="AV91" i="6" s="1"/>
  <c r="AI90" i="3"/>
  <c r="AI91" i="6" s="1"/>
  <c r="BJ90" i="3"/>
  <c r="BJ91" i="6"/>
  <c r="M90" i="3"/>
  <c r="M91" i="6" s="1"/>
  <c r="AG90" i="3"/>
  <c r="AG91" i="6"/>
  <c r="AH106" i="3"/>
  <c r="AH107" i="6" s="1"/>
  <c r="BP106" i="3"/>
  <c r="BP107" i="6"/>
  <c r="D106" i="3"/>
  <c r="D107" i="6" s="1"/>
  <c r="AL106" i="3"/>
  <c r="AL107" i="6" s="1"/>
  <c r="BV106" i="3"/>
  <c r="BV107" i="6" s="1"/>
  <c r="CO106" i="3"/>
  <c r="CO107" i="6"/>
  <c r="AO106" i="3"/>
  <c r="AO107" i="6" s="1"/>
  <c r="CR106" i="3"/>
  <c r="CR107" i="6"/>
  <c r="AF106" i="3"/>
  <c r="AF107" i="6" s="1"/>
  <c r="BW106" i="3"/>
  <c r="BW107" i="6"/>
  <c r="DB106" i="3"/>
  <c r="DB107" i="6" s="1"/>
  <c r="Z106" i="3"/>
  <c r="Z107" i="6" s="1"/>
  <c r="DK106" i="3"/>
  <c r="DK107" i="6" s="1"/>
  <c r="DF106" i="3"/>
  <c r="DF107" i="6"/>
  <c r="BX106" i="3"/>
  <c r="BX107" i="6" s="1"/>
  <c r="AW106" i="3"/>
  <c r="AW107" i="6"/>
  <c r="DJ106" i="3"/>
  <c r="DJ107" i="6" s="1"/>
  <c r="CZ106" i="3"/>
  <c r="CZ107" i="6"/>
  <c r="CH106" i="3"/>
  <c r="CH107" i="6" s="1"/>
  <c r="AK106" i="3"/>
  <c r="AK107" i="6" s="1"/>
  <c r="BY106" i="3"/>
  <c r="BY107" i="6" s="1"/>
  <c r="CN106" i="3"/>
  <c r="CN107" i="6"/>
  <c r="BR106" i="3"/>
  <c r="BR107" i="6" s="1"/>
  <c r="U106" i="3"/>
  <c r="U107" i="6"/>
  <c r="X106" i="3"/>
  <c r="X107" i="6" s="1"/>
  <c r="BE106" i="3"/>
  <c r="BE107" i="6"/>
  <c r="BI106" i="3"/>
  <c r="BI107" i="6" s="1"/>
  <c r="CJ106" i="3"/>
  <c r="CJ107" i="6" s="1"/>
  <c r="AS106" i="3"/>
  <c r="AS107" i="6" s="1"/>
  <c r="BF106" i="3"/>
  <c r="BF107" i="6"/>
  <c r="CF106" i="3"/>
  <c r="CF107" i="6" s="1"/>
  <c r="CX106" i="3"/>
  <c r="CX107" i="6"/>
  <c r="DG106" i="3"/>
  <c r="DG107" i="6" s="1"/>
  <c r="J106" i="3"/>
  <c r="J107" i="6"/>
  <c r="Y106" i="3"/>
  <c r="Y107" i="6" s="1"/>
  <c r="BL106" i="3"/>
  <c r="BL107" i="6" s="1"/>
  <c r="CS106" i="3"/>
  <c r="CS107" i="6" s="1"/>
  <c r="CL106" i="3"/>
  <c r="CL107" i="6"/>
  <c r="CD106" i="3"/>
  <c r="CD107" i="6" s="1"/>
  <c r="AT106" i="3"/>
  <c r="AT107" i="6"/>
  <c r="AR106" i="3"/>
  <c r="AR107" i="6" s="1"/>
  <c r="CG106" i="3"/>
  <c r="CG107" i="6"/>
  <c r="BO106" i="3"/>
  <c r="BO107" i="6" s="1"/>
  <c r="AQ106" i="3"/>
  <c r="AQ107" i="6" s="1"/>
  <c r="R106" i="3"/>
  <c r="R107" i="6" s="1"/>
  <c r="C107" i="6"/>
  <c r="AA106" i="3"/>
  <c r="AA107" i="6" s="1"/>
  <c r="DA106" i="3"/>
  <c r="DA107" i="6"/>
  <c r="CI106" i="3"/>
  <c r="CI107" i="6" s="1"/>
  <c r="AI106" i="3"/>
  <c r="AI107" i="6"/>
  <c r="I106" i="3"/>
  <c r="I107" i="6"/>
  <c r="CT106" i="3"/>
  <c r="CT107" i="6"/>
  <c r="AZ106" i="3"/>
  <c r="AZ107" i="6" s="1"/>
  <c r="CC106" i="3"/>
  <c r="CC107" i="6"/>
  <c r="CQ106" i="3"/>
  <c r="CQ107" i="6"/>
  <c r="AX106" i="3"/>
  <c r="AX107" i="6"/>
  <c r="CK106" i="3"/>
  <c r="CK107" i="6" s="1"/>
  <c r="AV106" i="3"/>
  <c r="AV107" i="6"/>
  <c r="BB106" i="3"/>
  <c r="BB107" i="6"/>
  <c r="BQ106" i="3"/>
  <c r="BQ107" i="6"/>
  <c r="AM106" i="3"/>
  <c r="AM107" i="6" s="1"/>
  <c r="BZ106" i="3"/>
  <c r="BZ107" i="6"/>
  <c r="L106" i="3"/>
  <c r="L107" i="6" s="1"/>
  <c r="AP106" i="3"/>
  <c r="AP107" i="6"/>
  <c r="BT106" i="3"/>
  <c r="BT107" i="6" s="1"/>
  <c r="DM106" i="3"/>
  <c r="DM107" i="6"/>
  <c r="AY106" i="3"/>
  <c r="AY107" i="6"/>
  <c r="BH106" i="3"/>
  <c r="BH107" i="6"/>
  <c r="CW106" i="3"/>
  <c r="CW107" i="6" s="1"/>
  <c r="S106" i="3"/>
  <c r="S107" i="6"/>
  <c r="DE106" i="3"/>
  <c r="DE107" i="6"/>
  <c r="M106" i="3"/>
  <c r="M107" i="6"/>
  <c r="DO106" i="3"/>
  <c r="DO107" i="6" s="1"/>
  <c r="DC106" i="3"/>
  <c r="DC107" i="6"/>
  <c r="DL106" i="3"/>
  <c r="DL107" i="6" s="1"/>
  <c r="BG106" i="3"/>
  <c r="BG107" i="6"/>
  <c r="G106" i="3"/>
  <c r="G107" i="6" s="1"/>
  <c r="P106" i="3"/>
  <c r="P107" i="6"/>
  <c r="AU106" i="3"/>
  <c r="AU107" i="6" s="1"/>
  <c r="BC106" i="3"/>
  <c r="BC107" i="6"/>
  <c r="AC106" i="3"/>
  <c r="AC107" i="6" s="1"/>
  <c r="CA106" i="3"/>
  <c r="CA107" i="6"/>
  <c r="AB106" i="3"/>
  <c r="AB107" i="6" s="1"/>
  <c r="CP106" i="3"/>
  <c r="CP107" i="6"/>
  <c r="BD106" i="3"/>
  <c r="BD107" i="6" s="1"/>
  <c r="O106" i="3"/>
  <c r="O107" i="6"/>
  <c r="BA106" i="3"/>
  <c r="BA107" i="6"/>
  <c r="AG106" i="3"/>
  <c r="AG107" i="6"/>
  <c r="AN106" i="3"/>
  <c r="AN107" i="6" s="1"/>
  <c r="DP106" i="3"/>
  <c r="DP107" i="6"/>
  <c r="CV106" i="3"/>
  <c r="CV107" i="6"/>
  <c r="Q106" i="3"/>
  <c r="Q107" i="6"/>
  <c r="CE106" i="3"/>
  <c r="CE107" i="6" s="1"/>
  <c r="DN106" i="3"/>
  <c r="DN107" i="6"/>
  <c r="E106" i="3"/>
  <c r="E107" i="6" s="1"/>
  <c r="DD106" i="3"/>
  <c r="DD107" i="6"/>
  <c r="BJ106" i="3"/>
  <c r="BJ107" i="6" s="1"/>
  <c r="CY106" i="3"/>
  <c r="CY107" i="6"/>
  <c r="DI106" i="3"/>
  <c r="DI107" i="6"/>
  <c r="DQ106" i="3"/>
  <c r="DQ107" i="6"/>
  <c r="V106" i="3"/>
  <c r="V107" i="6" s="1"/>
  <c r="AJ106" i="3"/>
  <c r="AJ107" i="6"/>
  <c r="CM106" i="3"/>
  <c r="CM107" i="6"/>
  <c r="BK106" i="3"/>
  <c r="BK107" i="6"/>
  <c r="DH106" i="3"/>
  <c r="DH107" i="6" s="1"/>
  <c r="BU106" i="3"/>
  <c r="BU107" i="6"/>
  <c r="CU106" i="3"/>
  <c r="CU107" i="6" s="1"/>
  <c r="BN106" i="3"/>
  <c r="BN107" i="6"/>
  <c r="R110" i="3"/>
  <c r="R111" i="6" s="1"/>
  <c r="AK110" i="3"/>
  <c r="AK111" i="6"/>
  <c r="CE114" i="3"/>
  <c r="CE115" i="6" s="1"/>
  <c r="DP114" i="3"/>
  <c r="DP115" i="6"/>
  <c r="AV114" i="3"/>
  <c r="AV115" i="6" s="1"/>
  <c r="CS114" i="3"/>
  <c r="CS115" i="6"/>
  <c r="K114" i="3"/>
  <c r="K115" i="6"/>
  <c r="AP114" i="3"/>
  <c r="AP115" i="6"/>
  <c r="CK114" i="3"/>
  <c r="CK115" i="6" s="1"/>
  <c r="BJ114" i="3"/>
  <c r="BJ115" i="6"/>
  <c r="DE114" i="3"/>
  <c r="DE115" i="6"/>
  <c r="BT114" i="3"/>
  <c r="BT115" i="6"/>
  <c r="DI114" i="3"/>
  <c r="DI115" i="6" s="1"/>
  <c r="AA114" i="3"/>
  <c r="AA115" i="6"/>
  <c r="BF114" i="3"/>
  <c r="BF115" i="6"/>
  <c r="CU114" i="3"/>
  <c r="CU115" i="6"/>
  <c r="I114" i="3"/>
  <c r="I115" i="6" s="1"/>
  <c r="CN114" i="3"/>
  <c r="CN115" i="6"/>
  <c r="CC114" i="3"/>
  <c r="CC115" i="6" s="1"/>
  <c r="AE114" i="3"/>
  <c r="AE115" i="6"/>
  <c r="AD114" i="3"/>
  <c r="AD115" i="6" s="1"/>
  <c r="CF114" i="3"/>
  <c r="CF115" i="6"/>
  <c r="BM114" i="3"/>
  <c r="BM115" i="6"/>
  <c r="O114" i="3"/>
  <c r="O115" i="6"/>
  <c r="S114" i="3"/>
  <c r="S115" i="6" s="1"/>
  <c r="CT114" i="3"/>
  <c r="CT115" i="6"/>
  <c r="AF114" i="3"/>
  <c r="AF115" i="6"/>
  <c r="BB114" i="3"/>
  <c r="BB115" i="6"/>
  <c r="BK114" i="3"/>
  <c r="BK115" i="6" s="1"/>
  <c r="G114" i="3"/>
  <c r="G115" i="6"/>
  <c r="W114" i="3"/>
  <c r="W115" i="6" s="1"/>
  <c r="CJ114" i="3"/>
  <c r="CJ115" i="6"/>
  <c r="CM114" i="3"/>
  <c r="CM115" i="6" s="1"/>
  <c r="CW114" i="3"/>
  <c r="CW115" i="6"/>
  <c r="BE114" i="3"/>
  <c r="BE115" i="6" s="1"/>
  <c r="BU114" i="3"/>
  <c r="BU115" i="6"/>
  <c r="AJ114" i="3"/>
  <c r="AJ115" i="6" s="1"/>
  <c r="BQ114" i="3"/>
  <c r="BQ115" i="6"/>
  <c r="DA114" i="3"/>
  <c r="DA115" i="6" s="1"/>
  <c r="X114" i="3"/>
  <c r="X115" i="6"/>
  <c r="BA114" i="3"/>
  <c r="BA115" i="6" s="1"/>
  <c r="AO114" i="3"/>
  <c r="AO115" i="6"/>
  <c r="CB114" i="3"/>
  <c r="CB115" i="6"/>
  <c r="BG114" i="3"/>
  <c r="BG115" i="6"/>
  <c r="J114" i="3"/>
  <c r="J115" i="6" s="1"/>
  <c r="BV114" i="3"/>
  <c r="BV115" i="6"/>
  <c r="CR114" i="3"/>
  <c r="CR115" i="6"/>
  <c r="BP114" i="3"/>
  <c r="BP115" i="6"/>
  <c r="AH114" i="3"/>
  <c r="AH115" i="6" s="1"/>
  <c r="BC114" i="3"/>
  <c r="BC115" i="6"/>
  <c r="P114" i="3"/>
  <c r="P115" i="6" s="1"/>
  <c r="DB114" i="3"/>
  <c r="DB115" i="6"/>
  <c r="AT114" i="3"/>
  <c r="AT115" i="6" s="1"/>
  <c r="BN114" i="3"/>
  <c r="BN115" i="6"/>
  <c r="AB114" i="3"/>
  <c r="AB115" i="6"/>
  <c r="F114" i="3"/>
  <c r="F115" i="6"/>
  <c r="R114" i="3"/>
  <c r="R115" i="6" s="1"/>
  <c r="C115" i="6"/>
  <c r="DG114" i="3"/>
  <c r="DG115" i="6"/>
  <c r="BY114" i="3"/>
  <c r="BY115" i="6" s="1"/>
  <c r="V114" i="3"/>
  <c r="V115" i="6" s="1"/>
  <c r="DJ114" i="3"/>
  <c r="DJ115" i="6" s="1"/>
  <c r="AZ114" i="3"/>
  <c r="AZ115" i="6"/>
  <c r="CL114" i="3"/>
  <c r="CL115" i="6" s="1"/>
  <c r="H114" i="3"/>
  <c r="H115" i="6"/>
  <c r="AQ114" i="3"/>
  <c r="AQ115" i="6" s="1"/>
  <c r="AY114" i="3"/>
  <c r="AY115" i="6"/>
  <c r="Z114" i="3"/>
  <c r="Z115" i="6" s="1"/>
  <c r="U114" i="3"/>
  <c r="U115" i="6" s="1"/>
  <c r="DQ114" i="3"/>
  <c r="DQ115" i="6" s="1"/>
  <c r="BO114" i="3"/>
  <c r="BO115" i="6"/>
  <c r="BZ114" i="3"/>
  <c r="BZ115" i="6" s="1"/>
  <c r="DO114" i="3"/>
  <c r="DO115" i="6"/>
  <c r="CZ114" i="3"/>
  <c r="CZ115" i="6" s="1"/>
  <c r="DN114" i="3"/>
  <c r="DN115" i="6"/>
  <c r="CG114" i="3"/>
  <c r="CG115" i="6" s="1"/>
  <c r="AX114" i="3"/>
  <c r="AX115" i="6" s="1"/>
  <c r="DL114" i="3"/>
  <c r="DL115" i="6" s="1"/>
  <c r="L114" i="3"/>
  <c r="L115" i="6"/>
  <c r="CA114" i="3"/>
  <c r="CA115" i="6" s="1"/>
  <c r="BI114" i="3"/>
  <c r="BI115" i="6"/>
  <c r="BL114" i="3"/>
  <c r="BL115" i="6" s="1"/>
  <c r="AI114" i="3"/>
  <c r="AI115" i="6"/>
  <c r="DH114" i="3"/>
  <c r="DH115" i="6" s="1"/>
  <c r="CQ114" i="3"/>
  <c r="CQ115" i="6" s="1"/>
  <c r="DK114" i="3"/>
  <c r="DK115" i="6" s="1"/>
  <c r="T114" i="3"/>
  <c r="T115" i="6"/>
  <c r="AU114" i="3"/>
  <c r="AU115" i="6" s="1"/>
  <c r="BS114" i="3"/>
  <c r="BS115" i="6"/>
  <c r="DF114" i="3"/>
  <c r="DF115" i="6" s="1"/>
  <c r="BW114" i="3"/>
  <c r="BW115" i="6"/>
  <c r="CV114" i="3"/>
  <c r="CV115" i="6" s="1"/>
  <c r="CY114" i="3"/>
  <c r="CY115" i="6" s="1"/>
  <c r="BD114" i="3"/>
  <c r="BD115" i="6" s="1"/>
  <c r="CX114" i="3"/>
  <c r="CX115" i="6"/>
  <c r="AK114" i="3"/>
  <c r="AK115" i="6" s="1"/>
  <c r="BX114" i="3"/>
  <c r="BX115" i="6"/>
  <c r="CO114" i="3"/>
  <c r="CO115" i="6" s="1"/>
  <c r="BR114" i="3"/>
  <c r="BR115" i="6"/>
  <c r="D114" i="3"/>
  <c r="D115" i="6" s="1"/>
  <c r="CI114" i="3"/>
  <c r="CI115" i="6" s="1"/>
  <c r="CH114" i="3"/>
  <c r="CH115" i="6" s="1"/>
  <c r="AB118" i="3"/>
  <c r="AB119" i="6"/>
  <c r="CX118" i="3"/>
  <c r="CX119" i="6" s="1"/>
  <c r="L118" i="3"/>
  <c r="L119" i="6"/>
  <c r="Y118" i="3"/>
  <c r="Y119" i="6" s="1"/>
  <c r="AX118" i="3"/>
  <c r="AX119" i="6"/>
  <c r="CU118" i="3"/>
  <c r="CU119" i="6" s="1"/>
  <c r="AH118" i="3"/>
  <c r="AH119" i="6" s="1"/>
  <c r="AG118" i="3"/>
  <c r="AG119" i="6" s="1"/>
  <c r="DH118" i="3"/>
  <c r="DH119" i="6"/>
  <c r="BP118" i="3"/>
  <c r="BP119" i="6" s="1"/>
  <c r="BM118" i="3"/>
  <c r="BM119" i="6"/>
  <c r="CB118" i="3"/>
  <c r="CB119" i="6" s="1"/>
  <c r="BB118" i="3"/>
  <c r="BB119" i="6"/>
  <c r="BZ118" i="3"/>
  <c r="BZ119" i="6" s="1"/>
  <c r="X118" i="3"/>
  <c r="X119" i="6" s="1"/>
  <c r="AC118" i="3"/>
  <c r="AC119" i="6" s="1"/>
  <c r="AY118" i="3"/>
  <c r="AY119" i="6"/>
  <c r="AL118" i="3"/>
  <c r="AL119" i="6" s="1"/>
  <c r="BT118" i="3"/>
  <c r="BT119" i="6"/>
  <c r="U118" i="3"/>
  <c r="U119" i="6" s="1"/>
  <c r="AI118" i="3"/>
  <c r="AI119" i="6"/>
  <c r="DF118" i="3"/>
  <c r="DF119" i="6" s="1"/>
  <c r="DD118" i="3"/>
  <c r="DD119" i="6" s="1"/>
  <c r="DE118" i="3"/>
  <c r="DE119" i="6" s="1"/>
  <c r="AR118" i="3"/>
  <c r="AR119" i="6"/>
  <c r="AQ118" i="3"/>
  <c r="AQ119" i="6" s="1"/>
  <c r="CT118" i="3"/>
  <c r="CT119" i="6"/>
  <c r="AF118" i="3"/>
  <c r="AF119" i="6" s="1"/>
  <c r="BJ118" i="3"/>
  <c r="BJ119" i="6"/>
  <c r="BF118" i="3"/>
  <c r="BF119" i="6" s="1"/>
  <c r="AO118" i="3"/>
  <c r="AO119" i="6" s="1"/>
  <c r="AZ118" i="3"/>
  <c r="AZ119" i="6" s="1"/>
  <c r="DM118" i="3"/>
  <c r="DM119" i="6"/>
  <c r="T118" i="3"/>
  <c r="T119" i="6" s="1"/>
  <c r="C119" i="6"/>
  <c r="AP118" i="3"/>
  <c r="AP119" i="6" s="1"/>
  <c r="BV118" i="3"/>
  <c r="BV119" i="6"/>
  <c r="DL118" i="3"/>
  <c r="DL119" i="6"/>
  <c r="CY118" i="3"/>
  <c r="CY119" i="6"/>
  <c r="DQ118" i="3"/>
  <c r="DQ119" i="6" s="1"/>
  <c r="W118" i="3"/>
  <c r="W119" i="6"/>
  <c r="BX118" i="3"/>
  <c r="BX119" i="6" s="1"/>
  <c r="AE118" i="3"/>
  <c r="AE119" i="6"/>
  <c r="O118" i="3"/>
  <c r="O119" i="6" s="1"/>
  <c r="CN118" i="3"/>
  <c r="CN119" i="6"/>
  <c r="AT118" i="3"/>
  <c r="AT119" i="6" s="1"/>
  <c r="BR118" i="3"/>
  <c r="BR119" i="6"/>
  <c r="K118" i="3"/>
  <c r="K119" i="6" s="1"/>
  <c r="DN118" i="3"/>
  <c r="DN119" i="6"/>
  <c r="BH118" i="3"/>
  <c r="BH119" i="6"/>
  <c r="F118" i="3"/>
  <c r="F119" i="6"/>
  <c r="AK118" i="3"/>
  <c r="AK119" i="6" s="1"/>
  <c r="CS118" i="3"/>
  <c r="CS119" i="6"/>
  <c r="DB118" i="3"/>
  <c r="DB119" i="6"/>
  <c r="BQ118" i="3"/>
  <c r="BQ119" i="6"/>
  <c r="CI118" i="3"/>
  <c r="CI119" i="6" s="1"/>
  <c r="CA118" i="3"/>
  <c r="CA119" i="6"/>
  <c r="AN118" i="3"/>
  <c r="AN119" i="6"/>
  <c r="CC118" i="3"/>
  <c r="CC119" i="6"/>
  <c r="BD118" i="3"/>
  <c r="BD119" i="6" s="1"/>
  <c r="BY118" i="3"/>
  <c r="BY119" i="6"/>
  <c r="R118" i="3"/>
  <c r="R119" i="6" s="1"/>
  <c r="CK118" i="3"/>
  <c r="CK119" i="6"/>
  <c r="I118" i="3"/>
  <c r="I119" i="6" s="1"/>
  <c r="AJ118" i="3"/>
  <c r="AJ119" i="6"/>
  <c r="S118" i="3"/>
  <c r="S119" i="6"/>
  <c r="Z118" i="3"/>
  <c r="Z119" i="6"/>
  <c r="BU118" i="3"/>
  <c r="BU119" i="6" s="1"/>
  <c r="DO118" i="3"/>
  <c r="DO119" i="6"/>
  <c r="BA118" i="3"/>
  <c r="BA119" i="6"/>
  <c r="CG118" i="3"/>
  <c r="CG119" i="6"/>
  <c r="AV118" i="3"/>
  <c r="AV119" i="6" s="1"/>
  <c r="BO118" i="3"/>
  <c r="BO119" i="6"/>
  <c r="V118" i="3"/>
  <c r="V119" i="6" s="1"/>
  <c r="DG118" i="3"/>
  <c r="DG119" i="6"/>
  <c r="DI118" i="3"/>
  <c r="DI119" i="6" s="1"/>
  <c r="AW118" i="3"/>
  <c r="AW119" i="6"/>
  <c r="J118" i="3"/>
  <c r="J119" i="6" s="1"/>
  <c r="BC118" i="3"/>
  <c r="BC119" i="6"/>
  <c r="CJ118" i="3"/>
  <c r="CJ119" i="6" s="1"/>
  <c r="P118" i="3"/>
  <c r="P119" i="6"/>
  <c r="CQ118" i="3"/>
  <c r="CQ119" i="6" s="1"/>
  <c r="CR118" i="3"/>
  <c r="CR119" i="6"/>
  <c r="BS118" i="3"/>
  <c r="BS119" i="6" s="1"/>
  <c r="CF118" i="3"/>
  <c r="CF119" i="6"/>
  <c r="E118" i="3"/>
  <c r="E119" i="6"/>
  <c r="AN122" i="3"/>
  <c r="AN123" i="6"/>
  <c r="BJ122" i="3"/>
  <c r="BJ123" i="6" s="1"/>
  <c r="V122" i="3"/>
  <c r="V123" i="6"/>
  <c r="BP122" i="3"/>
  <c r="BP123" i="6"/>
  <c r="AR122" i="3"/>
  <c r="AR123" i="6"/>
  <c r="W122" i="3"/>
  <c r="W123" i="6" s="1"/>
  <c r="CA122" i="3"/>
  <c r="CA123" i="6"/>
  <c r="BH122" i="3"/>
  <c r="BH123" i="6" s="1"/>
  <c r="AJ122" i="3"/>
  <c r="AJ123" i="6"/>
  <c r="O122" i="3"/>
  <c r="O123" i="6" s="1"/>
  <c r="DL122" i="3"/>
  <c r="DL123" i="6"/>
  <c r="DQ122" i="3"/>
  <c r="DQ123" i="6"/>
  <c r="AE122" i="3"/>
  <c r="AE123" i="6"/>
  <c r="AA122" i="3"/>
  <c r="AA123" i="6" s="1"/>
  <c r="CF122" i="3"/>
  <c r="CF123" i="6"/>
  <c r="Y122" i="3"/>
  <c r="Y123" i="6"/>
  <c r="DD122" i="3"/>
  <c r="DD123" i="6"/>
  <c r="P122" i="3"/>
  <c r="P123" i="6" s="1"/>
  <c r="CX122" i="3"/>
  <c r="CX123" i="6"/>
  <c r="AD122" i="3"/>
  <c r="AD123" i="6" s="1"/>
  <c r="BD122" i="3"/>
  <c r="BD123" i="6"/>
  <c r="DJ122" i="3"/>
  <c r="DJ123" i="6" s="1"/>
  <c r="R122" i="3"/>
  <c r="R123" i="6"/>
  <c r="CU122" i="3"/>
  <c r="CU123" i="6" s="1"/>
  <c r="BR122" i="3"/>
  <c r="BR123" i="6"/>
  <c r="X122" i="3"/>
  <c r="X123" i="6" s="1"/>
  <c r="BG122" i="3"/>
  <c r="BG123" i="6"/>
  <c r="F122" i="3"/>
  <c r="F123" i="6"/>
  <c r="I122" i="3"/>
  <c r="I123" i="6"/>
  <c r="H122" i="3"/>
  <c r="H123" i="6" s="1"/>
  <c r="L122" i="3"/>
  <c r="L123" i="6"/>
  <c r="K122" i="3"/>
  <c r="K123" i="6"/>
  <c r="CR122" i="3"/>
  <c r="CR123" i="6"/>
  <c r="BW122" i="3"/>
  <c r="BW123" i="6" s="1"/>
  <c r="BM122" i="3"/>
  <c r="BM123" i="6"/>
  <c r="DC122" i="3"/>
  <c r="DC123" i="6"/>
  <c r="M122" i="3"/>
  <c r="M123" i="6"/>
  <c r="AS122" i="3"/>
  <c r="AS123" i="6" s="1"/>
  <c r="AH122" i="3"/>
  <c r="AH123" i="6"/>
  <c r="DE122" i="3"/>
  <c r="DE123" i="6" s="1"/>
  <c r="DI122" i="3"/>
  <c r="DI123" i="6"/>
  <c r="DP122" i="3"/>
  <c r="DP123" i="6" s="1"/>
  <c r="BX122" i="3"/>
  <c r="BX123" i="6"/>
  <c r="AM122" i="3"/>
  <c r="AM123" i="6"/>
  <c r="G122" i="3"/>
  <c r="G123" i="6"/>
  <c r="CI122" i="3"/>
  <c r="CI123" i="6" s="1"/>
  <c r="BE122" i="3"/>
  <c r="BE123" i="6"/>
  <c r="AF122" i="3"/>
  <c r="AF123" i="6"/>
  <c r="DO122" i="3"/>
  <c r="DO123" i="6"/>
  <c r="BQ122" i="3"/>
  <c r="BQ123" i="6" s="1"/>
  <c r="CQ122" i="3"/>
  <c r="CQ123" i="6"/>
  <c r="BC122" i="3"/>
  <c r="BC123" i="6" s="1"/>
  <c r="AO122" i="3"/>
  <c r="AO123" i="6"/>
  <c r="BK122" i="3"/>
  <c r="BK123" i="6" s="1"/>
  <c r="BS122" i="3"/>
  <c r="BS123" i="6"/>
  <c r="BL122" i="3"/>
  <c r="BL123" i="6" s="1"/>
  <c r="Q122" i="3"/>
  <c r="Q123" i="6"/>
  <c r="U122" i="3"/>
  <c r="U123" i="6" s="1"/>
  <c r="BV122" i="3"/>
  <c r="BV123" i="6"/>
  <c r="N122" i="3"/>
  <c r="N123" i="6" s="1"/>
  <c r="BY122" i="3"/>
  <c r="BY123" i="6"/>
  <c r="CP122" i="3"/>
  <c r="CP123" i="6" s="1"/>
  <c r="S122" i="3"/>
  <c r="S123" i="6"/>
  <c r="CY122" i="3"/>
  <c r="CY123" i="6"/>
  <c r="BB122" i="3"/>
  <c r="BB123" i="6"/>
  <c r="AY122" i="3"/>
  <c r="AY123" i="6" s="1"/>
  <c r="DB122" i="3"/>
  <c r="DB123" i="6"/>
  <c r="BI122" i="3"/>
  <c r="BI123" i="6"/>
  <c r="BN122" i="3"/>
  <c r="BN123" i="6"/>
  <c r="BO122" i="3"/>
  <c r="BO123" i="6" s="1"/>
  <c r="DH122" i="3"/>
  <c r="DH123" i="6"/>
  <c r="CB122" i="3"/>
  <c r="CB123" i="6" s="1"/>
  <c r="CG122" i="3"/>
  <c r="CG123" i="6"/>
  <c r="CO122" i="3"/>
  <c r="CO123" i="6" s="1"/>
  <c r="CH122" i="3"/>
  <c r="CH123" i="6"/>
  <c r="DM122" i="3"/>
  <c r="DM123" i="6" s="1"/>
  <c r="CM122" i="3"/>
  <c r="CM123" i="6"/>
  <c r="AK122" i="3"/>
  <c r="AK123" i="6" s="1"/>
  <c r="DA122" i="3"/>
  <c r="DA123" i="6"/>
  <c r="CV122" i="3"/>
  <c r="CV123" i="6"/>
  <c r="AW122" i="3"/>
  <c r="AW123" i="6"/>
  <c r="E122" i="3"/>
  <c r="E123" i="6" s="1"/>
  <c r="BF122" i="3"/>
  <c r="BF123" i="6"/>
  <c r="BZ122" i="3"/>
  <c r="BZ123" i="6" s="1"/>
  <c r="DF122" i="3"/>
  <c r="DF123" i="6"/>
  <c r="CE122" i="3"/>
  <c r="CE123" i="6" s="1"/>
  <c r="Z122" i="3"/>
  <c r="Z123" i="6"/>
  <c r="AF126" i="3"/>
  <c r="AF127" i="6" s="1"/>
  <c r="AD126" i="3"/>
  <c r="AD127" i="6"/>
  <c r="BE126" i="3"/>
  <c r="BE127" i="6" s="1"/>
  <c r="Z126" i="3"/>
  <c r="Z127" i="6"/>
  <c r="CS126" i="3"/>
  <c r="CS127" i="6"/>
  <c r="DK126" i="3"/>
  <c r="DK127" i="6"/>
  <c r="AT126" i="3"/>
  <c r="AT127" i="6" s="1"/>
  <c r="CY126" i="3"/>
  <c r="CY127" i="6"/>
  <c r="DC126" i="3"/>
  <c r="DC127" i="6"/>
  <c r="BY126" i="3"/>
  <c r="BY127" i="6"/>
  <c r="BA126" i="3"/>
  <c r="BA127" i="6" s="1"/>
  <c r="AN126" i="3"/>
  <c r="AN127" i="6"/>
  <c r="Q126" i="3"/>
  <c r="Q127" i="6"/>
  <c r="BV126" i="3"/>
  <c r="BV127" i="6"/>
  <c r="W126" i="3"/>
  <c r="W127" i="6" s="1"/>
  <c r="CU126" i="3"/>
  <c r="CU127" i="6"/>
  <c r="BN126" i="3"/>
  <c r="BN127" i="6" s="1"/>
  <c r="CQ126" i="3"/>
  <c r="CQ127" i="6"/>
  <c r="AK126" i="3"/>
  <c r="AK127" i="6" s="1"/>
  <c r="DG126" i="3"/>
  <c r="DG127" i="6"/>
  <c r="CW126" i="3"/>
  <c r="CW127" i="6" s="1"/>
  <c r="E126" i="3"/>
  <c r="E127" i="6"/>
  <c r="DH126" i="3"/>
  <c r="DH127" i="6" s="1"/>
  <c r="Y126" i="3"/>
  <c r="Y127" i="6"/>
  <c r="BL126" i="3"/>
  <c r="BL127" i="6"/>
  <c r="C127" i="6"/>
  <c r="CZ126" i="3"/>
  <c r="CZ127" i="6"/>
  <c r="AZ126" i="3"/>
  <c r="AZ127" i="6"/>
  <c r="DI126" i="3"/>
  <c r="DI127" i="6" s="1"/>
  <c r="AI126" i="3"/>
  <c r="AI127" i="6" s="1"/>
  <c r="CA126" i="3"/>
  <c r="CA127" i="6" s="1"/>
  <c r="BB126" i="3"/>
  <c r="BB127" i="6"/>
  <c r="AE126" i="3"/>
  <c r="AE127" i="6"/>
  <c r="DE126" i="3"/>
  <c r="DE127" i="6" s="1"/>
  <c r="DM126" i="3"/>
  <c r="DM127" i="6"/>
  <c r="CB126" i="3"/>
  <c r="CB127" i="6"/>
  <c r="BQ126" i="3"/>
  <c r="BQ127" i="6" s="1"/>
  <c r="CH126" i="3"/>
  <c r="CH127" i="6" s="1"/>
  <c r="CL126" i="3"/>
  <c r="CL127" i="6"/>
  <c r="AG126" i="3"/>
  <c r="AG127" i="6"/>
  <c r="DP126" i="3"/>
  <c r="DP127" i="6"/>
  <c r="CM126" i="3"/>
  <c r="CM127" i="6" s="1"/>
  <c r="AR126" i="3"/>
  <c r="AR127" i="6" s="1"/>
  <c r="R126" i="3"/>
  <c r="R127" i="6" s="1"/>
  <c r="BW126" i="3"/>
  <c r="BW127" i="6" s="1"/>
  <c r="AH126" i="3"/>
  <c r="AH127" i="6" s="1"/>
  <c r="AU126" i="3"/>
  <c r="AU127" i="6" s="1"/>
  <c r="BG126" i="3"/>
  <c r="BG127" i="6" s="1"/>
  <c r="CJ126" i="3"/>
  <c r="CJ127" i="6"/>
  <c r="DN126" i="3"/>
  <c r="DN127" i="6" s="1"/>
  <c r="CI126" i="3"/>
  <c r="CI127" i="6"/>
  <c r="BJ126" i="3"/>
  <c r="BJ127" i="6" s="1"/>
  <c r="BI126" i="3"/>
  <c r="BI127" i="6"/>
  <c r="U126" i="3"/>
  <c r="U127" i="6" s="1"/>
  <c r="AL126" i="3"/>
  <c r="AL127" i="6"/>
  <c r="DB126" i="3"/>
  <c r="DB127" i="6" s="1"/>
  <c r="I126" i="3"/>
  <c r="I127" i="6"/>
  <c r="BC126" i="3"/>
  <c r="BC127" i="6" s="1"/>
  <c r="DA126" i="3"/>
  <c r="DA127" i="6" s="1"/>
  <c r="X126" i="3"/>
  <c r="X127" i="6" s="1"/>
  <c r="CR126" i="3"/>
  <c r="CR127" i="6" s="1"/>
  <c r="AQ126" i="3"/>
  <c r="AQ127" i="6" s="1"/>
  <c r="AV126" i="3"/>
  <c r="AV127" i="6"/>
  <c r="BR126" i="3"/>
  <c r="BR127" i="6" s="1"/>
  <c r="H126" i="3"/>
  <c r="H127" i="6"/>
  <c r="CO126" i="3"/>
  <c r="CO127" i="6" s="1"/>
  <c r="G126" i="3"/>
  <c r="G127" i="6"/>
  <c r="CP126" i="3"/>
  <c r="CP127" i="6" s="1"/>
  <c r="F126" i="3"/>
  <c r="F127" i="6" s="1"/>
  <c r="S126" i="3"/>
  <c r="S127" i="6" s="1"/>
  <c r="BK126" i="3"/>
  <c r="BK127" i="6" s="1"/>
  <c r="BT126" i="3"/>
  <c r="BT127" i="6" s="1"/>
  <c r="CG126" i="3"/>
  <c r="CG127" i="6"/>
  <c r="DJ126" i="3"/>
  <c r="DJ127" i="6" s="1"/>
  <c r="AP126" i="3"/>
  <c r="AP127" i="6" s="1"/>
  <c r="CT126" i="3"/>
  <c r="CT127" i="6" s="1"/>
  <c r="CF126" i="3"/>
  <c r="CF127" i="6" s="1"/>
  <c r="BH126" i="3"/>
  <c r="BH127" i="6" s="1"/>
  <c r="AM126" i="3"/>
  <c r="AM127" i="6"/>
  <c r="AO126" i="3"/>
  <c r="AO127" i="6" s="1"/>
  <c r="BP126" i="3"/>
  <c r="BP127" i="6"/>
  <c r="AA126" i="3"/>
  <c r="AA127" i="6" s="1"/>
  <c r="AX126" i="3"/>
  <c r="AX127" i="6"/>
  <c r="AS126" i="3"/>
  <c r="AS127" i="6" s="1"/>
  <c r="V126" i="3"/>
  <c r="V127" i="6"/>
  <c r="D126" i="3"/>
  <c r="D127" i="6" s="1"/>
  <c r="AB126" i="3"/>
  <c r="AB127" i="6" s="1"/>
  <c r="DL126" i="3"/>
  <c r="DL127" i="6" s="1"/>
  <c r="BO126" i="3"/>
  <c r="BO127" i="6"/>
  <c r="O126" i="3"/>
  <c r="O127" i="6" s="1"/>
  <c r="CK126" i="3"/>
  <c r="CK127" i="6" s="1"/>
  <c r="DO126" i="3"/>
  <c r="DO127" i="6" s="1"/>
  <c r="AC126" i="3"/>
  <c r="AC127" i="6"/>
  <c r="CN126" i="3"/>
  <c r="CN127" i="6"/>
  <c r="DD126" i="3"/>
  <c r="DD127" i="6" s="1"/>
  <c r="DN130" i="3"/>
  <c r="DN131" i="6"/>
  <c r="CZ130" i="3"/>
  <c r="CZ131" i="6"/>
  <c r="BT130" i="3"/>
  <c r="BT131" i="6" s="1"/>
  <c r="CP130" i="3"/>
  <c r="CP131" i="6" s="1"/>
  <c r="CE130" i="3"/>
  <c r="CE131" i="6"/>
  <c r="J130" i="3"/>
  <c r="J131" i="6"/>
  <c r="BV130" i="3"/>
  <c r="BV131" i="6"/>
  <c r="AO130" i="3"/>
  <c r="AO131" i="6"/>
  <c r="E130" i="3"/>
  <c r="E131" i="6"/>
  <c r="P130" i="3"/>
  <c r="P131" i="6"/>
  <c r="BU130" i="3"/>
  <c r="BU131" i="6"/>
  <c r="I130" i="3"/>
  <c r="I131" i="6"/>
  <c r="BH130" i="3"/>
  <c r="BH131" i="6"/>
  <c r="BS130" i="3"/>
  <c r="BS131" i="6"/>
  <c r="BK130" i="3"/>
  <c r="BK131" i="6"/>
  <c r="AF130" i="3"/>
  <c r="AF131" i="6"/>
  <c r="AQ130" i="3"/>
  <c r="AQ131" i="6"/>
  <c r="BJ130" i="3"/>
  <c r="BJ131" i="6"/>
  <c r="CU130" i="3"/>
  <c r="CU131" i="6"/>
  <c r="DJ130" i="3"/>
  <c r="DJ131" i="6"/>
  <c r="BO130" i="3"/>
  <c r="BO131" i="6"/>
  <c r="V130" i="3"/>
  <c r="V131" i="6"/>
  <c r="CH130" i="3"/>
  <c r="CH131" i="6"/>
  <c r="DO130" i="3"/>
  <c r="DO131" i="6"/>
  <c r="CS130" i="3"/>
  <c r="CS131" i="6"/>
  <c r="CF130" i="3"/>
  <c r="CF131" i="6"/>
  <c r="BF130" i="3"/>
  <c r="BF131" i="6"/>
  <c r="M130" i="3"/>
  <c r="M131" i="6"/>
  <c r="AN130" i="3"/>
  <c r="AN131" i="6"/>
  <c r="AP130" i="3"/>
  <c r="AP131" i="6"/>
  <c r="DB130" i="3"/>
  <c r="DB131" i="6"/>
  <c r="AE130" i="3"/>
  <c r="AE131" i="6"/>
  <c r="AR130" i="3"/>
  <c r="AR131" i="6"/>
  <c r="CI130" i="3"/>
  <c r="CI131" i="6"/>
  <c r="O130" i="3"/>
  <c r="O131" i="6"/>
  <c r="BQ130" i="3"/>
  <c r="BQ131" i="6"/>
  <c r="CM130" i="3"/>
  <c r="CM131" i="6"/>
  <c r="Q130" i="3"/>
  <c r="Q131" i="6"/>
  <c r="AB130" i="3"/>
  <c r="AB131" i="6"/>
  <c r="CY130" i="3"/>
  <c r="CY131" i="6"/>
  <c r="DI130" i="3"/>
  <c r="DI131" i="6"/>
  <c r="AK130" i="3"/>
  <c r="AK131" i="6"/>
  <c r="BG130" i="3"/>
  <c r="BG131" i="6"/>
  <c r="BC130" i="3"/>
  <c r="BC131" i="6"/>
  <c r="DG130" i="3"/>
  <c r="DG131" i="6"/>
  <c r="W130" i="3"/>
  <c r="W131" i="6"/>
  <c r="CN130" i="3"/>
  <c r="CN131" i="6"/>
  <c r="DM130" i="3"/>
  <c r="DM131" i="6"/>
  <c r="D130" i="3"/>
  <c r="D131" i="6"/>
  <c r="L130" i="3"/>
  <c r="L131" i="6"/>
  <c r="AD130" i="3"/>
  <c r="AD131" i="6"/>
  <c r="AJ130" i="3"/>
  <c r="AJ131" i="6"/>
  <c r="AY130" i="3"/>
  <c r="AY131" i="6"/>
  <c r="BL130" i="3"/>
  <c r="BL131" i="6"/>
  <c r="BX130" i="3"/>
  <c r="BX131" i="6"/>
  <c r="CD130" i="3"/>
  <c r="CD131" i="6"/>
  <c r="CT130" i="3"/>
  <c r="CT131" i="6"/>
  <c r="DK130" i="3"/>
  <c r="DK131" i="6"/>
  <c r="DE130" i="3"/>
  <c r="DE131" i="6"/>
  <c r="CW130" i="3"/>
  <c r="CW131" i="6"/>
  <c r="DH130" i="3"/>
  <c r="DH131" i="6"/>
  <c r="AM130" i="3"/>
  <c r="AM131" i="6"/>
  <c r="DA130" i="3"/>
  <c r="DA131" i="6"/>
  <c r="U130" i="3"/>
  <c r="U131" i="6"/>
  <c r="CR130" i="3"/>
  <c r="CR131" i="6"/>
  <c r="DC130" i="3"/>
  <c r="DC131" i="6"/>
  <c r="N130" i="3"/>
  <c r="N131" i="6"/>
  <c r="AG130" i="3"/>
  <c r="AG131" i="6"/>
  <c r="AT130" i="3"/>
  <c r="AT131" i="6"/>
  <c r="AZ130" i="3"/>
  <c r="AZ131" i="6"/>
  <c r="BM130" i="3"/>
  <c r="BM131" i="6"/>
  <c r="BY130" i="3"/>
  <c r="BY131" i="6"/>
  <c r="CK130" i="3"/>
  <c r="CK131" i="6"/>
  <c r="CV130" i="3"/>
  <c r="CV131" i="6"/>
  <c r="DP130" i="3"/>
  <c r="DP131" i="6" s="1"/>
  <c r="S130" i="3"/>
  <c r="S131" i="6"/>
  <c r="X130" i="3"/>
  <c r="X131" i="6"/>
  <c r="AA130" i="3"/>
  <c r="AA131" i="6"/>
  <c r="DL130" i="3"/>
  <c r="DL131" i="6" s="1"/>
  <c r="DQ130" i="3"/>
  <c r="DQ131" i="6"/>
  <c r="CC130" i="3"/>
  <c r="CC131" i="6"/>
  <c r="CB130" i="3"/>
  <c r="CB131" i="6"/>
  <c r="BW130" i="3"/>
  <c r="BW131" i="6" s="1"/>
  <c r="CG130" i="3"/>
  <c r="CG131" i="6"/>
  <c r="Y130" i="3"/>
  <c r="Y131" i="6"/>
  <c r="AH130" i="3"/>
  <c r="AH131" i="6"/>
  <c r="AU130" i="3"/>
  <c r="AU131" i="6" s="1"/>
  <c r="BD130" i="3"/>
  <c r="BD131" i="6"/>
  <c r="BN130" i="3"/>
  <c r="BN131" i="6" s="1"/>
  <c r="BZ130" i="3"/>
  <c r="BZ131" i="6"/>
  <c r="CO130" i="3"/>
  <c r="CO131" i="6" s="1"/>
  <c r="DD130" i="3"/>
  <c r="DD131" i="6"/>
  <c r="K130" i="3"/>
  <c r="K131" i="6"/>
  <c r="AC130" i="3"/>
  <c r="AC131" i="6"/>
  <c r="BP130" i="3"/>
  <c r="BP131" i="6" s="1"/>
  <c r="BB130" i="3"/>
  <c r="BB131" i="6"/>
  <c r="G130" i="3"/>
  <c r="G131" i="6"/>
  <c r="T130" i="3"/>
  <c r="T131" i="6"/>
  <c r="AI130" i="3"/>
  <c r="AI131" i="6" s="1"/>
  <c r="CA130" i="3"/>
  <c r="CA131" i="6"/>
  <c r="C131" i="6"/>
  <c r="AV130" i="3"/>
  <c r="AV131" i="6" s="1"/>
  <c r="BA130" i="3"/>
  <c r="BA131" i="6" s="1"/>
  <c r="AX130" i="3"/>
  <c r="AX131" i="6" s="1"/>
  <c r="CQ130" i="3"/>
  <c r="CQ131" i="6"/>
  <c r="DF130" i="3"/>
  <c r="DF131" i="6" s="1"/>
  <c r="AW130" i="3"/>
  <c r="AW131" i="6"/>
  <c r="R130" i="3"/>
  <c r="R131" i="6" s="1"/>
  <c r="H130" i="3"/>
  <c r="H131" i="6" s="1"/>
  <c r="BN134" i="3"/>
  <c r="BN135" i="6" s="1"/>
  <c r="CM134" i="3"/>
  <c r="CM135" i="6"/>
  <c r="CO134" i="3"/>
  <c r="CO135" i="6" s="1"/>
  <c r="BK134" i="3"/>
  <c r="BK135" i="6" s="1"/>
  <c r="AP134" i="3"/>
  <c r="AP135" i="6" s="1"/>
  <c r="BL134" i="3"/>
  <c r="BL135" i="6"/>
  <c r="BE134" i="3"/>
  <c r="BE135" i="6" s="1"/>
  <c r="T134" i="3"/>
  <c r="T135" i="6" s="1"/>
  <c r="DJ134" i="3"/>
  <c r="DJ135" i="6" s="1"/>
  <c r="Z134" i="3"/>
  <c r="Z135" i="6"/>
  <c r="AK134" i="3"/>
  <c r="AK135" i="6"/>
  <c r="O134" i="3"/>
  <c r="O135" i="6" s="1"/>
  <c r="AE134" i="3"/>
  <c r="AE135" i="6" s="1"/>
  <c r="F134" i="3"/>
  <c r="F135" i="6" s="1"/>
  <c r="E134" i="3"/>
  <c r="E135" i="6"/>
  <c r="CU134" i="3"/>
  <c r="CU135" i="6" s="1"/>
  <c r="CJ134" i="3"/>
  <c r="CJ135" i="6" s="1"/>
  <c r="CE134" i="3"/>
  <c r="CE135" i="6" s="1"/>
  <c r="AZ134" i="3"/>
  <c r="AZ135" i="6"/>
  <c r="CQ134" i="3"/>
  <c r="CQ135" i="6"/>
  <c r="AU134" i="3"/>
  <c r="AU135" i="6" s="1"/>
  <c r="BC134" i="3"/>
  <c r="BC135" i="6" s="1"/>
  <c r="DE134" i="3"/>
  <c r="DE135" i="6" s="1"/>
  <c r="CH134" i="3"/>
  <c r="CH135" i="6"/>
  <c r="BO134" i="3"/>
  <c r="BO135" i="6" s="1"/>
  <c r="CS134" i="3"/>
  <c r="CS135" i="6" s="1"/>
  <c r="X134" i="3"/>
  <c r="X135" i="6"/>
  <c r="AM134" i="3"/>
  <c r="AM135" i="6"/>
  <c r="DL82" i="3"/>
  <c r="DL83" i="6" s="1"/>
  <c r="W82" i="3"/>
  <c r="W83" i="6"/>
  <c r="S82" i="3"/>
  <c r="S83" i="6" s="1"/>
  <c r="AP122" i="3"/>
  <c r="AP123" i="6" s="1"/>
  <c r="AM118" i="3"/>
  <c r="AM119" i="6" s="1"/>
  <c r="CH118" i="3"/>
  <c r="CH119" i="6"/>
  <c r="DK118" i="3"/>
  <c r="DK119" i="6" s="1"/>
  <c r="CM118" i="3"/>
  <c r="CM119" i="6"/>
  <c r="AC122" i="3"/>
  <c r="AC123" i="6" s="1"/>
  <c r="J122" i="3"/>
  <c r="J123" i="6"/>
  <c r="DK122" i="3"/>
  <c r="DK123" i="6"/>
  <c r="CN122" i="3"/>
  <c r="CN123" i="6" s="1"/>
  <c r="D122" i="3"/>
  <c r="D123" i="6" s="1"/>
  <c r="AQ122" i="3"/>
  <c r="AQ123" i="6"/>
  <c r="AZ122" i="3"/>
  <c r="AZ123" i="6"/>
  <c r="BF126" i="3"/>
  <c r="BF127" i="6" s="1"/>
  <c r="D118" i="3"/>
  <c r="D119" i="6" s="1"/>
  <c r="CD126" i="3"/>
  <c r="CD127" i="6" s="1"/>
  <c r="AJ126" i="3"/>
  <c r="AJ127" i="6"/>
  <c r="L126" i="3"/>
  <c r="L127" i="6"/>
  <c r="AY126" i="3"/>
  <c r="AY127" i="6" s="1"/>
  <c r="BK118" i="3"/>
  <c r="BK119" i="6"/>
  <c r="AA118" i="3"/>
  <c r="AA119" i="6"/>
  <c r="BM126" i="3"/>
  <c r="BM127" i="6"/>
  <c r="Y114" i="3"/>
  <c r="Y115" i="6" s="1"/>
  <c r="AC114" i="3"/>
  <c r="AC115" i="6"/>
  <c r="AS114" i="3"/>
  <c r="AS115" i="6" s="1"/>
  <c r="CP114" i="3"/>
  <c r="CP115" i="6"/>
  <c r="M114" i="3"/>
  <c r="M115" i="6" s="1"/>
  <c r="W106" i="3"/>
  <c r="W107" i="6" s="1"/>
  <c r="K106" i="3"/>
  <c r="K107" i="6"/>
  <c r="C79" i="6"/>
  <c r="AH98" i="3"/>
  <c r="AH99" i="6"/>
  <c r="E98" i="3"/>
  <c r="E99" i="6"/>
  <c r="BD98" i="3"/>
  <c r="BD99" i="6" s="1"/>
  <c r="CI78" i="3"/>
  <c r="CI79" i="6" s="1"/>
  <c r="H15" i="3"/>
  <c r="H16" i="6"/>
  <c r="AZ15" i="3"/>
  <c r="AZ16" i="6"/>
  <c r="AD64" i="3"/>
  <c r="AD65" i="6" s="1"/>
  <c r="W64" i="3"/>
  <c r="W65" i="6" s="1"/>
  <c r="AQ68" i="3"/>
  <c r="AQ69" i="6"/>
  <c r="CZ68" i="3"/>
  <c r="CZ69" i="6"/>
  <c r="M68" i="3"/>
  <c r="M69" i="6" s="1"/>
  <c r="AV68" i="3"/>
  <c r="AV69" i="6" s="1"/>
  <c r="L68" i="3"/>
  <c r="L69" i="6"/>
  <c r="DE68" i="3"/>
  <c r="DE69" i="6"/>
  <c r="AC68" i="3"/>
  <c r="AC69" i="6" s="1"/>
  <c r="P68" i="3"/>
  <c r="P69" i="6" s="1"/>
  <c r="DD68" i="3"/>
  <c r="DD69" i="6"/>
  <c r="X68" i="3"/>
  <c r="X69" i="6"/>
  <c r="CC68" i="3"/>
  <c r="CC69" i="6" s="1"/>
  <c r="AS68" i="3"/>
  <c r="AS69" i="6" s="1"/>
  <c r="CK68" i="3"/>
  <c r="CK69" i="6"/>
  <c r="I68" i="3"/>
  <c r="I69" i="6"/>
  <c r="AW68" i="3"/>
  <c r="AW69" i="6" s="1"/>
  <c r="BV68" i="3"/>
  <c r="BV69" i="6" s="1"/>
  <c r="O68" i="3"/>
  <c r="O69" i="6"/>
  <c r="CA68" i="3"/>
  <c r="CA69" i="6"/>
  <c r="DP68" i="3"/>
  <c r="DP69" i="6" s="1"/>
  <c r="AX68" i="3"/>
  <c r="AX69" i="6" s="1"/>
  <c r="G68" i="3"/>
  <c r="G69" i="6"/>
  <c r="CM68" i="3"/>
  <c r="CM69" i="6"/>
  <c r="AL68" i="3"/>
  <c r="AL69" i="6" s="1"/>
  <c r="K68" i="3"/>
  <c r="K69" i="6" s="1"/>
  <c r="DG68" i="3"/>
  <c r="DG69" i="6"/>
  <c r="BF68" i="3"/>
  <c r="BF69" i="6"/>
  <c r="AM68" i="3"/>
  <c r="AM69" i="6" s="1"/>
  <c r="DK68" i="3"/>
  <c r="DK69" i="6" s="1"/>
  <c r="CY68" i="3"/>
  <c r="CY69" i="6"/>
  <c r="C69" i="6"/>
  <c r="AF68" i="3"/>
  <c r="AF69" i="6" s="1"/>
  <c r="BD68" i="3"/>
  <c r="BD69" i="6"/>
  <c r="CN68" i="3"/>
  <c r="CN69" i="6"/>
  <c r="BA68" i="3"/>
  <c r="BA69" i="6" s="1"/>
  <c r="AB68" i="3"/>
  <c r="AB69" i="6" s="1"/>
  <c r="DL68" i="3"/>
  <c r="DL69" i="6" s="1"/>
  <c r="CW68" i="3"/>
  <c r="CW69" i="6" s="1"/>
  <c r="D68" i="3"/>
  <c r="D69" i="6" s="1"/>
  <c r="BH68" i="3"/>
  <c r="BH69" i="6"/>
  <c r="DI68" i="3"/>
  <c r="DI69" i="6" s="1"/>
  <c r="CB68" i="3"/>
  <c r="CB69" i="6"/>
  <c r="BT68" i="3"/>
  <c r="BT69" i="6" s="1"/>
  <c r="AO68" i="3"/>
  <c r="AO69" i="6"/>
  <c r="R68" i="3"/>
  <c r="R69" i="6"/>
  <c r="CL68" i="3"/>
  <c r="CL69" i="6"/>
  <c r="AE68" i="3"/>
  <c r="AE69" i="6" s="1"/>
  <c r="CQ68" i="3"/>
  <c r="CQ69" i="6"/>
  <c r="DA68" i="3"/>
  <c r="DA69" i="6"/>
  <c r="BR68" i="3"/>
  <c r="BR69" i="6" s="1"/>
  <c r="AA68" i="3"/>
  <c r="AA69" i="6" s="1"/>
  <c r="DC68" i="3"/>
  <c r="DC69" i="6" s="1"/>
  <c r="BB68" i="3"/>
  <c r="BB69" i="6"/>
  <c r="AI68" i="3"/>
  <c r="AI69" i="6"/>
  <c r="Q68" i="3"/>
  <c r="Q69" i="6" s="1"/>
  <c r="BZ68" i="3"/>
  <c r="BZ69" i="6"/>
  <c r="BG68" i="3"/>
  <c r="BG69" i="6"/>
  <c r="W68" i="3"/>
  <c r="W69" i="6" s="1"/>
  <c r="CI68" i="3"/>
  <c r="CI69" i="6" s="1"/>
  <c r="T68" i="3"/>
  <c r="T69" i="6"/>
  <c r="BX68" i="3"/>
  <c r="BX69" i="6" s="1"/>
  <c r="CJ68" i="3"/>
  <c r="CJ69" i="6"/>
  <c r="AN68" i="3"/>
  <c r="AN69" i="6" s="1"/>
  <c r="CR68" i="3"/>
  <c r="CR69" i="6" s="1"/>
  <c r="BQ68" i="3"/>
  <c r="BQ69" i="6"/>
  <c r="CG68" i="3"/>
  <c r="CG69" i="6"/>
  <c r="AZ68" i="3"/>
  <c r="AZ69" i="6" s="1"/>
  <c r="BY68" i="3"/>
  <c r="BY69" i="6"/>
  <c r="Y68" i="3"/>
  <c r="Y69" i="6"/>
  <c r="H68" i="3"/>
  <c r="H69" i="6" s="1"/>
  <c r="AG68" i="3"/>
  <c r="AG69" i="6" s="1"/>
  <c r="BL68" i="3"/>
  <c r="BL69" i="6" s="1"/>
  <c r="CS68" i="3"/>
  <c r="CS69" i="6" s="1"/>
  <c r="AH68" i="3"/>
  <c r="AH69" i="6"/>
  <c r="CX68" i="3"/>
  <c r="CX69" i="6" s="1"/>
  <c r="AU68" i="3"/>
  <c r="AU69" i="6"/>
  <c r="DO68" i="3"/>
  <c r="DO69" i="6" s="1"/>
  <c r="J68" i="3"/>
  <c r="J69" i="6"/>
  <c r="CH68" i="3"/>
  <c r="CH69" i="6" s="1"/>
  <c r="AY68" i="3"/>
  <c r="AY69" i="6"/>
  <c r="CO68" i="3"/>
  <c r="CO69" i="6"/>
  <c r="CP68" i="3"/>
  <c r="CP69" i="6" s="1"/>
  <c r="BC68" i="3"/>
  <c r="BC69" i="6" s="1"/>
  <c r="V68" i="3"/>
  <c r="V69" i="6" s="1"/>
  <c r="DJ68" i="3"/>
  <c r="DJ69" i="6"/>
  <c r="CE68" i="3"/>
  <c r="CE69" i="6"/>
  <c r="CT68" i="3"/>
  <c r="CT69" i="6" s="1"/>
  <c r="CD68" i="3"/>
  <c r="CD69" i="6"/>
  <c r="CF72" i="3"/>
  <c r="CF73" i="6"/>
  <c r="BJ72" i="3"/>
  <c r="BJ73" i="6"/>
  <c r="CL72" i="3"/>
  <c r="CL73" i="6" s="1"/>
  <c r="CZ72" i="3"/>
  <c r="CZ73" i="6"/>
  <c r="BA72" i="3"/>
  <c r="BA73" i="6" s="1"/>
  <c r="CQ72" i="3"/>
  <c r="CQ73" i="6"/>
  <c r="AP72" i="3"/>
  <c r="AP73" i="6" s="1"/>
  <c r="DQ72" i="3"/>
  <c r="DQ73" i="6" s="1"/>
  <c r="BU72" i="3"/>
  <c r="BU73" i="6"/>
  <c r="N72" i="3"/>
  <c r="N73" i="6" s="1"/>
  <c r="CI72" i="3"/>
  <c r="CI73" i="6" s="1"/>
  <c r="CU68" i="3"/>
  <c r="CU69" i="6" s="1"/>
  <c r="DF68" i="3"/>
  <c r="DF69" i="6" s="1"/>
  <c r="AD68" i="3"/>
  <c r="AD69" i="6" s="1"/>
  <c r="BJ68" i="3"/>
  <c r="BJ69" i="6" s="1"/>
  <c r="AR68" i="3"/>
  <c r="AR69" i="6" s="1"/>
  <c r="BP68" i="3"/>
  <c r="BP69" i="6"/>
  <c r="E68" i="3"/>
  <c r="E69" i="6"/>
  <c r="BP60" i="3"/>
  <c r="BP61" i="6" s="1"/>
  <c r="AP60" i="3"/>
  <c r="AP61" i="6"/>
  <c r="S60" i="3"/>
  <c r="S61" i="6"/>
  <c r="BO60" i="3"/>
  <c r="BO61" i="6" s="1"/>
  <c r="BZ60" i="3"/>
  <c r="BZ61" i="6" s="1"/>
  <c r="CI60" i="3"/>
  <c r="CI61" i="6" s="1"/>
  <c r="BN60" i="3"/>
  <c r="BN61" i="6"/>
  <c r="AL60" i="3"/>
  <c r="AL61" i="6" s="1"/>
  <c r="DM64" i="3"/>
  <c r="DM65" i="6" s="1"/>
  <c r="Y64" i="3"/>
  <c r="Y65" i="6" s="1"/>
  <c r="F64" i="3"/>
  <c r="F65" i="6"/>
  <c r="V64" i="3"/>
  <c r="V65" i="6"/>
  <c r="AL64" i="3"/>
  <c r="AL65" i="6" s="1"/>
  <c r="BB64" i="3"/>
  <c r="BB65" i="6"/>
  <c r="BR64" i="3"/>
  <c r="BR65" i="6"/>
  <c r="CH64" i="3"/>
  <c r="CH65" i="6"/>
  <c r="CX64" i="3"/>
  <c r="CX65" i="6" s="1"/>
  <c r="DN64" i="3"/>
  <c r="DN65" i="6" s="1"/>
  <c r="O64" i="3"/>
  <c r="O65" i="6" s="1"/>
  <c r="AE64" i="3"/>
  <c r="AE65" i="6"/>
  <c r="AU64" i="3"/>
  <c r="AU65" i="6" s="1"/>
  <c r="BK64" i="3"/>
  <c r="BK65" i="6"/>
  <c r="CA64" i="3"/>
  <c r="CA65" i="6"/>
  <c r="CQ64" i="3"/>
  <c r="CQ65" i="6"/>
  <c r="DG64" i="3"/>
  <c r="DG65" i="6" s="1"/>
  <c r="AV64" i="3"/>
  <c r="AV65" i="6"/>
  <c r="BE64" i="3"/>
  <c r="BE65" i="6" s="1"/>
  <c r="J64" i="3"/>
  <c r="J65" i="6" s="1"/>
  <c r="Z64" i="3"/>
  <c r="Z65" i="6" s="1"/>
  <c r="AP64" i="3"/>
  <c r="AP65" i="6" s="1"/>
  <c r="BF64" i="3"/>
  <c r="BF65" i="6" s="1"/>
  <c r="BV64" i="3"/>
  <c r="BV65" i="6"/>
  <c r="CL64" i="3"/>
  <c r="CL65" i="6" s="1"/>
  <c r="DB64" i="3"/>
  <c r="DB65" i="6"/>
  <c r="S64" i="3"/>
  <c r="S65" i="6"/>
  <c r="AI64" i="3"/>
  <c r="AI65" i="6" s="1"/>
  <c r="AY64" i="3"/>
  <c r="AY65" i="6" s="1"/>
  <c r="BO64" i="3"/>
  <c r="BO65" i="6"/>
  <c r="CE64" i="3"/>
  <c r="CE65" i="6" s="1"/>
  <c r="CU64" i="3"/>
  <c r="CU65" i="6"/>
  <c r="DK64" i="3"/>
  <c r="DK65" i="6" s="1"/>
  <c r="BT64" i="3"/>
  <c r="BT65" i="6" s="1"/>
  <c r="N64" i="3"/>
  <c r="N65" i="6"/>
  <c r="AT64" i="3"/>
  <c r="AT65" i="6" s="1"/>
  <c r="BZ64" i="3"/>
  <c r="BZ65" i="6" s="1"/>
  <c r="DF64" i="3"/>
  <c r="DF65" i="6"/>
  <c r="AA64" i="3"/>
  <c r="AA65" i="6"/>
  <c r="BG64" i="3"/>
  <c r="BG65" i="6"/>
  <c r="CM64" i="3"/>
  <c r="CM65" i="6" s="1"/>
  <c r="R64" i="3"/>
  <c r="R65" i="6" s="1"/>
  <c r="AX64" i="3"/>
  <c r="AX65" i="6" s="1"/>
  <c r="CD64" i="3"/>
  <c r="CD65" i="6"/>
  <c r="DJ64" i="3"/>
  <c r="DJ65" i="6" s="1"/>
  <c r="G64" i="3"/>
  <c r="G65" i="6"/>
  <c r="AM64" i="3"/>
  <c r="AM65" i="6"/>
  <c r="BS64" i="3"/>
  <c r="BS65" i="6"/>
  <c r="CY64" i="3"/>
  <c r="CY65" i="6" s="1"/>
  <c r="BS78" i="3"/>
  <c r="BS79" i="6"/>
  <c r="AO78" i="3"/>
  <c r="AO79" i="6" s="1"/>
  <c r="DA78" i="3"/>
  <c r="DA79" i="6" s="1"/>
  <c r="AD78" i="3"/>
  <c r="AD79" i="6" s="1"/>
  <c r="BV78" i="3"/>
  <c r="BV79" i="6" s="1"/>
  <c r="BP78" i="3"/>
  <c r="BP79" i="6"/>
  <c r="BI78" i="3"/>
  <c r="BI79" i="6"/>
  <c r="AP78" i="3"/>
  <c r="AP79" i="6" s="1"/>
  <c r="CL78" i="3"/>
  <c r="CL79" i="6"/>
  <c r="M78" i="3"/>
  <c r="M79" i="6"/>
  <c r="BJ78" i="3"/>
  <c r="BJ79" i="6" s="1"/>
  <c r="CC78" i="3"/>
  <c r="CC79" i="6" s="1"/>
  <c r="J78" i="3"/>
  <c r="J79" i="6"/>
  <c r="CP78" i="3"/>
  <c r="CP79" i="6"/>
  <c r="C91" i="6"/>
  <c r="AR90" i="3"/>
  <c r="AR91" i="6" s="1"/>
  <c r="DE90" i="3"/>
  <c r="DE91" i="6"/>
  <c r="BE90" i="3"/>
  <c r="BE91" i="6"/>
  <c r="J90" i="3"/>
  <c r="J91" i="6"/>
  <c r="BV90" i="3"/>
  <c r="BV91" i="6" s="1"/>
  <c r="W90" i="3"/>
  <c r="W91" i="6"/>
  <c r="BH90" i="3"/>
  <c r="BH91" i="6"/>
  <c r="I90" i="3"/>
  <c r="I91" i="6" s="1"/>
  <c r="BU90" i="3"/>
  <c r="BU91" i="6" s="1"/>
  <c r="Z90" i="3"/>
  <c r="Z91" i="6"/>
  <c r="CL90" i="3"/>
  <c r="CL91" i="6"/>
  <c r="CI90" i="3"/>
  <c r="CI91" i="6" s="1"/>
  <c r="BX90" i="3"/>
  <c r="BX91" i="6" s="1"/>
  <c r="AO90" i="3"/>
  <c r="AO91" i="6"/>
  <c r="BF90" i="3"/>
  <c r="BF91" i="6"/>
  <c r="CN90" i="3"/>
  <c r="CN91" i="6"/>
  <c r="CK90" i="3"/>
  <c r="CK91" i="6" s="1"/>
  <c r="DB90" i="3"/>
  <c r="DB91" i="6"/>
  <c r="C95" i="6"/>
  <c r="DD94" i="3"/>
  <c r="DD95" i="6"/>
  <c r="CN94" i="3"/>
  <c r="CN95" i="6"/>
  <c r="BX94" i="3"/>
  <c r="BX95" i="6" s="1"/>
  <c r="BH94" i="3"/>
  <c r="BH95" i="6" s="1"/>
  <c r="AR94" i="3"/>
  <c r="AR95" i="6"/>
  <c r="AB94" i="3"/>
  <c r="AB95" i="6"/>
  <c r="L94" i="3"/>
  <c r="L95" i="6" s="1"/>
  <c r="N94" i="3"/>
  <c r="N95" i="6" s="1"/>
  <c r="AI94" i="3"/>
  <c r="AI95" i="6"/>
  <c r="BE94" i="3"/>
  <c r="BE95" i="6" s="1"/>
  <c r="BZ94" i="3"/>
  <c r="BZ95" i="6" s="1"/>
  <c r="CU94" i="3"/>
  <c r="CU95" i="6" s="1"/>
  <c r="DQ94" i="3"/>
  <c r="DQ95" i="6" s="1"/>
  <c r="U94" i="3"/>
  <c r="U95" i="6"/>
  <c r="AP94" i="3"/>
  <c r="AP95" i="6" s="1"/>
  <c r="BK94" i="3"/>
  <c r="BK95" i="6" s="1"/>
  <c r="CG94" i="3"/>
  <c r="CG95" i="6" s="1"/>
  <c r="DB94" i="3"/>
  <c r="DB95" i="6"/>
  <c r="F94" i="3"/>
  <c r="F95" i="6" s="1"/>
  <c r="AA94" i="3"/>
  <c r="AA95" i="6" s="1"/>
  <c r="AW94" i="3"/>
  <c r="AW95" i="6" s="1"/>
  <c r="BR94" i="3"/>
  <c r="BR95" i="6" s="1"/>
  <c r="CM94" i="3"/>
  <c r="CM95" i="6" s="1"/>
  <c r="DI94" i="3"/>
  <c r="DI95" i="6"/>
  <c r="M94" i="3"/>
  <c r="M95" i="6" s="1"/>
  <c r="AH94" i="3"/>
  <c r="AH95" i="6"/>
  <c r="BC94" i="3"/>
  <c r="BC95" i="6" s="1"/>
  <c r="BY94" i="3"/>
  <c r="BY95" i="6"/>
  <c r="CT94" i="3"/>
  <c r="CT95" i="6"/>
  <c r="DP94" i="3"/>
  <c r="DP95" i="6" s="1"/>
  <c r="CZ94" i="3"/>
  <c r="CZ95" i="6" s="1"/>
  <c r="CJ94" i="3"/>
  <c r="CJ95" i="6"/>
  <c r="BT94" i="3"/>
  <c r="BT95" i="6"/>
  <c r="BD94" i="3"/>
  <c r="BD95" i="6"/>
  <c r="AN94" i="3"/>
  <c r="AN95" i="6" s="1"/>
  <c r="X94" i="3"/>
  <c r="X95" i="6" s="1"/>
  <c r="H94" i="3"/>
  <c r="H95" i="6"/>
  <c r="S94" i="3"/>
  <c r="S95" i="6"/>
  <c r="AO94" i="3"/>
  <c r="AO95" i="6" s="1"/>
  <c r="BJ94" i="3"/>
  <c r="BJ95" i="6"/>
  <c r="CE94" i="3"/>
  <c r="CE95" i="6"/>
  <c r="DA94" i="3"/>
  <c r="DA95" i="6"/>
  <c r="E94" i="3"/>
  <c r="E95" i="6" s="1"/>
  <c r="Z94" i="3"/>
  <c r="Z95" i="6" s="1"/>
  <c r="AU94" i="3"/>
  <c r="AU95" i="6" s="1"/>
  <c r="BQ94" i="3"/>
  <c r="BQ95" i="6"/>
  <c r="CL94" i="3"/>
  <c r="CL95" i="6" s="1"/>
  <c r="DG94" i="3"/>
  <c r="DG95" i="6"/>
  <c r="K94" i="3"/>
  <c r="K95" i="6"/>
  <c r="AG94" i="3"/>
  <c r="AG95" i="6"/>
  <c r="BB94" i="3"/>
  <c r="BB95" i="6" s="1"/>
  <c r="BW94" i="3"/>
  <c r="BW95" i="6" s="1"/>
  <c r="CS94" i="3"/>
  <c r="CS95" i="6" s="1"/>
  <c r="DN94" i="3"/>
  <c r="DN95" i="6" s="1"/>
  <c r="R94" i="3"/>
  <c r="R95" i="6" s="1"/>
  <c r="AM94" i="3"/>
  <c r="AM95" i="6" s="1"/>
  <c r="BI94" i="3"/>
  <c r="BI95" i="6"/>
  <c r="CD94" i="3"/>
  <c r="CD95" i="6"/>
  <c r="CY94" i="3"/>
  <c r="CY95" i="6" s="1"/>
  <c r="CR94" i="3"/>
  <c r="CR95" i="6"/>
  <c r="BL94" i="3"/>
  <c r="BL95" i="6" s="1"/>
  <c r="AF94" i="3"/>
  <c r="AF95" i="6" s="1"/>
  <c r="I94" i="3"/>
  <c r="I95" i="6" s="1"/>
  <c r="AY94" i="3"/>
  <c r="AY95" i="6"/>
  <c r="CP94" i="3"/>
  <c r="CP95" i="6" s="1"/>
  <c r="AE94" i="3"/>
  <c r="AE95" i="6" s="1"/>
  <c r="BV94" i="3"/>
  <c r="BV95" i="6" s="1"/>
  <c r="DM94" i="3"/>
  <c r="DM95" i="6" s="1"/>
  <c r="V94" i="3"/>
  <c r="V95" i="6"/>
  <c r="BM94" i="3"/>
  <c r="BM95" i="6"/>
  <c r="DC94" i="3"/>
  <c r="DC95" i="6" s="1"/>
  <c r="AC94" i="3"/>
  <c r="AC95" i="6"/>
  <c r="BS94" i="3"/>
  <c r="BS95" i="6"/>
  <c r="DJ94" i="3"/>
  <c r="DJ95" i="6"/>
  <c r="DL94" i="3"/>
  <c r="DL95" i="6" s="1"/>
  <c r="CF94" i="3"/>
  <c r="CF95" i="6" s="1"/>
  <c r="AZ94" i="3"/>
  <c r="AZ95" i="6" s="1"/>
  <c r="T94" i="3"/>
  <c r="T95" i="6"/>
  <c r="Y94" i="3"/>
  <c r="Y95" i="6" s="1"/>
  <c r="BO94" i="3"/>
  <c r="BO95" i="6"/>
  <c r="DF94" i="3"/>
  <c r="DF95" i="6"/>
  <c r="AK94" i="3"/>
  <c r="AK95" i="6"/>
  <c r="CA94" i="3"/>
  <c r="CA95" i="6" s="1"/>
  <c r="AL94" i="3"/>
  <c r="AL95" i="6"/>
  <c r="CC94" i="3"/>
  <c r="CC95" i="6" s="1"/>
  <c r="AS94" i="3"/>
  <c r="AS95" i="6" s="1"/>
  <c r="CI94" i="3"/>
  <c r="CI95" i="6" s="1"/>
  <c r="DO94" i="3"/>
  <c r="DO95" i="6"/>
  <c r="DO102" i="3"/>
  <c r="DO103" i="6"/>
  <c r="AQ102" i="3"/>
  <c r="AQ103" i="6"/>
  <c r="BZ102" i="3"/>
  <c r="BZ103" i="6" s="1"/>
  <c r="CC134" i="3"/>
  <c r="CC135" i="6"/>
  <c r="S134" i="3"/>
  <c r="S135" i="6" s="1"/>
  <c r="DO134" i="3"/>
  <c r="DO135" i="6" s="1"/>
  <c r="AG134" i="3"/>
  <c r="AG135" i="6" s="1"/>
  <c r="I134" i="3"/>
  <c r="I135" i="6"/>
  <c r="AN134" i="3"/>
  <c r="AN135" i="6" s="1"/>
  <c r="BP134" i="3"/>
  <c r="BP135" i="6" s="1"/>
  <c r="D134" i="3"/>
  <c r="D135" i="6" s="1"/>
  <c r="CZ134" i="3"/>
  <c r="CZ135" i="6" s="1"/>
  <c r="DF134" i="3"/>
  <c r="DF135" i="6"/>
  <c r="CP134" i="3"/>
  <c r="CP135" i="6" s="1"/>
  <c r="BZ134" i="3"/>
  <c r="BZ135" i="6" s="1"/>
  <c r="BJ134" i="3"/>
  <c r="BJ135" i="6"/>
  <c r="AT134" i="3"/>
  <c r="AT135" i="6"/>
  <c r="AH134" i="3"/>
  <c r="AH135" i="6" s="1"/>
  <c r="R134" i="3"/>
  <c r="R135" i="6" s="1"/>
  <c r="DM134" i="3"/>
  <c r="DM135" i="6" s="1"/>
  <c r="CR134" i="3"/>
  <c r="CR135" i="6" s="1"/>
  <c r="BW134" i="3"/>
  <c r="BW135" i="6"/>
  <c r="BA134" i="3"/>
  <c r="BA135" i="6" s="1"/>
  <c r="AF134" i="3"/>
  <c r="AF135" i="6" s="1"/>
  <c r="K134" i="3"/>
  <c r="K135" i="6"/>
  <c r="DD134" i="3"/>
  <c r="DD135" i="6"/>
  <c r="CA134" i="3"/>
  <c r="CA135" i="6" s="1"/>
  <c r="AY134" i="3"/>
  <c r="AY135" i="6"/>
  <c r="W134" i="3"/>
  <c r="W135" i="6" s="1"/>
  <c r="DI134" i="3"/>
  <c r="DI135" i="6" s="1"/>
  <c r="CF134" i="3"/>
  <c r="CF135" i="6" s="1"/>
  <c r="BD134" i="3"/>
  <c r="BD135" i="6"/>
  <c r="AB134" i="3"/>
  <c r="AB135" i="6"/>
  <c r="DG134" i="3"/>
  <c r="DG135" i="6"/>
  <c r="BI134" i="3"/>
  <c r="BI135" i="6" s="1"/>
  <c r="C135" i="6"/>
  <c r="DB134" i="3"/>
  <c r="DB135" i="6"/>
  <c r="CJ130" i="3"/>
  <c r="CJ131" i="6"/>
  <c r="F130" i="3"/>
  <c r="F131" i="6"/>
  <c r="BR130" i="3"/>
  <c r="BR131" i="6"/>
  <c r="BU134" i="3"/>
  <c r="BU135" i="6"/>
  <c r="Q134" i="3"/>
  <c r="Q135" i="6"/>
  <c r="AI134" i="3"/>
  <c r="AI135" i="6"/>
  <c r="BS134" i="3"/>
  <c r="BS135" i="6"/>
  <c r="DA134" i="3"/>
  <c r="DA135" i="6"/>
  <c r="AC134" i="3"/>
  <c r="AC135" i="6"/>
  <c r="BM134" i="3"/>
  <c r="BM135" i="6"/>
  <c r="CV134" i="3"/>
  <c r="CV135" i="6"/>
  <c r="P134" i="3"/>
  <c r="P135" i="6"/>
  <c r="AQ134" i="3"/>
  <c r="AQ135" i="6"/>
  <c r="BQ134" i="3"/>
  <c r="BQ135" i="6"/>
  <c r="CW134" i="3"/>
  <c r="CW135" i="6"/>
  <c r="J134" i="3"/>
  <c r="J135" i="6"/>
  <c r="AD134" i="3"/>
  <c r="AD135" i="6"/>
  <c r="AX134" i="3"/>
  <c r="AX135" i="6"/>
  <c r="BR134" i="3"/>
  <c r="BR135" i="6"/>
  <c r="CL134" i="3"/>
  <c r="CL135" i="6"/>
  <c r="DN134" i="3"/>
  <c r="DN135" i="6"/>
  <c r="CO94" i="3"/>
  <c r="CO95" i="6"/>
  <c r="G94" i="3"/>
  <c r="G95" i="6"/>
  <c r="Z78" i="3"/>
  <c r="Z79" i="6"/>
  <c r="AQ94" i="3"/>
  <c r="AQ95" i="6"/>
  <c r="CS78" i="3"/>
  <c r="CS79" i="6"/>
  <c r="BW64" i="3"/>
  <c r="BW65" i="6"/>
  <c r="K64" i="3"/>
  <c r="K65" i="6"/>
  <c r="BK60" i="3"/>
  <c r="BK61" i="6"/>
  <c r="BF94" i="3"/>
  <c r="BF95" i="6"/>
  <c r="AB90" i="3"/>
  <c r="AB91" i="6"/>
  <c r="BN64" i="3"/>
  <c r="BN65" i="6"/>
  <c r="BU94" i="3"/>
  <c r="BU95" i="6"/>
  <c r="P94" i="3"/>
  <c r="P95" i="6"/>
  <c r="CB94" i="3"/>
  <c r="CB95" i="6"/>
  <c r="BI130" i="3"/>
  <c r="BI131" i="6"/>
  <c r="Z130" i="3"/>
  <c r="Z131" i="6"/>
  <c r="CL130" i="3"/>
  <c r="CL131" i="6"/>
  <c r="DL134" i="3"/>
  <c r="DL135" i="6"/>
  <c r="BH134" i="3"/>
  <c r="BH135" i="6"/>
  <c r="G134" i="3"/>
  <c r="G135" i="6"/>
  <c r="AO134" i="3"/>
  <c r="AO135" i="6"/>
  <c r="BY134" i="3"/>
  <c r="BY135" i="6"/>
  <c r="DP134" i="3"/>
  <c r="DP135" i="6"/>
  <c r="AJ134" i="3"/>
  <c r="AJ135" i="6"/>
  <c r="BT134" i="3"/>
  <c r="BT135" i="6"/>
  <c r="DK134" i="3"/>
  <c r="DK135" i="6"/>
  <c r="U134" i="3"/>
  <c r="U135" i="6"/>
  <c r="AV134" i="3"/>
  <c r="AV135" i="6"/>
  <c r="CB134" i="3"/>
  <c r="CB135" i="6"/>
  <c r="DC134" i="3"/>
  <c r="DC135" i="6"/>
  <c r="N134" i="3"/>
  <c r="N135" i="6"/>
  <c r="AL134" i="3"/>
  <c r="AL135" i="6"/>
  <c r="BB134" i="3"/>
  <c r="BB135" i="6"/>
  <c r="BV134" i="3"/>
  <c r="BV135" i="6"/>
  <c r="CT134" i="3"/>
  <c r="CT135" i="6"/>
  <c r="CK134" i="3"/>
  <c r="CK135" i="6"/>
  <c r="BN94" i="3"/>
  <c r="BN95" i="6"/>
  <c r="AP90" i="3"/>
  <c r="AP91" i="6"/>
  <c r="CX94" i="3"/>
  <c r="CX95" i="6"/>
  <c r="Q94" i="3"/>
  <c r="Q95" i="6"/>
  <c r="DO64" i="3"/>
  <c r="DO65" i="6"/>
  <c r="BC64" i="3"/>
  <c r="BC65" i="6"/>
  <c r="DC60" i="3"/>
  <c r="DC61" i="6"/>
  <c r="BA94" i="3"/>
  <c r="BA95" i="6"/>
  <c r="L90" i="3"/>
  <c r="L91" i="6"/>
  <c r="BJ64" i="3"/>
  <c r="BJ65" i="6"/>
  <c r="DJ60" i="3"/>
  <c r="DJ61" i="6"/>
  <c r="AT94" i="3"/>
  <c r="AT95" i="6"/>
  <c r="AJ94" i="3"/>
  <c r="AJ95" i="6"/>
  <c r="CV94" i="3"/>
  <c r="CV95" i="6"/>
  <c r="AS130" i="3"/>
  <c r="AS131" i="6"/>
  <c r="AL130" i="3"/>
  <c r="AL131" i="6"/>
  <c r="CX130" i="3"/>
  <c r="CX131" i="6"/>
  <c r="CY134" i="3"/>
  <c r="CY135" i="6"/>
  <c r="AS134" i="3"/>
  <c r="AS135" i="6"/>
  <c r="M134" i="3"/>
  <c r="M135" i="6"/>
  <c r="AW134" i="3"/>
  <c r="AW135" i="6"/>
  <c r="CN134" i="3"/>
  <c r="CN135" i="6"/>
  <c r="H134" i="3"/>
  <c r="H135" i="6"/>
  <c r="AR134" i="3"/>
  <c r="AR135" i="6"/>
  <c r="CI134" i="3"/>
  <c r="CI135" i="6"/>
  <c r="DQ134" i="3"/>
  <c r="DQ135" i="6"/>
  <c r="AA134" i="3"/>
  <c r="AA135" i="6"/>
  <c r="BG134" i="3"/>
  <c r="BG135" i="6"/>
  <c r="CG134" i="3"/>
  <c r="CG135" i="6"/>
  <c r="DH134" i="3"/>
  <c r="DH135" i="6"/>
  <c r="V134" i="3"/>
  <c r="V135" i="6"/>
  <c r="BF134" i="3"/>
  <c r="BF135" i="6"/>
  <c r="CD134" i="3"/>
  <c r="CD135" i="6"/>
  <c r="CX134" i="3"/>
  <c r="CX135" i="6"/>
  <c r="BX134" i="3"/>
  <c r="BX135" i="6"/>
  <c r="AX94" i="3"/>
  <c r="AX95" i="6"/>
  <c r="DB78" i="3"/>
  <c r="DB79" i="6"/>
  <c r="CH94" i="3"/>
  <c r="CH95" i="6"/>
  <c r="DA90" i="3"/>
  <c r="DA91" i="6"/>
  <c r="DC64" i="3"/>
  <c r="DC65" i="6"/>
  <c r="AQ64" i="3"/>
  <c r="AQ65" i="6"/>
  <c r="CW94" i="3"/>
  <c r="CW95" i="6"/>
  <c r="O94" i="3"/>
  <c r="O95" i="6"/>
  <c r="CT64" i="3"/>
  <c r="CT65" i="6"/>
  <c r="AH64" i="3"/>
  <c r="AH65" i="6"/>
  <c r="V60" i="3"/>
  <c r="V61" i="6"/>
  <c r="DK94" i="3"/>
  <c r="DK95" i="6"/>
  <c r="AD94" i="3"/>
  <c r="AD95" i="6"/>
  <c r="AV94" i="3"/>
  <c r="AV95" i="6"/>
  <c r="DH94" i="3"/>
  <c r="DH95" i="6"/>
  <c r="DO25" i="3"/>
  <c r="DO26" i="6"/>
  <c r="CO42" i="3"/>
  <c r="CO43" i="6"/>
  <c r="BX9" i="3"/>
  <c r="BX10" i="6"/>
  <c r="CW13" i="3"/>
  <c r="CW14" i="6"/>
  <c r="D13" i="3"/>
  <c r="D14" i="6"/>
  <c r="DG17" i="3"/>
  <c r="DG18" i="6"/>
  <c r="AD17" i="3"/>
  <c r="AD18" i="6"/>
  <c r="AD25" i="3"/>
  <c r="AD26" i="6"/>
  <c r="DD25" i="3"/>
  <c r="DD26" i="6"/>
  <c r="AQ29" i="3"/>
  <c r="AQ30" i="6"/>
  <c r="CI29" i="3"/>
  <c r="CI30" i="6"/>
  <c r="BL29" i="3"/>
  <c r="BL30" i="6"/>
  <c r="DG42" i="3"/>
  <c r="DG43" i="6"/>
  <c r="AW71" i="3"/>
  <c r="AW72" i="6"/>
  <c r="Q71" i="3"/>
  <c r="Q72" i="6"/>
  <c r="BW9" i="3"/>
  <c r="BW10" i="6"/>
  <c r="DI4" i="3"/>
  <c r="DI5" i="6"/>
  <c r="BH4" i="3"/>
  <c r="BH5" i="6"/>
  <c r="U8" i="3"/>
  <c r="U9" i="6"/>
  <c r="C17" i="6"/>
  <c r="CP16" i="3"/>
  <c r="CP17" i="6"/>
  <c r="DI16" i="3"/>
  <c r="DI17" i="6"/>
  <c r="DD16" i="3"/>
  <c r="DD17" i="6" s="1"/>
  <c r="S16" i="3"/>
  <c r="S17" i="6" s="1"/>
  <c r="AM16" i="3"/>
  <c r="AM17" i="6"/>
  <c r="AQ16" i="3"/>
  <c r="AQ17" i="6" s="1"/>
  <c r="AE16" i="3"/>
  <c r="AE17" i="6"/>
  <c r="BV16" i="3"/>
  <c r="BV17" i="6" s="1"/>
  <c r="CK16" i="3"/>
  <c r="CK17" i="6" s="1"/>
  <c r="BL16" i="3"/>
  <c r="BL17" i="6"/>
  <c r="CE16" i="3"/>
  <c r="CE17" i="6" s="1"/>
  <c r="CY16" i="3"/>
  <c r="CY17" i="6" s="1"/>
  <c r="DC16" i="3"/>
  <c r="DC17" i="6"/>
  <c r="AU16" i="3"/>
  <c r="AU17" i="6"/>
  <c r="AC16" i="3"/>
  <c r="AC17" i="6"/>
  <c r="CQ16" i="3"/>
  <c r="CQ17" i="6" s="1"/>
  <c r="I16" i="3"/>
  <c r="I17" i="6" s="1"/>
  <c r="BB16" i="3"/>
  <c r="BB17" i="6" s="1"/>
  <c r="N16" i="3"/>
  <c r="N17" i="6"/>
  <c r="S24" i="3"/>
  <c r="S25" i="6" s="1"/>
  <c r="AU24" i="3"/>
  <c r="AU25" i="6"/>
  <c r="BW24" i="3"/>
  <c r="BW25" i="6"/>
  <c r="DC24" i="3"/>
  <c r="DC25" i="6"/>
  <c r="P24" i="3"/>
  <c r="P25" i="6" s="1"/>
  <c r="AJ24" i="3"/>
  <c r="AJ25" i="6" s="1"/>
  <c r="BH24" i="3"/>
  <c r="BH25" i="6" s="1"/>
  <c r="CB24" i="3"/>
  <c r="CB25" i="6" s="1"/>
  <c r="CV24" i="3"/>
  <c r="CV25" i="6" s="1"/>
  <c r="DP24" i="3"/>
  <c r="DP25" i="6"/>
  <c r="E24" i="3"/>
  <c r="E25" i="6" s="1"/>
  <c r="AC24" i="3"/>
  <c r="AC25" i="6" s="1"/>
  <c r="AW24" i="3"/>
  <c r="AW25" i="6" s="1"/>
  <c r="BQ24" i="3"/>
  <c r="BQ25" i="6"/>
  <c r="CO24" i="3"/>
  <c r="CO25" i="6" s="1"/>
  <c r="AA24" i="3"/>
  <c r="AA25" i="6" s="1"/>
  <c r="AY24" i="3"/>
  <c r="AY25" i="6" s="1"/>
  <c r="CE24" i="3"/>
  <c r="CE25" i="6"/>
  <c r="DG24" i="3"/>
  <c r="DG25" i="6"/>
  <c r="T24" i="3"/>
  <c r="T25" i="6"/>
  <c r="AR24" i="3"/>
  <c r="AR25" i="6" s="1"/>
  <c r="BL24" i="3"/>
  <c r="BL25" i="6" s="1"/>
  <c r="CF24" i="3"/>
  <c r="CF25" i="6"/>
  <c r="CZ24" i="3"/>
  <c r="CZ25" i="6"/>
  <c r="M24" i="3"/>
  <c r="M25" i="6" s="1"/>
  <c r="AG24" i="3"/>
  <c r="AG25" i="6"/>
  <c r="BA24" i="3"/>
  <c r="BA25" i="6"/>
  <c r="BK24" i="3"/>
  <c r="BK25" i="6" s="1"/>
  <c r="DK24" i="3"/>
  <c r="DK25" i="6" s="1"/>
  <c r="D24" i="3"/>
  <c r="D25" i="6" s="1"/>
  <c r="AV24" i="3"/>
  <c r="AV25" i="6" s="1"/>
  <c r="CN24" i="3"/>
  <c r="CN25" i="6"/>
  <c r="AK24" i="3"/>
  <c r="AK25" i="6" s="1"/>
  <c r="BY24" i="3"/>
  <c r="BY25" i="6" s="1"/>
  <c r="CW24" i="3"/>
  <c r="CW25" i="6"/>
  <c r="N24" i="3"/>
  <c r="N25" i="6"/>
  <c r="AL24" i="3"/>
  <c r="AL25" i="6" s="1"/>
  <c r="BF24" i="3"/>
  <c r="BF25" i="6"/>
  <c r="BZ24" i="3"/>
  <c r="BZ25" i="6" s="1"/>
  <c r="CX24" i="3"/>
  <c r="CX25" i="6" s="1"/>
  <c r="K24" i="3"/>
  <c r="K25" i="6" s="1"/>
  <c r="BO24" i="3"/>
  <c r="BO25" i="6"/>
  <c r="L24" i="3"/>
  <c r="L25" i="6" s="1"/>
  <c r="AZ24" i="3"/>
  <c r="AZ25" i="6"/>
  <c r="CR24" i="3"/>
  <c r="CR25" i="6" s="1"/>
  <c r="AS24" i="3"/>
  <c r="AS25" i="6"/>
  <c r="CC24" i="3"/>
  <c r="CC25" i="6" s="1"/>
  <c r="DE24" i="3"/>
  <c r="DE25" i="6" s="1"/>
  <c r="V24" i="3"/>
  <c r="V25" i="6" s="1"/>
  <c r="AP24" i="3"/>
  <c r="AP25" i="6"/>
  <c r="BJ24" i="3"/>
  <c r="BJ25" i="6"/>
  <c r="CH24" i="3"/>
  <c r="CH25" i="6" s="1"/>
  <c r="DB24" i="3"/>
  <c r="DB25" i="6" s="1"/>
  <c r="CM24" i="3"/>
  <c r="CM25" i="6" s="1"/>
  <c r="AB24" i="3"/>
  <c r="AB25" i="6"/>
  <c r="DD24" i="3"/>
  <c r="DD25" i="6"/>
  <c r="U24" i="3"/>
  <c r="U25" i="6" s="1"/>
  <c r="CS24" i="3"/>
  <c r="CS25" i="6"/>
  <c r="AD24" i="3"/>
  <c r="AD25" i="6"/>
  <c r="BV24" i="3"/>
  <c r="BV25" i="6"/>
  <c r="DN24" i="3"/>
  <c r="DN25" i="6" s="1"/>
  <c r="CQ24" i="3"/>
  <c r="CQ25" i="6" s="1"/>
  <c r="AF24" i="3"/>
  <c r="AF25" i="6" s="1"/>
  <c r="DH24" i="3"/>
  <c r="DH25" i="6"/>
  <c r="BI24" i="3"/>
  <c r="BI25" i="6" s="1"/>
  <c r="DI24" i="3"/>
  <c r="DI25" i="6"/>
  <c r="AT24" i="3"/>
  <c r="AT25" i="6"/>
  <c r="CL24" i="3"/>
  <c r="CL25" i="6"/>
  <c r="O28" i="3"/>
  <c r="O29" i="6" s="1"/>
  <c r="AQ28" i="3"/>
  <c r="AQ29" i="6"/>
  <c r="BW28" i="3"/>
  <c r="BW29" i="6" s="1"/>
  <c r="CY28" i="3"/>
  <c r="CY29" i="6" s="1"/>
  <c r="L28" i="3"/>
  <c r="L29" i="6" s="1"/>
  <c r="AF28" i="3"/>
  <c r="AF29" i="6" s="1"/>
  <c r="BD28" i="3"/>
  <c r="BD29" i="6" s="1"/>
  <c r="BX28" i="3"/>
  <c r="BX29" i="6"/>
  <c r="CR28" i="3"/>
  <c r="CR29" i="6" s="1"/>
  <c r="DP28" i="3"/>
  <c r="DP29" i="6"/>
  <c r="W28" i="3"/>
  <c r="W29" i="6"/>
  <c r="BC28" i="3"/>
  <c r="BC29" i="6" s="1"/>
  <c r="CA28" i="3"/>
  <c r="CA29" i="6" s="1"/>
  <c r="DC28" i="3"/>
  <c r="DC29" i="6"/>
  <c r="P28" i="3"/>
  <c r="P29" i="6" s="1"/>
  <c r="AN28" i="3"/>
  <c r="AN29" i="6"/>
  <c r="BH28" i="3"/>
  <c r="BH29" i="6" s="1"/>
  <c r="CB28" i="3"/>
  <c r="CB29" i="6" s="1"/>
  <c r="CZ28" i="3"/>
  <c r="CZ29" i="6"/>
  <c r="BG28" i="3"/>
  <c r="BG29" i="6" s="1"/>
  <c r="DG28" i="3"/>
  <c r="DG29" i="6" s="1"/>
  <c r="AR28" i="3"/>
  <c r="AR29" i="6"/>
  <c r="CJ28" i="3"/>
  <c r="CJ29" i="6"/>
  <c r="U28" i="3"/>
  <c r="U29" i="6" s="1"/>
  <c r="AO28" i="3"/>
  <c r="AO29" i="6" s="1"/>
  <c r="BM28" i="3"/>
  <c r="BM29" i="6" s="1"/>
  <c r="CG28" i="3"/>
  <c r="CG29" i="6" s="1"/>
  <c r="DA28" i="3"/>
  <c r="DA29" i="6" s="1"/>
  <c r="F28" i="3"/>
  <c r="F29" i="6" s="1"/>
  <c r="Z28" i="3"/>
  <c r="Z29" i="6"/>
  <c r="AX28" i="3"/>
  <c r="AX29" i="6"/>
  <c r="BR28" i="3"/>
  <c r="BR29" i="6"/>
  <c r="CH28" i="3"/>
  <c r="CH29" i="6" s="1"/>
  <c r="CX28" i="3"/>
  <c r="CX29" i="6"/>
  <c r="DJ28" i="3"/>
  <c r="DJ29" i="6" s="1"/>
  <c r="K28" i="3"/>
  <c r="K29" i="6" s="1"/>
  <c r="BK28" i="3"/>
  <c r="BK29" i="6" s="1"/>
  <c r="DO28" i="3"/>
  <c r="DO29" i="6" s="1"/>
  <c r="H28" i="3"/>
  <c r="H29" i="6"/>
  <c r="AV28" i="3"/>
  <c r="AV29" i="6"/>
  <c r="CN28" i="3"/>
  <c r="CN29" i="6" s="1"/>
  <c r="E28" i="3"/>
  <c r="E29" i="6"/>
  <c r="Y28" i="3"/>
  <c r="Y29" i="6" s="1"/>
  <c r="AW28" i="3"/>
  <c r="AW29" i="6" s="1"/>
  <c r="BQ28" i="3"/>
  <c r="BQ29" i="6" s="1"/>
  <c r="CK28" i="3"/>
  <c r="CK29" i="6"/>
  <c r="DI28" i="3"/>
  <c r="DI29" i="6"/>
  <c r="J28" i="3"/>
  <c r="J29" i="6" s="1"/>
  <c r="AH28" i="3"/>
  <c r="AH29" i="6" s="1"/>
  <c r="BB28" i="3"/>
  <c r="BB29" i="6" s="1"/>
  <c r="BV28" i="3"/>
  <c r="BV29" i="6" s="1"/>
  <c r="CL28" i="3"/>
  <c r="CL29" i="6"/>
  <c r="DN28" i="3"/>
  <c r="DN29" i="6" s="1"/>
  <c r="CI28" i="3"/>
  <c r="CI29" i="6"/>
  <c r="BL28" i="3"/>
  <c r="BL29" i="6"/>
  <c r="Q28" i="3"/>
  <c r="Q29" i="6" s="1"/>
  <c r="BE28" i="3"/>
  <c r="BE29" i="6" s="1"/>
  <c r="CW28" i="3"/>
  <c r="CW29" i="6" s="1"/>
  <c r="V28" i="3"/>
  <c r="V29" i="6" s="1"/>
  <c r="BN28" i="3"/>
  <c r="BN29" i="6"/>
  <c r="CT28" i="3"/>
  <c r="CT29" i="6" s="1"/>
  <c r="CQ28" i="3"/>
  <c r="CQ29" i="6" s="1"/>
  <c r="BT28" i="3"/>
  <c r="BT29" i="6"/>
  <c r="AG28" i="3"/>
  <c r="AG29" i="6"/>
  <c r="BU28" i="3"/>
  <c r="BU29" i="6" s="1"/>
  <c r="DM28" i="3"/>
  <c r="DM29" i="6" s="1"/>
  <c r="AL28" i="3"/>
  <c r="AL29" i="6" s="1"/>
  <c r="BZ28" i="3"/>
  <c r="BZ29" i="6" s="1"/>
  <c r="DB28" i="3"/>
  <c r="DB29" i="6" s="1"/>
  <c r="G32" i="3"/>
  <c r="G33" i="6"/>
  <c r="AA32" i="3"/>
  <c r="AA33" i="6" s="1"/>
  <c r="AY32" i="3"/>
  <c r="AY33" i="6"/>
  <c r="BS32" i="3"/>
  <c r="BS33" i="6" s="1"/>
  <c r="CM32" i="3"/>
  <c r="CM33" i="6" s="1"/>
  <c r="DK32" i="3"/>
  <c r="DK33" i="6"/>
  <c r="L32" i="3"/>
  <c r="L33" i="6" s="1"/>
  <c r="AJ32" i="3"/>
  <c r="AJ33" i="6" s="1"/>
  <c r="BD32" i="3"/>
  <c r="BD33" i="6"/>
  <c r="BX32" i="3"/>
  <c r="BX33" i="6" s="1"/>
  <c r="CV32" i="3"/>
  <c r="CV33" i="6" s="1"/>
  <c r="DL32" i="3"/>
  <c r="DL33" i="6" s="1"/>
  <c r="K32" i="3"/>
  <c r="K33" i="6" s="1"/>
  <c r="AI32" i="3"/>
  <c r="AI33" i="6"/>
  <c r="BC32" i="3"/>
  <c r="BC33" i="6" s="1"/>
  <c r="BW32" i="3"/>
  <c r="BW33" i="6"/>
  <c r="CU32" i="3"/>
  <c r="CU33" i="6" s="1"/>
  <c r="DO32" i="3"/>
  <c r="DO33" i="6" s="1"/>
  <c r="T32" i="3"/>
  <c r="T33" i="6" s="1"/>
  <c r="AN32" i="3"/>
  <c r="AN33" i="6"/>
  <c r="BH32" i="3"/>
  <c r="BH33" i="6" s="1"/>
  <c r="CF32" i="3"/>
  <c r="CF33" i="6" s="1"/>
  <c r="CZ32" i="3"/>
  <c r="CZ33" i="6"/>
  <c r="DP32" i="3"/>
  <c r="DP33" i="6" s="1"/>
  <c r="AM32" i="3"/>
  <c r="AM33" i="6" s="1"/>
  <c r="CE32" i="3"/>
  <c r="CE33" i="6"/>
  <c r="AR32" i="3"/>
  <c r="AR33" i="6" s="1"/>
  <c r="CJ32" i="3"/>
  <c r="CJ33" i="6" s="1"/>
  <c r="I32" i="3"/>
  <c r="I33" i="6" s="1"/>
  <c r="AC32" i="3"/>
  <c r="AC33" i="6"/>
  <c r="AW32" i="3"/>
  <c r="AW33" i="6" s="1"/>
  <c r="BU32" i="3"/>
  <c r="BU33" i="6"/>
  <c r="CO32" i="3"/>
  <c r="CO33" i="6" s="1"/>
  <c r="DI32" i="3"/>
  <c r="DI33" i="6"/>
  <c r="N32" i="3"/>
  <c r="N33" i="6"/>
  <c r="AD32" i="3"/>
  <c r="AD33" i="6" s="1"/>
  <c r="AT32" i="3"/>
  <c r="AT33" i="6" s="1"/>
  <c r="BV32" i="3"/>
  <c r="BV33" i="6" s="1"/>
  <c r="CL32" i="3"/>
  <c r="CL33" i="6"/>
  <c r="DB32" i="3"/>
  <c r="DB33" i="6" s="1"/>
  <c r="AQ32" i="3"/>
  <c r="AQ33" i="6" s="1"/>
  <c r="CI32" i="3"/>
  <c r="CI33" i="6" s="1"/>
  <c r="H32" i="3"/>
  <c r="H33" i="6"/>
  <c r="AZ32" i="3"/>
  <c r="AZ33" i="6" s="1"/>
  <c r="CN32" i="3"/>
  <c r="CN33" i="6" s="1"/>
  <c r="M32" i="3"/>
  <c r="M33" i="6"/>
  <c r="AG32" i="3"/>
  <c r="AG33" i="6" s="1"/>
  <c r="BE32" i="3"/>
  <c r="BE33" i="6" s="1"/>
  <c r="BY32" i="3"/>
  <c r="BY33" i="6" s="1"/>
  <c r="CS32" i="3"/>
  <c r="CS33" i="6" s="1"/>
  <c r="DQ32" i="3"/>
  <c r="DQ33" i="6" s="1"/>
  <c r="R32" i="3"/>
  <c r="R33" i="6"/>
  <c r="AH32" i="3"/>
  <c r="AH33" i="6" s="1"/>
  <c r="AX32" i="3"/>
  <c r="AX33" i="6" s="1"/>
  <c r="BJ32" i="3"/>
  <c r="BJ33" i="6"/>
  <c r="BZ32" i="3"/>
  <c r="BZ33" i="6" s="1"/>
  <c r="CP32" i="3"/>
  <c r="CP33" i="6" s="1"/>
  <c r="DF32" i="3"/>
  <c r="DF33" i="6" s="1"/>
  <c r="BG32" i="3"/>
  <c r="BG33" i="6" s="1"/>
  <c r="X32" i="3"/>
  <c r="X33" i="6" s="1"/>
  <c r="DD32" i="3"/>
  <c r="DD33" i="6" s="1"/>
  <c r="Y32" i="3"/>
  <c r="Y33" i="6" s="1"/>
  <c r="BM32" i="3"/>
  <c r="BM33" i="6" s="1"/>
  <c r="DE32" i="3"/>
  <c r="DE33" i="6"/>
  <c r="Z32" i="3"/>
  <c r="Z33" i="6" s="1"/>
  <c r="BF32" i="3"/>
  <c r="BF33" i="6"/>
  <c r="CH32" i="3"/>
  <c r="CH33" i="6" s="1"/>
  <c r="DN32" i="3"/>
  <c r="DN33" i="6" s="1"/>
  <c r="BO32" i="3"/>
  <c r="BO33" i="6" s="1"/>
  <c r="AB32" i="3"/>
  <c r="AB33" i="6" s="1"/>
  <c r="DH32" i="3"/>
  <c r="DH33" i="6"/>
  <c r="AO32" i="3"/>
  <c r="AO33" i="6" s="1"/>
  <c r="CC32" i="3"/>
  <c r="CC33" i="6" s="1"/>
  <c r="F32" i="3"/>
  <c r="F33" i="6" s="1"/>
  <c r="AL32" i="3"/>
  <c r="AL33" i="6"/>
  <c r="BN32" i="3"/>
  <c r="BN33" i="6"/>
  <c r="CT32" i="3"/>
  <c r="CT33" i="6" s="1"/>
  <c r="DH33" i="3"/>
  <c r="DH34" i="6"/>
  <c r="C34" i="6"/>
  <c r="AJ104" i="3"/>
  <c r="AJ105" i="6"/>
  <c r="CX32" i="3"/>
  <c r="CX33" i="6"/>
  <c r="AP32" i="3"/>
  <c r="AP33" i="6"/>
  <c r="DF28" i="3"/>
  <c r="DF29" i="6" s="1"/>
  <c r="AP28" i="3"/>
  <c r="AP29" i="6"/>
  <c r="CP24" i="3"/>
  <c r="CP25" i="6" s="1"/>
  <c r="J24" i="3"/>
  <c r="J25" i="6"/>
  <c r="DA32" i="3"/>
  <c r="DA33" i="6" s="1"/>
  <c r="Q32" i="3"/>
  <c r="Q33" i="6"/>
  <c r="BA28" i="3"/>
  <c r="BA29" i="6"/>
  <c r="CG24" i="3"/>
  <c r="CG25" i="6"/>
  <c r="BT32" i="3"/>
  <c r="BT33" i="6" s="1"/>
  <c r="AB28" i="3"/>
  <c r="AB29" i="6"/>
  <c r="DC32" i="3"/>
  <c r="DC33" i="6"/>
  <c r="AM28" i="3"/>
  <c r="AM29" i="6"/>
  <c r="AF16" i="3"/>
  <c r="AF17" i="6" s="1"/>
  <c r="CD32" i="3"/>
  <c r="CD33" i="6"/>
  <c r="V32" i="3"/>
  <c r="V33" i="6" s="1"/>
  <c r="CP28" i="3"/>
  <c r="CP29" i="6"/>
  <c r="R28" i="3"/>
  <c r="R29" i="6" s="1"/>
  <c r="BR24" i="3"/>
  <c r="BR25" i="6"/>
  <c r="CK32" i="3"/>
  <c r="CK33" i="6"/>
  <c r="DQ28" i="3"/>
  <c r="DQ29" i="6"/>
  <c r="AK28" i="3"/>
  <c r="AK29" i="6" s="1"/>
  <c r="BM24" i="3"/>
  <c r="BM25" i="6"/>
  <c r="BP32" i="3"/>
  <c r="BP33" i="6" s="1"/>
  <c r="X28" i="3"/>
  <c r="X29" i="6"/>
  <c r="CY32" i="3"/>
  <c r="CY33" i="6" s="1"/>
  <c r="AE28" i="3"/>
  <c r="AE29" i="6"/>
  <c r="AV16" i="3"/>
  <c r="AV17" i="6"/>
  <c r="DQ60" i="3"/>
  <c r="DQ61" i="6"/>
  <c r="DE60" i="3"/>
  <c r="DE61" i="6" s="1"/>
  <c r="I60" i="3"/>
  <c r="I61" i="6"/>
  <c r="CG60" i="3"/>
  <c r="CG61" i="6"/>
  <c r="BM60" i="3"/>
  <c r="BM61" i="6"/>
  <c r="AR64" i="3"/>
  <c r="AR65" i="6" s="1"/>
  <c r="AS64" i="3"/>
  <c r="AS65" i="6"/>
  <c r="CZ64" i="3"/>
  <c r="CZ65" i="6"/>
  <c r="CK64" i="3"/>
  <c r="CK65" i="6"/>
  <c r="BA64" i="3"/>
  <c r="BA65" i="6" s="1"/>
  <c r="BI64" i="3"/>
  <c r="BI65" i="6"/>
  <c r="P64" i="3"/>
  <c r="P65" i="6"/>
  <c r="DI64" i="3"/>
  <c r="DI65" i="6"/>
  <c r="C25" i="6"/>
  <c r="G24" i="3"/>
  <c r="G25" i="6"/>
  <c r="W24" i="3"/>
  <c r="W25" i="6" s="1"/>
  <c r="AM24" i="3"/>
  <c r="AM25" i="6" s="1"/>
  <c r="BC24" i="3"/>
  <c r="BC25" i="6" s="1"/>
  <c r="BS24" i="3"/>
  <c r="BS25" i="6" s="1"/>
  <c r="CI24" i="3"/>
  <c r="CI25" i="6"/>
  <c r="CY24" i="3"/>
  <c r="CY25" i="6" s="1"/>
  <c r="DO24" i="3"/>
  <c r="DO25" i="6" s="1"/>
  <c r="H24" i="3"/>
  <c r="H25" i="6"/>
  <c r="X24" i="3"/>
  <c r="X25" i="6"/>
  <c r="AN24" i="3"/>
  <c r="AN25" i="6" s="1"/>
  <c r="BD24" i="3"/>
  <c r="BD25" i="6"/>
  <c r="BT24" i="3"/>
  <c r="BT25" i="6" s="1"/>
  <c r="CJ24" i="3"/>
  <c r="CJ25" i="6" s="1"/>
  <c r="DL24" i="3"/>
  <c r="DL25" i="6" s="1"/>
  <c r="I24" i="3"/>
  <c r="I25" i="6"/>
  <c r="Y24" i="3"/>
  <c r="Y25" i="6" s="1"/>
  <c r="AO24" i="3"/>
  <c r="AO25" i="6"/>
  <c r="BE24" i="3"/>
  <c r="BE25" i="6" s="1"/>
  <c r="BU24" i="3"/>
  <c r="BU25" i="6"/>
  <c r="CK24" i="3"/>
  <c r="CK25" i="6"/>
  <c r="DA24" i="3"/>
  <c r="DA25" i="6" s="1"/>
  <c r="DQ24" i="3"/>
  <c r="DQ25" i="6" s="1"/>
  <c r="F24" i="3"/>
  <c r="F25" i="6"/>
  <c r="R24" i="3"/>
  <c r="R25" i="6"/>
  <c r="AH24" i="3"/>
  <c r="AH25" i="6" s="1"/>
  <c r="AX24" i="3"/>
  <c r="AX25" i="6" s="1"/>
  <c r="BN24" i="3"/>
  <c r="BN25" i="6"/>
  <c r="CD24" i="3"/>
  <c r="CD25" i="6" s="1"/>
  <c r="CT24" i="3"/>
  <c r="CT25" i="6" s="1"/>
  <c r="DJ24" i="3"/>
  <c r="DJ25" i="6" s="1"/>
  <c r="C29" i="6"/>
  <c r="S28" i="3"/>
  <c r="S29" i="6"/>
  <c r="AI28" i="3"/>
  <c r="AI29" i="6" s="1"/>
  <c r="AY28" i="3"/>
  <c r="AY29" i="6"/>
  <c r="BO28" i="3"/>
  <c r="BO29" i="6"/>
  <c r="CE28" i="3"/>
  <c r="CE29" i="6"/>
  <c r="CU28" i="3"/>
  <c r="CU29" i="6" s="1"/>
  <c r="DK28" i="3"/>
  <c r="DK29" i="6"/>
  <c r="D28" i="3"/>
  <c r="D29" i="6"/>
  <c r="T28" i="3"/>
  <c r="T29" i="6"/>
  <c r="AJ28" i="3"/>
  <c r="AJ29" i="6" s="1"/>
  <c r="AZ28" i="3"/>
  <c r="AZ29" i="6"/>
  <c r="BP28" i="3"/>
  <c r="BP29" i="6"/>
  <c r="CF28" i="3"/>
  <c r="CF29" i="6"/>
  <c r="CV28" i="3"/>
  <c r="CV29" i="6" s="1"/>
  <c r="DL28" i="3"/>
  <c r="DL29" i="6"/>
  <c r="M28" i="3"/>
  <c r="M29" i="6"/>
  <c r="AC28" i="3"/>
  <c r="AC29" i="6"/>
  <c r="AS28" i="3"/>
  <c r="AS29" i="6" s="1"/>
  <c r="BI28" i="3"/>
  <c r="BI29" i="6"/>
  <c r="BY28" i="3"/>
  <c r="BY29" i="6"/>
  <c r="CO28" i="3"/>
  <c r="CO29" i="6" s="1"/>
  <c r="DE28" i="3"/>
  <c r="DE29" i="6" s="1"/>
  <c r="N28" i="3"/>
  <c r="N29" i="6"/>
  <c r="AD28" i="3"/>
  <c r="AD29" i="6"/>
  <c r="AT28" i="3"/>
  <c r="AT29" i="6"/>
  <c r="BJ28" i="3"/>
  <c r="BJ29" i="6" s="1"/>
  <c r="C33" i="6"/>
  <c r="O32" i="3"/>
  <c r="O33" i="6" s="1"/>
  <c r="AE32" i="3"/>
  <c r="AE33" i="6"/>
  <c r="AU32" i="3"/>
  <c r="AU33" i="6" s="1"/>
  <c r="BK32" i="3"/>
  <c r="BK33" i="6" s="1"/>
  <c r="CA32" i="3"/>
  <c r="CA33" i="6" s="1"/>
  <c r="CQ32" i="3"/>
  <c r="CQ33" i="6"/>
  <c r="DG32" i="3"/>
  <c r="DG33" i="6"/>
  <c r="D32" i="3"/>
  <c r="D33" i="6" s="1"/>
  <c r="P32" i="3"/>
  <c r="P33" i="6" s="1"/>
  <c r="AF32" i="3"/>
  <c r="AF33" i="6"/>
  <c r="AV32" i="3"/>
  <c r="AV33" i="6"/>
  <c r="BL32" i="3"/>
  <c r="BL33" i="6" s="1"/>
  <c r="CB32" i="3"/>
  <c r="CB33" i="6" s="1"/>
  <c r="CR32" i="3"/>
  <c r="CR33" i="6"/>
  <c r="E32" i="3"/>
  <c r="E33" i="6" s="1"/>
  <c r="U32" i="3"/>
  <c r="U33" i="6" s="1"/>
  <c r="AK32" i="3"/>
  <c r="AK33" i="6" s="1"/>
  <c r="BA32" i="3"/>
  <c r="BA33" i="6"/>
  <c r="BQ32" i="3"/>
  <c r="BQ33" i="6" s="1"/>
  <c r="CG32" i="3"/>
  <c r="CG33" i="6" s="1"/>
  <c r="CW32" i="3"/>
  <c r="CW33" i="6" s="1"/>
  <c r="DM32" i="3"/>
  <c r="DM33" i="6"/>
  <c r="CM28" i="3"/>
  <c r="CM29" i="6"/>
  <c r="BS28" i="3"/>
  <c r="BS29" i="6" s="1"/>
  <c r="AU28" i="3"/>
  <c r="AU29" i="6" s="1"/>
  <c r="AA28" i="3"/>
  <c r="AA29" i="6"/>
  <c r="G28" i="3"/>
  <c r="G29" i="6"/>
  <c r="CU24" i="3"/>
  <c r="CU25" i="6" s="1"/>
  <c r="CA24" i="3"/>
  <c r="CA25" i="6" s="1"/>
  <c r="BG24" i="3"/>
  <c r="BG25" i="6"/>
  <c r="AI24" i="3"/>
  <c r="AI25" i="6" s="1"/>
  <c r="O24" i="3"/>
  <c r="O25" i="6" s="1"/>
  <c r="AF59" i="3"/>
  <c r="AF60" i="6" s="1"/>
  <c r="CE59" i="3"/>
  <c r="CE60" i="6"/>
  <c r="AS59" i="3"/>
  <c r="AS60" i="6" s="1"/>
  <c r="AQ59" i="3"/>
  <c r="AQ60" i="6" s="1"/>
  <c r="Z67" i="3"/>
  <c r="Z68" i="6" s="1"/>
  <c r="CF71" i="3"/>
  <c r="CF72" i="6"/>
  <c r="BV71" i="3"/>
  <c r="BV72" i="6"/>
  <c r="CU71" i="3"/>
  <c r="CU72" i="6" s="1"/>
  <c r="X71" i="3"/>
  <c r="X72" i="6" s="1"/>
  <c r="CD71" i="3"/>
  <c r="CD72" i="6"/>
  <c r="CC71" i="3"/>
  <c r="CC72" i="6"/>
  <c r="G71" i="3"/>
  <c r="G72" i="6" s="1"/>
  <c r="J71" i="3"/>
  <c r="J72" i="6" s="1"/>
  <c r="AB71" i="3"/>
  <c r="AB72" i="6"/>
  <c r="AG71" i="3"/>
  <c r="AG72" i="6" s="1"/>
  <c r="AE82" i="3"/>
  <c r="AE83" i="6" s="1"/>
  <c r="DA82" i="3"/>
  <c r="DA83" i="6" s="1"/>
  <c r="AA82" i="3"/>
  <c r="AA83" i="6"/>
  <c r="BB82" i="3"/>
  <c r="BB83" i="6" s="1"/>
  <c r="AT82" i="3"/>
  <c r="AT83" i="6" s="1"/>
  <c r="CO82" i="3"/>
  <c r="CO83" i="6" s="1"/>
  <c r="AH87" i="3"/>
  <c r="AH88" i="6"/>
  <c r="AW87" i="3"/>
  <c r="AW88" i="6"/>
  <c r="AI87" i="3"/>
  <c r="AI88" i="6" s="1"/>
  <c r="CC87" i="3"/>
  <c r="CC88" i="6" s="1"/>
  <c r="BT87" i="3"/>
  <c r="BT88" i="6"/>
  <c r="DI101" i="3"/>
  <c r="DI102" i="6"/>
  <c r="AH36" i="3"/>
  <c r="AH37" i="6" s="1"/>
  <c r="L36" i="3"/>
  <c r="L37" i="6" s="1"/>
  <c r="DG16" i="3"/>
  <c r="DG17" i="6"/>
  <c r="DO8" i="3"/>
  <c r="DO9" i="6" s="1"/>
  <c r="P16" i="3"/>
  <c r="P17" i="6" s="1"/>
  <c r="CJ16" i="3"/>
  <c r="CJ17" i="6" s="1"/>
  <c r="BA16" i="3"/>
  <c r="BA17" i="6"/>
  <c r="AH16" i="3"/>
  <c r="AH17" i="6" s="1"/>
  <c r="CD8" i="3"/>
  <c r="CD9" i="6" s="1"/>
  <c r="CK4" i="3"/>
  <c r="CK5" i="6" s="1"/>
  <c r="H48" i="3"/>
  <c r="H49" i="6"/>
  <c r="DM52" i="3"/>
  <c r="DM53" i="6"/>
  <c r="DK50" i="3"/>
  <c r="DK51" i="6" s="1"/>
  <c r="BK50" i="3"/>
  <c r="BK51" i="6" s="1"/>
  <c r="CU63" i="3"/>
  <c r="CU64" i="6"/>
  <c r="BJ63" i="3"/>
  <c r="BJ64" i="6"/>
  <c r="DH82" i="3"/>
  <c r="DH83" i="6" s="1"/>
  <c r="G82" i="3"/>
  <c r="G83" i="6" s="1"/>
  <c r="M82" i="3"/>
  <c r="M83" i="6"/>
  <c r="DQ82" i="3"/>
  <c r="DQ83" i="6" s="1"/>
  <c r="C83" i="6"/>
  <c r="BK82" i="3"/>
  <c r="BK83" i="6"/>
  <c r="CD82" i="3"/>
  <c r="CD83" i="6"/>
  <c r="DK82" i="3"/>
  <c r="DK83" i="6"/>
  <c r="AL82" i="3"/>
  <c r="AL83" i="6" s="1"/>
  <c r="CY82" i="3"/>
  <c r="CY83" i="6"/>
  <c r="CF82" i="3"/>
  <c r="CF83" i="6" s="1"/>
  <c r="AW82" i="3"/>
  <c r="AW83" i="6"/>
  <c r="DB82" i="3"/>
  <c r="DB83" i="6" s="1"/>
  <c r="BI82" i="3"/>
  <c r="BI83" i="6"/>
  <c r="AH82" i="3"/>
  <c r="AH83" i="6" s="1"/>
  <c r="BA82" i="3"/>
  <c r="BA83" i="6" s="1"/>
  <c r="CQ82" i="3"/>
  <c r="CQ83" i="6" s="1"/>
  <c r="V82" i="3"/>
  <c r="V83" i="6"/>
  <c r="CM82" i="3"/>
  <c r="CM83" i="6" s="1"/>
  <c r="BE82" i="3"/>
  <c r="BE83" i="6"/>
  <c r="CB82" i="3"/>
  <c r="CB83" i="6" s="1"/>
  <c r="BC82" i="3"/>
  <c r="BC83" i="6"/>
  <c r="I82" i="3"/>
  <c r="I83" i="6"/>
  <c r="BL82" i="3"/>
  <c r="BL83" i="6" s="1"/>
  <c r="AK82" i="3"/>
  <c r="AK83" i="6" s="1"/>
  <c r="BR82" i="3"/>
  <c r="BR83" i="6"/>
  <c r="Q82" i="3"/>
  <c r="Q83" i="6"/>
  <c r="AC82" i="3"/>
  <c r="AC83" i="6"/>
  <c r="AY82" i="3"/>
  <c r="AY83" i="6" s="1"/>
  <c r="BH82" i="3"/>
  <c r="BH83" i="6"/>
  <c r="BZ82" i="3"/>
  <c r="BZ83" i="6" s="1"/>
  <c r="AF82" i="3"/>
  <c r="AF83" i="6"/>
  <c r="CK82" i="3"/>
  <c r="CK83" i="6" s="1"/>
  <c r="AR82" i="3"/>
  <c r="AR83" i="6"/>
  <c r="AD82" i="3"/>
  <c r="AD83" i="6"/>
  <c r="CE82" i="3"/>
  <c r="CE83" i="6"/>
  <c r="R82" i="3"/>
  <c r="R83" i="6" s="1"/>
  <c r="CJ82" i="3"/>
  <c r="CJ83" i="6"/>
  <c r="AU82" i="3"/>
  <c r="AU83" i="6"/>
  <c r="CH82" i="3"/>
  <c r="CH83" i="6" s="1"/>
  <c r="AB82" i="3"/>
  <c r="AB83" i="6" s="1"/>
  <c r="DD82" i="3"/>
  <c r="DD83" i="6"/>
  <c r="BF82" i="3"/>
  <c r="BF83" i="6" s="1"/>
  <c r="CZ82" i="3"/>
  <c r="CZ83" i="6"/>
  <c r="BT82" i="3"/>
  <c r="BT83" i="6" s="1"/>
  <c r="AI82" i="3"/>
  <c r="AI83" i="6"/>
  <c r="BJ82" i="3"/>
  <c r="BJ83" i="6" s="1"/>
  <c r="AJ82" i="3"/>
  <c r="AJ83" i="6"/>
  <c r="CS82" i="3"/>
  <c r="CS83" i="6" s="1"/>
  <c r="P82" i="3"/>
  <c r="P83" i="6"/>
  <c r="CG82" i="3"/>
  <c r="CG83" i="6" s="1"/>
  <c r="F82" i="3"/>
  <c r="F83" i="6"/>
  <c r="BG82" i="3"/>
  <c r="BG83" i="6" s="1"/>
  <c r="DI82" i="3"/>
  <c r="DI83" i="6"/>
  <c r="CI82" i="3"/>
  <c r="CI83" i="6" s="1"/>
  <c r="H82" i="3"/>
  <c r="H83" i="6" s="1"/>
  <c r="DF82" i="3"/>
  <c r="DF83" i="6" s="1"/>
  <c r="AV82" i="3"/>
  <c r="AV83" i="6"/>
  <c r="O82" i="3"/>
  <c r="O83" i="6" s="1"/>
  <c r="CW82" i="3"/>
  <c r="CW83" i="6"/>
  <c r="CC82" i="3"/>
  <c r="CC83" i="6" s="1"/>
  <c r="E82" i="3"/>
  <c r="E83" i="6"/>
  <c r="T82" i="3"/>
  <c r="T83" i="6" s="1"/>
  <c r="BY82" i="3"/>
  <c r="BY83" i="6"/>
  <c r="BE92" i="3"/>
  <c r="BE93" i="6" s="1"/>
  <c r="DF87" i="3"/>
  <c r="DF88" i="6"/>
  <c r="DN87" i="3"/>
  <c r="DN88" i="6"/>
  <c r="DC82" i="3"/>
  <c r="DC83" i="6" s="1"/>
  <c r="DP82" i="3"/>
  <c r="DP83" i="6" s="1"/>
  <c r="L82" i="3"/>
  <c r="L83" i="6"/>
  <c r="AO82" i="3"/>
  <c r="AO83" i="6"/>
  <c r="BS82" i="3"/>
  <c r="BS83" i="6"/>
  <c r="BN82" i="3"/>
  <c r="BN83" i="6" s="1"/>
  <c r="BX82" i="3"/>
  <c r="BX83" i="6"/>
  <c r="AN82" i="3"/>
  <c r="AN83" i="6"/>
  <c r="J82" i="3"/>
  <c r="J83" i="6"/>
  <c r="CP82" i="3"/>
  <c r="CP83" i="6" s="1"/>
  <c r="K82" i="3"/>
  <c r="K83" i="6"/>
  <c r="CR82" i="3"/>
  <c r="CR83" i="6"/>
  <c r="BU82" i="3"/>
  <c r="BU83" i="6" s="1"/>
  <c r="AZ82" i="3"/>
  <c r="AZ83" i="6" s="1"/>
  <c r="N82" i="3"/>
  <c r="N83" i="6"/>
  <c r="BQ82" i="3"/>
  <c r="BQ83" i="6"/>
  <c r="AT87" i="3"/>
  <c r="AT88" i="6"/>
  <c r="CW87" i="3"/>
  <c r="CW88" i="6" s="1"/>
  <c r="BL87" i="3"/>
  <c r="BL88" i="6"/>
  <c r="DH87" i="3"/>
  <c r="DH88" i="6"/>
  <c r="D87" i="3"/>
  <c r="D88" i="6"/>
  <c r="BV87" i="3"/>
  <c r="BV88" i="6" s="1"/>
  <c r="DQ87" i="3"/>
  <c r="DQ88" i="6"/>
  <c r="CQ87" i="3"/>
  <c r="CQ88" i="6"/>
  <c r="J87" i="3"/>
  <c r="J88" i="6" s="1"/>
  <c r="CL82" i="3"/>
  <c r="CL83" i="6" s="1"/>
  <c r="BS59" i="3"/>
  <c r="BS60" i="6"/>
  <c r="BT71" i="3"/>
  <c r="BT72" i="6"/>
  <c r="DK71" i="3"/>
  <c r="DK72" i="6"/>
  <c r="BA71" i="3"/>
  <c r="BA72" i="6" s="1"/>
  <c r="CX71" i="3"/>
  <c r="CX72" i="6"/>
  <c r="AJ71" i="3"/>
  <c r="AJ72" i="6"/>
  <c r="W136" i="6"/>
  <c r="Q46" i="3"/>
  <c r="Q47" i="6"/>
  <c r="O46" i="3"/>
  <c r="O47" i="6" s="1"/>
  <c r="BW46" i="3"/>
  <c r="BW47" i="6" s="1"/>
  <c r="AQ46" i="3"/>
  <c r="AQ47" i="6"/>
  <c r="R59" i="3"/>
  <c r="R60" i="6"/>
  <c r="DQ59" i="3"/>
  <c r="DQ60" i="6" s="1"/>
  <c r="DC59" i="3"/>
  <c r="DC60" i="6" s="1"/>
  <c r="N59" i="3"/>
  <c r="N60" i="6"/>
  <c r="AU59" i="3"/>
  <c r="AU60" i="6" s="1"/>
  <c r="K59" i="3"/>
  <c r="K60" i="6" s="1"/>
  <c r="CM59" i="3"/>
  <c r="CM60" i="6" s="1"/>
  <c r="CQ59" i="3"/>
  <c r="CQ60" i="6"/>
  <c r="BY59" i="3"/>
  <c r="BY60" i="6"/>
  <c r="CV59" i="3"/>
  <c r="CV60" i="6" s="1"/>
  <c r="DE59" i="3"/>
  <c r="DE60" i="6" s="1"/>
  <c r="AA59" i="3"/>
  <c r="AA60" i="6"/>
  <c r="W59" i="3"/>
  <c r="W60" i="6"/>
  <c r="AB59" i="3"/>
  <c r="AB60" i="6" s="1"/>
  <c r="AL59" i="3"/>
  <c r="AL60" i="6" s="1"/>
  <c r="BZ59" i="3"/>
  <c r="BZ60" i="6"/>
  <c r="BJ59" i="3"/>
  <c r="BJ60" i="6"/>
  <c r="BM59" i="3"/>
  <c r="BM60" i="6" s="1"/>
  <c r="G59" i="3"/>
  <c r="G60" i="6" s="1"/>
  <c r="AX59" i="3"/>
  <c r="AX60" i="6"/>
  <c r="CV67" i="3"/>
  <c r="CV68" i="6" s="1"/>
  <c r="BB67" i="3"/>
  <c r="BB68" i="6" s="1"/>
  <c r="AU67" i="3"/>
  <c r="AU68" i="6" s="1"/>
  <c r="BA67" i="3"/>
  <c r="BA68" i="6"/>
  <c r="CU67" i="3"/>
  <c r="CU68" i="6"/>
  <c r="N67" i="3"/>
  <c r="N68" i="6" s="1"/>
  <c r="U67" i="3"/>
  <c r="U68" i="6" s="1"/>
  <c r="F67" i="3"/>
  <c r="F68" i="6"/>
  <c r="CZ67" i="3"/>
  <c r="CZ68" i="6"/>
  <c r="BM67" i="3"/>
  <c r="BM68" i="6" s="1"/>
  <c r="CC67" i="3"/>
  <c r="CC68" i="6" s="1"/>
  <c r="BP67" i="3"/>
  <c r="BP68" i="6"/>
  <c r="AP67" i="3"/>
  <c r="AP68" i="6"/>
  <c r="BO67" i="3"/>
  <c r="BO68" i="6" s="1"/>
  <c r="AA67" i="3"/>
  <c r="AA68" i="6" s="1"/>
  <c r="AK67" i="3"/>
  <c r="AK68" i="6"/>
  <c r="O67" i="3"/>
  <c r="O68" i="6" s="1"/>
  <c r="BF67" i="3"/>
  <c r="BF68" i="6" s="1"/>
  <c r="BI67" i="3"/>
  <c r="BI68" i="6" s="1"/>
  <c r="CP67" i="3"/>
  <c r="CP68" i="6"/>
  <c r="DE71" i="3"/>
  <c r="DE72" i="6"/>
  <c r="P71" i="3"/>
  <c r="P72" i="6" s="1"/>
  <c r="BE71" i="3"/>
  <c r="BE72" i="6" s="1"/>
  <c r="AY71" i="3"/>
  <c r="AY72" i="6"/>
  <c r="CK71" i="3"/>
  <c r="CK72" i="6"/>
  <c r="N71" i="3"/>
  <c r="N72" i="6" s="1"/>
  <c r="AE71" i="3"/>
  <c r="AE72" i="6" s="1"/>
  <c r="CE71" i="3"/>
  <c r="CE72" i="6"/>
  <c r="AI71" i="3"/>
  <c r="AI72" i="6"/>
  <c r="DL71" i="3"/>
  <c r="DL72" i="6" s="1"/>
  <c r="AX71" i="3"/>
  <c r="AX72" i="6" s="1"/>
  <c r="CT71" i="3"/>
  <c r="CT72" i="6"/>
  <c r="BS71" i="3"/>
  <c r="BS72" i="6" s="1"/>
  <c r="BP71" i="3"/>
  <c r="BP72" i="6" s="1"/>
  <c r="BM71" i="3"/>
  <c r="BM72" i="6" s="1"/>
  <c r="DC71" i="3"/>
  <c r="DC72" i="6"/>
  <c r="DG71" i="3"/>
  <c r="DG72" i="6"/>
  <c r="BR71" i="3"/>
  <c r="BR72" i="6" s="1"/>
  <c r="CP71" i="3"/>
  <c r="CP72" i="6" s="1"/>
  <c r="H71" i="3"/>
  <c r="H72" i="6"/>
  <c r="BH71" i="3"/>
  <c r="BH72" i="6"/>
  <c r="BB71" i="3"/>
  <c r="BB72" i="6" s="1"/>
  <c r="CH71" i="3"/>
  <c r="CH72" i="6" s="1"/>
  <c r="K71" i="3"/>
  <c r="K72" i="6"/>
  <c r="AZ71" i="3"/>
  <c r="AZ72" i="6"/>
  <c r="CS71" i="3"/>
  <c r="CS72" i="6" s="1"/>
  <c r="AH71" i="3"/>
  <c r="AH72" i="6" s="1"/>
  <c r="AF71" i="3"/>
  <c r="AF72" i="6"/>
  <c r="AQ71" i="3"/>
  <c r="AQ72" i="6" s="1"/>
  <c r="Y71" i="3"/>
  <c r="Y72" i="6" s="1"/>
  <c r="BW71" i="3"/>
  <c r="BW72" i="6" s="1"/>
  <c r="AA71" i="3"/>
  <c r="AA72" i="6"/>
  <c r="DQ71" i="3"/>
  <c r="DQ72" i="6" s="1"/>
  <c r="CJ71" i="3"/>
  <c r="CJ72" i="6" s="1"/>
  <c r="D71" i="3"/>
  <c r="D72" i="6" s="1"/>
  <c r="BJ71" i="3"/>
  <c r="BJ72" i="6"/>
  <c r="BU71" i="3"/>
  <c r="BU72" i="6"/>
  <c r="CB71" i="3"/>
  <c r="CB72" i="6" s="1"/>
  <c r="U71" i="3"/>
  <c r="U72" i="6" s="1"/>
  <c r="DJ71" i="3"/>
  <c r="DJ72" i="6"/>
  <c r="DH71" i="3"/>
  <c r="DH72" i="6"/>
  <c r="BI71" i="3"/>
  <c r="BI72" i="6" s="1"/>
  <c r="CY71" i="3"/>
  <c r="CY72" i="6" s="1"/>
  <c r="DN71" i="3"/>
  <c r="DN72" i="6"/>
  <c r="V71" i="3"/>
  <c r="V72" i="6" s="1"/>
  <c r="DA71" i="3"/>
  <c r="DA72" i="6" s="1"/>
  <c r="F71" i="3"/>
  <c r="F72" i="6" s="1"/>
  <c r="AC71" i="3"/>
  <c r="AC72" i="6"/>
  <c r="E71" i="3"/>
  <c r="E72" i="6" s="1"/>
  <c r="CL71" i="3"/>
  <c r="CL72" i="6" s="1"/>
  <c r="BN71" i="3"/>
  <c r="BN72" i="6" s="1"/>
  <c r="DO71" i="3"/>
  <c r="DO72" i="6"/>
  <c r="DP71" i="3"/>
  <c r="DP72" i="6"/>
  <c r="I71" i="3"/>
  <c r="I72" i="6" s="1"/>
  <c r="AT71" i="3"/>
  <c r="AT72" i="6" s="1"/>
  <c r="CZ71" i="3"/>
  <c r="CZ72" i="6"/>
  <c r="CA71" i="3"/>
  <c r="CA72" i="6"/>
  <c r="AM71" i="3"/>
  <c r="AM72" i="6" s="1"/>
  <c r="AD71" i="3"/>
  <c r="AD72" i="6" s="1"/>
  <c r="AO71" i="3"/>
  <c r="AO72" i="6"/>
  <c r="CM71" i="3"/>
  <c r="CM72" i="6" s="1"/>
  <c r="CR71" i="3"/>
  <c r="CR72" i="6" s="1"/>
  <c r="BX71" i="3"/>
  <c r="BX72" i="6" s="1"/>
  <c r="Z71" i="3"/>
  <c r="Z72" i="6"/>
  <c r="BD71" i="3"/>
  <c r="BD72" i="6" s="1"/>
  <c r="CN71" i="3"/>
  <c r="CN72" i="6" s="1"/>
  <c r="DB71" i="3"/>
  <c r="DB72" i="6" s="1"/>
  <c r="BC71" i="3"/>
  <c r="BC72" i="6"/>
  <c r="AR71" i="3"/>
  <c r="AR72" i="6"/>
  <c r="C72" i="6"/>
  <c r="R71" i="3"/>
  <c r="R72" i="6"/>
  <c r="O71" i="3"/>
  <c r="O72" i="6"/>
  <c r="CV71" i="3"/>
  <c r="CV72" i="6" s="1"/>
  <c r="M71" i="3"/>
  <c r="M72" i="6" s="1"/>
  <c r="DI71" i="3"/>
  <c r="DI72" i="6"/>
  <c r="BK71" i="3"/>
  <c r="BK72" i="6"/>
  <c r="T71" i="3"/>
  <c r="T72" i="6"/>
  <c r="AK71" i="3"/>
  <c r="AK72" i="6" s="1"/>
  <c r="CQ71" i="3"/>
  <c r="CQ72" i="6"/>
  <c r="BQ71" i="3"/>
  <c r="BQ72" i="6" s="1"/>
  <c r="AL71" i="3"/>
  <c r="AL72" i="6" s="1"/>
  <c r="AP71" i="3"/>
  <c r="AP72" i="6" s="1"/>
  <c r="S71" i="3"/>
  <c r="S72" i="6"/>
  <c r="AU71" i="3"/>
  <c r="AU72" i="6" s="1"/>
  <c r="CI71" i="3"/>
  <c r="CI72" i="6" s="1"/>
  <c r="BO71" i="3"/>
  <c r="BO72" i="6" s="1"/>
  <c r="CO71" i="3"/>
  <c r="CO72" i="6"/>
  <c r="AS71" i="3"/>
  <c r="AS72" i="6" s="1"/>
  <c r="AN71" i="3"/>
  <c r="AN72" i="6"/>
  <c r="BY71" i="3"/>
  <c r="BY72" i="6" s="1"/>
  <c r="L71" i="3"/>
  <c r="L72" i="6"/>
  <c r="BL71" i="3"/>
  <c r="BL72" i="6" s="1"/>
  <c r="BF71" i="3"/>
  <c r="BF72" i="6"/>
  <c r="DD71" i="3"/>
  <c r="DD72" i="6" s="1"/>
  <c r="BZ71" i="3"/>
  <c r="BZ72" i="6"/>
  <c r="AG87" i="3"/>
  <c r="AG88" i="6" s="1"/>
  <c r="P87" i="3"/>
  <c r="P88" i="6" s="1"/>
  <c r="AX87" i="3"/>
  <c r="AX88" i="6" s="1"/>
  <c r="T87" i="3"/>
  <c r="T88" i="6"/>
  <c r="CN87" i="3"/>
  <c r="CN88" i="6"/>
  <c r="CT87" i="3"/>
  <c r="CT88" i="6"/>
  <c r="I87" i="3"/>
  <c r="I88" i="6" s="1"/>
  <c r="BF87" i="3"/>
  <c r="BF88" i="6"/>
  <c r="BD87" i="3"/>
  <c r="BD88" i="6" s="1"/>
  <c r="BS87" i="3"/>
  <c r="BS88" i="6" s="1"/>
  <c r="X87" i="3"/>
  <c r="X88" i="6" s="1"/>
  <c r="AL87" i="3"/>
  <c r="AL88" i="6"/>
  <c r="CG87" i="3"/>
  <c r="CG88" i="6"/>
  <c r="AY87" i="3"/>
  <c r="AY88" i="6"/>
  <c r="C88" i="6"/>
  <c r="Y87" i="3"/>
  <c r="Y88" i="6" s="1"/>
  <c r="DJ87" i="3"/>
  <c r="DJ88" i="6" s="1"/>
  <c r="DI87" i="3"/>
  <c r="DI88" i="6"/>
  <c r="CB87" i="3"/>
  <c r="CB88" i="6"/>
  <c r="CY87" i="3"/>
  <c r="CY88" i="6" s="1"/>
  <c r="CM87" i="3"/>
  <c r="CM88" i="6" s="1"/>
  <c r="DG87" i="3"/>
  <c r="DG88" i="6"/>
  <c r="BB87" i="3"/>
  <c r="BB88" i="6"/>
  <c r="BR87" i="3"/>
  <c r="BR88" i="6" s="1"/>
  <c r="AD87" i="3"/>
  <c r="AD88" i="6" s="1"/>
  <c r="CU87" i="3"/>
  <c r="CU88" i="6"/>
  <c r="BC87" i="3"/>
  <c r="BC88" i="6"/>
  <c r="DB87" i="3"/>
  <c r="DB88" i="6" s="1"/>
  <c r="CJ87" i="3"/>
  <c r="CJ88" i="6" s="1"/>
  <c r="BW87" i="3"/>
  <c r="BW88" i="6"/>
  <c r="AZ87" i="3"/>
  <c r="AZ88" i="6" s="1"/>
  <c r="AC87" i="3"/>
  <c r="AC88" i="6" s="1"/>
  <c r="AB87" i="3"/>
  <c r="AB88" i="6" s="1"/>
  <c r="H87" i="3"/>
  <c r="H88" i="6"/>
  <c r="CD87" i="3"/>
  <c r="CD88" i="6"/>
  <c r="V87" i="3"/>
  <c r="V88" i="6" s="1"/>
  <c r="BX87" i="3"/>
  <c r="BX88" i="6" s="1"/>
  <c r="DM87" i="3"/>
  <c r="DM88" i="6"/>
  <c r="BM87" i="3"/>
  <c r="BM88" i="6"/>
  <c r="CE87" i="3"/>
  <c r="CE88" i="6" s="1"/>
  <c r="AF87" i="3"/>
  <c r="AF88" i="6" s="1"/>
  <c r="BZ87" i="3"/>
  <c r="BZ88" i="6"/>
  <c r="CI87" i="3"/>
  <c r="CI88" i="6"/>
  <c r="O87" i="3"/>
  <c r="O88" i="6" s="1"/>
  <c r="AE87" i="3"/>
  <c r="AE88" i="6" s="1"/>
  <c r="BP87" i="3"/>
  <c r="BP88" i="6"/>
  <c r="AS87" i="3"/>
  <c r="AS88" i="6" s="1"/>
  <c r="BJ87" i="3"/>
  <c r="BJ88" i="6" s="1"/>
  <c r="BE87" i="3"/>
  <c r="BE88" i="6" s="1"/>
  <c r="N87" i="3"/>
  <c r="N88" i="6"/>
  <c r="BY87" i="3"/>
  <c r="BY88" i="6" s="1"/>
  <c r="S87" i="3"/>
  <c r="S88" i="6" s="1"/>
  <c r="DL87" i="3"/>
  <c r="DL88" i="6" s="1"/>
  <c r="CF87" i="3"/>
  <c r="CF88" i="6"/>
  <c r="CV87" i="3"/>
  <c r="CV88" i="6"/>
  <c r="BK87" i="3"/>
  <c r="BK88" i="6" s="1"/>
  <c r="BI87" i="3"/>
  <c r="BI88" i="6" s="1"/>
  <c r="DA87" i="3"/>
  <c r="DA88" i="6"/>
  <c r="BN87" i="3"/>
  <c r="BN88" i="6"/>
  <c r="AJ87" i="3"/>
  <c r="AJ88" i="6" s="1"/>
  <c r="DO87" i="3"/>
  <c r="DO88" i="6" s="1"/>
  <c r="BG87" i="3"/>
  <c r="BG88" i="6"/>
  <c r="AV87" i="3"/>
  <c r="AV88" i="6" s="1"/>
  <c r="CR87" i="3"/>
  <c r="CR88" i="6" s="1"/>
  <c r="BO87" i="3"/>
  <c r="BO88" i="6" s="1"/>
  <c r="AO87" i="3"/>
  <c r="AO88" i="6"/>
  <c r="CH87" i="3"/>
  <c r="CH88" i="6"/>
  <c r="AA87" i="3"/>
  <c r="AA88" i="6" s="1"/>
  <c r="G87" i="3"/>
  <c r="G88" i="6" s="1"/>
  <c r="CO87" i="3"/>
  <c r="CO88" i="6"/>
  <c r="F87" i="3"/>
  <c r="F88" i="6"/>
  <c r="CL87" i="3"/>
  <c r="CL88" i="6" s="1"/>
  <c r="DP87" i="3"/>
  <c r="DP88" i="6" s="1"/>
  <c r="CX87" i="3"/>
  <c r="CX88" i="6"/>
  <c r="DK87" i="3"/>
  <c r="DK88" i="6"/>
  <c r="AP87" i="3"/>
  <c r="AP88" i="6" s="1"/>
  <c r="CP87" i="3"/>
  <c r="CP88" i="6" s="1"/>
  <c r="CA87" i="3"/>
  <c r="CA88" i="6"/>
  <c r="CA82" i="3"/>
  <c r="CA83" i="6" s="1"/>
  <c r="AM82" i="3"/>
  <c r="AM83" i="6" s="1"/>
  <c r="Z82" i="3"/>
  <c r="Z83" i="6" s="1"/>
  <c r="BO82" i="3"/>
  <c r="BO83" i="6"/>
  <c r="AP82" i="3"/>
  <c r="AP83" i="6" s="1"/>
  <c r="CX82" i="3"/>
  <c r="CX83" i="6" s="1"/>
  <c r="DJ82" i="3"/>
  <c r="DJ83" i="6" s="1"/>
  <c r="AG82" i="3"/>
  <c r="AG83" i="6"/>
  <c r="CU82" i="3"/>
  <c r="CU83" i="6"/>
  <c r="DM82" i="3"/>
  <c r="DM83" i="6" s="1"/>
  <c r="DE82" i="3"/>
  <c r="DE83" i="6" s="1"/>
  <c r="Y82" i="3"/>
  <c r="Y83" i="6"/>
  <c r="DN82" i="3"/>
  <c r="DN83" i="6"/>
  <c r="BW82" i="3"/>
  <c r="BW83" i="6" s="1"/>
  <c r="E87" i="3"/>
  <c r="E88" i="6" s="1"/>
  <c r="AR87" i="3"/>
  <c r="AR88" i="6"/>
  <c r="Z87" i="3"/>
  <c r="Z88" i="6" s="1"/>
  <c r="BQ87" i="3"/>
  <c r="BQ88" i="6" s="1"/>
  <c r="AQ87" i="3"/>
  <c r="AQ88" i="6" s="1"/>
  <c r="R87" i="3"/>
  <c r="R88" i="6"/>
  <c r="DD87" i="3"/>
  <c r="DD88" i="6" s="1"/>
  <c r="Z59" i="3"/>
  <c r="Z60" i="6" s="1"/>
  <c r="I59" i="3"/>
  <c r="I60" i="6" s="1"/>
  <c r="BG71" i="3"/>
  <c r="BG72" i="6"/>
  <c r="DF71" i="3"/>
  <c r="DF72" i="6"/>
  <c r="DM71" i="3"/>
  <c r="DM72" i="6" s="1"/>
  <c r="AV71" i="3"/>
  <c r="AV72" i="6" s="1"/>
  <c r="W71" i="3"/>
  <c r="W72" i="6"/>
  <c r="CH67" i="3"/>
  <c r="CH68" i="6"/>
  <c r="AU87" i="3"/>
  <c r="AU88" i="6" s="1"/>
  <c r="BD82" i="3"/>
  <c r="BD83" i="6" s="1"/>
  <c r="CB46" i="3"/>
  <c r="CB47" i="6"/>
  <c r="DN16" i="3"/>
  <c r="DN17" i="6" s="1"/>
  <c r="CL16" i="3"/>
  <c r="CL17" i="6" s="1"/>
  <c r="BR16" i="3"/>
  <c r="BR17" i="6" s="1"/>
  <c r="AX16" i="3"/>
  <c r="AX17" i="6"/>
  <c r="Z16" i="3"/>
  <c r="Z17" i="6"/>
  <c r="J16" i="3"/>
  <c r="J17" i="6" s="1"/>
  <c r="DE16" i="3"/>
  <c r="DE17" i="6" s="1"/>
  <c r="CG16" i="3"/>
  <c r="CG17" i="6"/>
  <c r="BQ16" i="3"/>
  <c r="BQ17" i="6"/>
  <c r="AS16" i="3"/>
  <c r="AS17" i="6" s="1"/>
  <c r="Y16" i="3"/>
  <c r="Y17" i="6" s="1"/>
  <c r="E16" i="3"/>
  <c r="E17" i="6"/>
  <c r="CZ16" i="3"/>
  <c r="CZ17" i="6" s="1"/>
  <c r="CB16" i="3"/>
  <c r="CB17" i="6" s="1"/>
  <c r="BH16" i="3"/>
  <c r="BH17" i="6" s="1"/>
  <c r="AR16" i="3"/>
  <c r="AR17" i="6"/>
  <c r="AB16" i="3"/>
  <c r="AB17" i="6" s="1"/>
  <c r="L16" i="3"/>
  <c r="L17" i="6" s="1"/>
  <c r="AI16" i="3"/>
  <c r="AI17" i="6" s="1"/>
  <c r="CU16" i="3"/>
  <c r="CU17" i="6"/>
  <c r="BC16" i="3"/>
  <c r="BC17" i="6" s="1"/>
  <c r="DO16" i="3"/>
  <c r="DO17" i="6" s="1"/>
  <c r="BG16" i="3"/>
  <c r="BG17" i="6" s="1"/>
  <c r="DB16" i="3"/>
  <c r="DB17" i="6"/>
  <c r="CH16" i="3"/>
  <c r="CH17" i="6"/>
  <c r="BN16" i="3"/>
  <c r="BN17" i="6" s="1"/>
  <c r="AP16" i="3"/>
  <c r="AP17" i="6" s="1"/>
  <c r="V16" i="3"/>
  <c r="V17" i="6"/>
  <c r="F16" i="3"/>
  <c r="F17" i="6" s="1"/>
  <c r="CW16" i="3"/>
  <c r="CW17" i="6" s="1"/>
  <c r="CC16" i="3"/>
  <c r="CC17" i="6" s="1"/>
  <c r="BI16" i="3"/>
  <c r="BI17" i="6"/>
  <c r="AO16" i="3"/>
  <c r="AO17" i="6" s="1"/>
  <c r="Q16" i="3"/>
  <c r="Q17" i="6" s="1"/>
  <c r="DP16" i="3"/>
  <c r="DP17" i="6" s="1"/>
  <c r="CV16" i="3"/>
  <c r="CV17" i="6"/>
  <c r="BX16" i="3"/>
  <c r="BX17" i="6"/>
  <c r="BD16" i="3"/>
  <c r="BD17" i="6" s="1"/>
  <c r="AN16" i="3"/>
  <c r="AN17" i="6" s="1"/>
  <c r="X16" i="3"/>
  <c r="X17" i="6"/>
  <c r="H16" i="3"/>
  <c r="H17" i="6"/>
  <c r="AY16" i="3"/>
  <c r="AY17" i="6" s="1"/>
  <c r="DK16" i="3"/>
  <c r="DK17" i="6" s="1"/>
  <c r="G16" i="3"/>
  <c r="G17" i="6"/>
  <c r="BS16" i="3"/>
  <c r="BS17" i="6" s="1"/>
  <c r="K16" i="3"/>
  <c r="K17" i="6" s="1"/>
  <c r="BW16" i="3"/>
  <c r="BW17" i="6" s="1"/>
  <c r="BK16" i="3"/>
  <c r="BK17" i="6"/>
  <c r="CX16" i="3"/>
  <c r="CX17" i="6" s="1"/>
  <c r="BZ16" i="3"/>
  <c r="BZ17" i="6" s="1"/>
  <c r="BJ16" i="3"/>
  <c r="BJ17" i="6" s="1"/>
  <c r="AL16" i="3"/>
  <c r="AL17" i="6"/>
  <c r="R16" i="3"/>
  <c r="R17" i="6" s="1"/>
  <c r="DM16" i="3"/>
  <c r="DM17" i="6" s="1"/>
  <c r="CS16" i="3"/>
  <c r="CS17" i="6" s="1"/>
  <c r="BU16" i="3"/>
  <c r="BU17" i="6"/>
  <c r="BE16" i="3"/>
  <c r="BE17" i="6"/>
  <c r="AG16" i="3"/>
  <c r="AG17" i="6" s="1"/>
  <c r="M16" i="3"/>
  <c r="M17" i="6" s="1"/>
  <c r="DL16" i="3"/>
  <c r="DL17" i="6"/>
  <c r="CN16" i="3"/>
  <c r="CN17" i="6" s="1"/>
  <c r="BT16" i="3"/>
  <c r="BT17" i="6" s="1"/>
  <c r="AZ16" i="3"/>
  <c r="AZ17" i="6" s="1"/>
  <c r="AJ16" i="3"/>
  <c r="AJ17" i="6"/>
  <c r="T16" i="3"/>
  <c r="T17" i="6" s="1"/>
  <c r="D16" i="3"/>
  <c r="D17" i="6" s="1"/>
  <c r="BO16" i="3"/>
  <c r="BO17" i="6" s="1"/>
  <c r="W16" i="3"/>
  <c r="W17" i="6"/>
  <c r="CI16" i="3"/>
  <c r="CI17" i="6"/>
  <c r="AA16" i="3"/>
  <c r="AA17" i="6" s="1"/>
  <c r="CM16" i="3"/>
  <c r="CM17" i="6" s="1"/>
  <c r="O16" i="3"/>
  <c r="O17" i="6"/>
  <c r="CA16" i="3"/>
  <c r="CA17" i="6"/>
  <c r="DJ20" i="3"/>
  <c r="DJ21" i="6" s="1"/>
  <c r="AT20" i="3"/>
  <c r="AT21" i="6" s="1"/>
  <c r="AC20" i="3"/>
  <c r="AC21" i="6"/>
  <c r="CW111" i="3"/>
  <c r="CW112" i="6" s="1"/>
  <c r="DF111" i="3"/>
  <c r="DF112" i="6" s="1"/>
  <c r="BA111" i="3"/>
  <c r="BA112" i="6" s="1"/>
  <c r="T111" i="3"/>
  <c r="T112" i="6"/>
  <c r="BM10" i="2"/>
  <c r="BJ86" i="2"/>
  <c r="R18" i="2"/>
  <c r="D102" i="3"/>
  <c r="D103" i="6"/>
  <c r="DB102" i="3"/>
  <c r="DB103" i="6"/>
  <c r="CN7" i="3"/>
  <c r="CN8" i="6"/>
  <c r="CJ7" i="3"/>
  <c r="CJ8" i="6" s="1"/>
  <c r="DG7" i="3"/>
  <c r="DG8" i="6"/>
  <c r="BY7" i="3"/>
  <c r="BY8" i="6" s="1"/>
  <c r="BI7" i="3"/>
  <c r="BI8" i="6"/>
  <c r="BR7" i="3"/>
  <c r="BR8" i="6" s="1"/>
  <c r="DA7" i="3"/>
  <c r="DA8" i="6"/>
  <c r="DL7" i="3"/>
  <c r="DL8" i="6" s="1"/>
  <c r="CB7" i="3"/>
  <c r="CB8" i="6"/>
  <c r="AT7" i="3"/>
  <c r="AT8" i="6" s="1"/>
  <c r="BN7" i="3"/>
  <c r="BN8" i="6"/>
  <c r="BD7" i="3"/>
  <c r="BD8" i="6"/>
  <c r="S7" i="3"/>
  <c r="S8" i="6" s="1"/>
  <c r="I7" i="3"/>
  <c r="I8" i="6" s="1"/>
  <c r="AF7" i="3"/>
  <c r="AF8" i="6"/>
  <c r="H7" i="3"/>
  <c r="H8" i="6" s="1"/>
  <c r="CY7" i="3"/>
  <c r="CY8" i="6" s="1"/>
  <c r="AV7" i="3"/>
  <c r="AV8" i="6" s="1"/>
  <c r="AJ7" i="3"/>
  <c r="AJ8" i="6" s="1"/>
  <c r="CF7" i="3"/>
  <c r="CF8" i="6"/>
  <c r="DF7" i="3"/>
  <c r="DF8" i="6"/>
  <c r="AB7" i="3"/>
  <c r="AB8" i="6" s="1"/>
  <c r="BC7" i="3"/>
  <c r="BC8" i="6"/>
  <c r="AR7" i="3"/>
  <c r="AR8" i="6" s="1"/>
  <c r="V7" i="3"/>
  <c r="V8" i="6"/>
  <c r="L7" i="3"/>
  <c r="L8" i="6" s="1"/>
  <c r="CA7" i="3"/>
  <c r="CA8" i="6"/>
  <c r="BZ7" i="3"/>
  <c r="BZ8" i="6" s="1"/>
  <c r="DM7" i="3"/>
  <c r="DM8" i="6" s="1"/>
  <c r="DD7" i="3"/>
  <c r="DD8" i="6" s="1"/>
  <c r="BJ7" i="3"/>
  <c r="BJ8" i="6"/>
  <c r="BW7" i="3"/>
  <c r="BW8" i="6"/>
  <c r="J7" i="3"/>
  <c r="J8" i="6"/>
  <c r="BB7" i="3"/>
  <c r="BB8" i="6" s="1"/>
  <c r="CO7" i="3"/>
  <c r="CO8" i="6" s="1"/>
  <c r="CW7" i="3"/>
  <c r="CW8" i="6" s="1"/>
  <c r="CL7" i="3"/>
  <c r="CL8" i="6"/>
  <c r="DO7" i="3"/>
  <c r="DO8" i="6" s="1"/>
  <c r="O7" i="3"/>
  <c r="O8" i="6" s="1"/>
  <c r="CT7" i="3"/>
  <c r="CT8" i="6"/>
  <c r="Q7" i="3"/>
  <c r="Q8" i="6"/>
  <c r="AD7" i="3"/>
  <c r="AD8" i="6" s="1"/>
  <c r="N7" i="3"/>
  <c r="N8" i="6" s="1"/>
  <c r="CP7" i="3"/>
  <c r="CP8" i="6"/>
  <c r="AP7" i="3"/>
  <c r="AP8" i="6" s="1"/>
  <c r="BH7" i="3"/>
  <c r="BH8" i="6" s="1"/>
  <c r="AZ7" i="3"/>
  <c r="AZ8" i="6" s="1"/>
  <c r="BS7" i="3"/>
  <c r="BS8" i="6" s="1"/>
  <c r="E7" i="3"/>
  <c r="E8" i="6" s="1"/>
  <c r="AM7" i="3"/>
  <c r="AM8" i="6" s="1"/>
  <c r="AE7" i="3"/>
  <c r="AE8" i="6" s="1"/>
  <c r="F7" i="3"/>
  <c r="F8" i="6" s="1"/>
  <c r="DH7" i="3"/>
  <c r="DH8" i="6"/>
  <c r="AK7" i="3"/>
  <c r="AK8" i="6" s="1"/>
  <c r="CE7" i="3"/>
  <c r="CE8" i="6" s="1"/>
  <c r="G7" i="3"/>
  <c r="G8" i="6" s="1"/>
  <c r="DK7" i="3"/>
  <c r="DK8" i="6"/>
  <c r="BM7" i="3"/>
  <c r="BM8" i="6" s="1"/>
  <c r="DI7" i="3"/>
  <c r="DI8" i="6" s="1"/>
  <c r="U7" i="3"/>
  <c r="U8" i="6"/>
  <c r="T7" i="3"/>
  <c r="T8" i="6" s="1"/>
  <c r="DP7" i="3"/>
  <c r="DP8" i="6" s="1"/>
  <c r="AY7" i="3"/>
  <c r="AY8" i="6" s="1"/>
  <c r="BV7" i="3"/>
  <c r="BV8" i="6" s="1"/>
  <c r="AH7" i="3"/>
  <c r="AH8" i="6"/>
  <c r="CC7" i="3"/>
  <c r="CC8" i="6" s="1"/>
  <c r="R7" i="3"/>
  <c r="R8" i="6" s="1"/>
  <c r="CQ7" i="3"/>
  <c r="CQ8" i="6" s="1"/>
  <c r="BO7" i="3"/>
  <c r="BO8" i="6"/>
  <c r="BU7" i="3"/>
  <c r="BU8" i="6" s="1"/>
  <c r="D7" i="3"/>
  <c r="D8" i="6" s="1"/>
  <c r="BK7" i="3"/>
  <c r="BK8" i="6" s="1"/>
  <c r="BF7" i="3"/>
  <c r="BF8" i="6"/>
  <c r="CG7" i="3"/>
  <c r="CG8" i="6" s="1"/>
  <c r="BG7" i="3"/>
  <c r="BG8" i="6" s="1"/>
  <c r="AL7" i="3"/>
  <c r="AL8" i="6" s="1"/>
  <c r="AC7" i="3"/>
  <c r="AC8" i="6"/>
  <c r="CD7" i="3"/>
  <c r="CD8" i="6" s="1"/>
  <c r="AX7" i="3"/>
  <c r="AX8" i="6" s="1"/>
  <c r="CH7" i="3"/>
  <c r="CH8" i="6" s="1"/>
  <c r="AW7" i="3"/>
  <c r="AW8" i="6" s="1"/>
  <c r="AU7" i="3"/>
  <c r="AU8" i="6" s="1"/>
  <c r="CM7" i="3"/>
  <c r="CM8" i="6" s="1"/>
  <c r="AS7" i="3"/>
  <c r="AS8" i="6" s="1"/>
  <c r="BE7" i="3"/>
  <c r="BE8" i="6"/>
  <c r="AN7" i="3"/>
  <c r="AN8" i="6" s="1"/>
  <c r="AQ7" i="3"/>
  <c r="AQ8" i="6" s="1"/>
  <c r="BT7" i="3"/>
  <c r="BT8" i="6" s="1"/>
  <c r="M7" i="3"/>
  <c r="M8" i="6" s="1"/>
  <c r="CX7" i="3"/>
  <c r="CX8" i="6" s="1"/>
  <c r="DQ7" i="3"/>
  <c r="DQ8" i="6" s="1"/>
  <c r="BL7" i="3"/>
  <c r="BL8" i="6" s="1"/>
  <c r="DC7" i="3"/>
  <c r="DC8" i="6"/>
  <c r="DN7" i="3"/>
  <c r="DN8" i="6" s="1"/>
  <c r="CI7" i="3"/>
  <c r="CI8" i="6" s="1"/>
  <c r="DI59" i="3"/>
  <c r="DI60" i="6" s="1"/>
  <c r="CW59" i="3"/>
  <c r="CW60" i="6"/>
  <c r="AG59" i="3"/>
  <c r="AG60" i="6" s="1"/>
  <c r="CG59" i="3"/>
  <c r="CG60" i="6" s="1"/>
  <c r="CX63" i="3"/>
  <c r="CX64" i="6" s="1"/>
  <c r="CD63" i="3"/>
  <c r="CD64" i="6"/>
  <c r="DP63" i="3"/>
  <c r="DP64" i="6" s="1"/>
  <c r="C64" i="6"/>
  <c r="W63" i="3"/>
  <c r="W64" i="6"/>
  <c r="AP63" i="3"/>
  <c r="AP64" i="6"/>
  <c r="BF63" i="3"/>
  <c r="BF64" i="6"/>
  <c r="DG63" i="3"/>
  <c r="DG64" i="6" s="1"/>
  <c r="DB63" i="3"/>
  <c r="DB64" i="6"/>
  <c r="L63" i="3"/>
  <c r="L64" i="6"/>
  <c r="BY63" i="3"/>
  <c r="BY64" i="6" s="1"/>
  <c r="BX11" i="3"/>
  <c r="BX12" i="6" s="1"/>
  <c r="O59" i="3"/>
  <c r="O60" i="6"/>
  <c r="AI59" i="3"/>
  <c r="AI60" i="6"/>
  <c r="CU59" i="3"/>
  <c r="CU60" i="6" s="1"/>
  <c r="L59" i="3"/>
  <c r="L60" i="6" s="1"/>
  <c r="F59" i="3"/>
  <c r="F60" i="6"/>
  <c r="DF59" i="3"/>
  <c r="DF60" i="6"/>
  <c r="DD59" i="3"/>
  <c r="DD60" i="6"/>
  <c r="DB59" i="3"/>
  <c r="DB60" i="6" s="1"/>
  <c r="BQ59" i="3"/>
  <c r="BQ60" i="6"/>
  <c r="CY59" i="3"/>
  <c r="CY60" i="6"/>
  <c r="Y59" i="3"/>
  <c r="Y60" i="6"/>
  <c r="G63" i="3"/>
  <c r="G64" i="6" s="1"/>
  <c r="CE63" i="3"/>
  <c r="CE64" i="6"/>
  <c r="BB92" i="3"/>
  <c r="BB93" i="6"/>
  <c r="AX92" i="3"/>
  <c r="AX93" i="6"/>
  <c r="AR59" i="3"/>
  <c r="AR60" i="6" s="1"/>
  <c r="CO59" i="3"/>
  <c r="CO60" i="6"/>
  <c r="DF11" i="3"/>
  <c r="DF12" i="6"/>
  <c r="C8" i="6"/>
  <c r="W11" i="3"/>
  <c r="W12" i="6" s="1"/>
  <c r="CZ11" i="3"/>
  <c r="CZ12" i="6" s="1"/>
  <c r="DB7" i="3"/>
  <c r="DB8" i="6"/>
  <c r="BX7" i="3"/>
  <c r="BX8" i="6" s="1"/>
  <c r="CX11" i="3"/>
  <c r="CX12" i="6" s="1"/>
  <c r="CR11" i="3"/>
  <c r="CR12" i="6" s="1"/>
  <c r="Z7" i="3"/>
  <c r="Z8" i="6"/>
  <c r="BP7" i="3"/>
  <c r="BP8" i="6"/>
  <c r="CZ7" i="3"/>
  <c r="CZ8" i="6" s="1"/>
  <c r="CV7" i="3"/>
  <c r="CV8" i="6" s="1"/>
  <c r="BY11" i="3"/>
  <c r="BY12" i="6"/>
  <c r="AV11" i="3"/>
  <c r="AV12" i="6"/>
  <c r="BP11" i="3"/>
  <c r="BP12" i="6" s="1"/>
  <c r="AF11" i="3"/>
  <c r="AF12" i="6" s="1"/>
  <c r="CJ11" i="3"/>
  <c r="CJ12" i="6"/>
  <c r="DP11" i="3"/>
  <c r="DP12" i="6" s="1"/>
  <c r="DL11" i="3"/>
  <c r="DL12" i="6" s="1"/>
  <c r="DH11" i="3"/>
  <c r="DH12" i="6" s="1"/>
  <c r="Y11" i="3"/>
  <c r="Y12" i="6" s="1"/>
  <c r="BM11" i="3"/>
  <c r="BM12" i="6"/>
  <c r="BF11" i="3"/>
  <c r="BF12" i="6" s="1"/>
  <c r="J11" i="3"/>
  <c r="J12" i="6" s="1"/>
  <c r="DB11" i="3"/>
  <c r="DB12" i="6" s="1"/>
  <c r="Z11" i="3"/>
  <c r="Z12" i="6"/>
  <c r="M11" i="3"/>
  <c r="M12" i="6" s="1"/>
  <c r="CV11" i="3"/>
  <c r="CV12" i="6" s="1"/>
  <c r="DE11" i="3"/>
  <c r="DE12" i="6" s="1"/>
  <c r="AK11" i="3"/>
  <c r="AK12" i="6"/>
  <c r="BD11" i="3"/>
  <c r="BD12" i="6" s="1"/>
  <c r="C12" i="6"/>
  <c r="CK11" i="3"/>
  <c r="CK12" i="6"/>
  <c r="BE11" i="3"/>
  <c r="BE12" i="6"/>
  <c r="CM11" i="3"/>
  <c r="CM12" i="6"/>
  <c r="AA11" i="3"/>
  <c r="AA12" i="6" s="1"/>
  <c r="CH11" i="3"/>
  <c r="CH12" i="6"/>
  <c r="V11" i="3"/>
  <c r="V12" i="6"/>
  <c r="DM11" i="3"/>
  <c r="DM12" i="6" s="1"/>
  <c r="U11" i="3"/>
  <c r="U12" i="6" s="1"/>
  <c r="T11" i="3"/>
  <c r="T12" i="6" s="1"/>
  <c r="CY11" i="3"/>
  <c r="CY12" i="6"/>
  <c r="G11" i="3"/>
  <c r="G12" i="6"/>
  <c r="BN11" i="3"/>
  <c r="BN12" i="6" s="1"/>
  <c r="CU11" i="3"/>
  <c r="CU12" i="6"/>
  <c r="AI11" i="3"/>
  <c r="AI12" i="6"/>
  <c r="CP11" i="3"/>
  <c r="CP12" i="6"/>
  <c r="AT11" i="3"/>
  <c r="AT12" i="6" s="1"/>
  <c r="P11" i="3"/>
  <c r="P12" i="6"/>
  <c r="BV11" i="3"/>
  <c r="BV12" i="6"/>
  <c r="O11" i="3"/>
  <c r="O12" i="6"/>
  <c r="AU11" i="3"/>
  <c r="AU12" i="6" s="1"/>
  <c r="AP11" i="3"/>
  <c r="AP12" i="6"/>
  <c r="CG11" i="3"/>
  <c r="CG12" i="6"/>
  <c r="DI11" i="3"/>
  <c r="DI12" i="6"/>
  <c r="AG11" i="3"/>
  <c r="AG12" i="6" s="1"/>
  <c r="CS11" i="3"/>
  <c r="CS12" i="6"/>
  <c r="AJ11" i="3"/>
  <c r="AJ12" i="6"/>
  <c r="BH11" i="3"/>
  <c r="BH12" i="6" s="1"/>
  <c r="BG11" i="3"/>
  <c r="BG12" i="6" s="1"/>
  <c r="DN11" i="3"/>
  <c r="DN12" i="6" s="1"/>
  <c r="BB11" i="3"/>
  <c r="BB12" i="6"/>
  <c r="L11" i="3"/>
  <c r="L12" i="6" s="1"/>
  <c r="BK11" i="3"/>
  <c r="BK12" i="6" s="1"/>
  <c r="CQ11" i="3"/>
  <c r="CQ12" i="6" s="1"/>
  <c r="I11" i="3"/>
  <c r="I12" i="6"/>
  <c r="CW11" i="3"/>
  <c r="CW12" i="6"/>
  <c r="AR11" i="3"/>
  <c r="AR12" i="6" s="1"/>
  <c r="AS11" i="3"/>
  <c r="AS12" i="6" s="1"/>
  <c r="K11" i="3"/>
  <c r="K12" i="6"/>
  <c r="F11" i="3"/>
  <c r="F12" i="6"/>
  <c r="E11" i="3"/>
  <c r="E12" i="6" s="1"/>
  <c r="DO11" i="3"/>
  <c r="DO12" i="6" s="1"/>
  <c r="AM11" i="3"/>
  <c r="AM12" i="6"/>
  <c r="CT11" i="3"/>
  <c r="CT12" i="6" s="1"/>
  <c r="R11" i="3"/>
  <c r="R12" i="6" s="1"/>
  <c r="DK11" i="3"/>
  <c r="DK12" i="6" s="1"/>
  <c r="AY11" i="3"/>
  <c r="AY12" i="6"/>
  <c r="N11" i="3"/>
  <c r="N12" i="6" s="1"/>
  <c r="AO11" i="3"/>
  <c r="AO12" i="6" s="1"/>
  <c r="CL11" i="3"/>
  <c r="CL12" i="6" s="1"/>
  <c r="DG11" i="3"/>
  <c r="DG12" i="6"/>
  <c r="AN11" i="3"/>
  <c r="AN12" i="6" s="1"/>
  <c r="AN3" i="6" s="1"/>
  <c r="BA11" i="3"/>
  <c r="BA12" i="6" s="1"/>
  <c r="BL11" i="3"/>
  <c r="BL12" i="6" s="1"/>
  <c r="AW11" i="3"/>
  <c r="AW12" i="6"/>
  <c r="CA11" i="3"/>
  <c r="CA12" i="6"/>
  <c r="X11" i="3"/>
  <c r="X12" i="6" s="1"/>
  <c r="DQ11" i="3"/>
  <c r="DQ12" i="6" s="1"/>
  <c r="AC11" i="3"/>
  <c r="AC12" i="6"/>
  <c r="BW11" i="3"/>
  <c r="BW12" i="6" s="1"/>
  <c r="BR11" i="3"/>
  <c r="BR12" i="6" s="1"/>
  <c r="BT11" i="3"/>
  <c r="BT12" i="6" s="1"/>
  <c r="CO11" i="3"/>
  <c r="CO12" i="6"/>
  <c r="DA11" i="3"/>
  <c r="DA12" i="6" s="1"/>
  <c r="BS11" i="3"/>
  <c r="BS12" i="6" s="1"/>
  <c r="AX11" i="3"/>
  <c r="AX12" i="6" s="1"/>
  <c r="CE11" i="3"/>
  <c r="CE12" i="6"/>
  <c r="BJ11" i="3"/>
  <c r="BJ12" i="6"/>
  <c r="V21" i="3"/>
  <c r="V22" i="6" s="1"/>
  <c r="AN21" i="3"/>
  <c r="AN22" i="6" s="1"/>
  <c r="D21" i="3"/>
  <c r="D22" i="6"/>
  <c r="AB54" i="3"/>
  <c r="AB55" i="6"/>
  <c r="BP54" i="3"/>
  <c r="BP55" i="6" s="1"/>
  <c r="BQ54" i="3"/>
  <c r="BQ55" i="6" s="1"/>
  <c r="AQ54" i="3"/>
  <c r="AQ55" i="6"/>
  <c r="DD54" i="3"/>
  <c r="DD55" i="6" s="1"/>
  <c r="T54" i="3"/>
  <c r="T55" i="6" s="1"/>
  <c r="X54" i="3"/>
  <c r="X55" i="6" s="1"/>
  <c r="AN92" i="3"/>
  <c r="AN93" i="6"/>
  <c r="DA92" i="3"/>
  <c r="DA93" i="6" s="1"/>
  <c r="AB92" i="3"/>
  <c r="AB93" i="6" s="1"/>
  <c r="DL92" i="3"/>
  <c r="DL93" i="6" s="1"/>
  <c r="CM92" i="3"/>
  <c r="CM93" i="6"/>
  <c r="U92" i="3"/>
  <c r="U93" i="6"/>
  <c r="M92" i="3"/>
  <c r="M93" i="6" s="1"/>
  <c r="AD92" i="3"/>
  <c r="AD93" i="6" s="1"/>
  <c r="I92" i="3"/>
  <c r="I93" i="6"/>
  <c r="AJ92" i="3"/>
  <c r="AJ93" i="6"/>
  <c r="AU92" i="3"/>
  <c r="AU93" i="6" s="1"/>
  <c r="P92" i="3"/>
  <c r="P93" i="6" s="1"/>
  <c r="AP120" i="3"/>
  <c r="AP121" i="6"/>
  <c r="BQ120" i="3"/>
  <c r="BQ121" i="6" s="1"/>
  <c r="CB120" i="3"/>
  <c r="CB121" i="6" s="1"/>
  <c r="BF120" i="3"/>
  <c r="BF121" i="6"/>
  <c r="AD120" i="3"/>
  <c r="AD121" i="6"/>
  <c r="CN120" i="3"/>
  <c r="CN121" i="6"/>
  <c r="DI120" i="3"/>
  <c r="DI121" i="6" s="1"/>
  <c r="E120" i="3"/>
  <c r="E121" i="6" s="1"/>
  <c r="CS120" i="3"/>
  <c r="CS121" i="6"/>
  <c r="AH120" i="3"/>
  <c r="AH121" i="6"/>
  <c r="CF120" i="3"/>
  <c r="CF121" i="6" s="1"/>
  <c r="CV120" i="3"/>
  <c r="CV121" i="6" s="1"/>
  <c r="AZ120" i="3"/>
  <c r="AZ121" i="6"/>
  <c r="AU120" i="3"/>
  <c r="AU121" i="6"/>
  <c r="DH120" i="3"/>
  <c r="DH121" i="6" s="1"/>
  <c r="J120" i="3"/>
  <c r="J121" i="6" s="1"/>
  <c r="AE120" i="3"/>
  <c r="AE121" i="6"/>
  <c r="BJ120" i="3"/>
  <c r="BJ121" i="6"/>
  <c r="DB120" i="3"/>
  <c r="DB121" i="6" s="1"/>
  <c r="DF120" i="3"/>
  <c r="DF121" i="6" s="1"/>
  <c r="BG120" i="3"/>
  <c r="BG121" i="6"/>
  <c r="F120" i="3"/>
  <c r="F121" i="6"/>
  <c r="AJ120" i="3"/>
  <c r="AJ121" i="6" s="1"/>
  <c r="AK120" i="3"/>
  <c r="AK121" i="6" s="1"/>
  <c r="AS120" i="3"/>
  <c r="AS121" i="6"/>
  <c r="Y120" i="3"/>
  <c r="Y121" i="6"/>
  <c r="AJ59" i="3"/>
  <c r="AJ60" i="6" s="1"/>
  <c r="AC59" i="3"/>
  <c r="AC60" i="6" s="1"/>
  <c r="CC59" i="3"/>
  <c r="CC60" i="6"/>
  <c r="BW59" i="3"/>
  <c r="BW60" i="6"/>
  <c r="BG59" i="3"/>
  <c r="BG60" i="6" s="1"/>
  <c r="V59" i="3"/>
  <c r="V60" i="6"/>
  <c r="DN63" i="3"/>
  <c r="DN64" i="6"/>
  <c r="BQ11" i="3"/>
  <c r="BQ12" i="6"/>
  <c r="AZ11" i="3"/>
  <c r="AZ12" i="6" s="1"/>
  <c r="AM59" i="3"/>
  <c r="AM60" i="6" s="1"/>
  <c r="E63" i="3"/>
  <c r="E64" i="6"/>
  <c r="CJ59" i="3"/>
  <c r="CJ60" i="6" s="1"/>
  <c r="BH59" i="3"/>
  <c r="BH60" i="6" s="1"/>
  <c r="AP59" i="3"/>
  <c r="AP60" i="6" s="1"/>
  <c r="AW59" i="3"/>
  <c r="AW60" i="6"/>
  <c r="BI59" i="3"/>
  <c r="BI60" i="6" s="1"/>
  <c r="BF59" i="3"/>
  <c r="BF60" i="6" s="1"/>
  <c r="U59" i="3"/>
  <c r="U60" i="6" s="1"/>
  <c r="BP59" i="3"/>
  <c r="BP60" i="6"/>
  <c r="BL59" i="3"/>
  <c r="BL60" i="6"/>
  <c r="AV59" i="3"/>
  <c r="AV60" i="6" s="1"/>
  <c r="CP59" i="3"/>
  <c r="CP60" i="6" s="1"/>
  <c r="J59" i="3"/>
  <c r="J60" i="6"/>
  <c r="Q59" i="3"/>
  <c r="C60" i="6"/>
  <c r="BD59" i="3"/>
  <c r="BD60" i="6" s="1"/>
  <c r="DJ59" i="3"/>
  <c r="DJ60" i="6" s="1"/>
  <c r="CL59" i="3"/>
  <c r="CL60" i="6"/>
  <c r="AY59" i="3"/>
  <c r="AY60" i="6" s="1"/>
  <c r="BA59" i="3"/>
  <c r="BA60" i="6" s="1"/>
  <c r="DA59" i="3"/>
  <c r="DA60" i="6" s="1"/>
  <c r="AT59" i="3"/>
  <c r="AT60" i="6"/>
  <c r="AK59" i="3"/>
  <c r="AK60" i="6" s="1"/>
  <c r="BR59" i="3"/>
  <c r="BR60" i="6" s="1"/>
  <c r="T59" i="3"/>
  <c r="T60" i="6" s="1"/>
  <c r="S63" i="3"/>
  <c r="S64" i="6"/>
  <c r="E59" i="3"/>
  <c r="E60" i="6"/>
  <c r="CR59" i="3"/>
  <c r="CR60" i="6" s="1"/>
  <c r="CP63" i="3"/>
  <c r="CP64" i="6" s="1"/>
  <c r="CB63" i="3"/>
  <c r="CB64" i="6"/>
  <c r="CK63" i="3"/>
  <c r="CK64" i="6"/>
  <c r="BG92" i="3"/>
  <c r="BG93" i="6" s="1"/>
  <c r="N92" i="3"/>
  <c r="N93" i="6" s="1"/>
  <c r="CF92" i="3"/>
  <c r="CF93" i="6"/>
  <c r="AV63" i="3"/>
  <c r="AV64" i="6" s="1"/>
  <c r="DP59" i="3"/>
  <c r="DP60" i="6" s="1"/>
  <c r="S11" i="3"/>
  <c r="S12" i="6" s="1"/>
  <c r="AH11" i="3"/>
  <c r="AH12" i="6"/>
  <c r="BC11" i="3"/>
  <c r="BC12" i="6" s="1"/>
  <c r="AG7" i="3"/>
  <c r="AG8" i="6" s="1"/>
  <c r="W7" i="3"/>
  <c r="W8" i="6" s="1"/>
  <c r="X7" i="3"/>
  <c r="X8" i="6"/>
  <c r="BA7" i="3"/>
  <c r="BA8" i="6" s="1"/>
  <c r="AQ11" i="3"/>
  <c r="AQ12" i="6" s="1"/>
  <c r="AO7" i="3"/>
  <c r="AO8" i="6" s="1"/>
  <c r="K7" i="3"/>
  <c r="CR7" i="3"/>
  <c r="CR8" i="6"/>
  <c r="BI11" i="3"/>
  <c r="BI12" i="6"/>
  <c r="AE11" i="3"/>
  <c r="AE12" i="6" s="1"/>
  <c r="T120" i="3"/>
  <c r="T121" i="6" s="1"/>
  <c r="CC11" i="3"/>
  <c r="CC12" i="6"/>
  <c r="AH59" i="3"/>
  <c r="AH60" i="6"/>
  <c r="CB59" i="3"/>
  <c r="CB60" i="6" s="1"/>
  <c r="CH59" i="3"/>
  <c r="CH60" i="6" s="1"/>
  <c r="M59" i="3"/>
  <c r="M60" i="6"/>
  <c r="CZ59" i="3"/>
  <c r="CZ60" i="6"/>
  <c r="AO59" i="3"/>
  <c r="AO60" i="6" s="1"/>
  <c r="DK59" i="3"/>
  <c r="DK60" i="6" s="1"/>
  <c r="CK59" i="3"/>
  <c r="CK60" i="6"/>
  <c r="BU59" i="3"/>
  <c r="BU60" i="6"/>
  <c r="AY63" i="3"/>
  <c r="AY64" i="6" s="1"/>
  <c r="BX59" i="3"/>
  <c r="BX60" i="6" s="1"/>
  <c r="AE59" i="3"/>
  <c r="AE60" i="6"/>
  <c r="CR63" i="3"/>
  <c r="CR64" i="6"/>
  <c r="DD11" i="3"/>
  <c r="DD12" i="6" s="1"/>
  <c r="BK59" i="3"/>
  <c r="BK60" i="6" s="1"/>
  <c r="CF59" i="3"/>
  <c r="CF60" i="6"/>
  <c r="S59" i="3"/>
  <c r="S60" i="6"/>
  <c r="DN59" i="3"/>
  <c r="DN60" i="6" s="1"/>
  <c r="AN59" i="3"/>
  <c r="AN60" i="6" s="1"/>
  <c r="P59" i="3"/>
  <c r="P60" i="6"/>
  <c r="CX59" i="3"/>
  <c r="CX60" i="6"/>
  <c r="DL59" i="3"/>
  <c r="DL60" i="6" s="1"/>
  <c r="H59" i="3"/>
  <c r="H60" i="6" s="1"/>
  <c r="D59" i="3"/>
  <c r="D60" i="6"/>
  <c r="CA59" i="3"/>
  <c r="CA60" i="6"/>
  <c r="BO59" i="3"/>
  <c r="BO60" i="6" s="1"/>
  <c r="CT59" i="3"/>
  <c r="CT60" i="6" s="1"/>
  <c r="AD59" i="3"/>
  <c r="AD60" i="6"/>
  <c r="DG59" i="3"/>
  <c r="DG60" i="6"/>
  <c r="AZ59" i="3"/>
  <c r="AZ60" i="6"/>
  <c r="CN59" i="3"/>
  <c r="CN60" i="6" s="1"/>
  <c r="CD59" i="3"/>
  <c r="CD60" i="6" s="1"/>
  <c r="BN59" i="3"/>
  <c r="BN60" i="6"/>
  <c r="BB59" i="3"/>
  <c r="BB60" i="6"/>
  <c r="CI59" i="3"/>
  <c r="CI60" i="6" s="1"/>
  <c r="CS59" i="3"/>
  <c r="CS60" i="6"/>
  <c r="BC59" i="3"/>
  <c r="BC60" i="6"/>
  <c r="BE59" i="3"/>
  <c r="BE60" i="6"/>
  <c r="X59" i="3"/>
  <c r="X60" i="6" s="1"/>
  <c r="R63" i="3"/>
  <c r="R64" i="6" s="1"/>
  <c r="BV59" i="3"/>
  <c r="BV60" i="6" s="1"/>
  <c r="K63" i="3"/>
  <c r="K64" i="6"/>
  <c r="DO59" i="3"/>
  <c r="DO60" i="6" s="1"/>
  <c r="J63" i="3"/>
  <c r="J64" i="6" s="1"/>
  <c r="AU63" i="3"/>
  <c r="AU64" i="6"/>
  <c r="D63" i="3"/>
  <c r="D64" i="6"/>
  <c r="AG92" i="3"/>
  <c r="AG93" i="6" s="1"/>
  <c r="CQ92" i="3"/>
  <c r="CQ93" i="6"/>
  <c r="BT59" i="3"/>
  <c r="BT60" i="6" s="1"/>
  <c r="DM59" i="3"/>
  <c r="DM60" i="6"/>
  <c r="AD11" i="3"/>
  <c r="AD12" i="6" s="1"/>
  <c r="BO11" i="3"/>
  <c r="BO12" i="6"/>
  <c r="CD11" i="3"/>
  <c r="CD12" i="6"/>
  <c r="CI11" i="3"/>
  <c r="CI12" i="6"/>
  <c r="AB11" i="3"/>
  <c r="AB12" i="6" s="1"/>
  <c r="CK7" i="3"/>
  <c r="CK8" i="6"/>
  <c r="DC11" i="3"/>
  <c r="DC12" i="6"/>
  <c r="DJ7" i="3"/>
  <c r="DJ8" i="6"/>
  <c r="Q11" i="3"/>
  <c r="Q12" i="6" s="1"/>
  <c r="CS7" i="3"/>
  <c r="CS8" i="6"/>
  <c r="AI120" i="3"/>
  <c r="AI121" i="6"/>
  <c r="C45" i="6"/>
  <c r="K44" i="3"/>
  <c r="K45" i="6" s="1"/>
  <c r="AA44" i="3"/>
  <c r="AA45" i="6"/>
  <c r="AM44" i="3"/>
  <c r="AM45" i="6"/>
  <c r="BC44" i="3"/>
  <c r="BC45" i="6" s="1"/>
  <c r="BO44" i="3"/>
  <c r="BO45" i="6" s="1"/>
  <c r="CE44" i="3"/>
  <c r="CE45" i="6"/>
  <c r="CQ44" i="3"/>
  <c r="CQ45" i="6"/>
  <c r="DC44" i="3"/>
  <c r="DC45" i="6"/>
  <c r="L44" i="3"/>
  <c r="L45" i="6" s="1"/>
  <c r="AF44" i="3"/>
  <c r="AF45" i="6"/>
  <c r="AR44" i="3"/>
  <c r="AR45" i="6" s="1"/>
  <c r="BL44" i="3"/>
  <c r="BL45" i="6" s="1"/>
  <c r="BX44" i="3"/>
  <c r="BX45" i="6"/>
  <c r="CR44" i="3"/>
  <c r="CR45" i="6"/>
  <c r="DD44" i="3"/>
  <c r="DD45" i="6" s="1"/>
  <c r="M44" i="3"/>
  <c r="M45" i="6" s="1"/>
  <c r="AC44" i="3"/>
  <c r="AC45" i="6"/>
  <c r="AS44" i="3"/>
  <c r="AS45" i="6" s="1"/>
  <c r="BI44" i="3"/>
  <c r="BI45" i="6" s="1"/>
  <c r="BY44" i="3"/>
  <c r="BY45" i="6" s="1"/>
  <c r="CK44" i="3"/>
  <c r="CK45" i="6"/>
  <c r="DA44" i="3"/>
  <c r="DA45" i="6" s="1"/>
  <c r="DQ44" i="3"/>
  <c r="DQ45" i="6" s="1"/>
  <c r="V44" i="3"/>
  <c r="V45" i="6" s="1"/>
  <c r="AH44" i="3"/>
  <c r="AH45" i="6"/>
  <c r="AT44" i="3"/>
  <c r="AT45" i="6" s="1"/>
  <c r="BF44" i="3"/>
  <c r="BF45" i="6" s="1"/>
  <c r="CD44" i="3"/>
  <c r="CD45" i="6" s="1"/>
  <c r="CT44" i="3"/>
  <c r="CT45" i="6"/>
  <c r="DJ44" i="3"/>
  <c r="DJ45" i="6"/>
  <c r="O44" i="3"/>
  <c r="O45" i="6" s="1"/>
  <c r="AQ44" i="3"/>
  <c r="AQ45" i="6" s="1"/>
  <c r="BG44" i="3"/>
  <c r="BG45" i="6"/>
  <c r="BS44" i="3"/>
  <c r="BS45" i="6" s="1"/>
  <c r="CI44" i="3"/>
  <c r="CI45" i="6" s="1"/>
  <c r="CU44" i="3"/>
  <c r="CU45" i="6" s="1"/>
  <c r="DG44" i="3"/>
  <c r="DG45" i="6"/>
  <c r="D44" i="3"/>
  <c r="D45" i="6" s="1"/>
  <c r="X44" i="3"/>
  <c r="X45" i="6" s="1"/>
  <c r="AJ44" i="3"/>
  <c r="AJ45" i="6" s="1"/>
  <c r="BD44" i="3"/>
  <c r="BD45" i="6"/>
  <c r="BP44" i="3"/>
  <c r="BP45" i="6" s="1"/>
  <c r="CJ44" i="3"/>
  <c r="CJ45" i="6" s="1"/>
  <c r="CV44" i="3"/>
  <c r="CV45" i="6" s="1"/>
  <c r="DP44" i="3"/>
  <c r="DP45" i="6"/>
  <c r="E44" i="3"/>
  <c r="E45" i="6"/>
  <c r="Q44" i="3"/>
  <c r="Q45" i="6" s="1"/>
  <c r="AG44" i="3"/>
  <c r="AG45" i="6" s="1"/>
  <c r="AW44" i="3"/>
  <c r="AW45" i="6"/>
  <c r="BM44" i="3"/>
  <c r="BM45" i="6" s="1"/>
  <c r="CC44" i="3"/>
  <c r="CC45" i="6" s="1"/>
  <c r="CO44" i="3"/>
  <c r="CO45" i="6" s="1"/>
  <c r="DE44" i="3"/>
  <c r="DE45" i="6"/>
  <c r="N44" i="3"/>
  <c r="N45" i="6" s="1"/>
  <c r="Z44" i="3"/>
  <c r="Z45" i="6" s="1"/>
  <c r="AL44" i="3"/>
  <c r="AL45" i="6" s="1"/>
  <c r="AX44" i="3"/>
  <c r="AX45" i="6"/>
  <c r="BR44" i="3"/>
  <c r="BR45" i="6" s="1"/>
  <c r="CH44" i="3"/>
  <c r="CH45" i="6" s="1"/>
  <c r="CX44" i="3"/>
  <c r="CX45" i="6" s="1"/>
  <c r="DN44" i="3"/>
  <c r="DN45" i="6"/>
  <c r="S44" i="3"/>
  <c r="S45" i="6"/>
  <c r="AE44" i="3"/>
  <c r="AE45" i="6" s="1"/>
  <c r="AU44" i="3"/>
  <c r="AU45" i="6" s="1"/>
  <c r="BW44" i="3"/>
  <c r="BW45" i="6"/>
  <c r="CM44" i="3"/>
  <c r="CM45" i="6" s="1"/>
  <c r="DK44" i="3"/>
  <c r="DK45" i="6" s="1"/>
  <c r="P44" i="3"/>
  <c r="P45" i="6" s="1"/>
  <c r="AB44" i="3"/>
  <c r="AB45" i="6"/>
  <c r="AV44" i="3"/>
  <c r="AV45" i="6" s="1"/>
  <c r="BH44" i="3"/>
  <c r="BH45" i="6" s="1"/>
  <c r="CB44" i="3"/>
  <c r="CB45" i="6" s="1"/>
  <c r="CN44" i="3"/>
  <c r="CN45" i="6"/>
  <c r="DH44" i="3"/>
  <c r="DH45" i="6" s="1"/>
  <c r="I44" i="3"/>
  <c r="I45" i="6" s="1"/>
  <c r="U44" i="3"/>
  <c r="U45" i="6" s="1"/>
  <c r="AK44" i="3"/>
  <c r="AK45" i="6"/>
  <c r="BA44" i="3"/>
  <c r="BA45" i="6"/>
  <c r="BQ44" i="3"/>
  <c r="BQ45" i="6" s="1"/>
  <c r="CS44" i="3"/>
  <c r="CS45" i="6" s="1"/>
  <c r="DI44" i="3"/>
  <c r="DI45" i="6"/>
  <c r="F44" i="3"/>
  <c r="F45" i="6" s="1"/>
  <c r="R44" i="3"/>
  <c r="R45" i="6" s="1"/>
  <c r="AP44" i="3"/>
  <c r="AP45" i="6" s="1"/>
  <c r="BJ44" i="3"/>
  <c r="BJ45" i="6"/>
  <c r="BV44" i="3"/>
  <c r="BV45" i="6" s="1"/>
  <c r="CL44" i="3"/>
  <c r="CL45" i="6" s="1"/>
  <c r="DB44" i="3"/>
  <c r="DB45" i="6" s="1"/>
  <c r="W44" i="3"/>
  <c r="W45" i="6"/>
  <c r="CA44" i="3"/>
  <c r="CA45" i="6" s="1"/>
  <c r="H44" i="3"/>
  <c r="H45" i="6" s="1"/>
  <c r="AZ44" i="3"/>
  <c r="AZ45" i="6" s="1"/>
  <c r="BU44" i="3"/>
  <c r="BU45" i="6"/>
  <c r="J44" i="3"/>
  <c r="J45" i="6"/>
  <c r="BB44" i="3"/>
  <c r="BB45" i="6" s="1"/>
  <c r="DF44" i="3"/>
  <c r="DF45" i="6" s="1"/>
  <c r="AI44" i="3"/>
  <c r="AI45" i="6"/>
  <c r="T44" i="3"/>
  <c r="T45" i="6" s="1"/>
  <c r="CZ44" i="3"/>
  <c r="CZ45" i="6" s="1"/>
  <c r="Y44" i="3"/>
  <c r="Y45" i="6" s="1"/>
  <c r="CG44" i="3"/>
  <c r="CG45" i="6"/>
  <c r="BN44" i="3"/>
  <c r="BN45" i="6" s="1"/>
  <c r="BZ45" i="3"/>
  <c r="BZ46" i="6" s="1"/>
  <c r="CK45" i="3"/>
  <c r="CK46" i="6" s="1"/>
  <c r="CA45" i="3"/>
  <c r="CA46" i="6"/>
  <c r="BH45" i="3"/>
  <c r="BH46" i="6" s="1"/>
  <c r="BP115" i="3"/>
  <c r="BP116" i="6" s="1"/>
  <c r="CP115" i="3"/>
  <c r="CP116" i="6" s="1"/>
  <c r="K115" i="3"/>
  <c r="K116" i="6"/>
  <c r="AA115" i="3"/>
  <c r="AA116" i="6"/>
  <c r="BC115" i="3"/>
  <c r="BC116" i="6" s="1"/>
  <c r="BS115" i="3"/>
  <c r="BS116" i="6" s="1"/>
  <c r="CE115" i="3"/>
  <c r="CE116" i="6"/>
  <c r="CU115" i="3"/>
  <c r="CU116" i="6" s="1"/>
  <c r="DK115" i="3"/>
  <c r="DK116" i="6" s="1"/>
  <c r="O115" i="3"/>
  <c r="O116" i="6" s="1"/>
  <c r="AE115" i="3"/>
  <c r="AE116" i="6"/>
  <c r="AQ115" i="3"/>
  <c r="AQ116" i="6" s="1"/>
  <c r="BG115" i="3"/>
  <c r="BG116" i="6" s="1"/>
  <c r="CI115" i="3"/>
  <c r="CI116" i="6" s="1"/>
  <c r="CY115" i="3"/>
  <c r="CY116" i="6"/>
  <c r="DO115" i="3"/>
  <c r="DO116" i="6" s="1"/>
  <c r="CM115" i="3"/>
  <c r="CM116" i="6" s="1"/>
  <c r="BK115" i="3"/>
  <c r="BK116" i="6" s="1"/>
  <c r="AI115" i="3"/>
  <c r="AI116" i="6"/>
  <c r="AD44" i="3"/>
  <c r="AD45" i="6"/>
  <c r="AO44" i="3"/>
  <c r="AO45" i="6" s="1"/>
  <c r="BT44" i="3"/>
  <c r="BT45" i="6" s="1"/>
  <c r="CY44" i="3"/>
  <c r="CY45" i="6"/>
  <c r="CL45" i="3"/>
  <c r="CL46" i="6" s="1"/>
  <c r="DG115" i="3"/>
  <c r="DG116" i="6" s="1"/>
  <c r="CA115" i="3"/>
  <c r="CA116" i="6" s="1"/>
  <c r="AY115" i="3"/>
  <c r="AY116" i="6"/>
  <c r="W115" i="3"/>
  <c r="W116" i="6" s="1"/>
  <c r="CP44" i="3"/>
  <c r="CP45" i="6" s="1"/>
  <c r="DM44" i="3"/>
  <c r="DM45" i="6" s="1"/>
  <c r="AN44" i="3"/>
  <c r="AN45" i="6"/>
  <c r="BK44" i="3"/>
  <c r="BK45" i="6" s="1"/>
  <c r="AB41" i="3"/>
  <c r="AB42" i="6" s="1"/>
  <c r="AT68" i="3"/>
  <c r="AT69" i="6" s="1"/>
  <c r="BO68" i="3"/>
  <c r="BO69" i="6"/>
  <c r="BN68" i="3"/>
  <c r="BN69" i="6"/>
  <c r="CZ73" i="3"/>
  <c r="CZ74" i="6" s="1"/>
  <c r="G78" i="3"/>
  <c r="G79" i="6" s="1"/>
  <c r="CU78" i="3"/>
  <c r="CU79" i="6"/>
  <c r="D78" i="3"/>
  <c r="D79" i="6" s="1"/>
  <c r="CV78" i="3"/>
  <c r="CV79" i="6" s="1"/>
  <c r="Q78" i="3"/>
  <c r="Q79" i="6" s="1"/>
  <c r="AI78" i="3"/>
  <c r="AI79" i="6"/>
  <c r="CY78" i="3"/>
  <c r="CY79" i="6" s="1"/>
  <c r="AJ78" i="3"/>
  <c r="AJ79" i="6" s="1"/>
  <c r="AM78" i="3"/>
  <c r="AM79" i="6" s="1"/>
  <c r="BD78" i="3"/>
  <c r="BD79" i="6"/>
  <c r="BE78" i="3"/>
  <c r="BE79" i="6" s="1"/>
  <c r="BI2" i="1"/>
  <c r="BH2" i="3" s="1"/>
  <c r="BH2" i="6" s="1"/>
  <c r="CF11" i="3"/>
  <c r="CF12" i="6"/>
  <c r="CN11" i="3"/>
  <c r="CN12" i="6"/>
  <c r="AR120" i="3"/>
  <c r="AR121" i="6" s="1"/>
  <c r="G120" i="3"/>
  <c r="G121" i="6"/>
  <c r="DD120" i="3"/>
  <c r="DD121" i="6"/>
  <c r="AM120" i="3"/>
  <c r="AM121" i="6"/>
  <c r="D120" i="3"/>
  <c r="D121" i="6" s="1"/>
  <c r="O120" i="3"/>
  <c r="O121" i="6"/>
  <c r="CO120" i="3"/>
  <c r="CO121" i="6"/>
  <c r="CH120" i="3"/>
  <c r="CH121" i="6"/>
  <c r="BN120" i="3"/>
  <c r="BN121" i="6" s="1"/>
  <c r="CI120" i="3"/>
  <c r="CI121" i="6"/>
  <c r="CL120" i="3"/>
  <c r="CL121" i="6"/>
  <c r="BE120" i="3"/>
  <c r="BE121" i="6"/>
  <c r="U120" i="3"/>
  <c r="U121" i="6" s="1"/>
  <c r="AA120" i="3"/>
  <c r="AA121" i="6"/>
  <c r="CG120" i="3"/>
  <c r="CG121" i="6"/>
  <c r="DG120" i="3"/>
  <c r="DG121" i="6"/>
  <c r="K120" i="3"/>
  <c r="K121" i="6" s="1"/>
  <c r="AG120" i="3"/>
  <c r="AG121" i="6"/>
  <c r="BM120" i="3"/>
  <c r="BM121" i="6"/>
  <c r="CR120" i="3"/>
  <c r="CR121" i="6"/>
  <c r="P120" i="3"/>
  <c r="P121" i="6" s="1"/>
  <c r="BY120" i="3"/>
  <c r="BY121" i="6"/>
  <c r="BA120" i="3"/>
  <c r="BA121" i="6"/>
  <c r="V120" i="3"/>
  <c r="V121" i="6"/>
  <c r="BH120" i="3"/>
  <c r="BH121" i="6" s="1"/>
  <c r="BI120" i="3"/>
  <c r="BI121" i="6"/>
  <c r="AT120" i="3"/>
  <c r="AT121" i="6"/>
  <c r="DC120" i="3"/>
  <c r="DC121" i="6"/>
  <c r="BX120" i="3"/>
  <c r="BX121" i="6" s="1"/>
  <c r="DE120" i="3"/>
  <c r="DE121" i="6"/>
  <c r="W120" i="3"/>
  <c r="W121" i="6"/>
  <c r="AQ120" i="3"/>
  <c r="AQ121" i="6"/>
  <c r="H120" i="3"/>
  <c r="H121" i="6" s="1"/>
  <c r="R120" i="3"/>
  <c r="R121" i="6"/>
  <c r="CX120" i="3"/>
  <c r="CX121" i="6"/>
  <c r="AY120" i="3"/>
  <c r="AY121" i="6"/>
  <c r="X120" i="3"/>
  <c r="X121" i="6" s="1"/>
  <c r="DM120" i="3"/>
  <c r="DM121" i="6"/>
  <c r="AL120" i="3"/>
  <c r="AL121" i="6"/>
  <c r="CJ120" i="3"/>
  <c r="CJ121" i="6"/>
  <c r="BV120" i="3"/>
  <c r="BV121" i="6" s="1"/>
  <c r="BP120" i="3"/>
  <c r="BP121" i="6"/>
  <c r="AO120" i="3"/>
  <c r="AO121" i="6"/>
  <c r="CM120" i="3"/>
  <c r="CM121" i="6"/>
  <c r="N120" i="3"/>
  <c r="N121" i="6" s="1"/>
  <c r="DK120" i="3"/>
  <c r="DK121" i="6"/>
  <c r="BR120" i="3"/>
  <c r="BR121" i="6"/>
  <c r="DQ120" i="3"/>
  <c r="DQ121" i="6"/>
  <c r="DN120" i="3"/>
  <c r="DN121" i="6" s="1"/>
  <c r="BK120" i="3"/>
  <c r="BK121" i="6"/>
  <c r="BW120" i="3"/>
  <c r="BW121" i="6"/>
  <c r="I120" i="3"/>
  <c r="I121" i="6"/>
  <c r="CP120" i="3"/>
  <c r="CP121" i="6" s="1"/>
  <c r="AV120" i="3"/>
  <c r="AV121" i="6"/>
  <c r="DO120" i="3"/>
  <c r="DO121" i="6"/>
  <c r="M120" i="3"/>
  <c r="M121" i="6"/>
  <c r="CC120" i="3"/>
  <c r="CC121" i="6" s="1"/>
  <c r="C121" i="6"/>
  <c r="AN120" i="3"/>
  <c r="AN121" i="6" s="1"/>
  <c r="CK120" i="3"/>
  <c r="CK121" i="6"/>
  <c r="DP120" i="3"/>
  <c r="DP121" i="6"/>
  <c r="BD120" i="3"/>
  <c r="BD121" i="6" s="1"/>
  <c r="CD120" i="3"/>
  <c r="CD121" i="6" s="1"/>
  <c r="Q120" i="3"/>
  <c r="Q121" i="6"/>
  <c r="CA120" i="3"/>
  <c r="CA121" i="6"/>
  <c r="BT120" i="3"/>
  <c r="BT121" i="6" s="1"/>
  <c r="CY120" i="3"/>
  <c r="CY121" i="6" s="1"/>
  <c r="CU120" i="3"/>
  <c r="CU121" i="6"/>
  <c r="DA120" i="3"/>
  <c r="DA121" i="6"/>
  <c r="CE120" i="3"/>
  <c r="CE121" i="6" s="1"/>
  <c r="AW120" i="3"/>
  <c r="AW121" i="6" s="1"/>
  <c r="BL120" i="3"/>
  <c r="BL121" i="6"/>
  <c r="CT120" i="3"/>
  <c r="CT121" i="6" s="1"/>
  <c r="CW120" i="3"/>
  <c r="CW121" i="6" s="1"/>
  <c r="DJ120" i="3"/>
  <c r="DJ121" i="6" s="1"/>
  <c r="BU120" i="3"/>
  <c r="BU121" i="6"/>
  <c r="L120" i="3"/>
  <c r="L121" i="6"/>
  <c r="CQ120" i="3"/>
  <c r="CQ121" i="6" s="1"/>
  <c r="AB120" i="3"/>
  <c r="AB121" i="6" s="1"/>
  <c r="BO120" i="3"/>
  <c r="BO121" i="6"/>
  <c r="BZ120" i="3"/>
  <c r="BZ121" i="6"/>
  <c r="S120" i="3"/>
  <c r="S121" i="6" s="1"/>
  <c r="BB120" i="3"/>
  <c r="BB121" i="6" s="1"/>
  <c r="Z120" i="3"/>
  <c r="Z121" i="6"/>
  <c r="AF120" i="3"/>
  <c r="AF121" i="6"/>
  <c r="BC120" i="3"/>
  <c r="BC121" i="6" s="1"/>
  <c r="CZ120" i="3"/>
  <c r="CZ121" i="6" s="1"/>
  <c r="AC120" i="3"/>
  <c r="AC121" i="6"/>
  <c r="AX120" i="3"/>
  <c r="AX121" i="6" s="1"/>
  <c r="DL120" i="3"/>
  <c r="DL121" i="6" s="1"/>
  <c r="BS120" i="3"/>
  <c r="BS121" i="6" s="1"/>
  <c r="DJ16" i="3"/>
  <c r="DJ17" i="6"/>
  <c r="DF16" i="3"/>
  <c r="DF17" i="6"/>
  <c r="CT16" i="3"/>
  <c r="CT17" i="6" s="1"/>
  <c r="CD16" i="3"/>
  <c r="CD17" i="6" s="1"/>
  <c r="BF16" i="3"/>
  <c r="BF17" i="6"/>
  <c r="AT16" i="3"/>
  <c r="AT17" i="6"/>
  <c r="AD16" i="3"/>
  <c r="AD17" i="6" s="1"/>
  <c r="DQ16" i="3"/>
  <c r="DQ17" i="6" s="1"/>
  <c r="DA16" i="3"/>
  <c r="DA17" i="6"/>
  <c r="CO16" i="3"/>
  <c r="CO17" i="6"/>
  <c r="BY16" i="3"/>
  <c r="BY17" i="6" s="1"/>
  <c r="BM16" i="3"/>
  <c r="BM17" i="6" s="1"/>
  <c r="AW16" i="3"/>
  <c r="AW17" i="6"/>
  <c r="AK16" i="3"/>
  <c r="AK17" i="6" s="1"/>
  <c r="U16" i="3"/>
  <c r="U17" i="6" s="1"/>
  <c r="DH16" i="3"/>
  <c r="DH17" i="6" s="1"/>
  <c r="CR16" i="3"/>
  <c r="CR17" i="6"/>
  <c r="CF16" i="3"/>
  <c r="CF17" i="6"/>
  <c r="BP16" i="3"/>
  <c r="BP17" i="6" s="1"/>
  <c r="D60" i="3"/>
  <c r="D61" i="6" s="1"/>
  <c r="CJ60" i="3"/>
  <c r="CJ61" i="6"/>
  <c r="DM60" i="3"/>
  <c r="DM61" i="6"/>
  <c r="BA60" i="3"/>
  <c r="BA61" i="6" s="1"/>
  <c r="X60" i="3"/>
  <c r="X61" i="6" s="1"/>
  <c r="T60" i="3"/>
  <c r="T61" i="6"/>
  <c r="CN60" i="3"/>
  <c r="CN61" i="6"/>
  <c r="CK60" i="3"/>
  <c r="CK61" i="6" s="1"/>
  <c r="BU60" i="3"/>
  <c r="BU61" i="6" s="1"/>
  <c r="AB64" i="3"/>
  <c r="AB65" i="6"/>
  <c r="AK64" i="3"/>
  <c r="AK65" i="6" s="1"/>
  <c r="AN64" i="3"/>
  <c r="AN65" i="6" s="1"/>
  <c r="CR64" i="3"/>
  <c r="CR65" i="6" s="1"/>
  <c r="AW64" i="3"/>
  <c r="AW65" i="6"/>
  <c r="DA64" i="3"/>
  <c r="DA65" i="6"/>
  <c r="T64" i="3"/>
  <c r="T65" i="6" s="1"/>
  <c r="CW64" i="3"/>
  <c r="CW65" i="6"/>
  <c r="DE64" i="3"/>
  <c r="DE65" i="6"/>
  <c r="H64" i="3"/>
  <c r="H65" i="6" s="1"/>
  <c r="BL64" i="3"/>
  <c r="BL65" i="6" s="1"/>
  <c r="Q64" i="3"/>
  <c r="Q65" i="6"/>
  <c r="CC64" i="3"/>
  <c r="CC65" i="6"/>
  <c r="AP4" i="3"/>
  <c r="AP5" i="6"/>
  <c r="CD4" i="3"/>
  <c r="CD5" i="6" s="1"/>
  <c r="BO4" i="3"/>
  <c r="BO5" i="6"/>
  <c r="AK4" i="3"/>
  <c r="AK5" i="6"/>
  <c r="DA4" i="3"/>
  <c r="DA5" i="6" s="1"/>
  <c r="AX4" i="3"/>
  <c r="AX5" i="6" s="1"/>
  <c r="CX4" i="3"/>
  <c r="CX5" i="6"/>
  <c r="AJ86" i="3"/>
  <c r="AJ87" i="6"/>
  <c r="DH86" i="3"/>
  <c r="DH87" i="6"/>
  <c r="CJ10" i="3"/>
  <c r="CJ11" i="6" s="1"/>
  <c r="CS10" i="3"/>
  <c r="CS11" i="6"/>
  <c r="CT10" i="3"/>
  <c r="CT11" i="6"/>
  <c r="AX10" i="3"/>
  <c r="AX11" i="6" s="1"/>
  <c r="V10" i="3"/>
  <c r="V11" i="6" s="1"/>
  <c r="BD10" i="3"/>
  <c r="BD11" i="6"/>
  <c r="J10" i="3"/>
  <c r="J11" i="6"/>
  <c r="L10" i="3"/>
  <c r="L11" i="6" s="1"/>
  <c r="BE10" i="3"/>
  <c r="BE11" i="6" s="1"/>
  <c r="CE10" i="3"/>
  <c r="CE11" i="6"/>
  <c r="CD10" i="3"/>
  <c r="CD11" i="6"/>
  <c r="P10" i="3"/>
  <c r="P11" i="6"/>
  <c r="H10" i="3"/>
  <c r="H11" i="6" s="1"/>
  <c r="DB10" i="3"/>
  <c r="DB11" i="6"/>
  <c r="BP86" i="3"/>
  <c r="BP87" i="6"/>
  <c r="AC86" i="3"/>
  <c r="AC87" i="6"/>
  <c r="G86" i="3"/>
  <c r="G87" i="6" s="1"/>
  <c r="BM10" i="3"/>
  <c r="BM11" i="6"/>
  <c r="BB10" i="3"/>
  <c r="BB11" i="6"/>
  <c r="BL10" i="3"/>
  <c r="BL11" i="6" s="1"/>
  <c r="DM10" i="3"/>
  <c r="DM11" i="6" s="1"/>
  <c r="BW10" i="3"/>
  <c r="BW11" i="6"/>
  <c r="M10" i="3"/>
  <c r="M11" i="6"/>
  <c r="DL10" i="3"/>
  <c r="DL11" i="6"/>
  <c r="BI10" i="3"/>
  <c r="BI11" i="6" s="1"/>
  <c r="BC10" i="3"/>
  <c r="BC11" i="6"/>
  <c r="BF10" i="3"/>
  <c r="BF11" i="6"/>
  <c r="CG10" i="3"/>
  <c r="CG11" i="6" s="1"/>
  <c r="S10" i="3"/>
  <c r="S11" i="6" s="1"/>
  <c r="AO10" i="3"/>
  <c r="AO11" i="6"/>
  <c r="CH10" i="3"/>
  <c r="CH11" i="6"/>
  <c r="AZ10" i="3"/>
  <c r="AZ11" i="6"/>
  <c r="BS10" i="3"/>
  <c r="BS11" i="6" s="1"/>
  <c r="U10" i="3"/>
  <c r="U11" i="6"/>
  <c r="C11" i="6"/>
  <c r="BN10" i="3"/>
  <c r="BN11" i="6"/>
  <c r="AG10" i="3"/>
  <c r="AG11" i="6"/>
  <c r="AR10" i="3"/>
  <c r="AR11" i="6" s="1"/>
  <c r="CA10" i="3"/>
  <c r="CA11" i="6"/>
  <c r="CF10" i="3"/>
  <c r="CF11" i="6"/>
  <c r="DO10" i="3"/>
  <c r="DO11" i="6" s="1"/>
  <c r="BY10" i="3"/>
  <c r="BY11" i="6" s="1"/>
  <c r="BV10" i="3"/>
  <c r="BV11" i="6"/>
  <c r="BX10" i="3"/>
  <c r="BX11" i="6"/>
  <c r="BT10" i="3"/>
  <c r="BT11" i="6" s="1"/>
  <c r="N10" i="3"/>
  <c r="N11" i="6" s="1"/>
  <c r="DI10" i="3"/>
  <c r="DI11" i="6"/>
  <c r="DQ10" i="3"/>
  <c r="DQ11" i="6"/>
  <c r="CN10" i="3"/>
  <c r="CN11" i="6"/>
  <c r="AN10" i="3"/>
  <c r="AN11" i="6" s="1"/>
  <c r="X10" i="3"/>
  <c r="X11" i="6"/>
  <c r="DG10" i="3"/>
  <c r="DG11" i="6"/>
  <c r="CB10" i="3"/>
  <c r="CB11" i="6"/>
  <c r="AW10" i="3"/>
  <c r="AW11" i="6" s="1"/>
  <c r="CV10" i="3"/>
  <c r="CV11" i="6"/>
  <c r="BJ10" i="3"/>
  <c r="BJ11" i="6"/>
  <c r="R10" i="3"/>
  <c r="R11" i="6" s="1"/>
  <c r="D10" i="3"/>
  <c r="D11" i="6" s="1"/>
  <c r="Q10" i="3"/>
  <c r="Q11" i="6"/>
  <c r="DF10" i="3"/>
  <c r="DF11" i="6"/>
  <c r="CZ10" i="3"/>
  <c r="CZ11" i="6"/>
  <c r="CP10" i="3"/>
  <c r="CP11" i="6" s="1"/>
  <c r="BR10" i="3"/>
  <c r="BR11" i="6"/>
  <c r="CO10" i="3"/>
  <c r="CO11" i="6"/>
  <c r="AQ10" i="3"/>
  <c r="AQ11" i="6" s="1"/>
  <c r="DD10" i="3"/>
  <c r="DD11" i="6" s="1"/>
  <c r="CR10" i="3"/>
  <c r="CR11" i="6"/>
  <c r="AV10" i="3"/>
  <c r="AV11" i="6"/>
  <c r="AJ10" i="3"/>
  <c r="AJ11" i="6"/>
  <c r="CC10" i="3"/>
  <c r="CC11" i="6" s="1"/>
  <c r="AA10" i="3"/>
  <c r="AA11" i="6"/>
  <c r="Z10" i="3"/>
  <c r="Z11" i="6"/>
  <c r="AM10" i="3"/>
  <c r="AM11" i="6" s="1"/>
  <c r="DP10" i="3"/>
  <c r="DP11" i="6" s="1"/>
  <c r="DA10" i="3"/>
  <c r="DA11" i="6"/>
  <c r="BG10" i="3"/>
  <c r="BG11" i="6"/>
  <c r="DK10" i="3"/>
  <c r="DK11" i="6" s="1"/>
  <c r="CI10" i="3"/>
  <c r="CI11" i="6" s="1"/>
  <c r="CK10" i="3"/>
  <c r="CK11" i="6"/>
  <c r="AI10" i="3"/>
  <c r="AI11" i="6"/>
  <c r="CX10" i="3"/>
  <c r="CX11" i="6"/>
  <c r="AY10" i="3"/>
  <c r="AY11" i="6" s="1"/>
  <c r="F10" i="3"/>
  <c r="F11" i="6"/>
  <c r="AH10" i="3"/>
  <c r="AH11" i="6"/>
  <c r="AF10" i="3"/>
  <c r="AF11" i="6"/>
  <c r="BP10" i="3"/>
  <c r="BP11" i="6" s="1"/>
  <c r="BK10" i="3"/>
  <c r="BK11" i="6"/>
  <c r="AL10" i="3"/>
  <c r="AL11" i="6"/>
  <c r="AK10" i="3"/>
  <c r="AK11" i="6" s="1"/>
  <c r="DN10" i="3"/>
  <c r="DN11" i="6" s="1"/>
  <c r="F49" i="3"/>
  <c r="F50" i="6"/>
  <c r="BY49" i="3"/>
  <c r="BY50" i="6"/>
  <c r="BN49" i="3"/>
  <c r="BN50" i="6"/>
  <c r="BC49" i="3"/>
  <c r="BC50" i="6" s="1"/>
  <c r="CA49" i="3"/>
  <c r="CA50" i="6"/>
  <c r="I49" i="3"/>
  <c r="I50" i="6"/>
  <c r="CN49" i="3"/>
  <c r="CN50" i="6" s="1"/>
  <c r="CJ49" i="3"/>
  <c r="CJ50" i="6" s="1"/>
  <c r="BG49" i="3"/>
  <c r="BG50" i="6"/>
  <c r="CQ49" i="3"/>
  <c r="CQ50" i="6"/>
  <c r="C50" i="6"/>
  <c r="AZ57" i="3"/>
  <c r="AZ58" i="6" s="1"/>
  <c r="K57" i="3"/>
  <c r="K58" i="6"/>
  <c r="CG57" i="3"/>
  <c r="CG58" i="6"/>
  <c r="AR57" i="3"/>
  <c r="AR58" i="6" s="1"/>
  <c r="AK57" i="3"/>
  <c r="AK58" i="6" s="1"/>
  <c r="CW57" i="3"/>
  <c r="CW58" i="6"/>
  <c r="AN57" i="3"/>
  <c r="AN58" i="6"/>
  <c r="CT57" i="3"/>
  <c r="CT58" i="6"/>
  <c r="DC57" i="3"/>
  <c r="DC58" i="6" s="1"/>
  <c r="DO57" i="3"/>
  <c r="DO58" i="6" s="1"/>
  <c r="DD57" i="3"/>
  <c r="DD58" i="6"/>
  <c r="F57" i="3"/>
  <c r="F58" i="6" s="1"/>
  <c r="CG86" i="3"/>
  <c r="CG87" i="6" s="1"/>
  <c r="DB86" i="3"/>
  <c r="DB87" i="6" s="1"/>
  <c r="BU86" i="3"/>
  <c r="BU87" i="6"/>
  <c r="CT86" i="3"/>
  <c r="CT87" i="6" s="1"/>
  <c r="AG86" i="3"/>
  <c r="AG87" i="6" s="1"/>
  <c r="AO86" i="3"/>
  <c r="AO87" i="6" s="1"/>
  <c r="CS86" i="3"/>
  <c r="CS87" i="6"/>
  <c r="AN86" i="3"/>
  <c r="AN87" i="6" s="1"/>
  <c r="BK86" i="3"/>
  <c r="BK87" i="6" s="1"/>
  <c r="AE103" i="3"/>
  <c r="AE104" i="6" s="1"/>
  <c r="BG103" i="3"/>
  <c r="BG104" i="6"/>
  <c r="AR103" i="3"/>
  <c r="AR104" i="6"/>
  <c r="DP103" i="3"/>
  <c r="DP104" i="6" s="1"/>
  <c r="F103" i="3"/>
  <c r="F104" i="6" s="1"/>
  <c r="DB103" i="3"/>
  <c r="DB104" i="6"/>
  <c r="X103" i="3"/>
  <c r="X104" i="6" s="1"/>
  <c r="DJ103" i="3"/>
  <c r="DJ104" i="6" s="1"/>
  <c r="CN103" i="3"/>
  <c r="CN104" i="6" s="1"/>
  <c r="CC103" i="3"/>
  <c r="CC104" i="6"/>
  <c r="CH103" i="3"/>
  <c r="CH104" i="6" s="1"/>
  <c r="BY103" i="3"/>
  <c r="BY104" i="6" s="1"/>
  <c r="BL103" i="3"/>
  <c r="BL104" i="6" s="1"/>
  <c r="DF103" i="3"/>
  <c r="DF104" i="6"/>
  <c r="BU103" i="3"/>
  <c r="BU104" i="6" s="1"/>
  <c r="AD103" i="3"/>
  <c r="AD104" i="6" s="1"/>
  <c r="DH103" i="3"/>
  <c r="DH104" i="6" s="1"/>
  <c r="BI103" i="3"/>
  <c r="BI104" i="6"/>
  <c r="E103" i="3"/>
  <c r="E104" i="6"/>
  <c r="CB103" i="3"/>
  <c r="CB104" i="6" s="1"/>
  <c r="H103" i="3"/>
  <c r="H104" i="6" s="1"/>
  <c r="BA103" i="3"/>
  <c r="BA104" i="6"/>
  <c r="AS103" i="3"/>
  <c r="AS104" i="6" s="1"/>
  <c r="W103" i="3"/>
  <c r="W104" i="6" s="1"/>
  <c r="CU103" i="3"/>
  <c r="CU104" i="6" s="1"/>
  <c r="O103" i="3"/>
  <c r="O104" i="6"/>
  <c r="CG103" i="3"/>
  <c r="CG104" i="6" s="1"/>
  <c r="CF103" i="3"/>
  <c r="CF104" i="6" s="1"/>
  <c r="AT103" i="3"/>
  <c r="AT104" i="6" s="1"/>
  <c r="I103" i="3"/>
  <c r="I104" i="6"/>
  <c r="BX103" i="3"/>
  <c r="BX104" i="6" s="1"/>
  <c r="Z103" i="3"/>
  <c r="Z104" i="6" s="1"/>
  <c r="AX103" i="3"/>
  <c r="AX104" i="6" s="1"/>
  <c r="Q103" i="3"/>
  <c r="Q104" i="6"/>
  <c r="BM103" i="3"/>
  <c r="BM104" i="6"/>
  <c r="CV103" i="3"/>
  <c r="CV104" i="6" s="1"/>
  <c r="BJ103" i="3"/>
  <c r="BJ104" i="6" s="1"/>
  <c r="D103" i="3"/>
  <c r="D104" i="6"/>
  <c r="BQ103" i="3"/>
  <c r="BQ104" i="6" s="1"/>
  <c r="R103" i="3"/>
  <c r="R104" i="6" s="1"/>
  <c r="BH103" i="3"/>
  <c r="BH104" i="6" s="1"/>
  <c r="CP103" i="3"/>
  <c r="CP104" i="6"/>
  <c r="AN103" i="3"/>
  <c r="AN104" i="6" s="1"/>
  <c r="AC103" i="3"/>
  <c r="AC104" i="6" s="1"/>
  <c r="DN103" i="3"/>
  <c r="DN104" i="6" s="1"/>
  <c r="CX103" i="3"/>
  <c r="CX104" i="6"/>
  <c r="CL103" i="3"/>
  <c r="CL104" i="6" s="1"/>
  <c r="DI103" i="3"/>
  <c r="DI104" i="6" s="1"/>
  <c r="DL103" i="3"/>
  <c r="DL104" i="6" s="1"/>
  <c r="AA103" i="3"/>
  <c r="AA104" i="6"/>
  <c r="BC103" i="3"/>
  <c r="BC104" i="6"/>
  <c r="CE103" i="3"/>
  <c r="CE104" i="6" s="1"/>
  <c r="AW103" i="3"/>
  <c r="AW104" i="6"/>
  <c r="AU103" i="3"/>
  <c r="AU104" i="6"/>
  <c r="BW103" i="3"/>
  <c r="BW104" i="6"/>
  <c r="CY103" i="3"/>
  <c r="CY104" i="6" s="1"/>
  <c r="AJ103" i="3"/>
  <c r="AJ104" i="6"/>
  <c r="CQ103" i="3"/>
  <c r="CQ104" i="6"/>
  <c r="AI103" i="3"/>
  <c r="AI104" i="6" s="1"/>
  <c r="DG103" i="3"/>
  <c r="DG104" i="6" s="1"/>
  <c r="AH103" i="3"/>
  <c r="AH104" i="6"/>
  <c r="AY103" i="3"/>
  <c r="AY104" i="6"/>
  <c r="BT103" i="3"/>
  <c r="BT104" i="6"/>
  <c r="CO103" i="3"/>
  <c r="CO104" i="6" s="1"/>
  <c r="U103" i="3"/>
  <c r="U104" i="6" s="1"/>
  <c r="BD103" i="3"/>
  <c r="BD104" i="6"/>
  <c r="CR103" i="3"/>
  <c r="CR104" i="6"/>
  <c r="BV103" i="3"/>
  <c r="BV104" i="6" s="1"/>
  <c r="AL103" i="3"/>
  <c r="AL104" i="6" s="1"/>
  <c r="BF103" i="3"/>
  <c r="BF104" i="6"/>
  <c r="J103" i="3"/>
  <c r="J104" i="6" s="1"/>
  <c r="P103" i="3"/>
  <c r="P104" i="6" s="1"/>
  <c r="BN103" i="3"/>
  <c r="BN104" i="6" s="1"/>
  <c r="AB103" i="3"/>
  <c r="AB104" i="6"/>
  <c r="CK103" i="3"/>
  <c r="CK104" i="6"/>
  <c r="AZ103" i="3"/>
  <c r="AZ104" i="6" s="1"/>
  <c r="N103" i="3"/>
  <c r="N104" i="6" s="1"/>
  <c r="CD103" i="3"/>
  <c r="CD104" i="6"/>
  <c r="AG103" i="3"/>
  <c r="AG104" i="6"/>
  <c r="AP103" i="3"/>
  <c r="AP104" i="6" s="1"/>
  <c r="DM103" i="3"/>
  <c r="DM104" i="6" s="1"/>
  <c r="CW103" i="3"/>
  <c r="CW104" i="6"/>
  <c r="C104" i="6"/>
  <c r="Y103" i="3"/>
  <c r="Y104" i="6" s="1"/>
  <c r="CJ103" i="3"/>
  <c r="CJ104" i="6"/>
  <c r="AO103" i="3"/>
  <c r="AO104" i="6"/>
  <c r="CT103" i="3"/>
  <c r="CT104" i="6"/>
  <c r="DE103" i="3"/>
  <c r="DE104" i="6" s="1"/>
  <c r="BE103" i="3"/>
  <c r="BE104" i="6"/>
  <c r="BR103" i="3"/>
  <c r="BR104" i="6"/>
  <c r="AM103" i="3"/>
  <c r="AM104" i="6"/>
  <c r="DC103" i="3"/>
  <c r="DC104" i="6" s="1"/>
  <c r="BK103" i="3"/>
  <c r="BK104" i="6"/>
  <c r="DK103" i="3"/>
  <c r="DK104" i="6"/>
  <c r="CI103" i="3"/>
  <c r="CI104" i="6"/>
  <c r="CZ103" i="3"/>
  <c r="CZ104" i="6" s="1"/>
  <c r="AK103" i="3"/>
  <c r="AK104" i="6"/>
  <c r="CS103" i="3"/>
  <c r="CS104" i="6"/>
  <c r="T103" i="3"/>
  <c r="T104" i="6"/>
  <c r="DO103" i="3"/>
  <c r="DO104" i="6" s="1"/>
  <c r="G103" i="3"/>
  <c r="G104" i="6"/>
  <c r="DA103" i="3"/>
  <c r="DA104" i="6"/>
  <c r="BB103" i="3"/>
  <c r="BB104" i="6"/>
  <c r="DQ103" i="3"/>
  <c r="DQ104" i="6" s="1"/>
  <c r="AV103" i="3"/>
  <c r="AV104" i="6" s="1"/>
  <c r="DD103" i="3"/>
  <c r="DD104" i="6"/>
  <c r="L103" i="3"/>
  <c r="L104" i="6"/>
  <c r="AF103" i="3"/>
  <c r="AF104" i="6"/>
  <c r="K103" i="3"/>
  <c r="K104" i="6" s="1"/>
  <c r="BS103" i="3"/>
  <c r="BS104" i="6"/>
  <c r="S103" i="3"/>
  <c r="S104" i="6"/>
  <c r="CM103" i="3"/>
  <c r="CM104" i="6"/>
  <c r="V103" i="3"/>
  <c r="V104" i="6" s="1"/>
  <c r="CA103" i="3"/>
  <c r="CA104" i="6"/>
  <c r="BP103" i="3"/>
  <c r="BP104" i="6"/>
  <c r="AQ103" i="3"/>
  <c r="AQ104" i="6" s="1"/>
  <c r="BO103" i="3"/>
  <c r="BO104" i="6" s="1"/>
  <c r="M103" i="3"/>
  <c r="M104" i="6"/>
  <c r="S123" i="3"/>
  <c r="S124" i="6"/>
  <c r="AO123" i="3"/>
  <c r="AO124" i="6"/>
  <c r="BM123" i="3"/>
  <c r="BM124" i="6" s="1"/>
  <c r="CK123" i="3"/>
  <c r="CK124" i="6"/>
  <c r="DL123" i="3"/>
  <c r="DL124" i="6"/>
  <c r="N123" i="3"/>
  <c r="N124" i="6"/>
  <c r="DF123" i="3"/>
  <c r="DF124" i="6"/>
  <c r="AK123" i="3"/>
  <c r="AK124" i="6"/>
  <c r="BI123" i="3"/>
  <c r="BI124" i="6"/>
  <c r="CG123" i="3"/>
  <c r="CG124" i="6"/>
  <c r="C124" i="6"/>
  <c r="BV123" i="3"/>
  <c r="BV124" i="6"/>
  <c r="AE123" i="3"/>
  <c r="AE124" i="6"/>
  <c r="CO123" i="3"/>
  <c r="CO124" i="6" s="1"/>
  <c r="BN123" i="3"/>
  <c r="BN124" i="6" s="1"/>
  <c r="AV123" i="3"/>
  <c r="AV124" i="6"/>
  <c r="CE123" i="3"/>
  <c r="CE124" i="6"/>
  <c r="CZ123" i="3"/>
  <c r="CZ124" i="6"/>
  <c r="CN123" i="3"/>
  <c r="CN124" i="6" s="1"/>
  <c r="BK123" i="3"/>
  <c r="BK124" i="6"/>
  <c r="DI123" i="3"/>
  <c r="DI124" i="6"/>
  <c r="CU123" i="3"/>
  <c r="CU124" i="6" s="1"/>
  <c r="CA123" i="3"/>
  <c r="CA124" i="6" s="1"/>
  <c r="BP123" i="3"/>
  <c r="BP124" i="6" s="1"/>
  <c r="BE123" i="3"/>
  <c r="BE124" i="6"/>
  <c r="AS123" i="3"/>
  <c r="AS124" i="6"/>
  <c r="AG123" i="3"/>
  <c r="AG124" i="6" s="1"/>
  <c r="U123" i="3"/>
  <c r="U124" i="6" s="1"/>
  <c r="I123" i="3"/>
  <c r="I124" i="6"/>
  <c r="DJ123" i="3"/>
  <c r="DJ124" i="6"/>
  <c r="CY123" i="3"/>
  <c r="CY124" i="6" s="1"/>
  <c r="H123" i="3"/>
  <c r="H124" i="6" s="1"/>
  <c r="BO123" i="3"/>
  <c r="BO124" i="6"/>
  <c r="DA123" i="3"/>
  <c r="DA124" i="6" s="1"/>
  <c r="X123" i="3"/>
  <c r="X124" i="6" s="1"/>
  <c r="BG123" i="3"/>
  <c r="BG124" i="6" s="1"/>
  <c r="DQ123" i="3"/>
  <c r="DQ124" i="6"/>
  <c r="AD123" i="3"/>
  <c r="AD124" i="6" s="1"/>
  <c r="AW123" i="3"/>
  <c r="AW124" i="6" s="1"/>
  <c r="DO123" i="3"/>
  <c r="DO124" i="6" s="1"/>
  <c r="BW123" i="3"/>
  <c r="BW124" i="6"/>
  <c r="CB123" i="3"/>
  <c r="CB124" i="6"/>
  <c r="BC123" i="3"/>
  <c r="BC124" i="6" s="1"/>
  <c r="AU123" i="3"/>
  <c r="AU124" i="6" s="1"/>
  <c r="AL123" i="3"/>
  <c r="AL124" i="6"/>
  <c r="AP123" i="3"/>
  <c r="AP124" i="6"/>
  <c r="R123" i="3"/>
  <c r="R124" i="6" s="1"/>
  <c r="J123" i="3"/>
  <c r="J124" i="6" s="1"/>
  <c r="L123" i="3"/>
  <c r="L124" i="6"/>
  <c r="CQ123" i="3"/>
  <c r="CQ124" i="6" s="1"/>
  <c r="AZ123" i="3"/>
  <c r="AZ124" i="6" s="1"/>
  <c r="AF123" i="3"/>
  <c r="AF124" i="6" s="1"/>
  <c r="DK123" i="3"/>
  <c r="DK124" i="6"/>
  <c r="CW123" i="3"/>
  <c r="CW124" i="6" s="1"/>
  <c r="CJ123" i="3"/>
  <c r="CJ124" i="6" s="1"/>
  <c r="BX123" i="3"/>
  <c r="BX124" i="6" s="1"/>
  <c r="BL123" i="3"/>
  <c r="BL124" i="6"/>
  <c r="AY123" i="3"/>
  <c r="AY124" i="6" s="1"/>
  <c r="AN123" i="3"/>
  <c r="AN124" i="6" s="1"/>
  <c r="AC123" i="3"/>
  <c r="AC124" i="6" s="1"/>
  <c r="Q123" i="3"/>
  <c r="Q124" i="6"/>
  <c r="E123" i="3"/>
  <c r="E124" i="6"/>
  <c r="DG123" i="3"/>
  <c r="DG124" i="6" s="1"/>
  <c r="D123" i="3"/>
  <c r="D124" i="6" s="1"/>
  <c r="AQ123" i="3"/>
  <c r="AQ124" i="6"/>
  <c r="BZ123" i="3"/>
  <c r="BZ124" i="6" s="1"/>
  <c r="CV123" i="3"/>
  <c r="CV124" i="6" s="1"/>
  <c r="AJ123" i="3"/>
  <c r="AJ124" i="6" s="1"/>
  <c r="CS123" i="3"/>
  <c r="CS124" i="6"/>
  <c r="BY123" i="3"/>
  <c r="BY124" i="6" s="1"/>
  <c r="G123" i="3"/>
  <c r="G124" i="6" s="1"/>
  <c r="AR123" i="3"/>
  <c r="AR124" i="6" s="1"/>
  <c r="CT123" i="3"/>
  <c r="CT124" i="6"/>
  <c r="Y123" i="3"/>
  <c r="Y124" i="6" s="1"/>
  <c r="DC123" i="3"/>
  <c r="DC124" i="6" s="1"/>
  <c r="AH123" i="3"/>
  <c r="AH124" i="6" s="1"/>
  <c r="DN123" i="3"/>
  <c r="DN124" i="6"/>
  <c r="DB123" i="3"/>
  <c r="DB124" i="6"/>
  <c r="CP123" i="3"/>
  <c r="CP124" i="6" s="1"/>
  <c r="BU123" i="3"/>
  <c r="BU124" i="6" s="1"/>
  <c r="BJ123" i="3"/>
  <c r="BJ124" i="6"/>
  <c r="AX123" i="3"/>
  <c r="AX124" i="6" s="1"/>
  <c r="AM123" i="3"/>
  <c r="AM124" i="6" s="1"/>
  <c r="AB123" i="3"/>
  <c r="AB124" i="6" s="1"/>
  <c r="O123" i="3"/>
  <c r="O124" i="6"/>
  <c r="CH123" i="3"/>
  <c r="CH124" i="6" s="1"/>
  <c r="BD123" i="3"/>
  <c r="BD124" i="6" s="1"/>
  <c r="CI123" i="3"/>
  <c r="CI124" i="6" s="1"/>
  <c r="Z123" i="3"/>
  <c r="Z124" i="6"/>
  <c r="CX123" i="3"/>
  <c r="CX124" i="6" s="1"/>
  <c r="BH123" i="3"/>
  <c r="BH124" i="6" s="1"/>
  <c r="W123" i="3"/>
  <c r="W124" i="6" s="1"/>
  <c r="CC123" i="3"/>
  <c r="CC124" i="6"/>
  <c r="AI123" i="3"/>
  <c r="AI124" i="6"/>
  <c r="BS123" i="3"/>
  <c r="BS124" i="6" s="1"/>
  <c r="BA123" i="3"/>
  <c r="BA124" i="6" s="1"/>
  <c r="AA123" i="3"/>
  <c r="AA124" i="6"/>
  <c r="CL123" i="3"/>
  <c r="CL124" i="6" s="1"/>
  <c r="P123" i="3"/>
  <c r="P124" i="6" s="1"/>
  <c r="DP123" i="3"/>
  <c r="DP124" i="6" s="1"/>
  <c r="BQ123" i="3"/>
  <c r="BQ124" i="6"/>
  <c r="V123" i="3"/>
  <c r="V124" i="6" s="1"/>
  <c r="DM123" i="3"/>
  <c r="DM124" i="6" s="1"/>
  <c r="DE123" i="3"/>
  <c r="DE124" i="6" s="1"/>
  <c r="F123" i="3"/>
  <c r="F124" i="6"/>
  <c r="CM123" i="3"/>
  <c r="CM124" i="6" s="1"/>
  <c r="CF123" i="3"/>
  <c r="CF124" i="6" s="1"/>
  <c r="DD123" i="3"/>
  <c r="DD124" i="6" s="1"/>
  <c r="BF123" i="3"/>
  <c r="BF124" i="6"/>
  <c r="K123" i="3"/>
  <c r="K124" i="6"/>
  <c r="CD123" i="3"/>
  <c r="CD124" i="6" s="1"/>
  <c r="BT123" i="3"/>
  <c r="BT124" i="6" s="1"/>
  <c r="CR123" i="3"/>
  <c r="CR124" i="6"/>
  <c r="T123" i="3"/>
  <c r="T124" i="6" s="1"/>
  <c r="DH123" i="3"/>
  <c r="DH124" i="6" s="1"/>
  <c r="AT123" i="3"/>
  <c r="AT124" i="6" s="1"/>
  <c r="M123" i="3"/>
  <c r="M124" i="6"/>
  <c r="BR123" i="3"/>
  <c r="BR124" i="6" s="1"/>
  <c r="CV86" i="3"/>
  <c r="CV87" i="6" s="1"/>
  <c r="CR86" i="3"/>
  <c r="CR87" i="6" s="1"/>
  <c r="AM86" i="3"/>
  <c r="AM87" i="6"/>
  <c r="K10" i="3"/>
  <c r="K11" i="6" s="1"/>
  <c r="DH10" i="3"/>
  <c r="DH11" i="6" s="1"/>
  <c r="BQ10" i="3"/>
  <c r="BQ11" i="6" s="1"/>
  <c r="AU10" i="3"/>
  <c r="AU11" i="6"/>
  <c r="BO10" i="3"/>
  <c r="BO11" i="6"/>
  <c r="AP10" i="3"/>
  <c r="AP11" i="6" s="1"/>
  <c r="CY10" i="3"/>
  <c r="CY11" i="6" s="1"/>
  <c r="CQ10" i="3"/>
  <c r="CQ11" i="6"/>
  <c r="AD10" i="3"/>
  <c r="AD11" i="6" s="1"/>
  <c r="W10" i="3"/>
  <c r="W11" i="6" s="1"/>
  <c r="BA10" i="3"/>
  <c r="BA11" i="6" s="1"/>
  <c r="G10" i="3"/>
  <c r="G11" i="6"/>
  <c r="O10" i="3"/>
  <c r="O11" i="6" s="1"/>
  <c r="CL10" i="3"/>
  <c r="CL11" i="6" s="1"/>
  <c r="BF86" i="3"/>
  <c r="BF87" i="6" s="1"/>
  <c r="DN8" i="3"/>
  <c r="DN9" i="6"/>
  <c r="DF8" i="3"/>
  <c r="DF9" i="6" s="1"/>
  <c r="CH8" i="3"/>
  <c r="CH9" i="6" s="1"/>
  <c r="BZ8" i="3"/>
  <c r="BZ9" i="6" s="1"/>
  <c r="BB8" i="3"/>
  <c r="BB9" i="6"/>
  <c r="AT8" i="3"/>
  <c r="AT9" i="6"/>
  <c r="V8" i="3"/>
  <c r="V9" i="6" s="1"/>
  <c r="BU8" i="3"/>
  <c r="BU9" i="6"/>
  <c r="BM8" i="3"/>
  <c r="BM9" i="6"/>
  <c r="AO8" i="3"/>
  <c r="AO9" i="6"/>
  <c r="AG8" i="3"/>
  <c r="AG9" i="6" s="1"/>
  <c r="I8" i="3"/>
  <c r="I9" i="6" s="1"/>
  <c r="K8" i="3"/>
  <c r="K9" i="6"/>
  <c r="BG8" i="3"/>
  <c r="BG9" i="6"/>
  <c r="BW8" i="3"/>
  <c r="BW9" i="6" s="1"/>
  <c r="J8" i="3"/>
  <c r="J9" i="6" s="1"/>
  <c r="DQ8" i="3"/>
  <c r="DQ9" i="6"/>
  <c r="CS8" i="3"/>
  <c r="CS9" i="6"/>
  <c r="AK72" i="2"/>
  <c r="AG11" i="2"/>
  <c r="DB70" i="2"/>
  <c r="DA6" i="2"/>
  <c r="AF82" i="2"/>
  <c r="DK37" i="2"/>
  <c r="AL70" i="2"/>
  <c r="N33" i="2"/>
  <c r="R10" i="2"/>
  <c r="AX13" i="2"/>
  <c r="AC19" i="2"/>
  <c r="BZ26" i="2"/>
  <c r="AR9" i="2"/>
  <c r="AN16" i="2"/>
  <c r="DE63" i="2"/>
  <c r="AN40" i="2"/>
  <c r="M47" i="2"/>
  <c r="N70" i="2"/>
  <c r="X32" i="2"/>
  <c r="CG19" i="2"/>
  <c r="AF36" i="2"/>
  <c r="N54" i="2"/>
  <c r="AM9" i="2"/>
  <c r="AT86" i="2"/>
  <c r="E56" i="2"/>
  <c r="AR117" i="2"/>
  <c r="DB107" i="2"/>
  <c r="M104" i="2"/>
  <c r="DM100" i="2"/>
  <c r="AP99" i="2"/>
  <c r="AK135" i="2"/>
  <c r="O133" i="2"/>
  <c r="AC131" i="2"/>
  <c r="BS129" i="2"/>
  <c r="BA127" i="2"/>
  <c r="P133" i="2"/>
  <c r="CJ113" i="2"/>
  <c r="O106" i="2"/>
  <c r="AD103" i="2"/>
  <c r="AK100" i="2"/>
  <c r="Y135" i="2"/>
  <c r="CF132" i="2"/>
  <c r="BN130" i="2"/>
  <c r="BU127" i="2"/>
  <c r="AE125" i="2"/>
  <c r="AS123" i="2"/>
  <c r="W121" i="2"/>
  <c r="AA126" i="2"/>
  <c r="AK108" i="2"/>
  <c r="CY102" i="2"/>
  <c r="DH136" i="2"/>
  <c r="J134" i="2"/>
  <c r="AH130" i="2"/>
  <c r="CP126" i="2"/>
  <c r="D124" i="2"/>
  <c r="K121" i="2"/>
  <c r="Y119" i="2"/>
  <c r="AI117" i="2"/>
  <c r="Q115" i="2"/>
  <c r="AE113" i="2"/>
  <c r="T112" i="2"/>
  <c r="CL110" i="2"/>
  <c r="BC109" i="2"/>
  <c r="X108" i="2"/>
  <c r="CX106" i="2"/>
  <c r="F106" i="2"/>
  <c r="K105" i="2"/>
  <c r="DQ103" i="2"/>
  <c r="I103" i="2"/>
  <c r="AD102" i="2"/>
  <c r="S101" i="2"/>
  <c r="BK114" i="2"/>
  <c r="AO104" i="2"/>
  <c r="DF62" i="2"/>
  <c r="DG54" i="2"/>
  <c r="CW40" i="2"/>
  <c r="T45" i="2"/>
  <c r="CM21" i="2"/>
  <c r="CX8" i="2"/>
  <c r="AH70" i="2"/>
  <c r="AR7" i="2"/>
  <c r="U32" i="2"/>
  <c r="AG27" i="2"/>
  <c r="DP62" i="2"/>
  <c r="DL32" i="2"/>
  <c r="R58" i="2"/>
  <c r="AN36" i="2"/>
  <c r="BS57" i="2"/>
  <c r="G65" i="2"/>
  <c r="CN65" i="2"/>
  <c r="U27" i="2"/>
  <c r="AC39" i="2"/>
  <c r="P4" i="2"/>
  <c r="AD5" i="2"/>
  <c r="BU136" i="2"/>
  <c r="DF70" i="2"/>
  <c r="CJ133" i="2"/>
  <c r="V82" i="2"/>
  <c r="BD72" i="2"/>
  <c r="AK136" i="2"/>
  <c r="D113" i="2"/>
  <c r="DK106" i="2"/>
  <c r="AT103" i="2"/>
  <c r="CG100" i="2"/>
  <c r="BX136" i="2"/>
  <c r="BF134" i="2"/>
  <c r="CV132" i="2"/>
  <c r="DJ130" i="2"/>
  <c r="CN128" i="2"/>
  <c r="DB126" i="2"/>
  <c r="CS128" i="2"/>
  <c r="BG110" i="2"/>
  <c r="CF105" i="2"/>
  <c r="AM102" i="2"/>
  <c r="Z99" i="2"/>
  <c r="DB134" i="2"/>
  <c r="AN132" i="2"/>
  <c r="BC129" i="2"/>
  <c r="DF126" i="2"/>
  <c r="DL124" i="2"/>
  <c r="CT122" i="2"/>
  <c r="DD120" i="2"/>
  <c r="AI118" i="2"/>
  <c r="K106" i="2"/>
  <c r="S102" i="2"/>
  <c r="BH136" i="2"/>
  <c r="BT132" i="2"/>
  <c r="AA129" i="2"/>
  <c r="AT126" i="2"/>
  <c r="AG123" i="2"/>
  <c r="CN120" i="2"/>
  <c r="BZ118" i="2"/>
  <c r="BD116" i="2"/>
  <c r="CX114" i="2"/>
  <c r="K113" i="2"/>
  <c r="BY111" i="2"/>
  <c r="AT110" i="2"/>
  <c r="AI109" i="2"/>
  <c r="CW107" i="2"/>
  <c r="CH106" i="2"/>
  <c r="CM105" i="2"/>
  <c r="CB104" i="2"/>
  <c r="DA103" i="2"/>
  <c r="DF102" i="2"/>
  <c r="CU101" i="2"/>
  <c r="CZ100" i="2"/>
  <c r="BB111" i="2"/>
  <c r="BG102" i="2"/>
  <c r="BP15" i="3"/>
  <c r="BP16" i="6"/>
  <c r="AQ15" i="3"/>
  <c r="AQ16" i="6"/>
  <c r="AM15" i="3"/>
  <c r="AM16" i="6" s="1"/>
  <c r="Y15" i="3"/>
  <c r="Y16" i="6"/>
  <c r="BT15" i="3"/>
  <c r="BT16" i="6"/>
  <c r="BV19" i="3"/>
  <c r="BV20" i="6"/>
  <c r="BH19" i="3"/>
  <c r="BH20" i="6" s="1"/>
  <c r="BB19" i="3"/>
  <c r="BB20" i="6" s="1"/>
  <c r="AX19" i="3"/>
  <c r="AX20" i="6"/>
  <c r="AW19" i="3"/>
  <c r="AW20" i="6"/>
  <c r="AK19" i="3"/>
  <c r="AK20" i="6" s="1"/>
  <c r="L19" i="3"/>
  <c r="L20" i="6" s="1"/>
  <c r="AL19" i="3"/>
  <c r="AL20" i="6"/>
  <c r="DG19" i="3"/>
  <c r="DG20" i="6" s="1"/>
  <c r="AF19" i="3"/>
  <c r="AF20" i="6" s="1"/>
  <c r="C20" i="6"/>
  <c r="CD19" i="3"/>
  <c r="CD20" i="6"/>
  <c r="CM19" i="3"/>
  <c r="CM20" i="6"/>
  <c r="AN19" i="3"/>
  <c r="AN20" i="6" s="1"/>
  <c r="CL19" i="3"/>
  <c r="CL20" i="6"/>
  <c r="AH31" i="3"/>
  <c r="AH32" i="6"/>
  <c r="AP31" i="3"/>
  <c r="AP32" i="6"/>
  <c r="BV35" i="3"/>
  <c r="BV36" i="6" s="1"/>
  <c r="AW35" i="3"/>
  <c r="AW36" i="6"/>
  <c r="CC122" i="3"/>
  <c r="CC123" i="6"/>
  <c r="N114" i="3"/>
  <c r="N115" i="6"/>
  <c r="AN74" i="3"/>
  <c r="AN75" i="6" s="1"/>
  <c r="CP6" i="3"/>
  <c r="CP7" i="6"/>
  <c r="AU118" i="3"/>
  <c r="AU119" i="6"/>
  <c r="L74" i="3"/>
  <c r="L75" i="6"/>
  <c r="AW126" i="3"/>
  <c r="AW127" i="6" s="1"/>
  <c r="J32" i="3"/>
  <c r="J33" i="6"/>
  <c r="DA118" i="3"/>
  <c r="DA119" i="6"/>
  <c r="CW122" i="3"/>
  <c r="CW123" i="6"/>
  <c r="CE118" i="3"/>
  <c r="CE119" i="6" s="1"/>
  <c r="N106" i="3"/>
  <c r="N107" i="6"/>
  <c r="AG74" i="3"/>
  <c r="AG75" i="6"/>
  <c r="Q74" i="3"/>
  <c r="Q75" i="6"/>
  <c r="AJ6" i="3"/>
  <c r="AJ7" i="6" s="1"/>
  <c r="CJ6" i="3"/>
  <c r="CJ7" i="6"/>
  <c r="DD6" i="3"/>
  <c r="DD7" i="6"/>
  <c r="T126" i="3"/>
  <c r="T127" i="6"/>
  <c r="CB106" i="3"/>
  <c r="CB107" i="6" s="1"/>
  <c r="BK74" i="3"/>
  <c r="BK75" i="6"/>
  <c r="CI74" i="3"/>
  <c r="CI75" i="6"/>
  <c r="BO6" i="3"/>
  <c r="BO7" i="6"/>
  <c r="CS6" i="3"/>
  <c r="CS7" i="6" s="1"/>
  <c r="BI6" i="3"/>
  <c r="BI7" i="6"/>
  <c r="CL122" i="3"/>
  <c r="CL123" i="6"/>
  <c r="M126" i="3"/>
  <c r="M127" i="6"/>
  <c r="AM114" i="3"/>
  <c r="AM115" i="6" s="1"/>
  <c r="AL74" i="3"/>
  <c r="AL75" i="6"/>
  <c r="BJ74" i="3"/>
  <c r="BJ75" i="6"/>
  <c r="J6" i="3"/>
  <c r="J7" i="6"/>
  <c r="CN6" i="3"/>
  <c r="CN7" i="6" s="1"/>
  <c r="CN3" i="6" s="1"/>
  <c r="DH6" i="3"/>
  <c r="DH7" i="6" s="1"/>
  <c r="AI122" i="3"/>
  <c r="AI123" i="6" s="1"/>
  <c r="BU122" i="3"/>
  <c r="BU123" i="6"/>
  <c r="CV126" i="3"/>
  <c r="CV127" i="6" s="1"/>
  <c r="BI118" i="3"/>
  <c r="BI119" i="6" s="1"/>
  <c r="DC114" i="3"/>
  <c r="DC115" i="6"/>
  <c r="H106" i="3"/>
  <c r="H107" i="6"/>
  <c r="AE74" i="3"/>
  <c r="AE75" i="6"/>
  <c r="F74" i="3"/>
  <c r="F75" i="6" s="1"/>
  <c r="BT74" i="3"/>
  <c r="BT75" i="6"/>
  <c r="BM74" i="3"/>
  <c r="BM75" i="6"/>
  <c r="BC74" i="3"/>
  <c r="BC75" i="6"/>
  <c r="AD74" i="3"/>
  <c r="AD75" i="6" s="1"/>
  <c r="AR74" i="3"/>
  <c r="AR75" i="6"/>
  <c r="AS74" i="3"/>
  <c r="AS75" i="6"/>
  <c r="AF6" i="3"/>
  <c r="AF7" i="6" s="1"/>
  <c r="I6" i="3"/>
  <c r="I7" i="6" s="1"/>
  <c r="DN6" i="3"/>
  <c r="DN7" i="6" s="1"/>
  <c r="L6" i="3"/>
  <c r="L7" i="6"/>
  <c r="BD6" i="3"/>
  <c r="BD7" i="6"/>
  <c r="K6" i="3"/>
  <c r="K7" i="6" s="1"/>
  <c r="CD6" i="3"/>
  <c r="CD7" i="6" s="1"/>
  <c r="BM6" i="3"/>
  <c r="BM7" i="6"/>
  <c r="AT10" i="3"/>
  <c r="AT11" i="6"/>
  <c r="AY6" i="3"/>
  <c r="AY7" i="6" s="1"/>
  <c r="AF78" i="3"/>
  <c r="AF79" i="6" s="1"/>
  <c r="CX74" i="3"/>
  <c r="CX75" i="6"/>
  <c r="BG74" i="3"/>
  <c r="BG75" i="6"/>
  <c r="CV74" i="3"/>
  <c r="CV75" i="6" s="1"/>
  <c r="CS74" i="3"/>
  <c r="CS75" i="6" s="1"/>
  <c r="W74" i="3"/>
  <c r="W75" i="6"/>
  <c r="DK74" i="3"/>
  <c r="DK75" i="6" s="1"/>
  <c r="BX74" i="3"/>
  <c r="BX75" i="6" s="1"/>
  <c r="BY74" i="3"/>
  <c r="BY75" i="6"/>
  <c r="BU6" i="3"/>
  <c r="BU7" i="6"/>
  <c r="CR6" i="3"/>
  <c r="CR7" i="6"/>
  <c r="BG6" i="3"/>
  <c r="BG7" i="6" s="1"/>
  <c r="DC6" i="3"/>
  <c r="DC7" i="6" s="1"/>
  <c r="Y6" i="3"/>
  <c r="Y7" i="6"/>
  <c r="BW98" i="3"/>
  <c r="BW99" i="6" s="1"/>
  <c r="E6" i="3"/>
  <c r="E7" i="6" s="1"/>
  <c r="DC10" i="3"/>
  <c r="DC11" i="6" s="1"/>
  <c r="CL118" i="3"/>
  <c r="CL119" i="6"/>
  <c r="BN118" i="3"/>
  <c r="BN119" i="6" s="1"/>
  <c r="CS122" i="3"/>
  <c r="CS123" i="6" s="1"/>
  <c r="AG122" i="3"/>
  <c r="AG123" i="6"/>
  <c r="CD122" i="3"/>
  <c r="CD123" i="6"/>
  <c r="BU126" i="3"/>
  <c r="BU127" i="6"/>
  <c r="CT122" i="3"/>
  <c r="CT123" i="6" s="1"/>
  <c r="E114" i="3"/>
  <c r="E115" i="6" s="1"/>
  <c r="CQ74" i="3"/>
  <c r="CQ75" i="6"/>
  <c r="BR74" i="3"/>
  <c r="BR75" i="6" s="1"/>
  <c r="H74" i="3"/>
  <c r="H75" i="6" s="1"/>
  <c r="M74" i="3"/>
  <c r="M75" i="6"/>
  <c r="DO74" i="3"/>
  <c r="DO75" i="6"/>
  <c r="CP74" i="3"/>
  <c r="CP75" i="6"/>
  <c r="AY74" i="3"/>
  <c r="AY75" i="6" s="1"/>
  <c r="CZ74" i="3"/>
  <c r="CZ75" i="6"/>
  <c r="DE74" i="3"/>
  <c r="DE75" i="6"/>
  <c r="DQ6" i="3"/>
  <c r="DQ7" i="6"/>
  <c r="AZ6" i="3"/>
  <c r="AZ7" i="6" s="1"/>
  <c r="H6" i="3"/>
  <c r="H7" i="6"/>
  <c r="CI6" i="3"/>
  <c r="CI7" i="6"/>
  <c r="O6" i="3"/>
  <c r="O7" i="6" s="1"/>
  <c r="AC10" i="3"/>
  <c r="AC11" i="6" s="1"/>
  <c r="V6" i="3"/>
  <c r="V7" i="6"/>
  <c r="D3" i="1"/>
  <c r="DN72" i="3"/>
  <c r="DN73" i="6" s="1"/>
  <c r="AW72" i="3"/>
  <c r="AW73" i="6" s="1"/>
  <c r="U68" i="3"/>
  <c r="U69" i="6"/>
  <c r="AL13" i="3"/>
  <c r="AL14" i="6"/>
  <c r="BF13" i="3"/>
  <c r="BF14" i="6"/>
  <c r="O13" i="3"/>
  <c r="O14" i="6" s="1"/>
  <c r="DI13" i="3"/>
  <c r="DI14" i="6" s="1"/>
  <c r="CE13" i="3"/>
  <c r="CE14" i="6"/>
  <c r="AG13" i="3"/>
  <c r="AG14" i="6" s="1"/>
  <c r="DF13" i="3"/>
  <c r="DF14" i="6" s="1"/>
  <c r="Y13" i="3"/>
  <c r="Y14" i="6" s="1"/>
  <c r="K13" i="3"/>
  <c r="K14" i="6"/>
  <c r="CY13" i="3"/>
  <c r="CY14" i="6"/>
  <c r="BX13" i="3"/>
  <c r="BX14" i="6" s="1"/>
  <c r="DB13" i="3"/>
  <c r="DB14" i="6" s="1"/>
  <c r="H13" i="3"/>
  <c r="H14" i="6"/>
  <c r="CV13" i="3"/>
  <c r="CV14" i="6"/>
  <c r="CB13" i="3"/>
  <c r="CB14" i="6" s="1"/>
  <c r="E13" i="3"/>
  <c r="E14" i="6" s="1"/>
  <c r="BD13" i="3"/>
  <c r="BD14" i="6"/>
  <c r="AZ13" i="3"/>
  <c r="AZ14" i="6"/>
  <c r="BJ13" i="3"/>
  <c r="BJ14" i="6" s="1"/>
  <c r="DD13" i="3"/>
  <c r="DD14" i="6" s="1"/>
  <c r="AN13" i="3"/>
  <c r="AN14" i="6"/>
  <c r="DH13" i="3"/>
  <c r="DH14" i="6" s="1"/>
  <c r="CO13" i="3"/>
  <c r="CO14" i="6" s="1"/>
  <c r="BQ13" i="3"/>
  <c r="BQ14" i="6" s="1"/>
  <c r="DP13" i="3"/>
  <c r="DP14" i="6"/>
  <c r="P13" i="3"/>
  <c r="P14" i="6"/>
  <c r="V13" i="3"/>
  <c r="V14" i="6" s="1"/>
  <c r="AC13" i="3"/>
  <c r="AC14" i="6"/>
  <c r="AR13" i="3"/>
  <c r="AR14" i="6"/>
  <c r="DE13" i="3"/>
  <c r="DE14" i="6" s="1"/>
  <c r="BU13" i="3"/>
  <c r="BU14" i="6" s="1"/>
  <c r="G13" i="3"/>
  <c r="G14" i="6"/>
  <c r="AK13" i="3"/>
  <c r="AK14" i="6"/>
  <c r="BR13" i="3"/>
  <c r="BR14" i="6"/>
  <c r="CJ13" i="3"/>
  <c r="CJ14" i="6" s="1"/>
  <c r="BP13" i="3"/>
  <c r="BP14" i="6" s="1"/>
  <c r="AD13" i="3"/>
  <c r="AD14" i="6"/>
  <c r="BW13" i="3"/>
  <c r="BW14" i="6"/>
  <c r="AH13" i="3"/>
  <c r="AH14" i="6" s="1"/>
  <c r="L13" i="3"/>
  <c r="L14" i="6" s="1"/>
  <c r="CC13" i="3"/>
  <c r="CC14" i="6"/>
  <c r="N13" i="3"/>
  <c r="N14" i="6" s="1"/>
  <c r="DA13" i="3"/>
  <c r="DA14" i="6" s="1"/>
  <c r="BL13" i="3"/>
  <c r="BL14" i="6" s="1"/>
  <c r="S13" i="3"/>
  <c r="S14" i="6"/>
  <c r="AT13" i="3"/>
  <c r="AT14" i="6"/>
  <c r="BI13" i="3"/>
  <c r="BI14" i="6" s="1"/>
  <c r="DJ13" i="3"/>
  <c r="DJ14" i="6" s="1"/>
  <c r="AY13" i="3"/>
  <c r="AY14" i="6"/>
  <c r="BZ13" i="3"/>
  <c r="BZ14" i="6"/>
  <c r="CH13" i="3"/>
  <c r="CH14" i="6" s="1"/>
  <c r="R13" i="3"/>
  <c r="R14" i="6" s="1"/>
  <c r="BH13" i="3"/>
  <c r="BH14" i="6"/>
  <c r="AA13" i="3"/>
  <c r="AA14" i="6"/>
  <c r="DO13" i="3"/>
  <c r="DO14" i="6" s="1"/>
  <c r="AI13" i="3"/>
  <c r="AI14" i="6" s="1"/>
  <c r="AO13" i="3"/>
  <c r="AO14" i="6"/>
  <c r="J13" i="3"/>
  <c r="J14" i="6" s="1"/>
  <c r="CS13" i="3"/>
  <c r="CS14" i="6" s="1"/>
  <c r="AX13" i="3"/>
  <c r="AX14" i="6" s="1"/>
  <c r="BC13" i="3"/>
  <c r="BC14" i="6"/>
  <c r="CX13" i="3"/>
  <c r="CX14" i="6"/>
  <c r="BO13" i="3"/>
  <c r="BO14" i="6" s="1"/>
  <c r="BN13" i="3"/>
  <c r="BN14" i="6" s="1"/>
  <c r="AQ13" i="3"/>
  <c r="AQ14" i="6"/>
  <c r="CT13" i="3"/>
  <c r="CT14" i="6"/>
  <c r="CL13" i="3"/>
  <c r="CL14" i="6" s="1"/>
  <c r="AE13" i="3"/>
  <c r="AE14" i="6" s="1"/>
  <c r="M13" i="3"/>
  <c r="M14" i="6"/>
  <c r="DQ13" i="3"/>
  <c r="DQ14" i="6"/>
  <c r="BA13" i="3"/>
  <c r="BA14" i="6" s="1"/>
  <c r="AS13" i="3"/>
  <c r="AS14" i="6" s="1"/>
  <c r="CR13" i="3"/>
  <c r="CR14" i="6"/>
  <c r="CM13" i="3"/>
  <c r="CM14" i="6" s="1"/>
  <c r="U13" i="3"/>
  <c r="U14" i="6" s="1"/>
  <c r="CK13" i="3"/>
  <c r="CK14" i="6" s="1"/>
  <c r="AW13" i="3"/>
  <c r="AW14" i="6"/>
  <c r="C14" i="6"/>
  <c r="I13" i="3"/>
  <c r="I14" i="6"/>
  <c r="CN13" i="3"/>
  <c r="CN14" i="6" s="1"/>
  <c r="X13" i="3"/>
  <c r="X14" i="6"/>
  <c r="AV13" i="3"/>
  <c r="AV14" i="6"/>
  <c r="CG13" i="3"/>
  <c r="CG14" i="6"/>
  <c r="Q13" i="3"/>
  <c r="Q14" i="6" s="1"/>
  <c r="CP13" i="3"/>
  <c r="CP14" i="6"/>
  <c r="CI13" i="3"/>
  <c r="CI14" i="6"/>
  <c r="CD13" i="3"/>
  <c r="CD14" i="6" s="1"/>
  <c r="AP13" i="3"/>
  <c r="AP14" i="6" s="1"/>
  <c r="CU13" i="3"/>
  <c r="CU14" i="6"/>
  <c r="F13" i="3"/>
  <c r="F14" i="6"/>
  <c r="BE13" i="3"/>
  <c r="BE14" i="6"/>
  <c r="T13" i="3"/>
  <c r="T14" i="6" s="1"/>
  <c r="BS13" i="3"/>
  <c r="BS14" i="6"/>
  <c r="AF13" i="3"/>
  <c r="AF14" i="6"/>
  <c r="DM13" i="3"/>
  <c r="DM14" i="6" s="1"/>
  <c r="BT13" i="3"/>
  <c r="BT14" i="6" s="1"/>
  <c r="BM13" i="3"/>
  <c r="BM14" i="6"/>
  <c r="CF13" i="3"/>
  <c r="CF14" i="6"/>
  <c r="Z13" i="3"/>
  <c r="Z14" i="6"/>
  <c r="DC13" i="3"/>
  <c r="DC14" i="6" s="1"/>
  <c r="AB13" i="3"/>
  <c r="AB14" i="6"/>
  <c r="BK13" i="3"/>
  <c r="BK14" i="6"/>
  <c r="AU13" i="3"/>
  <c r="AU14" i="6"/>
  <c r="DK13" i="3"/>
  <c r="DK14" i="6" s="1"/>
  <c r="CA13" i="3"/>
  <c r="CA14" i="6"/>
  <c r="DL13" i="3"/>
  <c r="DL14" i="6"/>
  <c r="AM13" i="3"/>
  <c r="AM14" i="6" s="1"/>
  <c r="BY13" i="3"/>
  <c r="BY14" i="6" s="1"/>
  <c r="W13" i="3"/>
  <c r="W14" i="6"/>
  <c r="CQ13" i="3"/>
  <c r="CQ14" i="6"/>
  <c r="AX17" i="3"/>
  <c r="AX18" i="6"/>
  <c r="AA17" i="3"/>
  <c r="AA18" i="6" s="1"/>
  <c r="Y17" i="3"/>
  <c r="Y18" i="6"/>
  <c r="AI17" i="3"/>
  <c r="AI18" i="6"/>
  <c r="BP17" i="3"/>
  <c r="BP18" i="6"/>
  <c r="AV17" i="3"/>
  <c r="AV18" i="6" s="1"/>
  <c r="E17" i="3"/>
  <c r="E18" i="6"/>
  <c r="BG17" i="3"/>
  <c r="BG18" i="6"/>
  <c r="AZ17" i="3"/>
  <c r="AZ18" i="6" s="1"/>
  <c r="AW17" i="3"/>
  <c r="AW18" i="6" s="1"/>
  <c r="BY17" i="3"/>
  <c r="BY18" i="6"/>
  <c r="DQ17" i="3"/>
  <c r="DQ18" i="6"/>
  <c r="AY17" i="3"/>
  <c r="AY18" i="6"/>
  <c r="CJ17" i="3"/>
  <c r="CJ18" i="6" s="1"/>
  <c r="U17" i="3"/>
  <c r="U18" i="6"/>
  <c r="CI17" i="3"/>
  <c r="CI18" i="6"/>
  <c r="CK17" i="3"/>
  <c r="CK18" i="6" s="1"/>
  <c r="DK17" i="3"/>
  <c r="DK18" i="6" s="1"/>
  <c r="M17" i="3"/>
  <c r="M18" i="6"/>
  <c r="CL17" i="3"/>
  <c r="CL18" i="6"/>
  <c r="BE17" i="3"/>
  <c r="BE18" i="6"/>
  <c r="AR17" i="3"/>
  <c r="AR18" i="6" s="1"/>
  <c r="BZ17" i="3"/>
  <c r="BZ18" i="6" s="1"/>
  <c r="AP17" i="3"/>
  <c r="AP18" i="6"/>
  <c r="BN17" i="3"/>
  <c r="BN18" i="6" s="1"/>
  <c r="AK17" i="3"/>
  <c r="AK18" i="6" s="1"/>
  <c r="BV17" i="3"/>
  <c r="BV18" i="6"/>
  <c r="AF17" i="3"/>
  <c r="AF18" i="6"/>
  <c r="DE17" i="3"/>
  <c r="DE18" i="6"/>
  <c r="AQ17" i="3"/>
  <c r="AQ18" i="6" s="1"/>
  <c r="W17" i="3"/>
  <c r="W18" i="6"/>
  <c r="J17" i="3"/>
  <c r="J18" i="6"/>
  <c r="CN17" i="3"/>
  <c r="CN18" i="6"/>
  <c r="DL17" i="3"/>
  <c r="DL18" i="6" s="1"/>
  <c r="DN17" i="3"/>
  <c r="DN18" i="6" s="1"/>
  <c r="CQ17" i="3"/>
  <c r="CQ18" i="6"/>
  <c r="AM17" i="3"/>
  <c r="AM18" i="6"/>
  <c r="AG17" i="3"/>
  <c r="AG18" i="6" s="1"/>
  <c r="BQ17" i="3"/>
  <c r="BQ18" i="6" s="1"/>
  <c r="S17" i="3"/>
  <c r="S18" i="6"/>
  <c r="CE17" i="3"/>
  <c r="CE18" i="6"/>
  <c r="G17" i="3"/>
  <c r="G18" i="6" s="1"/>
  <c r="DP17" i="3"/>
  <c r="DP18" i="6" s="1"/>
  <c r="DO17" i="3"/>
  <c r="DO18" i="6"/>
  <c r="DB17" i="3"/>
  <c r="DB18" i="6" s="1"/>
  <c r="BX17" i="3"/>
  <c r="BX18" i="6" s="1"/>
  <c r="CW17" i="3"/>
  <c r="CW18" i="6" s="1"/>
  <c r="BU17" i="3"/>
  <c r="BU18" i="6"/>
  <c r="O17" i="3"/>
  <c r="O18" i="6"/>
  <c r="CZ17" i="3"/>
  <c r="CZ18" i="6" s="1"/>
  <c r="AO17" i="3"/>
  <c r="AO18" i="6" s="1"/>
  <c r="CT17" i="3"/>
  <c r="CT18" i="6"/>
  <c r="AU17" i="3"/>
  <c r="AU18" i="6"/>
  <c r="Q17" i="3"/>
  <c r="Q18" i="6" s="1"/>
  <c r="Z17" i="3"/>
  <c r="Z18" i="6" s="1"/>
  <c r="BB17" i="3"/>
  <c r="BB18" i="6"/>
  <c r="CV17" i="3"/>
  <c r="CV18" i="6"/>
  <c r="DF17" i="3"/>
  <c r="DF18" i="6" s="1"/>
  <c r="BF17" i="3"/>
  <c r="BF18" i="6" s="1"/>
  <c r="D17" i="3"/>
  <c r="D18" i="6"/>
  <c r="AB17" i="3"/>
  <c r="AB18" i="6" s="1"/>
  <c r="BS17" i="3"/>
  <c r="BS18" i="6" s="1"/>
  <c r="CG17" i="3"/>
  <c r="CG18" i="6"/>
  <c r="BW17" i="3"/>
  <c r="BW18" i="6"/>
  <c r="DC17" i="3"/>
  <c r="DC18" i="6"/>
  <c r="BO17" i="3"/>
  <c r="BO18" i="6" s="1"/>
  <c r="DM17" i="3"/>
  <c r="DM18" i="6" s="1"/>
  <c r="AL17" i="3"/>
  <c r="AL18" i="6"/>
  <c r="I17" i="3"/>
  <c r="I18" i="6" s="1"/>
  <c r="C18" i="6"/>
  <c r="CH17" i="3"/>
  <c r="CH18" i="6"/>
  <c r="CO17" i="3"/>
  <c r="CO18" i="6"/>
  <c r="N17" i="3"/>
  <c r="N18" i="6"/>
  <c r="DD17" i="3"/>
  <c r="DD18" i="6" s="1"/>
  <c r="AC17" i="3"/>
  <c r="AC18" i="6"/>
  <c r="BH17" i="3"/>
  <c r="BH18" i="6"/>
  <c r="R17" i="3"/>
  <c r="R18" i="6" s="1"/>
  <c r="CC17" i="3"/>
  <c r="CC18" i="6" s="1"/>
  <c r="BI17" i="3"/>
  <c r="BI18" i="6"/>
  <c r="CP17" i="3"/>
  <c r="CP18" i="6"/>
  <c r="AE17" i="3"/>
  <c r="AE18" i="6"/>
  <c r="X17" i="3"/>
  <c r="X18" i="6" s="1"/>
  <c r="L17" i="3"/>
  <c r="L18" i="6"/>
  <c r="BL17" i="3"/>
  <c r="BL18" i="6"/>
  <c r="DA17" i="3"/>
  <c r="DA18" i="6"/>
  <c r="CY17" i="3"/>
  <c r="CY18" i="6" s="1"/>
  <c r="AS17" i="3"/>
  <c r="AS18" i="6"/>
  <c r="BK17" i="3"/>
  <c r="BK18" i="6"/>
  <c r="AN17" i="3"/>
  <c r="AN18" i="6" s="1"/>
  <c r="CA17" i="3"/>
  <c r="CA18" i="6" s="1"/>
  <c r="AT17" i="3"/>
  <c r="AT18" i="6"/>
  <c r="BC17" i="3"/>
  <c r="BC18" i="6"/>
  <c r="BA17" i="3"/>
  <c r="BA18" i="6"/>
  <c r="DI17" i="3"/>
  <c r="DI18" i="6" s="1"/>
  <c r="V17" i="3"/>
  <c r="V18" i="6"/>
  <c r="CU17" i="3"/>
  <c r="CU18" i="6"/>
  <c r="CM17" i="3"/>
  <c r="CM18" i="6"/>
  <c r="P17" i="3"/>
  <c r="P18" i="6" s="1"/>
  <c r="CF17" i="3"/>
  <c r="CF18" i="6"/>
  <c r="T17" i="3"/>
  <c r="T18" i="6"/>
  <c r="AJ17" i="3"/>
  <c r="AJ18" i="6" s="1"/>
  <c r="AH17" i="3"/>
  <c r="AH18" i="6" s="1"/>
  <c r="DJ17" i="3"/>
  <c r="DJ18" i="6"/>
  <c r="F17" i="3"/>
  <c r="F18" i="6"/>
  <c r="BJ17" i="3"/>
  <c r="BJ18" i="6"/>
  <c r="DH17" i="3"/>
  <c r="DH18" i="6" s="1"/>
  <c r="BD17" i="3"/>
  <c r="BD18" i="6"/>
  <c r="CD17" i="3"/>
  <c r="CD18" i="6"/>
  <c r="CS17" i="3"/>
  <c r="CS18" i="6" s="1"/>
  <c r="BM17" i="3"/>
  <c r="BM18" i="6" s="1"/>
  <c r="CB17" i="3"/>
  <c r="CB18" i="6"/>
  <c r="DN29" i="3"/>
  <c r="DN30" i="6"/>
  <c r="CG29" i="3"/>
  <c r="CG30" i="6"/>
  <c r="AD29" i="3"/>
  <c r="AD30" i="6" s="1"/>
  <c r="V29" i="3"/>
  <c r="V30" i="6" s="1"/>
  <c r="AV29" i="3"/>
  <c r="AV30" i="6"/>
  <c r="CV29" i="3"/>
  <c r="CV30" i="6" s="1"/>
  <c r="CK29" i="3"/>
  <c r="CK30" i="6" s="1"/>
  <c r="CO29" i="3"/>
  <c r="CO30" i="6" s="1"/>
  <c r="BV29" i="3"/>
  <c r="BV30" i="6"/>
  <c r="BR29" i="3"/>
  <c r="BR30" i="6"/>
  <c r="BO29" i="3"/>
  <c r="BO30" i="6" s="1"/>
  <c r="BE29" i="3"/>
  <c r="BE30" i="6" s="1"/>
  <c r="CW29" i="3"/>
  <c r="CW30" i="6"/>
  <c r="T29" i="3"/>
  <c r="T30" i="6"/>
  <c r="CH29" i="3"/>
  <c r="CH30" i="6" s="1"/>
  <c r="DJ29" i="3"/>
  <c r="DJ30" i="6" s="1"/>
  <c r="DL29" i="3"/>
  <c r="DL30" i="6"/>
  <c r="BY29" i="3"/>
  <c r="BY30" i="6"/>
  <c r="CS29" i="3"/>
  <c r="CS30" i="6" s="1"/>
  <c r="AP29" i="3"/>
  <c r="AP30" i="6"/>
  <c r="DP29" i="3"/>
  <c r="DP30" i="6"/>
  <c r="AK29" i="3"/>
  <c r="AK30" i="6"/>
  <c r="CT29" i="3"/>
  <c r="CT30" i="6" s="1"/>
  <c r="W29" i="3"/>
  <c r="W30" i="6" s="1"/>
  <c r="I29" i="3"/>
  <c r="I30" i="6"/>
  <c r="AH29" i="3"/>
  <c r="AH30" i="6"/>
  <c r="DC29" i="3"/>
  <c r="DC30" i="6" s="1"/>
  <c r="AR29" i="3"/>
  <c r="AR30" i="6" s="1"/>
  <c r="O29" i="3"/>
  <c r="O30" i="6"/>
  <c r="AB29" i="3"/>
  <c r="AB30" i="6" s="1"/>
  <c r="C30" i="6"/>
  <c r="AJ29" i="3"/>
  <c r="AJ30" i="6" s="1"/>
  <c r="DK29" i="3"/>
  <c r="DK30" i="6" s="1"/>
  <c r="Z29" i="3"/>
  <c r="Z30" i="6"/>
  <c r="AE29" i="3"/>
  <c r="AE30" i="6"/>
  <c r="L29" i="3"/>
  <c r="L30" i="6" s="1"/>
  <c r="AM29" i="3"/>
  <c r="AM30" i="6" s="1"/>
  <c r="CC29" i="3"/>
  <c r="CC30" i="6"/>
  <c r="CD29" i="3"/>
  <c r="CD30" i="6"/>
  <c r="BD29" i="3"/>
  <c r="BD30" i="6" s="1"/>
  <c r="AN29" i="3"/>
  <c r="AN30" i="6" s="1"/>
  <c r="AW29" i="3"/>
  <c r="AW30" i="6"/>
  <c r="CP29" i="3"/>
  <c r="CP30" i="6" s="1"/>
  <c r="BX29" i="3"/>
  <c r="BX30" i="6" s="1"/>
  <c r="BP29" i="3"/>
  <c r="BP30" i="6" s="1"/>
  <c r="CZ29" i="3"/>
  <c r="CZ30" i="6"/>
  <c r="CA29" i="3"/>
  <c r="CA30" i="6"/>
  <c r="DE29" i="3"/>
  <c r="DE30" i="6" s="1"/>
  <c r="AX29" i="3"/>
  <c r="AX30" i="6" s="1"/>
  <c r="AO29" i="3"/>
  <c r="AO30" i="6"/>
  <c r="Y29" i="3"/>
  <c r="Y30" i="6"/>
  <c r="D29" i="3"/>
  <c r="D30" i="6" s="1"/>
  <c r="CB29" i="3"/>
  <c r="CB30" i="6" s="1"/>
  <c r="CF29" i="3"/>
  <c r="CF30" i="6"/>
  <c r="DQ29" i="3"/>
  <c r="DQ30" i="6"/>
  <c r="BZ29" i="3"/>
  <c r="BZ30" i="6" s="1"/>
  <c r="DH29" i="3"/>
  <c r="DH30" i="6" s="1"/>
  <c r="Q29" i="3"/>
  <c r="Q30" i="6"/>
  <c r="CJ29" i="3"/>
  <c r="CJ30" i="6" s="1"/>
  <c r="DF29" i="3"/>
  <c r="DF30" i="6" s="1"/>
  <c r="AF29" i="3"/>
  <c r="AF30" i="6" s="1"/>
  <c r="CY29" i="3"/>
  <c r="CY30" i="6"/>
  <c r="DI29" i="3"/>
  <c r="DI30" i="6"/>
  <c r="AA29" i="3"/>
  <c r="AA30" i="6" s="1"/>
  <c r="DM29" i="3"/>
  <c r="DM30" i="6" s="1"/>
  <c r="BF29" i="3"/>
  <c r="BF30" i="6"/>
  <c r="CQ29" i="3"/>
  <c r="CQ30" i="6"/>
  <c r="BG29" i="3"/>
  <c r="BG30" i="6" s="1"/>
  <c r="H29" i="3"/>
  <c r="H30" i="6" s="1"/>
  <c r="BT29" i="3"/>
  <c r="BT30" i="6"/>
  <c r="AU29" i="3"/>
  <c r="AU30" i="6"/>
  <c r="AI29" i="3"/>
  <c r="AI30" i="6" s="1"/>
  <c r="BI29" i="3"/>
  <c r="BI30" i="6" s="1"/>
  <c r="R29" i="3"/>
  <c r="R30" i="6"/>
  <c r="BK29" i="3"/>
  <c r="BK30" i="6" s="1"/>
  <c r="CM29" i="3"/>
  <c r="CM30" i="6" s="1"/>
  <c r="BQ29" i="3"/>
  <c r="BQ30" i="6" s="1"/>
  <c r="BW29" i="3"/>
  <c r="BW30" i="6"/>
  <c r="J29" i="3"/>
  <c r="J30" i="6"/>
  <c r="BM29" i="3"/>
  <c r="BM30" i="6" s="1"/>
  <c r="DB29" i="3"/>
  <c r="DB30" i="6" s="1"/>
  <c r="DO29" i="3"/>
  <c r="DO30" i="6"/>
  <c r="AL29" i="3"/>
  <c r="AL30" i="6"/>
  <c r="DA29" i="3"/>
  <c r="DA30" i="6" s="1"/>
  <c r="AT29" i="3"/>
  <c r="AT30" i="6" s="1"/>
  <c r="BH29" i="3"/>
  <c r="BH30" i="6"/>
  <c r="P29" i="3"/>
  <c r="P30" i="6"/>
  <c r="DD29" i="3"/>
  <c r="DD30" i="6" s="1"/>
  <c r="AZ29" i="3"/>
  <c r="AZ30" i="6" s="1"/>
  <c r="M29" i="3"/>
  <c r="M30" i="6"/>
  <c r="DG29" i="3"/>
  <c r="DG30" i="6" s="1"/>
  <c r="CN29" i="3"/>
  <c r="CN30" i="6" s="1"/>
  <c r="U29" i="3"/>
  <c r="U30" i="6" s="1"/>
  <c r="BB29" i="3"/>
  <c r="BB30" i="6"/>
  <c r="BU29" i="3"/>
  <c r="BU30" i="6"/>
  <c r="CL29" i="3"/>
  <c r="CL30" i="6" s="1"/>
  <c r="BC29" i="3"/>
  <c r="BC30" i="6" s="1"/>
  <c r="AC29" i="3"/>
  <c r="AC30" i="6"/>
  <c r="K29" i="3"/>
  <c r="K30" i="6"/>
  <c r="BS29" i="3"/>
  <c r="BS30" i="6" s="1"/>
  <c r="AY29" i="3"/>
  <c r="AY30" i="6" s="1"/>
  <c r="S29" i="3"/>
  <c r="S30" i="6"/>
  <c r="AS29" i="3"/>
  <c r="AS30" i="6"/>
  <c r="X29" i="3"/>
  <c r="X30" i="6" s="1"/>
  <c r="F29" i="3"/>
  <c r="F30" i="6" s="1"/>
  <c r="BJ29" i="3"/>
  <c r="BJ30" i="6"/>
  <c r="CX29" i="3"/>
  <c r="CX30" i="6" s="1"/>
  <c r="BN29" i="3"/>
  <c r="BN30" i="6" s="1"/>
  <c r="AG29" i="3"/>
  <c r="AG30" i="6" s="1"/>
  <c r="S53" i="3"/>
  <c r="S54" i="6"/>
  <c r="AV53" i="3"/>
  <c r="AV54" i="6"/>
  <c r="DM53" i="3"/>
  <c r="DM54" i="6" s="1"/>
  <c r="DH53" i="3"/>
  <c r="DH54" i="6" s="1"/>
  <c r="BE53" i="3"/>
  <c r="BE54" i="6"/>
  <c r="BR53" i="3"/>
  <c r="BR54" i="6"/>
  <c r="DE53" i="3"/>
  <c r="DE54" i="6" s="1"/>
  <c r="AI53" i="3"/>
  <c r="AI54" i="6" s="1"/>
  <c r="CP53" i="3"/>
  <c r="CP54" i="6"/>
  <c r="BW53" i="3"/>
  <c r="BW54" i="6"/>
  <c r="R53" i="3"/>
  <c r="R54" i="6" s="1"/>
  <c r="AB53" i="3"/>
  <c r="AB54" i="6"/>
  <c r="AG53" i="3"/>
  <c r="AG54" i="6"/>
  <c r="DC53" i="3"/>
  <c r="DC54" i="6"/>
  <c r="CL53" i="3"/>
  <c r="CL54" i="6" s="1"/>
  <c r="DB53" i="3"/>
  <c r="DB54" i="6" s="1"/>
  <c r="AC53" i="3"/>
  <c r="AC54" i="6"/>
  <c r="DJ53" i="3"/>
  <c r="DJ54" i="6"/>
  <c r="AX53" i="3"/>
  <c r="AX54" i="6" s="1"/>
  <c r="CK53" i="3"/>
  <c r="CK54" i="6" s="1"/>
  <c r="M53" i="3"/>
  <c r="M54" i="6"/>
  <c r="AW53" i="3"/>
  <c r="AW54" i="6" s="1"/>
  <c r="DK53" i="3"/>
  <c r="DK54" i="6" s="1"/>
  <c r="S57" i="3"/>
  <c r="S58" i="6"/>
  <c r="AJ57" i="3"/>
  <c r="AJ58" i="6"/>
  <c r="DP57" i="3"/>
  <c r="DP58" i="6"/>
  <c r="X57" i="3"/>
  <c r="X58" i="6" s="1"/>
  <c r="J57" i="3"/>
  <c r="J58" i="6" s="1"/>
  <c r="AT57" i="3"/>
  <c r="AT58" i="6"/>
  <c r="N57" i="3"/>
  <c r="N58" i="6"/>
  <c r="BO57" i="3"/>
  <c r="BO58" i="6" s="1"/>
  <c r="C58" i="6"/>
  <c r="L57" i="3"/>
  <c r="L58" i="6"/>
  <c r="AE57" i="3"/>
  <c r="AE58" i="6" s="1"/>
  <c r="AP57" i="3"/>
  <c r="AP58" i="6" s="1"/>
  <c r="CX57" i="3"/>
  <c r="CX58" i="6" s="1"/>
  <c r="BR57" i="3"/>
  <c r="BR58" i="6"/>
  <c r="BE57" i="3"/>
  <c r="BE58" i="6"/>
  <c r="CU57" i="3"/>
  <c r="CU58" i="6" s="1"/>
  <c r="BC57" i="3"/>
  <c r="BC58" i="6" s="1"/>
  <c r="G57" i="3"/>
  <c r="G58" i="6"/>
  <c r="CJ57" i="3"/>
  <c r="CJ58" i="6"/>
  <c r="BM57" i="3"/>
  <c r="BM58" i="6" s="1"/>
  <c r="CO57" i="3"/>
  <c r="CO58" i="6" s="1"/>
  <c r="BI57" i="3"/>
  <c r="BI58" i="6"/>
  <c r="CC57" i="3"/>
  <c r="CC58" i="6"/>
  <c r="CV57" i="3"/>
  <c r="CV58" i="6" s="1"/>
  <c r="CE57" i="3"/>
  <c r="CE58" i="6" s="1"/>
  <c r="D57" i="3"/>
  <c r="D58" i="6"/>
  <c r="AI57" i="3"/>
  <c r="AI58" i="6" s="1"/>
  <c r="V57" i="3"/>
  <c r="V58" i="6" s="1"/>
  <c r="U57" i="3"/>
  <c r="U58" i="6" s="1"/>
  <c r="BP57" i="3"/>
  <c r="BP58" i="6"/>
  <c r="CL57" i="3"/>
  <c r="CL58" i="6"/>
  <c r="W57" i="3"/>
  <c r="W58" i="6" s="1"/>
  <c r="CN57" i="3"/>
  <c r="CN58" i="6"/>
  <c r="CZ57" i="3"/>
  <c r="CZ58" i="6"/>
  <c r="AS57" i="3"/>
  <c r="AS58" i="6" s="1"/>
  <c r="AW57" i="3"/>
  <c r="AW58" i="6" s="1"/>
  <c r="Q57" i="3"/>
  <c r="Q58" i="6" s="1"/>
  <c r="BA57" i="3"/>
  <c r="BA58" i="6"/>
  <c r="CI57" i="3"/>
  <c r="CI58" i="6" s="1"/>
  <c r="AM57" i="3"/>
  <c r="AM58" i="6" s="1"/>
  <c r="BT57" i="3"/>
  <c r="BT58" i="6" s="1"/>
  <c r="BY57" i="3"/>
  <c r="BY58" i="6"/>
  <c r="DA57" i="3"/>
  <c r="DA58" i="6"/>
  <c r="BU57" i="3"/>
  <c r="BU58" i="6" s="1"/>
  <c r="R57" i="3"/>
  <c r="R58" i="6" s="1"/>
  <c r="I57" i="3"/>
  <c r="I58" i="6"/>
  <c r="O57" i="3"/>
  <c r="O58" i="6"/>
  <c r="T57" i="3"/>
  <c r="T58" i="6" s="1"/>
  <c r="DN57" i="3"/>
  <c r="DN58" i="6" s="1"/>
  <c r="AY57" i="3"/>
  <c r="AY58" i="6"/>
  <c r="BG57" i="3"/>
  <c r="BG58" i="6" s="1"/>
  <c r="DH57" i="3"/>
  <c r="DH58" i="6" s="1"/>
  <c r="BN57" i="3"/>
  <c r="BN58" i="6" s="1"/>
  <c r="H57" i="3"/>
  <c r="H58" i="6"/>
  <c r="AC57" i="3"/>
  <c r="AC58" i="6" s="1"/>
  <c r="BD57" i="3"/>
  <c r="BD58" i="6" s="1"/>
  <c r="BZ57" i="3"/>
  <c r="BZ58" i="6" s="1"/>
  <c r="BW57" i="3"/>
  <c r="BW58" i="6"/>
  <c r="CB57" i="3"/>
  <c r="CB58" i="6"/>
  <c r="CS57" i="3"/>
  <c r="CS58" i="6" s="1"/>
  <c r="BS57" i="3"/>
  <c r="BS58" i="6" s="1"/>
  <c r="AB57" i="3"/>
  <c r="AB58" i="6"/>
  <c r="BL57" i="3"/>
  <c r="BL58" i="6"/>
  <c r="AA57" i="3"/>
  <c r="AA58" i="6" s="1"/>
  <c r="CP57" i="3"/>
  <c r="CP58" i="6" s="1"/>
  <c r="AU57" i="3"/>
  <c r="AU58" i="6"/>
  <c r="AG57" i="3"/>
  <c r="AG58" i="6" s="1"/>
  <c r="E57" i="3"/>
  <c r="E58" i="6" s="1"/>
  <c r="BJ57" i="3"/>
  <c r="BJ58" i="6" s="1"/>
  <c r="DL57" i="3"/>
  <c r="DL58" i="6"/>
  <c r="AV57" i="3"/>
  <c r="AV58" i="6" s="1"/>
  <c r="DI57" i="3"/>
  <c r="DI58" i="6" s="1"/>
  <c r="BC69" i="3"/>
  <c r="BC70" i="6" s="1"/>
  <c r="CA69" i="3"/>
  <c r="CA70" i="6"/>
  <c r="CY69" i="3"/>
  <c r="CY70" i="6"/>
  <c r="AJ69" i="3"/>
  <c r="AJ70" i="6" s="1"/>
  <c r="O69" i="3"/>
  <c r="O70" i="6" s="1"/>
  <c r="DL69" i="3"/>
  <c r="DL70" i="6"/>
  <c r="AE69" i="3"/>
  <c r="AE70" i="6"/>
  <c r="CD69" i="3"/>
  <c r="CD70" i="6" s="1"/>
  <c r="AX69" i="3"/>
  <c r="AX70" i="6" s="1"/>
  <c r="R69" i="3"/>
  <c r="R70" i="6"/>
  <c r="DA69" i="3"/>
  <c r="DA70" i="6" s="1"/>
  <c r="BU69" i="3"/>
  <c r="BU70" i="6" s="1"/>
  <c r="AO69" i="3"/>
  <c r="AO70" i="6" s="1"/>
  <c r="I69" i="3"/>
  <c r="I70" i="6"/>
  <c r="BG69" i="3"/>
  <c r="BG70" i="6" s="1"/>
  <c r="H69" i="3"/>
  <c r="H70" i="6" s="1"/>
  <c r="BT69" i="3"/>
  <c r="BT70" i="6"/>
  <c r="DB69" i="3"/>
  <c r="DB70" i="6" s="1"/>
  <c r="CH69" i="3"/>
  <c r="CH70" i="6"/>
  <c r="V69" i="3"/>
  <c r="V70" i="6" s="1"/>
  <c r="BY69" i="3"/>
  <c r="BY70" i="6" s="1"/>
  <c r="M69" i="3"/>
  <c r="M70" i="6"/>
  <c r="DK69" i="3"/>
  <c r="DK70" i="6"/>
  <c r="AD69" i="3"/>
  <c r="AD70" i="6" s="1"/>
  <c r="CG69" i="3"/>
  <c r="CG70" i="6" s="1"/>
  <c r="U69" i="3"/>
  <c r="U70" i="6"/>
  <c r="CU69" i="3"/>
  <c r="CU70" i="6"/>
  <c r="DH69" i="3"/>
  <c r="DH70" i="6" s="1"/>
  <c r="AF69" i="3"/>
  <c r="AF70" i="6" s="1"/>
  <c r="DD69" i="3"/>
  <c r="DD70" i="6"/>
  <c r="AB69" i="3"/>
  <c r="AB70" i="6"/>
  <c r="L69" i="3"/>
  <c r="L70" i="6" s="1"/>
  <c r="G69" i="3"/>
  <c r="G70" i="6" s="1"/>
  <c r="D69" i="3"/>
  <c r="D70" i="6"/>
  <c r="AM69" i="3"/>
  <c r="AM70" i="6"/>
  <c r="CF69" i="3"/>
  <c r="CF70" i="6" s="1"/>
  <c r="CQ69" i="3"/>
  <c r="CQ70" i="6" s="1"/>
  <c r="BV69" i="3"/>
  <c r="BV70" i="6"/>
  <c r="AP69" i="3"/>
  <c r="AP70" i="6"/>
  <c r="J69" i="3"/>
  <c r="J70" i="6" s="1"/>
  <c r="CS69" i="3"/>
  <c r="CS70" i="6" s="1"/>
  <c r="BM69" i="3"/>
  <c r="BM70" i="6"/>
  <c r="AG69" i="3"/>
  <c r="AG70" i="6"/>
  <c r="K69" i="3"/>
  <c r="K70" i="6" s="1"/>
  <c r="BW69" i="3"/>
  <c r="BW70" i="6" s="1"/>
  <c r="X69" i="3"/>
  <c r="X70" i="6"/>
  <c r="CJ69" i="3"/>
  <c r="CJ70" i="6"/>
  <c r="CT69" i="3"/>
  <c r="CT70" i="6" s="1"/>
  <c r="BR69" i="3"/>
  <c r="BR70" i="6" s="1"/>
  <c r="F69" i="3"/>
  <c r="F70" i="6"/>
  <c r="BI69" i="3"/>
  <c r="BI70" i="6"/>
  <c r="S69" i="3"/>
  <c r="S70" i="6" s="1"/>
  <c r="BZ69" i="3"/>
  <c r="BZ70" i="6" s="1"/>
  <c r="N69" i="3"/>
  <c r="N70" i="6"/>
  <c r="BQ69" i="3"/>
  <c r="BQ70" i="6"/>
  <c r="E69" i="3"/>
  <c r="E70" i="6" s="1"/>
  <c r="AV69" i="3"/>
  <c r="AV70" i="6" s="1"/>
  <c r="DO69" i="3"/>
  <c r="DO70" i="6"/>
  <c r="BS69" i="3"/>
  <c r="BS70" i="6"/>
  <c r="BK69" i="3"/>
  <c r="BK70" i="6" s="1"/>
  <c r="AZ69" i="3"/>
  <c r="AZ70" i="6" s="1"/>
  <c r="BN69" i="3"/>
  <c r="BN70" i="6"/>
  <c r="DQ69" i="3"/>
  <c r="DQ70" i="6"/>
  <c r="BE69" i="3"/>
  <c r="BE70" i="6" s="1"/>
  <c r="AA69" i="3"/>
  <c r="AA70" i="6" s="1"/>
  <c r="AN69" i="3"/>
  <c r="AN70" i="6"/>
  <c r="AU69" i="3"/>
  <c r="AU70" i="6"/>
  <c r="DE69" i="3"/>
  <c r="DE70" i="6" s="1"/>
  <c r="AY69" i="3"/>
  <c r="AY70" i="6" s="1"/>
  <c r="DM69" i="3"/>
  <c r="DM70" i="6"/>
  <c r="AI69" i="3"/>
  <c r="AI70" i="6"/>
  <c r="DN69" i="3"/>
  <c r="DN70" i="6" s="1"/>
  <c r="CI69" i="3"/>
  <c r="CI70" i="6" s="1"/>
  <c r="BX69" i="3"/>
  <c r="BX70" i="6"/>
  <c r="DG69" i="3"/>
  <c r="DG70" i="6"/>
  <c r="T69" i="3"/>
  <c r="T70" i="6" s="1"/>
  <c r="BF69" i="3"/>
  <c r="BF70" i="6" s="1"/>
  <c r="DI69" i="3"/>
  <c r="DI70" i="6"/>
  <c r="AW69" i="3"/>
  <c r="AW70" i="6"/>
  <c r="AQ69" i="3"/>
  <c r="AQ70" i="6" s="1"/>
  <c r="BD69" i="3"/>
  <c r="BD70" i="6" s="1"/>
  <c r="C70" i="6"/>
  <c r="CO69" i="3"/>
  <c r="CO70" i="6" s="1"/>
  <c r="CE69" i="3"/>
  <c r="CE70" i="6"/>
  <c r="CW69" i="3"/>
  <c r="CW70" i="6"/>
  <c r="BO69" i="3"/>
  <c r="BO70" i="6"/>
  <c r="CP69" i="3"/>
  <c r="CP70" i="6" s="1"/>
  <c r="AR69" i="3"/>
  <c r="AR70" i="6"/>
  <c r="BH69" i="3"/>
  <c r="BH70" i="6"/>
  <c r="AH69" i="3"/>
  <c r="AH70" i="6"/>
  <c r="Y69" i="3"/>
  <c r="Y70" i="6" s="1"/>
  <c r="CZ69" i="3"/>
  <c r="CZ70" i="6"/>
  <c r="AS69" i="3"/>
  <c r="AS70" i="6"/>
  <c r="BA69" i="3"/>
  <c r="BA70" i="6"/>
  <c r="W69" i="3"/>
  <c r="W70" i="6" s="1"/>
  <c r="CM69" i="3"/>
  <c r="CM70" i="6"/>
  <c r="CN69" i="3"/>
  <c r="CN70" i="6"/>
  <c r="DP69" i="3"/>
  <c r="DP70" i="6"/>
  <c r="Z69" i="3"/>
  <c r="Z70" i="6" s="1"/>
  <c r="Q69" i="3"/>
  <c r="Q70" i="6"/>
  <c r="DJ69" i="3"/>
  <c r="DJ70" i="6"/>
  <c r="AC69" i="3"/>
  <c r="AC70" i="6"/>
  <c r="AK69" i="3"/>
  <c r="AK70" i="6" s="1"/>
  <c r="CK69" i="3"/>
  <c r="CK70" i="6"/>
  <c r="BB69" i="3"/>
  <c r="BB70" i="6"/>
  <c r="CV69" i="3"/>
  <c r="CV70" i="6"/>
  <c r="BJ69" i="3"/>
  <c r="BJ70" i="6" s="1"/>
  <c r="BP69" i="3"/>
  <c r="BP70" i="6"/>
  <c r="AL69" i="3"/>
  <c r="AL70" i="6"/>
  <c r="CL69" i="3"/>
  <c r="CL70" i="6"/>
  <c r="AT69" i="3"/>
  <c r="AT70" i="6" s="1"/>
  <c r="CC69" i="3"/>
  <c r="CC70" i="6"/>
  <c r="CR69" i="3"/>
  <c r="CR70" i="6"/>
  <c r="AW97" i="3"/>
  <c r="AW98" i="6"/>
  <c r="CP97" i="3"/>
  <c r="CP98" i="6" s="1"/>
  <c r="D133" i="3"/>
  <c r="D134" i="6"/>
  <c r="X133" i="3"/>
  <c r="X134" i="6"/>
  <c r="DG133" i="3"/>
  <c r="DG134" i="6"/>
  <c r="CK57" i="3"/>
  <c r="CK58" i="6" s="1"/>
  <c r="AD57" i="3"/>
  <c r="AD58" i="6"/>
  <c r="CM57" i="3"/>
  <c r="CM58" i="6"/>
  <c r="DJ49" i="3"/>
  <c r="DJ50" i="6"/>
  <c r="N49" i="3"/>
  <c r="N50" i="6" s="1"/>
  <c r="BT45" i="3"/>
  <c r="BT46" i="6"/>
  <c r="BY45" i="3"/>
  <c r="BY46" i="6"/>
  <c r="I33" i="3"/>
  <c r="I34" i="6"/>
  <c r="BT17" i="3"/>
  <c r="BT18" i="6" s="1"/>
  <c r="C26" i="6"/>
  <c r="G29" i="3"/>
  <c r="G30" i="6" s="1"/>
  <c r="E29" i="3"/>
  <c r="E30" i="6" s="1"/>
  <c r="N29" i="3"/>
  <c r="N30" i="6"/>
  <c r="AK25" i="3"/>
  <c r="AK26" i="6" s="1"/>
  <c r="CU25" i="3"/>
  <c r="CU26" i="6" s="1"/>
  <c r="BR17" i="3"/>
  <c r="BR18" i="6" s="1"/>
  <c r="K17" i="3"/>
  <c r="K18" i="6"/>
  <c r="DN13" i="3"/>
  <c r="DN14" i="6" s="1"/>
  <c r="AJ9" i="3"/>
  <c r="AJ10" i="6" s="1"/>
  <c r="V45" i="3"/>
  <c r="V46" i="6" s="1"/>
  <c r="BV9" i="3"/>
  <c r="BV10" i="6"/>
  <c r="DF9" i="3"/>
  <c r="DF10" i="6" s="1"/>
  <c r="DH9" i="3"/>
  <c r="DH10" i="6" s="1"/>
  <c r="G9" i="3"/>
  <c r="G10" i="6" s="1"/>
  <c r="CN9" i="3"/>
  <c r="CN10" i="6"/>
  <c r="BF9" i="3"/>
  <c r="BF10" i="6" s="1"/>
  <c r="H9" i="3"/>
  <c r="H10" i="6" s="1"/>
  <c r="AC9" i="3"/>
  <c r="AC10" i="6" s="1"/>
  <c r="BC9" i="3"/>
  <c r="BC10" i="6"/>
  <c r="BQ9" i="3"/>
  <c r="BQ10" i="6" s="1"/>
  <c r="DK9" i="3"/>
  <c r="DK10" i="6" s="1"/>
  <c r="DP9" i="3"/>
  <c r="DP10" i="6" s="1"/>
  <c r="AZ9" i="3"/>
  <c r="AZ10" i="6"/>
  <c r="AD9" i="3"/>
  <c r="AD10" i="6" s="1"/>
  <c r="Y9" i="3"/>
  <c r="Y10" i="6" s="1"/>
  <c r="E9" i="3"/>
  <c r="E10" i="6" s="1"/>
  <c r="AN9" i="3"/>
  <c r="AN10" i="6"/>
  <c r="AF9" i="3"/>
  <c r="AF10" i="6" s="1"/>
  <c r="D9" i="3"/>
  <c r="D10" i="6" s="1"/>
  <c r="CW9" i="3"/>
  <c r="CW10" i="6" s="1"/>
  <c r="AG9" i="3"/>
  <c r="AG10" i="6"/>
  <c r="CH9" i="3"/>
  <c r="CH10" i="6" s="1"/>
  <c r="CK9" i="3"/>
  <c r="CK10" i="6" s="1"/>
  <c r="F9" i="3"/>
  <c r="F10" i="6" s="1"/>
  <c r="CF9" i="3"/>
  <c r="CF10" i="6"/>
  <c r="BN9" i="3"/>
  <c r="BN10" i="6" s="1"/>
  <c r="DL9" i="3"/>
  <c r="DL10" i="6" s="1"/>
  <c r="BA9" i="3"/>
  <c r="BA10" i="6" s="1"/>
  <c r="CV9" i="3"/>
  <c r="CV10" i="6"/>
  <c r="BO9" i="3"/>
  <c r="BO10" i="6" s="1"/>
  <c r="BS9" i="3"/>
  <c r="BS10" i="6" s="1"/>
  <c r="AQ9" i="3"/>
  <c r="AQ10" i="6" s="1"/>
  <c r="BB9" i="3"/>
  <c r="BB10" i="6"/>
  <c r="AX9" i="3"/>
  <c r="AX10" i="6" s="1"/>
  <c r="AB9" i="3"/>
  <c r="AB10" i="6" s="1"/>
  <c r="CC9" i="3"/>
  <c r="CC10" i="6" s="1"/>
  <c r="N9" i="3"/>
  <c r="N10" i="6"/>
  <c r="CR9" i="3"/>
  <c r="CR10" i="6" s="1"/>
  <c r="AM9" i="3"/>
  <c r="AM10" i="6" s="1"/>
  <c r="U9" i="3"/>
  <c r="U10" i="6" s="1"/>
  <c r="CP9" i="3"/>
  <c r="CP10" i="6"/>
  <c r="BD9" i="3"/>
  <c r="BD10" i="6" s="1"/>
  <c r="BI9" i="3"/>
  <c r="BI10" i="6" s="1"/>
  <c r="K9" i="3"/>
  <c r="K10" i="6" s="1"/>
  <c r="DN9" i="3"/>
  <c r="DN10" i="6"/>
  <c r="S9" i="3"/>
  <c r="S10" i="6" s="1"/>
  <c r="CX9" i="3"/>
  <c r="CX10" i="6" s="1"/>
  <c r="I9" i="3"/>
  <c r="I10" i="6" s="1"/>
  <c r="M9" i="3"/>
  <c r="M10" i="6"/>
  <c r="DD9" i="3"/>
  <c r="DD10" i="6" s="1"/>
  <c r="X9" i="3"/>
  <c r="X10" i="6" s="1"/>
  <c r="AO9" i="3"/>
  <c r="AO10" i="6" s="1"/>
  <c r="CA9" i="3"/>
  <c r="CA10" i="6"/>
  <c r="DI9" i="3"/>
  <c r="DI10" i="6" s="1"/>
  <c r="AH9" i="3"/>
  <c r="AH10" i="6" s="1"/>
  <c r="CI9" i="3"/>
  <c r="CI10" i="6" s="1"/>
  <c r="DB9" i="3"/>
  <c r="DB10" i="6"/>
  <c r="AK9" i="3"/>
  <c r="AK10" i="6" s="1"/>
  <c r="BT9" i="3"/>
  <c r="BT10" i="6" s="1"/>
  <c r="P9" i="3"/>
  <c r="P10" i="6" s="1"/>
  <c r="L9" i="3"/>
  <c r="L10" i="6"/>
  <c r="BR9" i="3"/>
  <c r="BR10" i="6" s="1"/>
  <c r="DQ9" i="3"/>
  <c r="DQ10" i="6" s="1"/>
  <c r="AW9" i="3"/>
  <c r="AW10" i="6" s="1"/>
  <c r="V9" i="3"/>
  <c r="V10" i="6"/>
  <c r="Z9" i="3"/>
  <c r="Z10" i="6" s="1"/>
  <c r="AS9" i="3"/>
  <c r="AS10" i="6" s="1"/>
  <c r="BG9" i="3"/>
  <c r="BG10" i="6" s="1"/>
  <c r="CM9" i="3"/>
  <c r="CM10" i="6"/>
  <c r="DE9" i="3"/>
  <c r="DE10" i="6" s="1"/>
  <c r="BJ9" i="3"/>
  <c r="BJ10" i="6" s="1"/>
  <c r="BM9" i="3"/>
  <c r="BM10" i="6" s="1"/>
  <c r="DM9" i="3"/>
  <c r="DM10" i="6"/>
  <c r="O9" i="3"/>
  <c r="O10" i="6" s="1"/>
  <c r="BH9" i="3"/>
  <c r="BH10" i="6" s="1"/>
  <c r="CB9" i="3"/>
  <c r="CB10" i="6" s="1"/>
  <c r="CS9" i="3"/>
  <c r="CS10" i="6"/>
  <c r="DO9" i="3"/>
  <c r="DO10" i="6" s="1"/>
  <c r="CE9" i="3"/>
  <c r="CE10" i="6" s="1"/>
  <c r="AT9" i="3"/>
  <c r="AT10" i="6" s="1"/>
  <c r="CY9" i="3"/>
  <c r="CY10" i="6"/>
  <c r="CL9" i="3"/>
  <c r="CL10" i="6" s="1"/>
  <c r="CT9" i="3"/>
  <c r="CT10" i="6" s="1"/>
  <c r="DJ9" i="3"/>
  <c r="DJ10" i="6" s="1"/>
  <c r="CU9" i="3"/>
  <c r="CU10" i="6"/>
  <c r="BE9" i="3"/>
  <c r="BE10" i="6" s="1"/>
  <c r="AI9" i="3"/>
  <c r="AI10" i="6" s="1"/>
  <c r="BK9" i="3"/>
  <c r="BK10" i="6" s="1"/>
  <c r="BP9" i="3"/>
  <c r="BP10" i="6"/>
  <c r="BL9" i="3"/>
  <c r="BL10" i="6" s="1"/>
  <c r="AR9" i="3"/>
  <c r="AR10" i="6" s="1"/>
  <c r="CJ9" i="3"/>
  <c r="CJ10" i="6" s="1"/>
  <c r="AU9" i="3"/>
  <c r="AU10" i="6"/>
  <c r="CD9" i="3"/>
  <c r="CD10" i="6" s="1"/>
  <c r="BU9" i="3"/>
  <c r="BU10" i="6" s="1"/>
  <c r="CO9" i="3"/>
  <c r="CO10" i="6" s="1"/>
  <c r="C10" i="6"/>
  <c r="BY9" i="3"/>
  <c r="BY10" i="6" s="1"/>
  <c r="DG9" i="3"/>
  <c r="DG10" i="6"/>
  <c r="BZ9" i="3"/>
  <c r="BZ10" i="6"/>
  <c r="T9" i="3"/>
  <c r="T10" i="6"/>
  <c r="AL9" i="3"/>
  <c r="AL10" i="6" s="1"/>
  <c r="CG9" i="3"/>
  <c r="CG10" i="6"/>
  <c r="AA9" i="3"/>
  <c r="AA10" i="6"/>
  <c r="AY9" i="3"/>
  <c r="AY10" i="6"/>
  <c r="W9" i="3"/>
  <c r="W10" i="6" s="1"/>
  <c r="AP9" i="3"/>
  <c r="AP10" i="6"/>
  <c r="AE9" i="3"/>
  <c r="AE10" i="6"/>
  <c r="CZ9" i="3"/>
  <c r="CZ10" i="6"/>
  <c r="CQ9" i="3"/>
  <c r="CQ10" i="6" s="1"/>
  <c r="AV9" i="3"/>
  <c r="AV10" i="6"/>
  <c r="R9" i="3"/>
  <c r="R10" i="6"/>
  <c r="BV21" i="3"/>
  <c r="BV22" i="6"/>
  <c r="AL21" i="3"/>
  <c r="AL22" i="6" s="1"/>
  <c r="DO21" i="3"/>
  <c r="DO22" i="6"/>
  <c r="CB21" i="3"/>
  <c r="CB22" i="6"/>
  <c r="AI21" i="3"/>
  <c r="AI22" i="6"/>
  <c r="Q21" i="3"/>
  <c r="Q22" i="6" s="1"/>
  <c r="CX21" i="3"/>
  <c r="CX22" i="6"/>
  <c r="AP21" i="3"/>
  <c r="AP22" i="6"/>
  <c r="CM21" i="3"/>
  <c r="CM22" i="6"/>
  <c r="S21" i="3"/>
  <c r="S22" i="6" s="1"/>
  <c r="CW21" i="3"/>
  <c r="CW22" i="6"/>
  <c r="DI21" i="3"/>
  <c r="DI22" i="6"/>
  <c r="AX21" i="3"/>
  <c r="AX22" i="6"/>
  <c r="AM21" i="3"/>
  <c r="AM22" i="6" s="1"/>
  <c r="BP21" i="3"/>
  <c r="BP22" i="6"/>
  <c r="AY21" i="3"/>
  <c r="AY22" i="6"/>
  <c r="BX21" i="3"/>
  <c r="BX22" i="6"/>
  <c r="BE21" i="3"/>
  <c r="BE22" i="6" s="1"/>
  <c r="W21" i="3"/>
  <c r="W22" i="6"/>
  <c r="BA21" i="3"/>
  <c r="BA22" i="6"/>
  <c r="AK21" i="3"/>
  <c r="AK22" i="6"/>
  <c r="AU21" i="3"/>
  <c r="AU22" i="6" s="1"/>
  <c r="CS21" i="3"/>
  <c r="CS22" i="6"/>
  <c r="DE21" i="3"/>
  <c r="DE22" i="6"/>
  <c r="BC21" i="3"/>
  <c r="BC22" i="6"/>
  <c r="AV21" i="3"/>
  <c r="AV22" i="6" s="1"/>
  <c r="CI21" i="3"/>
  <c r="CI22" i="6"/>
  <c r="DH21" i="3"/>
  <c r="DH22" i="6"/>
  <c r="E21" i="3"/>
  <c r="E22" i="6"/>
  <c r="AT21" i="3"/>
  <c r="AT22" i="6" s="1"/>
  <c r="AE21" i="3"/>
  <c r="AE22" i="6"/>
  <c r="AB21" i="3"/>
  <c r="AB22" i="6"/>
  <c r="CU21" i="3"/>
  <c r="CU22" i="6"/>
  <c r="BQ21" i="3"/>
  <c r="BQ22" i="6" s="1"/>
  <c r="CL21" i="3"/>
  <c r="CL22" i="6"/>
  <c r="T21" i="3"/>
  <c r="T22" i="6"/>
  <c r="BH21" i="3"/>
  <c r="BH22" i="6"/>
  <c r="CC21" i="3"/>
  <c r="CC22" i="6" s="1"/>
  <c r="CP21" i="3"/>
  <c r="CP22" i="6"/>
  <c r="DG21" i="3"/>
  <c r="DG22" i="6"/>
  <c r="CG21" i="3"/>
  <c r="CG22" i="6"/>
  <c r="BY21" i="3"/>
  <c r="BY22" i="6" s="1"/>
  <c r="Z21" i="3"/>
  <c r="Z22" i="6"/>
  <c r="DP21" i="3"/>
  <c r="DP22" i="6"/>
  <c r="DN21" i="3"/>
  <c r="DN22" i="6"/>
  <c r="L21" i="3"/>
  <c r="L22" i="6" s="1"/>
  <c r="DA21" i="3"/>
  <c r="DA22" i="6"/>
  <c r="P21" i="3"/>
  <c r="P22" i="6"/>
  <c r="DQ21" i="3"/>
  <c r="DQ22" i="6"/>
  <c r="AQ21" i="3"/>
  <c r="AQ22" i="6" s="1"/>
  <c r="Y21" i="3"/>
  <c r="Y22" i="6"/>
  <c r="DJ21" i="3"/>
  <c r="DJ22" i="6"/>
  <c r="AA21" i="3"/>
  <c r="AA22" i="6"/>
  <c r="BN21" i="3"/>
  <c r="BN22" i="6" s="1"/>
  <c r="BN3" i="6" s="1"/>
  <c r="BM21" i="3"/>
  <c r="BM22" i="6"/>
  <c r="CH21" i="3"/>
  <c r="CH22" i="6"/>
  <c r="CJ21" i="3"/>
  <c r="CJ22" i="6"/>
  <c r="CQ21" i="3"/>
  <c r="CQ22" i="6" s="1"/>
  <c r="AH21" i="3"/>
  <c r="AH22" i="6"/>
  <c r="M21" i="3"/>
  <c r="M22" i="6"/>
  <c r="J21" i="3"/>
  <c r="J22" i="6"/>
  <c r="BK21" i="3"/>
  <c r="BK22" i="6" s="1"/>
  <c r="AF21" i="3"/>
  <c r="AF22" i="6"/>
  <c r="AJ21" i="3"/>
  <c r="AJ22" i="6"/>
  <c r="BB21" i="3"/>
  <c r="BB22" i="6"/>
  <c r="BS21" i="3"/>
  <c r="BS22" i="6" s="1"/>
  <c r="CR21" i="3"/>
  <c r="CR22" i="6"/>
  <c r="DL21" i="3"/>
  <c r="DL22" i="6"/>
  <c r="CZ21" i="3"/>
  <c r="CZ22" i="6"/>
  <c r="CT21" i="3"/>
  <c r="CT22" i="6" s="1"/>
  <c r="DC21" i="3"/>
  <c r="DC22" i="6"/>
  <c r="H21" i="3"/>
  <c r="H22" i="6"/>
  <c r="I21" i="3"/>
  <c r="I22" i="6"/>
  <c r="BZ21" i="3"/>
  <c r="BZ22" i="6" s="1"/>
  <c r="CE21" i="3"/>
  <c r="CE22" i="6"/>
  <c r="DB21" i="3"/>
  <c r="DB22" i="6"/>
  <c r="BT21" i="3"/>
  <c r="BT22" i="6"/>
  <c r="AZ21" i="3"/>
  <c r="AZ22" i="6" s="1"/>
  <c r="BD21" i="3"/>
  <c r="BD22" i="6"/>
  <c r="R21" i="3"/>
  <c r="R22" i="6"/>
  <c r="AO21" i="3"/>
  <c r="AO22" i="6"/>
  <c r="O21" i="3"/>
  <c r="O22" i="6" s="1"/>
  <c r="U21" i="3"/>
  <c r="U22" i="6"/>
  <c r="AD21" i="3"/>
  <c r="AD22" i="6"/>
  <c r="CV21" i="3"/>
  <c r="CV22" i="6"/>
  <c r="CY21" i="3"/>
  <c r="CY22" i="6" s="1"/>
  <c r="BI21" i="3"/>
  <c r="BI22" i="6"/>
  <c r="N21" i="3"/>
  <c r="N22" i="6"/>
  <c r="CO21" i="3"/>
  <c r="CO22" i="6"/>
  <c r="BL21" i="3"/>
  <c r="BL22" i="6" s="1"/>
  <c r="X21" i="3"/>
  <c r="X22" i="6"/>
  <c r="DM21" i="3"/>
  <c r="DM22" i="6"/>
  <c r="CF21" i="3"/>
  <c r="CF22" i="6"/>
  <c r="AR21" i="3"/>
  <c r="AR22" i="6" s="1"/>
  <c r="F21" i="3"/>
  <c r="F22" i="6"/>
  <c r="G21" i="3"/>
  <c r="G22" i="6"/>
  <c r="BF21" i="3"/>
  <c r="BF22" i="6"/>
  <c r="CD21" i="3"/>
  <c r="CD22" i="6" s="1"/>
  <c r="BR21" i="3"/>
  <c r="BR22" i="6"/>
  <c r="AS21" i="3"/>
  <c r="AS22" i="6"/>
  <c r="BJ21" i="3"/>
  <c r="BJ22" i="6"/>
  <c r="AG21" i="3"/>
  <c r="AG22" i="6" s="1"/>
  <c r="DK21" i="3"/>
  <c r="DK22" i="6"/>
  <c r="DD21" i="3"/>
  <c r="DD22" i="6"/>
  <c r="AW21" i="3"/>
  <c r="AW22" i="6"/>
  <c r="BU21" i="3"/>
  <c r="BU22" i="6" s="1"/>
  <c r="CN21" i="3"/>
  <c r="CN22" i="6"/>
  <c r="BG33" i="3"/>
  <c r="BG34" i="6"/>
  <c r="DC33" i="3"/>
  <c r="DC34" i="6"/>
  <c r="BL33" i="3"/>
  <c r="BL34" i="6" s="1"/>
  <c r="BX33" i="3"/>
  <c r="BX34" i="6"/>
  <c r="CB33" i="3"/>
  <c r="CB34" i="6"/>
  <c r="M33" i="3"/>
  <c r="M34" i="6"/>
  <c r="BD33" i="3"/>
  <c r="BD34" i="6" s="1"/>
  <c r="T33" i="3"/>
  <c r="T34" i="6"/>
  <c r="DN33" i="3"/>
  <c r="DN34" i="6"/>
  <c r="BH33" i="3"/>
  <c r="BH34" i="6"/>
  <c r="BB33" i="3"/>
  <c r="BB34" i="6" s="1"/>
  <c r="BB3" i="6" s="1"/>
  <c r="AG33" i="3"/>
  <c r="AG34" i="6"/>
  <c r="AJ33" i="3"/>
  <c r="AJ34" i="6"/>
  <c r="CS33" i="3"/>
  <c r="CS34" i="6"/>
  <c r="BF33" i="3"/>
  <c r="BF34" i="6" s="1"/>
  <c r="DB33" i="3"/>
  <c r="DB34" i="6"/>
  <c r="V33" i="3"/>
  <c r="V34" i="6"/>
  <c r="BU33" i="3"/>
  <c r="BU34" i="6"/>
  <c r="E33" i="3"/>
  <c r="E34" i="6" s="1"/>
  <c r="AC33" i="3"/>
  <c r="AC34" i="6"/>
  <c r="BV33" i="3"/>
  <c r="BV34" i="6"/>
  <c r="DJ33" i="3"/>
  <c r="DJ34" i="6"/>
  <c r="AV33" i="3"/>
  <c r="AV34" i="6" s="1"/>
  <c r="Q33" i="3"/>
  <c r="Q34" i="6"/>
  <c r="CJ33" i="3"/>
  <c r="CJ34" i="6"/>
  <c r="AZ33" i="3"/>
  <c r="AZ34" i="6"/>
  <c r="R33" i="3"/>
  <c r="R34" i="6" s="1"/>
  <c r="S33" i="3"/>
  <c r="S34" i="6"/>
  <c r="CF33" i="3"/>
  <c r="CF34" i="6"/>
  <c r="U33" i="3"/>
  <c r="U34" i="6"/>
  <c r="BC33" i="3"/>
  <c r="BC34" i="6" s="1"/>
  <c r="L33" i="3"/>
  <c r="L34" i="6"/>
  <c r="AT33" i="3"/>
  <c r="AT34" i="6"/>
  <c r="BK33" i="3"/>
  <c r="BK34" i="6"/>
  <c r="DO33" i="3"/>
  <c r="DO34" i="6" s="1"/>
  <c r="BP33" i="3"/>
  <c r="BP34" i="6"/>
  <c r="BY33" i="3"/>
  <c r="BY34" i="6"/>
  <c r="CG33" i="3"/>
  <c r="CG34" i="6"/>
  <c r="O33" i="3"/>
  <c r="O34" i="6" s="1"/>
  <c r="AA33" i="3"/>
  <c r="AA34" i="6"/>
  <c r="DK33" i="3"/>
  <c r="DK34" i="6"/>
  <c r="AD33" i="3"/>
  <c r="AD34" i="6"/>
  <c r="CT33" i="3"/>
  <c r="CT34" i="6" s="1"/>
  <c r="CA33" i="3"/>
  <c r="CA34" i="6"/>
  <c r="DL33" i="3"/>
  <c r="DL34" i="6"/>
  <c r="F33" i="3"/>
  <c r="F34" i="6"/>
  <c r="AS33" i="3"/>
  <c r="AS34" i="6" s="1"/>
  <c r="AP33" i="3"/>
  <c r="AP34" i="6"/>
  <c r="AU33" i="3"/>
  <c r="AU34" i="6"/>
  <c r="BO33" i="3"/>
  <c r="BO34" i="6"/>
  <c r="D33" i="3"/>
  <c r="D34" i="6" s="1"/>
  <c r="BW33" i="3"/>
  <c r="BW34" i="6"/>
  <c r="N33" i="3"/>
  <c r="N34" i="6"/>
  <c r="CM33" i="3"/>
  <c r="CM34" i="6"/>
  <c r="DM33" i="3"/>
  <c r="DM34" i="6" s="1"/>
  <c r="AB33" i="3"/>
  <c r="AB34" i="6"/>
  <c r="AX33" i="3"/>
  <c r="AX34" i="6"/>
  <c r="AM33" i="3"/>
  <c r="AM34" i="6"/>
  <c r="CC33" i="3"/>
  <c r="CC34" i="6" s="1"/>
  <c r="W33" i="3"/>
  <c r="W34" i="6"/>
  <c r="X33" i="3"/>
  <c r="X34" i="6"/>
  <c r="CX33" i="3"/>
  <c r="CX34" i="6"/>
  <c r="CN33" i="3"/>
  <c r="CN34" i="6" s="1"/>
  <c r="J33" i="3"/>
  <c r="J34" i="6"/>
  <c r="BM33" i="3"/>
  <c r="BM34" i="6"/>
  <c r="AL33" i="3"/>
  <c r="AL34" i="6"/>
  <c r="AQ33" i="3"/>
  <c r="AQ34" i="6" s="1"/>
  <c r="CO33" i="3"/>
  <c r="CO34" i="6"/>
  <c r="BA33" i="3"/>
  <c r="BA34" i="6"/>
  <c r="CY33" i="3"/>
  <c r="CY34" i="6"/>
  <c r="CV33" i="3"/>
  <c r="CV34" i="6" s="1"/>
  <c r="DI33" i="3"/>
  <c r="DI34" i="6"/>
  <c r="DD33" i="3"/>
  <c r="DD34" i="6"/>
  <c r="BE33" i="3"/>
  <c r="BE34" i="6"/>
  <c r="CI33" i="3"/>
  <c r="CI34" i="6" s="1"/>
  <c r="CI3" i="6" s="1"/>
  <c r="CD33" i="3"/>
  <c r="CD34" i="6"/>
  <c r="DG33" i="3"/>
  <c r="DG34" i="6"/>
  <c r="AN33" i="3"/>
  <c r="AN34" i="6"/>
  <c r="AK33" i="3"/>
  <c r="AK34" i="6" s="1"/>
  <c r="DF33" i="3"/>
  <c r="DF34" i="6"/>
  <c r="AE33" i="3"/>
  <c r="AE34" i="6"/>
  <c r="AW33" i="3"/>
  <c r="AW34" i="6"/>
  <c r="DQ33" i="3"/>
  <c r="DQ34" i="6" s="1"/>
  <c r="AY33" i="3"/>
  <c r="AY34" i="6"/>
  <c r="CH33" i="3"/>
  <c r="CH34" i="6"/>
  <c r="AF33" i="3"/>
  <c r="AF34" i="6"/>
  <c r="BS33" i="3"/>
  <c r="BS34" i="6" s="1"/>
  <c r="DP33" i="3"/>
  <c r="DP34" i="6"/>
  <c r="AI33" i="3"/>
  <c r="AI34" i="6"/>
  <c r="BQ33" i="3"/>
  <c r="BQ34" i="6"/>
  <c r="BI33" i="3"/>
  <c r="BI34" i="6" s="1"/>
  <c r="CW33" i="3"/>
  <c r="CW34" i="6"/>
  <c r="P33" i="3"/>
  <c r="P34" i="6"/>
  <c r="DE33" i="3"/>
  <c r="DE34" i="6"/>
  <c r="BZ33" i="3"/>
  <c r="BZ34" i="6" s="1"/>
  <c r="DA33" i="3"/>
  <c r="DA34" i="6"/>
  <c r="CE33" i="3"/>
  <c r="CE34" i="6"/>
  <c r="BR33" i="3"/>
  <c r="BR34" i="6"/>
  <c r="K33" i="3"/>
  <c r="K34" i="6" s="1"/>
  <c r="AR33" i="3"/>
  <c r="AR34" i="6"/>
  <c r="CZ33" i="3"/>
  <c r="CZ34" i="6"/>
  <c r="CL33" i="3"/>
  <c r="CL34" i="6"/>
  <c r="CP33" i="3"/>
  <c r="CP34" i="6" s="1"/>
  <c r="BJ33" i="3"/>
  <c r="BJ34" i="6"/>
  <c r="H33" i="3"/>
  <c r="H34" i="6"/>
  <c r="Z37" i="3"/>
  <c r="Z38" i="6"/>
  <c r="J37" i="3"/>
  <c r="J38" i="6" s="1"/>
  <c r="BF37" i="3"/>
  <c r="BF38" i="6"/>
  <c r="CL37" i="3"/>
  <c r="CL38" i="6"/>
  <c r="BD37" i="3"/>
  <c r="BD38" i="6"/>
  <c r="CN37" i="3"/>
  <c r="CN38" i="6" s="1"/>
  <c r="AZ37" i="3"/>
  <c r="AZ38" i="6"/>
  <c r="BH37" i="3"/>
  <c r="BH38" i="6"/>
  <c r="CB37" i="3"/>
  <c r="CB38" i="6"/>
  <c r="CV37" i="3"/>
  <c r="CV38" i="6" s="1"/>
  <c r="N37" i="3"/>
  <c r="N38" i="6"/>
  <c r="BC37" i="3"/>
  <c r="BC38" i="6"/>
  <c r="DL37" i="3"/>
  <c r="DL38" i="6"/>
  <c r="AK37" i="3"/>
  <c r="AK38" i="6" s="1"/>
  <c r="I37" i="3"/>
  <c r="I38" i="6"/>
  <c r="AC37" i="3"/>
  <c r="AC38" i="6"/>
  <c r="BV37" i="3"/>
  <c r="BV38" i="6"/>
  <c r="V37" i="3"/>
  <c r="V38" i="6" s="1"/>
  <c r="AA37" i="3"/>
  <c r="AA38" i="6"/>
  <c r="CW37" i="3"/>
  <c r="CW38" i="6"/>
  <c r="AR37" i="3"/>
  <c r="AR38" i="6"/>
  <c r="AL37" i="3"/>
  <c r="AL38" i="6" s="1"/>
  <c r="H37" i="3"/>
  <c r="H38" i="6"/>
  <c r="AB37" i="3"/>
  <c r="AB38" i="6"/>
  <c r="DK37" i="3"/>
  <c r="DK38" i="6"/>
  <c r="BM37" i="3"/>
  <c r="BM38" i="6" s="1"/>
  <c r="Q37" i="3"/>
  <c r="Q38" i="6"/>
  <c r="DB37" i="3"/>
  <c r="DB38" i="6"/>
  <c r="CY37" i="3"/>
  <c r="CY38" i="6"/>
  <c r="BR37" i="3"/>
  <c r="BR38" i="6" s="1"/>
  <c r="BQ37" i="3"/>
  <c r="BQ38" i="6"/>
  <c r="AO37" i="3"/>
  <c r="AO38" i="6"/>
  <c r="CO37" i="3"/>
  <c r="CO38" i="6"/>
  <c r="BG37" i="3"/>
  <c r="BG38" i="6" s="1"/>
  <c r="BG3" i="6" s="1"/>
  <c r="M37" i="3"/>
  <c r="M38" i="6"/>
  <c r="AT37" i="3"/>
  <c r="AT38" i="6"/>
  <c r="CI37" i="3"/>
  <c r="CI38" i="6"/>
  <c r="DG37" i="3"/>
  <c r="DG38" i="6" s="1"/>
  <c r="CE37" i="3"/>
  <c r="CE38" i="6"/>
  <c r="AW37" i="3"/>
  <c r="AW38" i="6"/>
  <c r="C38" i="6"/>
  <c r="BT37" i="3"/>
  <c r="BT38" i="6"/>
  <c r="DD37" i="3"/>
  <c r="DD38" i="6" s="1"/>
  <c r="BX37" i="3"/>
  <c r="BX38" i="6" s="1"/>
  <c r="P37" i="3"/>
  <c r="P38" i="6" s="1"/>
  <c r="AJ37" i="3"/>
  <c r="AJ38" i="6"/>
  <c r="BJ37" i="3"/>
  <c r="BJ38" i="6" s="1"/>
  <c r="BO37" i="3"/>
  <c r="BO38" i="6" s="1"/>
  <c r="CA37" i="3"/>
  <c r="CA38" i="6" s="1"/>
  <c r="AE37" i="3"/>
  <c r="AE38" i="6"/>
  <c r="DA37" i="3"/>
  <c r="DA38" i="6" s="1"/>
  <c r="AQ37" i="3"/>
  <c r="AQ38" i="6" s="1"/>
  <c r="DC37" i="3"/>
  <c r="DC38" i="6" s="1"/>
  <c r="AD37" i="3"/>
  <c r="AD38" i="6"/>
  <c r="CS37" i="3"/>
  <c r="CS38" i="6" s="1"/>
  <c r="AU37" i="3"/>
  <c r="AU38" i="6" s="1"/>
  <c r="DM37" i="3"/>
  <c r="DM38" i="6" s="1"/>
  <c r="CU37" i="3"/>
  <c r="CU38" i="6"/>
  <c r="G37" i="3"/>
  <c r="G38" i="6" s="1"/>
  <c r="E37" i="3"/>
  <c r="E38" i="6" s="1"/>
  <c r="K37" i="3"/>
  <c r="K38" i="6" s="1"/>
  <c r="DQ37" i="3"/>
  <c r="DQ38" i="6"/>
  <c r="CH37" i="3"/>
  <c r="CH38" i="6" s="1"/>
  <c r="T37" i="3"/>
  <c r="T38" i="6" s="1"/>
  <c r="CZ37" i="3"/>
  <c r="CZ38" i="6" s="1"/>
  <c r="AY37" i="3"/>
  <c r="AY38" i="6"/>
  <c r="CK37" i="3"/>
  <c r="CK38" i="6" s="1"/>
  <c r="CJ37" i="3"/>
  <c r="CJ38" i="6" s="1"/>
  <c r="AP37" i="3"/>
  <c r="AP38" i="6" s="1"/>
  <c r="DF37" i="3"/>
  <c r="DF38" i="6"/>
  <c r="W37" i="3"/>
  <c r="W38" i="6" s="1"/>
  <c r="CG37" i="3"/>
  <c r="CG38" i="6" s="1"/>
  <c r="S37" i="3"/>
  <c r="S38" i="6" s="1"/>
  <c r="DN37" i="3"/>
  <c r="DN38" i="6"/>
  <c r="AH37" i="3"/>
  <c r="AH38" i="6" s="1"/>
  <c r="Y37" i="3"/>
  <c r="Y38" i="6" s="1"/>
  <c r="AX37" i="3"/>
  <c r="AX38" i="6" s="1"/>
  <c r="X37" i="3"/>
  <c r="X38" i="6"/>
  <c r="L37" i="3"/>
  <c r="L38" i="6" s="1"/>
  <c r="DI37" i="3"/>
  <c r="DI38" i="6" s="1"/>
  <c r="CM37" i="3"/>
  <c r="CM38" i="6" s="1"/>
  <c r="DJ37" i="3"/>
  <c r="DJ38" i="6"/>
  <c r="F37" i="3"/>
  <c r="F38" i="6" s="1"/>
  <c r="BW37" i="3"/>
  <c r="BW38" i="6" s="1"/>
  <c r="BY37" i="3"/>
  <c r="BY38" i="6" s="1"/>
  <c r="BZ37" i="3"/>
  <c r="BZ38" i="6"/>
  <c r="BB37" i="3"/>
  <c r="BB38" i="6" s="1"/>
  <c r="CR37" i="3"/>
  <c r="CR38" i="6" s="1"/>
  <c r="BI37" i="3"/>
  <c r="BI38" i="6" s="1"/>
  <c r="D37" i="3"/>
  <c r="D38" i="6"/>
  <c r="CQ37" i="3"/>
  <c r="CQ38" i="6" s="1"/>
  <c r="CX37" i="3"/>
  <c r="CX38" i="6" s="1"/>
  <c r="BK37" i="3"/>
  <c r="BK38" i="6" s="1"/>
  <c r="BL37" i="3"/>
  <c r="BL38" i="6"/>
  <c r="BU37" i="3"/>
  <c r="BU38" i="6" s="1"/>
  <c r="BN37" i="3"/>
  <c r="BN38" i="6" s="1"/>
  <c r="BS37" i="3"/>
  <c r="BS38" i="6" s="1"/>
  <c r="AV37" i="3"/>
  <c r="AV38" i="6"/>
  <c r="CT37" i="3"/>
  <c r="CT38" i="6" s="1"/>
  <c r="DE37" i="3"/>
  <c r="DE38" i="6" s="1"/>
  <c r="BW61" i="3"/>
  <c r="BW62" i="6" s="1"/>
  <c r="BZ61" i="3"/>
  <c r="BZ62" i="6"/>
  <c r="AU61" i="3"/>
  <c r="AU62" i="6" s="1"/>
  <c r="Y65" i="3"/>
  <c r="Y66" i="6" s="1"/>
  <c r="BD65" i="3"/>
  <c r="BD66" i="6" s="1"/>
  <c r="N65" i="3"/>
  <c r="N66" i="6"/>
  <c r="AM65" i="3"/>
  <c r="AM66" i="6" s="1"/>
  <c r="P65" i="3"/>
  <c r="P66" i="6" s="1"/>
  <c r="CS65" i="3"/>
  <c r="CS66" i="6" s="1"/>
  <c r="BR65" i="3"/>
  <c r="BR66" i="6"/>
  <c r="BG65" i="3"/>
  <c r="BG66" i="6" s="1"/>
  <c r="DQ65" i="3"/>
  <c r="DQ66" i="6" s="1"/>
  <c r="CI65" i="3"/>
  <c r="CI66" i="6" s="1"/>
  <c r="BX65" i="3"/>
  <c r="BX66" i="6"/>
  <c r="X65" i="3"/>
  <c r="X66" i="6" s="1"/>
  <c r="AG65" i="3"/>
  <c r="AG66" i="6" s="1"/>
  <c r="F65" i="3"/>
  <c r="F66" i="6" s="1"/>
  <c r="DA65" i="3"/>
  <c r="DA66" i="6"/>
  <c r="AA65" i="3"/>
  <c r="AA66" i="6" s="1"/>
  <c r="CF65" i="3"/>
  <c r="CF66" i="6" s="1"/>
  <c r="BW65" i="3"/>
  <c r="BW66" i="6" s="1"/>
  <c r="DJ65" i="3"/>
  <c r="DJ66" i="6"/>
  <c r="E65" i="3"/>
  <c r="E66" i="6" s="1"/>
  <c r="L65" i="3"/>
  <c r="L66" i="6" s="1"/>
  <c r="BT65" i="3"/>
  <c r="BT66" i="6" s="1"/>
  <c r="AP65" i="3"/>
  <c r="AP66" i="6"/>
  <c r="S65" i="3"/>
  <c r="S66" i="6" s="1"/>
  <c r="DO65" i="3"/>
  <c r="DO66" i="6" s="1"/>
  <c r="BI65" i="3"/>
  <c r="BI66" i="6" s="1"/>
  <c r="DG65" i="3"/>
  <c r="DG66" i="6"/>
  <c r="DB65" i="3"/>
  <c r="DB66" i="6" s="1"/>
  <c r="CX73" i="3"/>
  <c r="CX74" i="6" s="1"/>
  <c r="BH73" i="3"/>
  <c r="BH74" i="6" s="1"/>
  <c r="BC73" i="3"/>
  <c r="BC74" i="6"/>
  <c r="CA73" i="3"/>
  <c r="CA74" i="6" s="1"/>
  <c r="AU73" i="3"/>
  <c r="AU74" i="6" s="1"/>
  <c r="BK73" i="3"/>
  <c r="BK74" i="6" s="1"/>
  <c r="BS73" i="3"/>
  <c r="BS74" i="6"/>
  <c r="AZ73" i="3"/>
  <c r="AZ74" i="6" s="1"/>
  <c r="DB73" i="3"/>
  <c r="DB74" i="6" s="1"/>
  <c r="AV73" i="3"/>
  <c r="AV74" i="6" s="1"/>
  <c r="DH73" i="3"/>
  <c r="DH74" i="6"/>
  <c r="BR73" i="3"/>
  <c r="BR74" i="6" s="1"/>
  <c r="AL73" i="3"/>
  <c r="AL74" i="6" s="1"/>
  <c r="F73" i="3"/>
  <c r="F74" i="6" s="1"/>
  <c r="CO73" i="3"/>
  <c r="CO74" i="6"/>
  <c r="BI73" i="3"/>
  <c r="BI74" i="6" s="1"/>
  <c r="AC73" i="3"/>
  <c r="AC74" i="6" s="1"/>
  <c r="S73" i="3"/>
  <c r="S74" i="6" s="1"/>
  <c r="CE73" i="3"/>
  <c r="CE74" i="6"/>
  <c r="BN73" i="3"/>
  <c r="BN74" i="6" s="1"/>
  <c r="DQ73" i="3"/>
  <c r="DQ74" i="6" s="1"/>
  <c r="BE73" i="3"/>
  <c r="BE74" i="6" s="1"/>
  <c r="AA73" i="3"/>
  <c r="AA74" i="6"/>
  <c r="CL73" i="3"/>
  <c r="CL74" i="6" s="1"/>
  <c r="Z73" i="3"/>
  <c r="Z74" i="6" s="1"/>
  <c r="CC73" i="3"/>
  <c r="CC74" i="6" s="1"/>
  <c r="Q73" i="3"/>
  <c r="Q74" i="6"/>
  <c r="DC73" i="3"/>
  <c r="DC74" i="6" s="1"/>
  <c r="BP73" i="3"/>
  <c r="BP74" i="6" s="1"/>
  <c r="AB73" i="3"/>
  <c r="AB74" i="6" s="1"/>
  <c r="W73" i="3"/>
  <c r="W74" i="6"/>
  <c r="O73" i="3"/>
  <c r="O74" i="6" s="1"/>
  <c r="L73" i="3"/>
  <c r="L74" i="6" s="1"/>
  <c r="T73" i="3"/>
  <c r="T74" i="6" s="1"/>
  <c r="DG73" i="3"/>
  <c r="DG74" i="6"/>
  <c r="DL73" i="3"/>
  <c r="DL74" i="6" s="1"/>
  <c r="CT73" i="3"/>
  <c r="CT74" i="6" s="1"/>
  <c r="BL73" i="3"/>
  <c r="BL74" i="6" s="1"/>
  <c r="C74" i="6"/>
  <c r="BJ73" i="3"/>
  <c r="BJ74" i="6" s="1"/>
  <c r="AD73" i="3"/>
  <c r="AD74" i="6"/>
  <c r="DM73" i="3"/>
  <c r="DM74" i="6"/>
  <c r="CG73" i="3"/>
  <c r="CG74" i="6"/>
  <c r="BA73" i="3"/>
  <c r="BA74" i="6" s="1"/>
  <c r="U73" i="3"/>
  <c r="U74" i="6"/>
  <c r="AI73" i="3"/>
  <c r="AI74" i="6"/>
  <c r="CU73" i="3"/>
  <c r="CU74" i="6"/>
  <c r="AX73" i="3"/>
  <c r="AX74" i="6" s="1"/>
  <c r="DA73" i="3"/>
  <c r="DA74" i="6"/>
  <c r="AO73" i="3"/>
  <c r="AO74" i="6"/>
  <c r="BG73" i="3"/>
  <c r="BG74" i="6"/>
  <c r="BV73" i="3"/>
  <c r="BV74" i="6" s="1"/>
  <c r="J73" i="3"/>
  <c r="J74" i="6"/>
  <c r="BM73" i="3"/>
  <c r="BM74" i="6"/>
  <c r="K73" i="3"/>
  <c r="K74" i="6"/>
  <c r="DF73" i="3"/>
  <c r="DF74" i="6" s="1"/>
  <c r="DN73" i="3"/>
  <c r="DN74" i="6"/>
  <c r="DO73" i="3"/>
  <c r="DO74" i="6"/>
  <c r="AJ73" i="3"/>
  <c r="AJ74" i="6"/>
  <c r="CF73" i="3"/>
  <c r="CF74" i="6" s="1"/>
  <c r="AM73" i="3"/>
  <c r="AM74" i="6"/>
  <c r="CB73" i="3"/>
  <c r="CB74" i="6"/>
  <c r="BB73" i="3"/>
  <c r="BB74" i="6"/>
  <c r="DE73" i="3"/>
  <c r="DE74" i="6" s="1"/>
  <c r="AS73" i="3"/>
  <c r="AS74" i="6"/>
  <c r="AY73" i="3"/>
  <c r="AY74" i="6"/>
  <c r="AH73" i="3"/>
  <c r="AH74" i="6"/>
  <c r="Y73" i="3"/>
  <c r="Y74" i="6" s="1"/>
  <c r="BF73" i="3"/>
  <c r="BF74" i="6"/>
  <c r="AW73" i="3"/>
  <c r="AW74" i="6"/>
  <c r="BT73" i="3"/>
  <c r="BT74" i="6"/>
  <c r="CI73" i="3"/>
  <c r="CI74" i="6" s="1"/>
  <c r="CV73" i="3"/>
  <c r="CV74" i="6"/>
  <c r="D73" i="3"/>
  <c r="D74" i="6"/>
  <c r="DJ73" i="3"/>
  <c r="DJ74" i="6"/>
  <c r="CR73" i="3"/>
  <c r="CR74" i="6" s="1"/>
  <c r="AT73" i="3"/>
  <c r="AT74" i="6"/>
  <c r="CW73" i="3"/>
  <c r="CW74" i="6"/>
  <c r="AK73" i="3"/>
  <c r="AK74" i="6"/>
  <c r="BO73" i="3"/>
  <c r="BO74" i="6" s="1"/>
  <c r="R73" i="3"/>
  <c r="R74" i="6"/>
  <c r="I73" i="3"/>
  <c r="I74" i="6"/>
  <c r="AP73" i="3"/>
  <c r="AP74" i="6"/>
  <c r="AG73" i="3"/>
  <c r="AG74" i="6" s="1"/>
  <c r="H73" i="3"/>
  <c r="H74" i="6"/>
  <c r="BD73" i="3"/>
  <c r="BD74" i="6"/>
  <c r="CJ73" i="3"/>
  <c r="CJ74" i="6"/>
  <c r="AE73" i="3"/>
  <c r="AE74" i="6" s="1"/>
  <c r="DD73" i="3"/>
  <c r="DD74" i="6"/>
  <c r="CH73" i="3"/>
  <c r="CH74" i="6"/>
  <c r="BY73" i="3"/>
  <c r="BY74" i="6"/>
  <c r="DK73" i="3"/>
  <c r="DK74" i="6" s="1"/>
  <c r="CM73" i="3"/>
  <c r="CM74" i="6"/>
  <c r="AQ73" i="3"/>
  <c r="AQ74" i="6"/>
  <c r="CP73" i="3"/>
  <c r="CP74" i="6"/>
  <c r="DP73" i="3"/>
  <c r="DP74" i="6" s="1"/>
  <c r="P73" i="3"/>
  <c r="P74" i="6"/>
  <c r="CK73" i="3"/>
  <c r="CK74" i="6"/>
  <c r="CQ73" i="3"/>
  <c r="CQ74" i="6"/>
  <c r="AR73" i="3"/>
  <c r="AR74" i="6" s="1"/>
  <c r="BZ73" i="3"/>
  <c r="BZ74" i="6"/>
  <c r="BQ73" i="3"/>
  <c r="BQ74" i="6"/>
  <c r="CD73" i="3"/>
  <c r="CD74" i="6"/>
  <c r="CY73" i="3"/>
  <c r="CY74" i="6" s="1"/>
  <c r="BW73" i="3"/>
  <c r="BW74" i="6"/>
  <c r="X73" i="3"/>
  <c r="X74" i="6"/>
  <c r="G73" i="3"/>
  <c r="G74" i="6"/>
  <c r="V73" i="3"/>
  <c r="V74" i="6" s="1"/>
  <c r="DI73" i="3"/>
  <c r="DI74" i="6"/>
  <c r="M73" i="3"/>
  <c r="M74" i="6"/>
  <c r="AF73" i="3"/>
  <c r="AF74" i="6"/>
  <c r="CS73" i="3"/>
  <c r="CS74" i="6" s="1"/>
  <c r="N73" i="3"/>
  <c r="N74" i="6"/>
  <c r="CN73" i="3"/>
  <c r="CN74" i="6"/>
  <c r="E73" i="3"/>
  <c r="E74" i="6"/>
  <c r="AN73" i="3"/>
  <c r="AN74" i="6" s="1"/>
  <c r="BC77" i="3"/>
  <c r="BC78" i="6"/>
  <c r="G77" i="3"/>
  <c r="G78" i="6"/>
  <c r="AV77" i="3"/>
  <c r="AV78" i="6"/>
  <c r="V81" i="3"/>
  <c r="V82" i="6" s="1"/>
  <c r="AW81" i="3"/>
  <c r="AW82" i="6"/>
  <c r="T81" i="3"/>
  <c r="T82" i="6"/>
  <c r="DC81" i="3"/>
  <c r="DC82" i="6"/>
  <c r="AF81" i="3"/>
  <c r="AF82" i="6" s="1"/>
  <c r="BD81" i="3"/>
  <c r="BD82" i="6"/>
  <c r="DL93" i="3"/>
  <c r="DL94" i="6"/>
  <c r="BA93" i="3"/>
  <c r="BA94" i="6"/>
  <c r="AY113" i="3"/>
  <c r="AY114" i="6" s="1"/>
  <c r="CJ113" i="3"/>
  <c r="CJ114" i="6"/>
  <c r="CF57" i="3"/>
  <c r="CF58" i="6"/>
  <c r="AL57" i="3"/>
  <c r="AL58" i="6"/>
  <c r="AO57" i="3"/>
  <c r="AO58" i="6" s="1"/>
  <c r="CY57" i="3"/>
  <c r="CY58" i="6"/>
  <c r="Y57" i="3"/>
  <c r="Y58" i="6"/>
  <c r="DK57" i="3"/>
  <c r="DK58" i="6"/>
  <c r="BK57" i="3"/>
  <c r="BK58" i="6" s="1"/>
  <c r="BB57" i="3"/>
  <c r="BB58" i="6"/>
  <c r="BQ57" i="3"/>
  <c r="BQ58" i="6"/>
  <c r="AU49" i="3"/>
  <c r="AU50" i="6"/>
  <c r="V49" i="3"/>
  <c r="V50" i="6" s="1"/>
  <c r="X49" i="3"/>
  <c r="X50" i="6"/>
  <c r="AY49" i="3"/>
  <c r="AY50" i="6"/>
  <c r="AV49" i="3"/>
  <c r="AV50" i="6"/>
  <c r="O49" i="3"/>
  <c r="O50" i="6" s="1"/>
  <c r="Y49" i="3"/>
  <c r="Y50" i="6"/>
  <c r="AS49" i="3"/>
  <c r="AS50" i="6"/>
  <c r="CX49" i="3"/>
  <c r="CX50" i="6"/>
  <c r="DH41" i="3"/>
  <c r="DH42" i="6" s="1"/>
  <c r="DP45" i="3"/>
  <c r="DP46" i="6"/>
  <c r="AF45" i="3"/>
  <c r="AF46" i="6"/>
  <c r="CP45" i="3"/>
  <c r="CP46" i="6"/>
  <c r="AH45" i="3"/>
  <c r="AH46" i="6" s="1"/>
  <c r="C22" i="6"/>
  <c r="K21" i="3"/>
  <c r="K22" i="6" s="1"/>
  <c r="J97" i="3"/>
  <c r="J98" i="6" s="1"/>
  <c r="DF57" i="3"/>
  <c r="DF58" i="6"/>
  <c r="DQ57" i="3"/>
  <c r="DQ58" i="6" s="1"/>
  <c r="BF57" i="3"/>
  <c r="BF58" i="6" s="1"/>
  <c r="AF57" i="3"/>
  <c r="AF58" i="6" s="1"/>
  <c r="DE57" i="3"/>
  <c r="DE58" i="6"/>
  <c r="CQ57" i="3"/>
  <c r="CQ58" i="6" s="1"/>
  <c r="AX57" i="3"/>
  <c r="AX58" i="6" s="1"/>
  <c r="CH57" i="3"/>
  <c r="CH58" i="6" s="1"/>
  <c r="DG57" i="3"/>
  <c r="DG58" i="6"/>
  <c r="CD57" i="3"/>
  <c r="CD58" i="6" s="1"/>
  <c r="BX57" i="3"/>
  <c r="BX58" i="6" s="1"/>
  <c r="AH57" i="3"/>
  <c r="AH58" i="6" s="1"/>
  <c r="BD49" i="3"/>
  <c r="BD50" i="6"/>
  <c r="DM49" i="3"/>
  <c r="DM50" i="6" s="1"/>
  <c r="BW49" i="3"/>
  <c r="BW50" i="6" s="1"/>
  <c r="AM49" i="3"/>
  <c r="AM50" i="6" s="1"/>
  <c r="CT49" i="3"/>
  <c r="CT50" i="6"/>
  <c r="CZ49" i="3"/>
  <c r="CZ50" i="6" s="1"/>
  <c r="AJ49" i="3"/>
  <c r="AJ50" i="6" s="1"/>
  <c r="BJ49" i="3"/>
  <c r="BJ50" i="6" s="1"/>
  <c r="CW49" i="3"/>
  <c r="CW50" i="6"/>
  <c r="CE49" i="3"/>
  <c r="CE50" i="6" s="1"/>
  <c r="AS37" i="3"/>
  <c r="AS38" i="6" s="1"/>
  <c r="CE45" i="3"/>
  <c r="CE46" i="6" s="1"/>
  <c r="DQ45" i="3"/>
  <c r="DQ46" i="6"/>
  <c r="H45" i="3"/>
  <c r="H46" i="6" s="1"/>
  <c r="CF45" i="3"/>
  <c r="CF46" i="6" s="1"/>
  <c r="BO21" i="3"/>
  <c r="BO22" i="6" s="1"/>
  <c r="AC21" i="3"/>
  <c r="AC22" i="6"/>
  <c r="CK21" i="3"/>
  <c r="CK22" i="6" s="1"/>
  <c r="BN33" i="3"/>
  <c r="BN34" i="6" s="1"/>
  <c r="CR33" i="3"/>
  <c r="CR34" i="6" s="1"/>
  <c r="CZ13" i="3"/>
  <c r="CZ14" i="6"/>
  <c r="BG13" i="3"/>
  <c r="BG14" i="6" s="1"/>
  <c r="CU29" i="3"/>
  <c r="CU30" i="6" s="1"/>
  <c r="CR29" i="3"/>
  <c r="CR30" i="6" s="1"/>
  <c r="BD25" i="3"/>
  <c r="BD26" i="6"/>
  <c r="AH25" i="3"/>
  <c r="AH26" i="6" s="1"/>
  <c r="CR17" i="3"/>
  <c r="CR18" i="6" s="1"/>
  <c r="BB13" i="3"/>
  <c r="BB14" i="6" s="1"/>
  <c r="DG13" i="3"/>
  <c r="DG14" i="6"/>
  <c r="J9" i="3"/>
  <c r="J10" i="6" s="1"/>
  <c r="DC9" i="3"/>
  <c r="DC10" i="6" s="1"/>
  <c r="CU33" i="3"/>
  <c r="CU34" i="6" s="1"/>
  <c r="BX73" i="3"/>
  <c r="BX74" i="6"/>
  <c r="BQ5" i="3"/>
  <c r="BQ6" i="6" s="1"/>
  <c r="AM5" i="3"/>
  <c r="AM6" i="6" s="1"/>
  <c r="V5" i="3"/>
  <c r="V6" i="6" s="1"/>
  <c r="BI5" i="3"/>
  <c r="BI6" i="6"/>
  <c r="CD5" i="3"/>
  <c r="CD6" i="6" s="1"/>
  <c r="AG5" i="3"/>
  <c r="AG6" i="6" s="1"/>
  <c r="CR5" i="3"/>
  <c r="CR6" i="6" s="1"/>
  <c r="DD5" i="3"/>
  <c r="DD6" i="6"/>
  <c r="AX25" i="3"/>
  <c r="AX26" i="6" s="1"/>
  <c r="CB25" i="3"/>
  <c r="CB26" i="6" s="1"/>
  <c r="CY25" i="3"/>
  <c r="CY26" i="6" s="1"/>
  <c r="R25" i="3"/>
  <c r="R26" i="6"/>
  <c r="AL25" i="3"/>
  <c r="AL26" i="6" s="1"/>
  <c r="T25" i="3"/>
  <c r="T26" i="6" s="1"/>
  <c r="CJ25" i="3"/>
  <c r="CJ26" i="6" s="1"/>
  <c r="BA25" i="3"/>
  <c r="BA26" i="6"/>
  <c r="BE25" i="3"/>
  <c r="BE26" i="6" s="1"/>
  <c r="CE25" i="3"/>
  <c r="CE26" i="6" s="1"/>
  <c r="CL25" i="3"/>
  <c r="CL26" i="6" s="1"/>
  <c r="BP25" i="3"/>
  <c r="BP26" i="6"/>
  <c r="AF25" i="3"/>
  <c r="AF26" i="6" s="1"/>
  <c r="Y25" i="3"/>
  <c r="Y26" i="6" s="1"/>
  <c r="CS25" i="3"/>
  <c r="CS26" i="6" s="1"/>
  <c r="CC25" i="3"/>
  <c r="CC26" i="6"/>
  <c r="CX25" i="3"/>
  <c r="CX26" i="6" s="1"/>
  <c r="CV25" i="3"/>
  <c r="CV26" i="6" s="1"/>
  <c r="BH25" i="3"/>
  <c r="BH26" i="6" s="1"/>
  <c r="AO25" i="3"/>
  <c r="AO26" i="6"/>
  <c r="BZ25" i="3"/>
  <c r="BZ26" i="6" s="1"/>
  <c r="CN25" i="3"/>
  <c r="CN26" i="6" s="1"/>
  <c r="DJ25" i="3"/>
  <c r="DJ26" i="6" s="1"/>
  <c r="E25" i="3"/>
  <c r="E26" i="6"/>
  <c r="Z25" i="3"/>
  <c r="Z26" i="6" s="1"/>
  <c r="CM25" i="3"/>
  <c r="CM26" i="6" s="1"/>
  <c r="DE25" i="3"/>
  <c r="DE26" i="6" s="1"/>
  <c r="BW25" i="3"/>
  <c r="BW26" i="6"/>
  <c r="BY25" i="3"/>
  <c r="BY26" i="6" s="1"/>
  <c r="CG25" i="3"/>
  <c r="CG26" i="6" s="1"/>
  <c r="Q25" i="3"/>
  <c r="Q26" i="6" s="1"/>
  <c r="N25" i="3"/>
  <c r="N26" i="6"/>
  <c r="CF25" i="3"/>
  <c r="CF26" i="6" s="1"/>
  <c r="H25" i="3"/>
  <c r="H26" i="6" s="1"/>
  <c r="CR25" i="3"/>
  <c r="CR26" i="6" s="1"/>
  <c r="DF25" i="3"/>
  <c r="DF26" i="6"/>
  <c r="AE25" i="3"/>
  <c r="AE26" i="6" s="1"/>
  <c r="CP25" i="3"/>
  <c r="CP26" i="6" s="1"/>
  <c r="DA25" i="3"/>
  <c r="DA26" i="6" s="1"/>
  <c r="AB25" i="3"/>
  <c r="AB26" i="6"/>
  <c r="BB25" i="3"/>
  <c r="BB26" i="6" s="1"/>
  <c r="BS25" i="3"/>
  <c r="BS26" i="6" s="1"/>
  <c r="K25" i="3"/>
  <c r="K26" i="6" s="1"/>
  <c r="BV25" i="3"/>
  <c r="BV26" i="6"/>
  <c r="AM25" i="3"/>
  <c r="AM26" i="6" s="1"/>
  <c r="G25" i="3"/>
  <c r="G26" i="6" s="1"/>
  <c r="CZ25" i="3"/>
  <c r="CZ26" i="6" s="1"/>
  <c r="CI25" i="3"/>
  <c r="CI26" i="6"/>
  <c r="AG25" i="3"/>
  <c r="AG26" i="6" s="1"/>
  <c r="DI25" i="3"/>
  <c r="DI26" i="6" s="1"/>
  <c r="I25" i="3"/>
  <c r="I26" i="6" s="1"/>
  <c r="F25" i="3"/>
  <c r="F26" i="6"/>
  <c r="DK25" i="3"/>
  <c r="DK26" i="6" s="1"/>
  <c r="DN25" i="3"/>
  <c r="DN26" i="6" s="1"/>
  <c r="CW25" i="3"/>
  <c r="CW26" i="6" s="1"/>
  <c r="BJ25" i="3"/>
  <c r="BJ26" i="6"/>
  <c r="BG25" i="3"/>
  <c r="BG26" i="6" s="1"/>
  <c r="AT25" i="3"/>
  <c r="AT26" i="6" s="1"/>
  <c r="V25" i="3"/>
  <c r="V26" i="6" s="1"/>
  <c r="BI25" i="3"/>
  <c r="BI26" i="6"/>
  <c r="AP25" i="3"/>
  <c r="AP26" i="6" s="1"/>
  <c r="AC25" i="3"/>
  <c r="AC26" i="6" s="1"/>
  <c r="DC25" i="3"/>
  <c r="DC26" i="6" s="1"/>
  <c r="BX25" i="3"/>
  <c r="BX26" i="6"/>
  <c r="AW25" i="3"/>
  <c r="AW26" i="6" s="1"/>
  <c r="CH25" i="3"/>
  <c r="CH26" i="6" s="1"/>
  <c r="AA25" i="3"/>
  <c r="AA26" i="6" s="1"/>
  <c r="DP25" i="3"/>
  <c r="DP26" i="6"/>
  <c r="DQ25" i="3"/>
  <c r="DQ26" i="6" s="1"/>
  <c r="BR25" i="3"/>
  <c r="BR26" i="6" s="1"/>
  <c r="DG25" i="3"/>
  <c r="DG26" i="6" s="1"/>
  <c r="U25" i="3"/>
  <c r="U26" i="6"/>
  <c r="AS25" i="3"/>
  <c r="AS26" i="6" s="1"/>
  <c r="BC25" i="3"/>
  <c r="BC26" i="6" s="1"/>
  <c r="J25" i="3"/>
  <c r="J26" i="6" s="1"/>
  <c r="BL25" i="3"/>
  <c r="BL26" i="6"/>
  <c r="AN25" i="3"/>
  <c r="AN26" i="6" s="1"/>
  <c r="BK25" i="3"/>
  <c r="BK26" i="6" s="1"/>
  <c r="BU25" i="3"/>
  <c r="BU26" i="6" s="1"/>
  <c r="CD25" i="3"/>
  <c r="CD26" i="6"/>
  <c r="CT25" i="3"/>
  <c r="CT26" i="6" s="1"/>
  <c r="BQ25" i="3"/>
  <c r="BQ26" i="6" s="1"/>
  <c r="AV25" i="3"/>
  <c r="AV26" i="6" s="1"/>
  <c r="DB25" i="3"/>
  <c r="DB26" i="6"/>
  <c r="AZ25" i="3"/>
  <c r="AZ26" i="6" s="1"/>
  <c r="AQ25" i="3"/>
  <c r="AQ26" i="6" s="1"/>
  <c r="O25" i="3"/>
  <c r="O26" i="6" s="1"/>
  <c r="M25" i="3"/>
  <c r="M26" i="6"/>
  <c r="AY25" i="3"/>
  <c r="AY26" i="6" s="1"/>
  <c r="W25" i="3"/>
  <c r="W26" i="6" s="1"/>
  <c r="AU25" i="3"/>
  <c r="AU26" i="6" s="1"/>
  <c r="DL25" i="3"/>
  <c r="DL26" i="6"/>
  <c r="BO25" i="3"/>
  <c r="BO26" i="6" s="1"/>
  <c r="BT25" i="3"/>
  <c r="BT26" i="6" s="1"/>
  <c r="X25" i="3"/>
  <c r="X26" i="6" s="1"/>
  <c r="DM25" i="3"/>
  <c r="DM26" i="6"/>
  <c r="BM25" i="3"/>
  <c r="BM26" i="6" s="1"/>
  <c r="AI25" i="3"/>
  <c r="AI26" i="6" s="1"/>
  <c r="AR25" i="3"/>
  <c r="AR26" i="6" s="1"/>
  <c r="D25" i="3"/>
  <c r="D26" i="6"/>
  <c r="CQ25" i="3"/>
  <c r="CQ26" i="6" s="1"/>
  <c r="BN25" i="3"/>
  <c r="BN26" i="6" s="1"/>
  <c r="DH25" i="3"/>
  <c r="DH26" i="6" s="1"/>
  <c r="S25" i="3"/>
  <c r="S26" i="6"/>
  <c r="CO25" i="3"/>
  <c r="CO26" i="6" s="1"/>
  <c r="AJ25" i="3"/>
  <c r="AJ26" i="6" s="1"/>
  <c r="BV41" i="3"/>
  <c r="BV42" i="6" s="1"/>
  <c r="T41" i="3"/>
  <c r="T42" i="6"/>
  <c r="AA41" i="3"/>
  <c r="AA42" i="6" s="1"/>
  <c r="AT41" i="3"/>
  <c r="AT42" i="6" s="1"/>
  <c r="BP41" i="3"/>
  <c r="BP42" i="6" s="1"/>
  <c r="CL41" i="3"/>
  <c r="CL42" i="6"/>
  <c r="AQ41" i="3"/>
  <c r="AQ42" i="6" s="1"/>
  <c r="CJ41" i="3"/>
  <c r="CJ42" i="6" s="1"/>
  <c r="AO41" i="3"/>
  <c r="AO42" i="6" s="1"/>
  <c r="M41" i="3"/>
  <c r="M42" i="6"/>
  <c r="AK41" i="3"/>
  <c r="AK42" i="6" s="1"/>
  <c r="CE41" i="3"/>
  <c r="CE42" i="6" s="1"/>
  <c r="BB41" i="3"/>
  <c r="BB42" i="6" s="1"/>
  <c r="G41" i="3"/>
  <c r="G42" i="6"/>
  <c r="AM41" i="3"/>
  <c r="AM42" i="6" s="1"/>
  <c r="DQ41" i="3"/>
  <c r="DQ42" i="6" s="1"/>
  <c r="CO41" i="3"/>
  <c r="CO42" i="6" s="1"/>
  <c r="AV41" i="3"/>
  <c r="AV42" i="6"/>
  <c r="BN41" i="3"/>
  <c r="BN42" i="6" s="1"/>
  <c r="N41" i="3"/>
  <c r="N42" i="6" s="1"/>
  <c r="DK41" i="3"/>
  <c r="DK42" i="6" s="1"/>
  <c r="AZ41" i="3"/>
  <c r="AZ42" i="6"/>
  <c r="CY41" i="3"/>
  <c r="CY42" i="6" s="1"/>
  <c r="AW41" i="3"/>
  <c r="AW42" i="6" s="1"/>
  <c r="AR41" i="3"/>
  <c r="AR42" i="6" s="1"/>
  <c r="CU41" i="3"/>
  <c r="CU42" i="6"/>
  <c r="P41" i="3"/>
  <c r="P42" i="6" s="1"/>
  <c r="CG41" i="3"/>
  <c r="CG42" i="6" s="1"/>
  <c r="DN41" i="3"/>
  <c r="DN42" i="6" s="1"/>
  <c r="DC41" i="3"/>
  <c r="DC42" i="6"/>
  <c r="O41" i="3"/>
  <c r="O42" i="6" s="1"/>
  <c r="DA41" i="3"/>
  <c r="DA42" i="6" s="1"/>
  <c r="BY41" i="3"/>
  <c r="BY42" i="6" s="1"/>
  <c r="CN41" i="3"/>
  <c r="CN42" i="6"/>
  <c r="V41" i="3"/>
  <c r="V42" i="6" s="1"/>
  <c r="DJ41" i="3"/>
  <c r="DJ42" i="6" s="1"/>
  <c r="CQ41" i="3"/>
  <c r="CQ42" i="6" s="1"/>
  <c r="AF41" i="3"/>
  <c r="AF42" i="6"/>
  <c r="CA41" i="3"/>
  <c r="CA42" i="6" s="1"/>
  <c r="CC41" i="3"/>
  <c r="CC42" i="6" s="1"/>
  <c r="AG41" i="3"/>
  <c r="AG42" i="6" s="1"/>
  <c r="BR41" i="3"/>
  <c r="BR42" i="6"/>
  <c r="K41" i="3"/>
  <c r="K42" i="6" s="1"/>
  <c r="BD41" i="3"/>
  <c r="BD42" i="6" s="1"/>
  <c r="I41" i="3"/>
  <c r="I42" i="6" s="1"/>
  <c r="CB41" i="3"/>
  <c r="CB42" i="6"/>
  <c r="BL41" i="3"/>
  <c r="BL42" i="6" s="1"/>
  <c r="AX41" i="3"/>
  <c r="AX42" i="6" s="1"/>
  <c r="AY41" i="3"/>
  <c r="AY42" i="6" s="1"/>
  <c r="BF41" i="3"/>
  <c r="BF42" i="6"/>
  <c r="X41" i="3"/>
  <c r="X42" i="6" s="1"/>
  <c r="AJ41" i="3"/>
  <c r="AJ42" i="6" s="1"/>
  <c r="BM41" i="3"/>
  <c r="BM42" i="6" s="1"/>
  <c r="BG41" i="3"/>
  <c r="BG42" i="6"/>
  <c r="BE41" i="3"/>
  <c r="BE42" i="6" s="1"/>
  <c r="E41" i="3"/>
  <c r="E42" i="6" s="1"/>
  <c r="Z41" i="3"/>
  <c r="Z42" i="6" s="1"/>
  <c r="BO41" i="3"/>
  <c r="BO42" i="6"/>
  <c r="DE41" i="3"/>
  <c r="DE42" i="6" s="1"/>
  <c r="U41" i="3"/>
  <c r="U42" i="6" s="1"/>
  <c r="CX41" i="3"/>
  <c r="CX42" i="6" s="1"/>
  <c r="BC41" i="3"/>
  <c r="BC42" i="6"/>
  <c r="CZ41" i="3"/>
  <c r="CZ42" i="6" s="1"/>
  <c r="AE41" i="3"/>
  <c r="AE42" i="6" s="1"/>
  <c r="D41" i="3"/>
  <c r="D42" i="6" s="1"/>
  <c r="AD41" i="3"/>
  <c r="AD42" i="6"/>
  <c r="L41" i="3"/>
  <c r="L42" i="6" s="1"/>
  <c r="DI41" i="3"/>
  <c r="DI42" i="6" s="1"/>
  <c r="C42" i="6"/>
  <c r="AN41" i="3"/>
  <c r="AN42" i="6"/>
  <c r="BH41" i="3"/>
  <c r="BH42" i="6" s="1"/>
  <c r="CF41" i="3"/>
  <c r="CF42" i="6"/>
  <c r="BW41" i="3"/>
  <c r="BW42" i="6"/>
  <c r="BU41" i="3"/>
  <c r="BU42" i="6"/>
  <c r="CW41" i="3"/>
  <c r="CW42" i="6" s="1"/>
  <c r="DM41" i="3"/>
  <c r="DM42" i="6"/>
  <c r="CR41" i="3"/>
  <c r="CR42" i="6"/>
  <c r="J41" i="3"/>
  <c r="J42" i="6"/>
  <c r="AC41" i="3"/>
  <c r="AC42" i="6" s="1"/>
  <c r="AH41" i="3"/>
  <c r="AH42" i="6"/>
  <c r="S41" i="3"/>
  <c r="S42" i="6"/>
  <c r="W41" i="3"/>
  <c r="W42" i="6"/>
  <c r="CH41" i="3"/>
  <c r="CH42" i="6" s="1"/>
  <c r="AL41" i="3"/>
  <c r="AL42" i="6"/>
  <c r="DP41" i="3"/>
  <c r="DP42" i="6"/>
  <c r="DF41" i="3"/>
  <c r="DF42" i="6"/>
  <c r="BA41" i="3"/>
  <c r="BA42" i="6" s="1"/>
  <c r="BS41" i="3"/>
  <c r="BS42" i="6"/>
  <c r="DL41" i="3"/>
  <c r="DL42" i="6"/>
  <c r="AS41" i="3"/>
  <c r="AS42" i="6"/>
  <c r="AU41" i="3"/>
  <c r="AU42" i="6" s="1"/>
  <c r="DD41" i="3"/>
  <c r="DD42" i="6"/>
  <c r="AN45" i="3"/>
  <c r="AN46" i="6"/>
  <c r="DF45" i="3"/>
  <c r="DF46" i="6"/>
  <c r="BW45" i="3"/>
  <c r="BW46" i="6" s="1"/>
  <c r="DE45" i="3"/>
  <c r="DE46" i="6"/>
  <c r="AT45" i="3"/>
  <c r="AT46" i="6"/>
  <c r="CM45" i="3"/>
  <c r="CM46" i="6"/>
  <c r="BA45" i="3"/>
  <c r="BA46" i="6" s="1"/>
  <c r="F45" i="3"/>
  <c r="F46" i="6"/>
  <c r="CJ45" i="3"/>
  <c r="CJ46" i="6"/>
  <c r="D45" i="3"/>
  <c r="D46" i="6"/>
  <c r="R45" i="3"/>
  <c r="R46" i="6" s="1"/>
  <c r="BL45" i="3"/>
  <c r="BL46" i="6"/>
  <c r="CH45" i="3"/>
  <c r="CH46" i="6"/>
  <c r="AA45" i="3"/>
  <c r="AA46" i="6"/>
  <c r="CS45" i="3"/>
  <c r="CS46" i="6" s="1"/>
  <c r="CX45" i="3"/>
  <c r="CX46" i="6"/>
  <c r="U45" i="3"/>
  <c r="U46" i="6"/>
  <c r="CD45" i="3"/>
  <c r="CD46" i="6"/>
  <c r="BO45" i="3"/>
  <c r="BO46" i="6" s="1"/>
  <c r="CC45" i="3"/>
  <c r="CC46" i="6"/>
  <c r="BK45" i="3"/>
  <c r="BK46" i="6"/>
  <c r="AV45" i="3"/>
  <c r="AV46" i="6"/>
  <c r="BX45" i="3"/>
  <c r="BX46" i="6" s="1"/>
  <c r="CW45" i="3"/>
  <c r="CW46" i="6"/>
  <c r="BN45" i="3"/>
  <c r="BN46" i="6"/>
  <c r="BR45" i="3"/>
  <c r="BR46" i="6"/>
  <c r="DK45" i="3"/>
  <c r="DK46" i="6" s="1"/>
  <c r="T45" i="3"/>
  <c r="T46" i="6"/>
  <c r="AS45" i="3"/>
  <c r="AS46" i="6"/>
  <c r="BU45" i="3"/>
  <c r="BU46" i="6"/>
  <c r="W45" i="3"/>
  <c r="W46" i="6" s="1"/>
  <c r="CR45" i="3"/>
  <c r="CR46" i="6"/>
  <c r="DJ45" i="3"/>
  <c r="DJ46" i="6"/>
  <c r="DL45" i="3"/>
  <c r="DL46" i="6"/>
  <c r="AR45" i="3"/>
  <c r="AR46" i="6" s="1"/>
  <c r="G45" i="3"/>
  <c r="G46" i="6"/>
  <c r="DB45" i="3"/>
  <c r="DB46" i="6"/>
  <c r="S45" i="3"/>
  <c r="S46" i="6"/>
  <c r="DA45" i="3"/>
  <c r="DA46" i="6" s="1"/>
  <c r="CV45" i="3"/>
  <c r="CV46" i="6"/>
  <c r="AC45" i="3"/>
  <c r="AC46" i="6"/>
  <c r="BE45" i="3"/>
  <c r="BE46" i="6"/>
  <c r="BD45" i="3"/>
  <c r="BD46" i="6" s="1"/>
  <c r="N45" i="3"/>
  <c r="N46" i="6"/>
  <c r="DN45" i="3"/>
  <c r="DN46" i="6"/>
  <c r="DG45" i="3"/>
  <c r="DG46" i="6"/>
  <c r="AG45" i="3"/>
  <c r="AG46" i="6" s="1"/>
  <c r="CB45" i="3"/>
  <c r="CB46" i="6"/>
  <c r="BG45" i="3"/>
  <c r="BG46" i="6"/>
  <c r="AB45" i="3"/>
  <c r="AB46" i="6"/>
  <c r="CY45" i="3"/>
  <c r="CY46" i="6" s="1"/>
  <c r="J45" i="3"/>
  <c r="J46" i="6"/>
  <c r="K45" i="3"/>
  <c r="K46" i="6"/>
  <c r="BM45" i="3"/>
  <c r="BM46" i="6"/>
  <c r="AI45" i="3"/>
  <c r="AI46" i="6" s="1"/>
  <c r="DD45" i="3"/>
  <c r="DD46" i="6"/>
  <c r="I45" i="3"/>
  <c r="I46" i="6"/>
  <c r="DC45" i="3"/>
  <c r="DC46" i="6"/>
  <c r="AZ45" i="3"/>
  <c r="AZ46" i="6" s="1"/>
  <c r="BF45" i="3"/>
  <c r="BF46" i="6"/>
  <c r="AO45" i="3"/>
  <c r="AO46" i="6"/>
  <c r="AW45" i="3"/>
  <c r="AW46" i="6"/>
  <c r="BV45" i="3"/>
  <c r="BV46" i="6" s="1"/>
  <c r="CO45" i="3"/>
  <c r="CO46" i="6"/>
  <c r="AY45" i="3"/>
  <c r="AY46" i="6"/>
  <c r="BQ45" i="3"/>
  <c r="BQ46" i="6"/>
  <c r="AL45" i="3"/>
  <c r="AL46" i="6" s="1"/>
  <c r="AJ45" i="3"/>
  <c r="AJ46" i="6"/>
  <c r="Y45" i="3"/>
  <c r="Y46" i="6"/>
  <c r="AX45" i="3"/>
  <c r="AX46" i="6"/>
  <c r="AM45" i="3"/>
  <c r="AM46" i="6" s="1"/>
  <c r="P45" i="3"/>
  <c r="P46" i="6"/>
  <c r="L45" i="3"/>
  <c r="L46" i="6"/>
  <c r="CQ45" i="3"/>
  <c r="CQ46" i="6"/>
  <c r="BC45" i="3"/>
  <c r="BC46" i="6" s="1"/>
  <c r="X45" i="3"/>
  <c r="X46" i="6"/>
  <c r="AK45" i="3"/>
  <c r="AK46" i="6"/>
  <c r="AD45" i="3"/>
  <c r="AD46" i="6"/>
  <c r="CU45" i="3"/>
  <c r="CU46" i="6" s="1"/>
  <c r="M45" i="3"/>
  <c r="M46" i="6"/>
  <c r="BJ45" i="3"/>
  <c r="BJ46" i="6"/>
  <c r="BB45" i="3"/>
  <c r="BB46" i="6"/>
  <c r="BP45" i="3"/>
  <c r="BP46" i="6" s="1"/>
  <c r="AE45" i="3"/>
  <c r="AE46" i="6"/>
  <c r="DM45" i="3"/>
  <c r="DM46" i="6"/>
  <c r="AQ45" i="3"/>
  <c r="AQ46" i="6"/>
  <c r="CI45" i="3"/>
  <c r="CI46" i="6" s="1"/>
  <c r="AP45" i="3"/>
  <c r="AP46" i="6"/>
  <c r="AR49" i="3"/>
  <c r="AR50" i="6"/>
  <c r="BA49" i="3"/>
  <c r="BA50" i="6"/>
  <c r="BR49" i="3"/>
  <c r="BR50" i="6" s="1"/>
  <c r="BI49" i="3"/>
  <c r="BI50" i="6"/>
  <c r="CH49" i="3"/>
  <c r="CH50" i="6"/>
  <c r="AW49" i="3"/>
  <c r="AW50" i="6"/>
  <c r="BB49" i="3"/>
  <c r="BB50" i="6" s="1"/>
  <c r="Q49" i="3"/>
  <c r="Q50" i="6"/>
  <c r="BQ49" i="3"/>
  <c r="BQ50" i="6"/>
  <c r="CS49" i="3"/>
  <c r="CS50" i="6"/>
  <c r="BS49" i="3"/>
  <c r="BS50" i="6" s="1"/>
  <c r="CI49" i="3"/>
  <c r="CI50" i="6"/>
  <c r="T49" i="3"/>
  <c r="T50" i="6"/>
  <c r="DD49" i="3"/>
  <c r="DD50" i="6"/>
  <c r="AN49" i="3"/>
  <c r="AN50" i="6" s="1"/>
  <c r="CD49" i="3"/>
  <c r="CD50" i="6"/>
  <c r="CB49" i="3"/>
  <c r="CB50" i="6"/>
  <c r="AG49" i="3"/>
  <c r="AG50" i="6"/>
  <c r="BZ49" i="3"/>
  <c r="BZ50" i="6" s="1"/>
  <c r="DP49" i="3"/>
  <c r="DP50" i="6"/>
  <c r="DG49" i="3"/>
  <c r="DG50" i="6"/>
  <c r="CR49" i="3"/>
  <c r="CR50" i="6"/>
  <c r="DC49" i="3"/>
  <c r="DC50" i="6" s="1"/>
  <c r="AX49" i="3"/>
  <c r="AX50" i="6"/>
  <c r="BV49" i="3"/>
  <c r="BV50" i="6"/>
  <c r="CM49" i="3"/>
  <c r="CM50" i="6"/>
  <c r="BE49" i="3"/>
  <c r="BE50" i="6" s="1"/>
  <c r="DI49" i="3"/>
  <c r="DI50" i="6"/>
  <c r="AP49" i="3"/>
  <c r="AP50" i="6"/>
  <c r="U49" i="3"/>
  <c r="U50" i="6"/>
  <c r="AF49" i="3"/>
  <c r="AF50" i="6" s="1"/>
  <c r="BL49" i="3"/>
  <c r="BL50" i="6"/>
  <c r="AL49" i="3"/>
  <c r="AL50" i="6"/>
  <c r="AC49" i="3"/>
  <c r="AC50" i="6"/>
  <c r="BF49" i="3"/>
  <c r="BF50" i="6" s="1"/>
  <c r="E49" i="3"/>
  <c r="E50" i="6"/>
  <c r="Z49" i="3"/>
  <c r="Z50" i="6"/>
  <c r="BO49" i="3"/>
  <c r="BO50" i="6"/>
  <c r="AQ49" i="3"/>
  <c r="AQ50" i="6" s="1"/>
  <c r="CC49" i="3"/>
  <c r="CC50" i="6"/>
  <c r="AZ49" i="3"/>
  <c r="AZ50" i="6"/>
  <c r="D49" i="3"/>
  <c r="D50" i="6"/>
  <c r="BX49" i="3"/>
  <c r="BX50" i="6" s="1"/>
  <c r="W49" i="3"/>
  <c r="W50" i="6"/>
  <c r="BT49" i="3"/>
  <c r="BT50" i="6"/>
  <c r="R49" i="3"/>
  <c r="R50" i="6"/>
  <c r="AD49" i="3"/>
  <c r="AD50" i="6" s="1"/>
  <c r="J49" i="3"/>
  <c r="J50" i="6"/>
  <c r="K49" i="3"/>
  <c r="K50" i="6"/>
  <c r="AB49" i="3"/>
  <c r="AB50" i="6"/>
  <c r="BK49" i="3"/>
  <c r="BK50" i="6" s="1"/>
  <c r="CK49" i="3"/>
  <c r="CK50" i="6"/>
  <c r="CG49" i="3"/>
  <c r="CG50" i="6"/>
  <c r="DA49" i="3"/>
  <c r="DA50" i="6"/>
  <c r="DQ49" i="3"/>
  <c r="DQ50" i="6" s="1"/>
  <c r="CU49" i="3"/>
  <c r="CU50" i="6"/>
  <c r="DO49" i="3"/>
  <c r="DO50" i="6"/>
  <c r="DL49" i="3"/>
  <c r="DL50" i="6"/>
  <c r="L49" i="3"/>
  <c r="L50" i="6" s="1"/>
  <c r="BH49" i="3"/>
  <c r="BH50" i="6"/>
  <c r="DH49" i="3"/>
  <c r="DH50" i="6"/>
  <c r="S49" i="3"/>
  <c r="S50" i="6"/>
  <c r="DK49" i="3"/>
  <c r="DK50" i="6" s="1"/>
  <c r="P49" i="3"/>
  <c r="P50" i="6"/>
  <c r="DB49" i="3"/>
  <c r="DB50" i="6"/>
  <c r="G49" i="3"/>
  <c r="G50" i="6"/>
  <c r="AE49" i="3"/>
  <c r="AE50" i="6" s="1"/>
  <c r="BU49" i="3"/>
  <c r="BU50" i="6"/>
  <c r="AH49" i="3"/>
  <c r="AH50" i="6"/>
  <c r="BP49" i="3"/>
  <c r="BP50" i="6"/>
  <c r="CP49" i="3"/>
  <c r="CP50" i="6" s="1"/>
  <c r="AO49" i="3"/>
  <c r="AO50" i="6"/>
  <c r="AK49" i="3"/>
  <c r="AK50" i="6"/>
  <c r="CY49" i="3"/>
  <c r="CY50" i="6"/>
  <c r="DE49" i="3"/>
  <c r="DE50" i="6" s="1"/>
  <c r="Z57" i="3"/>
  <c r="Z58" i="6"/>
  <c r="M57" i="3"/>
  <c r="M58" i="6"/>
  <c r="DB57" i="3"/>
  <c r="DB58" i="6"/>
  <c r="DM57" i="3"/>
  <c r="DM58" i="6" s="1"/>
  <c r="BV57" i="3"/>
  <c r="BV58" i="6"/>
  <c r="CA57" i="3"/>
  <c r="CA58" i="6"/>
  <c r="CR57" i="3"/>
  <c r="CR58" i="6"/>
  <c r="P57" i="3"/>
  <c r="P58" i="6" s="1"/>
  <c r="AQ57" i="3"/>
  <c r="AQ58" i="6"/>
  <c r="DJ57" i="3"/>
  <c r="DJ58" i="6"/>
  <c r="BH57" i="3"/>
  <c r="BH58" i="6"/>
  <c r="M49" i="3"/>
  <c r="M50" i="6" s="1"/>
  <c r="AI49" i="3"/>
  <c r="AI50" i="6"/>
  <c r="AA49" i="3"/>
  <c r="AA50" i="6"/>
  <c r="CL49" i="3"/>
  <c r="CL50" i="6"/>
  <c r="CV49" i="3"/>
  <c r="CV50" i="6" s="1"/>
  <c r="BM49" i="3"/>
  <c r="BM50" i="6"/>
  <c r="H49" i="3"/>
  <c r="H50" i="6"/>
  <c r="CF49" i="3"/>
  <c r="CF50" i="6"/>
  <c r="DN49" i="3"/>
  <c r="DN50" i="6" s="1"/>
  <c r="DF49" i="3"/>
  <c r="DF50" i="6"/>
  <c r="CO49" i="3"/>
  <c r="CO50" i="6"/>
  <c r="E45" i="3"/>
  <c r="E46" i="6"/>
  <c r="CZ45" i="3"/>
  <c r="CZ46" i="6" s="1"/>
  <c r="Q45" i="3"/>
  <c r="Q46" i="6"/>
  <c r="AU45" i="3"/>
  <c r="AU46" i="6"/>
  <c r="O45" i="3"/>
  <c r="O46" i="6"/>
  <c r="DF21" i="3"/>
  <c r="DF22" i="6" s="1"/>
  <c r="CA21" i="3"/>
  <c r="CA22" i="6"/>
  <c r="BW21" i="3"/>
  <c r="BW22" i="6"/>
  <c r="O37" i="3"/>
  <c r="O38" i="6"/>
  <c r="CK33" i="3"/>
  <c r="CK34" i="6" s="1"/>
  <c r="Y33" i="3"/>
  <c r="Y34" i="6"/>
  <c r="BF25" i="3"/>
  <c r="BF26" i="6"/>
  <c r="CE29" i="3"/>
  <c r="CE30" i="6"/>
  <c r="BA29" i="3"/>
  <c r="BA30" i="6" s="1"/>
  <c r="CK25" i="3"/>
  <c r="CK26" i="6"/>
  <c r="L25" i="3"/>
  <c r="L26" i="6"/>
  <c r="P25" i="3"/>
  <c r="P26" i="6"/>
  <c r="CX17" i="3"/>
  <c r="CX18" i="6" s="1"/>
  <c r="AJ13" i="3"/>
  <c r="AJ14" i="6"/>
  <c r="BV13" i="3"/>
  <c r="BV14" i="6"/>
  <c r="DA9" i="3"/>
  <c r="DA10" i="6"/>
  <c r="AI41" i="3"/>
  <c r="AI42" i="6" s="1"/>
  <c r="DC69" i="3"/>
  <c r="DC70" i="6"/>
  <c r="DO25" i="2"/>
  <c r="U19" i="2"/>
  <c r="AO41" i="2"/>
  <c r="CF52" i="2"/>
  <c r="AV88" i="2"/>
  <c r="BF87" i="2"/>
  <c r="AC51" i="2"/>
  <c r="DL88" i="2"/>
  <c r="CD5" i="2"/>
  <c r="DC95" i="2"/>
  <c r="CM53" i="2"/>
  <c r="CN94" i="2"/>
  <c r="BA25" i="2"/>
  <c r="AS60" i="2"/>
  <c r="D5" i="2"/>
  <c r="BK9" i="2"/>
  <c r="AK55" i="2"/>
  <c r="DB14" i="2"/>
  <c r="R74" i="2"/>
  <c r="CB6" i="2"/>
  <c r="BG8" i="2"/>
  <c r="BZ74" i="2"/>
  <c r="AG83" i="2"/>
  <c r="CW59" i="2"/>
  <c r="BQ88" i="2"/>
  <c r="AW23" i="2"/>
  <c r="DH64" i="2"/>
  <c r="DQ87" i="2"/>
  <c r="CS93" i="2"/>
  <c r="R82" i="2"/>
  <c r="Y13" i="2"/>
  <c r="N66" i="2"/>
  <c r="BL8" i="2"/>
  <c r="CX74" i="2"/>
  <c r="DN82" i="2"/>
  <c r="BC25" i="2"/>
  <c r="S91" i="2"/>
  <c r="BJ62" i="2"/>
  <c r="CP41" i="2"/>
  <c r="BZ42" i="2"/>
  <c r="AL18" i="2"/>
  <c r="BB74" i="2"/>
  <c r="BQ75" i="2"/>
  <c r="CJ64" i="2"/>
  <c r="BJ38" i="2"/>
  <c r="H40" i="2"/>
  <c r="AS87" i="2"/>
  <c r="Y136" i="2"/>
  <c r="BK29" i="2"/>
  <c r="X72" i="2"/>
  <c r="DP133" i="2"/>
  <c r="DN58" i="2"/>
  <c r="DN66" i="2"/>
  <c r="AT70" i="2"/>
  <c r="BJ76" i="2"/>
  <c r="CP6" i="2"/>
  <c r="BB37" i="2"/>
  <c r="CL74" i="2"/>
  <c r="CE19" i="2"/>
  <c r="CZ60" i="2"/>
  <c r="BX36" i="2"/>
  <c r="M22" i="2"/>
  <c r="DO91" i="2"/>
  <c r="AJ21" i="2"/>
  <c r="N18" i="2"/>
  <c r="AL86" i="2"/>
  <c r="DB54" i="2"/>
  <c r="CQ78" i="2"/>
  <c r="CY13" i="2"/>
  <c r="DQ71" i="2"/>
  <c r="DG21" i="2"/>
  <c r="L57" i="2"/>
  <c r="DH48" i="2"/>
  <c r="AU79" i="2"/>
  <c r="DQ23" i="2"/>
  <c r="BX75" i="2"/>
  <c r="CS27" i="2"/>
  <c r="AT46" i="2"/>
  <c r="CO87" i="2"/>
  <c r="DE79" i="2"/>
  <c r="BB34" i="2"/>
  <c r="AC47" i="2"/>
  <c r="DO8" i="2"/>
  <c r="CB20" i="2"/>
  <c r="V90" i="2"/>
  <c r="X80" i="2"/>
  <c r="BK45" i="2"/>
  <c r="BT48" i="2"/>
  <c r="AU29" i="2"/>
  <c r="V50" i="2"/>
  <c r="CH18" i="2"/>
  <c r="AM89" i="2"/>
  <c r="AV60" i="2"/>
  <c r="DG29" i="2"/>
  <c r="CP62" i="2"/>
  <c r="G9" i="2"/>
  <c r="CW11" i="2"/>
  <c r="CW35" i="2"/>
  <c r="U75" i="2"/>
  <c r="DL90" i="2"/>
  <c r="CO63" i="2"/>
  <c r="DM124" i="2"/>
  <c r="DF115" i="2"/>
  <c r="AN109" i="2"/>
  <c r="BW106" i="2"/>
  <c r="CS104" i="2"/>
  <c r="BW102" i="2"/>
  <c r="AB101" i="2"/>
  <c r="U100" i="2"/>
  <c r="DD136" i="2"/>
  <c r="CW135" i="2"/>
  <c r="CL134" i="2"/>
  <c r="CA133" i="2"/>
  <c r="BP132" i="2"/>
  <c r="BI131" i="2"/>
  <c r="AX130" i="2"/>
  <c r="AM129" i="2"/>
  <c r="AB128" i="2"/>
  <c r="U127" i="2"/>
  <c r="J126" i="2"/>
  <c r="DQ124" i="2"/>
  <c r="AD115" i="2"/>
  <c r="CB109" i="2"/>
  <c r="CA106" i="2"/>
  <c r="CC104" i="2"/>
  <c r="CU102" i="2"/>
  <c r="DQ100" i="2"/>
  <c r="BJ99" i="2"/>
  <c r="DM135" i="2"/>
  <c r="BJ134" i="2"/>
  <c r="DP132" i="2"/>
  <c r="BY131" i="2"/>
  <c r="V130" i="2"/>
  <c r="CB128" i="2"/>
  <c r="AK127" i="2"/>
  <c r="CU125" i="2"/>
  <c r="CF124" i="2"/>
  <c r="BY123" i="2"/>
  <c r="BN122" i="2"/>
  <c r="BC121" i="2"/>
  <c r="AR120" i="2"/>
  <c r="K122" i="2"/>
  <c r="AX111" i="2"/>
  <c r="CQ106" i="2"/>
  <c r="Q104" i="2"/>
  <c r="BT101" i="2"/>
  <c r="BZ99" i="2"/>
  <c r="BE135" i="2"/>
  <c r="BO133" i="2"/>
  <c r="CC131" i="2"/>
  <c r="CI129" i="2"/>
  <c r="CW127" i="2"/>
  <c r="DG125" i="2"/>
  <c r="AN124" i="2"/>
  <c r="DJ122" i="2"/>
  <c r="BG121" i="2"/>
  <c r="DQ119" i="2"/>
  <c r="DF118" i="2"/>
  <c r="CU117" i="2"/>
  <c r="CJ116" i="2"/>
  <c r="CC115" i="2"/>
  <c r="BR114" i="2"/>
  <c r="BG113" i="2"/>
  <c r="CF112" i="2"/>
  <c r="DQ111" i="2"/>
  <c r="AK111" i="2"/>
  <c r="BN110" i="2"/>
  <c r="CU109" i="2"/>
  <c r="O109" i="2"/>
  <c r="AR108" i="2"/>
  <c r="CC107" i="2"/>
  <c r="DN106" i="2"/>
  <c r="BB106" i="2"/>
  <c r="DC105" i="2"/>
  <c r="AQ105" i="2"/>
  <c r="CR104" i="2"/>
  <c r="AF104" i="2"/>
  <c r="CK103" i="2"/>
  <c r="Y103" i="2"/>
  <c r="BZ102" i="2"/>
  <c r="N102" i="2"/>
  <c r="BO101" i="2"/>
  <c r="DP100" i="2"/>
  <c r="J123" i="2"/>
  <c r="AR109" i="2"/>
  <c r="D105" i="2"/>
  <c r="CJ101" i="2"/>
  <c r="CR136" i="2"/>
  <c r="AP134" i="2"/>
  <c r="CS131" i="2"/>
  <c r="W129" i="2"/>
  <c r="BZ126" i="2"/>
  <c r="BD124" i="2"/>
  <c r="BB122" i="2"/>
  <c r="BZ15" i="3"/>
  <c r="BZ16" i="6"/>
  <c r="P15" i="3"/>
  <c r="P16" i="6" s="1"/>
  <c r="Z15" i="3"/>
  <c r="Z16" i="6"/>
  <c r="I15" i="3"/>
  <c r="I16" i="6"/>
  <c r="AB15" i="3"/>
  <c r="AB16" i="6"/>
  <c r="AN15" i="3"/>
  <c r="AN16" i="6" s="1"/>
  <c r="DK15" i="3"/>
  <c r="DK16" i="6"/>
  <c r="CP15" i="3"/>
  <c r="CP16" i="6"/>
  <c r="N15" i="3"/>
  <c r="N16" i="6"/>
  <c r="AH15" i="3"/>
  <c r="AH16" i="6" s="1"/>
  <c r="AF15" i="3"/>
  <c r="AF16" i="6"/>
  <c r="BM15" i="3"/>
  <c r="BM16" i="6"/>
  <c r="AO15" i="3"/>
  <c r="AO16" i="6"/>
  <c r="CJ19" i="3"/>
  <c r="CJ20" i="6" s="1"/>
  <c r="BL19" i="3"/>
  <c r="BL20" i="6"/>
  <c r="CS19" i="3"/>
  <c r="CS20" i="6"/>
  <c r="CR19" i="3"/>
  <c r="CR20" i="6"/>
  <c r="BK19" i="3"/>
  <c r="BK20" i="6" s="1"/>
  <c r="BG19" i="3"/>
  <c r="BG20" i="6"/>
  <c r="DN19" i="3"/>
  <c r="DN20" i="6"/>
  <c r="CH19" i="3"/>
  <c r="CH20" i="6"/>
  <c r="Z19" i="3"/>
  <c r="Z20" i="6" s="1"/>
  <c r="CX19" i="3"/>
  <c r="CX20" i="6"/>
  <c r="CN19" i="3"/>
  <c r="CN20" i="6"/>
  <c r="BD19" i="3"/>
  <c r="BD20" i="6"/>
  <c r="AM19" i="3"/>
  <c r="AM20" i="6" s="1"/>
  <c r="N19" i="3"/>
  <c r="N20" i="6"/>
  <c r="DD19" i="3"/>
  <c r="DD20" i="6"/>
  <c r="AH19" i="3"/>
  <c r="AH20" i="6"/>
  <c r="AD19" i="3"/>
  <c r="AD20" i="6" s="1"/>
  <c r="DA19" i="3"/>
  <c r="DA20" i="6"/>
  <c r="AR19" i="3"/>
  <c r="AR20" i="6"/>
  <c r="AE19" i="3"/>
  <c r="AE20" i="6"/>
  <c r="BQ19" i="3"/>
  <c r="BQ20" i="6" s="1"/>
  <c r="DL19" i="3"/>
  <c r="DL20" i="6"/>
  <c r="DJ19" i="3"/>
  <c r="DJ20" i="6"/>
  <c r="CQ19" i="3"/>
  <c r="CQ20" i="6"/>
  <c r="K107" i="3"/>
  <c r="K108" i="6" s="1"/>
  <c r="AE107" i="3"/>
  <c r="AE108" i="6"/>
  <c r="CS107" i="3"/>
  <c r="CS108" i="6"/>
  <c r="H107" i="3"/>
  <c r="H108" i="6"/>
  <c r="X107" i="3"/>
  <c r="X108" i="6" s="1"/>
  <c r="CE107" i="3"/>
  <c r="CE108" i="6"/>
  <c r="BS107" i="3"/>
  <c r="BS108" i="6"/>
  <c r="CV107" i="3"/>
  <c r="CV108" i="6"/>
  <c r="CK107" i="3"/>
  <c r="CK108" i="6" s="1"/>
  <c r="N107" i="3"/>
  <c r="N108" i="6"/>
  <c r="CO107" i="3"/>
  <c r="CO108" i="6"/>
  <c r="CJ107" i="3"/>
  <c r="CJ108" i="6"/>
  <c r="DC107" i="3"/>
  <c r="DC108" i="6" s="1"/>
  <c r="CN107" i="3"/>
  <c r="CN108" i="6"/>
  <c r="U107" i="3"/>
  <c r="U108" i="6"/>
  <c r="DH111" i="3"/>
  <c r="DH112" i="6"/>
  <c r="BR111" i="3"/>
  <c r="BR112" i="6" s="1"/>
  <c r="AD115" i="3"/>
  <c r="AD116" i="6"/>
  <c r="BQ115" i="3"/>
  <c r="BQ116" i="6"/>
  <c r="AR115" i="3"/>
  <c r="AR116" i="6"/>
  <c r="CL115" i="3"/>
  <c r="CL116" i="6" s="1"/>
  <c r="DC115" i="3"/>
  <c r="DC116" i="6"/>
  <c r="BM115" i="3"/>
  <c r="BM116" i="6"/>
  <c r="Q115" i="3"/>
  <c r="Q116" i="6"/>
  <c r="BR119" i="3"/>
  <c r="BR120" i="6" s="1"/>
  <c r="CR119" i="3"/>
  <c r="CR120" i="6"/>
  <c r="DO119" i="3"/>
  <c r="DO120" i="6"/>
  <c r="DP119" i="3"/>
  <c r="DP120" i="6"/>
  <c r="CU119" i="3"/>
  <c r="CU120" i="6" s="1"/>
  <c r="DI131" i="3"/>
  <c r="DI132" i="6"/>
  <c r="AS131" i="3"/>
  <c r="AS132" i="6"/>
  <c r="BQ119" i="2"/>
  <c r="AC123" i="2"/>
  <c r="BQ127" i="2"/>
  <c r="CJ132" i="2"/>
  <c r="E100" i="2"/>
  <c r="AY106" i="2"/>
  <c r="CW132" i="2"/>
  <c r="DF108" i="2"/>
  <c r="BA110" i="2"/>
  <c r="CZ111" i="2"/>
  <c r="AH113" i="2"/>
  <c r="CO114" i="2"/>
  <c r="V116" i="2"/>
  <c r="BV117" i="2"/>
  <c r="P119" i="2"/>
  <c r="BJ120" i="2"/>
  <c r="DJ121" i="2"/>
  <c r="BD123" i="2"/>
  <c r="CX124" i="2"/>
  <c r="AK126" i="2"/>
  <c r="CR127" i="2"/>
  <c r="Z129" i="2"/>
  <c r="BY130" i="2"/>
  <c r="N132" i="2"/>
  <c r="BN133" i="2"/>
  <c r="DM134" i="2"/>
  <c r="BB136" i="2"/>
  <c r="CC99" i="2"/>
  <c r="AR100" i="2"/>
  <c r="AE101" i="2"/>
  <c r="Z102" i="2"/>
  <c r="U103" i="2"/>
  <c r="T104" i="2"/>
  <c r="O105" i="2"/>
  <c r="J106" i="2"/>
  <c r="I107" i="2"/>
  <c r="AJ108" i="2"/>
  <c r="BO109" i="2"/>
  <c r="DB110" i="2"/>
  <c r="P112" i="2"/>
  <c r="BC113" i="2"/>
  <c r="BI115" i="2"/>
  <c r="CA117" i="2"/>
  <c r="CB120" i="2"/>
  <c r="BP124" i="2"/>
  <c r="AQ129" i="2"/>
  <c r="AT134" i="2"/>
  <c r="DH101" i="2"/>
  <c r="K110" i="2"/>
  <c r="AY117" i="2"/>
  <c r="DB118" i="2"/>
  <c r="BH120" i="2"/>
  <c r="AX122" i="2"/>
  <c r="AJ124" i="2"/>
  <c r="BF126" i="2"/>
  <c r="DH128" i="2"/>
  <c r="BM131" i="2"/>
  <c r="AD134" i="2"/>
  <c r="CN136" i="2"/>
  <c r="AV101" i="2"/>
  <c r="DQ104" i="2"/>
  <c r="DQ108" i="2"/>
  <c r="T121" i="2"/>
  <c r="CE90" i="2"/>
  <c r="AD91" i="2"/>
  <c r="CP91" i="2"/>
  <c r="AO92" i="2"/>
  <c r="DA92" i="2"/>
  <c r="AV93" i="2"/>
  <c r="DH93" i="2"/>
  <c r="BG94" i="2"/>
  <c r="F95" i="2"/>
  <c r="BR95" i="2"/>
  <c r="Q96" i="2"/>
  <c r="CC96" i="2"/>
  <c r="X97" i="2"/>
  <c r="CJ97" i="2"/>
  <c r="AI98" i="2"/>
  <c r="CU98" i="2"/>
  <c r="BL99" i="2"/>
  <c r="BR100" i="2"/>
  <c r="CD101" i="2"/>
  <c r="CO102" i="2"/>
  <c r="CZ103" i="2"/>
  <c r="DF104" i="2"/>
  <c r="E106" i="2"/>
  <c r="P107" i="2"/>
  <c r="V108" i="2"/>
  <c r="AH109" i="2"/>
  <c r="AS110" i="2"/>
  <c r="BD111" i="2"/>
  <c r="BJ112" i="2"/>
  <c r="BV113" i="2"/>
  <c r="CG114" i="2"/>
  <c r="CR115" i="2"/>
  <c r="CX116" i="2"/>
  <c r="DJ117" i="2"/>
  <c r="H119" i="2"/>
  <c r="N120" i="2"/>
  <c r="Z121" i="2"/>
  <c r="AK122" i="2"/>
  <c r="AV123" i="2"/>
  <c r="BB124" i="2"/>
  <c r="BN125" i="2"/>
  <c r="BY126" i="2"/>
  <c r="CJ127" i="2"/>
  <c r="CP128" i="2"/>
  <c r="DB129" i="2"/>
  <c r="DM130" i="2"/>
  <c r="F132" i="2"/>
  <c r="R133" i="2"/>
  <c r="AC134" i="2"/>
  <c r="AN135" i="2"/>
  <c r="AT136" i="2"/>
  <c r="BE99" i="2"/>
  <c r="DQ99" i="2"/>
  <c r="BL100" i="2"/>
  <c r="AA101" i="2"/>
  <c r="DG101" i="2"/>
  <c r="CD102" i="2"/>
  <c r="AW103" i="2"/>
  <c r="L104" i="2"/>
  <c r="CV104" i="2"/>
  <c r="BO105" i="2"/>
  <c r="AH106" i="2"/>
  <c r="E107" i="2"/>
  <c r="DI107" i="2"/>
  <c r="CZ108" i="2"/>
  <c r="CY109" i="2"/>
  <c r="CT110" i="2"/>
  <c r="CO111" i="2"/>
  <c r="CN112" i="2"/>
  <c r="DC113" i="2"/>
  <c r="AS115" i="2"/>
  <c r="CV116" i="2"/>
  <c r="AD118" i="2"/>
  <c r="CG119" i="2"/>
  <c r="BS121" i="2"/>
  <c r="DI123" i="2"/>
  <c r="Y127" i="2"/>
  <c r="BB130" i="2"/>
  <c r="CE133" i="2"/>
  <c r="CL99" i="2"/>
  <c r="AX103" i="2"/>
  <c r="DF107" i="2"/>
  <c r="BV127" i="2"/>
  <c r="AI101" i="2"/>
  <c r="DK101" i="2"/>
  <c r="CP102" i="2"/>
  <c r="BE103" i="2"/>
  <c r="P104" i="2"/>
  <c r="DH104" i="2"/>
  <c r="BW105" i="2"/>
  <c r="AL106" i="2"/>
  <c r="Q107" i="2"/>
  <c r="D108" i="2"/>
  <c r="DD108" i="2"/>
  <c r="DO109" i="2"/>
  <c r="DF110" i="2"/>
  <c r="CW111" i="2"/>
  <c r="DD112" i="2"/>
  <c r="F114" i="2"/>
  <c r="AW115" i="2"/>
  <c r="DP116" i="2"/>
  <c r="AT118" i="2"/>
  <c r="CK119" i="2"/>
  <c r="CY121" i="2"/>
  <c r="CC123" i="2"/>
  <c r="AY125" i="2"/>
  <c r="AF128" i="2"/>
  <c r="CH130" i="2"/>
  <c r="S133" i="2"/>
  <c r="DQ135" i="2"/>
  <c r="BQ100" i="2"/>
  <c r="BN103" i="2"/>
  <c r="AT107" i="2"/>
  <c r="DN115" i="2"/>
  <c r="L120" i="2"/>
  <c r="CI121" i="2"/>
  <c r="M123" i="2"/>
  <c r="AZ124" i="2"/>
  <c r="Z126" i="2"/>
  <c r="DQ127" i="2"/>
  <c r="CM129" i="2"/>
  <c r="DI131" i="2"/>
  <c r="CQ133" i="2"/>
  <c r="BU135" i="2"/>
  <c r="DF99" i="2"/>
  <c r="CN101" i="2"/>
  <c r="AG104" i="2"/>
  <c r="V107" i="2"/>
  <c r="DJ111" i="2"/>
  <c r="O122" i="2"/>
  <c r="AP126" i="2"/>
  <c r="CG127" i="2"/>
  <c r="G129" i="2"/>
  <c r="CD130" i="2"/>
  <c r="D132" i="2"/>
  <c r="AU133" i="2"/>
  <c r="E135" i="2"/>
  <c r="AR136" i="2"/>
  <c r="DB99" i="2"/>
  <c r="BL101" i="2"/>
  <c r="CH103" i="2"/>
  <c r="AE106" i="2"/>
  <c r="DC110" i="2"/>
  <c r="V119" i="2"/>
  <c r="DC131" i="3"/>
  <c r="DC132" i="6" s="1"/>
  <c r="BA15" i="3"/>
  <c r="BA16" i="6"/>
  <c r="CW19" i="3"/>
  <c r="CW20" i="6" s="1"/>
  <c r="K95" i="2"/>
  <c r="BA83" i="2"/>
  <c r="CJ40" i="2"/>
  <c r="S134" i="2"/>
  <c r="DF38" i="2"/>
  <c r="DI19" i="3"/>
  <c r="DI20" i="6" s="1"/>
  <c r="BS81" i="2"/>
  <c r="E19" i="2"/>
  <c r="CO7" i="2"/>
  <c r="AU77" i="2"/>
  <c r="BS9" i="2"/>
  <c r="DP56" i="2"/>
  <c r="N86" i="2"/>
  <c r="BA19" i="2"/>
  <c r="AM34" i="2"/>
  <c r="AF20" i="2"/>
  <c r="AE77" i="2"/>
  <c r="BS89" i="2"/>
  <c r="R90" i="2"/>
  <c r="CZ16" i="2"/>
  <c r="R19" i="2"/>
  <c r="DL16" i="2"/>
  <c r="AR73" i="2"/>
  <c r="AP6" i="2"/>
  <c r="CO43" i="2"/>
  <c r="BG43" i="2"/>
  <c r="DQ39" i="2"/>
  <c r="BK25" i="2"/>
  <c r="CT27" i="2"/>
  <c r="V52" i="2"/>
  <c r="BX60" i="2"/>
  <c r="AM53" i="2"/>
  <c r="CU5" i="2"/>
  <c r="CX60" i="2"/>
  <c r="AC20" i="2"/>
  <c r="CT15" i="3"/>
  <c r="CT16" i="6"/>
  <c r="CC19" i="3"/>
  <c r="CC20" i="6" s="1"/>
  <c r="BW19" i="3"/>
  <c r="BW20" i="6" s="1"/>
  <c r="BY19" i="3"/>
  <c r="BY20" i="6" s="1"/>
  <c r="G19" i="3"/>
  <c r="G20" i="6"/>
  <c r="BX15" i="3"/>
  <c r="BX16" i="6" s="1"/>
  <c r="S15" i="3"/>
  <c r="S16" i="6" s="1"/>
  <c r="CD15" i="3"/>
  <c r="CD16" i="6" s="1"/>
  <c r="DO15" i="3"/>
  <c r="DO16" i="6"/>
  <c r="CE134" i="2"/>
  <c r="P19" i="3"/>
  <c r="P20" i="6"/>
  <c r="CB115" i="3"/>
  <c r="CB116" i="6"/>
  <c r="Z115" i="3"/>
  <c r="Z116" i="6"/>
  <c r="AJ107" i="3"/>
  <c r="AJ108" i="6" s="1"/>
  <c r="BR124" i="3"/>
  <c r="BR125" i="6"/>
  <c r="CV115" i="3"/>
  <c r="CV116" i="6"/>
  <c r="S107" i="3"/>
  <c r="S108" i="6"/>
  <c r="P107" i="3"/>
  <c r="P108" i="6" s="1"/>
  <c r="AP107" i="3"/>
  <c r="AP108" i="6"/>
  <c r="AA131" i="3"/>
  <c r="AA132" i="6"/>
  <c r="C105" i="6"/>
  <c r="CW124" i="3"/>
  <c r="CW125" i="6"/>
  <c r="DP72" i="3"/>
  <c r="DP73" i="6" s="1"/>
  <c r="DI76" i="3"/>
  <c r="DI77" i="6" s="1"/>
  <c r="BD72" i="3"/>
  <c r="BD73" i="6" s="1"/>
  <c r="BH72" i="3"/>
  <c r="BH73" i="6"/>
  <c r="AZ104" i="3"/>
  <c r="AZ105" i="6" s="1"/>
  <c r="CR72" i="3"/>
  <c r="CR73" i="6" s="1"/>
  <c r="AU76" i="3"/>
  <c r="AU77" i="6" s="1"/>
  <c r="AQ72" i="3"/>
  <c r="AQ73" i="6"/>
  <c r="AA116" i="3"/>
  <c r="AA117" i="6" s="1"/>
  <c r="DQ104" i="3"/>
  <c r="DQ105" i="6" s="1"/>
  <c r="Y72" i="3"/>
  <c r="Y73" i="6" s="1"/>
  <c r="AO72" i="3"/>
  <c r="AO73" i="6"/>
  <c r="AT72" i="3"/>
  <c r="AT73" i="6" s="1"/>
  <c r="BY72" i="3"/>
  <c r="BY73" i="6" s="1"/>
  <c r="CW104" i="3"/>
  <c r="CW105" i="6" s="1"/>
  <c r="Y124" i="3"/>
  <c r="Y125" i="6"/>
  <c r="DG72" i="3"/>
  <c r="DG73" i="6" s="1"/>
  <c r="AE72" i="3"/>
  <c r="AE73" i="6" s="1"/>
  <c r="C73" i="6"/>
  <c r="BV72" i="3"/>
  <c r="BV73" i="6"/>
  <c r="DL72" i="3"/>
  <c r="DL73" i="6"/>
  <c r="BB72" i="3"/>
  <c r="BB73" i="6"/>
  <c r="CJ72" i="3"/>
  <c r="CJ73" i="6"/>
  <c r="BW124" i="3"/>
  <c r="BW125" i="6"/>
  <c r="AH72" i="3"/>
  <c r="AH73" i="6"/>
  <c r="X72" i="3"/>
  <c r="X73" i="6"/>
  <c r="O72" i="3"/>
  <c r="O73" i="6"/>
  <c r="CN72" i="3"/>
  <c r="CN73" i="6"/>
  <c r="DM72" i="3"/>
  <c r="DM73" i="6"/>
  <c r="E72" i="3"/>
  <c r="E73" i="6"/>
  <c r="DH72" i="3"/>
  <c r="DH73" i="6"/>
  <c r="D72" i="3"/>
  <c r="D73" i="6"/>
  <c r="V40" i="3"/>
  <c r="V41" i="6"/>
  <c r="L124" i="3"/>
  <c r="L125" i="6"/>
  <c r="AA104" i="3"/>
  <c r="AA105" i="6"/>
  <c r="BP124" i="3"/>
  <c r="BP125" i="6"/>
  <c r="BU104" i="3"/>
  <c r="BU105" i="6"/>
  <c r="U72" i="3"/>
  <c r="U73" i="6"/>
  <c r="BZ72" i="3"/>
  <c r="BZ73" i="6"/>
  <c r="CS72" i="3"/>
  <c r="CS73" i="6"/>
  <c r="BG72" i="3"/>
  <c r="BG73" i="6"/>
  <c r="L72" i="3"/>
  <c r="L73" i="6"/>
  <c r="AA72" i="3"/>
  <c r="AA73" i="6"/>
  <c r="BO72" i="3"/>
  <c r="BO73" i="6"/>
  <c r="Q72" i="3"/>
  <c r="Q73" i="6"/>
  <c r="DI72" i="3"/>
  <c r="DI73" i="6"/>
  <c r="BT72" i="3"/>
  <c r="BT73" i="6"/>
  <c r="W72" i="3"/>
  <c r="W73" i="6"/>
  <c r="DF72" i="3"/>
  <c r="DF73" i="6"/>
  <c r="T72" i="3"/>
  <c r="T73" i="6"/>
  <c r="CD72" i="3"/>
  <c r="CD73" i="6"/>
  <c r="CK72" i="3"/>
  <c r="CK73" i="6"/>
  <c r="CV64" i="3"/>
  <c r="CV65" i="6"/>
  <c r="BE40" i="3"/>
  <c r="BE41" i="6"/>
  <c r="BB104" i="3"/>
  <c r="BB105" i="6"/>
  <c r="BS104" i="3"/>
  <c r="BS105" i="6"/>
  <c r="V124" i="3"/>
  <c r="V125" i="6"/>
  <c r="CW72" i="3"/>
  <c r="CW73" i="6"/>
  <c r="DC72" i="3"/>
  <c r="DC73" i="6"/>
  <c r="AR72" i="3"/>
  <c r="AR73" i="6"/>
  <c r="G72" i="3"/>
  <c r="G73" i="6"/>
  <c r="CV72" i="3"/>
  <c r="CV73" i="6"/>
  <c r="Z72" i="3"/>
  <c r="Z73" i="6"/>
  <c r="DJ72" i="3"/>
  <c r="DJ73" i="6"/>
  <c r="AB72" i="3"/>
  <c r="AB73" i="6"/>
  <c r="BX72" i="3"/>
  <c r="BX73" i="6"/>
  <c r="I72" i="3"/>
  <c r="I73" i="6"/>
  <c r="BF72" i="3"/>
  <c r="BF73" i="6"/>
  <c r="AD72" i="3"/>
  <c r="AD73" i="6"/>
  <c r="AC72" i="3"/>
  <c r="AC73" i="6"/>
  <c r="AY72" i="3"/>
  <c r="AY73" i="6"/>
  <c r="AH20" i="3"/>
  <c r="AH21" i="6"/>
  <c r="F68" i="3"/>
  <c r="F69" i="6"/>
  <c r="CV68" i="3"/>
  <c r="CV69" i="6"/>
  <c r="CV40" i="3"/>
  <c r="CV41" i="6"/>
  <c r="CG104" i="3"/>
  <c r="CG105" i="6"/>
  <c r="J104" i="3"/>
  <c r="J105" i="6"/>
  <c r="AL124" i="3"/>
  <c r="AL125" i="6"/>
  <c r="AV124" i="3"/>
  <c r="AV125" i="6"/>
  <c r="BJ124" i="3"/>
  <c r="BJ125" i="6"/>
  <c r="CT104" i="3"/>
  <c r="CT105" i="6"/>
  <c r="CB72" i="3"/>
  <c r="CB73" i="6"/>
  <c r="BM72" i="3"/>
  <c r="BM73" i="6"/>
  <c r="CU72" i="3"/>
  <c r="CU73" i="6"/>
  <c r="CM72" i="3"/>
  <c r="CM73" i="6"/>
  <c r="P72" i="3"/>
  <c r="P73" i="6"/>
  <c r="M72" i="3"/>
  <c r="M73" i="6"/>
  <c r="CX72" i="3"/>
  <c r="CX73" i="6"/>
  <c r="K72" i="3"/>
  <c r="K73" i="6"/>
  <c r="BI72" i="3"/>
  <c r="BI73" i="6"/>
  <c r="R72" i="3"/>
  <c r="R73" i="6"/>
  <c r="AL72" i="3"/>
  <c r="AL73" i="6"/>
  <c r="S84" i="3"/>
  <c r="S85" i="6"/>
  <c r="CT72" i="3"/>
  <c r="CT73" i="6"/>
  <c r="CC72" i="3"/>
  <c r="CC73" i="6"/>
  <c r="BC72" i="3"/>
  <c r="BC73" i="6"/>
  <c r="CA72" i="3"/>
  <c r="CA73" i="6"/>
  <c r="AJ72" i="3"/>
  <c r="AJ73" i="6"/>
  <c r="CG72" i="3"/>
  <c r="CG73" i="6"/>
  <c r="H72" i="3"/>
  <c r="H73" i="6"/>
  <c r="DA72" i="3"/>
  <c r="DA73" i="6"/>
  <c r="CP72" i="3"/>
  <c r="CP73" i="6"/>
  <c r="DO72" i="3"/>
  <c r="DO73" i="6"/>
  <c r="AK72" i="3"/>
  <c r="AK73" i="6"/>
  <c r="BQ72" i="3"/>
  <c r="BQ73" i="6"/>
  <c r="DD72" i="3"/>
  <c r="DD73" i="6"/>
  <c r="AV72" i="3"/>
  <c r="AV73" i="6"/>
  <c r="AN72" i="3"/>
  <c r="AN73" i="6"/>
  <c r="J72" i="3"/>
  <c r="J73" i="6"/>
  <c r="BG116" i="3"/>
  <c r="BG117" i="6"/>
  <c r="BW68" i="3"/>
  <c r="BW69" i="6"/>
  <c r="DM68" i="3"/>
  <c r="DM69" i="6"/>
  <c r="W40" i="3"/>
  <c r="W41" i="6"/>
  <c r="AU104" i="3"/>
  <c r="AU105" i="6"/>
  <c r="CL104" i="3"/>
  <c r="CL105" i="6"/>
  <c r="BT124" i="3"/>
  <c r="BT125" i="6"/>
  <c r="DE124" i="3"/>
  <c r="DE125" i="6"/>
  <c r="BS124" i="3"/>
  <c r="BS125" i="6"/>
  <c r="CJ104" i="3"/>
  <c r="CJ105" i="6"/>
  <c r="CT76" i="3"/>
  <c r="CT77" i="6"/>
  <c r="AZ72" i="3"/>
  <c r="AZ73" i="6"/>
  <c r="CH72" i="3"/>
  <c r="CH73" i="6"/>
  <c r="DB72" i="3"/>
  <c r="DB73" i="6"/>
  <c r="CV80" i="3"/>
  <c r="CV81" i="6"/>
  <c r="CO72" i="3"/>
  <c r="CO73" i="6"/>
  <c r="F72" i="3"/>
  <c r="F73" i="6"/>
  <c r="V72" i="3"/>
  <c r="V73" i="6"/>
  <c r="CK124" i="3"/>
  <c r="CK125" i="6"/>
  <c r="AF72" i="3"/>
  <c r="AF73" i="6"/>
  <c r="AU72" i="3"/>
  <c r="AU73" i="6"/>
  <c r="CE72" i="3"/>
  <c r="CE73" i="6"/>
  <c r="CR88" i="3"/>
  <c r="CR89" i="6"/>
  <c r="AX72" i="3"/>
  <c r="AX73" i="6"/>
  <c r="AM72" i="3"/>
  <c r="AM73" i="6"/>
  <c r="BR72" i="3"/>
  <c r="BR73" i="6"/>
  <c r="S72" i="3"/>
  <c r="S73" i="6"/>
  <c r="AS72" i="3"/>
  <c r="AS73" i="6"/>
  <c r="AG72" i="3"/>
  <c r="AG73" i="6"/>
  <c r="BE72" i="3"/>
  <c r="BE73" i="6"/>
  <c r="BS72" i="3"/>
  <c r="BS73" i="6"/>
  <c r="CY72" i="3"/>
  <c r="CY73" i="6"/>
  <c r="AI72" i="3"/>
  <c r="AI73" i="6"/>
  <c r="BK72" i="3"/>
  <c r="BK73" i="6"/>
  <c r="BP72" i="3"/>
  <c r="BP73" i="6"/>
  <c r="DE72" i="3"/>
  <c r="DE73" i="6"/>
  <c r="BL72" i="3"/>
  <c r="BL73" i="6"/>
  <c r="DK72" i="3"/>
  <c r="DK73" i="6"/>
  <c r="BN72" i="3"/>
  <c r="BN73" i="6"/>
  <c r="CJ12" i="3"/>
  <c r="CJ13" i="6"/>
  <c r="BU68" i="3"/>
  <c r="BU69" i="6"/>
  <c r="CW65" i="3"/>
  <c r="CW66" i="6"/>
  <c r="BO52" i="3"/>
  <c r="BO53" i="6"/>
  <c r="AX104" i="3"/>
  <c r="AX105" i="6"/>
  <c r="J124" i="3"/>
  <c r="J125" i="6"/>
  <c r="CZ104" i="3"/>
  <c r="CZ105" i="6"/>
  <c r="BK104" i="3"/>
  <c r="BK105" i="6"/>
  <c r="CB104" i="3"/>
  <c r="CB105" i="6"/>
  <c r="AB104" i="3"/>
  <c r="AB105" i="6"/>
  <c r="CG124" i="3"/>
  <c r="CG125" i="6"/>
  <c r="O124" i="3"/>
  <c r="O125" i="6"/>
  <c r="AO124" i="3"/>
  <c r="AO125" i="6"/>
  <c r="DH124" i="3"/>
  <c r="DH125" i="6"/>
  <c r="G124" i="3"/>
  <c r="G125" i="6"/>
  <c r="DO124" i="3"/>
  <c r="DO125" i="6"/>
  <c r="DG104" i="3"/>
  <c r="DG105" i="6"/>
  <c r="AZ76" i="3"/>
  <c r="AZ77" i="6"/>
  <c r="BQ76" i="3"/>
  <c r="BQ77" i="6"/>
  <c r="I124" i="3"/>
  <c r="I125" i="6"/>
  <c r="BP76" i="3"/>
  <c r="BP77" i="6"/>
  <c r="Q124" i="3"/>
  <c r="Q125" i="6"/>
  <c r="K104" i="3"/>
  <c r="K105" i="6"/>
  <c r="F104" i="3"/>
  <c r="F105" i="6"/>
  <c r="BY104" i="3"/>
  <c r="BY105" i="6"/>
  <c r="CY104" i="3"/>
  <c r="CY105" i="6"/>
  <c r="AC104" i="3"/>
  <c r="AC105" i="6"/>
  <c r="AW104" i="3"/>
  <c r="AW105" i="6"/>
  <c r="DM124" i="3"/>
  <c r="DM125" i="6"/>
  <c r="U124" i="3"/>
  <c r="U125" i="6"/>
  <c r="AX124" i="3"/>
  <c r="AX125" i="6"/>
  <c r="CO124" i="3"/>
  <c r="CO125" i="6"/>
  <c r="M124" i="3"/>
  <c r="M125" i="6"/>
  <c r="DG124" i="3"/>
  <c r="DG125" i="6"/>
  <c r="N76" i="3"/>
  <c r="N77" i="6"/>
  <c r="AS124" i="3"/>
  <c r="AS125" i="6"/>
  <c r="AH76" i="3"/>
  <c r="AH77" i="6"/>
  <c r="DQ112" i="3"/>
  <c r="DQ113" i="6"/>
  <c r="BM76" i="3"/>
  <c r="BM77" i="6"/>
  <c r="R104" i="3"/>
  <c r="R105" i="6"/>
  <c r="CK104" i="3"/>
  <c r="CK105" i="6"/>
  <c r="BB124" i="3"/>
  <c r="BB125" i="6"/>
  <c r="CC104" i="3"/>
  <c r="CC105" i="6"/>
  <c r="CE104" i="3"/>
  <c r="CE105" i="6"/>
  <c r="BR104" i="3"/>
  <c r="BR105" i="6"/>
  <c r="AO104" i="3"/>
  <c r="AO105" i="6"/>
  <c r="Z104" i="3"/>
  <c r="Z105" i="6"/>
  <c r="DM104" i="3"/>
  <c r="DM105" i="6"/>
  <c r="BW104" i="3"/>
  <c r="BW105" i="6"/>
  <c r="AM104" i="3"/>
  <c r="AM105" i="6"/>
  <c r="O104" i="3"/>
  <c r="O105" i="6"/>
  <c r="AP124" i="3"/>
  <c r="AP125" i="6"/>
  <c r="DD104" i="3"/>
  <c r="DD105" i="6"/>
  <c r="AK124" i="3"/>
  <c r="AK125" i="6"/>
  <c r="BL124" i="3"/>
  <c r="BL125" i="6"/>
  <c r="CS124" i="3"/>
  <c r="CS125" i="6"/>
  <c r="D124" i="3"/>
  <c r="D125" i="6"/>
  <c r="CX124" i="3"/>
  <c r="CX125" i="6"/>
  <c r="DJ124" i="3"/>
  <c r="DJ125" i="6"/>
  <c r="BZ124" i="3"/>
  <c r="BZ125" i="6"/>
  <c r="DQ124" i="3"/>
  <c r="DQ125" i="6"/>
  <c r="AC124" i="3"/>
  <c r="AC125" i="6"/>
  <c r="BN104" i="3"/>
  <c r="BN105" i="6"/>
  <c r="DP124" i="3"/>
  <c r="DP125" i="6"/>
  <c r="CD124" i="3"/>
  <c r="CD125" i="6"/>
  <c r="Y76" i="3"/>
  <c r="Y77" i="6"/>
  <c r="DA80" i="3"/>
  <c r="DA81" i="6"/>
  <c r="BE76" i="3"/>
  <c r="BE77" i="6"/>
  <c r="G104" i="3"/>
  <c r="G105" i="6"/>
  <c r="BG76" i="3"/>
  <c r="BG77" i="6"/>
  <c r="W80" i="3"/>
  <c r="W81" i="6"/>
  <c r="AD104" i="3"/>
  <c r="AD105" i="6"/>
  <c r="CU76" i="3"/>
  <c r="CU77" i="6"/>
  <c r="AG76" i="3"/>
  <c r="AG77" i="6"/>
  <c r="DD116" i="3"/>
  <c r="DD117" i="6"/>
  <c r="V65" i="3"/>
  <c r="V66" i="6"/>
  <c r="BC104" i="3"/>
  <c r="BC105" i="6"/>
  <c r="DE104" i="3"/>
  <c r="DE105" i="6"/>
  <c r="AR124" i="3"/>
  <c r="AR125" i="6"/>
  <c r="AG104" i="3"/>
  <c r="AG105" i="6"/>
  <c r="BP104" i="3"/>
  <c r="BP105" i="6"/>
  <c r="S104" i="3"/>
  <c r="S105" i="6"/>
  <c r="P104" i="3"/>
  <c r="P105" i="6"/>
  <c r="CU104" i="3"/>
  <c r="CU105" i="6"/>
  <c r="BV104" i="3"/>
  <c r="BV105" i="6"/>
  <c r="CM104" i="3"/>
  <c r="CM105" i="6"/>
  <c r="AF104" i="3"/>
  <c r="AF105" i="6"/>
  <c r="N104" i="3"/>
  <c r="N105" i="6"/>
  <c r="CZ124" i="3"/>
  <c r="CZ125" i="6"/>
  <c r="DN124" i="3"/>
  <c r="DN125" i="6"/>
  <c r="CY124" i="3"/>
  <c r="CY125" i="6"/>
  <c r="CQ124" i="3"/>
  <c r="CQ125" i="6"/>
  <c r="C125" i="6"/>
  <c r="K124" i="3"/>
  <c r="K125" i="6" s="1"/>
  <c r="AZ124" i="3"/>
  <c r="AZ125" i="6" s="1"/>
  <c r="W124" i="3"/>
  <c r="W125" i="6" s="1"/>
  <c r="DK124" i="3"/>
  <c r="DK125" i="6"/>
  <c r="AI124" i="3"/>
  <c r="AI125" i="6" s="1"/>
  <c r="F124" i="3"/>
  <c r="F125" i="6" s="1"/>
  <c r="CU124" i="3"/>
  <c r="CU125" i="6" s="1"/>
  <c r="AS104" i="3"/>
  <c r="AS105" i="6"/>
  <c r="AB124" i="3"/>
  <c r="AB125" i="6" s="1"/>
  <c r="AY104" i="3"/>
  <c r="AY105" i="6" s="1"/>
  <c r="AC76" i="3"/>
  <c r="AC77" i="6" s="1"/>
  <c r="CS80" i="3"/>
  <c r="CS81" i="6"/>
  <c r="DG76" i="3"/>
  <c r="DG77" i="6" s="1"/>
  <c r="P80" i="3"/>
  <c r="P81" i="6" s="1"/>
  <c r="X124" i="3"/>
  <c r="X125" i="6" s="1"/>
  <c r="DB104" i="3"/>
  <c r="DB105" i="6" s="1"/>
  <c r="P76" i="3"/>
  <c r="P77" i="6" s="1"/>
  <c r="DA76" i="3"/>
  <c r="DA77" i="6" s="1"/>
  <c r="CC116" i="3"/>
  <c r="CC117" i="6" s="1"/>
  <c r="C66" i="6"/>
  <c r="BT131" i="3"/>
  <c r="BT132" i="6" s="1"/>
  <c r="Q131" i="3"/>
  <c r="Q132" i="6"/>
  <c r="DN115" i="3"/>
  <c r="DN116" i="6"/>
  <c r="BB115" i="3"/>
  <c r="BB116" i="6"/>
  <c r="AL115" i="3"/>
  <c r="AL116" i="6" s="1"/>
  <c r="F115" i="3"/>
  <c r="F116" i="6"/>
  <c r="CW115" i="3"/>
  <c r="CW116" i="6"/>
  <c r="AF115" i="3"/>
  <c r="AF116" i="6"/>
  <c r="DQ107" i="3"/>
  <c r="DQ108" i="6" s="1"/>
  <c r="CF107" i="3"/>
  <c r="CF108" i="6"/>
  <c r="C108" i="6"/>
  <c r="BR107" i="3"/>
  <c r="BR108" i="6" s="1"/>
  <c r="CE119" i="3"/>
  <c r="CE120" i="6" s="1"/>
  <c r="DB119" i="3"/>
  <c r="DB120" i="6" s="1"/>
  <c r="DI40" i="3"/>
  <c r="DI41" i="6" s="1"/>
  <c r="AJ115" i="3"/>
  <c r="AJ116" i="6" s="1"/>
  <c r="DG107" i="3"/>
  <c r="DG108" i="6" s="1"/>
  <c r="AQ107" i="3"/>
  <c r="AQ108" i="6" s="1"/>
  <c r="DK107" i="3"/>
  <c r="DK108" i="6" s="1"/>
  <c r="BX107" i="3"/>
  <c r="BX108" i="6" s="1"/>
  <c r="DE107" i="3"/>
  <c r="DE108" i="6" s="1"/>
  <c r="BD107" i="3"/>
  <c r="BD108" i="6" s="1"/>
  <c r="AX107" i="3"/>
  <c r="AX108" i="6" s="1"/>
  <c r="DB107" i="3"/>
  <c r="DB108" i="6" s="1"/>
  <c r="AK107" i="3"/>
  <c r="AK108" i="6" s="1"/>
  <c r="BU107" i="3"/>
  <c r="BU108" i="6" s="1"/>
  <c r="C96" i="6"/>
  <c r="DD119" i="3"/>
  <c r="DD120" i="6"/>
  <c r="BW107" i="3"/>
  <c r="BW108" i="6"/>
  <c r="DK20" i="3"/>
  <c r="DK21" i="6" s="1"/>
  <c r="S12" i="3"/>
  <c r="S13" i="6"/>
  <c r="BS68" i="3"/>
  <c r="BS69" i="6"/>
  <c r="BE68" i="3"/>
  <c r="BE69" i="6"/>
  <c r="BU119" i="3"/>
  <c r="BU120" i="6" s="1"/>
  <c r="BP24" i="3"/>
  <c r="BP25" i="6"/>
  <c r="AU131" i="3"/>
  <c r="AU132" i="6"/>
  <c r="BE99" i="3"/>
  <c r="BE100" i="6"/>
  <c r="BX64" i="3"/>
  <c r="BX65" i="6" s="1"/>
  <c r="DI115" i="3"/>
  <c r="DI116" i="6"/>
  <c r="BA115" i="3"/>
  <c r="BA116" i="6"/>
  <c r="BL115" i="3"/>
  <c r="BL116" i="6"/>
  <c r="P115" i="3"/>
  <c r="P116" i="6" s="1"/>
  <c r="AK115" i="3"/>
  <c r="AK116" i="6"/>
  <c r="Y107" i="3"/>
  <c r="Y108" i="6"/>
  <c r="CP107" i="3"/>
  <c r="CP108" i="6"/>
  <c r="AL107" i="3"/>
  <c r="AL108" i="6" s="1"/>
  <c r="BA107" i="3"/>
  <c r="BA108" i="6"/>
  <c r="BC119" i="3"/>
  <c r="BC120" i="6"/>
  <c r="BJ119" i="3"/>
  <c r="BJ120" i="6"/>
  <c r="J40" i="3"/>
  <c r="J41" i="6" s="1"/>
  <c r="DD40" i="3"/>
  <c r="DD41" i="6"/>
  <c r="AN115" i="3"/>
  <c r="AN116" i="6"/>
  <c r="BL111" i="3"/>
  <c r="BL112" i="6"/>
  <c r="AA107" i="3"/>
  <c r="AA108" i="6" s="1"/>
  <c r="BG107" i="3"/>
  <c r="BG108" i="6"/>
  <c r="AY107" i="3"/>
  <c r="AY108" i="6"/>
  <c r="AG107" i="3"/>
  <c r="AG108" i="6"/>
  <c r="AW107" i="3"/>
  <c r="AW108" i="6" s="1"/>
  <c r="E107" i="3"/>
  <c r="E108" i="6"/>
  <c r="J107" i="3"/>
  <c r="J108" i="6"/>
  <c r="AO107" i="3"/>
  <c r="AO108" i="6"/>
  <c r="T107" i="3"/>
  <c r="T108" i="6" s="1"/>
  <c r="L107" i="3"/>
  <c r="L108" i="6"/>
  <c r="DF115" i="3"/>
  <c r="DF116" i="6"/>
  <c r="BY115" i="3"/>
  <c r="BY116" i="6"/>
  <c r="CQ107" i="3"/>
  <c r="CQ108" i="6" s="1"/>
  <c r="BF119" i="3"/>
  <c r="BF120" i="6"/>
  <c r="CT131" i="3"/>
  <c r="CT132" i="6"/>
  <c r="S68" i="3"/>
  <c r="S69" i="6"/>
  <c r="DN68" i="3"/>
  <c r="DN69" i="6" s="1"/>
  <c r="AJ68" i="3"/>
  <c r="AJ69" i="6"/>
  <c r="AE119" i="3"/>
  <c r="AE120" i="6"/>
  <c r="CH52" i="3"/>
  <c r="CH53" i="6"/>
  <c r="DF104" i="3"/>
  <c r="DF105" i="6" s="1"/>
  <c r="X104" i="3"/>
  <c r="X105" i="6"/>
  <c r="BU124" i="3"/>
  <c r="BU125" i="6"/>
  <c r="DD124" i="3"/>
  <c r="DD125" i="6"/>
  <c r="CL124" i="3"/>
  <c r="CL125" i="6" s="1"/>
  <c r="DF124" i="3"/>
  <c r="DF125" i="6"/>
  <c r="BL104" i="3"/>
  <c r="BL105" i="6"/>
  <c r="DA104" i="3"/>
  <c r="DA105" i="6"/>
  <c r="Y104" i="3"/>
  <c r="Y105" i="6" s="1"/>
  <c r="BI104" i="3"/>
  <c r="BI105" i="6"/>
  <c r="V104" i="3"/>
  <c r="V105" i="6"/>
  <c r="CH104" i="3"/>
  <c r="CH105" i="6"/>
  <c r="CV104" i="3"/>
  <c r="CV105" i="6" s="1"/>
  <c r="T104" i="3"/>
  <c r="T105" i="6"/>
  <c r="BD104" i="3"/>
  <c r="BD105" i="6"/>
  <c r="AP104" i="3"/>
  <c r="AP105" i="6"/>
  <c r="CX104" i="3"/>
  <c r="CX105" i="6" s="1"/>
  <c r="AR104" i="3"/>
  <c r="AR105" i="6"/>
  <c r="Q104" i="3"/>
  <c r="Q105" i="6"/>
  <c r="E104" i="3"/>
  <c r="E105" i="6"/>
  <c r="BQ104" i="3"/>
  <c r="BQ105" i="6" s="1"/>
  <c r="BZ104" i="3"/>
  <c r="BZ105" i="6"/>
  <c r="BT104" i="3"/>
  <c r="BT105" i="6"/>
  <c r="BE104" i="3"/>
  <c r="BE105" i="6"/>
  <c r="AN124" i="3"/>
  <c r="AN125" i="6" s="1"/>
  <c r="E124" i="3"/>
  <c r="E125" i="6"/>
  <c r="BM104" i="3"/>
  <c r="BM105" i="6"/>
  <c r="AQ104" i="3"/>
  <c r="AQ105" i="6"/>
  <c r="AT124" i="3"/>
  <c r="AT125" i="6" s="1"/>
  <c r="BA124" i="3"/>
  <c r="BA125" i="6"/>
  <c r="P124" i="3"/>
  <c r="P125" i="6"/>
  <c r="CB124" i="3"/>
  <c r="CB125" i="6"/>
  <c r="BG124" i="3"/>
  <c r="BG125" i="6" s="1"/>
  <c r="BO124" i="3"/>
  <c r="BO125" i="6"/>
  <c r="BF124" i="3"/>
  <c r="BF125" i="6"/>
  <c r="T124" i="3"/>
  <c r="T125" i="6"/>
  <c r="CF124" i="3"/>
  <c r="CF125" i="6" s="1"/>
  <c r="CC124" i="3"/>
  <c r="CC125" i="6"/>
  <c r="DC124" i="3"/>
  <c r="DC125" i="6"/>
  <c r="S124" i="3"/>
  <c r="S125" i="6"/>
  <c r="DA124" i="3"/>
  <c r="DA125" i="6" s="1"/>
  <c r="BC124" i="3"/>
  <c r="BC125" i="6"/>
  <c r="N124" i="3"/>
  <c r="N125" i="6"/>
  <c r="AH124" i="3"/>
  <c r="AH125" i="6"/>
  <c r="AA124" i="3"/>
  <c r="AA125" i="6" s="1"/>
  <c r="AW124" i="3"/>
  <c r="AW125" i="6"/>
  <c r="DI124" i="3"/>
  <c r="DI125" i="6"/>
  <c r="AH104" i="3"/>
  <c r="AH105" i="6"/>
  <c r="CP124" i="3"/>
  <c r="CP125" i="6" s="1"/>
  <c r="CN124" i="3"/>
  <c r="CN125" i="6"/>
  <c r="BQ124" i="3"/>
  <c r="BQ125" i="6"/>
  <c r="DC104" i="3"/>
  <c r="DC105" i="6"/>
  <c r="DB124" i="3"/>
  <c r="DB125" i="6" s="1"/>
  <c r="AF76" i="3"/>
  <c r="AF77" i="6"/>
  <c r="DC76" i="3"/>
  <c r="DC77" i="6"/>
  <c r="CR104" i="3"/>
  <c r="CR105" i="6"/>
  <c r="BV80" i="3"/>
  <c r="BV81" i="6" s="1"/>
  <c r="BN124" i="3"/>
  <c r="BN125" i="6"/>
  <c r="BA76" i="3"/>
  <c r="BA77" i="6"/>
  <c r="CP104" i="3"/>
  <c r="CP105" i="6"/>
  <c r="AP76" i="3"/>
  <c r="AP77" i="6" s="1"/>
  <c r="CK76" i="3"/>
  <c r="CK77" i="6"/>
  <c r="Z124" i="3"/>
  <c r="Z125" i="6"/>
  <c r="DL104" i="3"/>
  <c r="DL105" i="6"/>
  <c r="CH76" i="3"/>
  <c r="CH77" i="6" s="1"/>
  <c r="J76" i="3"/>
  <c r="J77" i="6"/>
  <c r="BN76" i="3"/>
  <c r="BN77" i="6"/>
  <c r="DM76" i="3"/>
  <c r="DM77" i="6"/>
  <c r="DC116" i="3"/>
  <c r="DC117" i="6" s="1"/>
  <c r="D116" i="3"/>
  <c r="D117" i="6"/>
  <c r="BF80" i="3"/>
  <c r="BF81" i="6"/>
  <c r="BY80" i="3"/>
  <c r="BY81" i="6"/>
  <c r="CP65" i="3"/>
  <c r="CP66" i="6" s="1"/>
  <c r="D65" i="3"/>
  <c r="D66" i="6"/>
  <c r="CD104" i="3"/>
  <c r="CD105" i="6"/>
  <c r="BO104" i="3"/>
  <c r="BO105" i="6"/>
  <c r="I104" i="3"/>
  <c r="I105" i="6" s="1"/>
  <c r="BX124" i="3"/>
  <c r="BX125" i="6"/>
  <c r="AU124" i="3"/>
  <c r="AU125" i="6"/>
  <c r="W104" i="3"/>
  <c r="W105" i="6"/>
  <c r="CS104" i="3"/>
  <c r="CS105" i="6" s="1"/>
  <c r="CF104" i="3"/>
  <c r="CF105" i="6"/>
  <c r="D104" i="3"/>
  <c r="D105" i="6"/>
  <c r="AN104" i="3"/>
  <c r="AN105" i="6"/>
  <c r="AL104" i="3"/>
  <c r="AL105" i="6" s="1"/>
  <c r="DJ104" i="3"/>
  <c r="DJ105" i="6"/>
  <c r="CA104" i="3"/>
  <c r="CA105" i="6"/>
  <c r="DP104" i="3"/>
  <c r="DP105" i="6"/>
  <c r="AI104" i="3"/>
  <c r="AI105" i="6" s="1"/>
  <c r="BF104" i="3"/>
  <c r="BF105" i="6"/>
  <c r="DN104" i="3"/>
  <c r="DN105" i="6"/>
  <c r="AK104" i="3"/>
  <c r="AK105" i="6"/>
  <c r="AV104" i="3"/>
  <c r="AV105" i="6" s="1"/>
  <c r="BG104" i="3"/>
  <c r="BG105" i="6"/>
  <c r="DH104" i="3"/>
  <c r="DH105" i="6"/>
  <c r="AT104" i="3"/>
  <c r="AT105" i="6"/>
  <c r="DK104" i="3"/>
  <c r="DK105" i="6" s="1"/>
  <c r="CQ104" i="3"/>
  <c r="CQ105" i="6"/>
  <c r="H124" i="3"/>
  <c r="H125" i="6"/>
  <c r="BI124" i="3"/>
  <c r="BI125" i="6"/>
  <c r="L104" i="3"/>
  <c r="L105" i="6" s="1"/>
  <c r="DI104" i="3"/>
  <c r="DI105" i="6"/>
  <c r="R124" i="3"/>
  <c r="R125" i="6"/>
  <c r="BV124" i="3"/>
  <c r="BV125" i="6"/>
  <c r="AF124" i="3"/>
  <c r="AF125" i="6" s="1"/>
  <c r="CR124" i="3"/>
  <c r="CR125" i="6"/>
  <c r="AD124" i="3"/>
  <c r="AD125" i="6"/>
  <c r="AM124" i="3"/>
  <c r="AM125" i="6"/>
  <c r="CA124" i="3"/>
  <c r="CA125" i="6" s="1"/>
  <c r="AJ124" i="3"/>
  <c r="AJ125" i="6"/>
  <c r="CV124" i="3"/>
  <c r="CV125" i="6"/>
  <c r="AY124" i="3"/>
  <c r="AY125" i="6"/>
  <c r="CM124" i="3"/>
  <c r="CM125" i="6" s="1"/>
  <c r="BM124" i="3"/>
  <c r="BM125" i="6"/>
  <c r="CT124" i="3"/>
  <c r="CT125" i="6"/>
  <c r="BY124" i="3"/>
  <c r="BY125" i="6"/>
  <c r="BE124" i="3"/>
  <c r="BE125" i="6" s="1"/>
  <c r="AQ124" i="3"/>
  <c r="AQ125" i="6"/>
  <c r="CH124" i="3"/>
  <c r="CH125" i="6"/>
  <c r="CE124" i="3"/>
  <c r="CE125" i="6"/>
  <c r="BH104" i="3"/>
  <c r="BH105" i="6" s="1"/>
  <c r="H104" i="3"/>
  <c r="H105" i="6"/>
  <c r="AE104" i="3"/>
  <c r="AE105" i="6"/>
  <c r="BH124" i="3"/>
  <c r="BH125" i="6"/>
  <c r="AE124" i="3"/>
  <c r="AE125" i="6" s="1"/>
  <c r="U104" i="3"/>
  <c r="U105" i="6"/>
  <c r="CJ76" i="3"/>
  <c r="CJ77" i="6"/>
  <c r="DO104" i="3"/>
  <c r="DO105" i="6"/>
  <c r="CN80" i="3"/>
  <c r="CN81" i="6" s="1"/>
  <c r="BK124" i="3"/>
  <c r="BK125" i="6"/>
  <c r="DB76" i="3"/>
  <c r="DB77" i="6"/>
  <c r="AD76" i="3"/>
  <c r="AD77" i="6"/>
  <c r="DL124" i="3"/>
  <c r="DL125" i="6" s="1"/>
  <c r="R76" i="3"/>
  <c r="R77" i="6"/>
  <c r="BA104" i="3"/>
  <c r="BA105" i="6"/>
  <c r="AG124" i="3"/>
  <c r="AG125" i="6"/>
  <c r="BD124" i="3"/>
  <c r="BD125" i="6" s="1"/>
  <c r="BJ104" i="3"/>
  <c r="BJ105" i="6"/>
  <c r="CY76" i="3"/>
  <c r="CY77" i="6"/>
  <c r="CO76" i="3"/>
  <c r="CO77" i="6"/>
  <c r="K76" i="3"/>
  <c r="K77" i="6" s="1"/>
  <c r="H76" i="3"/>
  <c r="H77" i="6"/>
  <c r="P116" i="3"/>
  <c r="P117" i="6"/>
  <c r="DG116" i="3"/>
  <c r="DG117" i="6"/>
  <c r="BH80" i="3"/>
  <c r="BH81" i="6" s="1"/>
  <c r="CN104" i="3"/>
  <c r="CN105" i="6"/>
  <c r="I65" i="3"/>
  <c r="I66" i="6"/>
  <c r="W65" i="3"/>
  <c r="W66" i="6"/>
  <c r="DQ76" i="3"/>
  <c r="DQ77" i="6" s="1"/>
  <c r="DJ76" i="3"/>
  <c r="DJ77" i="6"/>
  <c r="AT76" i="3"/>
  <c r="AT77" i="6"/>
  <c r="BQ80" i="3"/>
  <c r="BQ81" i="6"/>
  <c r="CG80" i="3"/>
  <c r="CG81" i="6" s="1"/>
  <c r="BZ76" i="3"/>
  <c r="BZ77" i="6"/>
  <c r="AN76" i="3"/>
  <c r="AN77" i="6"/>
  <c r="AX80" i="3"/>
  <c r="AX81" i="6"/>
  <c r="CQ76" i="3"/>
  <c r="CQ77" i="6" s="1"/>
  <c r="CC76" i="3"/>
  <c r="CC77" i="6"/>
  <c r="F76" i="3"/>
  <c r="F77" i="6"/>
  <c r="CE76" i="3"/>
  <c r="CE77" i="6"/>
  <c r="AO76" i="3"/>
  <c r="AO77" i="6" s="1"/>
  <c r="C117" i="6"/>
  <c r="DF116" i="3"/>
  <c r="DF117" i="6" s="1"/>
  <c r="CD76" i="3"/>
  <c r="CD77" i="6" s="1"/>
  <c r="DM65" i="3"/>
  <c r="DM66" i="6" s="1"/>
  <c r="AF65" i="3"/>
  <c r="AF66" i="6" s="1"/>
  <c r="AR65" i="3"/>
  <c r="AR66" i="6" s="1"/>
  <c r="BO65" i="3"/>
  <c r="BO66" i="6" s="1"/>
  <c r="CK65" i="3"/>
  <c r="CK66" i="6"/>
  <c r="DP76" i="3"/>
  <c r="DP77" i="6" s="1"/>
  <c r="CU65" i="3"/>
  <c r="CU66" i="6" s="1"/>
  <c r="J65" i="3"/>
  <c r="J66" i="6" s="1"/>
  <c r="AJ65" i="3"/>
  <c r="AJ66" i="6"/>
  <c r="BN65" i="3"/>
  <c r="BN66" i="6" s="1"/>
  <c r="CX131" i="3"/>
  <c r="CX132" i="6" s="1"/>
  <c r="BQ131" i="3"/>
  <c r="BQ132" i="6" s="1"/>
  <c r="AN131" i="3"/>
  <c r="AN132" i="6" s="1"/>
  <c r="L64" i="3"/>
  <c r="L65" i="6" s="1"/>
  <c r="CC115" i="3"/>
  <c r="CC116" i="6" s="1"/>
  <c r="AW115" i="3"/>
  <c r="AW116" i="6" s="1"/>
  <c r="V115" i="3"/>
  <c r="V116" i="6" s="1"/>
  <c r="E115" i="3"/>
  <c r="E116" i="6" s="1"/>
  <c r="BX115" i="3"/>
  <c r="BX116" i="6" s="1"/>
  <c r="J115" i="3"/>
  <c r="J116" i="6" s="1"/>
  <c r="CS115" i="3"/>
  <c r="CS116" i="6"/>
  <c r="U115" i="3"/>
  <c r="U116" i="6" s="1"/>
  <c r="DB115" i="3"/>
  <c r="DB116" i="6" s="1"/>
  <c r="AP115" i="3"/>
  <c r="AP116" i="6" s="1"/>
  <c r="AV115" i="3"/>
  <c r="AV116" i="6" s="1"/>
  <c r="CC107" i="3"/>
  <c r="CC108" i="6" s="1"/>
  <c r="AT107" i="3"/>
  <c r="AT108" i="6" s="1"/>
  <c r="BM107" i="3"/>
  <c r="BM108" i="6" s="1"/>
  <c r="BB107" i="3"/>
  <c r="BB108" i="6" s="1"/>
  <c r="CR107" i="3"/>
  <c r="CR108" i="6" s="1"/>
  <c r="AF107" i="3"/>
  <c r="AF108" i="6" s="1"/>
  <c r="DF107" i="3"/>
  <c r="DF108" i="6" s="1"/>
  <c r="BH107" i="3"/>
  <c r="BH108" i="6"/>
  <c r="AR119" i="3"/>
  <c r="AR120" i="6" s="1"/>
  <c r="AI119" i="3"/>
  <c r="AI120" i="6" s="1"/>
  <c r="T119" i="3"/>
  <c r="T120" i="6" s="1"/>
  <c r="CL40" i="3"/>
  <c r="CL41" i="6"/>
  <c r="G40" i="3"/>
  <c r="G41" i="6" s="1"/>
  <c r="CY40" i="3"/>
  <c r="CY41" i="6" s="1"/>
  <c r="BS40" i="3"/>
  <c r="BS41" i="6" s="1"/>
  <c r="CO99" i="3"/>
  <c r="CO100" i="6"/>
  <c r="AR111" i="3"/>
  <c r="AR112" i="6" s="1"/>
  <c r="N115" i="3"/>
  <c r="N116" i="6" s="1"/>
  <c r="DQ115" i="3"/>
  <c r="DQ116" i="6" s="1"/>
  <c r="AU107" i="3"/>
  <c r="AU108" i="6" s="1"/>
  <c r="BK107" i="3"/>
  <c r="BK108" i="6" s="1"/>
  <c r="CA107" i="3"/>
  <c r="CA108" i="6" s="1"/>
  <c r="CZ107" i="3"/>
  <c r="CZ108" i="6" s="1"/>
  <c r="BO107" i="3"/>
  <c r="BO108" i="6" s="1"/>
  <c r="BI107" i="3"/>
  <c r="BI108" i="6" s="1"/>
  <c r="AS107" i="3"/>
  <c r="AS108" i="6" s="1"/>
  <c r="CW107" i="3"/>
  <c r="CW108" i="6" s="1"/>
  <c r="AZ107" i="3"/>
  <c r="AZ108" i="6"/>
  <c r="BY107" i="3"/>
  <c r="BY108" i="6" s="1"/>
  <c r="V107" i="3"/>
  <c r="V108" i="6" s="1"/>
  <c r="BT107" i="3"/>
  <c r="BT108" i="6" s="1"/>
  <c r="DA107" i="3"/>
  <c r="DA108" i="6" s="1"/>
  <c r="BQ107" i="3"/>
  <c r="BQ108" i="6" s="1"/>
  <c r="DN107" i="3"/>
  <c r="DN108" i="6" s="1"/>
  <c r="CB107" i="3"/>
  <c r="CB108" i="6" s="1"/>
  <c r="BJ107" i="3"/>
  <c r="BJ108" i="6" s="1"/>
  <c r="DD107" i="3"/>
  <c r="DD108" i="6" s="1"/>
  <c r="AV107" i="3"/>
  <c r="AV108" i="6" s="1"/>
  <c r="CW95" i="3"/>
  <c r="CW96" i="6" s="1"/>
  <c r="L111" i="3"/>
  <c r="L112" i="6" s="1"/>
  <c r="AJ119" i="3"/>
  <c r="AJ120" i="6" s="1"/>
  <c r="D119" i="3"/>
  <c r="D120" i="6" s="1"/>
  <c r="DO107" i="3"/>
  <c r="DO108" i="6" s="1"/>
  <c r="E20" i="3"/>
  <c r="E21" i="6"/>
  <c r="F12" i="3"/>
  <c r="F13" i="6" s="1"/>
  <c r="W119" i="3"/>
  <c r="W120" i="6" s="1"/>
  <c r="H131" i="3"/>
  <c r="H132" i="6" s="1"/>
  <c r="AZ131" i="3"/>
  <c r="AZ132" i="6"/>
  <c r="CE131" i="3"/>
  <c r="CE132" i="6" s="1"/>
  <c r="Z68" i="3"/>
  <c r="Z69" i="6" s="1"/>
  <c r="N68" i="3"/>
  <c r="N69" i="6" s="1"/>
  <c r="BK68" i="3"/>
  <c r="BK69" i="6" s="1"/>
  <c r="BM68" i="3"/>
  <c r="BM69" i="6" s="1"/>
  <c r="DH68" i="3"/>
  <c r="DH69" i="6" s="1"/>
  <c r="BI68" i="3"/>
  <c r="BI69" i="6" s="1"/>
  <c r="BO119" i="3"/>
  <c r="BO120" i="6"/>
  <c r="AW119" i="3"/>
  <c r="AW120" i="6" s="1"/>
  <c r="BO48" i="3"/>
  <c r="BO49" i="6" s="1"/>
  <c r="BN119" i="3"/>
  <c r="BN120" i="6" s="1"/>
  <c r="BM131" i="3"/>
  <c r="BM132" i="6" s="1"/>
  <c r="CV131" i="3"/>
  <c r="CV132" i="6" s="1"/>
  <c r="BZ131" i="3"/>
  <c r="BZ132" i="6" s="1"/>
  <c r="CH115" i="3"/>
  <c r="CH116" i="6" s="1"/>
  <c r="AG115" i="3"/>
  <c r="AG116" i="6" s="1"/>
  <c r="DD115" i="3"/>
  <c r="DD116" i="6" s="1"/>
  <c r="CG115" i="3"/>
  <c r="CG116" i="6" s="1"/>
  <c r="BR115" i="3"/>
  <c r="BR116" i="6" s="1"/>
  <c r="BF115" i="3"/>
  <c r="BF116" i="6" s="1"/>
  <c r="BH115" i="3"/>
  <c r="BH116" i="6" s="1"/>
  <c r="L115" i="3"/>
  <c r="L116" i="6" s="1"/>
  <c r="DM115" i="3"/>
  <c r="DM116" i="6" s="1"/>
  <c r="BV115" i="3"/>
  <c r="BV116" i="6" s="1"/>
  <c r="CR115" i="3"/>
  <c r="CR116" i="6" s="1"/>
  <c r="CG107" i="3"/>
  <c r="CG108" i="6" s="1"/>
  <c r="BL107" i="3"/>
  <c r="BL108" i="6" s="1"/>
  <c r="DM107" i="3"/>
  <c r="DM108" i="6" s="1"/>
  <c r="DH107" i="3"/>
  <c r="DH108" i="6" s="1"/>
  <c r="BE107" i="3"/>
  <c r="BE108" i="6" s="1"/>
  <c r="BZ107" i="3"/>
  <c r="BZ108" i="6" s="1"/>
  <c r="AB107" i="3"/>
  <c r="AB108" i="6"/>
  <c r="Q107" i="3"/>
  <c r="Q108" i="6" s="1"/>
  <c r="CX107" i="3"/>
  <c r="CX108" i="6" s="1"/>
  <c r="BP119" i="3"/>
  <c r="BP120" i="6" s="1"/>
  <c r="AH119" i="3"/>
  <c r="AH120" i="6" s="1"/>
  <c r="DG119" i="3"/>
  <c r="DG120" i="6" s="1"/>
  <c r="CU40" i="3"/>
  <c r="CU41" i="6" s="1"/>
  <c r="DK40" i="3"/>
  <c r="DK41" i="6" s="1"/>
  <c r="L40" i="3"/>
  <c r="L41" i="6"/>
  <c r="CM40" i="3"/>
  <c r="CM41" i="6" s="1"/>
  <c r="BI115" i="3"/>
  <c r="BI116" i="6" s="1"/>
  <c r="BE115" i="3"/>
  <c r="BE116" i="6" s="1"/>
  <c r="CJ115" i="3"/>
  <c r="CJ116" i="6"/>
  <c r="CM107" i="3"/>
  <c r="CM108" i="6" s="1"/>
  <c r="G107" i="3"/>
  <c r="G108" i="6" s="1"/>
  <c r="W107" i="3"/>
  <c r="W108" i="6" s="1"/>
  <c r="AM107" i="3"/>
  <c r="AM108" i="6" s="1"/>
  <c r="CU107" i="3"/>
  <c r="CU108" i="6" s="1"/>
  <c r="AI107" i="3"/>
  <c r="AI108" i="6" s="1"/>
  <c r="R107" i="3"/>
  <c r="R108" i="6" s="1"/>
  <c r="CD107" i="3"/>
  <c r="CD108" i="6" s="1"/>
  <c r="BN107" i="3"/>
  <c r="BN108" i="6" s="1"/>
  <c r="DP107" i="3"/>
  <c r="DP108" i="6" s="1"/>
  <c r="AH107" i="3"/>
  <c r="AH108" i="6" s="1"/>
  <c r="DJ107" i="3"/>
  <c r="DJ108" i="6" s="1"/>
  <c r="AC107" i="3"/>
  <c r="AC108" i="6" s="1"/>
  <c r="CH107" i="3"/>
  <c r="CH108" i="6" s="1"/>
  <c r="BV107" i="3"/>
  <c r="BV108" i="6" s="1"/>
  <c r="DI107" i="3"/>
  <c r="DI108" i="6" s="1"/>
  <c r="I107" i="3"/>
  <c r="I108" i="6" s="1"/>
  <c r="BP107" i="3"/>
  <c r="BP108" i="6" s="1"/>
  <c r="AD107" i="3"/>
  <c r="AD108" i="6" s="1"/>
  <c r="F107" i="3"/>
  <c r="CI107" i="3"/>
  <c r="CI108" i="6" s="1"/>
  <c r="BZ119" i="3"/>
  <c r="BZ120" i="6"/>
  <c r="H119" i="3"/>
  <c r="H120" i="6"/>
  <c r="BC107" i="3"/>
  <c r="BC108" i="6"/>
  <c r="J20" i="3"/>
  <c r="J21" i="6" s="1"/>
  <c r="F20" i="3"/>
  <c r="F21" i="6"/>
  <c r="O119" i="3"/>
  <c r="O120" i="6"/>
  <c r="AF48" i="3"/>
  <c r="AF49" i="6"/>
  <c r="Y131" i="3"/>
  <c r="Y132" i="6" s="1"/>
  <c r="AH131" i="3"/>
  <c r="AH132" i="6"/>
  <c r="AP68" i="3"/>
  <c r="AP69" i="6"/>
  <c r="DB68" i="3"/>
  <c r="DB69" i="6"/>
  <c r="DQ68" i="3"/>
  <c r="DQ69" i="6" s="1"/>
  <c r="AK68" i="3"/>
  <c r="AK69" i="6"/>
  <c r="V52" i="3"/>
  <c r="V53" i="6"/>
  <c r="AS32" i="3"/>
  <c r="AS33" i="6"/>
  <c r="AN6" i="3"/>
  <c r="AN7" i="6" s="1"/>
  <c r="CQ6" i="3"/>
  <c r="CQ7" i="6"/>
  <c r="AX6" i="3"/>
  <c r="AX7" i="6"/>
  <c r="F6" i="3"/>
  <c r="F7" i="6"/>
  <c r="E10" i="3"/>
  <c r="E11" i="6" s="1"/>
  <c r="BN6" i="3"/>
  <c r="BN7" i="6"/>
  <c r="C7" i="6"/>
  <c r="BA6" i="3"/>
  <c r="BA7" i="6" s="1"/>
  <c r="AM6" i="3"/>
  <c r="AM7" i="6"/>
  <c r="BL6" i="3"/>
  <c r="BL7" i="6" s="1"/>
  <c r="BL3" i="6" s="1"/>
  <c r="P6" i="3"/>
  <c r="P7" i="6" s="1"/>
  <c r="S6" i="3"/>
  <c r="S7" i="6" s="1"/>
  <c r="AO6" i="3"/>
  <c r="AO7" i="6" s="1"/>
  <c r="BK6" i="3"/>
  <c r="BK7" i="6" s="1"/>
  <c r="BX6" i="3"/>
  <c r="BX7" i="6" s="1"/>
  <c r="CU6" i="3"/>
  <c r="CU7" i="6" s="1"/>
  <c r="AE6" i="3"/>
  <c r="AE7" i="6" s="1"/>
  <c r="AR6" i="3"/>
  <c r="AR7" i="6" s="1"/>
  <c r="DJ6" i="3"/>
  <c r="DJ7" i="6" s="1"/>
  <c r="N6" i="3"/>
  <c r="N7" i="6" s="1"/>
  <c r="BS6" i="3"/>
  <c r="BS7" i="6" s="1"/>
  <c r="DO6" i="3"/>
  <c r="DO7" i="6" s="1"/>
  <c r="DK6" i="3"/>
  <c r="DK7" i="6" s="1"/>
  <c r="DA6" i="3"/>
  <c r="DA7" i="6" s="1"/>
  <c r="AB10" i="3"/>
  <c r="AB11" i="6" s="1"/>
  <c r="AE10" i="3"/>
  <c r="AE11" i="6" s="1"/>
  <c r="I10" i="3"/>
  <c r="I11" i="6" s="1"/>
  <c r="BZ10" i="3"/>
  <c r="BZ11" i="6" s="1"/>
  <c r="AB6" i="3"/>
  <c r="AB7" i="6"/>
  <c r="DJ10" i="3"/>
  <c r="DJ11" i="6" s="1"/>
  <c r="BY6" i="3"/>
  <c r="BY7" i="6" s="1"/>
  <c r="CO6" i="3"/>
  <c r="CO7" i="6" s="1"/>
  <c r="CK6" i="3"/>
  <c r="CK7" i="6" s="1"/>
  <c r="CA6" i="3"/>
  <c r="CA7" i="6" s="1"/>
  <c r="BB6" i="3"/>
  <c r="BB7" i="6" s="1"/>
  <c r="Q6" i="3"/>
  <c r="Q7" i="6" s="1"/>
  <c r="AT6" i="3"/>
  <c r="AT7" i="6"/>
  <c r="AK6" i="3"/>
  <c r="AK7" i="6" s="1"/>
  <c r="AD6" i="3"/>
  <c r="AD7" i="6" s="1"/>
  <c r="CF6" i="3"/>
  <c r="CF7" i="6" s="1"/>
  <c r="T6" i="3"/>
  <c r="T7" i="6"/>
  <c r="W6" i="3"/>
  <c r="W7" i="6" s="1"/>
  <c r="AA6" i="3"/>
  <c r="AA7" i="6" s="1"/>
  <c r="AG6" i="3"/>
  <c r="AG7" i="6" s="1"/>
  <c r="AV6" i="3"/>
  <c r="AV7" i="6" s="1"/>
  <c r="CY6" i="3"/>
  <c r="CY7" i="6" s="1"/>
  <c r="DG6" i="3"/>
  <c r="DG7" i="6" s="1"/>
  <c r="AL6" i="3"/>
  <c r="AL7" i="6" s="1"/>
  <c r="CC6" i="3"/>
  <c r="CC7" i="6" s="1"/>
  <c r="CE6" i="3"/>
  <c r="CE7" i="6" s="1"/>
  <c r="BE6" i="3"/>
  <c r="BE7" i="6" s="1"/>
  <c r="BV6" i="3"/>
  <c r="BV7" i="6" s="1"/>
  <c r="CV6" i="3"/>
  <c r="CV7" i="6" s="1"/>
  <c r="Z6" i="3"/>
  <c r="Z7" i="6" s="1"/>
  <c r="DE6" i="3"/>
  <c r="DE7" i="6" s="1"/>
  <c r="DE3" i="6" s="1"/>
  <c r="Y10" i="3"/>
  <c r="Y11" i="6" s="1"/>
  <c r="BU10" i="3"/>
  <c r="BU11" i="6" s="1"/>
  <c r="CU10" i="3"/>
  <c r="CU11" i="6" s="1"/>
  <c r="BZ6" i="3"/>
  <c r="BZ7" i="6" s="1"/>
  <c r="AH6" i="3"/>
  <c r="AH7" i="6" s="1"/>
  <c r="BW6" i="3"/>
  <c r="BW7" i="6"/>
  <c r="CW10" i="3"/>
  <c r="CW11" i="6" s="1"/>
  <c r="CM6" i="3"/>
  <c r="CM7" i="6" s="1"/>
  <c r="DP6" i="3"/>
  <c r="DP7" i="6" s="1"/>
  <c r="M6" i="3"/>
  <c r="M7" i="6" s="1"/>
  <c r="CW6" i="3"/>
  <c r="CW7" i="6" s="1"/>
  <c r="DM6" i="3"/>
  <c r="DM7" i="6" s="1"/>
  <c r="CX6" i="3"/>
  <c r="CX7" i="6" s="1"/>
  <c r="BQ6" i="3"/>
  <c r="BQ7" i="6"/>
  <c r="AW6" i="3"/>
  <c r="AW7" i="6" s="1"/>
  <c r="R6" i="3"/>
  <c r="R7" i="6" s="1"/>
  <c r="BP6" i="3"/>
  <c r="BP7" i="6" s="1"/>
  <c r="BC6" i="3"/>
  <c r="BC7" i="6"/>
  <c r="BT6" i="3"/>
  <c r="BT7" i="6" s="1"/>
  <c r="CG6" i="3"/>
  <c r="CG7" i="6" s="1"/>
  <c r="X6" i="3"/>
  <c r="X7" i="6" s="1"/>
  <c r="D6" i="3"/>
  <c r="D7" i="6" s="1"/>
  <c r="DL6" i="3"/>
  <c r="DL7" i="6" s="1"/>
  <c r="G6" i="3"/>
  <c r="G7" i="6" s="1"/>
  <c r="AC6" i="3"/>
  <c r="AC7" i="6" s="1"/>
  <c r="BH10" i="3"/>
  <c r="BH11" i="6" s="1"/>
  <c r="AQ6" i="3"/>
  <c r="AQ7" i="6" s="1"/>
  <c r="CB6" i="3"/>
  <c r="CB7" i="6" s="1"/>
  <c r="BR6" i="3"/>
  <c r="BR7" i="6" s="1"/>
  <c r="U6" i="3"/>
  <c r="U7" i="6"/>
  <c r="BH6" i="3"/>
  <c r="BH7" i="6" s="1"/>
  <c r="DB6" i="3"/>
  <c r="DB7" i="6" s="1"/>
  <c r="BJ6" i="3"/>
  <c r="BJ7" i="6" s="1"/>
  <c r="BF6" i="3"/>
  <c r="BF7" i="6" s="1"/>
  <c r="DE10" i="3"/>
  <c r="DE11" i="6" s="1"/>
  <c r="T10" i="3"/>
  <c r="T11" i="6" s="1"/>
  <c r="AS10" i="3"/>
  <c r="AS11" i="6" s="1"/>
  <c r="AS6" i="3"/>
  <c r="AS7" i="6"/>
  <c r="DF6" i="3"/>
  <c r="DF7" i="6" s="1"/>
  <c r="CH6" i="3"/>
  <c r="CH7" i="6" s="1"/>
  <c r="CZ6" i="3"/>
  <c r="CZ7" i="6" s="1"/>
  <c r="CI124" i="3"/>
  <c r="CI80" i="3"/>
  <c r="CI81" i="6" s="1"/>
  <c r="BX104" i="3"/>
  <c r="BX105" i="6"/>
  <c r="BZ53" i="3"/>
  <c r="BZ54" i="6"/>
  <c r="CS53" i="3"/>
  <c r="CS54" i="6"/>
  <c r="BC76" i="3"/>
  <c r="BC77" i="6" s="1"/>
  <c r="DH76" i="3"/>
  <c r="DH77" i="6"/>
  <c r="CG65" i="3"/>
  <c r="CG66" i="6"/>
  <c r="CE65" i="3"/>
  <c r="CE66" i="6"/>
  <c r="DC65" i="3"/>
  <c r="DC66" i="6" s="1"/>
  <c r="BL65" i="3"/>
  <c r="BL66" i="6"/>
  <c r="BC65" i="3"/>
  <c r="BC66" i="6"/>
  <c r="DP65" i="3"/>
  <c r="DP66" i="6"/>
  <c r="R37" i="3"/>
  <c r="R38" i="6" s="1"/>
  <c r="CB76" i="3"/>
  <c r="CB77" i="6"/>
  <c r="DE76" i="3"/>
  <c r="DE77" i="6"/>
  <c r="BW76" i="3"/>
  <c r="BW77" i="6"/>
  <c r="AX76" i="3"/>
  <c r="AX77" i="6" s="1"/>
  <c r="DF76" i="3"/>
  <c r="DF77" i="6"/>
  <c r="AZ80" i="3"/>
  <c r="AZ81" i="6"/>
  <c r="CQ80" i="3"/>
  <c r="CQ81" i="6"/>
  <c r="CN76" i="3"/>
  <c r="CN77" i="6" s="1"/>
  <c r="BX76" i="3"/>
  <c r="BX77" i="6"/>
  <c r="AR76" i="3"/>
  <c r="AR77" i="6"/>
  <c r="AJ80" i="3"/>
  <c r="AJ81" i="6"/>
  <c r="BO76" i="3"/>
  <c r="BO77" i="6" s="1"/>
  <c r="BS76" i="3"/>
  <c r="BS77" i="6"/>
  <c r="C81" i="6"/>
  <c r="CO104" i="3"/>
  <c r="CO105" i="6" s="1"/>
  <c r="N80" i="3"/>
  <c r="N81" i="6" s="1"/>
  <c r="AE76" i="3"/>
  <c r="AE77" i="6" s="1"/>
  <c r="CS76" i="3"/>
  <c r="CS77" i="6" s="1"/>
  <c r="L76" i="3"/>
  <c r="L77" i="6" s="1"/>
  <c r="CA76" i="3"/>
  <c r="CA77" i="6" s="1"/>
  <c r="S76" i="3"/>
  <c r="S77" i="6" s="1"/>
  <c r="AB76" i="3"/>
  <c r="AB77" i="6" s="1"/>
  <c r="BR76" i="3"/>
  <c r="BR77" i="6" s="1"/>
  <c r="CV116" i="3"/>
  <c r="CV117" i="6" s="1"/>
  <c r="AX116" i="3"/>
  <c r="AX117" i="6" s="1"/>
  <c r="DH116" i="3"/>
  <c r="DH117" i="6" s="1"/>
  <c r="BB80" i="3"/>
  <c r="BB81" i="6" s="1"/>
  <c r="F53" i="3"/>
  <c r="F54" i="6" s="1"/>
  <c r="CI53" i="3"/>
  <c r="CI54" i="6" s="1"/>
  <c r="CX76" i="3"/>
  <c r="CX77" i="6" s="1"/>
  <c r="CR65" i="3"/>
  <c r="CR66" i="6" s="1"/>
  <c r="AI65" i="3"/>
  <c r="AI66" i="6"/>
  <c r="CO65" i="3"/>
  <c r="CO66" i="6" s="1"/>
  <c r="CC65" i="3"/>
  <c r="CC66" i="6" s="1"/>
  <c r="BP65" i="3"/>
  <c r="BP66" i="6" s="1"/>
  <c r="T65" i="3"/>
  <c r="T66" i="6" s="1"/>
  <c r="AT65" i="3"/>
  <c r="AT66" i="6" s="1"/>
  <c r="CK80" i="3"/>
  <c r="CK81" i="6" s="1"/>
  <c r="AT80" i="3"/>
  <c r="AT81" i="6" s="1"/>
  <c r="V80" i="3"/>
  <c r="V81" i="6"/>
  <c r="CW76" i="3"/>
  <c r="CW77" i="6" s="1"/>
  <c r="Z76" i="3"/>
  <c r="Z77" i="6" s="1"/>
  <c r="DO76" i="3"/>
  <c r="DO77" i="6" s="1"/>
  <c r="X76" i="3"/>
  <c r="X77" i="6"/>
  <c r="CL76" i="3"/>
  <c r="CL77" i="6" s="1"/>
  <c r="S80" i="3"/>
  <c r="S81" i="6" s="1"/>
  <c r="I76" i="3"/>
  <c r="I77" i="6" s="1"/>
  <c r="AJ76" i="3"/>
  <c r="AJ77" i="6" s="1"/>
  <c r="CF76" i="3"/>
  <c r="CF77" i="6" s="1"/>
  <c r="W76" i="3"/>
  <c r="W77" i="6" s="1"/>
  <c r="H80" i="3"/>
  <c r="H81" i="6" s="1"/>
  <c r="DG80" i="3"/>
  <c r="DG81" i="6" s="1"/>
  <c r="G76" i="3"/>
  <c r="G77" i="6" s="1"/>
  <c r="O76" i="3"/>
  <c r="O77" i="6" s="1"/>
  <c r="BB76" i="3"/>
  <c r="BB77" i="6" s="1"/>
  <c r="AI76" i="3"/>
  <c r="AI77" i="6" s="1"/>
  <c r="CG76" i="3"/>
  <c r="CG77" i="6" s="1"/>
  <c r="CZ76" i="3"/>
  <c r="CZ77" i="6" s="1"/>
  <c r="BH76" i="3"/>
  <c r="BH77" i="6" s="1"/>
  <c r="CM76" i="3"/>
  <c r="CM77" i="6" s="1"/>
  <c r="DN76" i="3"/>
  <c r="DN77" i="6" s="1"/>
  <c r="BD76" i="3"/>
  <c r="BD77" i="6" s="1"/>
  <c r="BF76" i="3"/>
  <c r="BF77" i="6" s="1"/>
  <c r="C77" i="6"/>
  <c r="AK76" i="3"/>
  <c r="AK77" i="6" s="1"/>
  <c r="BU76" i="3"/>
  <c r="BU77" i="6"/>
  <c r="CY116" i="3"/>
  <c r="CY117" i="6"/>
  <c r="AK116" i="3"/>
  <c r="AK117" i="6"/>
  <c r="BU116" i="3"/>
  <c r="BU117" i="6" s="1"/>
  <c r="AU116" i="3"/>
  <c r="AU117" i="6"/>
  <c r="AD116" i="3"/>
  <c r="AD117" i="6"/>
  <c r="BS116" i="3"/>
  <c r="BS117" i="6"/>
  <c r="CI104" i="3"/>
  <c r="CI105" i="6" s="1"/>
  <c r="AQ80" i="3"/>
  <c r="AQ81" i="6"/>
  <c r="CB80" i="3"/>
  <c r="CB81" i="6"/>
  <c r="CN84" i="3"/>
  <c r="CN85" i="6"/>
  <c r="BX53" i="3"/>
  <c r="BX54" i="6" s="1"/>
  <c r="CI76" i="3"/>
  <c r="CI77" i="6"/>
  <c r="M76" i="3"/>
  <c r="M77" i="6"/>
  <c r="BL76" i="3"/>
  <c r="BL77" i="6"/>
  <c r="DD76" i="3"/>
  <c r="DD77" i="6" s="1"/>
  <c r="BJ65" i="3"/>
  <c r="BJ66" i="6"/>
  <c r="BA65" i="3"/>
  <c r="BA66" i="6"/>
  <c r="AX65" i="3"/>
  <c r="AX66" i="6"/>
  <c r="M65" i="3"/>
  <c r="M66" i="6" s="1"/>
  <c r="BB65" i="3"/>
  <c r="BB66" i="6"/>
  <c r="K65" i="3"/>
  <c r="K66" i="6"/>
  <c r="BF65" i="3"/>
  <c r="BF66" i="6"/>
  <c r="CB65" i="3"/>
  <c r="CB66" i="6" s="1"/>
  <c r="CA65" i="3"/>
  <c r="CA66" i="6"/>
  <c r="DD65" i="3"/>
  <c r="DD66" i="6"/>
  <c r="DL65" i="3"/>
  <c r="DL66" i="6"/>
  <c r="DF65" i="3"/>
  <c r="DF66" i="6" s="1"/>
  <c r="BQ65" i="3"/>
  <c r="BQ66" i="6"/>
  <c r="CY80" i="3"/>
  <c r="CY81" i="6"/>
  <c r="BT76" i="3"/>
  <c r="BT77" i="6"/>
  <c r="AY76" i="3"/>
  <c r="AY77" i="6" s="1"/>
  <c r="AM76" i="3"/>
  <c r="AM77" i="6"/>
  <c r="DL76" i="3"/>
  <c r="DL77" i="6"/>
  <c r="U76" i="3"/>
  <c r="U77" i="6"/>
  <c r="CP76" i="3"/>
  <c r="CP77" i="6" s="1"/>
  <c r="AA76" i="3"/>
  <c r="AA77" i="6"/>
  <c r="AF80" i="3"/>
  <c r="AF81" i="6"/>
  <c r="BO80" i="3"/>
  <c r="BO81" i="6"/>
  <c r="BK76" i="3"/>
  <c r="BK77" i="6" s="1"/>
  <c r="BJ76" i="3"/>
  <c r="BJ77" i="6"/>
  <c r="AS76" i="3"/>
  <c r="AS77" i="6"/>
  <c r="BV76" i="3"/>
  <c r="BV77" i="6"/>
  <c r="CR76" i="3"/>
  <c r="CR77" i="6" s="1"/>
  <c r="E76" i="3"/>
  <c r="E77" i="6"/>
  <c r="T76" i="3"/>
  <c r="T77" i="6"/>
  <c r="AQ76" i="3"/>
  <c r="AQ77" i="6"/>
  <c r="AL76" i="3"/>
  <c r="AL77" i="6" s="1"/>
  <c r="BY76" i="3"/>
  <c r="BY77" i="6"/>
  <c r="AW76" i="3"/>
  <c r="AW77" i="6"/>
  <c r="Q76" i="3"/>
  <c r="Q77" i="6"/>
  <c r="AV76" i="3"/>
  <c r="AV77" i="6" s="1"/>
  <c r="D76" i="3"/>
  <c r="D77" i="6"/>
  <c r="DJ116" i="3"/>
  <c r="DJ117" i="6"/>
  <c r="AL116" i="3"/>
  <c r="AL117" i="6"/>
  <c r="V116" i="3"/>
  <c r="V117" i="6" s="1"/>
  <c r="Z116" i="3"/>
  <c r="Z117" i="6"/>
  <c r="AF116" i="3"/>
  <c r="AF117" i="6"/>
  <c r="CB116" i="3"/>
  <c r="CB117" i="6"/>
  <c r="U116" i="3"/>
  <c r="U117" i="6" s="1"/>
  <c r="CV76" i="3"/>
  <c r="CV77" i="6"/>
  <c r="AW80" i="3"/>
  <c r="AW81" i="6"/>
  <c r="V76" i="3"/>
  <c r="V77" i="6"/>
  <c r="DK76" i="3"/>
  <c r="DK77" i="6" s="1"/>
  <c r="H65" i="3"/>
  <c r="H66" i="6"/>
  <c r="AD65" i="3"/>
  <c r="AD66" i="6"/>
  <c r="U65" i="3"/>
  <c r="U66" i="6"/>
  <c r="BU65" i="3"/>
  <c r="BU66" i="6" s="1"/>
  <c r="AS65" i="3"/>
  <c r="AS66" i="6"/>
  <c r="CX65" i="3"/>
  <c r="CX66" i="6"/>
  <c r="AW65" i="3"/>
  <c r="AW66" i="6"/>
  <c r="CL65" i="3"/>
  <c r="CL66" i="6" s="1"/>
  <c r="CV65" i="3"/>
  <c r="CV66" i="6"/>
  <c r="BH65" i="3"/>
  <c r="BH66" i="6"/>
  <c r="CY65" i="3"/>
  <c r="CY66" i="6"/>
  <c r="AB65" i="3"/>
  <c r="AB66" i="6" s="1"/>
  <c r="BZ65" i="3"/>
  <c r="BZ66" i="6"/>
  <c r="AK65" i="3"/>
  <c r="AK66" i="6"/>
  <c r="L58" i="3"/>
  <c r="L59" i="6"/>
  <c r="R58" i="3"/>
  <c r="R59" i="6" s="1"/>
  <c r="C59" i="6"/>
  <c r="CO58" i="3"/>
  <c r="CO59" i="6" s="1"/>
  <c r="AI58" i="3"/>
  <c r="AI59" i="6" s="1"/>
  <c r="BQ58" i="3"/>
  <c r="BQ59" i="6" s="1"/>
  <c r="AP58" i="3"/>
  <c r="AP59" i="6" s="1"/>
  <c r="AE58" i="3"/>
  <c r="AE59" i="6" s="1"/>
  <c r="AW58" i="3"/>
  <c r="AW59" i="6" s="1"/>
  <c r="BZ58" i="3"/>
  <c r="BZ59" i="6" s="1"/>
  <c r="AX58" i="3"/>
  <c r="AX59" i="6" s="1"/>
  <c r="AO58" i="3"/>
  <c r="AO59" i="6" s="1"/>
  <c r="DK58" i="3"/>
  <c r="DK59" i="6" s="1"/>
  <c r="CN58" i="3"/>
  <c r="CN59" i="6"/>
  <c r="BW58" i="3"/>
  <c r="BW59" i="6" s="1"/>
  <c r="DE58" i="3"/>
  <c r="DE59" i="6" s="1"/>
  <c r="F58" i="3"/>
  <c r="F59" i="6" s="1"/>
  <c r="BI58" i="3"/>
  <c r="BI59" i="6" s="1"/>
  <c r="CX58" i="3"/>
  <c r="CX59" i="6" s="1"/>
  <c r="CP58" i="3"/>
  <c r="CP59" i="6" s="1"/>
  <c r="AS58" i="3"/>
  <c r="AS59" i="6" s="1"/>
  <c r="AR58" i="3"/>
  <c r="AR59" i="6"/>
  <c r="BO58" i="3"/>
  <c r="BO59" i="6" s="1"/>
  <c r="E58" i="3"/>
  <c r="E59" i="6" s="1"/>
  <c r="BP58" i="3"/>
  <c r="BP59" i="6" s="1"/>
  <c r="CZ58" i="3"/>
  <c r="CZ59" i="6"/>
  <c r="AA58" i="3"/>
  <c r="AA59" i="6" s="1"/>
  <c r="K58" i="3"/>
  <c r="K59" i="6" s="1"/>
  <c r="AJ58" i="3"/>
  <c r="AJ59" i="6" s="1"/>
  <c r="AL58" i="3"/>
  <c r="AL59" i="6" s="1"/>
  <c r="BN58" i="3"/>
  <c r="BN59" i="6" s="1"/>
  <c r="CA58" i="3"/>
  <c r="CA59" i="6" s="1"/>
  <c r="DB58" i="3"/>
  <c r="DB59" i="6" s="1"/>
  <c r="BT58" i="3"/>
  <c r="BT59" i="6" s="1"/>
  <c r="N58" i="3"/>
  <c r="N59" i="6" s="1"/>
  <c r="AK58" i="3"/>
  <c r="AK59" i="6" s="1"/>
  <c r="BF58" i="3"/>
  <c r="BF59" i="6" s="1"/>
  <c r="BL58" i="3"/>
  <c r="BL59" i="6" s="1"/>
  <c r="DJ58" i="3"/>
  <c r="DJ59" i="6" s="1"/>
  <c r="AG58" i="3"/>
  <c r="AG59" i="6" s="1"/>
  <c r="S58" i="3"/>
  <c r="S59" i="6" s="1"/>
  <c r="DA58" i="3"/>
  <c r="DA59" i="6" s="1"/>
  <c r="AV58" i="3"/>
  <c r="AV59" i="6" s="1"/>
  <c r="BA58" i="3"/>
  <c r="BA59" i="6" s="1"/>
  <c r="BC58" i="3"/>
  <c r="BC59" i="6" s="1"/>
  <c r="CW58" i="3"/>
  <c r="CW59" i="6"/>
  <c r="O58" i="3"/>
  <c r="O59" i="6" s="1"/>
  <c r="CK58" i="3"/>
  <c r="CK59" i="6" s="1"/>
  <c r="CH58" i="3"/>
  <c r="CH59" i="6" s="1"/>
  <c r="G58" i="3"/>
  <c r="G59" i="6" s="1"/>
  <c r="DO58" i="3"/>
  <c r="DO59" i="6" s="1"/>
  <c r="CR58" i="3"/>
  <c r="CR59" i="6" s="1"/>
  <c r="Q58" i="3"/>
  <c r="Q59" i="6" s="1"/>
  <c r="AF58" i="3"/>
  <c r="AF59" i="6"/>
  <c r="BG58" i="3"/>
  <c r="BG59" i="6" s="1"/>
  <c r="BU58" i="3"/>
  <c r="BU59" i="6" s="1"/>
  <c r="CE58" i="3"/>
  <c r="CE59" i="6" s="1"/>
  <c r="BV58" i="3"/>
  <c r="BV59" i="6"/>
  <c r="CS58" i="3"/>
  <c r="CS59" i="6" s="1"/>
  <c r="DL58" i="3"/>
  <c r="DL59" i="6" s="1"/>
  <c r="DH58" i="3"/>
  <c r="DH59" i="6" s="1"/>
  <c r="BB58" i="3"/>
  <c r="BB59" i="6" s="1"/>
  <c r="T58" i="3"/>
  <c r="T59" i="6" s="1"/>
  <c r="AQ58" i="3"/>
  <c r="AQ59" i="6" s="1"/>
  <c r="CB58" i="3"/>
  <c r="CB59" i="6" s="1"/>
  <c r="H58" i="3"/>
  <c r="H59" i="6" s="1"/>
  <c r="U58" i="3"/>
  <c r="U59" i="6" s="1"/>
  <c r="CG58" i="3"/>
  <c r="CG59" i="6" s="1"/>
  <c r="BK58" i="3"/>
  <c r="BK59" i="6" s="1"/>
  <c r="AD58" i="3"/>
  <c r="AD59" i="6"/>
  <c r="CM58" i="3"/>
  <c r="CM59" i="6" s="1"/>
  <c r="DN58" i="3"/>
  <c r="DN59" i="6" s="1"/>
  <c r="DQ58" i="3"/>
  <c r="DQ59" i="6" s="1"/>
  <c r="CJ58" i="3"/>
  <c r="CJ59" i="6" s="1"/>
  <c r="W58" i="3"/>
  <c r="W59" i="6" s="1"/>
  <c r="DC58" i="3"/>
  <c r="DC59" i="6" s="1"/>
  <c r="CD58" i="3"/>
  <c r="CD59" i="6" s="1"/>
  <c r="CQ58" i="3"/>
  <c r="CQ59" i="6"/>
  <c r="AC58" i="3"/>
  <c r="AC59" i="6" s="1"/>
  <c r="DD58" i="3"/>
  <c r="DD59" i="6" s="1"/>
  <c r="AB58" i="3"/>
  <c r="AB59" i="6" s="1"/>
  <c r="P58" i="3"/>
  <c r="P59" i="6" s="1"/>
  <c r="J58" i="3"/>
  <c r="J59" i="6" s="1"/>
  <c r="BJ58" i="3"/>
  <c r="BJ59" i="6" s="1"/>
  <c r="DP58" i="3"/>
  <c r="DP59" i="6" s="1"/>
  <c r="Z58" i="3"/>
  <c r="Z59" i="6"/>
  <c r="BD58" i="3"/>
  <c r="BD59" i="6" s="1"/>
  <c r="CC58" i="3"/>
  <c r="CC59" i="6" s="1"/>
  <c r="CL58" i="3"/>
  <c r="CL59" i="6" s="1"/>
  <c r="DM58" i="3"/>
  <c r="DM59" i="6"/>
  <c r="AM58" i="3"/>
  <c r="AM59" i="6" s="1"/>
  <c r="BX58" i="3"/>
  <c r="BX59" i="6" s="1"/>
  <c r="BR58" i="3"/>
  <c r="BR59" i="6" s="1"/>
  <c r="D58" i="3"/>
  <c r="D59" i="6" s="1"/>
  <c r="CU58" i="3"/>
  <c r="CU59" i="6" s="1"/>
  <c r="X58" i="3"/>
  <c r="X59" i="6" s="1"/>
  <c r="Y58" i="3"/>
  <c r="Y59" i="6" s="1"/>
  <c r="DI58" i="3"/>
  <c r="DI59" i="6" s="1"/>
  <c r="AN58" i="3"/>
  <c r="AN59" i="6" s="1"/>
  <c r="V58" i="3"/>
  <c r="V59" i="6" s="1"/>
  <c r="DG58" i="3"/>
  <c r="DG59" i="6" s="1"/>
  <c r="BS58" i="3"/>
  <c r="BS59" i="6"/>
  <c r="BE58" i="3"/>
  <c r="BE59" i="6" s="1"/>
  <c r="AU58" i="3"/>
  <c r="AU59" i="6" s="1"/>
  <c r="I58" i="3"/>
  <c r="I59" i="6" s="1"/>
  <c r="AZ58" i="3"/>
  <c r="AZ59" i="6" s="1"/>
  <c r="BY58" i="3"/>
  <c r="BY59" i="6" s="1"/>
  <c r="AT58" i="3"/>
  <c r="AT59" i="6" s="1"/>
  <c r="AY58" i="3"/>
  <c r="AY59" i="6" s="1"/>
  <c r="CV58" i="3"/>
  <c r="CV59" i="6"/>
  <c r="M58" i="3"/>
  <c r="M59" i="6" s="1"/>
  <c r="BH58" i="3"/>
  <c r="BH59" i="6" s="1"/>
  <c r="CT58" i="3"/>
  <c r="CT59" i="6" s="1"/>
  <c r="DF58" i="3"/>
  <c r="DF59" i="6" s="1"/>
  <c r="BM58" i="3"/>
  <c r="BM59" i="6" s="1"/>
  <c r="T77" i="3"/>
  <c r="T78" i="6" s="1"/>
  <c r="CF77" i="3"/>
  <c r="CF78" i="6" s="1"/>
  <c r="U77" i="3"/>
  <c r="U78" i="6"/>
  <c r="CC77" i="3"/>
  <c r="CC78" i="6" s="1"/>
  <c r="Z77" i="3"/>
  <c r="Z78" i="6" s="1"/>
  <c r="CH77" i="3"/>
  <c r="CH78" i="6" s="1"/>
  <c r="S77" i="3"/>
  <c r="S78" i="6"/>
  <c r="CA77" i="3"/>
  <c r="CA78" i="6" s="1"/>
  <c r="X77" i="3"/>
  <c r="X78" i="6" s="1"/>
  <c r="DD77" i="3"/>
  <c r="DD78" i="6" s="1"/>
  <c r="CK77" i="3"/>
  <c r="CK78" i="6" s="1"/>
  <c r="BZ77" i="3"/>
  <c r="BZ78" i="6" s="1"/>
  <c r="AM77" i="3"/>
  <c r="AM78" i="6" s="1"/>
  <c r="DK77" i="3"/>
  <c r="DK78" i="6" s="1"/>
  <c r="BT77" i="3"/>
  <c r="BT78" i="6" s="1"/>
  <c r="AC77" i="3"/>
  <c r="AC78" i="6" s="1"/>
  <c r="DI77" i="3"/>
  <c r="DI78" i="6" s="1"/>
  <c r="CT77" i="3"/>
  <c r="CT78" i="6" s="1"/>
  <c r="CE77" i="3"/>
  <c r="CE78" i="6" s="1"/>
  <c r="BD77" i="3"/>
  <c r="BD78" i="6" s="1"/>
  <c r="BH77" i="3"/>
  <c r="BH78" i="6" s="1"/>
  <c r="BN77" i="3"/>
  <c r="BN78" i="6" s="1"/>
  <c r="CM77" i="3"/>
  <c r="CM78" i="6" s="1"/>
  <c r="CW77" i="3"/>
  <c r="CW78" i="6" s="1"/>
  <c r="AA77" i="3"/>
  <c r="AA78" i="6" s="1"/>
  <c r="CZ77" i="3"/>
  <c r="CZ78" i="6" s="1"/>
  <c r="F77" i="3"/>
  <c r="F78" i="6"/>
  <c r="AO77" i="3"/>
  <c r="AO78" i="6" s="1"/>
  <c r="DQ77" i="3"/>
  <c r="DQ78" i="6" s="1"/>
  <c r="CI77" i="3"/>
  <c r="CI78" i="6" s="1"/>
  <c r="AJ77" i="3"/>
  <c r="AJ78" i="6"/>
  <c r="CV77" i="3"/>
  <c r="CV78" i="6" s="1"/>
  <c r="AG77" i="3"/>
  <c r="AG78" i="6" s="1"/>
  <c r="CS77" i="3"/>
  <c r="CS78" i="6" s="1"/>
  <c r="AP77" i="3"/>
  <c r="AP78" i="6"/>
  <c r="CX77" i="3"/>
  <c r="CX78" i="6" s="1"/>
  <c r="AI77" i="3"/>
  <c r="AI78" i="6" s="1"/>
  <c r="CQ77" i="3"/>
  <c r="CQ78" i="6" s="1"/>
  <c r="AR77" i="3"/>
  <c r="AR78" i="6"/>
  <c r="I77" i="3"/>
  <c r="I78" i="6" s="1"/>
  <c r="DA77" i="3"/>
  <c r="DA78" i="6" s="1"/>
  <c r="CP77" i="3"/>
  <c r="CP78" i="6" s="1"/>
  <c r="BG77" i="3"/>
  <c r="BG78" i="6" s="1"/>
  <c r="L77" i="3"/>
  <c r="L78" i="6" s="1"/>
  <c r="CN77" i="3"/>
  <c r="CN78" i="6" s="1"/>
  <c r="BA77" i="3"/>
  <c r="BA78" i="6" s="1"/>
  <c r="R77" i="3"/>
  <c r="R78" i="6" s="1"/>
  <c r="W77" i="3"/>
  <c r="W78" i="6" s="1"/>
  <c r="CY77" i="3"/>
  <c r="CY78" i="6" s="1"/>
  <c r="BX77" i="3"/>
  <c r="BX78" i="6" s="1"/>
  <c r="Q77" i="3"/>
  <c r="Q78" i="6" s="1"/>
  <c r="DB77" i="3"/>
  <c r="DB78" i="6" s="1"/>
  <c r="CB77" i="3"/>
  <c r="CB78" i="6" s="1"/>
  <c r="AD77" i="3"/>
  <c r="AD78" i="6" s="1"/>
  <c r="BS77" i="3"/>
  <c r="BS78" i="6" s="1"/>
  <c r="AK77" i="3"/>
  <c r="AK78" i="6" s="1"/>
  <c r="AT77" i="3"/>
  <c r="AT78" i="6" s="1"/>
  <c r="CG77" i="3"/>
  <c r="CG78" i="6" s="1"/>
  <c r="AX77" i="3"/>
  <c r="AX78" i="6"/>
  <c r="AZ77" i="3"/>
  <c r="AZ78" i="6" s="1"/>
  <c r="AW77" i="3"/>
  <c r="AW78" i="6" s="1"/>
  <c r="BF77" i="3"/>
  <c r="BF78" i="6" s="1"/>
  <c r="AY77" i="3"/>
  <c r="AY78" i="6"/>
  <c r="BL77" i="3"/>
  <c r="BL78" i="6" s="1"/>
  <c r="AH77" i="3"/>
  <c r="AH78" i="6" s="1"/>
  <c r="BW77" i="3"/>
  <c r="BW78" i="6" s="1"/>
  <c r="DH77" i="3"/>
  <c r="DH78" i="6"/>
  <c r="AL77" i="3"/>
  <c r="AL78" i="6" s="1"/>
  <c r="DO77" i="3"/>
  <c r="DO78" i="6" s="1"/>
  <c r="BE77" i="3"/>
  <c r="BE78" i="6" s="1"/>
  <c r="Y77" i="3"/>
  <c r="Y78" i="6" s="1"/>
  <c r="DC77" i="3"/>
  <c r="DC78" i="6" s="1"/>
  <c r="CD77" i="3"/>
  <c r="CD78" i="6" s="1"/>
  <c r="AU77" i="3"/>
  <c r="AU78" i="6" s="1"/>
  <c r="BP77" i="3"/>
  <c r="BP78" i="6" s="1"/>
  <c r="BM77" i="3"/>
  <c r="BM78" i="6" s="1"/>
  <c r="BV77" i="3"/>
  <c r="BV78" i="6" s="1"/>
  <c r="BO77" i="3"/>
  <c r="BO78" i="6" s="1"/>
  <c r="CJ77" i="3"/>
  <c r="CJ78" i="6" s="1"/>
  <c r="BB77" i="3"/>
  <c r="BB78" i="6" s="1"/>
  <c r="CU77" i="3"/>
  <c r="CU78" i="6" s="1"/>
  <c r="M77" i="3"/>
  <c r="M78" i="6" s="1"/>
  <c r="BJ77" i="3"/>
  <c r="BJ78" i="6"/>
  <c r="AF77" i="3"/>
  <c r="AF78" i="6" s="1"/>
  <c r="V77" i="3"/>
  <c r="V78" i="6" s="1"/>
  <c r="BI77" i="3"/>
  <c r="BI78" i="6" s="1"/>
  <c r="P77" i="3"/>
  <c r="P78" i="6" s="1"/>
  <c r="AE77" i="3"/>
  <c r="AE78" i="6" s="1"/>
  <c r="CL77" i="3"/>
  <c r="CL78" i="6" s="1"/>
  <c r="C78" i="6"/>
  <c r="DL77" i="3"/>
  <c r="DL78" i="6"/>
  <c r="DE77" i="3"/>
  <c r="DE78" i="6"/>
  <c r="DN77" i="3"/>
  <c r="DN78" i="6"/>
  <c r="DG77" i="3"/>
  <c r="DG78" i="6"/>
  <c r="AS77" i="3"/>
  <c r="AS78" i="6"/>
  <c r="DJ77" i="3"/>
  <c r="DJ78" i="6"/>
  <c r="AB77" i="3"/>
  <c r="AB78" i="6"/>
  <c r="BU77" i="3"/>
  <c r="BU78" i="6"/>
  <c r="AQ77" i="3"/>
  <c r="AQ78" i="6"/>
  <c r="CR77" i="3"/>
  <c r="CR78" i="6"/>
  <c r="K77" i="3"/>
  <c r="K78" i="6"/>
  <c r="BR77" i="3"/>
  <c r="BR78" i="6"/>
  <c r="BY77" i="3"/>
  <c r="BY78" i="6"/>
  <c r="J77" i="3"/>
  <c r="J78" i="6"/>
  <c r="DB81" i="3"/>
  <c r="DB82" i="6"/>
  <c r="AZ81" i="3"/>
  <c r="AZ82" i="6"/>
  <c r="BX81" i="3"/>
  <c r="BX82" i="6"/>
  <c r="CZ81" i="3"/>
  <c r="CZ82" i="6"/>
  <c r="DF81" i="3"/>
  <c r="DF82" i="6"/>
  <c r="DK81" i="3"/>
  <c r="DK82" i="6"/>
  <c r="Z81" i="3"/>
  <c r="Z82" i="6"/>
  <c r="AM81" i="3"/>
  <c r="AM82" i="6"/>
  <c r="DE81" i="3"/>
  <c r="DE82" i="6"/>
  <c r="P81" i="3"/>
  <c r="P82" i="6"/>
  <c r="AQ81" i="3"/>
  <c r="AQ82" i="6"/>
  <c r="BU81" i="3"/>
  <c r="BU82" i="6"/>
  <c r="CD81" i="3"/>
  <c r="CD82" i="6"/>
  <c r="DO81" i="3"/>
  <c r="DO82" i="6"/>
  <c r="AR81" i="3"/>
  <c r="AR82" i="6"/>
  <c r="AT81" i="3"/>
  <c r="AT82" i="6"/>
  <c r="CM81" i="3"/>
  <c r="CM82" i="6"/>
  <c r="DI81" i="3"/>
  <c r="DI82" i="6"/>
  <c r="AU81" i="3"/>
  <c r="AU82" i="6"/>
  <c r="AK81" i="3"/>
  <c r="AK82" i="6"/>
  <c r="DP81" i="3"/>
  <c r="DP82" i="6"/>
  <c r="S81" i="3"/>
  <c r="S82" i="6"/>
  <c r="CK81" i="3"/>
  <c r="CK82" i="6"/>
  <c r="BC81" i="3"/>
  <c r="BC82" i="6"/>
  <c r="X81" i="3"/>
  <c r="X82" i="6"/>
  <c r="W81" i="3"/>
  <c r="W82" i="6"/>
  <c r="AG81" i="3"/>
  <c r="AG82" i="6"/>
  <c r="AN81" i="3"/>
  <c r="AN82" i="6"/>
  <c r="AL81" i="3"/>
  <c r="AL82" i="6"/>
  <c r="AI81" i="3"/>
  <c r="AI82" i="6"/>
  <c r="CR81" i="3"/>
  <c r="CR82" i="6"/>
  <c r="CF81" i="3"/>
  <c r="CF82" i="6"/>
  <c r="DL81" i="3"/>
  <c r="DL82" i="6"/>
  <c r="AD81" i="3"/>
  <c r="AD82" i="6"/>
  <c r="AA81" i="3"/>
  <c r="AA82" i="6"/>
  <c r="Y81" i="3"/>
  <c r="Y82" i="6"/>
  <c r="AX81" i="3"/>
  <c r="AX82" i="6"/>
  <c r="BS81" i="3"/>
  <c r="BS82" i="6"/>
  <c r="AB81" i="3"/>
  <c r="AB82" i="6"/>
  <c r="F81" i="3"/>
  <c r="F82" i="6"/>
  <c r="BW81" i="3"/>
  <c r="BW82" i="6"/>
  <c r="DA81" i="3"/>
  <c r="DA82" i="6"/>
  <c r="DJ81" i="3"/>
  <c r="DJ82" i="6"/>
  <c r="AS81" i="3"/>
  <c r="AS82" i="6"/>
  <c r="CV81" i="3"/>
  <c r="CV82" i="6"/>
  <c r="CH81" i="3"/>
  <c r="CH82" i="6"/>
  <c r="I81" i="3"/>
  <c r="I82" i="6"/>
  <c r="R81" i="3"/>
  <c r="R82" i="6"/>
  <c r="CI81" i="3"/>
  <c r="CI82" i="6"/>
  <c r="C82" i="6"/>
  <c r="DH81" i="3"/>
  <c r="DH82" i="6" s="1"/>
  <c r="BO81" i="3"/>
  <c r="BO82" i="6"/>
  <c r="DQ81" i="3"/>
  <c r="DQ82" i="6" s="1"/>
  <c r="CQ81" i="3"/>
  <c r="CQ82" i="6" s="1"/>
  <c r="BJ81" i="3"/>
  <c r="BJ82" i="6" s="1"/>
  <c r="BY81" i="3"/>
  <c r="BY82" i="6"/>
  <c r="AH81" i="3"/>
  <c r="AH82" i="6" s="1"/>
  <c r="BM81" i="3"/>
  <c r="BM82" i="6" s="1"/>
  <c r="CS81" i="3"/>
  <c r="CS82" i="6" s="1"/>
  <c r="BV81" i="3"/>
  <c r="BV82" i="6"/>
  <c r="BP81" i="3"/>
  <c r="BP82" i="6" s="1"/>
  <c r="BI81" i="3"/>
  <c r="BI82" i="6" s="1"/>
  <c r="BB81" i="3"/>
  <c r="BB82" i="6" s="1"/>
  <c r="BE81" i="3"/>
  <c r="BE82" i="6" s="1"/>
  <c r="CY81" i="3"/>
  <c r="CY82" i="6" s="1"/>
  <c r="BR81" i="3"/>
  <c r="BR82" i="6" s="1"/>
  <c r="J81" i="3"/>
  <c r="J82" i="6" s="1"/>
  <c r="BQ81" i="3"/>
  <c r="BQ82" i="6" s="1"/>
  <c r="K81" i="3"/>
  <c r="K82" i="6" s="1"/>
  <c r="BF81" i="3"/>
  <c r="BF82" i="6" s="1"/>
  <c r="BH81" i="3"/>
  <c r="BH82" i="6" s="1"/>
  <c r="CU81" i="3"/>
  <c r="CU82" i="6" s="1"/>
  <c r="BA81" i="3"/>
  <c r="BA82" i="6" s="1"/>
  <c r="D81" i="3"/>
  <c r="D82" i="6" s="1"/>
  <c r="DG81" i="3"/>
  <c r="DG82" i="6" s="1"/>
  <c r="AJ81" i="3"/>
  <c r="AJ82" i="6"/>
  <c r="BZ81" i="3"/>
  <c r="BZ82" i="6" s="1"/>
  <c r="H81" i="3"/>
  <c r="H82" i="6" s="1"/>
  <c r="CG81" i="3"/>
  <c r="CG82" i="6" s="1"/>
  <c r="DN81" i="3"/>
  <c r="DN82" i="6" s="1"/>
  <c r="AP81" i="3"/>
  <c r="AP82" i="6" s="1"/>
  <c r="CO81" i="3"/>
  <c r="CO82" i="6" s="1"/>
  <c r="AY81" i="3"/>
  <c r="AY82" i="6" s="1"/>
  <c r="CL81" i="3"/>
  <c r="CL82" i="6"/>
  <c r="DD81" i="3"/>
  <c r="DD82" i="6" s="1"/>
  <c r="Q81" i="3"/>
  <c r="Q82" i="6" s="1"/>
  <c r="E81" i="3"/>
  <c r="E82" i="6" s="1"/>
  <c r="CX81" i="3"/>
  <c r="CX82" i="6"/>
  <c r="CW81" i="3"/>
  <c r="CW82" i="6" s="1"/>
  <c r="AC81" i="3"/>
  <c r="AC82" i="6" s="1"/>
  <c r="CJ81" i="3"/>
  <c r="CJ82" i="6" s="1"/>
  <c r="BG81" i="3"/>
  <c r="BG82" i="6"/>
  <c r="CT81" i="3"/>
  <c r="CT82" i="6" s="1"/>
  <c r="CN81" i="3"/>
  <c r="CN82" i="6" s="1"/>
  <c r="BL81" i="3"/>
  <c r="BL82" i="6" s="1"/>
  <c r="AE81" i="3"/>
  <c r="AE82" i="6" s="1"/>
  <c r="CB81" i="3"/>
  <c r="CB82" i="6" s="1"/>
  <c r="BT89" i="3"/>
  <c r="BT90" i="6" s="1"/>
  <c r="AT89" i="3"/>
  <c r="AT90" i="6" s="1"/>
  <c r="Z89" i="3"/>
  <c r="Z90" i="6" s="1"/>
  <c r="AY89" i="3"/>
  <c r="AY90" i="6" s="1"/>
  <c r="AD89" i="3"/>
  <c r="AD90" i="6" s="1"/>
  <c r="L89" i="3"/>
  <c r="L90" i="6" s="1"/>
  <c r="AQ89" i="3"/>
  <c r="AQ90" i="6" s="1"/>
  <c r="AR89" i="3"/>
  <c r="AR90" i="6" s="1"/>
  <c r="AW89" i="3"/>
  <c r="AW90" i="6" s="1"/>
  <c r="BJ89" i="3"/>
  <c r="BJ90" i="6" s="1"/>
  <c r="DD89" i="3"/>
  <c r="DD90" i="6"/>
  <c r="AI89" i="3"/>
  <c r="AI90" i="6" s="1"/>
  <c r="AE89" i="3"/>
  <c r="AE90" i="6" s="1"/>
  <c r="DF89" i="3"/>
  <c r="DF90" i="6" s="1"/>
  <c r="CX89" i="3"/>
  <c r="CX90" i="6" s="1"/>
  <c r="CK89" i="3"/>
  <c r="CK90" i="6" s="1"/>
  <c r="CO89" i="3"/>
  <c r="CO90" i="6" s="1"/>
  <c r="BC89" i="3"/>
  <c r="BC90" i="6" s="1"/>
  <c r="CV89" i="3"/>
  <c r="CV90" i="6"/>
  <c r="AC89" i="3"/>
  <c r="AC90" i="6" s="1"/>
  <c r="T89" i="3"/>
  <c r="T90" i="6" s="1"/>
  <c r="DP89" i="3"/>
  <c r="DP90" i="6" s="1"/>
  <c r="AB89" i="3"/>
  <c r="AB90" i="6"/>
  <c r="CS89" i="3"/>
  <c r="CS90" i="6" s="1"/>
  <c r="AM89" i="3"/>
  <c r="AM90" i="6" s="1"/>
  <c r="DJ89" i="3"/>
  <c r="DJ90" i="6" s="1"/>
  <c r="BA89" i="3"/>
  <c r="BA90" i="6"/>
  <c r="DO89" i="3"/>
  <c r="DO90" i="6" s="1"/>
  <c r="CZ89" i="3"/>
  <c r="CZ90" i="6" s="1"/>
  <c r="V89" i="3"/>
  <c r="V90" i="6" s="1"/>
  <c r="CJ89" i="3"/>
  <c r="CJ90" i="6" s="1"/>
  <c r="AS89" i="3"/>
  <c r="AS90" i="6" s="1"/>
  <c r="CO93" i="3"/>
  <c r="CO94" i="6" s="1"/>
  <c r="AF93" i="3"/>
  <c r="AF94" i="6" s="1"/>
  <c r="U93" i="3"/>
  <c r="U94" i="6"/>
  <c r="AB93" i="3"/>
  <c r="AB94" i="6" s="1"/>
  <c r="CB93" i="3"/>
  <c r="CB94" i="6" s="1"/>
  <c r="L93" i="3"/>
  <c r="L94" i="6" s="1"/>
  <c r="CQ93" i="3"/>
  <c r="CQ94" i="6"/>
  <c r="BM93" i="3"/>
  <c r="BM94" i="6" s="1"/>
  <c r="CM93" i="3"/>
  <c r="CM94" i="6" s="1"/>
  <c r="I93" i="3"/>
  <c r="I94" i="6" s="1"/>
  <c r="BZ93" i="3"/>
  <c r="BZ94" i="6"/>
  <c r="BO93" i="3"/>
  <c r="BO94" i="6" s="1"/>
  <c r="T93" i="3"/>
  <c r="T94" i="6" s="1"/>
  <c r="AG93" i="3"/>
  <c r="AG94" i="6" s="1"/>
  <c r="DC93" i="3"/>
  <c r="DC94" i="6"/>
  <c r="AE93" i="3"/>
  <c r="AE94" i="6" s="1"/>
  <c r="DD93" i="3"/>
  <c r="DD94" i="6" s="1"/>
  <c r="E93" i="3"/>
  <c r="E94" i="6" s="1"/>
  <c r="AS93" i="3"/>
  <c r="AS94" i="6"/>
  <c r="CU93" i="3"/>
  <c r="CU94" i="6" s="1"/>
  <c r="AH93" i="3"/>
  <c r="AH94" i="6" s="1"/>
  <c r="S93" i="3"/>
  <c r="S94" i="6" s="1"/>
  <c r="CI93" i="3"/>
  <c r="CI94" i="6"/>
  <c r="BC101" i="3"/>
  <c r="BC102" i="6" s="1"/>
  <c r="AE101" i="3"/>
  <c r="AE102" i="6" s="1"/>
  <c r="AY101" i="3"/>
  <c r="AY102" i="6" s="1"/>
  <c r="AJ101" i="3"/>
  <c r="AJ102" i="6"/>
  <c r="BF101" i="3"/>
  <c r="BF102" i="6" s="1"/>
  <c r="AB101" i="3"/>
  <c r="AB102" i="6" s="1"/>
  <c r="W101" i="3"/>
  <c r="W102" i="6" s="1"/>
  <c r="AA101" i="3"/>
  <c r="AA102" i="6"/>
  <c r="R101" i="3"/>
  <c r="R102" i="6" s="1"/>
  <c r="CT101" i="3"/>
  <c r="CT102" i="6" s="1"/>
  <c r="DF101" i="3"/>
  <c r="DF102" i="6" s="1"/>
  <c r="DH101" i="3"/>
  <c r="DH102" i="6"/>
  <c r="BN101" i="3"/>
  <c r="BN102" i="6" s="1"/>
  <c r="BS101" i="3"/>
  <c r="BS102" i="6" s="1"/>
  <c r="F101" i="3"/>
  <c r="F102" i="6" s="1"/>
  <c r="DN101" i="3"/>
  <c r="DN102" i="6"/>
  <c r="CL101" i="3"/>
  <c r="CL102" i="6" s="1"/>
  <c r="CP101" i="3"/>
  <c r="CP102" i="6" s="1"/>
  <c r="CN101" i="3"/>
  <c r="CN102" i="6" s="1"/>
  <c r="AG101" i="3"/>
  <c r="AG102" i="6"/>
  <c r="DA101" i="3"/>
  <c r="DA102" i="6" s="1"/>
  <c r="Q101" i="3"/>
  <c r="Q102" i="6" s="1"/>
  <c r="AI101" i="3"/>
  <c r="AI102" i="6" s="1"/>
  <c r="BW101" i="3"/>
  <c r="BW102" i="6"/>
  <c r="DB101" i="3"/>
  <c r="DB102" i="6" s="1"/>
  <c r="CJ101" i="3"/>
  <c r="CJ102" i="6" s="1"/>
  <c r="C102" i="6"/>
  <c r="AU101" i="3"/>
  <c r="AU102" i="6" s="1"/>
  <c r="BM101" i="3"/>
  <c r="BM102" i="6"/>
  <c r="CC101" i="3"/>
  <c r="CC102" i="6"/>
  <c r="H101" i="3"/>
  <c r="H102" i="6"/>
  <c r="CU101" i="3"/>
  <c r="CU102" i="6" s="1"/>
  <c r="Z101" i="3"/>
  <c r="Z102" i="6"/>
  <c r="BH101" i="3"/>
  <c r="BH102" i="6"/>
  <c r="CE101" i="3"/>
  <c r="CE102" i="6"/>
  <c r="AK101" i="3"/>
  <c r="AK102" i="6" s="1"/>
  <c r="CQ101" i="3"/>
  <c r="CQ102" i="6"/>
  <c r="BR101" i="3"/>
  <c r="BR102" i="6"/>
  <c r="DE101" i="3"/>
  <c r="DE102" i="6"/>
  <c r="AL101" i="3"/>
  <c r="AL102" i="6" s="1"/>
  <c r="CV101" i="3"/>
  <c r="CV102" i="6"/>
  <c r="AZ101" i="3"/>
  <c r="AZ102" i="6"/>
  <c r="DO101" i="3"/>
  <c r="DO102" i="6"/>
  <c r="DQ101" i="3"/>
  <c r="DQ102" i="6" s="1"/>
  <c r="M101" i="3"/>
  <c r="M102" i="6"/>
  <c r="AP101" i="3"/>
  <c r="AP102" i="6"/>
  <c r="K101" i="3"/>
  <c r="K102" i="6"/>
  <c r="T101" i="3"/>
  <c r="T102" i="6" s="1"/>
  <c r="AC101" i="3"/>
  <c r="AC102" i="6"/>
  <c r="BT101" i="3"/>
  <c r="BT102" i="6"/>
  <c r="V101" i="3"/>
  <c r="V102" i="6"/>
  <c r="G101" i="3"/>
  <c r="G102" i="6" s="1"/>
  <c r="I101" i="3"/>
  <c r="I102" i="6"/>
  <c r="E101" i="3"/>
  <c r="E102" i="6"/>
  <c r="N101" i="3"/>
  <c r="N102" i="6"/>
  <c r="AX101" i="3"/>
  <c r="AX102" i="6" s="1"/>
  <c r="DL101" i="3"/>
  <c r="DL102" i="6"/>
  <c r="AH101" i="3"/>
  <c r="AH102" i="6"/>
  <c r="P101" i="3"/>
  <c r="P102" i="6"/>
  <c r="X101" i="3"/>
  <c r="X102" i="6" s="1"/>
  <c r="CR101" i="3"/>
  <c r="CR102" i="6"/>
  <c r="DK101" i="3"/>
  <c r="DK102" i="6"/>
  <c r="AO101" i="3"/>
  <c r="AO102" i="6"/>
  <c r="CD101" i="3"/>
  <c r="CD102" i="6" s="1"/>
  <c r="BA101" i="3"/>
  <c r="BA102" i="6"/>
  <c r="AD101" i="3"/>
  <c r="AD102" i="6"/>
  <c r="CB101" i="3"/>
  <c r="CB102" i="6"/>
  <c r="S101" i="3"/>
  <c r="S102" i="6" s="1"/>
  <c r="DJ101" i="3"/>
  <c r="DJ102" i="6"/>
  <c r="DD101" i="3"/>
  <c r="DD102" i="6"/>
  <c r="AT101" i="3"/>
  <c r="AT102" i="6"/>
  <c r="BU101" i="3"/>
  <c r="BU102" i="6" s="1"/>
  <c r="BJ101" i="3"/>
  <c r="BJ102" i="6"/>
  <c r="CX101" i="3"/>
  <c r="CX102" i="6"/>
  <c r="L101" i="3"/>
  <c r="L102" i="6"/>
  <c r="BB101" i="3"/>
  <c r="BB102" i="6" s="1"/>
  <c r="BI101" i="3"/>
  <c r="BI102" i="6"/>
  <c r="CK101" i="3"/>
  <c r="CK102" i="6"/>
  <c r="J101" i="3"/>
  <c r="J102" i="6"/>
  <c r="AN101" i="3"/>
  <c r="AN102" i="6" s="1"/>
  <c r="AV101" i="3"/>
  <c r="AV102" i="6"/>
  <c r="BE101" i="3"/>
  <c r="BE102" i="6"/>
  <c r="CZ101" i="3"/>
  <c r="CZ102" i="6"/>
  <c r="DM101" i="3"/>
  <c r="DM102" i="6" s="1"/>
  <c r="D101" i="3"/>
  <c r="D102" i="6"/>
  <c r="CM101" i="3"/>
  <c r="CM102" i="6"/>
  <c r="CA101" i="3"/>
  <c r="CA102" i="6"/>
  <c r="BX101" i="3"/>
  <c r="BX102" i="6" s="1"/>
  <c r="BL101" i="3"/>
  <c r="BL102" i="6"/>
  <c r="BD101" i="3"/>
  <c r="BD102" i="6"/>
  <c r="U101" i="3"/>
  <c r="U102" i="6"/>
  <c r="AR101" i="3"/>
  <c r="AR102" i="6" s="1"/>
  <c r="CH101" i="3"/>
  <c r="CH102" i="6"/>
  <c r="CW101" i="3"/>
  <c r="CW102" i="6"/>
  <c r="CI101" i="3"/>
  <c r="CI102" i="6"/>
  <c r="CY101" i="3"/>
  <c r="CY102" i="6" s="1"/>
  <c r="BG101" i="3"/>
  <c r="BG102" i="6"/>
  <c r="Y101" i="3"/>
  <c r="Y102" i="6"/>
  <c r="O101" i="3"/>
  <c r="O102" i="6"/>
  <c r="CS101" i="3"/>
  <c r="CS102" i="6" s="1"/>
  <c r="DC101" i="3"/>
  <c r="DC102" i="6"/>
  <c r="AW101" i="3"/>
  <c r="AW102" i="6"/>
  <c r="AS101" i="3"/>
  <c r="AS102" i="6"/>
  <c r="DP101" i="3"/>
  <c r="DP102" i="6" s="1"/>
  <c r="AF101" i="3"/>
  <c r="AF102" i="6"/>
  <c r="CO101" i="3"/>
  <c r="CO102" i="6"/>
  <c r="AQ101" i="3"/>
  <c r="AQ102" i="6"/>
  <c r="CJ121" i="3"/>
  <c r="CJ122" i="6" s="1"/>
  <c r="S121" i="3"/>
  <c r="S122" i="6"/>
  <c r="AA121" i="3"/>
  <c r="AA122" i="6"/>
  <c r="O81" i="3"/>
  <c r="O82" i="6"/>
  <c r="AV46" i="3"/>
  <c r="AV47" i="6" s="1"/>
  <c r="AI22" i="3"/>
  <c r="AI23" i="6"/>
  <c r="AT22" i="3"/>
  <c r="AT23" i="6"/>
  <c r="Q22" i="3"/>
  <c r="Q23" i="6"/>
  <c r="AW22" i="3"/>
  <c r="AW23" i="6" s="1"/>
  <c r="DI22" i="3"/>
  <c r="DI23" i="6"/>
  <c r="AR22" i="3"/>
  <c r="AR23" i="6"/>
  <c r="BE22" i="3"/>
  <c r="BE23" i="6"/>
  <c r="AA22" i="3"/>
  <c r="AA23" i="6" s="1"/>
  <c r="BT22" i="3"/>
  <c r="BT23" i="6"/>
  <c r="C23" i="6"/>
  <c r="AQ22" i="3"/>
  <c r="AQ23" i="6" s="1"/>
  <c r="CJ22" i="3"/>
  <c r="CJ23" i="6" s="1"/>
  <c r="DA22" i="3"/>
  <c r="DA23" i="6"/>
  <c r="DL22" i="3"/>
  <c r="DL23" i="6" s="1"/>
  <c r="BZ22" i="3"/>
  <c r="BZ23" i="6" s="1"/>
  <c r="K22" i="3"/>
  <c r="K23" i="6" s="1"/>
  <c r="BD22" i="3"/>
  <c r="BD23" i="6"/>
  <c r="T22" i="3"/>
  <c r="T23" i="6" s="1"/>
  <c r="BW22" i="3"/>
  <c r="BW23" i="6" s="1"/>
  <c r="W22" i="3"/>
  <c r="W23" i="6" s="1"/>
  <c r="CD22" i="3"/>
  <c r="CD23" i="6"/>
  <c r="O22" i="3"/>
  <c r="O23" i="6" s="1"/>
  <c r="AN22" i="3"/>
  <c r="AN23" i="6" s="1"/>
  <c r="CH22" i="3"/>
  <c r="CH23" i="6" s="1"/>
  <c r="S22" i="3"/>
  <c r="S23" i="6"/>
  <c r="AC22" i="3"/>
  <c r="AC23" i="6" s="1"/>
  <c r="AC3" i="6" s="1"/>
  <c r="R22" i="3"/>
  <c r="R23" i="6" s="1"/>
  <c r="AY22" i="3"/>
  <c r="AY23" i="6" s="1"/>
  <c r="Z22" i="3"/>
  <c r="Z23" i="6"/>
  <c r="CY22" i="3"/>
  <c r="CY23" i="6" s="1"/>
  <c r="CR22" i="3"/>
  <c r="CR23" i="6" s="1"/>
  <c r="DE22" i="3"/>
  <c r="DE23" i="6" s="1"/>
  <c r="BB22" i="3"/>
  <c r="BB23" i="6"/>
  <c r="BN22" i="3"/>
  <c r="BN23" i="6" s="1"/>
  <c r="L22" i="3"/>
  <c r="L23" i="6" s="1"/>
  <c r="CK22" i="3"/>
  <c r="CK23" i="6" s="1"/>
  <c r="F22" i="3"/>
  <c r="F23" i="6"/>
  <c r="BL22" i="3"/>
  <c r="BL23" i="6" s="1"/>
  <c r="CG22" i="3"/>
  <c r="CG23" i="6" s="1"/>
  <c r="DO22" i="3"/>
  <c r="DO23" i="6" s="1"/>
  <c r="D22" i="3"/>
  <c r="D23" i="6"/>
  <c r="BG22" i="3"/>
  <c r="BG23" i="6" s="1"/>
  <c r="CA22" i="3"/>
  <c r="CA23" i="6" s="1"/>
  <c r="DH22" i="3"/>
  <c r="DH23" i="6" s="1"/>
  <c r="DP22" i="3"/>
  <c r="DP23" i="6"/>
  <c r="AU22" i="3"/>
  <c r="AU23" i="6" s="1"/>
  <c r="BK22" i="3"/>
  <c r="BK23" i="6" s="1"/>
  <c r="AJ22" i="3"/>
  <c r="AJ23" i="6" s="1"/>
  <c r="CL22" i="3"/>
  <c r="CL23" i="6"/>
  <c r="BM22" i="3"/>
  <c r="BM23" i="6" s="1"/>
  <c r="CB22" i="3"/>
  <c r="CB23" i="6" s="1"/>
  <c r="CU22" i="3"/>
  <c r="CU23" i="6" s="1"/>
  <c r="CP22" i="3"/>
  <c r="CP23" i="6"/>
  <c r="BJ22" i="3"/>
  <c r="BJ23" i="6" s="1"/>
  <c r="AZ22" i="3"/>
  <c r="AZ23" i="6" s="1"/>
  <c r="G22" i="3"/>
  <c r="G23" i="6" s="1"/>
  <c r="BQ22" i="3"/>
  <c r="BQ23" i="6"/>
  <c r="DK22" i="3"/>
  <c r="DK23" i="6" s="1"/>
  <c r="BH22" i="3"/>
  <c r="BH23" i="6" s="1"/>
  <c r="DJ22" i="3"/>
  <c r="DJ23" i="6" s="1"/>
  <c r="CI22" i="3"/>
  <c r="CI23" i="6"/>
  <c r="AO22" i="3"/>
  <c r="AO23" i="6" s="1"/>
  <c r="CZ22" i="3"/>
  <c r="CZ23" i="6" s="1"/>
  <c r="CE22" i="3"/>
  <c r="CE23" i="6" s="1"/>
  <c r="CQ22" i="3"/>
  <c r="CQ23" i="6"/>
  <c r="M22" i="3"/>
  <c r="M23" i="6" s="1"/>
  <c r="I22" i="3"/>
  <c r="I23" i="6" s="1"/>
  <c r="E22" i="3"/>
  <c r="E23" i="6" s="1"/>
  <c r="CT22" i="3"/>
  <c r="CT23" i="6"/>
  <c r="BU30" i="3"/>
  <c r="BU31" i="6" s="1"/>
  <c r="CO30" i="3"/>
  <c r="CO31" i="6" s="1"/>
  <c r="AX30" i="3"/>
  <c r="AX31" i="6" s="1"/>
  <c r="Z30" i="3"/>
  <c r="Z31" i="6"/>
  <c r="CC30" i="3"/>
  <c r="CC31" i="6" s="1"/>
  <c r="M30" i="3"/>
  <c r="M31" i="6" s="1"/>
  <c r="BA30" i="3"/>
  <c r="BA31" i="6" s="1"/>
  <c r="G30" i="3"/>
  <c r="G31" i="6"/>
  <c r="CR30" i="3"/>
  <c r="CR31" i="6" s="1"/>
  <c r="P30" i="3"/>
  <c r="P31" i="6" s="1"/>
  <c r="BZ30" i="3"/>
  <c r="BZ31" i="6" s="1"/>
  <c r="BR30" i="3"/>
  <c r="BR31" i="6"/>
  <c r="BJ30" i="3"/>
  <c r="BJ31" i="6" s="1"/>
  <c r="CE30" i="3"/>
  <c r="CE31" i="6" s="1"/>
  <c r="CY30" i="3"/>
  <c r="CY31" i="6" s="1"/>
  <c r="X30" i="3"/>
  <c r="X31" i="6"/>
  <c r="AB30" i="3"/>
  <c r="AB31" i="6" s="1"/>
  <c r="DJ30" i="3"/>
  <c r="DJ31" i="6" s="1"/>
  <c r="I30" i="3"/>
  <c r="I31" i="6" s="1"/>
  <c r="BB30" i="3"/>
  <c r="BB31" i="6"/>
  <c r="CU30" i="3"/>
  <c r="CU31" i="6" s="1"/>
  <c r="DO30" i="3"/>
  <c r="DO31" i="6" s="1"/>
  <c r="AR30" i="3"/>
  <c r="AR31" i="6" s="1"/>
  <c r="BT30" i="3"/>
  <c r="BT31" i="6"/>
  <c r="AC30" i="3"/>
  <c r="AC31" i="6" s="1"/>
  <c r="DQ30" i="3"/>
  <c r="DQ31" i="6" s="1"/>
  <c r="AY30" i="3"/>
  <c r="AY31" i="6" s="1"/>
  <c r="J30" i="3"/>
  <c r="J31" i="6"/>
  <c r="V30" i="3"/>
  <c r="V31" i="6" s="1"/>
  <c r="BX30" i="3"/>
  <c r="BX31" i="6" s="1"/>
  <c r="BI30" i="3"/>
  <c r="BI31" i="6" s="1"/>
  <c r="AN30" i="3"/>
  <c r="AN31" i="6"/>
  <c r="CW30" i="3"/>
  <c r="CW31" i="6" s="1"/>
  <c r="DE30" i="3"/>
  <c r="DE31" i="6" s="1"/>
  <c r="D30" i="3"/>
  <c r="D31" i="6" s="1"/>
  <c r="K30" i="3"/>
  <c r="K31" i="6"/>
  <c r="CJ30" i="3"/>
  <c r="CJ31" i="6" s="1"/>
  <c r="DB30" i="3"/>
  <c r="DB31" i="6" s="1"/>
  <c r="CD30" i="3"/>
  <c r="CD31" i="6" s="1"/>
  <c r="AW30" i="3"/>
  <c r="AW31" i="6"/>
  <c r="BE30" i="3"/>
  <c r="BE31" i="6" s="1"/>
  <c r="CF30" i="3"/>
  <c r="CF31" i="6" s="1"/>
  <c r="AF30" i="3"/>
  <c r="AF31" i="6" s="1"/>
  <c r="AV30" i="3"/>
  <c r="AV31" i="6"/>
  <c r="R30" i="3"/>
  <c r="R31" i="6" s="1"/>
  <c r="CT30" i="3"/>
  <c r="CT31" i="6" s="1"/>
  <c r="AT30" i="3"/>
  <c r="AT31" i="6" s="1"/>
  <c r="AT3" i="6" s="1"/>
  <c r="DM30" i="3"/>
  <c r="DM31" i="6"/>
  <c r="CV30" i="3"/>
  <c r="CV31" i="6" s="1"/>
  <c r="BD30" i="3"/>
  <c r="BD31" i="6" s="1"/>
  <c r="CN30" i="3"/>
  <c r="CN31" i="6" s="1"/>
  <c r="E30" i="3"/>
  <c r="E31" i="6"/>
  <c r="DH30" i="3"/>
  <c r="DH31" i="6" s="1"/>
  <c r="BG30" i="3"/>
  <c r="BG31" i="6" s="1"/>
  <c r="C31" i="6"/>
  <c r="BN30" i="3"/>
  <c r="BN31" i="6" s="1"/>
  <c r="AK30" i="3"/>
  <c r="AK31" i="6"/>
  <c r="DN30" i="3"/>
  <c r="DN31" i="6"/>
  <c r="Y30" i="3"/>
  <c r="Y31" i="6"/>
  <c r="L30" i="3"/>
  <c r="L31" i="6" s="1"/>
  <c r="CL30" i="3"/>
  <c r="CL31" i="6"/>
  <c r="DI30" i="3"/>
  <c r="DI31" i="6"/>
  <c r="W30" i="3"/>
  <c r="W31" i="6"/>
  <c r="BH30" i="3"/>
  <c r="BH31" i="6" s="1"/>
  <c r="AP30" i="3"/>
  <c r="AP31" i="6"/>
  <c r="AI30" i="3"/>
  <c r="AI31" i="6"/>
  <c r="AA30" i="3"/>
  <c r="AA31" i="6"/>
  <c r="BL30" i="3"/>
  <c r="BL31" i="6" s="1"/>
  <c r="BV30" i="3"/>
  <c r="BV31" i="6"/>
  <c r="AL30" i="3"/>
  <c r="AL31" i="6"/>
  <c r="BS30" i="3"/>
  <c r="BS31" i="6"/>
  <c r="CB30" i="3"/>
  <c r="CB31" i="6" s="1"/>
  <c r="S30" i="3"/>
  <c r="S31" i="6"/>
  <c r="DD30" i="3"/>
  <c r="DD31" i="6"/>
  <c r="AS30" i="3"/>
  <c r="AS31" i="6"/>
  <c r="AM30" i="3"/>
  <c r="AM31" i="6" s="1"/>
  <c r="AD30" i="3"/>
  <c r="AD31" i="6"/>
  <c r="O30" i="3"/>
  <c r="O31" i="6"/>
  <c r="BQ30" i="3"/>
  <c r="BQ31" i="6"/>
  <c r="CH30" i="3"/>
  <c r="CH31" i="6" s="1"/>
  <c r="AH30" i="3"/>
  <c r="AH31" i="6"/>
  <c r="CI30" i="3"/>
  <c r="CI31" i="6"/>
  <c r="CM30" i="3"/>
  <c r="CM31" i="6"/>
  <c r="N30" i="3"/>
  <c r="N31" i="6" s="1"/>
  <c r="T30" i="3"/>
  <c r="T31" i="6"/>
  <c r="F30" i="3"/>
  <c r="F31" i="6"/>
  <c r="BF30" i="3"/>
  <c r="BF31" i="6"/>
  <c r="BW30" i="3"/>
  <c r="BW31" i="6" s="1"/>
  <c r="BC30" i="3"/>
  <c r="BC31" i="6"/>
  <c r="BK30" i="3"/>
  <c r="BK31" i="6"/>
  <c r="AZ30" i="3"/>
  <c r="AZ31" i="6"/>
  <c r="BP30" i="3"/>
  <c r="BP31" i="6" s="1"/>
  <c r="U30" i="3"/>
  <c r="U31" i="6"/>
  <c r="CP30" i="3"/>
  <c r="CP31" i="6"/>
  <c r="CZ30" i="3"/>
  <c r="CZ31" i="6"/>
  <c r="CQ30" i="3"/>
  <c r="CQ31" i="6" s="1"/>
  <c r="DC30" i="3"/>
  <c r="DC31" i="6"/>
  <c r="H30" i="3"/>
  <c r="H31" i="6"/>
  <c r="AQ30" i="3"/>
  <c r="AQ31" i="6"/>
  <c r="DF30" i="3"/>
  <c r="DF31" i="6" s="1"/>
  <c r="DK30" i="3"/>
  <c r="DK31" i="6"/>
  <c r="CX30" i="3"/>
  <c r="CX31" i="6"/>
  <c r="AU30" i="3"/>
  <c r="AU31" i="6"/>
  <c r="BO30" i="3"/>
  <c r="BO31" i="6" s="1"/>
  <c r="CK30" i="3"/>
  <c r="CK31" i="6"/>
  <c r="CS30" i="3"/>
  <c r="CS31" i="6"/>
  <c r="DP30" i="3"/>
  <c r="DP31" i="6"/>
  <c r="BY30" i="3"/>
  <c r="BY31" i="6" s="1"/>
  <c r="CA30" i="3"/>
  <c r="CA31" i="6"/>
  <c r="DL30" i="3"/>
  <c r="DL31" i="6"/>
  <c r="CM38" i="3"/>
  <c r="CM39" i="6"/>
  <c r="DA38" i="3"/>
  <c r="DA39" i="6" s="1"/>
  <c r="AZ38" i="3"/>
  <c r="AZ39" i="6"/>
  <c r="CJ38" i="3"/>
  <c r="CJ39" i="6"/>
  <c r="AG38" i="3"/>
  <c r="AG39" i="6"/>
  <c r="AE38" i="3"/>
  <c r="AE39" i="6" s="1"/>
  <c r="CS38" i="3"/>
  <c r="CS39" i="6"/>
  <c r="H38" i="3"/>
  <c r="H39" i="6"/>
  <c r="DM38" i="3"/>
  <c r="DM39" i="6"/>
  <c r="V38" i="3"/>
  <c r="V39" i="6" s="1"/>
  <c r="E38" i="3"/>
  <c r="E39" i="6"/>
  <c r="CH38" i="3"/>
  <c r="CH39" i="6"/>
  <c r="BO38" i="3"/>
  <c r="BO39" i="6"/>
  <c r="AN38" i="3"/>
  <c r="AN39" i="6" s="1"/>
  <c r="CV38" i="3"/>
  <c r="CV39" i="6"/>
  <c r="S38" i="3"/>
  <c r="S39" i="6"/>
  <c r="BE38" i="3"/>
  <c r="BE39" i="6"/>
  <c r="DE38" i="3"/>
  <c r="DE39" i="6" s="1"/>
  <c r="BF38" i="3"/>
  <c r="BF39" i="6"/>
  <c r="BB38" i="3"/>
  <c r="BB39" i="6"/>
  <c r="BR38" i="3"/>
  <c r="BR39" i="6"/>
  <c r="D38" i="3"/>
  <c r="D39" i="6" s="1"/>
  <c r="D3" i="6" s="1"/>
  <c r="CF38" i="3"/>
  <c r="CF39" i="6"/>
  <c r="L38" i="3"/>
  <c r="L39" i="6"/>
  <c r="AC38" i="3"/>
  <c r="AC39" i="6"/>
  <c r="DI38" i="3"/>
  <c r="DI39" i="6" s="1"/>
  <c r="CC38" i="3"/>
  <c r="CC39" i="6"/>
  <c r="DP38" i="3"/>
  <c r="DP39" i="6"/>
  <c r="CE38" i="3"/>
  <c r="CE39" i="6"/>
  <c r="CY38" i="3"/>
  <c r="CY39" i="6" s="1"/>
  <c r="AU38" i="3"/>
  <c r="AU39" i="6"/>
  <c r="DQ38" i="3"/>
  <c r="DQ39" i="6"/>
  <c r="CG38" i="3"/>
  <c r="CG39" i="6"/>
  <c r="DH38" i="3"/>
  <c r="DH39" i="6" s="1"/>
  <c r="Y38" i="3"/>
  <c r="Y39" i="6"/>
  <c r="BZ38" i="3"/>
  <c r="BZ39" i="6"/>
  <c r="G38" i="3"/>
  <c r="G39" i="6"/>
  <c r="BT38" i="3"/>
  <c r="BT39" i="6" s="1"/>
  <c r="AW38" i="3"/>
  <c r="AW39" i="6"/>
  <c r="CB38" i="3"/>
  <c r="CB39" i="6"/>
  <c r="DO38" i="3"/>
  <c r="DO39" i="6"/>
  <c r="BW38" i="3"/>
  <c r="BW39" i="6" s="1"/>
  <c r="F38" i="3"/>
  <c r="F39" i="6"/>
  <c r="R38" i="3"/>
  <c r="R39" i="6"/>
  <c r="X38" i="3"/>
  <c r="X39" i="6"/>
  <c r="AB38" i="3"/>
  <c r="AB39" i="6" s="1"/>
  <c r="BK38" i="3"/>
  <c r="BK39" i="6"/>
  <c r="AK38" i="3"/>
  <c r="AK39" i="6"/>
  <c r="BA38" i="3"/>
  <c r="BA39" i="6"/>
  <c r="I38" i="3"/>
  <c r="I39" i="6" s="1"/>
  <c r="P38" i="3"/>
  <c r="P39" i="6"/>
  <c r="BP38" i="3"/>
  <c r="BP39" i="6"/>
  <c r="CK38" i="3"/>
  <c r="CK39" i="6"/>
  <c r="BV38" i="3"/>
  <c r="BV39" i="6" s="1"/>
  <c r="AF38" i="3"/>
  <c r="AF39" i="6"/>
  <c r="BH38" i="3"/>
  <c r="BH39" i="6"/>
  <c r="CU38" i="3"/>
  <c r="CU39" i="6"/>
  <c r="DL38" i="3"/>
  <c r="DL39" i="6" s="1"/>
  <c r="AM38" i="3"/>
  <c r="AM39" i="6"/>
  <c r="AJ38" i="3"/>
  <c r="AJ39" i="6"/>
  <c r="O38" i="3"/>
  <c r="O39" i="6"/>
  <c r="AH38" i="3"/>
  <c r="AH39" i="6" s="1"/>
  <c r="BU38" i="3"/>
  <c r="BU39" i="6"/>
  <c r="AX38" i="3"/>
  <c r="AX39" i="6"/>
  <c r="AV38" i="3"/>
  <c r="AV39" i="6"/>
  <c r="BC38" i="3"/>
  <c r="BC39" i="6" s="1"/>
  <c r="BG38" i="3"/>
  <c r="BG39" i="6"/>
  <c r="CX38" i="3"/>
  <c r="CX39" i="6"/>
  <c r="AD38" i="3"/>
  <c r="AD39" i="6"/>
  <c r="AL38" i="3"/>
  <c r="AL39" i="6" s="1"/>
  <c r="BL38" i="3"/>
  <c r="BL39" i="6"/>
  <c r="CZ38" i="3"/>
  <c r="CZ39" i="6"/>
  <c r="DG38" i="3"/>
  <c r="DG39" i="6"/>
  <c r="DJ38" i="3"/>
  <c r="DJ39" i="6" s="1"/>
  <c r="BN38" i="3"/>
  <c r="BN39" i="6"/>
  <c r="CI38" i="3"/>
  <c r="CI39" i="6"/>
  <c r="AI38" i="3"/>
  <c r="AI39" i="6"/>
  <c r="AR38" i="3"/>
  <c r="AR39" i="6" s="1"/>
  <c r="AT38" i="3"/>
  <c r="AT39" i="6"/>
  <c r="CL38" i="3"/>
  <c r="CL39" i="6"/>
  <c r="BI38" i="3"/>
  <c r="BI39" i="6"/>
  <c r="CT38" i="3"/>
  <c r="CT39" i="6" s="1"/>
  <c r="BJ38" i="3"/>
  <c r="BJ39" i="6"/>
  <c r="CP38" i="3"/>
  <c r="CP39" i="6"/>
  <c r="AY38" i="3"/>
  <c r="AY39" i="6"/>
  <c r="J38" i="3"/>
  <c r="J39" i="6" s="1"/>
  <c r="CA38" i="3"/>
  <c r="CA39" i="6"/>
  <c r="M38" i="3"/>
  <c r="M39" i="6"/>
  <c r="BX38" i="3"/>
  <c r="BX39" i="6"/>
  <c r="CO38" i="3"/>
  <c r="CO39" i="6" s="1"/>
  <c r="CR38" i="3"/>
  <c r="CR39" i="6"/>
  <c r="BS38" i="3"/>
  <c r="BS39" i="6"/>
  <c r="CQ38" i="3"/>
  <c r="CQ39" i="6"/>
  <c r="BY38" i="3"/>
  <c r="BY39" i="6" s="1"/>
  <c r="CD38" i="3"/>
  <c r="CD39" i="6"/>
  <c r="AQ38" i="3"/>
  <c r="AQ39" i="6"/>
  <c r="AO38" i="3"/>
  <c r="AO39" i="6"/>
  <c r="CN38" i="3"/>
  <c r="CN39" i="6" s="1"/>
  <c r="C39" i="6"/>
  <c r="Q38" i="3"/>
  <c r="Q39" i="6" s="1"/>
  <c r="DK38" i="3"/>
  <c r="DK39" i="6" s="1"/>
  <c r="DC38" i="3"/>
  <c r="DC39" i="6" s="1"/>
  <c r="DN38" i="3"/>
  <c r="DN39" i="6"/>
  <c r="CW38" i="3"/>
  <c r="CW39" i="6" s="1"/>
  <c r="BQ38" i="3"/>
  <c r="BQ39" i="6" s="1"/>
  <c r="BD38" i="3"/>
  <c r="BD39" i="6" s="1"/>
  <c r="U38" i="3"/>
  <c r="U39" i="6"/>
  <c r="T38" i="3"/>
  <c r="T39" i="6" s="1"/>
  <c r="DB38" i="3"/>
  <c r="DB39" i="6" s="1"/>
  <c r="AS38" i="3"/>
  <c r="AS39" i="6" s="1"/>
  <c r="DD38" i="3"/>
  <c r="DD39" i="6"/>
  <c r="K38" i="3"/>
  <c r="K39" i="6" s="1"/>
  <c r="Z38" i="3"/>
  <c r="Z39" i="6" s="1"/>
  <c r="N38" i="3"/>
  <c r="N39" i="6" s="1"/>
  <c r="DF38" i="3"/>
  <c r="DF39" i="6"/>
  <c r="BL50" i="3"/>
  <c r="BL51" i="6" s="1"/>
  <c r="CO50" i="3"/>
  <c r="CO51" i="6" s="1"/>
  <c r="D50" i="3"/>
  <c r="D51" i="6" s="1"/>
  <c r="CP50" i="3"/>
  <c r="CP51" i="6"/>
  <c r="DC50" i="3"/>
  <c r="DC51" i="6" s="1"/>
  <c r="DC3" i="6" s="1"/>
  <c r="CZ50" i="3"/>
  <c r="CZ51" i="6" s="1"/>
  <c r="V50" i="3"/>
  <c r="V51" i="6" s="1"/>
  <c r="BJ50" i="3"/>
  <c r="BJ51" i="6"/>
  <c r="AP50" i="3"/>
  <c r="AP51" i="6" s="1"/>
  <c r="BV50" i="3"/>
  <c r="BV51" i="6" s="1"/>
  <c r="AL50" i="3"/>
  <c r="AL51" i="6" s="1"/>
  <c r="CS50" i="3"/>
  <c r="CS51" i="6"/>
  <c r="CN50" i="3"/>
  <c r="CN51" i="6" s="1"/>
  <c r="BX50" i="3"/>
  <c r="BX51" i="6" s="1"/>
  <c r="AQ50" i="3"/>
  <c r="AQ51" i="6" s="1"/>
  <c r="BT50" i="3"/>
  <c r="BT51" i="6"/>
  <c r="CY50" i="3"/>
  <c r="CY51" i="6" s="1"/>
  <c r="DE50" i="3"/>
  <c r="DE51" i="6" s="1"/>
  <c r="AD50" i="3"/>
  <c r="AD51" i="6" s="1"/>
  <c r="DD50" i="3"/>
  <c r="DD51" i="6"/>
  <c r="F50" i="3"/>
  <c r="F51" i="6" s="1"/>
  <c r="P50" i="3"/>
  <c r="P51" i="6" s="1"/>
  <c r="Z50" i="3"/>
  <c r="Z51" i="6" s="1"/>
  <c r="DO50" i="3"/>
  <c r="DO51" i="6"/>
  <c r="BR50" i="3"/>
  <c r="BR51" i="6" s="1"/>
  <c r="W50" i="3"/>
  <c r="W51" i="6" s="1"/>
  <c r="R50" i="3"/>
  <c r="R51" i="6" s="1"/>
  <c r="AY50" i="3"/>
  <c r="AY51" i="6"/>
  <c r="T50" i="3"/>
  <c r="T51" i="6" s="1"/>
  <c r="CD50" i="3"/>
  <c r="CD51" i="6" s="1"/>
  <c r="C51" i="6"/>
  <c r="AI50" i="3"/>
  <c r="AI51" i="6" s="1"/>
  <c r="DI50" i="3"/>
  <c r="DI51" i="6"/>
  <c r="CR50" i="3"/>
  <c r="CR51" i="6"/>
  <c r="AZ50" i="3"/>
  <c r="AZ51" i="6"/>
  <c r="Y50" i="3"/>
  <c r="Y51" i="6" s="1"/>
  <c r="CM50" i="3"/>
  <c r="CM51" i="6"/>
  <c r="DJ50" i="3"/>
  <c r="DJ51" i="6"/>
  <c r="AX50" i="3"/>
  <c r="AX51" i="6"/>
  <c r="CK50" i="3"/>
  <c r="CK51" i="6" s="1"/>
  <c r="H50" i="3"/>
  <c r="H51" i="6"/>
  <c r="BZ50" i="3"/>
  <c r="BZ51" i="6"/>
  <c r="BH50" i="3"/>
  <c r="BH51" i="6"/>
  <c r="AJ50" i="3"/>
  <c r="AJ51" i="6" s="1"/>
  <c r="CB50" i="3"/>
  <c r="CB51" i="6"/>
  <c r="DP50" i="3"/>
  <c r="DP51" i="6"/>
  <c r="AK50" i="3"/>
  <c r="AK51" i="6"/>
  <c r="BY50" i="3"/>
  <c r="BY51" i="6" s="1"/>
  <c r="CF50" i="3"/>
  <c r="CF51" i="6"/>
  <c r="DL50" i="3"/>
  <c r="DL51" i="6"/>
  <c r="DM50" i="3"/>
  <c r="DM51" i="6"/>
  <c r="BA50" i="3"/>
  <c r="BA51" i="6" s="1"/>
  <c r="AH50" i="3"/>
  <c r="AH51" i="6"/>
  <c r="G50" i="3"/>
  <c r="G51" i="6"/>
  <c r="BM50" i="3"/>
  <c r="BM51" i="6"/>
  <c r="S50" i="3"/>
  <c r="S51" i="6" s="1"/>
  <c r="BQ50" i="3"/>
  <c r="BQ51" i="6"/>
  <c r="BG50" i="3"/>
  <c r="BG51" i="6"/>
  <c r="BU50" i="3"/>
  <c r="BU51" i="6"/>
  <c r="AB50" i="3"/>
  <c r="AB51" i="6" s="1"/>
  <c r="DH50" i="3"/>
  <c r="DH51" i="6"/>
  <c r="AT50" i="3"/>
  <c r="AT51" i="6"/>
  <c r="AN50" i="3"/>
  <c r="AN51" i="6"/>
  <c r="BF50" i="3"/>
  <c r="BF51" i="6" s="1"/>
  <c r="AW50" i="3"/>
  <c r="AW51" i="6"/>
  <c r="CG50" i="3"/>
  <c r="CG51" i="6"/>
  <c r="BP50" i="3"/>
  <c r="BP51" i="6"/>
  <c r="CC50" i="3"/>
  <c r="CC51" i="6" s="1"/>
  <c r="X50" i="3"/>
  <c r="X51" i="6"/>
  <c r="AA50" i="3"/>
  <c r="AA51" i="6"/>
  <c r="K50" i="3"/>
  <c r="K51" i="6"/>
  <c r="BD50" i="3"/>
  <c r="BD51" i="6" s="1"/>
  <c r="DG50" i="3"/>
  <c r="DG51" i="6"/>
  <c r="CQ50" i="3"/>
  <c r="CQ51" i="6"/>
  <c r="AU50" i="3"/>
  <c r="AU51" i="6"/>
  <c r="BI50" i="3"/>
  <c r="BI51" i="6" s="1"/>
  <c r="DF50" i="3"/>
  <c r="DF51" i="6"/>
  <c r="AE50" i="3"/>
  <c r="AE51" i="6"/>
  <c r="AG50" i="3"/>
  <c r="AG51" i="6"/>
  <c r="N50" i="3"/>
  <c r="N51" i="6" s="1"/>
  <c r="AS50" i="3"/>
  <c r="AS51" i="6"/>
  <c r="U50" i="3"/>
  <c r="U51" i="6"/>
  <c r="AC50" i="3"/>
  <c r="AC51" i="6"/>
  <c r="CL50" i="3"/>
  <c r="CL51" i="6" s="1"/>
  <c r="AV50" i="3"/>
  <c r="AV51" i="6"/>
  <c r="AF50" i="3"/>
  <c r="AF51" i="6"/>
  <c r="CE50" i="3"/>
  <c r="CE51" i="6"/>
  <c r="CV50" i="3"/>
  <c r="CV51" i="6" s="1"/>
  <c r="DN50" i="3"/>
  <c r="DN51" i="6"/>
  <c r="CI50" i="3"/>
  <c r="CI51" i="6"/>
  <c r="BO50" i="3"/>
  <c r="BO51" i="6"/>
  <c r="DA50" i="3"/>
  <c r="DA51" i="6" s="1"/>
  <c r="BN50" i="3"/>
  <c r="BN51" i="6"/>
  <c r="J50" i="3"/>
  <c r="J51" i="6"/>
  <c r="O50" i="3"/>
  <c r="O51" i="6"/>
  <c r="CX50" i="3"/>
  <c r="CX51" i="6" s="1"/>
  <c r="BE50" i="3"/>
  <c r="BE51" i="6"/>
  <c r="AR50" i="3"/>
  <c r="AR51" i="6"/>
  <c r="L50" i="3"/>
  <c r="L51" i="6"/>
  <c r="BB50" i="3"/>
  <c r="BB51" i="6" s="1"/>
  <c r="Q50" i="3"/>
  <c r="Q51" i="6"/>
  <c r="CU50" i="3"/>
  <c r="CU51" i="6"/>
  <c r="CT50" i="3"/>
  <c r="CT51" i="6"/>
  <c r="CW50" i="3"/>
  <c r="CW51" i="6" s="1"/>
  <c r="CJ50" i="3"/>
  <c r="CJ51" i="6"/>
  <c r="BC50" i="3"/>
  <c r="BC51" i="6"/>
  <c r="CA50" i="3"/>
  <c r="CA51" i="6"/>
  <c r="DQ50" i="3"/>
  <c r="DQ51" i="6" s="1"/>
  <c r="I50" i="3"/>
  <c r="I51" i="6"/>
  <c r="AM50" i="3"/>
  <c r="AM51" i="6"/>
  <c r="E50" i="3"/>
  <c r="E51" i="6"/>
  <c r="CH50" i="3"/>
  <c r="CH51" i="6" s="1"/>
  <c r="DB50" i="3"/>
  <c r="DB51" i="6"/>
  <c r="BD54" i="3"/>
  <c r="BD55" i="6"/>
  <c r="BS54" i="3"/>
  <c r="BS55" i="6"/>
  <c r="CW54" i="3"/>
  <c r="CW55" i="6" s="1"/>
  <c r="DI54" i="3"/>
  <c r="DI55" i="6"/>
  <c r="AG54" i="3"/>
  <c r="AG55" i="6"/>
  <c r="CF54" i="3"/>
  <c r="CF55" i="6"/>
  <c r="CB54" i="3"/>
  <c r="CB55" i="6" s="1"/>
  <c r="DC54" i="3"/>
  <c r="DC55" i="6"/>
  <c r="DK54" i="3"/>
  <c r="DK55" i="6"/>
  <c r="Q54" i="3"/>
  <c r="Q55" i="6"/>
  <c r="DL54" i="3"/>
  <c r="DL55" i="6" s="1"/>
  <c r="M54" i="3"/>
  <c r="M55" i="6"/>
  <c r="AV54" i="3"/>
  <c r="AV55" i="6"/>
  <c r="AN54" i="3"/>
  <c r="AN55" i="6"/>
  <c r="V54" i="3"/>
  <c r="V55" i="6" s="1"/>
  <c r="AD54" i="3"/>
  <c r="AD55" i="6"/>
  <c r="BR54" i="3"/>
  <c r="BR55" i="6"/>
  <c r="S54" i="3"/>
  <c r="S55" i="6"/>
  <c r="I54" i="3"/>
  <c r="I55" i="6" s="1"/>
  <c r="CX54" i="3"/>
  <c r="CX55" i="6"/>
  <c r="BN54" i="3"/>
  <c r="BN55" i="6"/>
  <c r="L54" i="3"/>
  <c r="L55" i="6"/>
  <c r="CE54" i="3"/>
  <c r="CE55" i="6" s="1"/>
  <c r="CV54" i="3"/>
  <c r="CV55" i="6"/>
  <c r="AY54" i="3"/>
  <c r="AY55" i="6"/>
  <c r="Y54" i="3"/>
  <c r="Y55" i="6"/>
  <c r="CU54" i="3"/>
  <c r="CU55" i="6" s="1"/>
  <c r="G54" i="3"/>
  <c r="G55" i="6"/>
  <c r="BG54" i="3"/>
  <c r="BG55" i="6"/>
  <c r="CL54" i="3"/>
  <c r="CL55" i="6"/>
  <c r="CP54" i="3"/>
  <c r="CP55" i="6" s="1"/>
  <c r="CA54" i="3"/>
  <c r="CA55" i="6"/>
  <c r="AC54" i="3"/>
  <c r="AC55" i="6"/>
  <c r="U54" i="3"/>
  <c r="U55" i="6"/>
  <c r="BT54" i="3"/>
  <c r="BT55" i="6" s="1"/>
  <c r="BW54" i="3"/>
  <c r="BW55" i="6"/>
  <c r="N54" i="3"/>
  <c r="N55" i="6"/>
  <c r="BC54" i="3"/>
  <c r="BC55" i="6"/>
  <c r="J54" i="3"/>
  <c r="J55" i="6" s="1"/>
  <c r="BX54" i="3"/>
  <c r="BX55" i="6"/>
  <c r="P54" i="3"/>
  <c r="P55" i="6"/>
  <c r="AZ54" i="3"/>
  <c r="AZ55" i="6"/>
  <c r="AT54" i="3"/>
  <c r="AT55" i="6" s="1"/>
  <c r="BB54" i="3"/>
  <c r="BB55" i="6"/>
  <c r="DO54" i="3"/>
  <c r="DO55" i="6"/>
  <c r="Z54" i="3"/>
  <c r="Z55" i="6"/>
  <c r="BE54" i="3"/>
  <c r="BE55" i="6" s="1"/>
  <c r="DE54" i="3"/>
  <c r="DE55" i="6"/>
  <c r="DN54" i="3"/>
  <c r="DN55" i="6"/>
  <c r="BF54" i="3"/>
  <c r="BF55" i="6"/>
  <c r="DP54" i="3"/>
  <c r="DP55" i="6" s="1"/>
  <c r="DQ54" i="3"/>
  <c r="DQ55" i="6"/>
  <c r="DG54" i="3"/>
  <c r="DG55" i="6"/>
  <c r="CS54" i="3"/>
  <c r="CS55" i="6"/>
  <c r="DH54" i="3"/>
  <c r="DH55" i="6" s="1"/>
  <c r="CT54" i="3"/>
  <c r="CT55" i="6"/>
  <c r="AF54" i="3"/>
  <c r="AF55" i="6"/>
  <c r="AS54" i="3"/>
  <c r="AS55" i="6"/>
  <c r="BZ54" i="3"/>
  <c r="BZ55" i="6" s="1"/>
  <c r="CI54" i="3"/>
  <c r="CI55" i="6"/>
  <c r="CZ54" i="3"/>
  <c r="CZ55" i="6"/>
  <c r="BI54" i="3"/>
  <c r="BI55" i="6"/>
  <c r="BV54" i="3"/>
  <c r="BV55" i="6" s="1"/>
  <c r="AJ54" i="3"/>
  <c r="AJ55" i="6"/>
  <c r="O54" i="3"/>
  <c r="O55" i="6"/>
  <c r="DF54" i="3"/>
  <c r="DF55" i="6"/>
  <c r="K54" i="3"/>
  <c r="K55" i="6" s="1"/>
  <c r="AA54" i="3"/>
  <c r="AA55" i="6"/>
  <c r="AU54" i="3"/>
  <c r="AU55" i="6"/>
  <c r="DJ54" i="3"/>
  <c r="DJ55" i="6"/>
  <c r="CN54" i="3"/>
  <c r="CN55" i="6" s="1"/>
  <c r="AP54" i="3"/>
  <c r="AP55" i="6"/>
  <c r="H54" i="3"/>
  <c r="H55" i="6"/>
  <c r="AX54" i="3"/>
  <c r="AX55" i="6"/>
  <c r="BL54" i="3"/>
  <c r="BL55" i="6" s="1"/>
  <c r="AK54" i="3"/>
  <c r="AK55" i="6"/>
  <c r="R54" i="3"/>
  <c r="R55" i="6"/>
  <c r="CK54" i="3"/>
  <c r="CK55" i="6"/>
  <c r="CC54" i="3"/>
  <c r="CC55" i="6" s="1"/>
  <c r="CD54" i="3"/>
  <c r="CD55" i="6"/>
  <c r="CO54" i="3"/>
  <c r="CO55" i="6"/>
  <c r="BJ54" i="3"/>
  <c r="BJ55" i="6"/>
  <c r="BM54" i="3"/>
  <c r="BM55" i="6" s="1"/>
  <c r="BK54" i="3"/>
  <c r="BK55" i="6"/>
  <c r="F54" i="3"/>
  <c r="F55" i="6"/>
  <c r="DB54" i="3"/>
  <c r="DB55" i="6"/>
  <c r="CY54" i="3"/>
  <c r="CY55" i="6" s="1"/>
  <c r="AR54" i="3"/>
  <c r="AR55" i="6"/>
  <c r="DM54" i="3"/>
  <c r="DM55" i="6"/>
  <c r="C55" i="6"/>
  <c r="DB62" i="3"/>
  <c r="DB63" i="6" s="1"/>
  <c r="DL62" i="3"/>
  <c r="DL63" i="6"/>
  <c r="CG62" i="3"/>
  <c r="CG63" i="6" s="1"/>
  <c r="P62" i="3"/>
  <c r="P63" i="6" s="1"/>
  <c r="DI62" i="3"/>
  <c r="DI63" i="6" s="1"/>
  <c r="O62" i="3"/>
  <c r="O63" i="6"/>
  <c r="AS62" i="3"/>
  <c r="AS63" i="6" s="1"/>
  <c r="BE62" i="3"/>
  <c r="BE63" i="6" s="1"/>
  <c r="BN62" i="3"/>
  <c r="BN63" i="6" s="1"/>
  <c r="W62" i="3"/>
  <c r="W63" i="6"/>
  <c r="X62" i="3"/>
  <c r="X63" i="6" s="1"/>
  <c r="CD66" i="3"/>
  <c r="CD67" i="6" s="1"/>
  <c r="BX66" i="3"/>
  <c r="BX67" i="6" s="1"/>
  <c r="CS70" i="3"/>
  <c r="CS71" i="6"/>
  <c r="DM70" i="3"/>
  <c r="DM71" i="6" s="1"/>
  <c r="CY70" i="3"/>
  <c r="CY71" i="6" s="1"/>
  <c r="BI70" i="3"/>
  <c r="BI71" i="6" s="1"/>
  <c r="CJ70" i="3"/>
  <c r="CJ71" i="6"/>
  <c r="DD70" i="3"/>
  <c r="DD71" i="6" s="1"/>
  <c r="CM70" i="3"/>
  <c r="CM71" i="6" s="1"/>
  <c r="AY70" i="3"/>
  <c r="AY71" i="6" s="1"/>
  <c r="DI70" i="3"/>
  <c r="DI71" i="6"/>
  <c r="AX70" i="3"/>
  <c r="AX71" i="6" s="1"/>
  <c r="AT70" i="3"/>
  <c r="AT71" i="6" s="1"/>
  <c r="O70" i="3"/>
  <c r="O71" i="6" s="1"/>
  <c r="BP70" i="3"/>
  <c r="BP71" i="6"/>
  <c r="AF70" i="3"/>
  <c r="AF71" i="6" s="1"/>
  <c r="F70" i="3"/>
  <c r="F71" i="6" s="1"/>
  <c r="DO70" i="3"/>
  <c r="DO71" i="6" s="1"/>
  <c r="DB70" i="3"/>
  <c r="DB71" i="6"/>
  <c r="BO70" i="3"/>
  <c r="BO71" i="6" s="1"/>
  <c r="P70" i="3"/>
  <c r="P71" i="6" s="1"/>
  <c r="AH70" i="3"/>
  <c r="AH71" i="6" s="1"/>
  <c r="CF70" i="3"/>
  <c r="CF71" i="6"/>
  <c r="DL70" i="3"/>
  <c r="DL71" i="6" s="1"/>
  <c r="CB70" i="3"/>
  <c r="CB71" i="6" s="1"/>
  <c r="CI70" i="3"/>
  <c r="CI71" i="6" s="1"/>
  <c r="DA70" i="3"/>
  <c r="DA71" i="6"/>
  <c r="CP70" i="3"/>
  <c r="CP71" i="6" s="1"/>
  <c r="CA70" i="3"/>
  <c r="CA71" i="6" s="1"/>
  <c r="J70" i="3"/>
  <c r="J71" i="6" s="1"/>
  <c r="C71" i="6"/>
  <c r="DH70" i="3"/>
  <c r="DH71" i="6" s="1"/>
  <c r="R70" i="3"/>
  <c r="R71" i="6"/>
  <c r="BU70" i="3"/>
  <c r="BU71" i="6"/>
  <c r="AZ70" i="3"/>
  <c r="AZ71" i="6" s="1"/>
  <c r="AN70" i="3"/>
  <c r="AN71" i="6" s="1"/>
  <c r="DG70" i="3"/>
  <c r="DG71" i="6"/>
  <c r="BY70" i="3"/>
  <c r="BY71" i="6"/>
  <c r="AQ70" i="3"/>
  <c r="AQ71" i="6" s="1"/>
  <c r="K70" i="3"/>
  <c r="K71" i="6" s="1"/>
  <c r="N70" i="3"/>
  <c r="N71" i="6"/>
  <c r="D70" i="3"/>
  <c r="D71" i="6"/>
  <c r="BH70" i="3"/>
  <c r="BH71" i="6" s="1"/>
  <c r="AV70" i="3"/>
  <c r="AV71" i="6" s="1"/>
  <c r="Y70" i="3"/>
  <c r="Y71" i="6"/>
  <c r="E70" i="3"/>
  <c r="E71" i="6"/>
  <c r="DJ70" i="3"/>
  <c r="DJ71" i="6" s="1"/>
  <c r="AS70" i="3"/>
  <c r="AS71" i="6" s="1"/>
  <c r="DC70" i="3"/>
  <c r="DC71" i="6"/>
  <c r="BT70" i="3"/>
  <c r="BT71" i="6"/>
  <c r="CC70" i="3"/>
  <c r="CC71" i="6" s="1"/>
  <c r="BQ70" i="3"/>
  <c r="BQ71" i="6" s="1"/>
  <c r="CD70" i="3"/>
  <c r="CD71" i="6"/>
  <c r="AJ70" i="3"/>
  <c r="AJ71" i="6"/>
  <c r="CO70" i="3"/>
  <c r="CO71" i="6" s="1"/>
  <c r="AP70" i="3"/>
  <c r="AP71" i="6" s="1"/>
  <c r="W70" i="3"/>
  <c r="W71" i="6"/>
  <c r="AK70" i="3"/>
  <c r="AK71" i="6"/>
  <c r="CV70" i="3"/>
  <c r="CV71" i="6" s="1"/>
  <c r="CT70" i="3"/>
  <c r="CT71" i="6" s="1"/>
  <c r="AI70" i="3"/>
  <c r="AI71" i="6"/>
  <c r="AU70" i="3"/>
  <c r="AU71" i="6"/>
  <c r="BE70" i="3"/>
  <c r="BE71" i="6" s="1"/>
  <c r="I70" i="3"/>
  <c r="I71" i="6" s="1"/>
  <c r="AL70" i="3"/>
  <c r="AL71" i="6"/>
  <c r="CL70" i="3"/>
  <c r="CL71" i="6"/>
  <c r="H70" i="3"/>
  <c r="H71" i="6" s="1"/>
  <c r="BF70" i="3"/>
  <c r="BF71" i="6" s="1"/>
  <c r="CK70" i="3"/>
  <c r="CK71" i="6"/>
  <c r="AC70" i="3"/>
  <c r="AC71" i="6"/>
  <c r="CR70" i="3"/>
  <c r="CR71" i="6" s="1"/>
  <c r="AB70" i="3"/>
  <c r="AB71" i="6" s="1"/>
  <c r="BG70" i="3"/>
  <c r="BG71" i="6"/>
  <c r="AW70" i="3"/>
  <c r="AW71" i="6"/>
  <c r="Q70" i="3"/>
  <c r="Q71" i="6" s="1"/>
  <c r="CX70" i="3"/>
  <c r="CX71" i="6" s="1"/>
  <c r="S70" i="3"/>
  <c r="S71" i="6"/>
  <c r="Z70" i="3"/>
  <c r="Z71" i="6"/>
  <c r="BV70" i="3"/>
  <c r="BV71" i="6" s="1"/>
  <c r="AO70" i="3"/>
  <c r="AO71" i="6" s="1"/>
  <c r="DF70" i="3"/>
  <c r="DF71" i="6"/>
  <c r="BW70" i="3"/>
  <c r="BW71" i="6"/>
  <c r="CU70" i="3"/>
  <c r="CU71" i="6" s="1"/>
  <c r="BR70" i="3"/>
  <c r="BR71" i="6" s="1"/>
  <c r="DE70" i="3"/>
  <c r="DE71" i="6"/>
  <c r="DQ70" i="3"/>
  <c r="DQ71" i="6"/>
  <c r="M70" i="3"/>
  <c r="M71" i="6" s="1"/>
  <c r="BL70" i="3"/>
  <c r="BL71" i="6" s="1"/>
  <c r="CZ70" i="3"/>
  <c r="CZ71" i="6"/>
  <c r="BZ70" i="3"/>
  <c r="BZ71" i="6"/>
  <c r="BC70" i="3"/>
  <c r="BC71" i="6" s="1"/>
  <c r="DN70" i="3"/>
  <c r="DN71" i="6" s="1"/>
  <c r="AG109" i="3"/>
  <c r="AG110" i="6"/>
  <c r="CP109" i="3"/>
  <c r="CP110" i="6"/>
  <c r="AX109" i="3"/>
  <c r="AX110" i="6" s="1"/>
  <c r="O109" i="3"/>
  <c r="O110" i="6" s="1"/>
  <c r="BD129" i="3"/>
  <c r="BD130" i="6"/>
  <c r="BG129" i="3"/>
  <c r="BG130" i="6"/>
  <c r="CV129" i="3"/>
  <c r="CV130" i="6" s="1"/>
  <c r="BA129" i="3"/>
  <c r="BA130" i="6" s="1"/>
  <c r="BK129" i="3"/>
  <c r="BK130" i="6"/>
  <c r="CY129" i="3"/>
  <c r="CY130" i="6"/>
  <c r="AN129" i="3"/>
  <c r="AN130" i="6" s="1"/>
  <c r="L129" i="3"/>
  <c r="L130" i="6" s="1"/>
  <c r="BZ129" i="3"/>
  <c r="BZ130" i="6"/>
  <c r="BI129" i="3"/>
  <c r="BI130" i="6"/>
  <c r="U129" i="3"/>
  <c r="U130" i="6" s="1"/>
  <c r="DK129" i="3"/>
  <c r="DK130" i="6" s="1"/>
  <c r="CZ129" i="3"/>
  <c r="CZ130" i="6"/>
  <c r="F129" i="3"/>
  <c r="F130" i="6"/>
  <c r="CK133" i="3"/>
  <c r="CK134" i="6" s="1"/>
  <c r="Z133" i="3"/>
  <c r="Z134" i="6" s="1"/>
  <c r="AJ133" i="3"/>
  <c r="AJ134" i="6"/>
  <c r="CG133" i="3"/>
  <c r="CG134" i="6"/>
  <c r="BV133" i="3"/>
  <c r="BV134" i="6" s="1"/>
  <c r="AF133" i="3"/>
  <c r="AF134" i="6" s="1"/>
  <c r="DA133" i="3"/>
  <c r="DA134" i="6"/>
  <c r="AS133" i="3"/>
  <c r="AS134" i="6"/>
  <c r="CW133" i="3"/>
  <c r="CW134" i="6" s="1"/>
  <c r="BO133" i="3"/>
  <c r="BO134" i="6" s="1"/>
  <c r="CJ133" i="3"/>
  <c r="CJ134" i="6"/>
  <c r="CI133" i="3"/>
  <c r="CI134" i="6"/>
  <c r="R133" i="3"/>
  <c r="R134" i="6" s="1"/>
  <c r="BU93" i="3"/>
  <c r="BU94" i="6" s="1"/>
  <c r="W54" i="3"/>
  <c r="W55" i="6"/>
  <c r="CM54" i="3"/>
  <c r="CM55" i="6"/>
  <c r="CJ54" i="3"/>
  <c r="CJ55" i="6" s="1"/>
  <c r="M81" i="3"/>
  <c r="M82" i="6" s="1"/>
  <c r="G81" i="3"/>
  <c r="G82" i="6"/>
  <c r="DP77" i="3"/>
  <c r="DP78" i="6"/>
  <c r="N77" i="3"/>
  <c r="N78" i="6" s="1"/>
  <c r="BE46" i="3"/>
  <c r="BE47" i="6"/>
  <c r="N97" i="3"/>
  <c r="N98" i="6"/>
  <c r="AC97" i="3"/>
  <c r="AC98" i="6"/>
  <c r="AB113" i="3"/>
  <c r="AB114" i="6" s="1"/>
  <c r="BE133" i="3"/>
  <c r="BE134" i="6" s="1"/>
  <c r="AW121" i="3"/>
  <c r="AW122" i="6"/>
  <c r="DK89" i="3"/>
  <c r="DK90" i="6"/>
  <c r="BA54" i="3"/>
  <c r="BA55" i="6" s="1"/>
  <c r="BC93" i="3"/>
  <c r="BC94" i="6"/>
  <c r="AE54" i="3"/>
  <c r="AE55" i="6"/>
  <c r="E54" i="3"/>
  <c r="E55" i="6"/>
  <c r="CR54" i="3"/>
  <c r="CR55" i="6" s="1"/>
  <c r="BY54" i="3"/>
  <c r="BY55" i="6"/>
  <c r="AO54" i="3"/>
  <c r="AO55" i="6"/>
  <c r="BU54" i="3"/>
  <c r="BU55" i="6"/>
  <c r="CG54" i="3"/>
  <c r="CG55" i="6" s="1"/>
  <c r="BK81" i="3"/>
  <c r="BK82" i="6" s="1"/>
  <c r="BN81" i="3"/>
  <c r="BN82" i="6"/>
  <c r="DM81" i="3"/>
  <c r="DM82" i="6"/>
  <c r="CA81" i="3"/>
  <c r="CA82" i="6" s="1"/>
  <c r="CE81" i="3"/>
  <c r="CE82" i="6"/>
  <c r="DM77" i="3"/>
  <c r="DM78" i="6"/>
  <c r="BK77" i="3"/>
  <c r="BK78" i="6"/>
  <c r="BQ77" i="3"/>
  <c r="BQ78" i="6" s="1"/>
  <c r="E77" i="3"/>
  <c r="E78" i="6" s="1"/>
  <c r="DM46" i="3"/>
  <c r="DM47" i="6"/>
  <c r="CZ46" i="3"/>
  <c r="CZ47" i="6"/>
  <c r="AA46" i="3"/>
  <c r="AA47" i="6" s="1"/>
  <c r="C130" i="6"/>
  <c r="DA97" i="3"/>
  <c r="DA98" i="6" s="1"/>
  <c r="CE97" i="3"/>
  <c r="CE98" i="6" s="1"/>
  <c r="BW50" i="3"/>
  <c r="BW51" i="6" s="1"/>
  <c r="X113" i="3"/>
  <c r="X114" i="6"/>
  <c r="AM101" i="3"/>
  <c r="AM102" i="6" s="1"/>
  <c r="AA38" i="3"/>
  <c r="AA39" i="6" s="1"/>
  <c r="CE70" i="3"/>
  <c r="CE71" i="6" s="1"/>
  <c r="BW26" i="3"/>
  <c r="BW27" i="6"/>
  <c r="AG26" i="3"/>
  <c r="AG27" i="6" s="1"/>
  <c r="H26" i="3"/>
  <c r="H27" i="6" s="1"/>
  <c r="DO26" i="3"/>
  <c r="DO27" i="6" s="1"/>
  <c r="BU26" i="3"/>
  <c r="BU27" i="6"/>
  <c r="CO26" i="3"/>
  <c r="CO27" i="6" s="1"/>
  <c r="AM26" i="3"/>
  <c r="AM27" i="6" s="1"/>
  <c r="CQ26" i="3"/>
  <c r="CQ27" i="6" s="1"/>
  <c r="AY26" i="3"/>
  <c r="AY27" i="6"/>
  <c r="DA26" i="3"/>
  <c r="DA27" i="6" s="1"/>
  <c r="E26" i="3"/>
  <c r="E27" i="6" s="1"/>
  <c r="BS26" i="3"/>
  <c r="BS27" i="6" s="1"/>
  <c r="L26" i="3"/>
  <c r="L27" i="6"/>
  <c r="DK26" i="3"/>
  <c r="DK27" i="6" s="1"/>
  <c r="CL26" i="3"/>
  <c r="CL27" i="6" s="1"/>
  <c r="DJ26" i="3"/>
  <c r="DJ27" i="6" s="1"/>
  <c r="G26" i="3"/>
  <c r="G27" i="6"/>
  <c r="DC26" i="3"/>
  <c r="DC27" i="6" s="1"/>
  <c r="P26" i="3"/>
  <c r="P27" i="6" s="1"/>
  <c r="BV26" i="3"/>
  <c r="BV27" i="6" s="1"/>
  <c r="AE26" i="3"/>
  <c r="AE27" i="6"/>
  <c r="BY26" i="3"/>
  <c r="BY27" i="6" s="1"/>
  <c r="BT26" i="3"/>
  <c r="BT27" i="6" s="1"/>
  <c r="O26" i="3"/>
  <c r="O27" i="6" s="1"/>
  <c r="AT26" i="3"/>
  <c r="AT27" i="6"/>
  <c r="BL26" i="3"/>
  <c r="BL27" i="6" s="1"/>
  <c r="D26" i="3"/>
  <c r="D27" i="6" s="1"/>
  <c r="CJ26" i="3"/>
  <c r="CJ27" i="6" s="1"/>
  <c r="DQ26" i="3"/>
  <c r="DQ27" i="6"/>
  <c r="CR26" i="3"/>
  <c r="CR27" i="6" s="1"/>
  <c r="DG26" i="3"/>
  <c r="DG27" i="6" s="1"/>
  <c r="BB26" i="3"/>
  <c r="BB27" i="6" s="1"/>
  <c r="CT26" i="3"/>
  <c r="CT27" i="6"/>
  <c r="BF26" i="3"/>
  <c r="BF27" i="6" s="1"/>
  <c r="DH26" i="3"/>
  <c r="DH27" i="6" s="1"/>
  <c r="AR26" i="3"/>
  <c r="AR27" i="6" s="1"/>
  <c r="AH26" i="3"/>
  <c r="AH27" i="6"/>
  <c r="AL26" i="3"/>
  <c r="AL27" i="6" s="1"/>
  <c r="I26" i="3"/>
  <c r="I27" i="6" s="1"/>
  <c r="AV26" i="3"/>
  <c r="AV27" i="6" s="1"/>
  <c r="AU26" i="3"/>
  <c r="AU27" i="6"/>
  <c r="DP26" i="3"/>
  <c r="DP27" i="6" s="1"/>
  <c r="U26" i="3"/>
  <c r="U27" i="6" s="1"/>
  <c r="BJ26" i="3"/>
  <c r="BJ27" i="6" s="1"/>
  <c r="CF26" i="3"/>
  <c r="CF27" i="6"/>
  <c r="V26" i="3"/>
  <c r="V27" i="6" s="1"/>
  <c r="Q26" i="3"/>
  <c r="Q27" i="6" s="1"/>
  <c r="BE26" i="3"/>
  <c r="BE27" i="6" s="1"/>
  <c r="BK26" i="3"/>
  <c r="BK27" i="6"/>
  <c r="DD26" i="3"/>
  <c r="DD27" i="6" s="1"/>
  <c r="CD26" i="3"/>
  <c r="CD27" i="6" s="1"/>
  <c r="AI26" i="3"/>
  <c r="AI27" i="6" s="1"/>
  <c r="Y26" i="3"/>
  <c r="Y27" i="6"/>
  <c r="CM26" i="3"/>
  <c r="CM27" i="6" s="1"/>
  <c r="BI26" i="3"/>
  <c r="BI27" i="6" s="1"/>
  <c r="F26" i="3"/>
  <c r="F27" i="6" s="1"/>
  <c r="BH26" i="3"/>
  <c r="BH27" i="6"/>
  <c r="AQ26" i="3"/>
  <c r="AQ27" i="6"/>
  <c r="CA26" i="3"/>
  <c r="CA27" i="6" s="1"/>
  <c r="BQ26" i="3"/>
  <c r="BQ27" i="6"/>
  <c r="BR26" i="3"/>
  <c r="BR27" i="6" s="1"/>
  <c r="CN26" i="3"/>
  <c r="CN27" i="6" s="1"/>
  <c r="CG26" i="3"/>
  <c r="CG27" i="6"/>
  <c r="CU26" i="3"/>
  <c r="CU27" i="6"/>
  <c r="CH26" i="3"/>
  <c r="CH27" i="6" s="1"/>
  <c r="BP26" i="3"/>
  <c r="BP27" i="6" s="1"/>
  <c r="W26" i="3"/>
  <c r="W27" i="6"/>
  <c r="CB26" i="3"/>
  <c r="CB27" i="6"/>
  <c r="BN26" i="3"/>
  <c r="BN27" i="6" s="1"/>
  <c r="S26" i="3"/>
  <c r="S27" i="6" s="1"/>
  <c r="CK26" i="3"/>
  <c r="CK27" i="6"/>
  <c r="BO26" i="3"/>
  <c r="BO27" i="6"/>
  <c r="AD26" i="3"/>
  <c r="AD27" i="6" s="1"/>
  <c r="BX26" i="3"/>
  <c r="BX27" i="6" s="1"/>
  <c r="CY26" i="3"/>
  <c r="CY27" i="6"/>
  <c r="AK26" i="3"/>
  <c r="AK27" i="6"/>
  <c r="DF26" i="3"/>
  <c r="DF27" i="6" s="1"/>
  <c r="AB26" i="3"/>
  <c r="AB27" i="6" s="1"/>
  <c r="CX26" i="3"/>
  <c r="CX27" i="6"/>
  <c r="BG26" i="3"/>
  <c r="BG27" i="6"/>
  <c r="DL26" i="3"/>
  <c r="DL27" i="6" s="1"/>
  <c r="AF26" i="3"/>
  <c r="AF27" i="6" s="1"/>
  <c r="CW26" i="3"/>
  <c r="CW27" i="6"/>
  <c r="BM26" i="3"/>
  <c r="BM27" i="6"/>
  <c r="BZ26" i="3"/>
  <c r="BZ27" i="6" s="1"/>
  <c r="CE26" i="3"/>
  <c r="CE27" i="6" s="1"/>
  <c r="DN26" i="3"/>
  <c r="DN27" i="6"/>
  <c r="AP26" i="3"/>
  <c r="AP27" i="6"/>
  <c r="AZ26" i="3"/>
  <c r="AZ27" i="6" s="1"/>
  <c r="T26" i="3"/>
  <c r="T27" i="6" s="1"/>
  <c r="AA26" i="3"/>
  <c r="AA27" i="6"/>
  <c r="M26" i="3"/>
  <c r="M27" i="6"/>
  <c r="AS26" i="3"/>
  <c r="AS27" i="6" s="1"/>
  <c r="AW26" i="3"/>
  <c r="AW27" i="6" s="1"/>
  <c r="AJ26" i="3"/>
  <c r="AJ27" i="6"/>
  <c r="CV26" i="3"/>
  <c r="CV27" i="6"/>
  <c r="CP26" i="3"/>
  <c r="CP27" i="6" s="1"/>
  <c r="AC34" i="3"/>
  <c r="AC35" i="6" s="1"/>
  <c r="CM34" i="3"/>
  <c r="CM35" i="6"/>
  <c r="E34" i="3"/>
  <c r="E35" i="6"/>
  <c r="CY34" i="3"/>
  <c r="CY35" i="6" s="1"/>
  <c r="AM34" i="3"/>
  <c r="AM35" i="6" s="1"/>
  <c r="AM3" i="6" s="1"/>
  <c r="CF34" i="3"/>
  <c r="CF35" i="6"/>
  <c r="BI34" i="3"/>
  <c r="BI35" i="6"/>
  <c r="CQ34" i="3"/>
  <c r="CQ35" i="6" s="1"/>
  <c r="CP34" i="3"/>
  <c r="CP35" i="6" s="1"/>
  <c r="DN34" i="3"/>
  <c r="DN35" i="6"/>
  <c r="DG34" i="3"/>
  <c r="DG35" i="6"/>
  <c r="N34" i="3"/>
  <c r="N35" i="6" s="1"/>
  <c r="CX34" i="3"/>
  <c r="CX35" i="6" s="1"/>
  <c r="I34" i="3"/>
  <c r="I35" i="6"/>
  <c r="BD34" i="3"/>
  <c r="BD35" i="6"/>
  <c r="BL34" i="3"/>
  <c r="BL35" i="6" s="1"/>
  <c r="AB34" i="3"/>
  <c r="AB35" i="6" s="1"/>
  <c r="AT34" i="3"/>
  <c r="AT35" i="6"/>
  <c r="BE34" i="3"/>
  <c r="BE35" i="6"/>
  <c r="BF34" i="3"/>
  <c r="BF35" i="6" s="1"/>
  <c r="DI34" i="3"/>
  <c r="DI35" i="6" s="1"/>
  <c r="P34" i="3"/>
  <c r="P35" i="6"/>
  <c r="AN34" i="3"/>
  <c r="AN35" i="6"/>
  <c r="BT34" i="3"/>
  <c r="BT35" i="6" s="1"/>
  <c r="AH34" i="3"/>
  <c r="AH35" i="6" s="1"/>
  <c r="CE34" i="3"/>
  <c r="CE35" i="6"/>
  <c r="J34" i="3"/>
  <c r="J35" i="6"/>
  <c r="DF34" i="3"/>
  <c r="DF35" i="6" s="1"/>
  <c r="AK34" i="3"/>
  <c r="AK35" i="6" s="1"/>
  <c r="G34" i="3"/>
  <c r="G35" i="6"/>
  <c r="H34" i="3"/>
  <c r="H35" i="6"/>
  <c r="BK34" i="3"/>
  <c r="BK35" i="6" s="1"/>
  <c r="BG34" i="3"/>
  <c r="BG35" i="6" s="1"/>
  <c r="AS34" i="3"/>
  <c r="AS35" i="6"/>
  <c r="AV34" i="3"/>
  <c r="AV35" i="6"/>
  <c r="CD34" i="3"/>
  <c r="CD35" i="6" s="1"/>
  <c r="AP34" i="3"/>
  <c r="AP35" i="6" s="1"/>
  <c r="AP3" i="6" s="1"/>
  <c r="CI34" i="3"/>
  <c r="CI35" i="6"/>
  <c r="F34" i="3"/>
  <c r="F35" i="6"/>
  <c r="DB34" i="3"/>
  <c r="DB35" i="6" s="1"/>
  <c r="Y34" i="3"/>
  <c r="Y35" i="6" s="1"/>
  <c r="DH34" i="3"/>
  <c r="DH35" i="6"/>
  <c r="AE34" i="3"/>
  <c r="AE35" i="6"/>
  <c r="BR34" i="3"/>
  <c r="BR35" i="6" s="1"/>
  <c r="D34" i="3"/>
  <c r="D35" i="6" s="1"/>
  <c r="DE34" i="3"/>
  <c r="DE35" i="6"/>
  <c r="M34" i="3"/>
  <c r="M35" i="6"/>
  <c r="DK34" i="3"/>
  <c r="DK35" i="6" s="1"/>
  <c r="S34" i="3"/>
  <c r="S35" i="6" s="1"/>
  <c r="K34" i="3"/>
  <c r="K35" i="6"/>
  <c r="AO34" i="3"/>
  <c r="AO35" i="6"/>
  <c r="CH34" i="3"/>
  <c r="CH35" i="6" s="1"/>
  <c r="DL34" i="3"/>
  <c r="DL35" i="6" s="1"/>
  <c r="DL3" i="6" s="1"/>
  <c r="CV34" i="3"/>
  <c r="CV35" i="6"/>
  <c r="BH34" i="3"/>
  <c r="BH35" i="6"/>
  <c r="DQ34" i="3"/>
  <c r="DQ35" i="6" s="1"/>
  <c r="CT34" i="3"/>
  <c r="CT35" i="6" s="1"/>
  <c r="CC34" i="3"/>
  <c r="CC35" i="6" s="1"/>
  <c r="BX34" i="3"/>
  <c r="BX35" i="6"/>
  <c r="AG34" i="3"/>
  <c r="AG35" i="6" s="1"/>
  <c r="DD34" i="3"/>
  <c r="DD35" i="6" s="1"/>
  <c r="AD34" i="3"/>
  <c r="AD35" i="6"/>
  <c r="CR34" i="3"/>
  <c r="CR35" i="6"/>
  <c r="R34" i="3"/>
  <c r="R35" i="6" s="1"/>
  <c r="CO34" i="3"/>
  <c r="CO35" i="6" s="1"/>
  <c r="AZ34" i="3"/>
  <c r="AZ35" i="6"/>
  <c r="CJ34" i="3"/>
  <c r="CJ35" i="6"/>
  <c r="DM34" i="3"/>
  <c r="DM35" i="6" s="1"/>
  <c r="BU34" i="3"/>
  <c r="BU35" i="6" s="1"/>
  <c r="C35" i="6"/>
  <c r="CN34" i="3"/>
  <c r="CN35" i="6" s="1"/>
  <c r="CA34" i="3"/>
  <c r="CA35" i="6"/>
  <c r="Q34" i="3"/>
  <c r="Q35" i="6"/>
  <c r="BQ34" i="3"/>
  <c r="BQ35" i="6"/>
  <c r="BJ34" i="3"/>
  <c r="BJ35" i="6" s="1"/>
  <c r="BZ34" i="3"/>
  <c r="BZ35" i="6"/>
  <c r="BC34" i="3"/>
  <c r="BC35" i="6"/>
  <c r="T34" i="3"/>
  <c r="T35" i="6"/>
  <c r="DO34" i="3"/>
  <c r="DO35" i="6" s="1"/>
  <c r="AQ34" i="3"/>
  <c r="AQ35" i="6"/>
  <c r="CZ34" i="3"/>
  <c r="CZ35" i="6"/>
  <c r="W34" i="3"/>
  <c r="W35" i="6"/>
  <c r="AW34" i="3"/>
  <c r="AW35" i="6" s="1"/>
  <c r="X34" i="3"/>
  <c r="X35" i="6"/>
  <c r="AA34" i="3"/>
  <c r="AA35" i="6"/>
  <c r="V34" i="3"/>
  <c r="V35" i="6"/>
  <c r="O34" i="3"/>
  <c r="O35" i="6" s="1"/>
  <c r="Z34" i="3"/>
  <c r="Z35" i="6"/>
  <c r="DC34" i="3"/>
  <c r="DC35" i="6"/>
  <c r="AR34" i="3"/>
  <c r="AR35" i="6"/>
  <c r="CG34" i="3"/>
  <c r="CG35" i="6" s="1"/>
  <c r="BN34" i="3"/>
  <c r="BN35" i="6"/>
  <c r="CK34" i="3"/>
  <c r="CK35" i="6"/>
  <c r="BY34" i="3"/>
  <c r="BY35" i="6"/>
  <c r="DA34" i="3"/>
  <c r="DA35" i="6" s="1"/>
  <c r="BM34" i="3"/>
  <c r="BM35" i="6"/>
  <c r="BB34" i="3"/>
  <c r="BB35" i="6"/>
  <c r="BO34" i="3"/>
  <c r="BO35" i="6"/>
  <c r="BV34" i="3"/>
  <c r="BV35" i="6" s="1"/>
  <c r="BS34" i="3"/>
  <c r="BS35" i="6"/>
  <c r="L34" i="3"/>
  <c r="L35" i="6"/>
  <c r="CS34" i="3"/>
  <c r="CS35" i="6"/>
  <c r="DP34" i="3"/>
  <c r="DP35" i="6" s="1"/>
  <c r="U34" i="3"/>
  <c r="U35" i="6"/>
  <c r="AF34" i="3"/>
  <c r="AF35" i="6"/>
  <c r="AL34" i="3"/>
  <c r="AL35" i="6"/>
  <c r="CU34" i="3"/>
  <c r="CU35" i="6" s="1"/>
  <c r="AY34" i="3"/>
  <c r="AY35" i="6"/>
  <c r="AX34" i="3"/>
  <c r="AX35" i="6"/>
  <c r="BW34" i="3"/>
  <c r="BW35" i="6"/>
  <c r="AU34" i="3"/>
  <c r="AU35" i="6" s="1"/>
  <c r="CW34" i="3"/>
  <c r="CW35" i="6"/>
  <c r="CL34" i="3"/>
  <c r="CL35" i="6"/>
  <c r="BP34" i="3"/>
  <c r="BP35" i="6"/>
  <c r="BA34" i="3"/>
  <c r="BA35" i="6" s="1"/>
  <c r="DN42" i="3"/>
  <c r="DN43" i="6"/>
  <c r="BI42" i="3"/>
  <c r="BI43" i="6"/>
  <c r="DK42" i="3"/>
  <c r="DK43" i="6"/>
  <c r="BT42" i="3"/>
  <c r="BT43" i="6" s="1"/>
  <c r="BN42" i="3"/>
  <c r="BN43" i="6"/>
  <c r="R42" i="3"/>
  <c r="R43" i="6"/>
  <c r="H42" i="3"/>
  <c r="H43" i="6"/>
  <c r="BQ42" i="3"/>
  <c r="BQ43" i="6" s="1"/>
  <c r="BX42" i="3"/>
  <c r="BX43" i="6"/>
  <c r="AL42" i="3"/>
  <c r="AL43" i="6"/>
  <c r="BK42" i="3"/>
  <c r="BK43" i="6"/>
  <c r="BY42" i="3"/>
  <c r="BY43" i="6" s="1"/>
  <c r="BH42" i="3"/>
  <c r="BH43" i="6"/>
  <c r="BP42" i="3"/>
  <c r="BP43" i="6"/>
  <c r="DP42" i="3"/>
  <c r="DP43" i="6"/>
  <c r="AU42" i="3"/>
  <c r="AU43" i="6" s="1"/>
  <c r="AX42" i="3"/>
  <c r="AX43" i="6"/>
  <c r="CX42" i="3"/>
  <c r="CX43" i="6"/>
  <c r="CH42" i="3"/>
  <c r="CH43" i="6"/>
  <c r="DE42" i="3"/>
  <c r="DE43" i="6" s="1"/>
  <c r="S42" i="3"/>
  <c r="S43" i="6"/>
  <c r="AV42" i="3"/>
  <c r="AV43" i="6"/>
  <c r="BC42" i="3"/>
  <c r="BC43" i="6"/>
  <c r="AA42" i="3"/>
  <c r="AA43" i="6" s="1"/>
  <c r="BF42" i="3"/>
  <c r="BF43" i="6"/>
  <c r="J42" i="3"/>
  <c r="J43" i="6"/>
  <c r="BM42" i="3"/>
  <c r="BM43" i="6"/>
  <c r="AG42" i="3"/>
  <c r="AG43" i="6" s="1"/>
  <c r="D42" i="3"/>
  <c r="D43" i="6"/>
  <c r="CJ42" i="3"/>
  <c r="CJ43" i="6"/>
  <c r="O42" i="3"/>
  <c r="O43" i="6"/>
  <c r="DA42" i="3"/>
  <c r="DA43" i="6" s="1"/>
  <c r="Q42" i="3"/>
  <c r="Q43" i="6"/>
  <c r="BB42" i="3"/>
  <c r="BB43" i="6"/>
  <c r="CN42" i="3"/>
  <c r="CN43" i="6"/>
  <c r="CB42" i="3"/>
  <c r="CB43" i="6" s="1"/>
  <c r="P42" i="3"/>
  <c r="P43" i="6"/>
  <c r="BZ42" i="3"/>
  <c r="BZ43" i="6"/>
  <c r="G42" i="3"/>
  <c r="G43" i="6"/>
  <c r="AR42" i="3"/>
  <c r="AR43" i="6" s="1"/>
  <c r="BD42" i="3"/>
  <c r="BD43" i="6"/>
  <c r="AQ42" i="3"/>
  <c r="AQ43" i="6"/>
  <c r="DF42" i="3"/>
  <c r="DF43" i="6" s="1"/>
  <c r="AT42" i="3"/>
  <c r="AT43" i="6" s="1"/>
  <c r="BV42" i="3"/>
  <c r="BV43" i="6"/>
  <c r="AI42" i="3"/>
  <c r="AI43" i="6"/>
  <c r="DH42" i="3"/>
  <c r="DH43" i="6" s="1"/>
  <c r="CQ42" i="3"/>
  <c r="CQ43" i="6" s="1"/>
  <c r="Y42" i="3"/>
  <c r="Y43" i="6"/>
  <c r="BE42" i="3"/>
  <c r="BE43" i="6"/>
  <c r="BO42" i="3"/>
  <c r="BO43" i="6" s="1"/>
  <c r="X42" i="3"/>
  <c r="X43" i="6" s="1"/>
  <c r="K42" i="3"/>
  <c r="K43" i="6"/>
  <c r="K3" i="6" s="1"/>
  <c r="CD42" i="3"/>
  <c r="CD43" i="6"/>
  <c r="AK42" i="3"/>
  <c r="AK43" i="6" s="1"/>
  <c r="BG42" i="3"/>
  <c r="BG43" i="6" s="1"/>
  <c r="DI42" i="3"/>
  <c r="DI43" i="6"/>
  <c r="CT42" i="3"/>
  <c r="CT43" i="6"/>
  <c r="CU42" i="3"/>
  <c r="CU43" i="6" s="1"/>
  <c r="CS42" i="3"/>
  <c r="CS43" i="6" s="1"/>
  <c r="AY42" i="3"/>
  <c r="AY43" i="6"/>
  <c r="DO42" i="3"/>
  <c r="DO43" i="6"/>
  <c r="DM42" i="3"/>
  <c r="DM43" i="6" s="1"/>
  <c r="U42" i="3"/>
  <c r="U43" i="6" s="1"/>
  <c r="CW42" i="3"/>
  <c r="CW43" i="6"/>
  <c r="CF42" i="3"/>
  <c r="CF43" i="6"/>
  <c r="BS42" i="3"/>
  <c r="BS43" i="6" s="1"/>
  <c r="AE42" i="3"/>
  <c r="AE43" i="6" s="1"/>
  <c r="BA42" i="3"/>
  <c r="BA43" i="6"/>
  <c r="E42" i="3"/>
  <c r="E43" i="6"/>
  <c r="CR42" i="3"/>
  <c r="CR43" i="6" s="1"/>
  <c r="W42" i="3"/>
  <c r="W43" i="6" s="1"/>
  <c r="Z42" i="3"/>
  <c r="Z43" i="6"/>
  <c r="V42" i="3"/>
  <c r="V43" i="6"/>
  <c r="DQ42" i="3"/>
  <c r="DQ43" i="6" s="1"/>
  <c r="DJ42" i="3"/>
  <c r="DJ43" i="6" s="1"/>
  <c r="AW42" i="3"/>
  <c r="AW43" i="6"/>
  <c r="CE42" i="3"/>
  <c r="CE43" i="6"/>
  <c r="DC42" i="3"/>
  <c r="DC43" i="6" s="1"/>
  <c r="F42" i="3"/>
  <c r="F43" i="6" s="1"/>
  <c r="CZ42" i="3"/>
  <c r="CZ43" i="6"/>
  <c r="CG42" i="3"/>
  <c r="CG43" i="6"/>
  <c r="AF42" i="3"/>
  <c r="AF43" i="6" s="1"/>
  <c r="N42" i="3"/>
  <c r="N43" i="6" s="1"/>
  <c r="AS42" i="3"/>
  <c r="AS43" i="6"/>
  <c r="T42" i="3"/>
  <c r="T43" i="6"/>
  <c r="AO42" i="3"/>
  <c r="AO43" i="6" s="1"/>
  <c r="CP42" i="3"/>
  <c r="CP43" i="6" s="1"/>
  <c r="CM42" i="3"/>
  <c r="CM43" i="6"/>
  <c r="AZ42" i="3"/>
  <c r="AZ43" i="6"/>
  <c r="CV42" i="3"/>
  <c r="CV43" i="6" s="1"/>
  <c r="BL42" i="3"/>
  <c r="BL43" i="6" s="1"/>
  <c r="BR42" i="3"/>
  <c r="BR43" i="6"/>
  <c r="AH42" i="3"/>
  <c r="AH43" i="6"/>
  <c r="CI42" i="3"/>
  <c r="CI43" i="6" s="1"/>
  <c r="AN42" i="3"/>
  <c r="AN43" i="6" s="1"/>
  <c r="AD42" i="3"/>
  <c r="AD43" i="6"/>
  <c r="AM42" i="3"/>
  <c r="AM43" i="6"/>
  <c r="I42" i="3"/>
  <c r="I43" i="6" s="1"/>
  <c r="AB42" i="3"/>
  <c r="AB43" i="6" s="1"/>
  <c r="CK42" i="3"/>
  <c r="CK43" i="6"/>
  <c r="CY42" i="3"/>
  <c r="CY43" i="6"/>
  <c r="L42" i="3"/>
  <c r="L43" i="6" s="1"/>
  <c r="CL42" i="3"/>
  <c r="CL43" i="6" s="1"/>
  <c r="AP42" i="3"/>
  <c r="AP43" i="6"/>
  <c r="CA42" i="3"/>
  <c r="CA43" i="6"/>
  <c r="C43" i="6"/>
  <c r="BU42" i="3"/>
  <c r="BU43" i="6"/>
  <c r="DB42" i="3"/>
  <c r="DB43" i="6"/>
  <c r="M42" i="3"/>
  <c r="M43" i="6" s="1"/>
  <c r="DD42" i="3"/>
  <c r="DD43" i="6" s="1"/>
  <c r="BW42" i="3"/>
  <c r="BW43" i="6"/>
  <c r="CC42" i="3"/>
  <c r="CC43" i="6"/>
  <c r="DL42" i="3"/>
  <c r="DL43" i="6" s="1"/>
  <c r="AJ42" i="3"/>
  <c r="AJ43" i="6" s="1"/>
  <c r="AC42" i="3"/>
  <c r="AC43" i="6"/>
  <c r="CN46" i="3"/>
  <c r="CN47" i="6"/>
  <c r="AY46" i="3"/>
  <c r="AY47" i="6" s="1"/>
  <c r="AH46" i="3"/>
  <c r="AH47" i="6" s="1"/>
  <c r="CO46" i="3"/>
  <c r="CO47" i="6"/>
  <c r="BO46" i="3"/>
  <c r="BO47" i="6"/>
  <c r="AD46" i="3"/>
  <c r="AD47" i="6" s="1"/>
  <c r="CX46" i="3"/>
  <c r="CX47" i="6" s="1"/>
  <c r="V46" i="3"/>
  <c r="V47" i="6" s="1"/>
  <c r="BU46" i="3"/>
  <c r="BU47" i="6"/>
  <c r="DQ46" i="3"/>
  <c r="DQ47" i="6" s="1"/>
  <c r="CK46" i="3"/>
  <c r="CK47" i="6" s="1"/>
  <c r="DL46" i="3"/>
  <c r="DL47" i="6" s="1"/>
  <c r="BD46" i="3"/>
  <c r="BD47" i="6"/>
  <c r="AW46" i="3"/>
  <c r="AW47" i="6" s="1"/>
  <c r="AK46" i="3"/>
  <c r="AK47" i="6" s="1"/>
  <c r="CC46" i="3"/>
  <c r="CC47" i="6" s="1"/>
  <c r="DF46" i="3"/>
  <c r="DF47" i="6"/>
  <c r="CQ46" i="3"/>
  <c r="CQ47" i="6" s="1"/>
  <c r="BP46" i="3"/>
  <c r="BP47" i="6" s="1"/>
  <c r="BG46" i="3"/>
  <c r="BG47" i="6" s="1"/>
  <c r="CH46" i="3"/>
  <c r="CH47" i="6"/>
  <c r="I46" i="3"/>
  <c r="I47" i="6" s="1"/>
  <c r="J46" i="3"/>
  <c r="J47" i="6" s="1"/>
  <c r="CY46" i="3"/>
  <c r="CY47" i="6" s="1"/>
  <c r="BV46" i="3"/>
  <c r="BV47" i="6"/>
  <c r="BY46" i="3"/>
  <c r="BY47" i="6" s="1"/>
  <c r="BR46" i="3"/>
  <c r="BR47" i="6" s="1"/>
  <c r="AP46" i="3"/>
  <c r="AP47" i="6" s="1"/>
  <c r="T46" i="3"/>
  <c r="T47" i="6"/>
  <c r="AB46" i="3"/>
  <c r="AB47" i="6" s="1"/>
  <c r="AC46" i="3"/>
  <c r="AC47" i="6" s="1"/>
  <c r="M46" i="3"/>
  <c r="M47" i="6" s="1"/>
  <c r="AI46" i="3"/>
  <c r="AI47" i="6"/>
  <c r="AR46" i="3"/>
  <c r="AR47" i="6" s="1"/>
  <c r="DN46" i="3"/>
  <c r="DN47" i="6" s="1"/>
  <c r="AM46" i="3"/>
  <c r="AM47" i="6" s="1"/>
  <c r="AO46" i="3"/>
  <c r="AO47" i="6"/>
  <c r="N46" i="3"/>
  <c r="N47" i="6" s="1"/>
  <c r="E46" i="3"/>
  <c r="E47" i="6" s="1"/>
  <c r="BC46" i="3"/>
  <c r="BC47" i="6" s="1"/>
  <c r="DC46" i="3"/>
  <c r="DC47" i="6" s="1"/>
  <c r="BF46" i="3"/>
  <c r="BF47" i="6" s="1"/>
  <c r="CE46" i="3"/>
  <c r="CE47" i="6" s="1"/>
  <c r="CL46" i="3"/>
  <c r="CL47" i="6" s="1"/>
  <c r="AL46" i="3"/>
  <c r="AL47" i="6"/>
  <c r="AS46" i="3"/>
  <c r="AS47" i="6" s="1"/>
  <c r="K46" i="3"/>
  <c r="K47" i="6" s="1"/>
  <c r="W46" i="3"/>
  <c r="W47" i="6" s="1"/>
  <c r="CJ46" i="3"/>
  <c r="CJ47" i="6"/>
  <c r="DJ46" i="3"/>
  <c r="DJ47" i="6" s="1"/>
  <c r="AG46" i="3"/>
  <c r="AG47" i="6" s="1"/>
  <c r="BA46" i="3"/>
  <c r="BA47" i="6" s="1"/>
  <c r="AF46" i="3"/>
  <c r="AF47" i="6" s="1"/>
  <c r="DA46" i="3"/>
  <c r="DA47" i="6" s="1"/>
  <c r="AT46" i="3"/>
  <c r="AT47" i="6" s="1"/>
  <c r="CS46" i="3"/>
  <c r="CS47" i="6" s="1"/>
  <c r="F46" i="3"/>
  <c r="F47" i="6" s="1"/>
  <c r="CW46" i="3"/>
  <c r="CW47" i="6" s="1"/>
  <c r="BQ46" i="3"/>
  <c r="BQ47" i="6" s="1"/>
  <c r="Y46" i="3"/>
  <c r="Y47" i="6" s="1"/>
  <c r="Y3" i="6" s="1"/>
  <c r="CV46" i="3"/>
  <c r="CV47" i="6" s="1"/>
  <c r="BL46" i="3"/>
  <c r="BL47" i="6" s="1"/>
  <c r="DH46" i="3"/>
  <c r="DH47" i="6" s="1"/>
  <c r="CA46" i="3"/>
  <c r="CA47" i="6" s="1"/>
  <c r="S46" i="3"/>
  <c r="S47" i="6" s="1"/>
  <c r="BJ46" i="3"/>
  <c r="BJ47" i="6" s="1"/>
  <c r="BI46" i="3"/>
  <c r="BI47" i="6" s="1"/>
  <c r="D46" i="3"/>
  <c r="D47" i="6" s="1"/>
  <c r="DK46" i="3"/>
  <c r="DK47" i="6" s="1"/>
  <c r="DB46" i="3"/>
  <c r="DB47" i="6" s="1"/>
  <c r="G46" i="3"/>
  <c r="G47" i="6" s="1"/>
  <c r="DP46" i="3"/>
  <c r="DP47" i="6" s="1"/>
  <c r="U46" i="3"/>
  <c r="U47" i="6" s="1"/>
  <c r="BZ46" i="3"/>
  <c r="BZ47" i="6" s="1"/>
  <c r="DD46" i="3"/>
  <c r="DD47" i="6" s="1"/>
  <c r="BT46" i="3"/>
  <c r="BT47" i="6" s="1"/>
  <c r="C47" i="6"/>
  <c r="DO46" i="3"/>
  <c r="DO47" i="6"/>
  <c r="BS46" i="3"/>
  <c r="BS47" i="6"/>
  <c r="BB46" i="3"/>
  <c r="BB47" i="6" s="1"/>
  <c r="CP46" i="3"/>
  <c r="CP47" i="6" s="1"/>
  <c r="L46" i="3"/>
  <c r="L47" i="6"/>
  <c r="H46" i="3"/>
  <c r="H47" i="6"/>
  <c r="DG46" i="3"/>
  <c r="DG47" i="6" s="1"/>
  <c r="BM46" i="3"/>
  <c r="BM47" i="6" s="1"/>
  <c r="CT46" i="3"/>
  <c r="CT47" i="6"/>
  <c r="CD46" i="3"/>
  <c r="CD47" i="6"/>
  <c r="AN46" i="3"/>
  <c r="AN47" i="6" s="1"/>
  <c r="P46" i="3"/>
  <c r="P47" i="6" s="1"/>
  <c r="BK46" i="3"/>
  <c r="BK47" i="6"/>
  <c r="X46" i="3"/>
  <c r="X47" i="6"/>
  <c r="AX46" i="3"/>
  <c r="AX47" i="6" s="1"/>
  <c r="BN46" i="3"/>
  <c r="BN47" i="6" s="1"/>
  <c r="AZ46" i="3"/>
  <c r="AZ47" i="6"/>
  <c r="CR46" i="3"/>
  <c r="CR47" i="6"/>
  <c r="Z46" i="3"/>
  <c r="Z47" i="6" s="1"/>
  <c r="AE46" i="3"/>
  <c r="AE47" i="6" s="1"/>
  <c r="BX46" i="3"/>
  <c r="BX47" i="6"/>
  <c r="R46" i="3"/>
  <c r="R47" i="6"/>
  <c r="CF46" i="3"/>
  <c r="CF47" i="6" s="1"/>
  <c r="CI46" i="3"/>
  <c r="CI47" i="6" s="1"/>
  <c r="CU46" i="3"/>
  <c r="CU47" i="6"/>
  <c r="DE46" i="3"/>
  <c r="DE47" i="6"/>
  <c r="H85" i="3"/>
  <c r="H86" i="6" s="1"/>
  <c r="J85" i="3"/>
  <c r="J86" i="6" s="1"/>
  <c r="F97" i="3"/>
  <c r="F98" i="6"/>
  <c r="DK97" i="3"/>
  <c r="DK98" i="6"/>
  <c r="V97" i="3"/>
  <c r="V98" i="6" s="1"/>
  <c r="CO97" i="3"/>
  <c r="CO98" i="6" s="1"/>
  <c r="DD97" i="3"/>
  <c r="DD98" i="6"/>
  <c r="M97" i="3"/>
  <c r="M98" i="6"/>
  <c r="O97" i="3"/>
  <c r="O98" i="6" s="1"/>
  <c r="CG97" i="3"/>
  <c r="CG98" i="6" s="1"/>
  <c r="BS97" i="3"/>
  <c r="BS98" i="6"/>
  <c r="BL97" i="3"/>
  <c r="BL98" i="6"/>
  <c r="I97" i="3"/>
  <c r="I98" i="6" s="1"/>
  <c r="CH97" i="3"/>
  <c r="CH98" i="6" s="1"/>
  <c r="AV97" i="3"/>
  <c r="AV98" i="6"/>
  <c r="Z97" i="3"/>
  <c r="Z98" i="6"/>
  <c r="BR97" i="3"/>
  <c r="BR98" i="6" s="1"/>
  <c r="D97" i="3"/>
  <c r="D98" i="6" s="1"/>
  <c r="AR97" i="3"/>
  <c r="AR98" i="6"/>
  <c r="AN97" i="3"/>
  <c r="AN98" i="6"/>
  <c r="DG97" i="3"/>
  <c r="DG98" i="6" s="1"/>
  <c r="AM97" i="3"/>
  <c r="AM98" i="6" s="1"/>
  <c r="AK97" i="3"/>
  <c r="AK98" i="6"/>
  <c r="CR97" i="3"/>
  <c r="CR98" i="6"/>
  <c r="BF97" i="3"/>
  <c r="BF98" i="6" s="1"/>
  <c r="AD97" i="3"/>
  <c r="AD98" i="6" s="1"/>
  <c r="BB97" i="3"/>
  <c r="BB98" i="6"/>
  <c r="BC97" i="3"/>
  <c r="BC98" i="6"/>
  <c r="CF97" i="3"/>
  <c r="CF98" i="6" s="1"/>
  <c r="BM97" i="3"/>
  <c r="BM98" i="6" s="1"/>
  <c r="BO97" i="3"/>
  <c r="BO98" i="6"/>
  <c r="DQ97" i="3"/>
  <c r="DQ98" i="6"/>
  <c r="DO97" i="3"/>
  <c r="DO98" i="6" s="1"/>
  <c r="BX97" i="3"/>
  <c r="BX98" i="6" s="1"/>
  <c r="W97" i="3"/>
  <c r="W98" i="6"/>
  <c r="CY97" i="3"/>
  <c r="CY98" i="6"/>
  <c r="DN97" i="3"/>
  <c r="DN98" i="6" s="1"/>
  <c r="CC97" i="3"/>
  <c r="CC98" i="6" s="1"/>
  <c r="AI97" i="3"/>
  <c r="AI98" i="6"/>
  <c r="CL97" i="3"/>
  <c r="CL98" i="6"/>
  <c r="DL97" i="3"/>
  <c r="DL98" i="6" s="1"/>
  <c r="BN97" i="3"/>
  <c r="BN98" i="6" s="1"/>
  <c r="DM97" i="3"/>
  <c r="DM98" i="6"/>
  <c r="U97" i="3"/>
  <c r="U98" i="6"/>
  <c r="AP97" i="3"/>
  <c r="AP98" i="6" s="1"/>
  <c r="BJ97" i="3"/>
  <c r="BJ98" i="6" s="1"/>
  <c r="BZ97" i="3"/>
  <c r="BZ98" i="6"/>
  <c r="AU97" i="3"/>
  <c r="AU98" i="6"/>
  <c r="CV97" i="3"/>
  <c r="CV98" i="6" s="1"/>
  <c r="BI97" i="3"/>
  <c r="BI98" i="6" s="1"/>
  <c r="DB97" i="3"/>
  <c r="DB98" i="6"/>
  <c r="BD97" i="3"/>
  <c r="BD98" i="6"/>
  <c r="E97" i="3"/>
  <c r="E98" i="6" s="1"/>
  <c r="AA97" i="3"/>
  <c r="AA98" i="6" s="1"/>
  <c r="CW97" i="3"/>
  <c r="CW98" i="6"/>
  <c r="AT97" i="3"/>
  <c r="AT98" i="6"/>
  <c r="BE97" i="3"/>
  <c r="BE98" i="6" s="1"/>
  <c r="BH97" i="3"/>
  <c r="BH98" i="6" s="1"/>
  <c r="AJ97" i="3"/>
  <c r="AJ98" i="6"/>
  <c r="BT97" i="3"/>
  <c r="BT98" i="6"/>
  <c r="CS97" i="3"/>
  <c r="CS98" i="6" s="1"/>
  <c r="AB97" i="3"/>
  <c r="AB98" i="6" s="1"/>
  <c r="T97" i="3"/>
  <c r="T98" i="6"/>
  <c r="BP97" i="3"/>
  <c r="BP98" i="6"/>
  <c r="CN97" i="3"/>
  <c r="CN98" i="6" s="1"/>
  <c r="BK97" i="3"/>
  <c r="BK98" i="6" s="1"/>
  <c r="DF97" i="3"/>
  <c r="DF98" i="6"/>
  <c r="S97" i="3"/>
  <c r="S98" i="6"/>
  <c r="BU97" i="3"/>
  <c r="BU98" i="6" s="1"/>
  <c r="R97" i="3"/>
  <c r="R98" i="6" s="1"/>
  <c r="AZ97" i="3"/>
  <c r="AZ98" i="6"/>
  <c r="Y97" i="3"/>
  <c r="Y98" i="6"/>
  <c r="CD97" i="3"/>
  <c r="CD98" i="6" s="1"/>
  <c r="CQ97" i="3"/>
  <c r="CQ98" i="6" s="1"/>
  <c r="C98" i="6"/>
  <c r="BG97" i="3"/>
  <c r="BG98" i="6" s="1"/>
  <c r="CM97" i="3"/>
  <c r="CM98" i="6" s="1"/>
  <c r="CU97" i="3"/>
  <c r="CU98" i="6"/>
  <c r="DP97" i="3"/>
  <c r="DP98" i="6" s="1"/>
  <c r="CB97" i="3"/>
  <c r="CB98" i="6" s="1"/>
  <c r="BY97" i="3"/>
  <c r="BY98" i="6" s="1"/>
  <c r="BQ97" i="3"/>
  <c r="BQ98" i="6"/>
  <c r="CK97" i="3"/>
  <c r="CK98" i="6" s="1"/>
  <c r="X97" i="3"/>
  <c r="X98" i="6" s="1"/>
  <c r="AQ97" i="3"/>
  <c r="AQ98" i="6" s="1"/>
  <c r="AG97" i="3"/>
  <c r="AG98" i="6"/>
  <c r="DJ97" i="3"/>
  <c r="DJ98" i="6" s="1"/>
  <c r="CT97" i="3"/>
  <c r="CT98" i="6" s="1"/>
  <c r="CJ97" i="3"/>
  <c r="CJ98" i="6" s="1"/>
  <c r="AF97" i="3"/>
  <c r="AF98" i="6"/>
  <c r="DC97" i="3"/>
  <c r="DC98" i="6" s="1"/>
  <c r="BA97" i="3"/>
  <c r="BA98" i="6" s="1"/>
  <c r="AH97" i="3"/>
  <c r="AH98" i="6" s="1"/>
  <c r="P97" i="3"/>
  <c r="P98" i="6"/>
  <c r="DH97" i="3"/>
  <c r="DH98" i="6" s="1"/>
  <c r="CI97" i="3"/>
  <c r="CI98" i="6" s="1"/>
  <c r="Q97" i="3"/>
  <c r="Q98" i="6" s="1"/>
  <c r="CX97" i="3"/>
  <c r="CX98" i="6"/>
  <c r="G97" i="3"/>
  <c r="G98" i="6" s="1"/>
  <c r="DE97" i="3"/>
  <c r="DE98" i="6" s="1"/>
  <c r="DI97" i="3"/>
  <c r="DI98" i="6" s="1"/>
  <c r="AL97" i="3"/>
  <c r="AL98" i="6"/>
  <c r="BV97" i="3"/>
  <c r="BV98" i="6" s="1"/>
  <c r="AX97" i="3"/>
  <c r="AX98" i="6" s="1"/>
  <c r="CZ97" i="3"/>
  <c r="CZ98" i="6" s="1"/>
  <c r="L97" i="3"/>
  <c r="L98" i="6"/>
  <c r="CA97" i="3"/>
  <c r="CA98" i="6" s="1"/>
  <c r="Q105" i="3"/>
  <c r="Q106" i="6" s="1"/>
  <c r="CW105" i="3"/>
  <c r="CW106" i="6" s="1"/>
  <c r="BZ105" i="3"/>
  <c r="BZ106" i="6"/>
  <c r="BN113" i="3"/>
  <c r="BN114" i="6" s="1"/>
  <c r="U113" i="3"/>
  <c r="U114" i="6" s="1"/>
  <c r="O113" i="3"/>
  <c r="O114" i="6" s="1"/>
  <c r="BU113" i="3"/>
  <c r="BU114" i="6"/>
  <c r="CY113" i="3"/>
  <c r="CY114" i="6"/>
  <c r="CU113" i="3"/>
  <c r="CU114" i="6" s="1"/>
  <c r="AO113" i="3"/>
  <c r="AO114" i="6" s="1"/>
  <c r="CH113" i="3"/>
  <c r="CH114" i="6"/>
  <c r="CM113" i="3"/>
  <c r="CM114" i="6" s="1"/>
  <c r="CT113" i="3"/>
  <c r="CT114" i="6" s="1"/>
  <c r="DE113" i="3"/>
  <c r="DE114" i="6" s="1"/>
  <c r="E113" i="3"/>
  <c r="E114" i="6" s="1"/>
  <c r="D113" i="3"/>
  <c r="D114" i="6" s="1"/>
  <c r="CS113" i="3"/>
  <c r="CS114" i="6" s="1"/>
  <c r="CX113" i="3"/>
  <c r="CX114" i="6" s="1"/>
  <c r="CN113" i="3"/>
  <c r="CN114" i="6" s="1"/>
  <c r="CR113" i="3"/>
  <c r="CR114" i="6" s="1"/>
  <c r="AF113" i="3"/>
  <c r="AF114" i="6" s="1"/>
  <c r="DG113" i="3"/>
  <c r="DG114" i="6" s="1"/>
  <c r="AT113" i="3"/>
  <c r="AT114" i="6" s="1"/>
  <c r="K113" i="3"/>
  <c r="K114" i="6" s="1"/>
  <c r="V113" i="3"/>
  <c r="V114" i="6" s="1"/>
  <c r="M113" i="3"/>
  <c r="M114" i="6" s="1"/>
  <c r="C114" i="6"/>
  <c r="AI113" i="3"/>
  <c r="AI114" i="6" s="1"/>
  <c r="AX113" i="3"/>
  <c r="AX114" i="6"/>
  <c r="DB113" i="3"/>
  <c r="DB114" i="6"/>
  <c r="DH113" i="3"/>
  <c r="DH114" i="6"/>
  <c r="AD113" i="3"/>
  <c r="AD114" i="6" s="1"/>
  <c r="AK113" i="3"/>
  <c r="AK114" i="6"/>
  <c r="S113" i="3"/>
  <c r="S114" i="6"/>
  <c r="BA113" i="3"/>
  <c r="BA114" i="6"/>
  <c r="DJ113" i="3"/>
  <c r="DJ114" i="6" s="1"/>
  <c r="AS113" i="3"/>
  <c r="AS114" i="6"/>
  <c r="Q113" i="3"/>
  <c r="Q114" i="6"/>
  <c r="CA113" i="3"/>
  <c r="CA114" i="6"/>
  <c r="DO113" i="3"/>
  <c r="DO114" i="6" s="1"/>
  <c r="CI113" i="3"/>
  <c r="CI114" i="6"/>
  <c r="BQ113" i="3"/>
  <c r="BQ114" i="6"/>
  <c r="BY113" i="3"/>
  <c r="BY114" i="6"/>
  <c r="AE113" i="3"/>
  <c r="AE114" i="6" s="1"/>
  <c r="BI113" i="3"/>
  <c r="BI114" i="6"/>
  <c r="AQ113" i="3"/>
  <c r="AQ114" i="6"/>
  <c r="DK113" i="3"/>
  <c r="DK114" i="6"/>
  <c r="BZ113" i="3"/>
  <c r="BZ114" i="6" s="1"/>
  <c r="BK113" i="3"/>
  <c r="BK114" i="6"/>
  <c r="BD113" i="3"/>
  <c r="BD114" i="6"/>
  <c r="AN113" i="3"/>
  <c r="AN114" i="6"/>
  <c r="AU113" i="3"/>
  <c r="AU114" i="6" s="1"/>
  <c r="BC113" i="3"/>
  <c r="BC114" i="6"/>
  <c r="J113" i="3"/>
  <c r="J114" i="6"/>
  <c r="BR113" i="3"/>
  <c r="BR114" i="6"/>
  <c r="BF113" i="3"/>
  <c r="BF114" i="6" s="1"/>
  <c r="DD113" i="3"/>
  <c r="DD114" i="6"/>
  <c r="AW113" i="3"/>
  <c r="AW114" i="6"/>
  <c r="BV113" i="3"/>
  <c r="BV114" i="6"/>
  <c r="BP113" i="3"/>
  <c r="BP114" i="6" s="1"/>
  <c r="BG113" i="3"/>
  <c r="BG114" i="6"/>
  <c r="CP113" i="3"/>
  <c r="CP114" i="6"/>
  <c r="CF113" i="3"/>
  <c r="CF114" i="6" s="1"/>
  <c r="P113" i="3"/>
  <c r="P114" i="6" s="1"/>
  <c r="W113" i="3"/>
  <c r="W114" i="6"/>
  <c r="AL113" i="3"/>
  <c r="AL114" i="6"/>
  <c r="CG113" i="3"/>
  <c r="CG114" i="6" s="1"/>
  <c r="BJ113" i="3"/>
  <c r="BJ114" i="6" s="1"/>
  <c r="DP113" i="3"/>
  <c r="DP114" i="6"/>
  <c r="AC113" i="3"/>
  <c r="AC114" i="6"/>
  <c r="AG113" i="3"/>
  <c r="AG114" i="6" s="1"/>
  <c r="CD113" i="3"/>
  <c r="CD114" i="6" s="1"/>
  <c r="DQ113" i="3"/>
  <c r="DQ114" i="6"/>
  <c r="CO113" i="3"/>
  <c r="CO114" i="6"/>
  <c r="CV113" i="3"/>
  <c r="CV114" i="6" s="1"/>
  <c r="DI113" i="3"/>
  <c r="DI114" i="6" s="1"/>
  <c r="L113" i="3"/>
  <c r="L114" i="6"/>
  <c r="AM113" i="3"/>
  <c r="AM114" i="6"/>
  <c r="H113" i="3"/>
  <c r="H114" i="6" s="1"/>
  <c r="DN113" i="3"/>
  <c r="DN114" i="6" s="1"/>
  <c r="T113" i="3"/>
  <c r="T114" i="6"/>
  <c r="AR113" i="3"/>
  <c r="AR114" i="6"/>
  <c r="BX113" i="3"/>
  <c r="BX114" i="6" s="1"/>
  <c r="I113" i="3"/>
  <c r="I114" i="6" s="1"/>
  <c r="BW113" i="3"/>
  <c r="BW114" i="6"/>
  <c r="BL113" i="3"/>
  <c r="BL114" i="6"/>
  <c r="CK113" i="3"/>
  <c r="CK114" i="6" s="1"/>
  <c r="CE113" i="3"/>
  <c r="CE114" i="6" s="1"/>
  <c r="AZ113" i="3"/>
  <c r="AZ114" i="6"/>
  <c r="AA113" i="3"/>
  <c r="AA114" i="6"/>
  <c r="BO113" i="3"/>
  <c r="BO114" i="6" s="1"/>
  <c r="BT113" i="3"/>
  <c r="BT114" i="6" s="1"/>
  <c r="DC113" i="3"/>
  <c r="DC114" i="6"/>
  <c r="G113" i="3"/>
  <c r="G114" i="6"/>
  <c r="CW113" i="3"/>
  <c r="CW114" i="6" s="1"/>
  <c r="BM113" i="3"/>
  <c r="BM114" i="6" s="1"/>
  <c r="BE113" i="3"/>
  <c r="BE114" i="6"/>
  <c r="BS113" i="3"/>
  <c r="BS114" i="6"/>
  <c r="DM113" i="3"/>
  <c r="DM114" i="6" s="1"/>
  <c r="CQ113" i="3"/>
  <c r="CQ114" i="6" s="1"/>
  <c r="BH113" i="3"/>
  <c r="BH114" i="6"/>
  <c r="CL113" i="3"/>
  <c r="CL114" i="6"/>
  <c r="AH113" i="3"/>
  <c r="AH114" i="6" s="1"/>
  <c r="CC113" i="3"/>
  <c r="CC114" i="6" s="1"/>
  <c r="F113" i="3"/>
  <c r="F114" i="6"/>
  <c r="CB113" i="3"/>
  <c r="CB114" i="6"/>
  <c r="Z113" i="3"/>
  <c r="Z114" i="6" s="1"/>
  <c r="CZ113" i="3"/>
  <c r="CZ114" i="6" s="1"/>
  <c r="BB113" i="3"/>
  <c r="BB114" i="6"/>
  <c r="AJ113" i="3"/>
  <c r="AJ114" i="6"/>
  <c r="N113" i="3"/>
  <c r="N114" i="6" s="1"/>
  <c r="R113" i="3"/>
  <c r="R114" i="6" s="1"/>
  <c r="DA113" i="3"/>
  <c r="DA114" i="6"/>
  <c r="AP113" i="3"/>
  <c r="AP114" i="6"/>
  <c r="AV113" i="3"/>
  <c r="AV114" i="6" s="1"/>
  <c r="Y113" i="3"/>
  <c r="Y114" i="6" s="1"/>
  <c r="DF113" i="3"/>
  <c r="DF114" i="6"/>
  <c r="CP117" i="3"/>
  <c r="CP118" i="6"/>
  <c r="BV117" i="3"/>
  <c r="BV118" i="6" s="1"/>
  <c r="CL117" i="3"/>
  <c r="CL118" i="6" s="1"/>
  <c r="AD125" i="3"/>
  <c r="AD126" i="6"/>
  <c r="AB125" i="3"/>
  <c r="AB126" i="6"/>
  <c r="AK125" i="3"/>
  <c r="AK126" i="6" s="1"/>
  <c r="AU125" i="3"/>
  <c r="AU126" i="6" s="1"/>
  <c r="DA125" i="3"/>
  <c r="DA126" i="6"/>
  <c r="L125" i="3"/>
  <c r="L126" i="6"/>
  <c r="CF125" i="3"/>
  <c r="CF126" i="6" s="1"/>
  <c r="M125" i="3"/>
  <c r="M126" i="6" s="1"/>
  <c r="H125" i="3"/>
  <c r="H126" i="6"/>
  <c r="DH125" i="3"/>
  <c r="DH126" i="6"/>
  <c r="AM125" i="3"/>
  <c r="AM126" i="6" s="1"/>
  <c r="DF125" i="3"/>
  <c r="DF126" i="6" s="1"/>
  <c r="AR133" i="3"/>
  <c r="AR134" i="6"/>
  <c r="CV93" i="3"/>
  <c r="CV94" i="6"/>
  <c r="AI54" i="3"/>
  <c r="AI55" i="6" s="1"/>
  <c r="CQ54" i="3"/>
  <c r="CQ55" i="6" s="1"/>
  <c r="DA54" i="3"/>
  <c r="DA55" i="6"/>
  <c r="U81" i="3"/>
  <c r="U82" i="6"/>
  <c r="N81" i="3"/>
  <c r="N82" i="6" s="1"/>
  <c r="AN77" i="3"/>
  <c r="AN78" i="6" s="1"/>
  <c r="O77" i="3"/>
  <c r="O78" i="6"/>
  <c r="DI46" i="3"/>
  <c r="DI47" i="6"/>
  <c r="CD129" i="3"/>
  <c r="CD130" i="6" s="1"/>
  <c r="K97" i="3"/>
  <c r="K98" i="6" s="1"/>
  <c r="BY101" i="3"/>
  <c r="BY102" i="6"/>
  <c r="O133" i="3"/>
  <c r="O134" i="6"/>
  <c r="AO133" i="3"/>
  <c r="AO134" i="6" s="1"/>
  <c r="S133" i="3"/>
  <c r="S134" i="6" s="1"/>
  <c r="AC133" i="3"/>
  <c r="AC134" i="6"/>
  <c r="CD133" i="3"/>
  <c r="CD134" i="6"/>
  <c r="AN89" i="3"/>
  <c r="AN90" i="6" s="1"/>
  <c r="CC93" i="3"/>
  <c r="CC94" i="6" s="1"/>
  <c r="CA93" i="3"/>
  <c r="CA94" i="6"/>
  <c r="CH54" i="3"/>
  <c r="CH55" i="6"/>
  <c r="AW54" i="3"/>
  <c r="AW55" i="6" s="1"/>
  <c r="BO54" i="3"/>
  <c r="BO55" i="6" s="1"/>
  <c r="BH54" i="3"/>
  <c r="BH55" i="6"/>
  <c r="AM54" i="3"/>
  <c r="AM55" i="6"/>
  <c r="AH54" i="3"/>
  <c r="AH55" i="6" s="1"/>
  <c r="AL54" i="3"/>
  <c r="AL55" i="6" s="1"/>
  <c r="L81" i="3"/>
  <c r="L82" i="6"/>
  <c r="BT81" i="3"/>
  <c r="BT82" i="6"/>
  <c r="CP81" i="3"/>
  <c r="CP82" i="6" s="1"/>
  <c r="CC81" i="3"/>
  <c r="CC82" i="6" s="1"/>
  <c r="AO81" i="3"/>
  <c r="AO82" i="6"/>
  <c r="AV81" i="3"/>
  <c r="AV82" i="6"/>
  <c r="DF77" i="3"/>
  <c r="DF78" i="6" s="1"/>
  <c r="CO77" i="3"/>
  <c r="CO78" i="6" s="1"/>
  <c r="D77" i="3"/>
  <c r="D78" i="6"/>
  <c r="H77" i="3"/>
  <c r="H78" i="6"/>
  <c r="CM46" i="3"/>
  <c r="CM47" i="6" s="1"/>
  <c r="CG46" i="3"/>
  <c r="CG47" i="6" s="1"/>
  <c r="BH46" i="3"/>
  <c r="BH47" i="6"/>
  <c r="AJ46" i="3"/>
  <c r="AJ47" i="6"/>
  <c r="DN125" i="3"/>
  <c r="DN126" i="6" s="1"/>
  <c r="AE97" i="3"/>
  <c r="AE98" i="6" s="1"/>
  <c r="AY97" i="3"/>
  <c r="AY98" i="6"/>
  <c r="H97" i="3"/>
  <c r="H98" i="6"/>
  <c r="AO50" i="3"/>
  <c r="AO51" i="6" s="1"/>
  <c r="BS50" i="3"/>
  <c r="BS51" i="6" s="1"/>
  <c r="DL113" i="3"/>
  <c r="DL114" i="6"/>
  <c r="BZ101" i="3"/>
  <c r="BZ102" i="6"/>
  <c r="BP101" i="3"/>
  <c r="BP102" i="6" s="1"/>
  <c r="DJ34" i="3"/>
  <c r="DJ35" i="6" s="1"/>
  <c r="BJ42" i="3"/>
  <c r="BJ43" i="6"/>
  <c r="AJ34" i="3"/>
  <c r="AJ35" i="6"/>
  <c r="CB34" i="3"/>
  <c r="CB35" i="6" s="1"/>
  <c r="CY58" i="3"/>
  <c r="CY59" i="6" s="1"/>
  <c r="BF22" i="3"/>
  <c r="BF23" i="6"/>
  <c r="AP22" i="3"/>
  <c r="AP23" i="6"/>
  <c r="CF22" i="3"/>
  <c r="CF23" i="6" s="1"/>
  <c r="BA22" i="3"/>
  <c r="BA23" i="6" s="1"/>
  <c r="DM22" i="3"/>
  <c r="DM23" i="6"/>
  <c r="AM22" i="3"/>
  <c r="AM23" i="6"/>
  <c r="AK22" i="3"/>
  <c r="AK23" i="6" s="1"/>
  <c r="AX22" i="3"/>
  <c r="AX23" i="6" s="1"/>
  <c r="AS22" i="3"/>
  <c r="AS23" i="6"/>
  <c r="BR22" i="3"/>
  <c r="BR23" i="6"/>
  <c r="BY22" i="3"/>
  <c r="BY23" i="6" s="1"/>
  <c r="AL22" i="3"/>
  <c r="AL23" i="6" s="1"/>
  <c r="DG22" i="3"/>
  <c r="DG23" i="6"/>
  <c r="AB22" i="3"/>
  <c r="AB23" i="6"/>
  <c r="AV22" i="3"/>
  <c r="AV23" i="6" s="1"/>
  <c r="DB22" i="3"/>
  <c r="DB23" i="6" s="1"/>
  <c r="DB3" i="6" s="1"/>
  <c r="CC22" i="3"/>
  <c r="CC23" i="6"/>
  <c r="DC22" i="3"/>
  <c r="DC23" i="6"/>
  <c r="AF22" i="3"/>
  <c r="AF23" i="6" s="1"/>
  <c r="CX22" i="3"/>
  <c r="CX23" i="6" s="1"/>
  <c r="J22" i="3"/>
  <c r="J23" i="6"/>
  <c r="J3" i="6" s="1"/>
  <c r="DQ22" i="3"/>
  <c r="DQ23" i="6"/>
  <c r="CS22" i="3"/>
  <c r="CS23" i="6" s="1"/>
  <c r="H22" i="3"/>
  <c r="H23" i="6" s="1"/>
  <c r="BX22" i="3"/>
  <c r="BX23" i="6"/>
  <c r="CW22" i="3"/>
  <c r="CW23" i="6"/>
  <c r="AE22" i="3"/>
  <c r="AE23" i="6" s="1"/>
  <c r="CN22" i="3"/>
  <c r="CN23" i="6" s="1"/>
  <c r="BC22" i="3"/>
  <c r="BC23" i="6"/>
  <c r="Y22" i="3"/>
  <c r="Y23" i="6"/>
  <c r="U22" i="3"/>
  <c r="U23" i="6" s="1"/>
  <c r="DD22" i="3"/>
  <c r="DD23" i="6" s="1"/>
  <c r="BS22" i="3"/>
  <c r="BS23" i="6"/>
  <c r="BI22" i="3"/>
  <c r="BI23" i="6"/>
  <c r="X22" i="3"/>
  <c r="X23" i="6" s="1"/>
  <c r="N22" i="3"/>
  <c r="N23" i="6" s="1"/>
  <c r="BV22" i="3"/>
  <c r="BV23" i="6"/>
  <c r="CM22" i="3"/>
  <c r="CM23" i="6"/>
  <c r="P22" i="3"/>
  <c r="P23" i="6" s="1"/>
  <c r="DF22" i="3"/>
  <c r="DF23" i="6" s="1"/>
  <c r="AH22" i="3"/>
  <c r="AH23" i="6"/>
  <c r="DN22" i="3"/>
  <c r="DN23" i="6"/>
  <c r="BU22" i="3"/>
  <c r="BU23" i="6" s="1"/>
  <c r="BP22" i="3"/>
  <c r="BP23" i="6" s="1"/>
  <c r="BO22" i="3"/>
  <c r="BO23" i="6"/>
  <c r="AG22" i="3"/>
  <c r="AG23" i="6"/>
  <c r="CO22" i="3"/>
  <c r="CO23" i="6" s="1"/>
  <c r="AD22" i="3"/>
  <c r="AD23" i="6" s="1"/>
  <c r="V22" i="3"/>
  <c r="V23" i="6"/>
  <c r="CV22" i="3"/>
  <c r="CV23" i="6"/>
  <c r="DM26" i="3"/>
  <c r="DM27" i="6" s="1"/>
  <c r="CS26" i="3"/>
  <c r="CS27" i="6" s="1"/>
  <c r="BC26" i="3"/>
  <c r="BC27" i="6"/>
  <c r="X26" i="3"/>
  <c r="X27" i="6"/>
  <c r="K26" i="3"/>
  <c r="K27" i="6" s="1"/>
  <c r="AO26" i="3"/>
  <c r="AO27" i="6" s="1"/>
  <c r="N26" i="3"/>
  <c r="N27" i="6"/>
  <c r="DI26" i="3"/>
  <c r="DI27" i="6"/>
  <c r="CI26" i="3"/>
  <c r="CI27" i="6" s="1"/>
  <c r="DE26" i="3"/>
  <c r="DE27" i="6" s="1"/>
  <c r="CC26" i="3"/>
  <c r="CC27" i="6"/>
  <c r="C27" i="6"/>
  <c r="DB26" i="3"/>
  <c r="DB27" i="6" s="1"/>
  <c r="AN26" i="3"/>
  <c r="AN27" i="6"/>
  <c r="BA26" i="3"/>
  <c r="BA27" i="6"/>
  <c r="Z26" i="3"/>
  <c r="Z27" i="6" s="1"/>
  <c r="R26" i="3"/>
  <c r="R27" i="6" s="1"/>
  <c r="AC26" i="3"/>
  <c r="AC27" i="6"/>
  <c r="BD26" i="3"/>
  <c r="BD27" i="6"/>
  <c r="J26" i="3"/>
  <c r="J27" i="6" s="1"/>
  <c r="CZ26" i="3"/>
  <c r="CZ27" i="6" s="1"/>
  <c r="AX26" i="3"/>
  <c r="AX27" i="6"/>
  <c r="DG30" i="3"/>
  <c r="DG31" i="6"/>
  <c r="AG30" i="3"/>
  <c r="AG31" i="6" s="1"/>
  <c r="AE30" i="3"/>
  <c r="AE31" i="6" s="1"/>
  <c r="AO30" i="3"/>
  <c r="AO31" i="6"/>
  <c r="DA30" i="3"/>
  <c r="DA31" i="6"/>
  <c r="CG30" i="3"/>
  <c r="CG31" i="6" s="1"/>
  <c r="Q30" i="3"/>
  <c r="Q31" i="6" s="1"/>
  <c r="BM38" i="3"/>
  <c r="BM39" i="6"/>
  <c r="W38" i="3"/>
  <c r="W39" i="6"/>
  <c r="AP38" i="3"/>
  <c r="AP39" i="6" s="1"/>
  <c r="CF58" i="3"/>
  <c r="CF59" i="6" s="1"/>
  <c r="CI58" i="3"/>
  <c r="CI59" i="6"/>
  <c r="BN70" i="3"/>
  <c r="BN71" i="6"/>
  <c r="BM70" i="3"/>
  <c r="BM71" i="6" s="1"/>
  <c r="BD70" i="3"/>
  <c r="BD71" i="6" s="1"/>
  <c r="V70" i="3"/>
  <c r="V71" i="6"/>
  <c r="AE70" i="3"/>
  <c r="AE71" i="6"/>
  <c r="CG70" i="3"/>
  <c r="CG71" i="6" s="1"/>
  <c r="BX70" i="3"/>
  <c r="BX71" i="6" s="1"/>
  <c r="DK70" i="3"/>
  <c r="DK71" i="6"/>
  <c r="G70" i="3"/>
  <c r="G71" i="6"/>
  <c r="AG70" i="3"/>
  <c r="AG71" i="6" s="1"/>
  <c r="X70" i="3"/>
  <c r="X71" i="6" s="1"/>
  <c r="BB70" i="3"/>
  <c r="BB71" i="6"/>
  <c r="BK70" i="3"/>
  <c r="BK71" i="6"/>
  <c r="BA70" i="3"/>
  <c r="BA71" i="6" s="1"/>
  <c r="AR70" i="3"/>
  <c r="AR71" i="6" s="1"/>
  <c r="AD70" i="3"/>
  <c r="AD71" i="6"/>
  <c r="AM70" i="3"/>
  <c r="AM71" i="6"/>
  <c r="CN70" i="3"/>
  <c r="CN71" i="6" s="1"/>
  <c r="CW70" i="3"/>
  <c r="CW71" i="6" s="1"/>
  <c r="DP70" i="3"/>
  <c r="DP71" i="6"/>
  <c r="AA70" i="3"/>
  <c r="AA71" i="6"/>
  <c r="CH70" i="3"/>
  <c r="CH71" i="6" s="1"/>
  <c r="CQ70" i="3"/>
  <c r="CQ71" i="6" s="1"/>
  <c r="U70" i="3"/>
  <c r="U71" i="6"/>
  <c r="L70" i="3"/>
  <c r="L71" i="6" s="1"/>
  <c r="BJ70" i="3"/>
  <c r="BJ71" i="6" s="1"/>
  <c r="BS70" i="3"/>
  <c r="BS71" i="6" s="1"/>
  <c r="T70" i="3"/>
  <c r="T71" i="6"/>
  <c r="Q89" i="3"/>
  <c r="Q90" i="6" s="1"/>
  <c r="BP89" i="3"/>
  <c r="BP90" i="6" s="1"/>
  <c r="C90" i="6"/>
  <c r="CR89" i="3"/>
  <c r="CR90" i="6" s="1"/>
  <c r="AX89" i="3"/>
  <c r="AX90" i="6" s="1"/>
  <c r="CA89" i="3"/>
  <c r="CA90" i="6"/>
  <c r="BY89" i="3"/>
  <c r="BY90" i="6"/>
  <c r="BR89" i="3"/>
  <c r="BR90" i="6" s="1"/>
  <c r="BG89" i="3"/>
  <c r="BG90" i="6" s="1"/>
  <c r="DC89" i="3"/>
  <c r="DC90" i="6"/>
  <c r="D89" i="3"/>
  <c r="D90" i="6"/>
  <c r="BV89" i="3"/>
  <c r="BV90" i="6" s="1"/>
  <c r="BK89" i="3"/>
  <c r="BK90" i="6" s="1"/>
  <c r="BI89" i="3"/>
  <c r="BI90" i="6"/>
  <c r="BB89" i="3"/>
  <c r="BB90" i="6"/>
  <c r="BO89" i="3"/>
  <c r="BO90" i="6" s="1"/>
  <c r="DN89" i="3"/>
  <c r="DN90" i="6" s="1"/>
  <c r="J89" i="3"/>
  <c r="J90" i="6"/>
  <c r="CI89" i="3"/>
  <c r="CI90" i="6"/>
  <c r="BZ89" i="3"/>
  <c r="BZ90" i="6" s="1"/>
  <c r="DQ89" i="3"/>
  <c r="DQ90" i="6" s="1"/>
  <c r="AZ89" i="3"/>
  <c r="AZ90" i="6"/>
  <c r="AU89" i="3"/>
  <c r="AU90" i="6"/>
  <c r="AL89" i="3"/>
  <c r="AL90" i="6" s="1"/>
  <c r="DA89" i="3"/>
  <c r="DA90" i="6" s="1"/>
  <c r="AH89" i="3"/>
  <c r="AH90" i="6"/>
  <c r="AK89" i="3"/>
  <c r="AK90" i="6"/>
  <c r="BU89" i="3"/>
  <c r="BU90" i="6" s="1"/>
  <c r="AP89" i="3"/>
  <c r="AP90" i="6" s="1"/>
  <c r="BM89" i="3"/>
  <c r="BM90" i="6"/>
  <c r="X89" i="3"/>
  <c r="X90" i="6"/>
  <c r="BH89" i="3"/>
  <c r="BH90" i="6" s="1"/>
  <c r="CL89" i="3"/>
  <c r="CL90" i="6" s="1"/>
  <c r="CY89" i="3"/>
  <c r="CY90" i="6"/>
  <c r="CW89" i="3"/>
  <c r="CW90" i="6"/>
  <c r="I89" i="3"/>
  <c r="I90" i="6" s="1"/>
  <c r="CC89" i="3"/>
  <c r="CC90" i="6" s="1"/>
  <c r="H89" i="3"/>
  <c r="H90" i="6"/>
  <c r="CN89" i="3"/>
  <c r="CN90" i="6"/>
  <c r="CT89" i="3"/>
  <c r="CT90" i="6" s="1"/>
  <c r="DG89" i="3"/>
  <c r="DG90" i="6" s="1"/>
  <c r="DE89" i="3"/>
  <c r="DE90" i="6"/>
  <c r="K89" i="3"/>
  <c r="K90" i="6"/>
  <c r="CE89" i="3"/>
  <c r="CE90" i="6" s="1"/>
  <c r="AJ89" i="3"/>
  <c r="AJ90" i="6" s="1"/>
  <c r="BF89" i="3"/>
  <c r="BF90" i="6"/>
  <c r="M89" i="3"/>
  <c r="M90" i="6"/>
  <c r="Y89" i="3"/>
  <c r="Y90" i="6" s="1"/>
  <c r="P89" i="3"/>
  <c r="P90" i="6" s="1"/>
  <c r="R89" i="3"/>
  <c r="R90" i="6"/>
  <c r="CQ89" i="3"/>
  <c r="CQ90" i="6"/>
  <c r="CH89" i="3"/>
  <c r="CH90" i="6" s="1"/>
  <c r="AF89" i="3"/>
  <c r="AF90" i="6" s="1"/>
  <c r="CD89" i="3"/>
  <c r="CD90" i="6"/>
  <c r="CG89" i="3"/>
  <c r="CG90" i="6"/>
  <c r="DI89" i="3"/>
  <c r="DI90" i="6" s="1"/>
  <c r="BW89" i="3"/>
  <c r="BW90" i="6" s="1"/>
  <c r="CU89" i="3"/>
  <c r="CU90" i="6"/>
  <c r="AG89" i="3"/>
  <c r="AG90" i="6"/>
  <c r="AV89" i="3"/>
  <c r="AV90" i="6" s="1"/>
  <c r="CF89" i="3"/>
  <c r="CF90" i="6" s="1"/>
  <c r="W89" i="3"/>
  <c r="W90" i="6"/>
  <c r="U89" i="3"/>
  <c r="U90" i="6"/>
  <c r="N89" i="3"/>
  <c r="N90" i="6" s="1"/>
  <c r="S89" i="3"/>
  <c r="S90" i="6" s="1"/>
  <c r="CM89" i="3"/>
  <c r="CM90" i="6"/>
  <c r="BD89" i="3"/>
  <c r="BD90" i="6"/>
  <c r="DL89" i="3"/>
  <c r="DL90" i="6" s="1"/>
  <c r="G89" i="3"/>
  <c r="G90" i="6" s="1"/>
  <c r="E89" i="3"/>
  <c r="E90" i="6"/>
  <c r="BX89" i="3"/>
  <c r="BX90" i="6"/>
  <c r="AO89" i="3"/>
  <c r="AO90" i="6" s="1"/>
  <c r="CP89" i="3"/>
  <c r="CP90" i="6" s="1"/>
  <c r="DH89" i="3"/>
  <c r="DH90" i="6"/>
  <c r="DB89" i="3"/>
  <c r="DB90" i="6"/>
  <c r="DM89" i="3"/>
  <c r="DM90" i="6" s="1"/>
  <c r="BE89" i="3"/>
  <c r="BE90" i="6" s="1"/>
  <c r="BL89" i="3"/>
  <c r="BL90" i="6"/>
  <c r="BN89" i="3"/>
  <c r="BN90" i="6"/>
  <c r="BQ89" i="3"/>
  <c r="BQ90" i="6" s="1"/>
  <c r="AA89" i="3"/>
  <c r="AA90" i="6" s="1"/>
  <c r="CB89" i="3"/>
  <c r="CB90" i="6"/>
  <c r="O89" i="3"/>
  <c r="O90" i="6"/>
  <c r="F89" i="3"/>
  <c r="F90" i="6" s="1"/>
  <c r="BS89" i="3"/>
  <c r="BS90" i="6" s="1"/>
  <c r="BW97" i="3"/>
  <c r="BW98" i="6"/>
  <c r="AS97" i="3"/>
  <c r="AS98" i="6"/>
  <c r="AO97" i="3"/>
  <c r="AO98" i="6" s="1"/>
  <c r="BO101" i="3"/>
  <c r="BO102" i="6" s="1"/>
  <c r="BV101" i="3"/>
  <c r="BV102" i="6"/>
  <c r="CF101" i="3"/>
  <c r="CF102" i="6"/>
  <c r="BK101" i="3"/>
  <c r="BK102" i="6" s="1"/>
  <c r="BQ101" i="3"/>
  <c r="BQ102" i="6" s="1"/>
  <c r="DG101" i="3"/>
  <c r="DG102" i="6"/>
  <c r="CG101" i="3"/>
  <c r="CG102" i="6"/>
  <c r="BM30" i="3"/>
  <c r="BM31" i="6" s="1"/>
  <c r="AZ64" i="3"/>
  <c r="AZ65" i="6" s="1"/>
  <c r="DD64" i="3"/>
  <c r="DD65" i="6"/>
  <c r="CG40" i="3"/>
  <c r="CG41" i="6"/>
  <c r="DN40" i="3"/>
  <c r="DN41" i="6" s="1"/>
  <c r="CH40" i="3"/>
  <c r="CH41" i="6" s="1"/>
  <c r="BY40" i="3"/>
  <c r="BY41" i="6"/>
  <c r="CT40" i="3"/>
  <c r="CT41" i="6"/>
  <c r="AS40" i="3"/>
  <c r="AS41" i="6" s="1"/>
  <c r="DB40" i="3"/>
  <c r="DB41" i="6" s="1"/>
  <c r="AO40" i="3"/>
  <c r="AO41" i="6"/>
  <c r="AA40" i="3"/>
  <c r="AA41" i="6"/>
  <c r="DH40" i="3"/>
  <c r="DH41" i="6" s="1"/>
  <c r="CQ40" i="3"/>
  <c r="CQ41" i="6" s="1"/>
  <c r="K40" i="3"/>
  <c r="K41" i="6"/>
  <c r="CF40" i="3"/>
  <c r="CF41" i="6"/>
  <c r="CA40" i="3"/>
  <c r="CA41" i="6" s="1"/>
  <c r="DP20" i="3"/>
  <c r="DP21" i="6" s="1"/>
  <c r="Q20" i="3"/>
  <c r="Q21" i="6"/>
  <c r="BY20" i="3"/>
  <c r="BY21" i="6"/>
  <c r="K20" i="3"/>
  <c r="K21" i="6" s="1"/>
  <c r="AM20" i="3"/>
  <c r="AM21" i="6" s="1"/>
  <c r="AY12" i="3"/>
  <c r="AY13" i="6"/>
  <c r="BP12" i="3"/>
  <c r="BP13" i="6"/>
  <c r="BP3" i="6" s="1"/>
  <c r="CI12" i="3"/>
  <c r="CI13" i="6" s="1"/>
  <c r="BH12" i="3"/>
  <c r="BH13" i="6" s="1"/>
  <c r="AB48" i="3"/>
  <c r="AB49" i="6"/>
  <c r="BP48" i="3"/>
  <c r="BP49" i="6"/>
  <c r="DO52" i="3"/>
  <c r="DO53" i="6" s="1"/>
  <c r="BC52" i="3"/>
  <c r="BC53" i="6" s="1"/>
  <c r="CP64" i="3"/>
  <c r="CP65" i="6"/>
  <c r="BF52" i="3"/>
  <c r="BF53" i="6"/>
  <c r="DF48" i="3"/>
  <c r="DF49" i="6" s="1"/>
  <c r="DJ32" i="3"/>
  <c r="DJ33" i="6" s="1"/>
  <c r="DF24" i="3"/>
  <c r="DF25" i="6"/>
  <c r="DM24" i="3"/>
  <c r="DM25" i="6"/>
  <c r="W32" i="3"/>
  <c r="W33" i="6" s="1"/>
  <c r="U52" i="3"/>
  <c r="U53" i="6" s="1"/>
  <c r="C65" i="6"/>
  <c r="AJ64" i="3"/>
  <c r="AJ65" i="6" s="1"/>
  <c r="BZ40" i="3"/>
  <c r="BZ41" i="6" s="1"/>
  <c r="AT40" i="3"/>
  <c r="AT41" i="6"/>
  <c r="BV40" i="3"/>
  <c r="BV41" i="6"/>
  <c r="AW40" i="3"/>
  <c r="AW41" i="6" s="1"/>
  <c r="CD40" i="3"/>
  <c r="CD41" i="6" s="1"/>
  <c r="Q40" i="3"/>
  <c r="Q41" i="6"/>
  <c r="AX40" i="3"/>
  <c r="AX41" i="6"/>
  <c r="I40" i="3"/>
  <c r="I41" i="6" s="1"/>
  <c r="DQ40" i="3"/>
  <c r="DQ41" i="6" s="1"/>
  <c r="CN40" i="3"/>
  <c r="CN41" i="6"/>
  <c r="BW40" i="3"/>
  <c r="BW41" i="6" s="1"/>
  <c r="AV40" i="3"/>
  <c r="AV41" i="6" s="1"/>
  <c r="BA40" i="3"/>
  <c r="BA41" i="6" s="1"/>
  <c r="AN40" i="3"/>
  <c r="AN41" i="6"/>
  <c r="S40" i="3"/>
  <c r="S41" i="6" s="1"/>
  <c r="V20" i="3"/>
  <c r="V21" i="6" s="1"/>
  <c r="AL20" i="3"/>
  <c r="AL21" i="6" s="1"/>
  <c r="CL20" i="3"/>
  <c r="CL21" i="6"/>
  <c r="AV20" i="3"/>
  <c r="AV21" i="6"/>
  <c r="BC20" i="3"/>
  <c r="BC21" i="6" s="1"/>
  <c r="H12" i="3"/>
  <c r="H13" i="6" s="1"/>
  <c r="BD12" i="3"/>
  <c r="BD13" i="6"/>
  <c r="CU12" i="3"/>
  <c r="CU13" i="6"/>
  <c r="CO12" i="3"/>
  <c r="CO13" i="6" s="1"/>
  <c r="CO3" i="6" s="1"/>
  <c r="BH48" i="3"/>
  <c r="BH49" i="6" s="1"/>
  <c r="DC52" i="3"/>
  <c r="DC53" i="6"/>
  <c r="AQ52" i="3"/>
  <c r="AQ53" i="6" s="1"/>
  <c r="DF52" i="3"/>
  <c r="DF53" i="6" s="1"/>
  <c r="AT52" i="3"/>
  <c r="AT53" i="6" s="1"/>
  <c r="BR32" i="3"/>
  <c r="BR33" i="6" s="1"/>
  <c r="BB24" i="3"/>
  <c r="BB25" i="6"/>
  <c r="Q24" i="3"/>
  <c r="Q25" i="6" s="1"/>
  <c r="S32" i="3"/>
  <c r="S33" i="6" s="1"/>
  <c r="BB2" i="3"/>
  <c r="BB2" i="6" s="1"/>
  <c r="D64" i="3"/>
  <c r="D65" i="6" s="1"/>
  <c r="CN64" i="3"/>
  <c r="CN65" i="6" s="1"/>
  <c r="N40" i="3"/>
  <c r="N41" i="6" s="1"/>
  <c r="DA40" i="3"/>
  <c r="DA41" i="6" s="1"/>
  <c r="Z40" i="3"/>
  <c r="Z41" i="6" s="1"/>
  <c r="AU40" i="3"/>
  <c r="AU41" i="6" s="1"/>
  <c r="AL40" i="3"/>
  <c r="AL41" i="6" s="1"/>
  <c r="AJ40" i="3"/>
  <c r="AJ41" i="6" s="1"/>
  <c r="AH40" i="3"/>
  <c r="AH41" i="6"/>
  <c r="T40" i="3"/>
  <c r="T41" i="6" s="1"/>
  <c r="BU40" i="3"/>
  <c r="BU41" i="6" s="1"/>
  <c r="AF40" i="3"/>
  <c r="AF41" i="6" s="1"/>
  <c r="O40" i="3"/>
  <c r="O41" i="6"/>
  <c r="DC40" i="3"/>
  <c r="DC41" i="6" s="1"/>
  <c r="AK40" i="3"/>
  <c r="AK41" i="6" s="1"/>
  <c r="X40" i="3"/>
  <c r="X41" i="6" s="1"/>
  <c r="M20" i="3"/>
  <c r="M21" i="6" s="1"/>
  <c r="AJ20" i="3"/>
  <c r="AJ21" i="6" s="1"/>
  <c r="CV20" i="3"/>
  <c r="CV21" i="6" s="1"/>
  <c r="I20" i="3"/>
  <c r="I21" i="6" s="1"/>
  <c r="BR12" i="3"/>
  <c r="BR13" i="6" s="1"/>
  <c r="DC12" i="3"/>
  <c r="DC13" i="6" s="1"/>
  <c r="Z12" i="3"/>
  <c r="Z13" i="6" s="1"/>
  <c r="CX12" i="3"/>
  <c r="CX13" i="6" s="1"/>
  <c r="CA52" i="3"/>
  <c r="CA53" i="6" s="1"/>
  <c r="O52" i="3"/>
  <c r="O53" i="6" s="1"/>
  <c r="CT52" i="3"/>
  <c r="CT53" i="6" s="1"/>
  <c r="BB32" i="3"/>
  <c r="BB33" i="6" s="1"/>
  <c r="BX24" i="3"/>
  <c r="BX25" i="6" s="1"/>
  <c r="AQ24" i="3"/>
  <c r="AQ25" i="6" s="1"/>
  <c r="BA2" i="2"/>
  <c r="BA2" i="1"/>
  <c r="AZ2" i="3" s="1"/>
  <c r="AZ2" i="6" s="1"/>
  <c r="BC2" i="2"/>
  <c r="BB2" i="2"/>
  <c r="BC2" i="3"/>
  <c r="BC2" i="6" s="1"/>
  <c r="BD2" i="2"/>
  <c r="BD2" i="3"/>
  <c r="BD2" i="6"/>
  <c r="DO102" i="2"/>
  <c r="BE104" i="2"/>
  <c r="CZ105" i="2"/>
  <c r="AP107" i="2"/>
  <c r="AP137" i="2" s="1"/>
  <c r="AP3" i="2" s="1"/>
  <c r="G110" i="2"/>
  <c r="BG114" i="2"/>
  <c r="H121" i="2"/>
  <c r="AI130" i="2"/>
  <c r="AM21" i="2"/>
  <c r="CX82" i="2"/>
  <c r="P84" i="2"/>
  <c r="DE87" i="2"/>
  <c r="DE137" i="2" s="1"/>
  <c r="DE3" i="2" s="1"/>
  <c r="E43" i="2"/>
  <c r="CB52" i="2"/>
  <c r="AU53" i="2"/>
  <c r="BZ135" i="2"/>
  <c r="BC33" i="2"/>
  <c r="CB76" i="2"/>
  <c r="AC63" i="2"/>
  <c r="BL84" i="2"/>
  <c r="BL137" i="2" s="1"/>
  <c r="BL3" i="2" s="1"/>
  <c r="CA69" i="2"/>
  <c r="N135" i="2"/>
  <c r="M7" i="2"/>
  <c r="DP48" i="2"/>
  <c r="BJ54" i="2"/>
  <c r="W33" i="2"/>
  <c r="AT30" i="2"/>
  <c r="BS25" i="2"/>
  <c r="BS137" i="2" s="1"/>
  <c r="BS3" i="2" s="1"/>
  <c r="U67" i="2"/>
  <c r="CI89" i="2"/>
  <c r="BL52" i="2"/>
  <c r="CB12" i="2"/>
  <c r="CB84" i="2"/>
  <c r="O85" i="2"/>
  <c r="CM69" i="2"/>
  <c r="CZ12" i="2"/>
  <c r="CZ137" i="2" s="1"/>
  <c r="CZ3" i="2" s="1"/>
  <c r="CM7" i="2"/>
  <c r="CH26" i="2"/>
  <c r="CR4" i="2"/>
  <c r="BD80" i="2"/>
  <c r="CP86" i="2"/>
  <c r="P60" i="2"/>
  <c r="CQ69" i="2"/>
  <c r="AM81" i="2"/>
  <c r="AM137" i="2" s="1"/>
  <c r="AM3" i="2" s="1"/>
  <c r="CZ48" i="2"/>
  <c r="DL64" i="2"/>
  <c r="AR64" i="2"/>
  <c r="BJ56" i="2"/>
  <c r="DP24" i="2"/>
  <c r="BK57" i="2"/>
  <c r="BH49" i="2"/>
  <c r="BH137" i="2"/>
  <c r="BH3" i="2" s="1"/>
  <c r="BX76" i="2"/>
  <c r="DH80" i="2"/>
  <c r="AO7" i="2"/>
  <c r="CI26" i="2"/>
  <c r="BZ32" i="2"/>
  <c r="BR82" i="2"/>
  <c r="CZ80" i="2"/>
  <c r="R42" i="2"/>
  <c r="CO59" i="2"/>
  <c r="D76" i="2"/>
  <c r="BK62" i="2"/>
  <c r="DA73" i="2"/>
  <c r="BX68" i="2"/>
  <c r="DB22" i="2"/>
  <c r="CY77" i="2"/>
  <c r="AV40" i="2"/>
  <c r="DC89" i="2"/>
  <c r="AJ20" i="2"/>
  <c r="BI36" i="2"/>
  <c r="R83" i="2"/>
  <c r="BK35" i="2"/>
  <c r="BG52" i="2"/>
  <c r="AG67" i="2"/>
  <c r="BX28" i="2"/>
  <c r="AC83" i="2"/>
  <c r="CX30" i="2"/>
  <c r="CF77" i="2"/>
  <c r="R50" i="2"/>
  <c r="CC19" i="2"/>
  <c r="CG64" i="2"/>
  <c r="DQ47" i="2"/>
  <c r="AM37" i="2"/>
  <c r="AK6" i="2"/>
  <c r="BX89" i="2"/>
  <c r="P68" i="2"/>
  <c r="DH4" i="2"/>
  <c r="CP70" i="2"/>
  <c r="I136" i="2"/>
  <c r="CT6" i="2"/>
  <c r="V5" i="2"/>
  <c r="AY85" i="2"/>
  <c r="CY49" i="2"/>
  <c r="AN56" i="2"/>
  <c r="CO47" i="2"/>
  <c r="AE61" i="2"/>
  <c r="CB60" i="2"/>
  <c r="P8" i="2"/>
  <c r="I97" i="2"/>
  <c r="BY63" i="2"/>
  <c r="CX66" i="2"/>
  <c r="AK83" i="2"/>
  <c r="W31" i="2"/>
  <c r="BD133" i="2"/>
  <c r="CX26" i="2"/>
  <c r="BL12" i="2"/>
  <c r="CI81" i="2"/>
  <c r="BX25" i="2"/>
  <c r="CM28" i="2"/>
  <c r="AQ67" i="2"/>
  <c r="L34" i="2"/>
  <c r="AF14" i="2"/>
  <c r="AJ85" i="2"/>
  <c r="DJ67" i="2"/>
  <c r="BS50" i="2"/>
  <c r="AB33" i="2"/>
  <c r="DB15" i="2"/>
  <c r="BG17" i="2"/>
  <c r="AY61" i="2"/>
  <c r="AJ84" i="2"/>
  <c r="T8" i="2"/>
  <c r="AV24" i="2"/>
  <c r="BK41" i="2"/>
  <c r="BZ58" i="2"/>
  <c r="CO75" i="2"/>
  <c r="W4" i="2"/>
  <c r="DQ15" i="2"/>
  <c r="R34" i="2"/>
  <c r="BX52" i="2"/>
  <c r="X19" i="2"/>
  <c r="CU47" i="2"/>
  <c r="BB16" i="2"/>
  <c r="G82" i="2"/>
  <c r="W58" i="2"/>
  <c r="AX35" i="2"/>
  <c r="BY12" i="2"/>
  <c r="DQ43" i="2"/>
  <c r="J82" i="2"/>
  <c r="BZ10" i="2"/>
  <c r="N34" i="2"/>
  <c r="AV56" i="2"/>
  <c r="CX78" i="2"/>
  <c r="BC8" i="2"/>
  <c r="DQ31" i="2"/>
  <c r="DQ55" i="2"/>
  <c r="AG75" i="2"/>
  <c r="AK58" i="2"/>
  <c r="AN54" i="2"/>
  <c r="N12" i="2"/>
  <c r="D69" i="2"/>
  <c r="CA38" i="2"/>
  <c r="AK8" i="2"/>
  <c r="CF68" i="2"/>
  <c r="CF8" i="2"/>
  <c r="CP54" i="2"/>
  <c r="AV76" i="2"/>
  <c r="AD135" i="2"/>
  <c r="V34" i="2"/>
  <c r="DB6" i="2"/>
  <c r="CQ21" i="2"/>
  <c r="AU86" i="2"/>
  <c r="BS41" i="2"/>
  <c r="BR18" i="2"/>
  <c r="CP22" i="2"/>
  <c r="CY25" i="2"/>
  <c r="DE71" i="2"/>
  <c r="DM11" i="2"/>
  <c r="DO89" i="2"/>
  <c r="CO79" i="2"/>
  <c r="AN72" i="2"/>
  <c r="BK37" i="2"/>
  <c r="N78" i="2"/>
  <c r="M63" i="2"/>
  <c r="AZ91" i="2"/>
  <c r="AI16" i="2"/>
  <c r="CB58" i="2"/>
  <c r="AL28" i="2"/>
  <c r="DI9" i="2"/>
  <c r="DM80" i="2"/>
  <c r="BV63" i="2"/>
  <c r="AE46" i="2"/>
  <c r="DE28" i="2"/>
  <c r="BN11" i="2"/>
  <c r="S29" i="2"/>
  <c r="AO67" i="2"/>
  <c r="CN88" i="2"/>
  <c r="CO11" i="2"/>
  <c r="CZ28" i="2"/>
  <c r="CY45" i="2"/>
  <c r="CX62" i="2"/>
  <c r="CW79" i="2"/>
  <c r="AW6" i="2"/>
  <c r="BX20" i="2"/>
  <c r="DB38" i="2"/>
  <c r="DL56" i="2"/>
  <c r="Y85" i="2"/>
  <c r="DN36" i="2"/>
  <c r="DP10" i="2"/>
  <c r="BN75" i="2"/>
  <c r="CO52" i="2"/>
  <c r="DL29" i="2"/>
  <c r="O6" i="2"/>
  <c r="BF58" i="2"/>
  <c r="CC87" i="2"/>
  <c r="DH16" i="2"/>
  <c r="AK39" i="2"/>
  <c r="CY61" i="2"/>
  <c r="AM85" i="2"/>
  <c r="CM13" i="2"/>
  <c r="CM37" i="2"/>
  <c r="CM61" i="2"/>
  <c r="DQ79" i="2"/>
  <c r="DK24" i="2"/>
  <c r="S39" i="2"/>
  <c r="AD96" i="2"/>
  <c r="AZ61" i="2"/>
  <c r="J31" i="2"/>
  <c r="BN14" i="2"/>
  <c r="BO77" i="2"/>
  <c r="CX14" i="2"/>
  <c r="CX46" i="2"/>
  <c r="AM65" i="2"/>
  <c r="CZ32" i="2"/>
  <c r="AC7" i="2"/>
  <c r="CX58" i="2"/>
  <c r="W41" i="2"/>
  <c r="BS33" i="2"/>
  <c r="BO134" i="2"/>
  <c r="CI65" i="2"/>
  <c r="AS79" i="2"/>
  <c r="AT5" i="2"/>
  <c r="CR60" i="2"/>
  <c r="N82" i="2"/>
  <c r="CG35" i="2"/>
  <c r="CR12" i="2"/>
  <c r="AS63" i="2"/>
  <c r="P52" i="2"/>
  <c r="E83" i="2"/>
  <c r="CM77" i="2"/>
  <c r="CX69" i="2"/>
  <c r="J88" i="2"/>
  <c r="DQ49" i="2"/>
  <c r="DH22" i="2"/>
  <c r="BU5" i="2"/>
  <c r="BY76" i="2"/>
  <c r="AH59" i="2"/>
  <c r="DD41" i="2"/>
  <c r="BQ24" i="2"/>
  <c r="Z7" i="2"/>
  <c r="K41" i="2"/>
  <c r="AA73" i="2"/>
  <c r="BP4" i="2"/>
  <c r="CW15" i="2"/>
  <c r="DH32" i="2"/>
  <c r="N50" i="2"/>
  <c r="AC67" i="2"/>
  <c r="AN84" i="2"/>
  <c r="DD7" i="2"/>
  <c r="DL24" i="2"/>
  <c r="AG43" i="2"/>
  <c r="G64" i="2"/>
  <c r="CE71" i="2"/>
  <c r="CO29" i="2"/>
  <c r="BJ4" i="2"/>
  <c r="O70" i="2"/>
  <c r="AP47" i="2"/>
  <c r="BF23" i="2"/>
  <c r="BU11" i="2"/>
  <c r="DC65" i="2"/>
  <c r="R5" i="2"/>
  <c r="AL22" i="2"/>
  <c r="CZ44" i="2"/>
  <c r="AN68" i="2"/>
  <c r="DK91" i="2"/>
  <c r="AG19" i="2"/>
  <c r="BX44" i="2"/>
  <c r="R66" i="2"/>
  <c r="BX84" i="2"/>
  <c r="I93" i="2"/>
  <c r="CV26" i="2"/>
  <c r="AC84" i="2"/>
  <c r="CV53" i="2"/>
  <c r="AU22" i="2"/>
  <c r="Y35" i="2"/>
  <c r="BN86" i="2"/>
  <c r="AK23" i="2"/>
  <c r="AU37" i="2"/>
  <c r="CZ88" i="2"/>
  <c r="AN133" i="2"/>
  <c r="N62" i="2"/>
  <c r="P28" i="2"/>
  <c r="AB32" i="2"/>
  <c r="BJ135" i="2"/>
  <c r="AN52" i="2"/>
  <c r="BT18" i="2"/>
  <c r="BP37" i="2"/>
  <c r="Q79" i="2"/>
  <c r="AL54" i="2"/>
  <c r="CM29" i="2"/>
  <c r="DA21" i="2"/>
  <c r="G18" i="2"/>
  <c r="CO27" i="2"/>
  <c r="R26" i="2"/>
  <c r="BM69" i="2"/>
  <c r="CQ14" i="2"/>
  <c r="AL38" i="2"/>
  <c r="CZ76" i="2"/>
  <c r="BX12" i="2"/>
  <c r="CM45" i="2"/>
  <c r="DL72" i="2"/>
  <c r="AK101" i="2"/>
  <c r="Y65" i="2"/>
  <c r="BM17" i="2"/>
  <c r="BC74" i="2"/>
  <c r="M44" i="2"/>
  <c r="CF13" i="2"/>
  <c r="DQ59" i="2"/>
  <c r="AD6" i="2"/>
  <c r="CW31" i="2"/>
  <c r="CW63" i="2"/>
  <c r="CI4" i="2"/>
  <c r="DB30" i="2"/>
  <c r="DB62" i="2"/>
  <c r="DB86" i="2"/>
  <c r="CP20" i="2"/>
  <c r="BA48" i="2"/>
  <c r="DC49" i="2"/>
  <c r="CY29" i="2"/>
  <c r="BK89" i="2"/>
  <c r="AG59" i="2"/>
  <c r="N30" i="2"/>
  <c r="O13" i="2"/>
  <c r="CN83" i="2"/>
  <c r="AQ15" i="2"/>
  <c r="DO42" i="2"/>
  <c r="CT62" i="2"/>
  <c r="AC35" i="2"/>
  <c r="AI5" i="2"/>
  <c r="DQ63" i="2"/>
  <c r="F24" i="2"/>
  <c r="CT46" i="2"/>
  <c r="AK87" i="2"/>
  <c r="G33" i="2"/>
  <c r="W9" i="2"/>
  <c r="Z71" i="2"/>
  <c r="CC83" i="2"/>
  <c r="AG35" i="2"/>
  <c r="AV20" i="2"/>
  <c r="CI41" i="2"/>
  <c r="CC93" i="2"/>
  <c r="CO39" i="2"/>
  <c r="T98" i="2"/>
  <c r="CQ85" i="2"/>
  <c r="AF68" i="2"/>
  <c r="AE45" i="2"/>
  <c r="AF52" i="2"/>
  <c r="DO49" i="2"/>
  <c r="CB36" i="2"/>
  <c r="CC45" i="2"/>
  <c r="S4" i="2"/>
  <c r="AV72" i="2"/>
  <c r="AU13" i="2"/>
  <c r="F18" i="2"/>
  <c r="CF98" i="2"/>
  <c r="BL76" i="2"/>
  <c r="BR66" i="2"/>
  <c r="BY79" i="2"/>
  <c r="O37" i="2"/>
  <c r="M87" i="2"/>
  <c r="AR94" i="2"/>
  <c r="H8" i="2"/>
  <c r="AI7" i="3"/>
  <c r="AI8" i="6" s="1"/>
  <c r="P7" i="3"/>
  <c r="P8" i="6" s="1"/>
  <c r="CI41" i="3"/>
  <c r="CI42" i="6"/>
  <c r="BX41" i="3"/>
  <c r="BX42" i="6" s="1"/>
  <c r="CS41" i="3"/>
  <c r="CS42" i="6" s="1"/>
  <c r="Z45" i="3"/>
  <c r="Z46" i="6" s="1"/>
  <c r="CT45" i="3"/>
  <c r="CT46" i="6" s="1"/>
  <c r="BU53" i="3"/>
  <c r="BU54" i="6" s="1"/>
  <c r="AZ53" i="3"/>
  <c r="AZ54" i="6" s="1"/>
  <c r="BV53" i="3"/>
  <c r="BV54" i="6" s="1"/>
  <c r="AO53" i="3"/>
  <c r="AO54" i="6" s="1"/>
  <c r="AJ53" i="3"/>
  <c r="AJ54" i="6" s="1"/>
  <c r="AM53" i="3"/>
  <c r="AM54" i="6" s="1"/>
  <c r="BA53" i="3"/>
  <c r="BA54" i="6" s="1"/>
  <c r="CH53" i="3"/>
  <c r="CH54" i="6" s="1"/>
  <c r="CH3" i="6" s="1"/>
  <c r="CT53" i="3"/>
  <c r="CT54" i="6" s="1"/>
  <c r="DP53" i="3"/>
  <c r="DP54" i="6" s="1"/>
  <c r="CJ53" i="3"/>
  <c r="CJ54" i="6" s="1"/>
  <c r="AA53" i="3"/>
  <c r="AA54" i="6"/>
  <c r="H53" i="3"/>
  <c r="H54" i="6" s="1"/>
  <c r="BC53" i="3"/>
  <c r="BC54" i="6" s="1"/>
  <c r="CA53" i="3"/>
  <c r="CA54" i="6" s="1"/>
  <c r="BB53" i="3"/>
  <c r="BB54" i="6" s="1"/>
  <c r="AF53" i="3"/>
  <c r="AF54" i="6" s="1"/>
  <c r="BI53" i="3"/>
  <c r="BI54" i="6" s="1"/>
  <c r="Y53" i="3"/>
  <c r="Y54" i="6" s="1"/>
  <c r="C82" i="4"/>
  <c r="D86" i="1" s="1"/>
  <c r="G40" i="5"/>
  <c r="DH20" i="3"/>
  <c r="DH21" i="6"/>
  <c r="DH3" i="6" s="1"/>
  <c r="AK20" i="3"/>
  <c r="AK21" i="6"/>
  <c r="BB20" i="3"/>
  <c r="BB21" i="6"/>
  <c r="AS20" i="3"/>
  <c r="AS21" i="6"/>
  <c r="BJ20" i="3"/>
  <c r="BJ21" i="6"/>
  <c r="L20" i="3"/>
  <c r="L21" i="6"/>
  <c r="BA20" i="3"/>
  <c r="BA21" i="6"/>
  <c r="CM20" i="3"/>
  <c r="CM21" i="6"/>
  <c r="BP20" i="3"/>
  <c r="BP21" i="6"/>
  <c r="Y20" i="3"/>
  <c r="Y21" i="6"/>
  <c r="CO20" i="3"/>
  <c r="CO21" i="6"/>
  <c r="AA20" i="3"/>
  <c r="AA21" i="6"/>
  <c r="BM20" i="3"/>
  <c r="BM21" i="6"/>
  <c r="BM3" i="6" s="1"/>
  <c r="BN20" i="3"/>
  <c r="BN21" i="6"/>
  <c r="H20" i="3"/>
  <c r="H21" i="6"/>
  <c r="BT20" i="3"/>
  <c r="BT21" i="6"/>
  <c r="AG20" i="3"/>
  <c r="AG21" i="6"/>
  <c r="AG3" i="6" s="1"/>
  <c r="CQ20" i="3"/>
  <c r="CQ21" i="6"/>
  <c r="O20" i="3"/>
  <c r="O21" i="6"/>
  <c r="CC12" i="3"/>
  <c r="CC13" i="6"/>
  <c r="M12" i="3"/>
  <c r="M13" i="6"/>
  <c r="M3" i="6" s="1"/>
  <c r="AJ12" i="3"/>
  <c r="AJ13" i="6" s="1"/>
  <c r="AM12" i="3"/>
  <c r="AM13" i="6"/>
  <c r="N12" i="3"/>
  <c r="N13" i="6"/>
  <c r="AG12" i="3"/>
  <c r="AG13" i="6"/>
  <c r="AF12" i="3"/>
  <c r="AF13" i="6" s="1"/>
  <c r="E12" i="3"/>
  <c r="E13" i="6"/>
  <c r="V12" i="3"/>
  <c r="V13" i="6"/>
  <c r="AU12" i="3"/>
  <c r="AU13" i="6"/>
  <c r="BO12" i="3"/>
  <c r="BO13" i="6" s="1"/>
  <c r="BZ12" i="3"/>
  <c r="BZ13" i="6"/>
  <c r="CQ12" i="3"/>
  <c r="CQ13" i="6"/>
  <c r="BG12" i="3"/>
  <c r="BG13" i="6" s="1"/>
  <c r="J12" i="3"/>
  <c r="J13" i="6" s="1"/>
  <c r="BT53" i="3"/>
  <c r="BT54" i="6"/>
  <c r="BJ53" i="3"/>
  <c r="BJ54" i="6"/>
  <c r="DA53" i="3"/>
  <c r="DA54" i="6"/>
  <c r="E53" i="3"/>
  <c r="E54" i="6" s="1"/>
  <c r="AP53" i="3"/>
  <c r="AP54" i="6" s="1"/>
  <c r="K53" i="3"/>
  <c r="K54" i="6"/>
  <c r="CV53" i="3"/>
  <c r="CV54" i="6" s="1"/>
  <c r="I53" i="3"/>
  <c r="I54" i="6" s="1"/>
  <c r="BQ53" i="3"/>
  <c r="BQ54" i="6" s="1"/>
  <c r="DI53" i="3"/>
  <c r="DI54" i="6"/>
  <c r="BN53" i="3"/>
  <c r="BN54" i="6"/>
  <c r="BD53" i="3"/>
  <c r="BD54" i="6" s="1"/>
  <c r="W53" i="3"/>
  <c r="W54" i="6" s="1"/>
  <c r="D53" i="3"/>
  <c r="D54" i="6"/>
  <c r="BK53" i="3"/>
  <c r="BK54" i="6"/>
  <c r="AU53" i="3"/>
  <c r="AU54" i="6" s="1"/>
  <c r="CF53" i="3"/>
  <c r="CF54" i="6"/>
  <c r="G53" i="3"/>
  <c r="G54" i="6"/>
  <c r="AE53" i="3"/>
  <c r="AE54" i="6" s="1"/>
  <c r="BF53" i="3"/>
  <c r="BF54" i="6" s="1"/>
  <c r="Q53" i="3"/>
  <c r="Q54" i="6" s="1"/>
  <c r="AH53" i="3"/>
  <c r="AH54" i="6"/>
  <c r="BO53" i="3"/>
  <c r="BO54" i="6"/>
  <c r="AI37" i="3"/>
  <c r="AI38" i="6" s="1"/>
  <c r="CF37" i="3"/>
  <c r="CF38" i="6" s="1"/>
  <c r="CT41" i="3"/>
  <c r="CT42" i="6"/>
  <c r="AN37" i="3"/>
  <c r="AN38" i="6" s="1"/>
  <c r="S20" i="3"/>
  <c r="S21" i="6" s="1"/>
  <c r="BQ20" i="3"/>
  <c r="BQ21" i="6" s="1"/>
  <c r="AB20" i="3"/>
  <c r="AB21" i="6"/>
  <c r="DI20" i="3"/>
  <c r="DI21" i="6"/>
  <c r="CT20" i="3"/>
  <c r="CT21" i="6" s="1"/>
  <c r="BX20" i="3"/>
  <c r="BX21" i="6" s="1"/>
  <c r="CK20" i="3"/>
  <c r="CK21" i="6"/>
  <c r="CE20" i="3"/>
  <c r="CE21" i="6" s="1"/>
  <c r="CN20" i="3"/>
  <c r="CN21" i="6" s="1"/>
  <c r="AO20" i="3"/>
  <c r="AO21" i="6" s="1"/>
  <c r="BF20" i="3"/>
  <c r="BF21" i="6"/>
  <c r="AY20" i="3"/>
  <c r="AY21" i="6"/>
  <c r="CC20" i="3"/>
  <c r="CC21" i="6" s="1"/>
  <c r="CH20" i="3"/>
  <c r="CH21" i="6" s="1"/>
  <c r="P20" i="3"/>
  <c r="P21" i="6"/>
  <c r="CB20" i="3"/>
  <c r="CB21" i="6" s="1"/>
  <c r="BI20" i="3"/>
  <c r="BI21" i="6" s="1"/>
  <c r="AP20" i="3"/>
  <c r="AP21" i="6" s="1"/>
  <c r="AE20" i="3"/>
  <c r="AE21" i="6"/>
  <c r="AU20" i="3"/>
  <c r="AU21" i="6"/>
  <c r="AD12" i="3"/>
  <c r="AD13" i="6" s="1"/>
  <c r="AW12" i="3"/>
  <c r="AW13" i="6" s="1"/>
  <c r="CV12" i="3"/>
  <c r="CV13" i="6"/>
  <c r="AT12" i="3"/>
  <c r="AT13" i="6" s="1"/>
  <c r="R12" i="3"/>
  <c r="R13" i="6" s="1"/>
  <c r="O12" i="3"/>
  <c r="O13" i="6" s="1"/>
  <c r="BE12" i="3"/>
  <c r="BE13" i="6"/>
  <c r="DB12" i="3"/>
  <c r="DB13" i="6"/>
  <c r="Y12" i="3"/>
  <c r="Y13" i="6" s="1"/>
  <c r="CP12" i="3"/>
  <c r="CP13" i="6" s="1"/>
  <c r="BK12" i="3"/>
  <c r="BK13" i="6"/>
  <c r="AC12" i="3"/>
  <c r="AC13" i="6" s="1"/>
  <c r="AL12" i="3"/>
  <c r="AL13" i="6" s="1"/>
  <c r="C54" i="6"/>
  <c r="AT53" i="3"/>
  <c r="AT54" i="6"/>
  <c r="BM53" i="3"/>
  <c r="BM54" i="6"/>
  <c r="AQ53" i="3"/>
  <c r="AQ54" i="6" s="1"/>
  <c r="CB53" i="3"/>
  <c r="CB54" i="6"/>
  <c r="V53" i="3"/>
  <c r="V54" i="6"/>
  <c r="CU53" i="3"/>
  <c r="CU54" i="6"/>
  <c r="CR53" i="3"/>
  <c r="CR54" i="6" s="1"/>
  <c r="CM53" i="3"/>
  <c r="CM54" i="6"/>
  <c r="U53" i="3"/>
  <c r="U54" i="6"/>
  <c r="J53" i="3"/>
  <c r="J54" i="6" s="1"/>
  <c r="CD53" i="3"/>
  <c r="CD54" i="6" s="1"/>
  <c r="X53" i="3"/>
  <c r="X54" i="6"/>
  <c r="CY53" i="3"/>
  <c r="CY54" i="6"/>
  <c r="DL53" i="3"/>
  <c r="DL54" i="6"/>
  <c r="T53" i="3"/>
  <c r="T54" i="6" s="1"/>
  <c r="BH53" i="3"/>
  <c r="BH54" i="6"/>
  <c r="CN53" i="3"/>
  <c r="CN54" i="6"/>
  <c r="CQ53" i="3"/>
  <c r="CQ54" i="6"/>
  <c r="DO53" i="3"/>
  <c r="DO54" i="6" s="1"/>
  <c r="DQ53" i="3"/>
  <c r="DQ54" i="6"/>
  <c r="AY53" i="3"/>
  <c r="AY54" i="6"/>
  <c r="AN53" i="3"/>
  <c r="AN54" i="6" s="1"/>
  <c r="CO53" i="3"/>
  <c r="CO54" i="6" s="1"/>
  <c r="N53" i="3"/>
  <c r="N54" i="6"/>
  <c r="BQ41" i="3"/>
  <c r="BQ42" i="6"/>
  <c r="DH37" i="3"/>
  <c r="DH38" i="6" s="1"/>
  <c r="CD37" i="3"/>
  <c r="CD38" i="6" s="1"/>
  <c r="R41" i="3"/>
  <c r="R42" i="6"/>
  <c r="AR20" i="3"/>
  <c r="AR21" i="6"/>
  <c r="DA20" i="3"/>
  <c r="DA21" i="6"/>
  <c r="CR20" i="3"/>
  <c r="CR21" i="6" s="1"/>
  <c r="Z20" i="3"/>
  <c r="Z21" i="6"/>
  <c r="BG20" i="3"/>
  <c r="BG21" i="6" s="1"/>
  <c r="CZ20" i="3"/>
  <c r="CZ21" i="6"/>
  <c r="DQ20" i="3"/>
  <c r="DQ21" i="6" s="1"/>
  <c r="D20" i="3"/>
  <c r="D21" i="6"/>
  <c r="DD20" i="3"/>
  <c r="DD21" i="6" s="1"/>
  <c r="BE20" i="3"/>
  <c r="BE21" i="6"/>
  <c r="BV20" i="3"/>
  <c r="BV21" i="6" s="1"/>
  <c r="CF20" i="3"/>
  <c r="CF21" i="6"/>
  <c r="N20" i="3"/>
  <c r="N21" i="6" s="1"/>
  <c r="DC20" i="3"/>
  <c r="DC21" i="6" s="1"/>
  <c r="AN20" i="3"/>
  <c r="AN21" i="6" s="1"/>
  <c r="DL20" i="3"/>
  <c r="DL21" i="6" s="1"/>
  <c r="CS20" i="3"/>
  <c r="CS21" i="6" s="1"/>
  <c r="CP20" i="3"/>
  <c r="CP21" i="6"/>
  <c r="BS20" i="3"/>
  <c r="BS21" i="6" s="1"/>
  <c r="CA12" i="3"/>
  <c r="CA13" i="6" s="1"/>
  <c r="BL12" i="3"/>
  <c r="BL13" i="6" s="1"/>
  <c r="AH12" i="3"/>
  <c r="AH13" i="6"/>
  <c r="CM12" i="3"/>
  <c r="CM13" i="6" s="1"/>
  <c r="CR12" i="3"/>
  <c r="CR13" i="6" s="1"/>
  <c r="BB12" i="3"/>
  <c r="BB13" i="6" s="1"/>
  <c r="CN12" i="3"/>
  <c r="CN13" i="6" s="1"/>
  <c r="BU12" i="3"/>
  <c r="BU13" i="6" s="1"/>
  <c r="CZ12" i="3"/>
  <c r="CZ13" i="6" s="1"/>
  <c r="BX12" i="3"/>
  <c r="BX13" i="6"/>
  <c r="AS12" i="3"/>
  <c r="AS13" i="6"/>
  <c r="DH12" i="3"/>
  <c r="DH13" i="6" s="1"/>
  <c r="CF12" i="3"/>
  <c r="CF13" i="6" s="1"/>
  <c r="BM12" i="3"/>
  <c r="BM13" i="6" s="1"/>
  <c r="CX53" i="3"/>
  <c r="CX54" i="6"/>
  <c r="Z53" i="3"/>
  <c r="Z54" i="6" s="1"/>
  <c r="AS53" i="3"/>
  <c r="AS54" i="6" s="1"/>
  <c r="CE53" i="3"/>
  <c r="CE54" i="6" s="1"/>
  <c r="DN53" i="3"/>
  <c r="DN54" i="6" s="1"/>
  <c r="CW53" i="3"/>
  <c r="CW54" i="6" s="1"/>
  <c r="BL53" i="3"/>
  <c r="BL54" i="6" s="1"/>
  <c r="BG53" i="3"/>
  <c r="BG54" i="6" s="1"/>
  <c r="AK53" i="3"/>
  <c r="AK54" i="6"/>
  <c r="CG53" i="3"/>
  <c r="CG54" i="6" s="1"/>
  <c r="AL53" i="3"/>
  <c r="AL54" i="6" s="1"/>
  <c r="DF53" i="3"/>
  <c r="DF54" i="6" s="1"/>
  <c r="DD53" i="3"/>
  <c r="DD54" i="6"/>
  <c r="O53" i="3"/>
  <c r="O54" i="6" s="1"/>
  <c r="BS53" i="3"/>
  <c r="BS54" i="6" s="1"/>
  <c r="BP53" i="3"/>
  <c r="BP54" i="6" s="1"/>
  <c r="AR53" i="3"/>
  <c r="AR54" i="6"/>
  <c r="DG53" i="3"/>
  <c r="DG54" i="6" s="1"/>
  <c r="L53" i="3"/>
  <c r="L54" i="6" s="1"/>
  <c r="P53" i="3"/>
  <c r="P54" i="6" s="1"/>
  <c r="CC53" i="3"/>
  <c r="CC54" i="6" s="1"/>
  <c r="CZ53" i="3"/>
  <c r="CZ54" i="6" s="1"/>
  <c r="BY53" i="3"/>
  <c r="BY54" i="6" s="1"/>
  <c r="BI45" i="3"/>
  <c r="BI46" i="6" s="1"/>
  <c r="CG45" i="3"/>
  <c r="CG46" i="6" s="1"/>
  <c r="BI41" i="3"/>
  <c r="BI42" i="6" s="1"/>
  <c r="AF37" i="3"/>
  <c r="AF38" i="6" s="1"/>
  <c r="C113" i="4"/>
  <c r="D117" i="1" s="1"/>
  <c r="K26" i="5"/>
  <c r="C78" i="4"/>
  <c r="D82" i="1"/>
  <c r="G36" i="5" s="1"/>
  <c r="BJ2" i="1"/>
  <c r="BI2" i="2" s="1"/>
  <c r="C22" i="4"/>
  <c r="D26" i="1" s="1"/>
  <c r="C25" i="5"/>
  <c r="DL80" i="3"/>
  <c r="DL81" i="6" s="1"/>
  <c r="BI80" i="3"/>
  <c r="BI81" i="6"/>
  <c r="AK80" i="3"/>
  <c r="AK81" i="6" s="1"/>
  <c r="BU80" i="3"/>
  <c r="BU81" i="6"/>
  <c r="DH80" i="3"/>
  <c r="DH81" i="6"/>
  <c r="G80" i="3"/>
  <c r="G81" i="6"/>
  <c r="CM80" i="3"/>
  <c r="CM81" i="6" s="1"/>
  <c r="CU80" i="3"/>
  <c r="CU81" i="6"/>
  <c r="AB80" i="3"/>
  <c r="AB81" i="6"/>
  <c r="CO80" i="3"/>
  <c r="CO81" i="6"/>
  <c r="Q80" i="3"/>
  <c r="Q81" i="6" s="1"/>
  <c r="CH80" i="3"/>
  <c r="CH81" i="6"/>
  <c r="BW80" i="3"/>
  <c r="BW81" i="6" s="1"/>
  <c r="D80" i="3"/>
  <c r="D81" i="6"/>
  <c r="CD80" i="3"/>
  <c r="CD81" i="6" s="1"/>
  <c r="BQ84" i="3"/>
  <c r="BQ85" i="6"/>
  <c r="DD80" i="3"/>
  <c r="DD81" i="6" s="1"/>
  <c r="BA80" i="3"/>
  <c r="BA81" i="6"/>
  <c r="BT80" i="3"/>
  <c r="BT81" i="6" s="1"/>
  <c r="BE80" i="3"/>
  <c r="BE81" i="6"/>
  <c r="CP80" i="3"/>
  <c r="CP81" i="6" s="1"/>
  <c r="BC80" i="3"/>
  <c r="BC81" i="6"/>
  <c r="BG80" i="3"/>
  <c r="BG81" i="6" s="1"/>
  <c r="CX80" i="3"/>
  <c r="CX81" i="6"/>
  <c r="BZ84" i="3"/>
  <c r="BZ85" i="6" s="1"/>
  <c r="BZ80" i="3"/>
  <c r="BZ81" i="6"/>
  <c r="DO41" i="3"/>
  <c r="DO42" i="6" s="1"/>
  <c r="CD41" i="3"/>
  <c r="CD42" i="6"/>
  <c r="BJ41" i="3"/>
  <c r="BJ42" i="6" s="1"/>
  <c r="AY80" i="3"/>
  <c r="AY81" i="6"/>
  <c r="BN80" i="3"/>
  <c r="BN81" i="6" s="1"/>
  <c r="DC80" i="3"/>
  <c r="DC81" i="6"/>
  <c r="AE80" i="3"/>
  <c r="AE81" i="6" s="1"/>
  <c r="DJ80" i="3"/>
  <c r="DJ81" i="6"/>
  <c r="BM80" i="3"/>
  <c r="BM81" i="6" s="1"/>
  <c r="CJ80" i="3"/>
  <c r="CJ81" i="6"/>
  <c r="AC80" i="3"/>
  <c r="AC81" i="6" s="1"/>
  <c r="AR80" i="3"/>
  <c r="AR81" i="6"/>
  <c r="DH45" i="3"/>
  <c r="DH46" i="6" s="1"/>
  <c r="CV41" i="3"/>
  <c r="CV42" i="6"/>
  <c r="BT41" i="3"/>
  <c r="BT42" i="6" s="1"/>
  <c r="BZ41" i="3"/>
  <c r="BZ42" i="6"/>
  <c r="BP80" i="3"/>
  <c r="BP81" i="6" s="1"/>
  <c r="AN80" i="3"/>
  <c r="AN81" i="6"/>
  <c r="R80" i="3"/>
  <c r="R81" i="6" s="1"/>
  <c r="AM80" i="3"/>
  <c r="AM81" i="6"/>
  <c r="AA80" i="3"/>
  <c r="AA81" i="6" s="1"/>
  <c r="AI80" i="3"/>
  <c r="AI81" i="6"/>
  <c r="E80" i="3"/>
  <c r="E81" i="6" s="1"/>
  <c r="BD80" i="3"/>
  <c r="BD81" i="6"/>
  <c r="CC80" i="3"/>
  <c r="CC81" i="6" s="1"/>
  <c r="AU80" i="3"/>
  <c r="AU81" i="6"/>
  <c r="K80" i="3"/>
  <c r="K81" i="6" s="1"/>
  <c r="AA84" i="3"/>
  <c r="AA85" i="6"/>
  <c r="U80" i="3"/>
  <c r="U81" i="6" s="1"/>
  <c r="O80" i="3"/>
  <c r="O81" i="6"/>
  <c r="W84" i="3"/>
  <c r="W85" i="6" s="1"/>
  <c r="T80" i="3"/>
  <c r="T81" i="6"/>
  <c r="CW80" i="3"/>
  <c r="CW81" i="6" s="1"/>
  <c r="Y80" i="3"/>
  <c r="Y81" i="6"/>
  <c r="AV80" i="3"/>
  <c r="AV81" i="6" s="1"/>
  <c r="AP80" i="3"/>
  <c r="AP81" i="6"/>
  <c r="F80" i="3"/>
  <c r="F81" i="6" s="1"/>
  <c r="CT80" i="3"/>
  <c r="CT81" i="6"/>
  <c r="BK41" i="3"/>
  <c r="BK42" i="6" s="1"/>
  <c r="DB41" i="3"/>
  <c r="DB42" i="6"/>
  <c r="DK80" i="3"/>
  <c r="DK81" i="6" s="1"/>
  <c r="BJ80" i="3"/>
  <c r="BJ81" i="6"/>
  <c r="BL80" i="3"/>
  <c r="BL81" i="6" s="1"/>
  <c r="X80" i="3"/>
  <c r="X81" i="6"/>
  <c r="M80" i="3"/>
  <c r="M81" i="6" s="1"/>
  <c r="CF80" i="3"/>
  <c r="CF81" i="6"/>
  <c r="CN45" i="3"/>
  <c r="CN46" i="6" s="1"/>
  <c r="C46" i="6"/>
  <c r="DG41" i="3"/>
  <c r="DG42" i="6"/>
  <c r="CK41" i="3"/>
  <c r="CK42" i="6"/>
  <c r="H41" i="3"/>
  <c r="H42" i="6"/>
  <c r="F41" i="3"/>
  <c r="F42" i="6" s="1"/>
  <c r="BV36" i="3"/>
  <c r="BV37" i="6"/>
  <c r="AR36" i="3"/>
  <c r="AR37" i="6"/>
  <c r="AQ36" i="3"/>
  <c r="AQ37" i="6"/>
  <c r="T84" i="3"/>
  <c r="T85" i="6" s="1"/>
  <c r="DE80" i="3"/>
  <c r="DE81" i="6"/>
  <c r="CZ80" i="3"/>
  <c r="CZ81" i="6"/>
  <c r="CR80" i="3"/>
  <c r="CR81" i="6"/>
  <c r="J80" i="3"/>
  <c r="J81" i="6" s="1"/>
  <c r="BK80" i="3"/>
  <c r="BK81" i="6"/>
  <c r="BR80" i="3"/>
  <c r="BR81" i="6"/>
  <c r="AL80" i="3"/>
  <c r="AL81" i="6"/>
  <c r="DI80" i="3"/>
  <c r="DI81" i="6" s="1"/>
  <c r="AD80" i="3"/>
  <c r="AD81" i="6"/>
  <c r="BS80" i="3"/>
  <c r="BS81" i="6"/>
  <c r="CE80" i="3"/>
  <c r="CE81" i="6"/>
  <c r="AI84" i="3"/>
  <c r="AI85" i="6" s="1"/>
  <c r="DP80" i="3"/>
  <c r="DP81" i="6"/>
  <c r="Z80" i="3"/>
  <c r="Z81" i="6"/>
  <c r="BX80" i="3"/>
  <c r="BX81" i="6"/>
  <c r="AS80" i="3"/>
  <c r="AS81" i="6" s="1"/>
  <c r="I80" i="3"/>
  <c r="I81" i="6"/>
  <c r="DQ80" i="3"/>
  <c r="DQ81" i="6"/>
  <c r="DB80" i="3"/>
  <c r="DB81" i="6"/>
  <c r="CA80" i="3"/>
  <c r="CA81" i="6" s="1"/>
  <c r="DF80" i="3"/>
  <c r="DF81" i="6"/>
  <c r="AH80" i="3"/>
  <c r="AH81" i="6"/>
  <c r="BS45" i="3"/>
  <c r="BS46" i="6"/>
  <c r="AP41" i="3"/>
  <c r="AP42" i="6" s="1"/>
  <c r="CL80" i="3"/>
  <c r="CL81" i="6"/>
  <c r="DO80" i="3"/>
  <c r="DO81" i="6"/>
  <c r="DN80" i="3"/>
  <c r="DN81" i="6"/>
  <c r="AO80" i="3"/>
  <c r="AO81" i="6" s="1"/>
  <c r="AG80" i="3"/>
  <c r="AG81" i="6"/>
  <c r="DM80" i="3"/>
  <c r="DM81" i="6"/>
  <c r="DO45" i="3"/>
  <c r="DO46" i="6"/>
  <c r="Q41" i="3"/>
  <c r="Q42" i="6" s="1"/>
  <c r="Y41" i="3"/>
  <c r="Y42" i="6"/>
  <c r="CM41" i="3"/>
  <c r="CM42" i="6"/>
  <c r="AD4" i="3"/>
  <c r="AD5" i="6"/>
  <c r="BI4" i="3"/>
  <c r="BI5" i="6" s="1"/>
  <c r="DK4" i="3"/>
  <c r="DK5" i="6"/>
  <c r="AE4" i="3"/>
  <c r="AE5" i="6"/>
  <c r="Z4" i="3"/>
  <c r="Z5" i="6"/>
  <c r="AC4" i="3"/>
  <c r="AC5" i="6" s="1"/>
  <c r="CF4" i="3"/>
  <c r="CF5" i="6"/>
  <c r="AN4" i="3"/>
  <c r="AN5" i="6"/>
  <c r="BY4" i="3"/>
  <c r="BY5" i="6"/>
  <c r="CN4" i="3"/>
  <c r="CN5" i="6" s="1"/>
  <c r="CR4" i="3"/>
  <c r="CR5" i="6"/>
  <c r="CV4" i="3"/>
  <c r="CV5" i="6"/>
  <c r="CZ4" i="3"/>
  <c r="CZ5" i="6"/>
  <c r="BD4" i="3"/>
  <c r="BD5" i="6" s="1"/>
  <c r="BL4" i="3"/>
  <c r="BL5" i="6"/>
  <c r="CS4" i="3"/>
  <c r="CS5" i="6"/>
  <c r="BC4" i="3"/>
  <c r="BC5" i="6"/>
  <c r="CW4" i="3"/>
  <c r="CW5" i="6" s="1"/>
  <c r="DM4" i="3"/>
  <c r="DM5" i="6"/>
  <c r="BG4" i="3"/>
  <c r="BG5" i="6"/>
  <c r="BS4" i="3"/>
  <c r="BS5" i="6"/>
  <c r="DP4" i="3"/>
  <c r="DP5" i="6" s="1"/>
  <c r="BE4" i="3"/>
  <c r="BE5" i="6"/>
  <c r="AM4" i="3"/>
  <c r="AM5" i="6"/>
  <c r="DF4" i="3"/>
  <c r="DF5" i="6"/>
  <c r="D4" i="3"/>
  <c r="D5" i="6" s="1"/>
  <c r="DB4" i="3"/>
  <c r="DB5" i="6"/>
  <c r="CU4" i="3"/>
  <c r="CU5" i="6"/>
  <c r="X4" i="3"/>
  <c r="X5" i="6"/>
  <c r="AT4" i="3"/>
  <c r="AT5" i="6" s="1"/>
  <c r="AV4" i="3"/>
  <c r="AV5" i="6"/>
  <c r="DJ4" i="3"/>
  <c r="DJ5" i="6"/>
  <c r="CO4" i="3"/>
  <c r="CO5" i="6"/>
  <c r="AB4" i="3"/>
  <c r="AB5" i="6" s="1"/>
  <c r="DO4" i="3"/>
  <c r="DO5" i="6"/>
  <c r="BZ4" i="3"/>
  <c r="BZ5" i="6"/>
  <c r="S4" i="3"/>
  <c r="S5" i="6"/>
  <c r="N4" i="3"/>
  <c r="N5" i="6" s="1"/>
  <c r="G4" i="3"/>
  <c r="G5" i="6"/>
  <c r="DQ4" i="3"/>
  <c r="DQ5" i="6"/>
  <c r="T4" i="3"/>
  <c r="T5" i="6"/>
  <c r="BV4" i="3"/>
  <c r="BV5" i="6" s="1"/>
  <c r="AO4" i="3"/>
  <c r="AO5" i="6"/>
  <c r="DH4" i="3"/>
  <c r="DH5" i="6"/>
  <c r="P4" i="3"/>
  <c r="P5" i="6"/>
  <c r="O4" i="3"/>
  <c r="O5" i="6" s="1"/>
  <c r="DL4" i="3"/>
  <c r="DL5" i="6"/>
  <c r="CG4" i="3"/>
  <c r="CG5" i="6"/>
  <c r="CJ4" i="3"/>
  <c r="CJ5" i="6"/>
  <c r="H4" i="3"/>
  <c r="H5" i="6" s="1"/>
  <c r="CY4" i="3"/>
  <c r="CY5" i="6"/>
  <c r="AR4" i="3"/>
  <c r="AR5" i="6"/>
  <c r="BM4" i="3"/>
  <c r="BM5" i="6"/>
  <c r="F4" i="3"/>
  <c r="F5" i="6" s="1"/>
  <c r="AG4" i="3"/>
  <c r="AG5" i="6"/>
  <c r="AF4" i="3"/>
  <c r="AF5" i="6"/>
  <c r="BW4" i="3"/>
  <c r="BW5" i="6"/>
  <c r="U4" i="3"/>
  <c r="U5" i="6" s="1"/>
  <c r="BU4" i="3"/>
  <c r="BU5" i="6"/>
  <c r="BA4" i="3"/>
  <c r="BA5" i="6"/>
  <c r="I4" i="3"/>
  <c r="I5" i="6"/>
  <c r="BT4" i="3"/>
  <c r="BT5" i="6" s="1"/>
  <c r="AJ4" i="3"/>
  <c r="AJ5" i="6"/>
  <c r="CE4" i="3"/>
  <c r="CE5" i="6"/>
  <c r="M4" i="3"/>
  <c r="M5" i="6"/>
  <c r="AZ4" i="3"/>
  <c r="AZ5" i="6" s="1"/>
  <c r="BK4" i="3"/>
  <c r="BK5" i="6"/>
  <c r="CB4" i="3"/>
  <c r="CB5" i="6"/>
  <c r="CA4" i="3"/>
  <c r="CA5" i="6"/>
  <c r="CM4" i="3"/>
  <c r="CM5" i="6" s="1"/>
  <c r="Y4" i="3"/>
  <c r="Y5" i="6"/>
  <c r="DE4" i="3"/>
  <c r="DE5" i="6"/>
  <c r="CH4" i="3"/>
  <c r="CH5" i="6"/>
  <c r="L8" i="3"/>
  <c r="L9" i="6" s="1"/>
  <c r="AB8" i="3"/>
  <c r="AB9" i="6"/>
  <c r="AI8" i="3"/>
  <c r="AI9" i="6"/>
  <c r="CY8" i="3"/>
  <c r="CY9" i="6"/>
  <c r="AY8" i="3"/>
  <c r="AY9" i="6" s="1"/>
  <c r="DG8" i="3"/>
  <c r="DG9" i="6"/>
  <c r="N8" i="3"/>
  <c r="N9" i="6"/>
  <c r="BO8" i="3"/>
  <c r="BO9" i="6"/>
  <c r="CA8" i="3"/>
  <c r="CA9" i="6" s="1"/>
  <c r="BV8" i="3"/>
  <c r="BV9" i="6"/>
  <c r="AS8" i="3"/>
  <c r="AS9" i="6"/>
  <c r="AR8" i="3"/>
  <c r="AR9" i="6"/>
  <c r="CQ8" i="3"/>
  <c r="CQ9" i="6" s="1"/>
  <c r="DK8" i="3"/>
  <c r="DK9" i="6"/>
  <c r="BF8" i="3"/>
  <c r="BF9" i="6"/>
  <c r="BS8" i="3"/>
  <c r="BS9" i="6"/>
  <c r="CV8" i="3"/>
  <c r="CV9" i="6" s="1"/>
  <c r="BQ8" i="3"/>
  <c r="BQ9" i="6"/>
  <c r="AF8" i="3"/>
  <c r="AF9" i="6"/>
  <c r="CL8" i="3"/>
  <c r="CL9" i="6"/>
  <c r="M8" i="3"/>
  <c r="M9" i="6" s="1"/>
  <c r="AN8" i="3"/>
  <c r="AN9" i="6"/>
  <c r="F8" i="3"/>
  <c r="F9" i="6"/>
  <c r="D8" i="3"/>
  <c r="D9" i="6"/>
  <c r="H8" i="3"/>
  <c r="H9" i="6" s="1"/>
  <c r="H3" i="6" s="1"/>
  <c r="DE8" i="3"/>
  <c r="DE9" i="6"/>
  <c r="BL8" i="3"/>
  <c r="BL9" i="6"/>
  <c r="BT8" i="3"/>
  <c r="BT9" i="6"/>
  <c r="CZ8" i="3"/>
  <c r="CZ9" i="6" s="1"/>
  <c r="DH8" i="3"/>
  <c r="DH9" i="6"/>
  <c r="R8" i="3"/>
  <c r="R9" i="6"/>
  <c r="DP8" i="3"/>
  <c r="DP9" i="6"/>
  <c r="X8" i="3"/>
  <c r="X9" i="6" s="1"/>
  <c r="BC8" i="3"/>
  <c r="BC9" i="6"/>
  <c r="AP8" i="3"/>
  <c r="AP9" i="6"/>
  <c r="AJ8" i="3"/>
  <c r="AJ9" i="6"/>
  <c r="CB8" i="3"/>
  <c r="CB9" i="6" s="1"/>
  <c r="CG8" i="3"/>
  <c r="CG9" i="6"/>
  <c r="CN8" i="3"/>
  <c r="CN9" i="6"/>
  <c r="AV8" i="3"/>
  <c r="AV9" i="6"/>
  <c r="AK8" i="3"/>
  <c r="AK9" i="6" s="1"/>
  <c r="CW8" i="3"/>
  <c r="CW9" i="6"/>
  <c r="DB8" i="3"/>
  <c r="DB9" i="6"/>
  <c r="CT8" i="3"/>
  <c r="CT9" i="6"/>
  <c r="CJ8" i="3"/>
  <c r="CJ9" i="6" s="1"/>
  <c r="W8" i="3"/>
  <c r="W9" i="6"/>
  <c r="DJ8" i="3"/>
  <c r="DJ9" i="6"/>
  <c r="AM8" i="3"/>
  <c r="AM9" i="6"/>
  <c r="CU8" i="3"/>
  <c r="CU9" i="6" s="1"/>
  <c r="BN8" i="3"/>
  <c r="BN9" i="6"/>
  <c r="BP8" i="3"/>
  <c r="BP9" i="6"/>
  <c r="AE8" i="3"/>
  <c r="AE9" i="6"/>
  <c r="CI8" i="3"/>
  <c r="CI9" i="6" s="1"/>
  <c r="DL8" i="3"/>
  <c r="DL9" i="6"/>
  <c r="T8" i="3"/>
  <c r="T9" i="6"/>
  <c r="S8" i="3"/>
  <c r="S9" i="6"/>
  <c r="AX8" i="3"/>
  <c r="AX9" i="6" s="1"/>
  <c r="CO8" i="3"/>
  <c r="CO9" i="6"/>
  <c r="C9" i="6"/>
  <c r="G8" i="3"/>
  <c r="G9" i="6"/>
  <c r="BH8" i="3"/>
  <c r="BH9" i="6" s="1"/>
  <c r="BY8" i="3"/>
  <c r="BY9" i="6"/>
  <c r="Z8" i="3"/>
  <c r="Z9" i="6" s="1"/>
  <c r="BA8" i="3"/>
  <c r="BA9" i="6"/>
  <c r="AH8" i="3"/>
  <c r="AH9" i="6" s="1"/>
  <c r="AU8" i="3"/>
  <c r="AU9" i="6"/>
  <c r="BK8" i="3"/>
  <c r="BK9" i="6" s="1"/>
  <c r="O8" i="3"/>
  <c r="O9" i="6"/>
  <c r="P8" i="3"/>
  <c r="P9" i="6" s="1"/>
  <c r="AZ8" i="3"/>
  <c r="AZ9" i="6"/>
  <c r="BI8" i="3"/>
  <c r="BI9" i="6" s="1"/>
  <c r="DE14" i="3"/>
  <c r="DE15" i="6"/>
  <c r="L14" i="3"/>
  <c r="L15" i="6" s="1"/>
  <c r="X14" i="3"/>
  <c r="X15" i="6"/>
  <c r="CS14" i="3"/>
  <c r="CS15" i="6" s="1"/>
  <c r="Q14" i="3"/>
  <c r="Q15" i="6"/>
  <c r="BO14" i="3"/>
  <c r="BO15" i="6" s="1"/>
  <c r="CY14" i="3"/>
  <c r="CY15" i="6"/>
  <c r="CQ14" i="3"/>
  <c r="CQ15" i="6" s="1"/>
  <c r="AQ14" i="3"/>
  <c r="AQ15" i="6"/>
  <c r="DM14" i="3"/>
  <c r="DM15" i="6" s="1"/>
  <c r="CC14" i="3"/>
  <c r="CC15" i="6"/>
  <c r="BQ14" i="3"/>
  <c r="BQ15" i="6" s="1"/>
  <c r="CR14" i="3"/>
  <c r="CR15" i="6"/>
  <c r="AZ14" i="3"/>
  <c r="AZ15" i="6" s="1"/>
  <c r="AR14" i="3"/>
  <c r="AR15" i="6"/>
  <c r="R14" i="3"/>
  <c r="R15" i="6" s="1"/>
  <c r="AS14" i="3"/>
  <c r="AS15" i="6"/>
  <c r="N14" i="3"/>
  <c r="N15" i="6" s="1"/>
  <c r="DH14" i="3"/>
  <c r="DH15" i="6"/>
  <c r="BK14" i="3"/>
  <c r="BK15" i="6" s="1"/>
  <c r="CJ14" i="3"/>
  <c r="CJ15" i="6"/>
  <c r="BV14" i="3"/>
  <c r="BV15" i="6" s="1"/>
  <c r="BA14" i="3"/>
  <c r="BA15" i="6"/>
  <c r="BI14" i="3"/>
  <c r="BI15" i="6" s="1"/>
  <c r="CO14" i="3"/>
  <c r="CO15" i="6"/>
  <c r="W14" i="3"/>
  <c r="W15" i="6" s="1"/>
  <c r="CF14" i="3"/>
  <c r="CF15" i="6"/>
  <c r="J14" i="3"/>
  <c r="J15" i="6" s="1"/>
  <c r="BY14" i="3"/>
  <c r="BY15" i="6"/>
  <c r="BX14" i="3"/>
  <c r="BX15" i="6" s="1"/>
  <c r="CG14" i="3"/>
  <c r="CG15" i="6"/>
  <c r="DI14" i="3"/>
  <c r="DI15" i="6" s="1"/>
  <c r="AF14" i="3"/>
  <c r="AF15" i="6"/>
  <c r="CZ14" i="3"/>
  <c r="CZ15" i="6" s="1"/>
  <c r="BP14" i="3"/>
  <c r="BP15" i="6"/>
  <c r="BN14" i="3"/>
  <c r="BN15" i="6" s="1"/>
  <c r="DG14" i="3"/>
  <c r="DG15" i="6"/>
  <c r="BB14" i="3"/>
  <c r="BB15" i="6" s="1"/>
  <c r="AH14" i="3"/>
  <c r="AH15" i="6"/>
  <c r="AN14" i="3"/>
  <c r="AN15" i="6" s="1"/>
  <c r="BJ14" i="3"/>
  <c r="BJ15" i="6"/>
  <c r="DO14" i="3"/>
  <c r="DO15" i="6" s="1"/>
  <c r="DD14" i="3"/>
  <c r="DD15" i="6"/>
  <c r="DA14" i="3"/>
  <c r="DA15" i="6" s="1"/>
  <c r="AD14" i="3"/>
  <c r="AD15" i="6"/>
  <c r="F14" i="3"/>
  <c r="F15" i="6" s="1"/>
  <c r="BL14" i="3"/>
  <c r="BL15" i="6"/>
  <c r="AP14" i="3"/>
  <c r="AP15" i="6" s="1"/>
  <c r="AX14" i="3"/>
  <c r="AX15" i="6"/>
  <c r="CX14" i="3"/>
  <c r="CX15" i="6" s="1"/>
  <c r="BE14" i="3"/>
  <c r="BE15" i="6"/>
  <c r="AU14" i="3"/>
  <c r="AU15" i="6" s="1"/>
  <c r="AJ14" i="3"/>
  <c r="AJ15" i="6"/>
  <c r="DB14" i="3"/>
  <c r="DB15" i="6" s="1"/>
  <c r="DQ14" i="3"/>
  <c r="DQ15" i="6"/>
  <c r="AI14" i="3"/>
  <c r="AI15" i="6" s="1"/>
  <c r="O14" i="3"/>
  <c r="O15" i="6"/>
  <c r="BD14" i="3"/>
  <c r="BD15" i="6" s="1"/>
  <c r="AG14" i="3"/>
  <c r="AG15" i="6"/>
  <c r="AK14" i="3"/>
  <c r="AK15" i="6" s="1"/>
  <c r="BS14" i="3"/>
  <c r="BS15" i="6"/>
  <c r="DP14" i="3"/>
  <c r="DP15" i="6" s="1"/>
  <c r="DN14" i="3"/>
  <c r="DN15" i="6"/>
  <c r="E14" i="3"/>
  <c r="E15" i="6" s="1"/>
  <c r="T14" i="3"/>
  <c r="T15" i="6"/>
  <c r="CL14" i="3"/>
  <c r="CL15" i="6" s="1"/>
  <c r="CU14" i="3"/>
  <c r="CU15" i="6"/>
  <c r="D14" i="3"/>
  <c r="BM14" i="3"/>
  <c r="BM15" i="6"/>
  <c r="CN14" i="3"/>
  <c r="CN15" i="6"/>
  <c r="M14" i="3"/>
  <c r="M15" i="6" s="1"/>
  <c r="CB14" i="3"/>
  <c r="CB15" i="6"/>
  <c r="CV14" i="3"/>
  <c r="CV15" i="6"/>
  <c r="AC14" i="3"/>
  <c r="AC15" i="6"/>
  <c r="BH14" i="3"/>
  <c r="BH15" i="6" s="1"/>
  <c r="C15" i="6"/>
  <c r="BT14" i="3"/>
  <c r="BT15" i="6" s="1"/>
  <c r="CK14" i="3"/>
  <c r="CK15" i="6"/>
  <c r="CI14" i="3"/>
  <c r="CI15" i="6" s="1"/>
  <c r="H14" i="3"/>
  <c r="H15" i="6"/>
  <c r="AV14" i="3"/>
  <c r="AV15" i="6" s="1"/>
  <c r="I14" i="3"/>
  <c r="I15" i="6"/>
  <c r="DJ14" i="3"/>
  <c r="DJ15" i="6" s="1"/>
  <c r="BU14" i="3"/>
  <c r="BU15" i="6"/>
  <c r="AB14" i="3"/>
  <c r="AB15" i="6" s="1"/>
  <c r="AO14" i="3"/>
  <c r="AO15" i="6"/>
  <c r="DK14" i="3"/>
  <c r="DK15" i="6" s="1"/>
  <c r="BG14" i="3"/>
  <c r="BG15" i="6"/>
  <c r="CD14" i="3"/>
  <c r="CD15" i="6" s="1"/>
  <c r="CE14" i="3"/>
  <c r="CE15" i="6"/>
  <c r="Y14" i="3"/>
  <c r="Y15" i="6" s="1"/>
  <c r="U14" i="3"/>
  <c r="U15" i="6"/>
  <c r="K14" i="3"/>
  <c r="K15" i="6" s="1"/>
  <c r="CH14" i="3"/>
  <c r="CH15" i="6"/>
  <c r="AW14" i="3"/>
  <c r="AW15" i="6" s="1"/>
  <c r="DL14" i="3"/>
  <c r="DL15" i="6"/>
  <c r="DF14" i="3"/>
  <c r="DF15" i="6" s="1"/>
  <c r="BC14" i="3"/>
  <c r="BC15" i="6"/>
  <c r="BF14" i="3"/>
  <c r="BF15" i="6" s="1"/>
  <c r="AY14" i="3"/>
  <c r="AY15" i="6"/>
  <c r="Z14" i="3"/>
  <c r="Z15" i="6" s="1"/>
  <c r="G14" i="3"/>
  <c r="G15" i="6"/>
  <c r="AL14" i="3"/>
  <c r="AL15" i="6" s="1"/>
  <c r="AT14" i="3"/>
  <c r="AT15" i="6"/>
  <c r="DC14" i="3"/>
  <c r="DC15" i="6" s="1"/>
  <c r="BW14" i="3"/>
  <c r="BW15" i="6"/>
  <c r="V14" i="3"/>
  <c r="V15" i="6" s="1"/>
  <c r="AE14" i="3"/>
  <c r="AE15" i="6"/>
  <c r="AA14" i="3"/>
  <c r="AA15" i="6" s="1"/>
  <c r="S14" i="3"/>
  <c r="S15" i="6"/>
  <c r="BR14" i="3"/>
  <c r="BR15" i="6" s="1"/>
  <c r="P14" i="3"/>
  <c r="P15" i="6"/>
  <c r="BZ14" i="3"/>
  <c r="BZ15" i="6" s="1"/>
  <c r="AM14" i="3"/>
  <c r="AM15" i="6"/>
  <c r="CM14" i="3"/>
  <c r="CM15" i="6" s="1"/>
  <c r="CA14" i="3"/>
  <c r="CA15" i="6"/>
  <c r="CP14" i="3"/>
  <c r="CP15" i="6" s="1"/>
  <c r="CT14" i="3"/>
  <c r="CT15" i="6"/>
  <c r="CT18" i="3"/>
  <c r="CT19" i="6" s="1"/>
  <c r="O18" i="3"/>
  <c r="O19" i="6"/>
  <c r="BJ18" i="3"/>
  <c r="BJ19" i="6" s="1"/>
  <c r="AV18" i="3"/>
  <c r="AV19" i="6"/>
  <c r="J18" i="3"/>
  <c r="J19" i="6" s="1"/>
  <c r="BI18" i="3"/>
  <c r="BI19" i="6"/>
  <c r="BR18" i="3"/>
  <c r="BR19" i="6" s="1"/>
  <c r="T18" i="3"/>
  <c r="T19" i="6"/>
  <c r="CU18" i="3"/>
  <c r="CU19" i="6" s="1"/>
  <c r="BL18" i="3"/>
  <c r="BL19" i="6"/>
  <c r="DM18" i="3"/>
  <c r="DM19" i="6" s="1"/>
  <c r="DI18" i="3"/>
  <c r="DI19" i="6"/>
  <c r="BA18" i="3"/>
  <c r="BA19" i="6" s="1"/>
  <c r="CI18" i="3"/>
  <c r="CI19" i="6"/>
  <c r="AF18" i="3"/>
  <c r="AF19" i="6" s="1"/>
  <c r="BV18" i="3"/>
  <c r="BV19" i="6"/>
  <c r="DJ18" i="3"/>
  <c r="DJ19" i="6" s="1"/>
  <c r="DJ3" i="6" s="1"/>
  <c r="DC18" i="3"/>
  <c r="DC19" i="6"/>
  <c r="BD18" i="3"/>
  <c r="BD19" i="6" s="1"/>
  <c r="AC18" i="3"/>
  <c r="AC19" i="6"/>
  <c r="S18" i="3"/>
  <c r="S19" i="6" s="1"/>
  <c r="CL18" i="3"/>
  <c r="CL19" i="6"/>
  <c r="X18" i="3"/>
  <c r="X19" i="6" s="1"/>
  <c r="E18" i="3"/>
  <c r="E19" i="6"/>
  <c r="AE18" i="3"/>
  <c r="AE19" i="6" s="1"/>
  <c r="L18" i="3"/>
  <c r="L19" i="6"/>
  <c r="CG18" i="3"/>
  <c r="CG19" i="6" s="1"/>
  <c r="DE18" i="3"/>
  <c r="DE19" i="6"/>
  <c r="AU18" i="3"/>
  <c r="AU19" i="6" s="1"/>
  <c r="BS18" i="3"/>
  <c r="BS19" i="6"/>
  <c r="CC18" i="3"/>
  <c r="CC19" i="6" s="1"/>
  <c r="AO18" i="3"/>
  <c r="AO19" i="6"/>
  <c r="DP18" i="3"/>
  <c r="DP19" i="6" s="1"/>
  <c r="DP3" i="6" s="1"/>
  <c r="AW18" i="3"/>
  <c r="AW19" i="6"/>
  <c r="P18" i="3"/>
  <c r="P19" i="6" s="1"/>
  <c r="CF18" i="3"/>
  <c r="CF19" i="6"/>
  <c r="BX18" i="3"/>
  <c r="BX19" i="6" s="1"/>
  <c r="DA18" i="3"/>
  <c r="DA19" i="6"/>
  <c r="CA18" i="3"/>
  <c r="CA19" i="6" s="1"/>
  <c r="CW18" i="3"/>
  <c r="CW19" i="6"/>
  <c r="DK18" i="3"/>
  <c r="DK19" i="6" s="1"/>
  <c r="BZ18" i="3"/>
  <c r="BZ19" i="6"/>
  <c r="DQ18" i="3"/>
  <c r="DQ19" i="6" s="1"/>
  <c r="DB18" i="3"/>
  <c r="DB19" i="6"/>
  <c r="AZ18" i="3"/>
  <c r="AZ19" i="6" s="1"/>
  <c r="DH18" i="3"/>
  <c r="DH19" i="6"/>
  <c r="CN18" i="3"/>
  <c r="CN19" i="6" s="1"/>
  <c r="AY18" i="3"/>
  <c r="AY19" i="6"/>
  <c r="BF18" i="3"/>
  <c r="BF19" i="6" s="1"/>
  <c r="BF3" i="6" s="1"/>
  <c r="AP18" i="3"/>
  <c r="AP19" i="6"/>
  <c r="CV18" i="3"/>
  <c r="CV19" i="6" s="1"/>
  <c r="CP18" i="3"/>
  <c r="CP19" i="6"/>
  <c r="CQ18" i="3"/>
  <c r="CQ19" i="6" s="1"/>
  <c r="Y18" i="3"/>
  <c r="Y19" i="6"/>
  <c r="AM18" i="3"/>
  <c r="AM19" i="6" s="1"/>
  <c r="DG18" i="3"/>
  <c r="DG19" i="6"/>
  <c r="BG18" i="3"/>
  <c r="BG19" i="6" s="1"/>
  <c r="M18" i="3"/>
  <c r="M19" i="6"/>
  <c r="BB18" i="3"/>
  <c r="BB19" i="6" s="1"/>
  <c r="I18" i="3"/>
  <c r="I19" i="6"/>
  <c r="BW18" i="3"/>
  <c r="BW19" i="6" s="1"/>
  <c r="AL18" i="3"/>
  <c r="AL19" i="6"/>
  <c r="H18" i="3"/>
  <c r="H19" i="6" s="1"/>
  <c r="CK18" i="3"/>
  <c r="CK19" i="6"/>
  <c r="G18" i="3"/>
  <c r="G19" i="6" s="1"/>
  <c r="BE18" i="3"/>
  <c r="BE19" i="6"/>
  <c r="CX18" i="3"/>
  <c r="CX19" i="6" s="1"/>
  <c r="K18" i="3"/>
  <c r="K19" i="6"/>
  <c r="BN18" i="3"/>
  <c r="BN19" i="6" s="1"/>
  <c r="BC18" i="3"/>
  <c r="BC19" i="6"/>
  <c r="DN18" i="3"/>
  <c r="DN19" i="6" s="1"/>
  <c r="W18" i="3"/>
  <c r="W19" i="6"/>
  <c r="CB18" i="3"/>
  <c r="CB19" i="6" s="1"/>
  <c r="DF18" i="3"/>
  <c r="DF19" i="6"/>
  <c r="BM18" i="3"/>
  <c r="BM19" i="6" s="1"/>
  <c r="C19" i="6"/>
  <c r="AX18" i="3"/>
  <c r="AX19" i="6"/>
  <c r="AQ18" i="3"/>
  <c r="AQ19" i="6" s="1"/>
  <c r="AN18" i="3"/>
  <c r="AN19" i="6"/>
  <c r="N18" i="3"/>
  <c r="N19" i="6" s="1"/>
  <c r="AD18" i="3"/>
  <c r="AD19" i="6"/>
  <c r="AI18" i="3"/>
  <c r="AI19" i="6" s="1"/>
  <c r="R18" i="3"/>
  <c r="R19" i="6"/>
  <c r="U18" i="3"/>
  <c r="U19" i="6" s="1"/>
  <c r="DO18" i="3"/>
  <c r="DO19" i="6"/>
  <c r="AT18" i="3"/>
  <c r="AT19" i="6" s="1"/>
  <c r="BU18" i="3"/>
  <c r="BU19" i="6"/>
  <c r="BQ18" i="3"/>
  <c r="BQ19" i="6" s="1"/>
  <c r="CH18" i="3"/>
  <c r="CH19" i="6"/>
  <c r="DL18" i="3"/>
  <c r="DL19" i="6" s="1"/>
  <c r="Q18" i="3"/>
  <c r="Q19" i="6"/>
  <c r="BY18" i="3"/>
  <c r="BY19" i="6" s="1"/>
  <c r="BY3" i="6" s="1"/>
  <c r="D18" i="3"/>
  <c r="D19" i="6"/>
  <c r="CY18" i="3"/>
  <c r="CY19" i="6" s="1"/>
  <c r="AJ18" i="3"/>
  <c r="AJ19" i="6"/>
  <c r="AB18" i="3"/>
  <c r="AB19" i="6" s="1"/>
  <c r="CJ18" i="3"/>
  <c r="CJ19" i="6"/>
  <c r="AH18" i="3"/>
  <c r="AH19" i="6" s="1"/>
  <c r="AR18" i="3"/>
  <c r="AR19" i="6"/>
  <c r="CD18" i="3"/>
  <c r="CD19" i="6" s="1"/>
  <c r="V18" i="3"/>
  <c r="V19" i="6"/>
  <c r="AK18" i="3"/>
  <c r="AK19" i="6" s="1"/>
  <c r="F18" i="3"/>
  <c r="F19" i="6"/>
  <c r="AG18" i="3"/>
  <c r="AG19" i="6" s="1"/>
  <c r="CZ18" i="3"/>
  <c r="CZ19" i="6"/>
  <c r="BH18" i="3"/>
  <c r="BH19" i="6" s="1"/>
  <c r="CO18" i="3"/>
  <c r="CO19" i="6"/>
  <c r="BP18" i="3"/>
  <c r="BP19" i="6" s="1"/>
  <c r="CE18" i="3"/>
  <c r="CE19" i="6"/>
  <c r="CS18" i="3"/>
  <c r="CS19" i="6" s="1"/>
  <c r="BK18" i="3"/>
  <c r="BK19" i="6"/>
  <c r="AA18" i="3"/>
  <c r="AA19" i="6" s="1"/>
  <c r="CR18" i="3"/>
  <c r="CR19" i="6"/>
  <c r="Z18" i="3"/>
  <c r="Z19" i="6" s="1"/>
  <c r="BO18" i="3"/>
  <c r="BO19" i="6"/>
  <c r="DD18" i="3"/>
  <c r="DD19" i="6" s="1"/>
  <c r="BN92" i="3"/>
  <c r="BN93" i="6"/>
  <c r="R92" i="3"/>
  <c r="R93" i="6" s="1"/>
  <c r="CD92" i="3"/>
  <c r="CD93" i="6"/>
  <c r="DC92" i="3"/>
  <c r="DC93" i="6" s="1"/>
  <c r="CX92" i="3"/>
  <c r="CX93" i="6"/>
  <c r="BW92" i="3"/>
  <c r="BW93" i="6" s="1"/>
  <c r="CG92" i="3"/>
  <c r="CG93" i="6"/>
  <c r="T92" i="3"/>
  <c r="T93" i="6" s="1"/>
  <c r="T3" i="6" s="1"/>
  <c r="L92" i="3"/>
  <c r="L93" i="6"/>
  <c r="CW92" i="3"/>
  <c r="CW93" i="6" s="1"/>
  <c r="AW92" i="3"/>
  <c r="AW93" i="6"/>
  <c r="BI92" i="3"/>
  <c r="BI93" i="6" s="1"/>
  <c r="BP92" i="3"/>
  <c r="BP93" i="6"/>
  <c r="DN92" i="3"/>
  <c r="DN93" i="6" s="1"/>
  <c r="BA92" i="3"/>
  <c r="BA93" i="6"/>
  <c r="F92" i="3"/>
  <c r="F93" i="6" s="1"/>
  <c r="CZ92" i="3"/>
  <c r="CZ93" i="6"/>
  <c r="DH92" i="3"/>
  <c r="DH93" i="6" s="1"/>
  <c r="AR92" i="3"/>
  <c r="AR93" i="6"/>
  <c r="DK92" i="3"/>
  <c r="DK93" i="6" s="1"/>
  <c r="CN92" i="3"/>
  <c r="CN93" i="6"/>
  <c r="BD92" i="3"/>
  <c r="BD93" i="6" s="1"/>
  <c r="Q92" i="3"/>
  <c r="Q93" i="6"/>
  <c r="Z92" i="3"/>
  <c r="Z93" i="6" s="1"/>
  <c r="Y92" i="3"/>
  <c r="Y93" i="6"/>
  <c r="BZ92" i="3"/>
  <c r="BZ93" i="6" s="1"/>
  <c r="CA92" i="3"/>
  <c r="CA93" i="6"/>
  <c r="CY92" i="3"/>
  <c r="CY93" i="6" s="1"/>
  <c r="AH92" i="3"/>
  <c r="AH93" i="6"/>
  <c r="BR92" i="3"/>
  <c r="BR93" i="6" s="1"/>
  <c r="AY92" i="3"/>
  <c r="AY93" i="6"/>
  <c r="CU92" i="3"/>
  <c r="CU93" i="6" s="1"/>
  <c r="AC92" i="3"/>
  <c r="AC93" i="6"/>
  <c r="BY96" i="3"/>
  <c r="BY97" i="6" s="1"/>
  <c r="I96" i="3"/>
  <c r="I97" i="6"/>
  <c r="BC96" i="3"/>
  <c r="BC97" i="6" s="1"/>
  <c r="CJ96" i="3"/>
  <c r="CJ97" i="6"/>
  <c r="V96" i="3"/>
  <c r="V97" i="6" s="1"/>
  <c r="AV96" i="3"/>
  <c r="AV97" i="6"/>
  <c r="DM96" i="3"/>
  <c r="DM97" i="6" s="1"/>
  <c r="DJ96" i="3"/>
  <c r="DJ97" i="6"/>
  <c r="DP96" i="3"/>
  <c r="DP97" i="6" s="1"/>
  <c r="CR96" i="3"/>
  <c r="CR97" i="6"/>
  <c r="AR96" i="3"/>
  <c r="AR97" i="6" s="1"/>
  <c r="BA96" i="3"/>
  <c r="BA97" i="6"/>
  <c r="CB96" i="3"/>
  <c r="CB97" i="6" s="1"/>
  <c r="CO96" i="3"/>
  <c r="CO97" i="6"/>
  <c r="BD96" i="3"/>
  <c r="BD97" i="6" s="1"/>
  <c r="CN96" i="3"/>
  <c r="CN97" i="6"/>
  <c r="BV96" i="3"/>
  <c r="BV97" i="6" s="1"/>
  <c r="AJ96" i="3"/>
  <c r="AJ97" i="6"/>
  <c r="BS96" i="3"/>
  <c r="BS97" i="6" s="1"/>
  <c r="DN96" i="3"/>
  <c r="DN97" i="6"/>
  <c r="AW96" i="3"/>
  <c r="AW97" i="6" s="1"/>
  <c r="AN96" i="3"/>
  <c r="AN97" i="6"/>
  <c r="BH96" i="3"/>
  <c r="BH97" i="6" s="1"/>
  <c r="AT96" i="3"/>
  <c r="AT97" i="6"/>
  <c r="AG96" i="3"/>
  <c r="AG97" i="6" s="1"/>
  <c r="M96" i="3"/>
  <c r="M97" i="6"/>
  <c r="N96" i="3"/>
  <c r="N97" i="6" s="1"/>
  <c r="X96" i="3"/>
  <c r="X97" i="6"/>
  <c r="CX96" i="3"/>
  <c r="CX97" i="6" s="1"/>
  <c r="AX96" i="3"/>
  <c r="AX97" i="6"/>
  <c r="Z96" i="3"/>
  <c r="Z97" i="6" s="1"/>
  <c r="BK96" i="3"/>
  <c r="BK97" i="6"/>
  <c r="BM96" i="3"/>
  <c r="BM97" i="6" s="1"/>
  <c r="BZ96" i="3"/>
  <c r="BZ97" i="6"/>
  <c r="AQ96" i="3"/>
  <c r="AQ97" i="6" s="1"/>
  <c r="DI96" i="3"/>
  <c r="DI97" i="6"/>
  <c r="U96" i="3"/>
  <c r="U97" i="6" s="1"/>
  <c r="DO96" i="3"/>
  <c r="DO97" i="6"/>
  <c r="CT96" i="3"/>
  <c r="CT97" i="6" s="1"/>
  <c r="AM96" i="3"/>
  <c r="AM97" i="6"/>
  <c r="P96" i="3"/>
  <c r="P97" i="6" s="1"/>
  <c r="Q96" i="3"/>
  <c r="Q97" i="6"/>
  <c r="DF96" i="3"/>
  <c r="DF97" i="6" s="1"/>
  <c r="CD96" i="3"/>
  <c r="CD97" i="6"/>
  <c r="DK96" i="3"/>
  <c r="DK97" i="6" s="1"/>
  <c r="BI96" i="3"/>
  <c r="BI97" i="6"/>
  <c r="AU96" i="3"/>
  <c r="AU97" i="6" s="1"/>
  <c r="BF96" i="3"/>
  <c r="BF97" i="6"/>
  <c r="W96" i="3"/>
  <c r="W97" i="6" s="1"/>
  <c r="CP96" i="3"/>
  <c r="CP97" i="6"/>
  <c r="BB96" i="3"/>
  <c r="BB97" i="6" s="1"/>
  <c r="BJ96" i="3"/>
  <c r="BJ97" i="6"/>
  <c r="CE96" i="3"/>
  <c r="CE97" i="6" s="1"/>
  <c r="CI96" i="3"/>
  <c r="CI97" i="6"/>
  <c r="CL96" i="3"/>
  <c r="CL97" i="6" s="1"/>
  <c r="CS96" i="3"/>
  <c r="CS97" i="6"/>
  <c r="CK96" i="3"/>
  <c r="CK97" i="6" s="1"/>
  <c r="DH96" i="3"/>
  <c r="DH97" i="6"/>
  <c r="BP96" i="3"/>
  <c r="BP97" i="6" s="1"/>
  <c r="H96" i="3"/>
  <c r="H97" i="6"/>
  <c r="DD96" i="3"/>
  <c r="DD97" i="6" s="1"/>
  <c r="AK96" i="3"/>
  <c r="AK97" i="6"/>
  <c r="DE96" i="3"/>
  <c r="DE97" i="6" s="1"/>
  <c r="CU96" i="3"/>
  <c r="CU97" i="6"/>
  <c r="AS96" i="3"/>
  <c r="AS97" i="6" s="1"/>
  <c r="AA96" i="3"/>
  <c r="AA97" i="6"/>
  <c r="R96" i="3"/>
  <c r="R97" i="6" s="1"/>
  <c r="CA96" i="3"/>
  <c r="CA97" i="6"/>
  <c r="K96" i="3"/>
  <c r="K97" i="6" s="1"/>
  <c r="CG96" i="3"/>
  <c r="CG97" i="6"/>
  <c r="BN96" i="3"/>
  <c r="BN97" i="6" s="1"/>
  <c r="AI96" i="3"/>
  <c r="AI97" i="6"/>
  <c r="CQ96" i="3"/>
  <c r="CQ97" i="6" s="1"/>
  <c r="CW96" i="3"/>
  <c r="CW97" i="6"/>
  <c r="T96" i="3"/>
  <c r="T97" i="6" s="1"/>
  <c r="AL96" i="3"/>
  <c r="AL97" i="6"/>
  <c r="BU96" i="3"/>
  <c r="BU97" i="6" s="1"/>
  <c r="Y96" i="3"/>
  <c r="Y97" i="6"/>
  <c r="CF96" i="3"/>
  <c r="CF97" i="6" s="1"/>
  <c r="DQ96" i="3"/>
  <c r="DQ97" i="6"/>
  <c r="O96" i="3"/>
  <c r="O97" i="6" s="1"/>
  <c r="DC96" i="3"/>
  <c r="DC97" i="6"/>
  <c r="F96" i="3"/>
  <c r="F97" i="6" s="1"/>
  <c r="CC96" i="3"/>
  <c r="CC97" i="6"/>
  <c r="AD96" i="3"/>
  <c r="AD97" i="6" s="1"/>
  <c r="C97" i="6"/>
  <c r="AF96" i="3"/>
  <c r="AF97" i="6" s="1"/>
  <c r="AY96" i="3"/>
  <c r="AY97" i="6"/>
  <c r="CM96" i="3"/>
  <c r="CM97" i="6" s="1"/>
  <c r="BO96" i="3"/>
  <c r="BO97" i="6"/>
  <c r="BR96" i="3"/>
  <c r="BR97" i="6" s="1"/>
  <c r="AH96" i="3"/>
  <c r="AH97" i="6"/>
  <c r="S96" i="3"/>
  <c r="S97" i="6" s="1"/>
  <c r="DA96" i="3"/>
  <c r="DA97" i="6"/>
  <c r="BE96" i="3"/>
  <c r="BE97" i="6" s="1"/>
  <c r="AE96" i="3"/>
  <c r="AE97" i="6"/>
  <c r="CV96" i="3"/>
  <c r="CV97" i="6" s="1"/>
  <c r="L96" i="3"/>
  <c r="L97" i="6"/>
  <c r="BG96" i="3"/>
  <c r="BG97" i="6" s="1"/>
  <c r="BT96" i="3"/>
  <c r="BT97" i="6"/>
  <c r="AO96" i="3"/>
  <c r="AO97" i="6" s="1"/>
  <c r="DL96" i="3"/>
  <c r="DL97" i="6"/>
  <c r="BQ96" i="3"/>
  <c r="BQ97" i="6" s="1"/>
  <c r="BL96" i="3"/>
  <c r="BL97" i="6"/>
  <c r="D96" i="3"/>
  <c r="D97" i="6" s="1"/>
  <c r="CY96" i="3"/>
  <c r="CY97" i="6"/>
  <c r="DB96" i="3"/>
  <c r="DB97" i="6" s="1"/>
  <c r="AP96" i="3"/>
  <c r="AP97" i="6"/>
  <c r="E96" i="3"/>
  <c r="E97" i="6" s="1"/>
  <c r="CH96" i="3"/>
  <c r="CH97" i="6"/>
  <c r="J96" i="3"/>
  <c r="J97" i="6" s="1"/>
  <c r="CZ96" i="3"/>
  <c r="CZ97" i="6"/>
  <c r="DG96" i="3"/>
  <c r="DG97" i="6" s="1"/>
  <c r="BW96" i="3"/>
  <c r="BW97" i="6"/>
  <c r="AZ96" i="3"/>
  <c r="AZ97" i="6" s="1"/>
  <c r="G96" i="3"/>
  <c r="G97" i="6"/>
  <c r="BX96" i="3"/>
  <c r="BX97" i="6" s="1"/>
  <c r="AC96" i="3"/>
  <c r="AC97" i="6"/>
  <c r="AB96" i="3"/>
  <c r="AB97" i="6" s="1"/>
  <c r="AC100" i="3"/>
  <c r="AC101" i="6"/>
  <c r="DP100" i="3"/>
  <c r="DP101" i="6" s="1"/>
  <c r="DB100" i="3"/>
  <c r="DB101" i="6"/>
  <c r="CW100" i="3"/>
  <c r="CW101" i="6" s="1"/>
  <c r="BQ100" i="3"/>
  <c r="BQ101" i="6"/>
  <c r="Z100" i="3"/>
  <c r="Z101" i="6" s="1"/>
  <c r="BY100" i="3"/>
  <c r="BY101" i="6"/>
  <c r="M100" i="3"/>
  <c r="M101" i="6" s="1"/>
  <c r="BG100" i="3"/>
  <c r="BG101" i="6"/>
  <c r="BN100" i="3"/>
  <c r="BN101" i="6" s="1"/>
  <c r="AB100" i="3"/>
  <c r="AB101" i="6"/>
  <c r="DK100" i="3"/>
  <c r="DK101" i="6" s="1"/>
  <c r="CD100" i="3"/>
  <c r="CD101" i="6"/>
  <c r="CR100" i="3"/>
  <c r="CR101" i="6" s="1"/>
  <c r="T100" i="3"/>
  <c r="T101" i="6"/>
  <c r="AS100" i="3"/>
  <c r="AS101" i="6" s="1"/>
  <c r="DJ100" i="3"/>
  <c r="DJ101" i="6"/>
  <c r="BZ100" i="3"/>
  <c r="BZ101" i="6" s="1"/>
  <c r="W100" i="3"/>
  <c r="W101" i="6"/>
  <c r="DO100" i="3"/>
  <c r="DO101" i="6" s="1"/>
  <c r="DE100" i="3"/>
  <c r="DE101" i="6"/>
  <c r="CB100" i="3"/>
  <c r="CB101" i="6" s="1"/>
  <c r="AJ100" i="3"/>
  <c r="AJ101" i="6"/>
  <c r="J100" i="3"/>
  <c r="J101" i="6" s="1"/>
  <c r="AN100" i="3"/>
  <c r="AN101" i="6"/>
  <c r="AM100" i="3"/>
  <c r="AM101" i="6" s="1"/>
  <c r="K100" i="3"/>
  <c r="K101" i="6"/>
  <c r="CQ100" i="3"/>
  <c r="CQ101" i="6" s="1"/>
  <c r="BX100" i="3"/>
  <c r="BX101" i="6"/>
  <c r="BJ100" i="3"/>
  <c r="BJ101" i="6" s="1"/>
  <c r="CE100" i="3"/>
  <c r="CE101" i="6"/>
  <c r="AP100" i="3"/>
  <c r="AP101" i="6" s="1"/>
  <c r="Y100" i="3"/>
  <c r="Y101" i="6"/>
  <c r="CO100" i="3"/>
  <c r="CO101" i="6" s="1"/>
  <c r="BH100" i="3"/>
  <c r="BH101" i="6"/>
  <c r="DF100" i="3"/>
  <c r="DF101" i="6" s="1"/>
  <c r="AK100" i="3"/>
  <c r="AK101" i="6"/>
  <c r="AI100" i="3"/>
  <c r="AI101" i="6" s="1"/>
  <c r="AY100" i="3"/>
  <c r="AY101" i="6"/>
  <c r="DG100" i="3"/>
  <c r="DG101" i="6" s="1"/>
  <c r="BE100" i="3"/>
  <c r="BE101" i="6"/>
  <c r="U100" i="3"/>
  <c r="U101" i="6" s="1"/>
  <c r="BS100" i="3"/>
  <c r="BS101" i="6"/>
  <c r="BD100" i="3"/>
  <c r="BD101" i="6" s="1"/>
  <c r="CG100" i="3"/>
  <c r="CG101" i="6"/>
  <c r="AF100" i="3"/>
  <c r="AF101" i="6" s="1"/>
  <c r="AV100" i="3"/>
  <c r="AV101" i="6"/>
  <c r="BK100" i="3"/>
  <c r="BK101" i="6" s="1"/>
  <c r="F100" i="3"/>
  <c r="F101" i="6"/>
  <c r="CZ100" i="3"/>
  <c r="CZ101" i="6" s="1"/>
  <c r="AD100" i="3"/>
  <c r="AD101" i="6"/>
  <c r="AW100" i="3"/>
  <c r="AW101" i="6" s="1"/>
  <c r="DD100" i="3"/>
  <c r="DD101" i="6"/>
  <c r="BP100" i="3"/>
  <c r="BP101" i="6" s="1"/>
  <c r="BV100" i="3"/>
  <c r="BV101" i="6"/>
  <c r="AH100" i="3"/>
  <c r="AH101" i="6" s="1"/>
  <c r="CM100" i="3"/>
  <c r="CM101" i="6"/>
  <c r="N100" i="3"/>
  <c r="N101" i="6" s="1"/>
  <c r="CH100" i="3"/>
  <c r="CH101" i="6"/>
  <c r="CF100" i="3"/>
  <c r="CF101" i="6" s="1"/>
  <c r="CI100" i="3"/>
  <c r="CI101" i="6"/>
  <c r="CK100" i="3"/>
  <c r="CK101" i="6" s="1"/>
  <c r="AT100" i="3"/>
  <c r="AT101" i="6"/>
  <c r="I100" i="3"/>
  <c r="I101" i="6" s="1"/>
  <c r="AG100" i="3"/>
  <c r="AG101" i="6"/>
  <c r="CN100" i="3"/>
  <c r="CN101" i="6" s="1"/>
  <c r="BT100" i="3"/>
  <c r="BT101" i="6"/>
  <c r="BC100" i="3"/>
  <c r="BC101" i="6" s="1"/>
  <c r="AO100" i="3"/>
  <c r="AO101" i="6"/>
  <c r="C101" i="6"/>
  <c r="CP100" i="3"/>
  <c r="CP101" i="6" s="1"/>
  <c r="DI100" i="3"/>
  <c r="DI101" i="6"/>
  <c r="AU100" i="3"/>
  <c r="AU101" i="6"/>
  <c r="Q100" i="3"/>
  <c r="Q101" i="6"/>
  <c r="BO100" i="3"/>
  <c r="BO101" i="6" s="1"/>
  <c r="CU100" i="3"/>
  <c r="CU101" i="6"/>
  <c r="CT100" i="3"/>
  <c r="CT101" i="6"/>
  <c r="AZ100" i="3"/>
  <c r="AZ101" i="6"/>
  <c r="CS100" i="3"/>
  <c r="CS101" i="6" s="1"/>
  <c r="DM100" i="3"/>
  <c r="DM101" i="6"/>
  <c r="R100" i="3"/>
  <c r="R101" i="6"/>
  <c r="BB100" i="3"/>
  <c r="BB101" i="6"/>
  <c r="DL100" i="3"/>
  <c r="DL101" i="6" s="1"/>
  <c r="BI100" i="3"/>
  <c r="BI101" i="6"/>
  <c r="AL100" i="3"/>
  <c r="AL101" i="6"/>
  <c r="BW100" i="3"/>
  <c r="BW101" i="6"/>
  <c r="BR100" i="3"/>
  <c r="BR101" i="6" s="1"/>
  <c r="BA100" i="3"/>
  <c r="BA101" i="6"/>
  <c r="DC100" i="3"/>
  <c r="DC101" i="6"/>
  <c r="D100" i="3"/>
  <c r="D101" i="6"/>
  <c r="BM100" i="3"/>
  <c r="BM101" i="6" s="1"/>
  <c r="CL100" i="3"/>
  <c r="CL101" i="6"/>
  <c r="AE100" i="3"/>
  <c r="AE101" i="6"/>
  <c r="DN100" i="3"/>
  <c r="DN101" i="6"/>
  <c r="CX100" i="3"/>
  <c r="CX101" i="6" s="1"/>
  <c r="V100" i="3"/>
  <c r="V101" i="6"/>
  <c r="DQ100" i="3"/>
  <c r="DQ101" i="6"/>
  <c r="AR100" i="3"/>
  <c r="AR101" i="6"/>
  <c r="S100" i="3"/>
  <c r="S101" i="6" s="1"/>
  <c r="DA100" i="3"/>
  <c r="DA101" i="6"/>
  <c r="DH100" i="3"/>
  <c r="DH101" i="6"/>
  <c r="O100" i="3"/>
  <c r="O101" i="6"/>
  <c r="CV100" i="3"/>
  <c r="CV101" i="6" s="1"/>
  <c r="AX100" i="3"/>
  <c r="AX101" i="6"/>
  <c r="CC100" i="3"/>
  <c r="CC101" i="6"/>
  <c r="G100" i="3"/>
  <c r="G101" i="6"/>
  <c r="X100" i="3"/>
  <c r="X101" i="6" s="1"/>
  <c r="BF100" i="3"/>
  <c r="BF101" i="6"/>
  <c r="CA100" i="3"/>
  <c r="CA101" i="6"/>
  <c r="CY100" i="3"/>
  <c r="CY101" i="6"/>
  <c r="AQ100" i="3"/>
  <c r="AQ101" i="6" s="1"/>
  <c r="AA100" i="3"/>
  <c r="AA101" i="6"/>
  <c r="H100" i="3"/>
  <c r="H101" i="6"/>
  <c r="L100" i="3"/>
  <c r="L101" i="6"/>
  <c r="P100" i="3"/>
  <c r="P101" i="6" s="1"/>
  <c r="BU100" i="3"/>
  <c r="BU101" i="6"/>
  <c r="E100" i="3"/>
  <c r="E101" i="6"/>
  <c r="CJ100" i="3"/>
  <c r="CJ101" i="6"/>
  <c r="C106" i="6"/>
  <c r="J105" i="3"/>
  <c r="J106" i="6"/>
  <c r="CN105" i="3"/>
  <c r="CN106" i="6" s="1"/>
  <c r="BP105" i="3"/>
  <c r="BP106" i="6"/>
  <c r="BH105" i="3"/>
  <c r="BH106" i="6" s="1"/>
  <c r="BV105" i="3"/>
  <c r="BV106" i="6"/>
  <c r="CQ105" i="3"/>
  <c r="CQ106" i="6" s="1"/>
  <c r="CF105" i="3"/>
  <c r="CF106" i="6"/>
  <c r="BL105" i="3"/>
  <c r="BL106" i="6" s="1"/>
  <c r="DJ105" i="3"/>
  <c r="DJ106" i="6"/>
  <c r="BA105" i="3"/>
  <c r="BA106" i="6" s="1"/>
  <c r="BY105" i="3"/>
  <c r="BY106" i="6"/>
  <c r="Y105" i="3"/>
  <c r="Y106" i="6" s="1"/>
  <c r="AM105" i="3"/>
  <c r="AM106" i="6"/>
  <c r="U105" i="3"/>
  <c r="U106" i="6" s="1"/>
  <c r="DF105" i="3"/>
  <c r="DF106" i="6"/>
  <c r="CK105" i="3"/>
  <c r="CK106" i="6" s="1"/>
  <c r="DI105" i="3"/>
  <c r="DI106" i="6"/>
  <c r="Z105" i="3"/>
  <c r="Z106" i="6" s="1"/>
  <c r="S105" i="3"/>
  <c r="S106" i="6"/>
  <c r="AS105" i="3"/>
  <c r="AS106" i="6" s="1"/>
  <c r="BE105" i="3"/>
  <c r="BE106" i="6"/>
  <c r="BQ105" i="3"/>
  <c r="BQ106" i="6" s="1"/>
  <c r="BO105" i="3"/>
  <c r="BO106" i="6"/>
  <c r="BU105" i="3"/>
  <c r="BU106" i="6" s="1"/>
  <c r="CR105" i="3"/>
  <c r="CR106" i="6"/>
  <c r="AL105" i="3"/>
  <c r="AL106" i="6" s="1"/>
  <c r="BI105" i="3"/>
  <c r="BI106" i="6"/>
  <c r="DC105" i="3"/>
  <c r="DC106" i="6" s="1"/>
  <c r="G105" i="3"/>
  <c r="G106" i="6"/>
  <c r="AC105" i="3"/>
  <c r="AC106" i="6" s="1"/>
  <c r="CT105" i="3"/>
  <c r="CT106" i="6"/>
  <c r="BB105" i="3"/>
  <c r="BB106" i="6" s="1"/>
  <c r="CS105" i="3"/>
  <c r="CS106" i="6"/>
  <c r="BX105" i="3"/>
  <c r="BX106" i="6" s="1"/>
  <c r="T105" i="3"/>
  <c r="T106" i="6"/>
  <c r="AG105" i="3"/>
  <c r="AG106" i="6" s="1"/>
  <c r="P105" i="3"/>
  <c r="P106" i="6"/>
  <c r="AZ105" i="3"/>
  <c r="AZ106" i="6" s="1"/>
  <c r="AV105" i="3"/>
  <c r="AV106" i="6"/>
  <c r="E105" i="3"/>
  <c r="E106" i="6" s="1"/>
  <c r="DA105" i="3"/>
  <c r="DA106" i="6"/>
  <c r="BM105" i="3"/>
  <c r="BM106" i="6" s="1"/>
  <c r="L105" i="3"/>
  <c r="L106" i="6"/>
  <c r="CO105" i="3"/>
  <c r="CO106" i="6" s="1"/>
  <c r="AQ105" i="3"/>
  <c r="AQ106" i="6"/>
  <c r="BJ105" i="3"/>
  <c r="BJ106" i="6" s="1"/>
  <c r="BT105" i="3"/>
  <c r="BT106" i="6"/>
  <c r="BD105" i="3"/>
  <c r="BD106" i="6" s="1"/>
  <c r="CE105" i="3"/>
  <c r="CE106" i="6"/>
  <c r="BK105" i="3"/>
  <c r="BK106" i="6" s="1"/>
  <c r="CB105" i="3"/>
  <c r="CB106" i="6"/>
  <c r="AE105" i="3"/>
  <c r="AE106" i="6" s="1"/>
  <c r="M105" i="3"/>
  <c r="M106" i="6"/>
  <c r="BC105" i="3"/>
  <c r="BC106" i="6" s="1"/>
  <c r="CH105" i="3"/>
  <c r="CH106" i="6"/>
  <c r="DL105" i="3"/>
  <c r="DL106" i="6" s="1"/>
  <c r="DQ105" i="3"/>
  <c r="DQ106" i="6"/>
  <c r="BS105" i="3"/>
  <c r="BS106" i="6" s="1"/>
  <c r="N105" i="3"/>
  <c r="N106" i="6"/>
  <c r="X105" i="3"/>
  <c r="X106" i="6" s="1"/>
  <c r="AI105" i="3"/>
  <c r="AI106" i="6"/>
  <c r="AJ105" i="3"/>
  <c r="AJ106" i="6" s="1"/>
  <c r="V105" i="3"/>
  <c r="V106" i="6"/>
  <c r="AT105" i="3"/>
  <c r="AT106" i="6" s="1"/>
  <c r="K105" i="3"/>
  <c r="K106" i="6"/>
  <c r="O105" i="3"/>
  <c r="O106" i="6" s="1"/>
  <c r="DP105" i="3"/>
  <c r="DP106" i="6"/>
  <c r="DH105" i="3"/>
  <c r="DH106" i="6" s="1"/>
  <c r="DD105" i="3"/>
  <c r="DD106" i="6"/>
  <c r="AW105" i="3"/>
  <c r="AW106" i="6" s="1"/>
  <c r="AF105" i="3"/>
  <c r="AF106" i="6"/>
  <c r="CA105" i="3"/>
  <c r="CA106" i="6" s="1"/>
  <c r="R105" i="3"/>
  <c r="R106" i="6"/>
  <c r="H105" i="3"/>
  <c r="H106" i="6" s="1"/>
  <c r="AU105" i="3"/>
  <c r="AU106" i="6"/>
  <c r="CI105" i="3"/>
  <c r="CI106" i="6" s="1"/>
  <c r="AY105" i="3"/>
  <c r="AY106" i="6"/>
  <c r="DB105" i="3"/>
  <c r="DB106" i="6" s="1"/>
  <c r="CG105" i="3"/>
  <c r="CG106" i="6"/>
  <c r="W105" i="3"/>
  <c r="W106" i="6" s="1"/>
  <c r="AO105" i="3"/>
  <c r="AO106" i="6"/>
  <c r="CC105" i="3"/>
  <c r="CC106" i="6" s="1"/>
  <c r="DE105" i="3"/>
  <c r="DE106" i="6"/>
  <c r="CJ105" i="3"/>
  <c r="CJ106" i="6" s="1"/>
  <c r="CD105" i="3"/>
  <c r="CD106" i="6"/>
  <c r="DO105" i="3"/>
  <c r="DO106" i="6" s="1"/>
  <c r="AK105" i="3"/>
  <c r="AK106" i="6"/>
  <c r="AP105" i="3"/>
  <c r="AP106" i="6" s="1"/>
  <c r="CL105" i="3"/>
  <c r="CL106" i="6"/>
  <c r="AA105" i="3"/>
  <c r="AA106" i="6" s="1"/>
  <c r="BN105" i="3"/>
  <c r="BN106" i="6"/>
  <c r="BW105" i="3"/>
  <c r="BW106" i="6" s="1"/>
  <c r="AH105" i="3"/>
  <c r="AH106" i="6"/>
  <c r="AX105" i="3"/>
  <c r="AX106" i="6" s="1"/>
  <c r="CY105" i="3"/>
  <c r="CY106" i="6"/>
  <c r="AB105" i="3"/>
  <c r="AB106" i="6" s="1"/>
  <c r="D105" i="3"/>
  <c r="D106" i="6"/>
  <c r="BG105" i="3"/>
  <c r="BG106" i="6" s="1"/>
  <c r="DM105" i="3"/>
  <c r="DM106" i="6"/>
  <c r="I105" i="3"/>
  <c r="I106" i="6" s="1"/>
  <c r="DN105" i="3"/>
  <c r="DN106" i="6"/>
  <c r="BF105" i="3"/>
  <c r="BF106" i="6" s="1"/>
  <c r="CZ105" i="3"/>
  <c r="CZ106" i="6"/>
  <c r="F105" i="3"/>
  <c r="F106" i="6" s="1"/>
  <c r="BR105" i="3"/>
  <c r="BR106" i="6"/>
  <c r="BW109" i="3"/>
  <c r="BW110" i="6" s="1"/>
  <c r="BN109" i="3"/>
  <c r="BN110" i="6"/>
  <c r="CC109" i="3"/>
  <c r="CC110" i="6" s="1"/>
  <c r="DQ109" i="3"/>
  <c r="DQ110" i="6"/>
  <c r="CE109" i="3"/>
  <c r="CE110" i="6" s="1"/>
  <c r="BK109" i="3"/>
  <c r="BK110" i="6"/>
  <c r="DL109" i="3"/>
  <c r="DL110" i="6" s="1"/>
  <c r="AB109" i="3"/>
  <c r="AB110" i="6"/>
  <c r="DM109" i="3"/>
  <c r="DM110" i="6" s="1"/>
  <c r="BB109" i="3"/>
  <c r="BB110" i="6"/>
  <c r="AZ109" i="3"/>
  <c r="AZ110" i="6" s="1"/>
  <c r="AK109" i="3"/>
  <c r="AK110" i="6"/>
  <c r="DP109" i="3"/>
  <c r="DP110" i="6" s="1"/>
  <c r="G109" i="3"/>
  <c r="G110" i="6"/>
  <c r="DG109" i="3"/>
  <c r="DG110" i="6" s="1"/>
  <c r="BJ109" i="3"/>
  <c r="BJ110" i="6"/>
  <c r="D109" i="3"/>
  <c r="D110" i="6" s="1"/>
  <c r="BS109" i="3"/>
  <c r="BS110" i="6"/>
  <c r="U109" i="3"/>
  <c r="U110" i="6" s="1"/>
  <c r="CF109" i="3"/>
  <c r="CF110" i="6"/>
  <c r="CR109" i="3"/>
  <c r="CR110" i="6" s="1"/>
  <c r="CA109" i="3"/>
  <c r="CA110" i="6"/>
  <c r="H109" i="3"/>
  <c r="H110" i="6" s="1"/>
  <c r="AT109" i="3"/>
  <c r="AT110" i="6"/>
  <c r="I109" i="3"/>
  <c r="I110" i="6" s="1"/>
  <c r="CB109" i="3"/>
  <c r="CB110" i="6"/>
  <c r="AW109" i="3"/>
  <c r="AW110" i="6" s="1"/>
  <c r="BR109" i="3"/>
  <c r="BR110" i="6"/>
  <c r="AF109" i="3"/>
  <c r="AF110" i="6" s="1"/>
  <c r="DE109" i="3"/>
  <c r="DE110" i="6"/>
  <c r="Y109" i="3"/>
  <c r="Y110" i="6" s="1"/>
  <c r="DK109" i="3"/>
  <c r="DK110" i="6"/>
  <c r="CX109" i="3"/>
  <c r="CX110" i="6" s="1"/>
  <c r="CO109" i="3"/>
  <c r="CO110" i="6"/>
  <c r="AR109" i="3"/>
  <c r="AR110" i="6" s="1"/>
  <c r="BV109" i="3"/>
  <c r="BV110" i="6"/>
  <c r="DD109" i="3"/>
  <c r="DD110" i="6" s="1"/>
  <c r="AM109" i="3"/>
  <c r="AM110" i="6"/>
  <c r="CK109" i="3"/>
  <c r="CK110" i="6" s="1"/>
  <c r="L109" i="3"/>
  <c r="L110" i="6"/>
  <c r="CD109" i="3"/>
  <c r="CD110" i="6" s="1"/>
  <c r="DF109" i="3"/>
  <c r="DF110" i="6"/>
  <c r="BY109" i="3"/>
  <c r="BY110" i="6" s="1"/>
  <c r="T109" i="3"/>
  <c r="T110" i="6"/>
  <c r="AQ109" i="3"/>
  <c r="AQ110" i="6" s="1"/>
  <c r="J109" i="3"/>
  <c r="J110" i="6"/>
  <c r="BD109" i="3"/>
  <c r="BD110" i="6" s="1"/>
  <c r="BH109" i="3"/>
  <c r="BH110" i="6"/>
  <c r="AJ109" i="3"/>
  <c r="AJ110" i="6" s="1"/>
  <c r="BT109" i="3"/>
  <c r="BT110" i="6"/>
  <c r="BI109" i="3"/>
  <c r="BI110" i="6" s="1"/>
  <c r="CJ109" i="3"/>
  <c r="CJ110" i="6"/>
  <c r="AC109" i="3"/>
  <c r="AC110" i="6" s="1"/>
  <c r="CV109" i="3"/>
  <c r="CV110" i="6"/>
  <c r="AN109" i="3"/>
  <c r="AN110" i="6" s="1"/>
  <c r="S109" i="3"/>
  <c r="S110" i="6"/>
  <c r="DB109" i="3"/>
  <c r="DB110" i="6" s="1"/>
  <c r="AP109" i="3"/>
  <c r="AP110" i="6"/>
  <c r="BO109" i="3"/>
  <c r="BO110" i="6" s="1"/>
  <c r="AU109" i="3"/>
  <c r="AU110" i="6"/>
  <c r="DI109" i="3"/>
  <c r="DI110" i="6" s="1"/>
  <c r="CY109" i="3"/>
  <c r="CY110" i="6"/>
  <c r="AL109" i="3"/>
  <c r="AL110" i="6" s="1"/>
  <c r="DC109" i="3"/>
  <c r="DC110" i="6"/>
  <c r="DH109" i="3"/>
  <c r="DH110" i="6" s="1"/>
  <c r="K109" i="3"/>
  <c r="K110" i="6"/>
  <c r="AY109" i="3"/>
  <c r="AY110" i="6" s="1"/>
  <c r="CZ109" i="3"/>
  <c r="CZ110" i="6"/>
  <c r="CM109" i="3"/>
  <c r="CM110" i="6" s="1"/>
  <c r="AE109" i="3"/>
  <c r="AE110" i="6"/>
  <c r="V109" i="3"/>
  <c r="V110" i="6" s="1"/>
  <c r="BA109" i="3"/>
  <c r="BA110" i="6"/>
  <c r="CW109" i="3"/>
  <c r="CW110" i="6" s="1"/>
  <c r="N109" i="3"/>
  <c r="N110" i="6"/>
  <c r="AO109" i="3"/>
  <c r="AO110" i="6" s="1"/>
  <c r="P109" i="3"/>
  <c r="P110" i="6"/>
  <c r="Z109" i="3"/>
  <c r="Z110" i="6" s="1"/>
  <c r="BU109" i="3"/>
  <c r="BU110" i="6"/>
  <c r="AA109" i="3"/>
  <c r="AA110" i="6" s="1"/>
  <c r="CQ109" i="3"/>
  <c r="CQ110" i="6"/>
  <c r="BX109" i="3"/>
  <c r="BX110" i="6" s="1"/>
  <c r="AD109" i="3"/>
  <c r="AD110" i="6"/>
  <c r="F109" i="3"/>
  <c r="F110" i="6" s="1"/>
  <c r="M109" i="3"/>
  <c r="M110" i="6"/>
  <c r="R109" i="3"/>
  <c r="R110" i="6" s="1"/>
  <c r="DN109" i="3"/>
  <c r="DN110" i="6"/>
  <c r="E109" i="3"/>
  <c r="E110" i="6" s="1"/>
  <c r="BF109" i="3"/>
  <c r="BF110" i="6"/>
  <c r="Q109" i="3"/>
  <c r="Q110" i="6" s="1"/>
  <c r="BZ109" i="3"/>
  <c r="BZ110" i="6"/>
  <c r="CU109" i="3"/>
  <c r="CU110" i="6" s="1"/>
  <c r="CG109" i="3"/>
  <c r="CG110" i="6"/>
  <c r="DJ109" i="3"/>
  <c r="DJ110" i="6" s="1"/>
  <c r="CT109" i="3"/>
  <c r="CT110" i="6"/>
  <c r="AI109" i="3"/>
  <c r="AI110" i="6" s="1"/>
  <c r="BM109" i="3"/>
  <c r="BM110" i="6"/>
  <c r="BC109" i="3"/>
  <c r="BC110" i="6" s="1"/>
  <c r="CI109" i="3"/>
  <c r="CI110" i="6"/>
  <c r="DA109" i="3"/>
  <c r="DA110" i="6" s="1"/>
  <c r="BQ109" i="3"/>
  <c r="BQ110" i="6"/>
  <c r="AS109" i="3"/>
  <c r="AS110" i="6" s="1"/>
  <c r="W109" i="3"/>
  <c r="W110" i="6"/>
  <c r="AV109" i="3"/>
  <c r="AV110" i="6" s="1"/>
  <c r="BP109" i="3"/>
  <c r="BP110" i="6"/>
  <c r="BA117" i="3"/>
  <c r="BA118" i="6" s="1"/>
  <c r="G117" i="3"/>
  <c r="G118" i="6"/>
  <c r="DL117" i="3"/>
  <c r="DL118" i="6" s="1"/>
  <c r="BB117" i="3"/>
  <c r="BB118" i="6"/>
  <c r="BT117" i="3"/>
  <c r="BT118" i="6" s="1"/>
  <c r="L117" i="3"/>
  <c r="L118" i="6"/>
  <c r="BI117" i="3"/>
  <c r="BI118" i="6" s="1"/>
  <c r="Z117" i="3"/>
  <c r="Z118" i="6"/>
  <c r="U117" i="3"/>
  <c r="U118" i="6" s="1"/>
  <c r="AS117" i="3"/>
  <c r="AS118" i="6"/>
  <c r="AC117" i="3"/>
  <c r="AC118" i="6" s="1"/>
  <c r="DC117" i="3"/>
  <c r="DC118" i="6"/>
  <c r="DA117" i="3"/>
  <c r="DA118" i="6" s="1"/>
  <c r="T117" i="3"/>
  <c r="T118" i="6"/>
  <c r="CB117" i="3"/>
  <c r="CB118" i="6" s="1"/>
  <c r="BN117" i="3"/>
  <c r="BN118" i="6"/>
  <c r="BK117" i="3"/>
  <c r="BK118" i="6" s="1"/>
  <c r="E117" i="3"/>
  <c r="E118" i="6"/>
  <c r="BQ117" i="3"/>
  <c r="BQ118" i="6" s="1"/>
  <c r="BX117" i="3"/>
  <c r="BX118" i="6"/>
  <c r="AK117" i="3"/>
  <c r="AK118" i="6" s="1"/>
  <c r="AM117" i="3"/>
  <c r="AM118" i="6"/>
  <c r="CW117" i="3"/>
  <c r="CW118" i="6" s="1"/>
  <c r="CJ117" i="3"/>
  <c r="CJ118" i="6"/>
  <c r="BJ117" i="3"/>
  <c r="BJ118" i="6" s="1"/>
  <c r="AN117" i="3"/>
  <c r="AN118" i="6"/>
  <c r="AI117" i="3"/>
  <c r="AI118" i="6" s="1"/>
  <c r="CQ117" i="3"/>
  <c r="CQ118" i="6"/>
  <c r="CF117" i="3"/>
  <c r="CF118" i="6" s="1"/>
  <c r="CO117" i="3"/>
  <c r="CO118" i="6"/>
  <c r="BU117" i="3"/>
  <c r="BU118" i="6" s="1"/>
  <c r="N117" i="3"/>
  <c r="N118" i="6"/>
  <c r="DK117" i="3"/>
  <c r="DK118" i="6" s="1"/>
  <c r="AP117" i="3"/>
  <c r="AP118" i="6"/>
  <c r="BC117" i="3"/>
  <c r="BC118" i="6" s="1"/>
  <c r="CR117" i="3"/>
  <c r="CR118" i="6"/>
  <c r="X117" i="3"/>
  <c r="X118" i="6" s="1"/>
  <c r="AR117" i="3"/>
  <c r="AR118" i="6"/>
  <c r="AQ117" i="3"/>
  <c r="AQ118" i="6" s="1"/>
  <c r="AO117" i="3"/>
  <c r="AO118" i="6"/>
  <c r="CC117" i="3"/>
  <c r="CC118" i="6" s="1"/>
  <c r="CD117" i="3"/>
  <c r="CD118" i="6"/>
  <c r="I117" i="3"/>
  <c r="I118" i="6" s="1"/>
  <c r="W117" i="3"/>
  <c r="W118" i="6"/>
  <c r="O117" i="3"/>
  <c r="O118" i="6" s="1"/>
  <c r="BD117" i="3"/>
  <c r="BD118" i="6"/>
  <c r="DP117" i="3"/>
  <c r="DP118" i="6" s="1"/>
  <c r="DE117" i="3"/>
  <c r="DE118" i="6"/>
  <c r="CX117" i="3"/>
  <c r="CX118" i="6" s="1"/>
  <c r="AU117" i="3"/>
  <c r="AU118" i="6"/>
  <c r="AJ117" i="3"/>
  <c r="AJ118" i="6" s="1"/>
  <c r="DG117" i="3"/>
  <c r="DG118" i="6"/>
  <c r="DB117" i="3"/>
  <c r="DB118" i="6" s="1"/>
  <c r="BP117" i="3"/>
  <c r="BP118" i="6"/>
  <c r="AG117" i="3"/>
  <c r="AG118" i="6" s="1"/>
  <c r="AA117" i="3"/>
  <c r="AA118" i="6"/>
  <c r="AH117" i="3"/>
  <c r="AH118" i="6" s="1"/>
  <c r="R117" i="3"/>
  <c r="R118" i="6"/>
  <c r="CS117" i="3"/>
  <c r="CS118" i="6" s="1"/>
  <c r="Y117" i="3"/>
  <c r="Y118" i="6"/>
  <c r="Q117" i="3"/>
  <c r="Q118" i="6" s="1"/>
  <c r="BE117" i="3"/>
  <c r="BE118" i="6"/>
  <c r="DN117" i="3"/>
  <c r="DN118" i="6" s="1"/>
  <c r="BO117" i="3"/>
  <c r="BO118" i="6"/>
  <c r="CK117" i="3"/>
  <c r="CK118" i="6" s="1"/>
  <c r="BM117" i="3"/>
  <c r="BM118" i="6"/>
  <c r="AY117" i="3"/>
  <c r="AY118" i="6" s="1"/>
  <c r="CZ117" i="3"/>
  <c r="CZ118" i="6"/>
  <c r="BF117" i="3"/>
  <c r="BF118" i="6" s="1"/>
  <c r="BW117" i="3"/>
  <c r="BW118" i="6"/>
  <c r="J117" i="3"/>
  <c r="J118" i="6" s="1"/>
  <c r="DQ117" i="3"/>
  <c r="DQ118" i="6"/>
  <c r="BY117" i="3"/>
  <c r="BY118" i="6" s="1"/>
  <c r="DI117" i="3"/>
  <c r="DI118" i="6"/>
  <c r="CH117" i="3"/>
  <c r="CH118" i="6" s="1"/>
  <c r="CA117" i="3"/>
  <c r="CA118" i="6"/>
  <c r="AE117" i="3"/>
  <c r="AE118" i="6" s="1"/>
  <c r="BZ117" i="3"/>
  <c r="BZ118" i="6"/>
  <c r="M117" i="3"/>
  <c r="M118" i="6" s="1"/>
  <c r="S117" i="3"/>
  <c r="S118" i="6"/>
  <c r="AV117" i="3"/>
  <c r="AV118" i="6" s="1"/>
  <c r="CE117" i="3"/>
  <c r="CE118" i="6"/>
  <c r="BS117" i="3"/>
  <c r="BS118" i="6" s="1"/>
  <c r="AL117" i="3"/>
  <c r="AL118" i="6"/>
  <c r="K117" i="3"/>
  <c r="K118" i="6" s="1"/>
  <c r="P117" i="3"/>
  <c r="P118" i="6"/>
  <c r="DF117" i="3"/>
  <c r="DF118" i="6" s="1"/>
  <c r="DD117" i="3"/>
  <c r="DD118" i="6"/>
  <c r="CV117" i="3"/>
  <c r="CV118" i="6" s="1"/>
  <c r="AT117" i="3"/>
  <c r="AT118" i="6"/>
  <c r="DM117" i="3"/>
  <c r="DM118" i="6" s="1"/>
  <c r="CG117" i="3"/>
  <c r="CG118" i="6"/>
  <c r="AF117" i="3"/>
  <c r="AF118" i="6" s="1"/>
  <c r="AB117" i="3"/>
  <c r="AB118" i="6"/>
  <c r="CM117" i="3"/>
  <c r="CM118" i="6" s="1"/>
  <c r="CN117" i="3"/>
  <c r="CN118" i="6"/>
  <c r="CI117" i="3"/>
  <c r="CI118" i="6" s="1"/>
  <c r="BL117" i="3"/>
  <c r="BL118" i="6"/>
  <c r="CU117" i="3"/>
  <c r="CU118" i="6" s="1"/>
  <c r="AW117" i="3"/>
  <c r="AW118" i="6"/>
  <c r="D117" i="3"/>
  <c r="D118" i="6" s="1"/>
  <c r="H117" i="3"/>
  <c r="H118" i="6"/>
  <c r="AZ117" i="3"/>
  <c r="AZ118" i="6" s="1"/>
  <c r="BG117" i="3"/>
  <c r="BG118" i="6"/>
  <c r="V117" i="3"/>
  <c r="V118" i="6" s="1"/>
  <c r="BH117" i="3"/>
  <c r="BH118" i="6"/>
  <c r="U121" i="3"/>
  <c r="U122" i="6" s="1"/>
  <c r="DQ121" i="3"/>
  <c r="DQ122" i="6"/>
  <c r="CX125" i="3"/>
  <c r="CX126" i="6" s="1"/>
  <c r="CW125" i="3"/>
  <c r="CW126" i="6"/>
  <c r="DI125" i="3"/>
  <c r="DI126" i="6" s="1"/>
  <c r="BP125" i="3"/>
  <c r="BP126" i="6"/>
  <c r="CI125" i="3"/>
  <c r="CI126" i="6" s="1"/>
  <c r="BK125" i="3"/>
  <c r="BK126" i="6"/>
  <c r="G125" i="3"/>
  <c r="G126" i="6" s="1"/>
  <c r="BS125" i="3"/>
  <c r="BS126" i="6"/>
  <c r="AY125" i="3"/>
  <c r="AY126" i="6" s="1"/>
  <c r="BO125" i="3"/>
  <c r="BO126" i="6"/>
  <c r="CE125" i="3"/>
  <c r="CE126" i="6" s="1"/>
  <c r="U125" i="3"/>
  <c r="U126" i="6"/>
  <c r="BV125" i="3"/>
  <c r="BV126" i="6" s="1"/>
  <c r="BI125" i="3"/>
  <c r="BI126" i="6"/>
  <c r="AJ125" i="3"/>
  <c r="AJ126" i="6" s="1"/>
  <c r="DB125" i="3"/>
  <c r="DB126" i="6"/>
  <c r="DD125" i="3"/>
  <c r="DD126" i="6" s="1"/>
  <c r="BX125" i="3"/>
  <c r="BX126" i="6"/>
  <c r="BZ125" i="3"/>
  <c r="BZ126" i="6" s="1"/>
  <c r="CU125" i="3"/>
  <c r="CU126" i="6"/>
  <c r="I125" i="3"/>
  <c r="I126" i="6" s="1"/>
  <c r="DL125" i="3"/>
  <c r="DL126" i="6"/>
  <c r="E125" i="3"/>
  <c r="E126" i="6" s="1"/>
  <c r="DQ125" i="3"/>
  <c r="DQ126" i="6"/>
  <c r="AO125" i="3"/>
  <c r="AO126" i="6" s="1"/>
  <c r="AP125" i="3"/>
  <c r="AP126" i="6"/>
  <c r="J125" i="3"/>
  <c r="J126" i="6" s="1"/>
  <c r="AC125" i="3"/>
  <c r="AC126" i="6"/>
  <c r="BL125" i="3"/>
  <c r="BL126" i="6" s="1"/>
  <c r="AX125" i="3"/>
  <c r="AX126" i="6"/>
  <c r="AR125" i="3"/>
  <c r="AR126" i="6" s="1"/>
  <c r="P125" i="3"/>
  <c r="P126" i="6"/>
  <c r="N125" i="3"/>
  <c r="N126" i="6" s="1"/>
  <c r="AT125" i="3"/>
  <c r="AT126" i="6"/>
  <c r="CH125" i="3"/>
  <c r="CH126" i="6" s="1"/>
  <c r="AE125" i="3"/>
  <c r="AE126" i="6"/>
  <c r="DG125" i="3"/>
  <c r="DG126" i="6" s="1"/>
  <c r="DO125" i="3"/>
  <c r="DO126" i="6"/>
  <c r="DC125" i="3"/>
  <c r="DC126" i="6" s="1"/>
  <c r="AA125" i="3"/>
  <c r="AA126" i="6"/>
  <c r="O125" i="3"/>
  <c r="O126" i="6" s="1"/>
  <c r="DP125" i="3"/>
  <c r="DP126" i="6"/>
  <c r="R125" i="3"/>
  <c r="R126" i="6" s="1"/>
  <c r="CP125" i="3"/>
  <c r="CP126" i="6"/>
  <c r="BN125" i="3"/>
  <c r="BN126" i="6" s="1"/>
  <c r="BF125" i="3"/>
  <c r="BF126" i="6"/>
  <c r="AW125" i="3"/>
  <c r="AW126" i="6" s="1"/>
  <c r="CT125" i="3"/>
  <c r="CT126" i="6"/>
  <c r="AZ125" i="3"/>
  <c r="AZ126" i="6" s="1"/>
  <c r="BB125" i="3"/>
  <c r="BB126" i="6"/>
  <c r="BY125" i="3"/>
  <c r="BY126" i="6" s="1"/>
  <c r="AS125" i="3"/>
  <c r="AS126" i="6"/>
  <c r="AL125" i="3"/>
  <c r="AL126" i="6" s="1"/>
  <c r="DM125" i="3"/>
  <c r="DM126" i="6"/>
  <c r="CB125" i="3"/>
  <c r="CB126" i="6" s="1"/>
  <c r="AH125" i="3"/>
  <c r="AH126" i="6"/>
  <c r="C126" i="6"/>
  <c r="Q125" i="3"/>
  <c r="Q126" i="6" s="1"/>
  <c r="CS125" i="3"/>
  <c r="CS126" i="6"/>
  <c r="DE125" i="3"/>
  <c r="DE126" i="6" s="1"/>
  <c r="AN125" i="3"/>
  <c r="AN126" i="6"/>
  <c r="BU125" i="3"/>
  <c r="BU126" i="6" s="1"/>
  <c r="CA129" i="3"/>
  <c r="CA130" i="6"/>
  <c r="BT129" i="3"/>
  <c r="BT130" i="6" s="1"/>
  <c r="CK129" i="3"/>
  <c r="CK130" i="6"/>
  <c r="BL129" i="3"/>
  <c r="BL130" i="6" s="1"/>
  <c r="CP129" i="3"/>
  <c r="CP130" i="6"/>
  <c r="AW129" i="3"/>
  <c r="AW130" i="6" s="1"/>
  <c r="BQ129" i="3"/>
  <c r="BQ130" i="6"/>
  <c r="CU129" i="3"/>
  <c r="CU130" i="6" s="1"/>
  <c r="R129" i="3"/>
  <c r="R130" i="6"/>
  <c r="BJ129" i="3"/>
  <c r="BJ130" i="6" s="1"/>
  <c r="CG129" i="3"/>
  <c r="CG130" i="6"/>
  <c r="S129" i="3"/>
  <c r="S130" i="6" s="1"/>
  <c r="W129" i="3"/>
  <c r="W130" i="6"/>
  <c r="AZ129" i="3"/>
  <c r="AZ130" i="6" s="1"/>
  <c r="AG129" i="3"/>
  <c r="AG130" i="6"/>
  <c r="BF129" i="3"/>
  <c r="BF130" i="6" s="1"/>
  <c r="BW129" i="3"/>
  <c r="BW130" i="6"/>
  <c r="CF129" i="3"/>
  <c r="CF130" i="6" s="1"/>
  <c r="T129" i="3"/>
  <c r="T130" i="6"/>
  <c r="BV129" i="3"/>
  <c r="BV130" i="6" s="1"/>
  <c r="AB129" i="3"/>
  <c r="AB130" i="6"/>
  <c r="BY129" i="3"/>
  <c r="BY130" i="6" s="1"/>
  <c r="BS129" i="3"/>
  <c r="BS130" i="6"/>
  <c r="I129" i="3"/>
  <c r="I130" i="6" s="1"/>
  <c r="CQ129" i="3"/>
  <c r="CQ130" i="6"/>
  <c r="CX129" i="3"/>
  <c r="CX130" i="6" s="1"/>
  <c r="AJ129" i="3"/>
  <c r="AJ130" i="6"/>
  <c r="AX129" i="3"/>
  <c r="AX130" i="6" s="1"/>
  <c r="DG129" i="3"/>
  <c r="DG130" i="6"/>
  <c r="N129" i="3"/>
  <c r="N130" i="6" s="1"/>
  <c r="BE129" i="3"/>
  <c r="BE130" i="6"/>
  <c r="AR129" i="3"/>
  <c r="AR130" i="6" s="1"/>
  <c r="AS129" i="3"/>
  <c r="AS130" i="6"/>
  <c r="BR129" i="3"/>
  <c r="BR130" i="6" s="1"/>
  <c r="AI129" i="3"/>
  <c r="AI130" i="6"/>
  <c r="AM129" i="3"/>
  <c r="AM130" i="6" s="1"/>
  <c r="H129" i="3"/>
  <c r="H130" i="6"/>
  <c r="DD129" i="3"/>
  <c r="DD130" i="6" s="1"/>
  <c r="X129" i="3"/>
  <c r="X130" i="6"/>
  <c r="AK129" i="3"/>
  <c r="AK130" i="6" s="1"/>
  <c r="AL129" i="3"/>
  <c r="AL130" i="6"/>
  <c r="DC129" i="3"/>
  <c r="DC130" i="6" s="1"/>
  <c r="DL129" i="3"/>
  <c r="DL130" i="6"/>
  <c r="Y129" i="3"/>
  <c r="Y130" i="6" s="1"/>
  <c r="AF129" i="3"/>
  <c r="AF130" i="6"/>
  <c r="DI129" i="3"/>
  <c r="DI130" i="6" s="1"/>
  <c r="CC129" i="3"/>
  <c r="CC130" i="6"/>
  <c r="CI129" i="3"/>
  <c r="CI130" i="6" s="1"/>
  <c r="M129" i="3"/>
  <c r="M130" i="6"/>
  <c r="BX129" i="3"/>
  <c r="BX130" i="6" s="1"/>
  <c r="CJ129" i="3"/>
  <c r="CJ130" i="6"/>
  <c r="P129" i="3"/>
  <c r="P130" i="6" s="1"/>
  <c r="AQ129" i="3"/>
  <c r="AQ130" i="6"/>
  <c r="CN129" i="3"/>
  <c r="CN130" i="6" s="1"/>
  <c r="BM129" i="3"/>
  <c r="BM130" i="6"/>
  <c r="DB129" i="3"/>
  <c r="DB130" i="6" s="1"/>
  <c r="BH129" i="3"/>
  <c r="BH130" i="6"/>
  <c r="CM129" i="3"/>
  <c r="CM130" i="6" s="1"/>
  <c r="CC8" i="3"/>
  <c r="CC9" i="6"/>
  <c r="CL4" i="3"/>
  <c r="CL5" i="6" s="1"/>
  <c r="AH4" i="3"/>
  <c r="AH5" i="6"/>
  <c r="CC4" i="3"/>
  <c r="CC5" i="6" s="1"/>
  <c r="Q4" i="3"/>
  <c r="Q5" i="6"/>
  <c r="DC4" i="3"/>
  <c r="DC5" i="6" s="1"/>
  <c r="BR4" i="3"/>
  <c r="BR5" i="6"/>
  <c r="R4" i="3"/>
  <c r="R5" i="6" s="1"/>
  <c r="AQ133" i="3"/>
  <c r="AQ134" i="6"/>
  <c r="BF133" i="3"/>
  <c r="BF134" i="6" s="1"/>
  <c r="BS133" i="3"/>
  <c r="BS134" i="6"/>
  <c r="CN133" i="3"/>
  <c r="CN134" i="6" s="1"/>
  <c r="AH133" i="3"/>
  <c r="AH134" i="6"/>
  <c r="CQ133" i="3"/>
  <c r="CQ134" i="6" s="1"/>
  <c r="L133" i="3"/>
  <c r="L134" i="6"/>
  <c r="BD133" i="3"/>
  <c r="BD134" i="6" s="1"/>
  <c r="Q133" i="3"/>
  <c r="Q134" i="6"/>
  <c r="CP133" i="3"/>
  <c r="CP134" i="6" s="1"/>
  <c r="W133" i="3"/>
  <c r="W134" i="6"/>
  <c r="CR133" i="3"/>
  <c r="CR134" i="6" s="1"/>
  <c r="CO133" i="3"/>
  <c r="CO134" i="6"/>
  <c r="J133" i="3"/>
  <c r="J134" i="6" s="1"/>
  <c r="CZ133" i="3"/>
  <c r="CZ134" i="6"/>
  <c r="BU133" i="3"/>
  <c r="BU134" i="6" s="1"/>
  <c r="CC133" i="3"/>
  <c r="CC134" i="6"/>
  <c r="BJ133" i="3"/>
  <c r="BJ134" i="6" s="1"/>
  <c r="AP133" i="3"/>
  <c r="AP134" i="6"/>
  <c r="BQ133" i="3"/>
  <c r="BQ134" i="6" s="1"/>
  <c r="AB133" i="3"/>
  <c r="AB134" i="6"/>
  <c r="Y133" i="3"/>
  <c r="Y134" i="6" s="1"/>
  <c r="C134" i="6"/>
  <c r="Q121" i="3"/>
  <c r="Q122" i="6" s="1"/>
  <c r="AB121" i="3"/>
  <c r="AB122" i="6"/>
  <c r="BU121" i="3"/>
  <c r="BU122" i="6" s="1"/>
  <c r="CX121" i="3"/>
  <c r="CX122" i="6"/>
  <c r="CM18" i="3"/>
  <c r="CM19" i="6" s="1"/>
  <c r="BG2" i="2"/>
  <c r="DI92" i="3"/>
  <c r="DI93" i="6"/>
  <c r="CR92" i="3"/>
  <c r="CR93" i="6" s="1"/>
  <c r="DM92" i="3"/>
  <c r="DM93" i="6"/>
  <c r="BK92" i="3"/>
  <c r="BK93" i="6" s="1"/>
  <c r="CJ92" i="3"/>
  <c r="CJ93" i="6"/>
  <c r="AS92" i="3"/>
  <c r="AS93" i="6" s="1"/>
  <c r="CO92" i="3"/>
  <c r="CO93" i="6"/>
  <c r="BJ92" i="3"/>
  <c r="BJ93" i="6" s="1"/>
  <c r="CS92" i="3"/>
  <c r="CS93" i="6"/>
  <c r="BQ92" i="3"/>
  <c r="BQ93" i="6" s="1"/>
  <c r="W92" i="3"/>
  <c r="W93" i="6"/>
  <c r="AE92" i="3"/>
  <c r="AE93" i="6" s="1"/>
  <c r="BT92" i="3"/>
  <c r="BT93" i="6"/>
  <c r="AO92" i="3"/>
  <c r="AO93" i="6" s="1"/>
  <c r="BF92" i="3"/>
  <c r="BF93" i="6"/>
  <c r="CT92" i="3"/>
  <c r="CT93" i="6" s="1"/>
  <c r="BH92" i="3"/>
  <c r="BH93" i="6"/>
  <c r="AI92" i="3"/>
  <c r="AI93" i="6" s="1"/>
  <c r="CL92" i="3"/>
  <c r="CL93" i="6"/>
  <c r="BL92" i="3"/>
  <c r="BL93" i="6" s="1"/>
  <c r="AI125" i="3"/>
  <c r="AI126" i="6"/>
  <c r="AF125" i="3"/>
  <c r="AF126" i="6" s="1"/>
  <c r="DQ129" i="3"/>
  <c r="DQ130" i="6"/>
  <c r="K129" i="3"/>
  <c r="K130" i="6" s="1"/>
  <c r="CE129" i="3"/>
  <c r="CE130" i="6"/>
  <c r="BP129" i="3"/>
  <c r="BP130" i="6" s="1"/>
  <c r="D129" i="3"/>
  <c r="D130" i="6"/>
  <c r="AA129" i="3"/>
  <c r="AA130" i="6" s="1"/>
  <c r="BN129" i="3"/>
  <c r="BN130" i="6"/>
  <c r="AC129" i="3"/>
  <c r="AC130" i="6" s="1"/>
  <c r="AH129" i="3"/>
  <c r="AH130" i="6"/>
  <c r="DF129" i="3"/>
  <c r="DF130" i="6" s="1"/>
  <c r="BO129" i="3"/>
  <c r="BO130" i="6"/>
  <c r="Q129" i="3"/>
  <c r="Q130" i="6" s="1"/>
  <c r="CR129" i="3"/>
  <c r="CR130" i="6"/>
  <c r="AO129" i="3"/>
  <c r="AO130" i="6" s="1"/>
  <c r="AE129" i="3"/>
  <c r="AE130" i="6"/>
  <c r="BM125" i="3"/>
  <c r="BM126" i="6" s="1"/>
  <c r="CZ125" i="3"/>
  <c r="CZ126" i="6"/>
  <c r="CJ125" i="3"/>
  <c r="CJ126" i="6" s="1"/>
  <c r="CV125" i="3"/>
  <c r="CV126" i="6"/>
  <c r="CD125" i="3"/>
  <c r="CD126" i="6" s="1"/>
  <c r="BR125" i="3"/>
  <c r="BR126" i="6"/>
  <c r="D125" i="3"/>
  <c r="D126" i="6" s="1"/>
  <c r="Y125" i="3"/>
  <c r="Y126" i="6"/>
  <c r="CO125" i="3"/>
  <c r="CO126" i="6" s="1"/>
  <c r="BW125" i="3"/>
  <c r="BW126" i="6"/>
  <c r="CQ125" i="3"/>
  <c r="CQ126" i="6" s="1"/>
  <c r="BC125" i="3"/>
  <c r="BC126" i="6"/>
  <c r="AP92" i="3"/>
  <c r="AP93" i="6" s="1"/>
  <c r="O92" i="3"/>
  <c r="O93" i="6"/>
  <c r="DN4" i="3"/>
  <c r="DN5" i="6" s="1"/>
  <c r="DN3" i="6" s="1"/>
  <c r="AS4" i="3"/>
  <c r="AS5" i="6"/>
  <c r="DM8" i="3"/>
  <c r="DM9" i="6" s="1"/>
  <c r="L4" i="3"/>
  <c r="L5" i="6"/>
  <c r="CF8" i="3"/>
  <c r="CF9" i="6" s="1"/>
  <c r="AX117" i="3"/>
  <c r="AX118" i="6"/>
  <c r="DH117" i="3"/>
  <c r="DH118" i="6" s="1"/>
  <c r="DO117" i="3"/>
  <c r="DO118" i="6"/>
  <c r="DJ117" i="3"/>
  <c r="DJ118" i="6" s="1"/>
  <c r="BL109" i="3"/>
  <c r="BL110" i="6"/>
  <c r="BG109" i="3"/>
  <c r="BG110" i="6" s="1"/>
  <c r="CH109" i="3"/>
  <c r="CH110" i="6"/>
  <c r="DK105" i="3"/>
  <c r="DK106" i="6" s="1"/>
  <c r="AN105" i="3"/>
  <c r="AN106" i="6"/>
  <c r="CM105" i="3"/>
  <c r="CM106" i="6" s="1"/>
  <c r="CR8" i="3"/>
  <c r="CR9" i="6"/>
  <c r="W4" i="3"/>
  <c r="W5" i="6" s="1"/>
  <c r="BP4" i="3"/>
  <c r="BP5" i="6"/>
  <c r="DG105" i="3"/>
  <c r="DG106" i="6" s="1"/>
  <c r="BL100" i="3"/>
  <c r="BL101" i="6"/>
  <c r="C42" i="4"/>
  <c r="D46" i="1" s="1"/>
  <c r="C45" i="5" s="1"/>
  <c r="DA8" i="3"/>
  <c r="DA9" i="6" s="1"/>
  <c r="DC8" i="3"/>
  <c r="DC9" i="6"/>
  <c r="AQ8" i="3"/>
  <c r="AQ9" i="6" s="1"/>
  <c r="Q8" i="3"/>
  <c r="Q9" i="6"/>
  <c r="AW8" i="3"/>
  <c r="AW9" i="6" s="1"/>
  <c r="AD8" i="3"/>
  <c r="AD9" i="6"/>
  <c r="BJ8" i="3"/>
  <c r="BJ9" i="6" s="1"/>
  <c r="BJ3" i="6" s="1"/>
  <c r="CP8" i="3"/>
  <c r="CP9" i="6"/>
  <c r="C93" i="4"/>
  <c r="D97" i="1" s="1"/>
  <c r="K6" i="5" s="1"/>
  <c r="DI8" i="3"/>
  <c r="DI9" i="6"/>
  <c r="CM8" i="3"/>
  <c r="CM9" i="6" s="1"/>
  <c r="AA8" i="3"/>
  <c r="AA9" i="6"/>
  <c r="Y8" i="3"/>
  <c r="Y9" i="6" s="1"/>
  <c r="BE8" i="3"/>
  <c r="BE9" i="6"/>
  <c r="CK8" i="3"/>
  <c r="CK9" i="6" s="1"/>
  <c r="AL8" i="3"/>
  <c r="AL9" i="6"/>
  <c r="BR8" i="3"/>
  <c r="BR9" i="6" s="1"/>
  <c r="CX8" i="3"/>
  <c r="CX9" i="6"/>
  <c r="BN4" i="3"/>
  <c r="BN5" i="6" s="1"/>
  <c r="V4" i="3"/>
  <c r="V5" i="6"/>
  <c r="BQ4" i="3"/>
  <c r="BQ5" i="6" s="1"/>
  <c r="E4" i="3"/>
  <c r="E5" i="6"/>
  <c r="C5" i="6"/>
  <c r="BJ4" i="3"/>
  <c r="BJ5" i="6"/>
  <c r="AA133" i="3"/>
  <c r="AA134" i="6" s="1"/>
  <c r="BB133" i="3"/>
  <c r="BB134" i="6"/>
  <c r="BC133" i="3"/>
  <c r="BC134" i="6" s="1"/>
  <c r="CE133" i="3"/>
  <c r="CE134" i="6"/>
  <c r="BI133" i="3"/>
  <c r="BI134" i="6" s="1"/>
  <c r="BK133" i="3"/>
  <c r="BK134" i="6"/>
  <c r="AZ133" i="3"/>
  <c r="AZ134" i="6" s="1"/>
  <c r="CB133" i="3"/>
  <c r="CB134" i="6"/>
  <c r="BH133" i="3"/>
  <c r="BH134" i="6" s="1"/>
  <c r="CY133" i="3"/>
  <c r="CY134" i="6"/>
  <c r="K133" i="3"/>
  <c r="K134" i="6" s="1"/>
  <c r="BY133" i="3"/>
  <c r="BY134" i="6"/>
  <c r="DD133" i="3"/>
  <c r="DD134" i="6" s="1"/>
  <c r="DM133" i="3"/>
  <c r="DM134" i="6"/>
  <c r="AL133" i="3"/>
  <c r="AL134" i="6" s="1"/>
  <c r="DJ133" i="3"/>
  <c r="DJ134" i="6"/>
  <c r="CX133" i="3"/>
  <c r="CX134" i="6" s="1"/>
  <c r="CV133" i="3"/>
  <c r="CV134" i="6"/>
  <c r="BA133" i="3"/>
  <c r="BA134" i="6" s="1"/>
  <c r="DH133" i="3"/>
  <c r="DH134" i="6"/>
  <c r="AW133" i="3"/>
  <c r="AW134" i="6" s="1"/>
  <c r="AT133" i="3"/>
  <c r="AT134" i="6"/>
  <c r="CA121" i="3"/>
  <c r="CA122" i="6" s="1"/>
  <c r="I121" i="3"/>
  <c r="I122" i="6"/>
  <c r="DI121" i="3"/>
  <c r="DI122" i="6" s="1"/>
  <c r="DB121" i="3"/>
  <c r="DB122" i="6"/>
  <c r="BD121" i="3"/>
  <c r="BD122" i="6" s="1"/>
  <c r="H92" i="3"/>
  <c r="H93" i="6"/>
  <c r="K92" i="3"/>
  <c r="K93" i="6" s="1"/>
  <c r="DD92" i="3"/>
  <c r="DD93" i="6"/>
  <c r="DJ92" i="3"/>
  <c r="DJ93" i="6" s="1"/>
  <c r="X92" i="3"/>
  <c r="X93" i="6"/>
  <c r="CE92" i="3"/>
  <c r="CE93" i="6" s="1"/>
  <c r="AZ92" i="3"/>
  <c r="AZ93" i="6"/>
  <c r="CP92" i="3"/>
  <c r="CP93" i="6" s="1"/>
  <c r="G92" i="3"/>
  <c r="G93" i="6"/>
  <c r="DQ92" i="3"/>
  <c r="DQ93" i="6" s="1"/>
  <c r="AT92" i="3"/>
  <c r="AT93" i="6"/>
  <c r="C93" i="6"/>
  <c r="E92" i="3"/>
  <c r="E93" i="6" s="1"/>
  <c r="BX92" i="3"/>
  <c r="BX93" i="6"/>
  <c r="DP92" i="3"/>
  <c r="DP93" i="6" s="1"/>
  <c r="AL92" i="3"/>
  <c r="AL93" i="6"/>
  <c r="CB92" i="3"/>
  <c r="CB93" i="6" s="1"/>
  <c r="D92" i="3"/>
  <c r="D93" i="6"/>
  <c r="BY92" i="3"/>
  <c r="BY93" i="6" s="1"/>
  <c r="BV92" i="3"/>
  <c r="BV93" i="6"/>
  <c r="F125" i="3"/>
  <c r="F126" i="6" s="1"/>
  <c r="AD129" i="3"/>
  <c r="AD130" i="6"/>
  <c r="AY129" i="3"/>
  <c r="AY130" i="6" s="1"/>
  <c r="E129" i="3"/>
  <c r="E130" i="6"/>
  <c r="J129" i="3"/>
  <c r="J130" i="6" s="1"/>
  <c r="DA129" i="3"/>
  <c r="DA130" i="6"/>
  <c r="AV129" i="3"/>
  <c r="AV130" i="6" s="1"/>
  <c r="AU129" i="3"/>
  <c r="AU130" i="6"/>
  <c r="DH129" i="3"/>
  <c r="DH130" i="6" s="1"/>
  <c r="AP129" i="3"/>
  <c r="AP130" i="6"/>
  <c r="DJ129" i="3"/>
  <c r="DJ130" i="6" s="1"/>
  <c r="CL129" i="3"/>
  <c r="CL130" i="6"/>
  <c r="CH129" i="3"/>
  <c r="CH130" i="6" s="1"/>
  <c r="CO129" i="3"/>
  <c r="CO130" i="6"/>
  <c r="AG125" i="3"/>
  <c r="AG126" i="6" s="1"/>
  <c r="CC125" i="3"/>
  <c r="CC126" i="6"/>
  <c r="AV125" i="3"/>
  <c r="AV126" i="6" s="1"/>
  <c r="CG125" i="3"/>
  <c r="CG126" i="6"/>
  <c r="BG125" i="3"/>
  <c r="BG126" i="6" s="1"/>
  <c r="BT125" i="3"/>
  <c r="BT126" i="6"/>
  <c r="BD125" i="3"/>
  <c r="BD126" i="6" s="1"/>
  <c r="BQ125" i="3"/>
  <c r="BQ126" i="6"/>
  <c r="X125" i="3"/>
  <c r="X126" i="6" s="1"/>
  <c r="CY125" i="3"/>
  <c r="CY126" i="6"/>
  <c r="DK125" i="3"/>
  <c r="DK126" i="6" s="1"/>
  <c r="CM125" i="3"/>
  <c r="CM126" i="6"/>
  <c r="K125" i="3"/>
  <c r="K126" i="6" s="1"/>
  <c r="BO92" i="3"/>
  <c r="BO93" i="6"/>
  <c r="AL4" i="3"/>
  <c r="AL5" i="6" s="1"/>
  <c r="K4" i="3"/>
  <c r="K5" i="6"/>
  <c r="AC8" i="3"/>
  <c r="AC9" i="6" s="1"/>
  <c r="BX4" i="3"/>
  <c r="BX5" i="6"/>
  <c r="AU4" i="3"/>
  <c r="AU5" i="6" s="1"/>
  <c r="BD8" i="3"/>
  <c r="BD9" i="6"/>
  <c r="F117" i="3"/>
  <c r="F118" i="6" s="1"/>
  <c r="CY117" i="3"/>
  <c r="CY118" i="6"/>
  <c r="AD117" i="3"/>
  <c r="AD118" i="6" s="1"/>
  <c r="BE109" i="3"/>
  <c r="BE110" i="6"/>
  <c r="CL109" i="3"/>
  <c r="CL110" i="6" s="1"/>
  <c r="CN109" i="3"/>
  <c r="CN110" i="6"/>
  <c r="DO109" i="3"/>
  <c r="DO110" i="6" s="1"/>
  <c r="AD105" i="3"/>
  <c r="AD106" i="6"/>
  <c r="CU105" i="3"/>
  <c r="CU106" i="6" s="1"/>
  <c r="AR105" i="3"/>
  <c r="AR106" i="6"/>
  <c r="E8" i="3"/>
  <c r="E9" i="6" s="1"/>
  <c r="CQ4" i="3"/>
  <c r="CQ5" i="6"/>
  <c r="CP4" i="3"/>
  <c r="CP5" i="6" s="1"/>
  <c r="AS18" i="3"/>
  <c r="AS19" i="6"/>
  <c r="BH2" i="2"/>
  <c r="C2" i="4"/>
  <c r="D6" i="1"/>
  <c r="C5" i="5"/>
  <c r="BF4" i="3"/>
  <c r="BF5" i="6" s="1"/>
  <c r="J4" i="3"/>
  <c r="J5" i="6"/>
  <c r="AW4" i="3"/>
  <c r="AW5" i="6" s="1"/>
  <c r="AW3" i="6" s="1"/>
  <c r="AQ4" i="3"/>
  <c r="AQ5" i="6"/>
  <c r="CT4" i="3"/>
  <c r="CT5" i="6" s="1"/>
  <c r="BB4" i="3"/>
  <c r="BB5" i="6"/>
  <c r="BW133" i="3"/>
  <c r="BW134" i="6" s="1"/>
  <c r="DO133" i="3"/>
  <c r="DO134" i="6"/>
  <c r="G133" i="3"/>
  <c r="G134" i="6" s="1"/>
  <c r="AY133" i="3"/>
  <c r="AY134" i="6"/>
  <c r="I133" i="3"/>
  <c r="I134" i="6" s="1"/>
  <c r="AE133" i="3"/>
  <c r="AE134" i="6"/>
  <c r="DE133" i="3"/>
  <c r="DE134" i="6" s="1"/>
  <c r="CS133" i="3"/>
  <c r="CS134" i="6"/>
  <c r="CM133" i="3"/>
  <c r="CM134" i="6" s="1"/>
  <c r="DB133" i="3"/>
  <c r="DB134" i="6"/>
  <c r="CL133" i="3"/>
  <c r="CL134" i="6" s="1"/>
  <c r="AD133" i="3"/>
  <c r="AD134" i="6"/>
  <c r="AV133" i="3"/>
  <c r="AV134" i="6" s="1"/>
  <c r="BX133" i="3"/>
  <c r="BX134" i="6"/>
  <c r="V133" i="3"/>
  <c r="V134" i="6" s="1"/>
  <c r="T133" i="3"/>
  <c r="T134" i="6"/>
  <c r="DQ133" i="3"/>
  <c r="DQ134" i="6" s="1"/>
  <c r="CT133" i="3"/>
  <c r="CT134" i="6"/>
  <c r="AN133" i="3"/>
  <c r="AN134" i="6" s="1"/>
  <c r="BR133" i="3"/>
  <c r="BR134" i="6"/>
  <c r="CF133" i="3"/>
  <c r="CF134" i="6" s="1"/>
  <c r="M121" i="3"/>
  <c r="M122" i="6"/>
  <c r="AN121" i="3"/>
  <c r="AN122" i="6" s="1"/>
  <c r="N121" i="3"/>
  <c r="N122" i="6"/>
  <c r="AT121" i="3"/>
  <c r="AT122" i="6" s="1"/>
  <c r="DN121" i="3"/>
  <c r="DN122" i="6"/>
  <c r="AV92" i="3"/>
  <c r="AV93" i="6" s="1"/>
  <c r="BU92" i="3"/>
  <c r="BU93" i="6"/>
  <c r="BC92" i="3"/>
  <c r="BC93" i="6" s="1"/>
  <c r="DB92" i="3"/>
  <c r="DB93" i="6"/>
  <c r="DG92" i="3"/>
  <c r="DG93" i="6" s="1"/>
  <c r="DF92" i="3"/>
  <c r="DF93" i="6"/>
  <c r="AA92" i="3"/>
  <c r="AA93" i="6" s="1"/>
  <c r="AQ92" i="3"/>
  <c r="AQ93" i="6"/>
  <c r="CV92" i="3"/>
  <c r="CV93" i="6" s="1"/>
  <c r="J92" i="3"/>
  <c r="J93" i="6"/>
  <c r="DO92" i="3"/>
  <c r="DO93" i="6" s="1"/>
  <c r="CC92" i="3"/>
  <c r="CC93" i="6"/>
  <c r="AF92" i="3"/>
  <c r="AF93" i="6" s="1"/>
  <c r="V92" i="3"/>
  <c r="V93" i="6"/>
  <c r="S92" i="3"/>
  <c r="S93" i="6" s="1"/>
  <c r="BS92" i="3"/>
  <c r="BS93" i="6"/>
  <c r="AK92" i="3"/>
  <c r="AK93" i="6" s="1"/>
  <c r="CI92" i="3"/>
  <c r="CI93" i="6"/>
  <c r="CK92" i="3"/>
  <c r="CK93" i="6" s="1"/>
  <c r="BM92" i="3"/>
  <c r="BM93" i="6"/>
  <c r="CH92" i="3"/>
  <c r="CH93" i="6" s="1"/>
  <c r="AT129" i="3"/>
  <c r="AT130" i="6"/>
  <c r="CB129" i="3"/>
  <c r="CB130" i="6" s="1"/>
  <c r="BA125" i="3"/>
  <c r="BA126" i="6"/>
  <c r="T125" i="3"/>
  <c r="T126" i="6" s="1"/>
  <c r="BC129" i="3"/>
  <c r="BC130" i="6"/>
  <c r="DE129" i="3"/>
  <c r="DE130" i="6" s="1"/>
  <c r="DN129" i="3"/>
  <c r="DN130" i="6"/>
  <c r="DP129" i="3"/>
  <c r="DP130" i="6" s="1"/>
  <c r="DM129" i="3"/>
  <c r="DM130" i="6"/>
  <c r="G129" i="3"/>
  <c r="G130" i="6" s="1"/>
  <c r="CT129" i="3"/>
  <c r="CT130" i="6"/>
  <c r="CS129" i="3"/>
  <c r="CS130" i="6" s="1"/>
  <c r="DO129" i="3"/>
  <c r="DO130" i="6"/>
  <c r="CW129" i="3"/>
  <c r="CW130" i="6" s="1"/>
  <c r="BB129" i="3"/>
  <c r="BB130" i="6"/>
  <c r="O129" i="3"/>
  <c r="O130" i="6" s="1"/>
  <c r="Z129" i="3"/>
  <c r="Z130" i="6"/>
  <c r="V129" i="3"/>
  <c r="V130" i="6" s="1"/>
  <c r="BU129" i="3"/>
  <c r="BU130" i="6"/>
  <c r="BH125" i="3"/>
  <c r="BH126" i="6" s="1"/>
  <c r="S125" i="3"/>
  <c r="S126" i="6"/>
  <c r="CL125" i="3"/>
  <c r="CL126" i="6" s="1"/>
  <c r="BE125" i="3"/>
  <c r="BE126" i="6"/>
  <c r="Z125" i="3"/>
  <c r="Z126" i="6" s="1"/>
  <c r="BJ125" i="3"/>
  <c r="BJ126" i="6"/>
  <c r="CN125" i="3"/>
  <c r="CN126" i="6" s="1"/>
  <c r="V125" i="3"/>
  <c r="V126" i="6"/>
  <c r="CK125" i="3"/>
  <c r="CK126" i="6" s="1"/>
  <c r="DJ125" i="3"/>
  <c r="DJ126" i="6"/>
  <c r="W125" i="3"/>
  <c r="W126" i="6" s="1"/>
  <c r="AQ125" i="3"/>
  <c r="AQ126" i="6"/>
  <c r="AM92" i="3"/>
  <c r="AM93" i="6" s="1"/>
  <c r="DE92" i="3"/>
  <c r="DE93" i="6"/>
  <c r="AY4" i="3"/>
  <c r="AY5" i="6" s="1"/>
  <c r="CE8" i="3"/>
  <c r="CE9" i="6"/>
  <c r="DD4" i="3"/>
  <c r="DD5" i="6" s="1"/>
  <c r="DG4" i="3"/>
  <c r="DG5" i="6"/>
  <c r="CR125" i="3"/>
  <c r="CR126" i="6" s="1"/>
  <c r="C118" i="6"/>
  <c r="BR117" i="3"/>
  <c r="BR118" i="6" s="1"/>
  <c r="CT117" i="3"/>
  <c r="CT118" i="6"/>
  <c r="X109" i="3"/>
  <c r="X110" i="6" s="1"/>
  <c r="AH109" i="3"/>
  <c r="AH110" i="6"/>
  <c r="CS109" i="3"/>
  <c r="CS110" i="6" s="1"/>
  <c r="C110" i="6"/>
  <c r="CX105" i="3"/>
  <c r="CX106" i="6"/>
  <c r="CP105" i="3"/>
  <c r="CP106" i="6" s="1"/>
  <c r="CV105" i="3"/>
  <c r="CV106" i="6"/>
  <c r="DD8" i="3"/>
  <c r="DD9" i="6" s="1"/>
  <c r="BX8" i="3"/>
  <c r="BX9" i="6"/>
  <c r="CI4" i="3"/>
  <c r="CI5" i="6" s="1"/>
  <c r="AD40" i="3"/>
  <c r="AD41" i="6"/>
  <c r="CI40" i="3"/>
  <c r="CI41" i="6" s="1"/>
  <c r="G44" i="3"/>
  <c r="G45" i="6"/>
  <c r="DL44" i="3"/>
  <c r="DL45" i="6" s="1"/>
  <c r="BZ44" i="3"/>
  <c r="BZ45" i="6"/>
  <c r="AY44" i="3"/>
  <c r="AY45" i="6" s="1"/>
  <c r="CW44" i="3"/>
  <c r="CW45" i="6"/>
  <c r="DO44" i="3"/>
  <c r="DO45" i="6" s="1"/>
  <c r="J48" i="3"/>
  <c r="J49" i="6"/>
  <c r="BV48" i="3"/>
  <c r="BV49" i="6" s="1"/>
  <c r="AE48" i="3"/>
  <c r="AE49" i="6"/>
  <c r="CQ48" i="3"/>
  <c r="CQ49" i="6" s="1"/>
  <c r="AG48" i="3"/>
  <c r="AG49" i="6"/>
  <c r="BI48" i="3"/>
  <c r="BI49" i="6" s="1"/>
  <c r="DE48" i="3"/>
  <c r="DE49" i="6"/>
  <c r="I48" i="3"/>
  <c r="I49" i="6" s="1"/>
  <c r="CG48" i="3"/>
  <c r="CG49" i="6"/>
  <c r="CW48" i="3"/>
  <c r="CW49" i="6" s="1"/>
  <c r="DH48" i="3"/>
  <c r="DH49" i="6"/>
  <c r="DL48" i="3"/>
  <c r="DL49" i="6" s="1"/>
  <c r="BQ48" i="3"/>
  <c r="BQ49" i="6"/>
  <c r="CJ48" i="3"/>
  <c r="CJ49" i="6" s="1"/>
  <c r="AJ48" i="3"/>
  <c r="AJ49" i="6"/>
  <c r="V48" i="3"/>
  <c r="V49" i="6" s="1"/>
  <c r="CH48" i="3"/>
  <c r="CH49" i="6"/>
  <c r="AQ48" i="3"/>
  <c r="AQ49" i="6" s="1"/>
  <c r="DC48" i="3"/>
  <c r="DC49" i="6"/>
  <c r="DD48" i="3"/>
  <c r="DD49" i="6" s="1"/>
  <c r="CS48" i="3"/>
  <c r="CS49" i="6"/>
  <c r="L48" i="3"/>
  <c r="L49" i="6" s="1"/>
  <c r="AS48" i="3"/>
  <c r="AS49" i="6"/>
  <c r="BM48" i="3"/>
  <c r="BM49" i="6" s="1"/>
  <c r="AR48" i="3"/>
  <c r="AR49" i="6"/>
  <c r="X48" i="3"/>
  <c r="X49" i="6" s="1"/>
  <c r="DA48" i="3"/>
  <c r="DA49" i="6"/>
  <c r="BU48" i="3"/>
  <c r="BU49" i="6" s="1"/>
  <c r="DI48" i="3"/>
  <c r="DI49" i="6"/>
  <c r="DP48" i="3"/>
  <c r="DP49" i="6" s="1"/>
  <c r="DM48" i="3"/>
  <c r="DM49" i="6"/>
  <c r="AH48" i="3"/>
  <c r="AH49" i="6" s="1"/>
  <c r="CT48" i="3"/>
  <c r="CT49" i="6"/>
  <c r="BC48" i="3"/>
  <c r="BC49" i="6" s="1"/>
  <c r="DO48" i="3"/>
  <c r="DO49" i="6"/>
  <c r="D48" i="3"/>
  <c r="D49" i="6" s="1"/>
  <c r="AZ48" i="3"/>
  <c r="AZ49" i="6"/>
  <c r="AO48" i="3"/>
  <c r="AO49" i="6" s="1"/>
  <c r="DQ48" i="3"/>
  <c r="DQ49" i="6"/>
  <c r="Q48" i="3"/>
  <c r="Q49" i="6" s="1"/>
  <c r="BD48" i="3"/>
  <c r="BD49" i="6"/>
  <c r="BX48" i="3"/>
  <c r="BX49" i="6" s="1"/>
  <c r="AC48" i="3"/>
  <c r="AC49" i="6"/>
  <c r="U48" i="3"/>
  <c r="U49" i="6" s="1"/>
  <c r="AB116" i="3"/>
  <c r="AB117" i="6"/>
  <c r="CS116" i="3"/>
  <c r="CS117" i="6" s="1"/>
  <c r="BB116" i="3"/>
  <c r="BB117" i="6"/>
  <c r="G116" i="3"/>
  <c r="G117" i="6" s="1"/>
  <c r="DO116" i="3"/>
  <c r="DO117" i="6"/>
  <c r="X116" i="3"/>
  <c r="X117" i="6" s="1"/>
  <c r="CU116" i="3"/>
  <c r="CU117" i="6"/>
  <c r="BZ116" i="3"/>
  <c r="BZ117" i="6" s="1"/>
  <c r="BL116" i="3"/>
  <c r="BL117" i="6"/>
  <c r="AT116" i="3"/>
  <c r="AT117" i="6" s="1"/>
  <c r="CD116" i="3"/>
  <c r="CD117" i="6"/>
  <c r="DE116" i="3"/>
  <c r="DE117" i="6" s="1"/>
  <c r="K116" i="3"/>
  <c r="K117" i="6"/>
  <c r="BY116" i="3"/>
  <c r="BY117" i="6" s="1"/>
  <c r="CJ116" i="3"/>
  <c r="CJ117" i="6"/>
  <c r="BV116" i="3"/>
  <c r="BV117" i="6" s="1"/>
  <c r="F116" i="3"/>
  <c r="F117" i="6"/>
  <c r="DK116" i="3"/>
  <c r="DK117" i="6" s="1"/>
  <c r="AS116" i="3"/>
  <c r="AS117" i="6"/>
  <c r="BJ116" i="3"/>
  <c r="BJ117" i="6" s="1"/>
  <c r="CZ116" i="3"/>
  <c r="CZ117" i="6"/>
  <c r="BQ116" i="3"/>
  <c r="BQ117" i="6" s="1"/>
  <c r="CX116" i="3"/>
  <c r="CX117" i="6"/>
  <c r="CM116" i="3"/>
  <c r="CM117" i="6" s="1"/>
  <c r="BX116" i="3"/>
  <c r="BX117" i="6"/>
  <c r="BF116" i="3"/>
  <c r="BF117" i="6" s="1"/>
  <c r="BO116" i="3"/>
  <c r="BO117" i="6"/>
  <c r="CP116" i="3"/>
  <c r="CP117" i="6" s="1"/>
  <c r="M116" i="3"/>
  <c r="M117" i="6"/>
  <c r="DA116" i="3"/>
  <c r="DA117" i="6" s="1"/>
  <c r="DL116" i="3"/>
  <c r="DL117" i="6"/>
  <c r="CI116" i="3"/>
  <c r="CI117" i="6" s="1"/>
  <c r="BI116" i="3"/>
  <c r="BI117" i="6"/>
  <c r="AY116" i="3"/>
  <c r="AY117" i="6" s="1"/>
  <c r="O116" i="3"/>
  <c r="O117" i="6"/>
  <c r="AE116" i="3"/>
  <c r="AE117" i="6" s="1"/>
  <c r="CT116" i="3"/>
  <c r="CT117" i="6"/>
  <c r="AV116" i="3"/>
  <c r="AV117" i="6" s="1"/>
  <c r="AH116" i="3"/>
  <c r="AH117" i="6"/>
  <c r="J116" i="3"/>
  <c r="J117" i="6" s="1"/>
  <c r="BT116" i="3"/>
  <c r="BT117" i="6"/>
  <c r="AZ116" i="3"/>
  <c r="AZ117" i="6" s="1"/>
  <c r="I116" i="3"/>
  <c r="I117" i="6"/>
  <c r="CH116" i="3"/>
  <c r="CH117" i="6" s="1"/>
  <c r="AO116" i="3"/>
  <c r="AO117" i="6"/>
  <c r="CR116" i="3"/>
  <c r="CR117" i="6" s="1"/>
  <c r="CG116" i="3"/>
  <c r="CG117" i="6"/>
  <c r="N116" i="3"/>
  <c r="N117" i="6" s="1"/>
  <c r="AG116" i="3"/>
  <c r="AG117" i="6"/>
  <c r="BA116" i="3"/>
  <c r="BA117" i="6" s="1"/>
  <c r="CE116" i="3"/>
  <c r="CE117" i="6"/>
  <c r="BM116" i="3"/>
  <c r="BM117" i="6" s="1"/>
  <c r="BP116" i="3"/>
  <c r="BP117" i="6"/>
  <c r="AW116" i="3"/>
  <c r="AW117" i="6" s="1"/>
  <c r="AQ116" i="3"/>
  <c r="AQ117" i="6"/>
  <c r="DI116" i="3"/>
  <c r="DI117" i="6" s="1"/>
  <c r="CO116" i="3"/>
  <c r="CO117" i="6"/>
  <c r="BH116" i="3"/>
  <c r="BH117" i="6" s="1"/>
  <c r="AP116" i="3"/>
  <c r="AP117" i="6"/>
  <c r="BW116" i="3"/>
  <c r="BW117" i="6" s="1"/>
  <c r="BN116" i="3"/>
  <c r="BN117" i="6"/>
  <c r="BD116" i="3"/>
  <c r="BD117" i="6" s="1"/>
  <c r="DP116" i="3"/>
  <c r="DP117" i="6"/>
  <c r="CL116" i="3"/>
  <c r="CL117" i="6" s="1"/>
  <c r="R116" i="3"/>
  <c r="R117" i="6"/>
  <c r="AJ116" i="3"/>
  <c r="AJ117" i="6" s="1"/>
  <c r="BH40" i="3"/>
  <c r="BH41" i="6"/>
  <c r="BI40" i="3"/>
  <c r="BI41" i="6" s="1"/>
  <c r="BJ40" i="3"/>
  <c r="BJ41" i="6"/>
  <c r="E40" i="3"/>
  <c r="E41" i="6" s="1"/>
  <c r="DJ40" i="3"/>
  <c r="DJ41" i="6"/>
  <c r="BF40" i="3"/>
  <c r="BF41" i="6" s="1"/>
  <c r="Y40" i="3"/>
  <c r="Y41" i="6"/>
  <c r="DF40" i="3"/>
  <c r="DF41" i="6" s="1"/>
  <c r="BR40" i="3"/>
  <c r="BR41" i="6"/>
  <c r="DM40" i="3"/>
  <c r="DM41" i="6" s="1"/>
  <c r="DP40" i="3"/>
  <c r="DP41" i="6"/>
  <c r="CE40" i="3"/>
  <c r="CE41" i="6" s="1"/>
  <c r="CP40" i="3"/>
  <c r="CP41" i="6"/>
  <c r="R40" i="3"/>
  <c r="R41" i="6" s="1"/>
  <c r="CK40" i="3"/>
  <c r="CK41" i="6"/>
  <c r="CZ40" i="3"/>
  <c r="CZ41" i="6" s="1"/>
  <c r="DE40" i="3"/>
  <c r="DE41" i="6"/>
  <c r="AG40" i="3"/>
  <c r="AG41" i="6" s="1"/>
  <c r="BX40" i="3"/>
  <c r="BX41" i="6"/>
  <c r="DG40" i="3"/>
  <c r="DG41" i="6" s="1"/>
  <c r="BC40" i="3"/>
  <c r="BC41" i="6"/>
  <c r="CJ40" i="3"/>
  <c r="CJ41" i="6" s="1"/>
  <c r="AB40" i="3"/>
  <c r="AB41" i="6"/>
  <c r="AY40" i="3"/>
  <c r="AY41" i="6" s="1"/>
  <c r="CC40" i="3"/>
  <c r="CC41" i="6"/>
  <c r="U40" i="3"/>
  <c r="U41" i="6" s="1"/>
  <c r="BT40" i="3"/>
  <c r="BT41" i="6"/>
  <c r="H40" i="3"/>
  <c r="H41" i="6" s="1"/>
  <c r="BK40" i="3"/>
  <c r="BK41" i="6"/>
  <c r="AN116" i="3"/>
  <c r="AN117" i="6" s="1"/>
  <c r="L116" i="3"/>
  <c r="L117" i="6"/>
  <c r="S116" i="3"/>
  <c r="S117" i="6" s="1"/>
  <c r="AR116" i="3"/>
  <c r="AR117" i="6"/>
  <c r="CQ116" i="3"/>
  <c r="CQ117" i="6" s="1"/>
  <c r="H116" i="3"/>
  <c r="H117" i="6"/>
  <c r="W116" i="3"/>
  <c r="W117" i="6" s="1"/>
  <c r="CW116" i="3"/>
  <c r="CW117" i="6"/>
  <c r="AC116" i="3"/>
  <c r="AC117" i="6" s="1"/>
  <c r="Q116" i="3"/>
  <c r="Q117" i="6"/>
  <c r="BK116" i="3"/>
  <c r="BK117" i="6" s="1"/>
  <c r="Y116" i="3"/>
  <c r="Y117" i="6"/>
  <c r="DQ116" i="3"/>
  <c r="DQ117" i="6" s="1"/>
  <c r="CN116" i="3"/>
  <c r="CN117" i="6"/>
  <c r="CF48" i="3"/>
  <c r="CF49" i="6" s="1"/>
  <c r="CK48" i="3"/>
  <c r="CK49" i="6"/>
  <c r="AT48" i="3"/>
  <c r="AT49" i="6" s="1"/>
  <c r="BE44" i="3"/>
  <c r="BE45" i="6"/>
  <c r="AO33" i="3"/>
  <c r="AO34" i="6" s="1"/>
  <c r="AH33" i="3"/>
  <c r="AH34" i="6"/>
  <c r="CQ33" i="3"/>
  <c r="CQ34" i="6" s="1"/>
  <c r="C112" i="6"/>
  <c r="DA111" i="3"/>
  <c r="DA112" i="6" s="1"/>
  <c r="AB111" i="3"/>
  <c r="AB112" i="6"/>
  <c r="AC115" i="3"/>
  <c r="AC116" i="6" s="1"/>
  <c r="BU115" i="3"/>
  <c r="BU116" i="6"/>
  <c r="DP115" i="3"/>
  <c r="DP116" i="6" s="1"/>
  <c r="CT115" i="3"/>
  <c r="CT116" i="6"/>
  <c r="Y115" i="3"/>
  <c r="Y116" i="6" s="1"/>
  <c r="DA115" i="3"/>
  <c r="DA116" i="6"/>
  <c r="T115" i="3"/>
  <c r="T116" i="6" s="1"/>
  <c r="BN115" i="3"/>
  <c r="BN116" i="6"/>
  <c r="AM115" i="3"/>
  <c r="AM116" i="6" s="1"/>
  <c r="BT115" i="3"/>
  <c r="BT116" i="6"/>
  <c r="DL115" i="3"/>
  <c r="DL116" i="6" s="1"/>
  <c r="D115" i="3"/>
  <c r="D116" i="6"/>
  <c r="M115" i="3"/>
  <c r="M116" i="6" s="1"/>
  <c r="CO115" i="3"/>
  <c r="CO116" i="6"/>
  <c r="BW115" i="3"/>
  <c r="BW116" i="6" s="1"/>
  <c r="DJ115" i="3"/>
  <c r="DJ116" i="6"/>
  <c r="AH115" i="3"/>
  <c r="AH116" i="6" s="1"/>
  <c r="AT115" i="3"/>
  <c r="AT116" i="6"/>
  <c r="H115" i="3"/>
  <c r="H116" i="6" s="1"/>
  <c r="BJ115" i="3"/>
  <c r="BJ116" i="6"/>
  <c r="DE115" i="3"/>
  <c r="DE116" i="6" s="1"/>
  <c r="X115" i="3"/>
  <c r="X116" i="6"/>
  <c r="BG40" i="3"/>
  <c r="BG41" i="6" s="1"/>
  <c r="P40" i="3"/>
  <c r="P41" i="6"/>
  <c r="AC40" i="3"/>
  <c r="AC41" i="6" s="1"/>
  <c r="CR40" i="3"/>
  <c r="CR41" i="6"/>
  <c r="CX40" i="3"/>
  <c r="CX41" i="6" s="1"/>
  <c r="AP40" i="3"/>
  <c r="AP41" i="6"/>
  <c r="CW40" i="3"/>
  <c r="CW41" i="6" s="1"/>
  <c r="AR40" i="3"/>
  <c r="AR41" i="6"/>
  <c r="BB40" i="3"/>
  <c r="BB41" i="6" s="1"/>
  <c r="CS40" i="3"/>
  <c r="CS41" i="6"/>
  <c r="CB40" i="3"/>
  <c r="CB41" i="6" s="1"/>
  <c r="AQ40" i="3"/>
  <c r="AQ41" i="6"/>
  <c r="BN40" i="3"/>
  <c r="BN41" i="6" s="1"/>
  <c r="F40" i="3"/>
  <c r="F41" i="6"/>
  <c r="BM40" i="3"/>
  <c r="BM41" i="6" s="1"/>
  <c r="BL40" i="3"/>
  <c r="BL41" i="6"/>
  <c r="BO40" i="3"/>
  <c r="BO41" i="6" s="1"/>
  <c r="CO40" i="3"/>
  <c r="CO41" i="6"/>
  <c r="M40" i="3"/>
  <c r="M41" i="6" s="1"/>
  <c r="AZ40" i="3"/>
  <c r="AZ41" i="6"/>
  <c r="AM40" i="3"/>
  <c r="AM41" i="6" s="1"/>
  <c r="BP40" i="3"/>
  <c r="BP41" i="6"/>
  <c r="D40" i="3"/>
  <c r="AE40" i="3"/>
  <c r="AE41" i="6" s="1"/>
  <c r="BQ40" i="3"/>
  <c r="BQ41" i="6"/>
  <c r="DL40" i="3"/>
  <c r="DL41" i="6" s="1"/>
  <c r="BD40" i="3"/>
  <c r="BD41" i="6"/>
  <c r="DO40" i="3"/>
  <c r="DO41" i="6" s="1"/>
  <c r="AI40" i="3"/>
  <c r="AI41" i="6"/>
  <c r="R115" i="3"/>
  <c r="R116" i="6" s="1"/>
  <c r="CZ115" i="3"/>
  <c r="CZ116" i="6"/>
  <c r="BZ115" i="3"/>
  <c r="BZ116" i="6" s="1"/>
  <c r="AS115" i="3"/>
  <c r="AS116" i="6"/>
  <c r="CF115" i="3"/>
  <c r="CF116" i="6" s="1"/>
  <c r="BR116" i="3"/>
  <c r="BR117" i="6"/>
  <c r="AM116" i="3"/>
  <c r="AM117" i="6" s="1"/>
  <c r="DM116" i="3"/>
  <c r="DM117" i="6"/>
  <c r="E116" i="3"/>
  <c r="DN116" i="3"/>
  <c r="DN117" i="6"/>
  <c r="CF116" i="3"/>
  <c r="CF117" i="6" s="1"/>
  <c r="CK116" i="3"/>
  <c r="CK117" i="6"/>
  <c r="AI116" i="3"/>
  <c r="AI117" i="6" s="1"/>
  <c r="BC116" i="3"/>
  <c r="BC117" i="6"/>
  <c r="DB116" i="3"/>
  <c r="DB117" i="6" s="1"/>
  <c r="T116" i="3"/>
  <c r="T117" i="6"/>
  <c r="AZ115" i="3"/>
  <c r="AZ116" i="6" s="1"/>
  <c r="CK115" i="3"/>
  <c r="CK116" i="6"/>
  <c r="CA116" i="3"/>
  <c r="CA117" i="6" s="1"/>
  <c r="CB48" i="3"/>
  <c r="CB49" i="6"/>
  <c r="BA48" i="3"/>
  <c r="BA49" i="6" s="1"/>
  <c r="BT33" i="3"/>
  <c r="BT34" i="6"/>
  <c r="G33" i="3"/>
  <c r="G34" i="6" s="1"/>
  <c r="CF44" i="3"/>
  <c r="CF45" i="6"/>
  <c r="CI111" i="3"/>
  <c r="CI112" i="6" s="1"/>
  <c r="AS111" i="3"/>
  <c r="AS112" i="6"/>
  <c r="AL111" i="3"/>
  <c r="AL112" i="6" s="1"/>
  <c r="BE111" i="3"/>
  <c r="BE112" i="6"/>
  <c r="AI111" i="3"/>
  <c r="AI112" i="6" s="1"/>
  <c r="BC111" i="3"/>
  <c r="BC112" i="6"/>
  <c r="CU111" i="3"/>
  <c r="CU112" i="6" s="1"/>
  <c r="H111" i="3"/>
  <c r="H112" i="6"/>
  <c r="BN111" i="3"/>
  <c r="BN112" i="6" s="1"/>
  <c r="I111" i="3"/>
  <c r="I112" i="6"/>
  <c r="DG111" i="3"/>
  <c r="DG112" i="6" s="1"/>
  <c r="Q111" i="3"/>
  <c r="Q112" i="6"/>
  <c r="CK111" i="3"/>
  <c r="CK112" i="6" s="1"/>
  <c r="CZ111" i="3"/>
  <c r="CZ112" i="6"/>
  <c r="CF111" i="3"/>
  <c r="CF112" i="6" s="1"/>
  <c r="BX111" i="3"/>
  <c r="BX112" i="6"/>
  <c r="CC111" i="3"/>
  <c r="CC112" i="6" s="1"/>
  <c r="DE111" i="3"/>
  <c r="DE112" i="6"/>
  <c r="BI111" i="3"/>
  <c r="BI112" i="6" s="1"/>
  <c r="BV111" i="3"/>
  <c r="BV112" i="6"/>
  <c r="AX111" i="3"/>
  <c r="AX112" i="6" s="1"/>
  <c r="BH111" i="3"/>
  <c r="BH112" i="6"/>
  <c r="CX111" i="3"/>
  <c r="CX112" i="6" s="1"/>
  <c r="CR111" i="3"/>
  <c r="CR112" i="6"/>
  <c r="N111" i="3"/>
  <c r="N112" i="6" s="1"/>
  <c r="F111" i="3"/>
  <c r="F112" i="6"/>
  <c r="Z111" i="3"/>
  <c r="Z112" i="6" s="1"/>
  <c r="CG111" i="3"/>
  <c r="CG112" i="6"/>
  <c r="D111" i="3"/>
  <c r="D112" i="6" s="1"/>
  <c r="AD111" i="3"/>
  <c r="AD112" i="6"/>
  <c r="AV111" i="3"/>
  <c r="AV112" i="6" s="1"/>
  <c r="CN111" i="3"/>
  <c r="CN112" i="6"/>
  <c r="AC111" i="3"/>
  <c r="AC112" i="6" s="1"/>
  <c r="AU111" i="3"/>
  <c r="AU112" i="6"/>
  <c r="DO111" i="3"/>
  <c r="DO112" i="6" s="1"/>
  <c r="DL111" i="3"/>
  <c r="DL112" i="6"/>
  <c r="DJ111" i="3"/>
  <c r="DJ112" i="6" s="1"/>
  <c r="CB111" i="3"/>
  <c r="CB112" i="6"/>
  <c r="AW111" i="3"/>
  <c r="AW112" i="6" s="1"/>
  <c r="DN111" i="3"/>
  <c r="DN112" i="6"/>
  <c r="U111" i="3"/>
  <c r="U112" i="6" s="1"/>
  <c r="BT111" i="3"/>
  <c r="BT112" i="6"/>
  <c r="BY111" i="3"/>
  <c r="BY112" i="6" s="1"/>
  <c r="X111" i="3"/>
  <c r="X112" i="6"/>
  <c r="CV111" i="3"/>
  <c r="CV112" i="6" s="1"/>
  <c r="BZ111" i="3"/>
  <c r="BZ112" i="6"/>
  <c r="AH111" i="3"/>
  <c r="AH112" i="6" s="1"/>
  <c r="AP111" i="3"/>
  <c r="AP112" i="6"/>
  <c r="DB111" i="3"/>
  <c r="DB112" i="6" s="1"/>
  <c r="CD111" i="3"/>
  <c r="CD112" i="6"/>
  <c r="DQ111" i="3"/>
  <c r="DQ112" i="6" s="1"/>
  <c r="M111" i="3"/>
  <c r="M112" i="6"/>
  <c r="CT111" i="3"/>
  <c r="CT112" i="6" s="1"/>
  <c r="BQ111" i="3"/>
  <c r="BQ112" i="6"/>
  <c r="BU111" i="3"/>
  <c r="BU112" i="6" s="1"/>
  <c r="O111" i="3"/>
  <c r="O112" i="6"/>
  <c r="BO111" i="3"/>
  <c r="BO112" i="6" s="1"/>
  <c r="BM111" i="3"/>
  <c r="BM112" i="6"/>
  <c r="CL111" i="3"/>
  <c r="CL112" i="6" s="1"/>
  <c r="AO111" i="3"/>
  <c r="AO112" i="6"/>
  <c r="DD111" i="3"/>
  <c r="DD112" i="6" s="1"/>
  <c r="E111" i="3"/>
  <c r="E112" i="6"/>
  <c r="AZ111" i="3"/>
  <c r="AZ112" i="6" s="1"/>
  <c r="CJ111" i="3"/>
  <c r="CJ112" i="6"/>
  <c r="V111" i="3"/>
  <c r="V112" i="6" s="1"/>
  <c r="AT111" i="3"/>
  <c r="AT112" i="6"/>
  <c r="BB111" i="3"/>
  <c r="BB112" i="6" s="1"/>
  <c r="CA111" i="3"/>
  <c r="CA112" i="6"/>
  <c r="AF111" i="3"/>
  <c r="AF112" i="6" s="1"/>
  <c r="CH111" i="3"/>
  <c r="CH112" i="6"/>
  <c r="BJ111" i="3"/>
  <c r="BJ112" i="6" s="1"/>
  <c r="CP111" i="3"/>
  <c r="CP112" i="6"/>
  <c r="AJ111" i="3"/>
  <c r="AJ112" i="6" s="1"/>
  <c r="BF111" i="3"/>
  <c r="BF112" i="6"/>
  <c r="DM111" i="3"/>
  <c r="DM112" i="6" s="1"/>
  <c r="AK111" i="3"/>
  <c r="AK112" i="6"/>
  <c r="Y111" i="3"/>
  <c r="Y112" i="6" s="1"/>
  <c r="W111" i="3"/>
  <c r="W112" i="6"/>
  <c r="DI111" i="3"/>
  <c r="DI112" i="6" s="1"/>
  <c r="J111" i="3"/>
  <c r="J112" i="6"/>
  <c r="BP111" i="3"/>
  <c r="BP112" i="6" s="1"/>
  <c r="AN111" i="3"/>
  <c r="AN112" i="6"/>
  <c r="R111" i="3"/>
  <c r="R112" i="6" s="1"/>
  <c r="DP111" i="3"/>
  <c r="DP112" i="6"/>
  <c r="AG111" i="3"/>
  <c r="AG112" i="6" s="1"/>
  <c r="AC95" i="3"/>
  <c r="AC96" i="6"/>
  <c r="CT12" i="3"/>
  <c r="CT13" i="6" s="1"/>
  <c r="BJ12" i="3"/>
  <c r="BJ13" i="6"/>
  <c r="DM12" i="3"/>
  <c r="DM13" i="6" s="1"/>
  <c r="BA12" i="3"/>
  <c r="BA13" i="6"/>
  <c r="K12" i="3"/>
  <c r="K13" i="6" s="1"/>
  <c r="CE12" i="3"/>
  <c r="CE13" i="6"/>
  <c r="X12" i="3"/>
  <c r="X13" i="6" s="1"/>
  <c r="DF12" i="3"/>
  <c r="DF13" i="6"/>
  <c r="BF12" i="3"/>
  <c r="BF13" i="6" s="1"/>
  <c r="BY12" i="3"/>
  <c r="BY13" i="6"/>
  <c r="I12" i="3"/>
  <c r="I13" i="6" s="1"/>
  <c r="L12" i="3"/>
  <c r="L13" i="6"/>
  <c r="DL12" i="3"/>
  <c r="DL13" i="6" s="1"/>
  <c r="CL12" i="3"/>
  <c r="CL13" i="6"/>
  <c r="DE12" i="3"/>
  <c r="DE13" i="6" s="1"/>
  <c r="AK12" i="3"/>
  <c r="AK13" i="6"/>
  <c r="AQ12" i="3"/>
  <c r="AQ13" i="6" s="1"/>
  <c r="T12" i="3"/>
  <c r="T13" i="6"/>
  <c r="BC12" i="3"/>
  <c r="BC13" i="6" s="1"/>
  <c r="C13" i="6"/>
  <c r="CW12" i="3"/>
  <c r="CW13" i="6"/>
  <c r="W12" i="3"/>
  <c r="W13" i="6" s="1"/>
  <c r="DN12" i="3"/>
  <c r="DN13" i="6"/>
  <c r="AB12" i="3"/>
  <c r="AB13" i="6" s="1"/>
  <c r="DO12" i="3"/>
  <c r="DO13" i="6"/>
  <c r="DQ12" i="3"/>
  <c r="DQ13" i="6" s="1"/>
  <c r="Q12" i="3"/>
  <c r="Q13" i="6"/>
  <c r="DD12" i="3"/>
  <c r="DD13" i="6" s="1"/>
  <c r="DP12" i="3"/>
  <c r="DP13" i="6"/>
  <c r="P12" i="3"/>
  <c r="P13" i="6" s="1"/>
  <c r="DJ12" i="3"/>
  <c r="DJ13" i="6"/>
  <c r="AX12" i="3"/>
  <c r="AX13" i="6" s="1"/>
  <c r="DA12" i="3"/>
  <c r="DA13" i="6"/>
  <c r="DA3" i="6" s="1"/>
  <c r="AO12" i="3"/>
  <c r="AO13" i="6" s="1"/>
  <c r="AI12" i="3"/>
  <c r="AI13" i="6"/>
  <c r="D12" i="3"/>
  <c r="D13" i="6" s="1"/>
  <c r="AE12" i="3"/>
  <c r="AE13" i="6"/>
  <c r="AV12" i="3"/>
  <c r="AV13" i="6" s="1"/>
  <c r="AP12" i="3"/>
  <c r="AP13" i="6"/>
  <c r="BI12" i="3"/>
  <c r="BI13" i="6" s="1"/>
  <c r="AA12" i="3"/>
  <c r="AA13" i="6"/>
  <c r="AR12" i="3"/>
  <c r="AR13" i="6" s="1"/>
  <c r="G12" i="3"/>
  <c r="G13" i="6"/>
  <c r="CB12" i="3"/>
  <c r="CB13" i="6" s="1"/>
  <c r="CK12" i="3"/>
  <c r="CK13" i="6"/>
  <c r="U12" i="3"/>
  <c r="U13" i="6" s="1"/>
  <c r="BW12" i="3"/>
  <c r="BW13" i="6"/>
  <c r="AZ12" i="3"/>
  <c r="AZ13" i="6" s="1"/>
  <c r="CY12" i="3"/>
  <c r="CY13" i="6"/>
  <c r="CH12" i="3"/>
  <c r="CH13" i="6" s="1"/>
  <c r="BQ12" i="3"/>
  <c r="BQ13" i="6"/>
  <c r="DG12" i="3"/>
  <c r="DG13" i="6" s="1"/>
  <c r="CD12" i="3"/>
  <c r="CD13" i="6"/>
  <c r="CS12" i="3"/>
  <c r="CS13" i="6" s="1"/>
  <c r="AN12" i="3"/>
  <c r="AN13" i="6"/>
  <c r="CG12" i="3"/>
  <c r="CG13" i="6" s="1"/>
  <c r="DK12" i="3"/>
  <c r="DK13" i="6"/>
  <c r="BS12" i="3"/>
  <c r="BS13" i="6" s="1"/>
  <c r="BN12" i="3"/>
  <c r="BN13" i="6"/>
  <c r="DI12" i="3"/>
  <c r="DI13" i="6" s="1"/>
  <c r="BT12" i="3"/>
  <c r="BT13" i="6"/>
  <c r="BH20" i="3"/>
  <c r="BH21" i="6" s="1"/>
  <c r="BO20" i="3"/>
  <c r="BO21" i="6"/>
  <c r="W20" i="3"/>
  <c r="W21" i="6" s="1"/>
  <c r="CY20" i="3"/>
  <c r="CY21" i="6"/>
  <c r="DO20" i="3"/>
  <c r="DO21" i="6" s="1"/>
  <c r="G20" i="3"/>
  <c r="C21" i="6"/>
  <c r="CD20" i="3"/>
  <c r="CD21" i="6" s="1"/>
  <c r="AD20" i="3"/>
  <c r="AD21" i="6"/>
  <c r="CG20" i="3"/>
  <c r="CG21" i="6" s="1"/>
  <c r="CJ20" i="3"/>
  <c r="CJ21" i="6"/>
  <c r="BL20" i="3"/>
  <c r="BL21" i="6" s="1"/>
  <c r="AF20" i="3"/>
  <c r="AF21" i="6"/>
  <c r="AI20" i="3"/>
  <c r="AI21" i="6" s="1"/>
  <c r="AQ20" i="3"/>
  <c r="AQ21" i="6"/>
  <c r="DN20" i="3"/>
  <c r="DN21" i="6" s="1"/>
  <c r="DM20" i="3"/>
  <c r="DM21" i="6"/>
  <c r="AW20" i="3"/>
  <c r="AW21" i="6" s="1"/>
  <c r="AZ20" i="3"/>
  <c r="AZ21" i="6"/>
  <c r="BZ20" i="3"/>
  <c r="BZ21" i="6" s="1"/>
  <c r="DG20" i="3"/>
  <c r="DG21" i="6"/>
  <c r="CI20" i="3"/>
  <c r="CI21" i="6" s="1"/>
  <c r="BK20" i="3"/>
  <c r="BK21" i="6"/>
  <c r="DB20" i="3"/>
  <c r="DB21" i="6" s="1"/>
  <c r="BR20" i="3"/>
  <c r="BR21" i="6"/>
  <c r="R20" i="3"/>
  <c r="R21" i="6" s="1"/>
  <c r="BU20" i="3"/>
  <c r="BU21" i="6"/>
  <c r="U20" i="3"/>
  <c r="U21" i="6" s="1"/>
  <c r="BD20" i="3"/>
  <c r="BD21" i="6"/>
  <c r="X20" i="3"/>
  <c r="X21" i="6" s="1"/>
  <c r="CU20" i="3"/>
  <c r="CU21" i="6"/>
  <c r="BW20" i="3"/>
  <c r="BW21" i="6" s="1"/>
  <c r="CX20" i="3"/>
  <c r="CX21" i="6"/>
  <c r="AX20" i="3"/>
  <c r="AX21" i="6" s="1"/>
  <c r="CW20" i="3"/>
  <c r="CW21" i="6"/>
  <c r="T20" i="3"/>
  <c r="T21" i="6" s="1"/>
  <c r="DF20" i="3"/>
  <c r="DF21" i="6"/>
  <c r="DE20" i="3"/>
  <c r="DE21" i="6" s="1"/>
  <c r="AM37" i="3"/>
  <c r="AM38" i="6"/>
  <c r="BP37" i="3"/>
  <c r="BP38" i="6" s="1"/>
  <c r="BE37" i="3"/>
  <c r="BE38" i="6"/>
  <c r="CC37" i="3"/>
  <c r="CC38" i="6" s="1"/>
  <c r="DP37" i="3"/>
  <c r="DP38" i="6"/>
  <c r="CP37" i="3"/>
  <c r="CP38" i="6" s="1"/>
  <c r="DO37" i="3"/>
  <c r="DO38" i="6"/>
  <c r="U37" i="3"/>
  <c r="U38" i="6" s="1"/>
  <c r="AI95" i="3"/>
  <c r="AI96" i="6"/>
  <c r="CD95" i="3"/>
  <c r="CD96" i="6" s="1"/>
  <c r="V47" i="3"/>
  <c r="V48" i="6"/>
  <c r="BM47" i="3"/>
  <c r="BM48" i="6" s="1"/>
  <c r="K47" i="3"/>
  <c r="K48" i="6"/>
  <c r="D47" i="3"/>
  <c r="DI47" i="3"/>
  <c r="DI48" i="6"/>
  <c r="DN47" i="3"/>
  <c r="DN48" i="6" s="1"/>
  <c r="CN47" i="3"/>
  <c r="CN48" i="6"/>
  <c r="AG47" i="3"/>
  <c r="AG48" i="6" s="1"/>
  <c r="CB47" i="3"/>
  <c r="CB48" i="6"/>
  <c r="O47" i="3"/>
  <c r="O48" i="6" s="1"/>
  <c r="T47" i="3"/>
  <c r="T48" i="6"/>
  <c r="Y47" i="3"/>
  <c r="Y48" i="6" s="1"/>
  <c r="BE47" i="3"/>
  <c r="BE48" i="6"/>
  <c r="AL47" i="3"/>
  <c r="AL48" i="6" s="1"/>
  <c r="DH47" i="3"/>
  <c r="DH48" i="6"/>
  <c r="CF47" i="3"/>
  <c r="CF48" i="6" s="1"/>
  <c r="CF3" i="6" s="1"/>
  <c r="BA47" i="3"/>
  <c r="BA48" i="6" s="1"/>
  <c r="S47" i="3"/>
  <c r="S48" i="6" s="1"/>
  <c r="CV47" i="3"/>
  <c r="CV48" i="6"/>
  <c r="DO47" i="3"/>
  <c r="DO48" i="6" s="1"/>
  <c r="BS47" i="3"/>
  <c r="BS48" i="6" s="1"/>
  <c r="AH47" i="3"/>
  <c r="AH48" i="6" s="1"/>
  <c r="CY47" i="3"/>
  <c r="CY48" i="6"/>
  <c r="BI47" i="3"/>
  <c r="BI48" i="6" s="1"/>
  <c r="AF47" i="3"/>
  <c r="AF48" i="6" s="1"/>
  <c r="AD47" i="3"/>
  <c r="AD48" i="6" s="1"/>
  <c r="DK47" i="3"/>
  <c r="DK48" i="6"/>
  <c r="BY47" i="3"/>
  <c r="BY48" i="6" s="1"/>
  <c r="BR47" i="3"/>
  <c r="BR48" i="6" s="1"/>
  <c r="CD47" i="3"/>
  <c r="CD48" i="6" s="1"/>
  <c r="DG47" i="3"/>
  <c r="DG48" i="6"/>
  <c r="AS47" i="3"/>
  <c r="AS48" i="6" s="1"/>
  <c r="CL47" i="3"/>
  <c r="CL48" i="6" s="1"/>
  <c r="BU47" i="3"/>
  <c r="BU48" i="6" s="1"/>
  <c r="AM47" i="3"/>
  <c r="AM48" i="6"/>
  <c r="R47" i="3"/>
  <c r="R48" i="6" s="1"/>
  <c r="AZ47" i="3"/>
  <c r="AZ48" i="6" s="1"/>
  <c r="CX47" i="3"/>
  <c r="CX48" i="6" s="1"/>
  <c r="L47" i="3"/>
  <c r="L48" i="6"/>
  <c r="P47" i="3"/>
  <c r="P48" i="6" s="1"/>
  <c r="CQ47" i="3"/>
  <c r="CQ48" i="6" s="1"/>
  <c r="DJ47" i="3"/>
  <c r="DJ48" i="6" s="1"/>
  <c r="G47" i="3"/>
  <c r="G48" i="6"/>
  <c r="CU47" i="3"/>
  <c r="CU48" i="6" s="1"/>
  <c r="AN47" i="3"/>
  <c r="AN48" i="6" s="1"/>
  <c r="E47" i="3"/>
  <c r="E48" i="6" s="1"/>
  <c r="AX47" i="3"/>
  <c r="AX48" i="6"/>
  <c r="DE47" i="3"/>
  <c r="DE48" i="6" s="1"/>
  <c r="CM47" i="3"/>
  <c r="CM48" i="6" s="1"/>
  <c r="AV47" i="3"/>
  <c r="AV48" i="6" s="1"/>
  <c r="DF47" i="3"/>
  <c r="DF48" i="6"/>
  <c r="F47" i="3"/>
  <c r="F48" i="6" s="1"/>
  <c r="AA47" i="3"/>
  <c r="AA48" i="6" s="1"/>
  <c r="CO47" i="3"/>
  <c r="CO48" i="6" s="1"/>
  <c r="Z47" i="3"/>
  <c r="Z48" i="6"/>
  <c r="AC47" i="3"/>
  <c r="AC48" i="6" s="1"/>
  <c r="CR47" i="3"/>
  <c r="CR48" i="6" s="1"/>
  <c r="BF47" i="3"/>
  <c r="BF48" i="6" s="1"/>
  <c r="C48" i="6"/>
  <c r="AU47" i="3"/>
  <c r="AU48" i="6"/>
  <c r="CZ47" i="3"/>
  <c r="CZ48" i="6"/>
  <c r="DM47" i="3"/>
  <c r="DM48" i="6"/>
  <c r="BQ47" i="3"/>
  <c r="BQ48" i="6" s="1"/>
  <c r="DA47" i="3"/>
  <c r="DA48" i="6"/>
  <c r="CH47" i="3"/>
  <c r="CH48" i="6"/>
  <c r="BV47" i="3"/>
  <c r="BV48" i="6"/>
  <c r="BN47" i="3"/>
  <c r="BN48" i="6" s="1"/>
  <c r="I47" i="3"/>
  <c r="I48" i="6"/>
  <c r="BK47" i="3"/>
  <c r="BK48" i="6"/>
  <c r="AE47" i="3"/>
  <c r="AE48" i="6"/>
  <c r="BH47" i="3"/>
  <c r="BH48" i="6" s="1"/>
  <c r="BG47" i="3"/>
  <c r="BG48" i="6"/>
  <c r="W47" i="3"/>
  <c r="W48" i="6"/>
  <c r="X47" i="3"/>
  <c r="X48" i="6"/>
  <c r="BP47" i="3"/>
  <c r="BP48" i="6" s="1"/>
  <c r="CG47" i="3"/>
  <c r="CG48" i="6"/>
  <c r="DC47" i="3"/>
  <c r="DC48" i="6"/>
  <c r="CI47" i="3"/>
  <c r="CI48" i="6"/>
  <c r="AJ47" i="3"/>
  <c r="AJ48" i="6" s="1"/>
  <c r="N47" i="3"/>
  <c r="N48" i="6"/>
  <c r="CC47" i="3"/>
  <c r="CC48" i="6"/>
  <c r="Q47" i="3"/>
  <c r="Q48" i="6"/>
  <c r="DP47" i="3"/>
  <c r="DP48" i="6" s="1"/>
  <c r="CS47" i="3"/>
  <c r="CS48" i="6"/>
  <c r="H47" i="3"/>
  <c r="H48" i="6"/>
  <c r="CJ47" i="3"/>
  <c r="CJ48" i="6"/>
  <c r="AB47" i="3"/>
  <c r="AB48" i="6" s="1"/>
  <c r="AY47" i="3"/>
  <c r="AY48" i="6"/>
  <c r="U47" i="3"/>
  <c r="U48" i="6"/>
  <c r="BJ47" i="3"/>
  <c r="BJ48" i="6"/>
  <c r="DL47" i="3"/>
  <c r="DL48" i="6" s="1"/>
  <c r="CW47" i="3"/>
  <c r="CW48" i="6"/>
  <c r="J47" i="3"/>
  <c r="J48" i="6"/>
  <c r="M47" i="3"/>
  <c r="M48" i="6"/>
  <c r="BD47" i="3"/>
  <c r="BD48" i="6" s="1"/>
  <c r="DD47" i="3"/>
  <c r="DD48" i="6"/>
  <c r="AW47" i="3"/>
  <c r="AW48" i="6"/>
  <c r="BC47" i="3"/>
  <c r="BC48" i="6"/>
  <c r="BX47" i="3"/>
  <c r="BX48" i="6" s="1"/>
  <c r="BZ47" i="3"/>
  <c r="BZ48" i="6"/>
  <c r="CA47" i="3"/>
  <c r="CA48" i="6"/>
  <c r="BW47" i="3"/>
  <c r="BW48" i="6"/>
  <c r="BL47" i="3"/>
  <c r="BL48" i="6" s="1"/>
  <c r="AQ47" i="3"/>
  <c r="AQ48" i="6"/>
  <c r="CP47" i="3"/>
  <c r="CP48" i="6"/>
  <c r="CT47" i="3"/>
  <c r="CT48" i="6"/>
  <c r="AI47" i="3"/>
  <c r="AI48" i="6" s="1"/>
  <c r="AT47" i="3"/>
  <c r="AT48" i="6"/>
  <c r="CE47" i="3"/>
  <c r="CE48" i="6"/>
  <c r="AO47" i="3"/>
  <c r="AO48" i="6"/>
  <c r="AP47" i="3"/>
  <c r="AP48" i="6" s="1"/>
  <c r="AK47" i="3"/>
  <c r="AK48" i="6"/>
  <c r="BB47" i="3"/>
  <c r="BB48" i="6"/>
  <c r="BO47" i="3"/>
  <c r="BO48" i="6"/>
  <c r="CK47" i="3"/>
  <c r="CK48" i="6" s="1"/>
  <c r="AR47" i="3"/>
  <c r="AR48" i="6"/>
  <c r="BT47" i="3"/>
  <c r="BT48" i="6"/>
  <c r="DQ47" i="3"/>
  <c r="DQ48" i="6"/>
  <c r="BE63" i="3"/>
  <c r="BE64" i="6" s="1"/>
  <c r="BG63" i="3"/>
  <c r="BG64" i="6"/>
  <c r="CG63" i="3"/>
  <c r="CG64" i="6"/>
  <c r="AR63" i="3"/>
  <c r="AR64" i="6"/>
  <c r="CS63" i="3"/>
  <c r="CS64" i="6" s="1"/>
  <c r="AQ63" i="3"/>
  <c r="AQ64" i="6"/>
  <c r="DQ63" i="3"/>
  <c r="DQ64" i="6"/>
  <c r="AJ63" i="3"/>
  <c r="AJ64" i="6"/>
  <c r="M63" i="3"/>
  <c r="M64" i="6"/>
  <c r="DI63" i="3"/>
  <c r="DI64" i="6"/>
  <c r="CT63" i="3"/>
  <c r="CT64" i="6"/>
  <c r="X63" i="3"/>
  <c r="X64" i="6"/>
  <c r="DA63" i="3"/>
  <c r="DA64" i="6"/>
  <c r="G66" i="3"/>
  <c r="G67" i="6"/>
  <c r="CL66" i="3"/>
  <c r="CL67" i="6"/>
  <c r="Y66" i="3"/>
  <c r="Y67" i="6"/>
  <c r="Q66" i="3"/>
  <c r="Q67" i="6"/>
  <c r="AT66" i="3"/>
  <c r="AT67" i="6"/>
  <c r="AR66" i="3"/>
  <c r="AR67" i="6"/>
  <c r="BB66" i="3"/>
  <c r="BB67" i="6"/>
  <c r="BG66" i="3"/>
  <c r="BG67" i="6"/>
  <c r="BC66" i="3"/>
  <c r="BC67" i="6"/>
  <c r="CH66" i="3"/>
  <c r="CH67" i="6"/>
  <c r="CY66" i="3"/>
  <c r="CY67" i="6"/>
  <c r="BU66" i="3"/>
  <c r="BU67" i="6"/>
  <c r="CC66" i="3"/>
  <c r="CC67" i="6"/>
  <c r="BW66" i="3"/>
  <c r="BW67" i="6"/>
  <c r="DD66" i="3"/>
  <c r="DD67" i="6"/>
  <c r="AC66" i="3"/>
  <c r="AC67" i="6"/>
  <c r="CF66" i="3"/>
  <c r="CF67" i="6"/>
  <c r="AJ66" i="3"/>
  <c r="AJ67" i="6"/>
  <c r="AS66" i="3"/>
  <c r="AS67" i="6"/>
  <c r="U66" i="3"/>
  <c r="U67" i="6"/>
  <c r="AP66" i="3"/>
  <c r="AP67" i="6"/>
  <c r="AV66" i="3"/>
  <c r="AV67" i="6"/>
  <c r="P66" i="3"/>
  <c r="P67" i="6"/>
  <c r="BA66" i="3"/>
  <c r="BA67" i="6"/>
  <c r="AI66" i="3"/>
  <c r="AI67" i="6"/>
  <c r="V66" i="3"/>
  <c r="V67" i="6"/>
  <c r="BR66" i="3"/>
  <c r="BR67" i="6"/>
  <c r="BF66" i="3"/>
  <c r="BF67" i="6"/>
  <c r="BD66" i="3"/>
  <c r="BD67" i="6"/>
  <c r="J66" i="3"/>
  <c r="J67" i="6"/>
  <c r="CV66" i="3"/>
  <c r="CV67" i="6"/>
  <c r="AU66" i="3"/>
  <c r="AU67" i="6"/>
  <c r="R66" i="3"/>
  <c r="R67" i="6"/>
  <c r="BM66" i="3"/>
  <c r="BM67" i="6"/>
  <c r="DI66" i="3"/>
  <c r="DI67" i="6"/>
  <c r="N66" i="3"/>
  <c r="N67" i="6"/>
  <c r="DJ66" i="3"/>
  <c r="DJ67" i="6"/>
  <c r="CA66" i="3"/>
  <c r="CA67" i="6"/>
  <c r="AE66" i="3"/>
  <c r="AE67" i="6"/>
  <c r="BS66" i="3"/>
  <c r="BS67" i="6"/>
  <c r="Z66" i="3"/>
  <c r="Z67" i="6"/>
  <c r="AW66" i="3"/>
  <c r="AW67" i="6"/>
  <c r="DN66" i="3"/>
  <c r="DN67" i="6"/>
  <c r="AM66" i="3"/>
  <c r="AM67" i="6"/>
  <c r="CB66" i="3"/>
  <c r="CB67" i="6"/>
  <c r="CS66" i="3"/>
  <c r="CS67" i="6"/>
  <c r="X66" i="3"/>
  <c r="X67" i="6"/>
  <c r="DP66" i="3"/>
  <c r="DP67" i="6"/>
  <c r="CT66" i="3"/>
  <c r="CT67" i="6"/>
  <c r="DB66" i="3"/>
  <c r="DB67" i="6"/>
  <c r="AD66" i="3"/>
  <c r="AD67" i="6"/>
  <c r="DO66" i="3"/>
  <c r="DO67" i="6"/>
  <c r="CX66" i="3"/>
  <c r="CX67" i="6"/>
  <c r="DQ66" i="3"/>
  <c r="DQ67" i="6"/>
  <c r="DF66" i="3"/>
  <c r="DF67" i="6"/>
  <c r="BO66" i="3"/>
  <c r="BO67" i="6"/>
  <c r="DK66" i="3"/>
  <c r="DK67" i="6"/>
  <c r="D66" i="3"/>
  <c r="BT66" i="3"/>
  <c r="BT67" i="6" s="1"/>
  <c r="CQ66" i="3"/>
  <c r="CQ67" i="6" s="1"/>
  <c r="L66" i="3"/>
  <c r="L67" i="6" s="1"/>
  <c r="AL66" i="3"/>
  <c r="AL67" i="6" s="1"/>
  <c r="BP66" i="3"/>
  <c r="BP67" i="6" s="1"/>
  <c r="BN66" i="3"/>
  <c r="BN67" i="6" s="1"/>
  <c r="CW66" i="3"/>
  <c r="CW67" i="6" s="1"/>
  <c r="M66" i="3"/>
  <c r="M67" i="6" s="1"/>
  <c r="T66" i="3"/>
  <c r="T67" i="6" s="1"/>
  <c r="I66" i="3"/>
  <c r="I67" i="6" s="1"/>
  <c r="DL66" i="3"/>
  <c r="DL67" i="6" s="1"/>
  <c r="BY66" i="3"/>
  <c r="BY67" i="6" s="1"/>
  <c r="AA66" i="3"/>
  <c r="AA67" i="6" s="1"/>
  <c r="CU66" i="3"/>
  <c r="CU67" i="6" s="1"/>
  <c r="CI66" i="3"/>
  <c r="CI67" i="6" s="1"/>
  <c r="BE66" i="3"/>
  <c r="BE67" i="6" s="1"/>
  <c r="CN66" i="3"/>
  <c r="CN67" i="6" s="1"/>
  <c r="CJ66" i="3"/>
  <c r="CJ67" i="6" s="1"/>
  <c r="CG66" i="3"/>
  <c r="CG67" i="6" s="1"/>
  <c r="BH66" i="3"/>
  <c r="BH67" i="6" s="1"/>
  <c r="AO66" i="3"/>
  <c r="AO67" i="6" s="1"/>
  <c r="AN66" i="3"/>
  <c r="AN67" i="6" s="1"/>
  <c r="DM66" i="3"/>
  <c r="DM67" i="6" s="1"/>
  <c r="AQ66" i="3"/>
  <c r="AQ67" i="6" s="1"/>
  <c r="AH66" i="3"/>
  <c r="AH67" i="6" s="1"/>
  <c r="BZ66" i="3"/>
  <c r="BZ67" i="6" s="1"/>
  <c r="DG66" i="3"/>
  <c r="DG67" i="6" s="1"/>
  <c r="BI66" i="3"/>
  <c r="BI67" i="6" s="1"/>
  <c r="K66" i="3"/>
  <c r="K67" i="6" s="1"/>
  <c r="H66" i="3"/>
  <c r="H67" i="6" s="1"/>
  <c r="DA66" i="3"/>
  <c r="DA67" i="6" s="1"/>
  <c r="AY66" i="3"/>
  <c r="AY67" i="6" s="1"/>
  <c r="AB66" i="3"/>
  <c r="AB67" i="6" s="1"/>
  <c r="BK66" i="3"/>
  <c r="BK67" i="6" s="1"/>
  <c r="BV66" i="3"/>
  <c r="BV67" i="6" s="1"/>
  <c r="BJ66" i="3"/>
  <c r="BJ67" i="6" s="1"/>
  <c r="CR66" i="3"/>
  <c r="CR67" i="6" s="1"/>
  <c r="S66" i="3"/>
  <c r="S67" i="6" s="1"/>
  <c r="O66" i="3"/>
  <c r="O67" i="6" s="1"/>
  <c r="C67" i="6"/>
  <c r="CK66" i="3"/>
  <c r="CK67" i="6"/>
  <c r="BQ66" i="3"/>
  <c r="BQ67" i="6"/>
  <c r="DE66" i="3"/>
  <c r="DE67" i="6"/>
  <c r="BL66" i="3"/>
  <c r="BL67" i="6"/>
  <c r="CE66" i="3"/>
  <c r="CE67" i="6"/>
  <c r="DC66" i="3"/>
  <c r="DC67" i="6"/>
  <c r="CO66" i="3"/>
  <c r="CO67" i="6"/>
  <c r="AG66" i="3"/>
  <c r="AG67" i="6"/>
  <c r="CZ66" i="3"/>
  <c r="CZ67" i="6"/>
  <c r="AX66" i="3"/>
  <c r="AX67" i="6"/>
  <c r="DH66" i="3"/>
  <c r="DH67" i="6"/>
  <c r="AK66" i="3"/>
  <c r="AK67" i="6"/>
  <c r="F66" i="3"/>
  <c r="F67" i="6"/>
  <c r="AF66" i="3"/>
  <c r="AF67" i="6"/>
  <c r="AZ66" i="3"/>
  <c r="AZ67" i="6"/>
  <c r="CP66" i="3"/>
  <c r="CP67" i="6"/>
  <c r="E67" i="3"/>
  <c r="E68" i="6"/>
  <c r="CF67" i="3"/>
  <c r="CF68" i="6"/>
  <c r="DI67" i="3"/>
  <c r="DI68" i="6"/>
  <c r="AM67" i="3"/>
  <c r="AM68" i="6"/>
  <c r="CL67" i="3"/>
  <c r="CL68" i="6"/>
  <c r="BR67" i="3"/>
  <c r="BR68" i="6"/>
  <c r="BZ67" i="3"/>
  <c r="BZ68" i="6"/>
  <c r="DO67" i="3"/>
  <c r="DO68" i="6"/>
  <c r="BL67" i="3"/>
  <c r="BL68" i="6"/>
  <c r="M67" i="3"/>
  <c r="M68" i="6"/>
  <c r="AF67" i="3"/>
  <c r="AF68" i="6"/>
  <c r="DF67" i="3"/>
  <c r="DF68" i="6"/>
  <c r="CR67" i="3"/>
  <c r="CR68" i="6"/>
  <c r="DQ67" i="3"/>
  <c r="DQ68" i="6"/>
  <c r="CJ67" i="3"/>
  <c r="CJ68" i="6"/>
  <c r="CD67" i="3"/>
  <c r="CD68" i="6"/>
  <c r="AO67" i="3"/>
  <c r="AO68" i="6"/>
  <c r="CY67" i="3"/>
  <c r="CY68" i="6"/>
  <c r="CN67" i="3"/>
  <c r="CN68" i="6"/>
  <c r="DA67" i="3"/>
  <c r="DA68" i="6"/>
  <c r="AR67" i="3"/>
  <c r="AR68" i="6"/>
  <c r="DP67" i="3"/>
  <c r="DP68" i="6"/>
  <c r="CG67" i="3"/>
  <c r="CG68" i="6"/>
  <c r="X67" i="3"/>
  <c r="X68" i="6"/>
  <c r="CK67" i="3"/>
  <c r="CK68" i="6"/>
  <c r="K67" i="3"/>
  <c r="K68" i="6"/>
  <c r="AX67" i="3"/>
  <c r="AX68" i="6"/>
  <c r="AE67" i="3"/>
  <c r="AE68" i="6"/>
  <c r="J67" i="3"/>
  <c r="J68" i="6"/>
  <c r="DM67" i="3"/>
  <c r="DM68" i="6"/>
  <c r="BD67" i="3"/>
  <c r="BD68" i="6"/>
  <c r="CL110" i="3"/>
  <c r="CL111" i="6"/>
  <c r="DL110" i="3"/>
  <c r="DL111" i="6"/>
  <c r="AG110" i="3"/>
  <c r="AG111" i="6"/>
  <c r="AV110" i="3"/>
  <c r="AV111" i="6"/>
  <c r="Y110" i="3"/>
  <c r="Y111" i="6"/>
  <c r="AI110" i="3"/>
  <c r="AI111" i="6"/>
  <c r="BB110" i="3"/>
  <c r="BB111" i="6"/>
  <c r="BG110" i="3"/>
  <c r="BG111" i="6"/>
  <c r="AU110" i="3"/>
  <c r="AU111" i="6"/>
  <c r="Z110" i="3"/>
  <c r="Z111" i="6"/>
  <c r="CY110" i="3"/>
  <c r="CY111" i="6"/>
  <c r="BN110" i="3"/>
  <c r="BN111" i="6"/>
  <c r="CK110" i="3"/>
  <c r="CK111" i="6"/>
  <c r="AY110" i="3"/>
  <c r="AY111" i="6"/>
  <c r="AB110" i="3"/>
  <c r="AB111" i="6"/>
  <c r="BY110" i="3"/>
  <c r="BY111" i="6"/>
  <c r="BR110" i="3"/>
  <c r="BR111" i="6"/>
  <c r="CA110" i="3"/>
  <c r="CA111" i="6"/>
  <c r="CJ110" i="3"/>
  <c r="CJ111" i="6"/>
  <c r="BA110" i="3"/>
  <c r="BA111" i="6"/>
  <c r="AT110" i="3"/>
  <c r="AT111" i="6"/>
  <c r="P110" i="3"/>
  <c r="P111" i="6"/>
  <c r="BS110" i="3"/>
  <c r="BS111" i="6"/>
  <c r="CU110" i="3"/>
  <c r="CU111" i="6"/>
  <c r="CE110" i="3"/>
  <c r="CE111" i="6"/>
  <c r="V110" i="3"/>
  <c r="V111" i="6"/>
  <c r="BM110" i="3"/>
  <c r="BM111" i="6"/>
  <c r="AM110" i="3"/>
  <c r="AM111" i="6"/>
  <c r="DC110" i="3"/>
  <c r="DC111" i="6"/>
  <c r="BX110" i="3"/>
  <c r="BX111" i="6"/>
  <c r="AX110" i="3"/>
  <c r="AX111" i="6"/>
  <c r="BO110" i="3"/>
  <c r="BO111" i="6"/>
  <c r="CS110" i="3"/>
  <c r="CS111" i="6"/>
  <c r="DB110" i="3"/>
  <c r="DB111" i="6"/>
  <c r="BL110" i="3"/>
  <c r="BL111" i="6"/>
  <c r="CZ110" i="3"/>
  <c r="CZ111" i="6"/>
  <c r="G110" i="3"/>
  <c r="G111" i="6"/>
  <c r="DO110" i="3"/>
  <c r="DO111" i="6"/>
  <c r="BE110" i="3"/>
  <c r="BE111" i="6"/>
  <c r="BJ110" i="3"/>
  <c r="BJ111" i="6"/>
  <c r="CC110" i="3"/>
  <c r="CC111" i="6"/>
  <c r="DA110" i="3"/>
  <c r="DA111" i="6"/>
  <c r="AP110" i="3"/>
  <c r="AP111" i="6"/>
  <c r="AF110" i="3"/>
  <c r="AF111" i="6"/>
  <c r="E110" i="3"/>
  <c r="E111" i="6"/>
  <c r="CR110" i="3"/>
  <c r="CR111" i="6"/>
  <c r="J110" i="3"/>
  <c r="J111" i="6"/>
  <c r="AA110" i="3"/>
  <c r="AA111" i="6"/>
  <c r="CO110" i="3"/>
  <c r="CO111" i="6"/>
  <c r="AD110" i="3"/>
  <c r="AD111" i="6"/>
  <c r="BZ110" i="3"/>
  <c r="BZ111" i="6"/>
  <c r="AH110" i="3"/>
  <c r="AH111" i="6"/>
  <c r="CN110" i="3"/>
  <c r="CN111" i="6"/>
  <c r="N110" i="3"/>
  <c r="N111" i="6"/>
  <c r="Q110" i="3"/>
  <c r="Q111" i="6"/>
  <c r="F110" i="3"/>
  <c r="F111" i="6"/>
  <c r="W110" i="3"/>
  <c r="W111" i="6"/>
  <c r="DH110" i="3"/>
  <c r="DH111" i="6"/>
  <c r="BU110" i="3"/>
  <c r="BU111" i="6"/>
  <c r="DQ110" i="3"/>
  <c r="DQ111" i="6"/>
  <c r="CW110" i="3"/>
  <c r="CW111" i="6"/>
  <c r="CG110" i="3"/>
  <c r="CG111" i="6"/>
  <c r="AL110" i="3"/>
  <c r="AL111" i="6"/>
  <c r="BT110" i="3"/>
  <c r="BT111" i="6"/>
  <c r="BF110" i="3"/>
  <c r="BF111" i="6"/>
  <c r="BW110" i="3"/>
  <c r="BW111" i="6"/>
  <c r="U110" i="3"/>
  <c r="U111" i="6"/>
  <c r="CB110" i="3"/>
  <c r="CB111" i="6"/>
  <c r="X110" i="3"/>
  <c r="X111" i="6"/>
  <c r="CX110" i="3"/>
  <c r="CX111" i="6"/>
  <c r="BQ110" i="3"/>
  <c r="BQ111" i="6"/>
  <c r="BC110" i="3"/>
  <c r="BC111" i="6"/>
  <c r="L110" i="3"/>
  <c r="L111" i="6"/>
  <c r="AE110" i="3"/>
  <c r="AE111" i="6"/>
  <c r="DG110" i="3"/>
  <c r="DG111" i="6"/>
  <c r="CI110" i="3"/>
  <c r="CI111" i="6"/>
  <c r="AJ110" i="3"/>
  <c r="AJ111" i="6"/>
  <c r="I110" i="3"/>
  <c r="I111" i="6"/>
  <c r="DP110" i="3"/>
  <c r="DP111" i="6"/>
  <c r="D110" i="3"/>
  <c r="DJ110" i="3"/>
  <c r="DJ111" i="6" s="1"/>
  <c r="AW110" i="3"/>
  <c r="AW111" i="6" s="1"/>
  <c r="C111" i="6"/>
  <c r="DK110" i="3"/>
  <c r="DK111" i="6"/>
  <c r="DM110" i="3"/>
  <c r="DM111" i="6"/>
  <c r="BI110" i="3"/>
  <c r="BI111" i="6"/>
  <c r="BH110" i="3"/>
  <c r="BH111" i="6"/>
  <c r="DF110" i="3"/>
  <c r="DF111" i="6"/>
  <c r="BP110" i="3"/>
  <c r="BP111" i="6"/>
  <c r="CF110" i="3"/>
  <c r="CF111" i="6"/>
  <c r="BV110" i="3"/>
  <c r="BV111" i="6"/>
  <c r="T110" i="3"/>
  <c r="T111" i="6"/>
  <c r="H110" i="3"/>
  <c r="H111" i="6"/>
  <c r="BK110" i="3"/>
  <c r="BK111" i="6"/>
  <c r="CD110" i="3"/>
  <c r="CD111" i="6"/>
  <c r="CH110" i="3"/>
  <c r="CH111" i="6"/>
  <c r="M110" i="3"/>
  <c r="M111" i="6"/>
  <c r="AR110" i="3"/>
  <c r="AR111" i="6"/>
  <c r="AO110" i="3"/>
  <c r="AO111" i="6"/>
  <c r="DE110" i="3"/>
  <c r="DE111" i="6"/>
  <c r="AN110" i="3"/>
  <c r="AN111" i="6"/>
  <c r="AQ110" i="3"/>
  <c r="AQ111" i="6"/>
  <c r="S110" i="3"/>
  <c r="S111" i="6"/>
  <c r="DI110" i="3"/>
  <c r="DI111" i="6"/>
  <c r="AS110" i="3"/>
  <c r="AS111" i="6"/>
  <c r="K110" i="3"/>
  <c r="K111" i="6"/>
  <c r="CT110" i="3"/>
  <c r="CT111" i="6"/>
  <c r="AZ110" i="3"/>
  <c r="AZ111" i="6"/>
  <c r="DD110" i="3"/>
  <c r="DD111" i="6"/>
  <c r="AC110" i="3"/>
  <c r="AC111" i="6"/>
  <c r="AF63" i="3"/>
  <c r="AF64" i="6"/>
  <c r="DC63" i="3"/>
  <c r="DC64" i="6"/>
  <c r="BX63" i="3"/>
  <c r="BX64" i="6"/>
  <c r="BU63" i="3"/>
  <c r="BU64" i="6"/>
  <c r="CN63" i="3"/>
  <c r="CN64" i="6"/>
  <c r="CW63" i="3"/>
  <c r="CW64" i="6"/>
  <c r="AW63" i="3"/>
  <c r="AW64" i="6"/>
  <c r="Z63" i="3"/>
  <c r="Z64" i="6"/>
  <c r="DO63" i="3"/>
  <c r="DO64" i="6"/>
  <c r="DF63" i="3"/>
  <c r="DF64" i="6"/>
  <c r="AO63" i="3"/>
  <c r="AO64" i="6"/>
  <c r="BI63" i="3"/>
  <c r="BI64" i="6"/>
  <c r="CZ63" i="3"/>
  <c r="CZ64" i="6"/>
  <c r="CL63" i="3"/>
  <c r="CL64" i="6"/>
  <c r="AZ63" i="3"/>
  <c r="AZ64" i="6"/>
  <c r="BQ63" i="3"/>
  <c r="BQ64" i="6"/>
  <c r="AM63" i="3"/>
  <c r="AM64" i="6"/>
  <c r="I63" i="3"/>
  <c r="I64" i="6"/>
  <c r="BL63" i="3"/>
  <c r="BL64" i="6"/>
  <c r="BZ63" i="3"/>
  <c r="BZ64" i="6"/>
  <c r="CV63" i="3"/>
  <c r="CV64" i="6"/>
  <c r="BA63" i="3"/>
  <c r="BA64" i="6"/>
  <c r="CA63" i="3"/>
  <c r="CA64" i="6"/>
  <c r="BK63" i="3"/>
  <c r="BK64" i="6"/>
  <c r="BQ67" i="3"/>
  <c r="BQ68" i="6"/>
  <c r="BC67" i="3"/>
  <c r="BC68" i="6"/>
  <c r="DJ67" i="3"/>
  <c r="DJ68" i="6"/>
  <c r="AG67" i="3"/>
  <c r="AG68" i="6"/>
  <c r="DL67" i="3"/>
  <c r="DL68" i="6"/>
  <c r="AW67" i="3"/>
  <c r="AW68" i="6"/>
  <c r="BG67" i="3"/>
  <c r="BG68" i="6"/>
  <c r="AL67" i="3"/>
  <c r="AL68" i="6"/>
  <c r="DD67" i="3"/>
  <c r="DD68" i="6"/>
  <c r="CO67" i="3"/>
  <c r="CO68" i="6"/>
  <c r="BY67" i="3"/>
  <c r="BY68" i="6"/>
  <c r="BN67" i="3"/>
  <c r="BN68" i="6"/>
  <c r="DC67" i="3"/>
  <c r="DC68" i="6"/>
  <c r="Q67" i="3"/>
  <c r="Q68" i="6"/>
  <c r="C68" i="6"/>
  <c r="S67" i="3"/>
  <c r="S68" i="6" s="1"/>
  <c r="BV67" i="3"/>
  <c r="BV68" i="6" s="1"/>
  <c r="P67" i="3"/>
  <c r="P68" i="6" s="1"/>
  <c r="AD67" i="3"/>
  <c r="AD68" i="6" s="1"/>
  <c r="BM63" i="3"/>
  <c r="BM64" i="6" s="1"/>
  <c r="CX67" i="3"/>
  <c r="CX68" i="6" s="1"/>
  <c r="AW5" i="3"/>
  <c r="AW6" i="6" s="1"/>
  <c r="BK5" i="3"/>
  <c r="BK6" i="6" s="1"/>
  <c r="CL5" i="3"/>
  <c r="CL6" i="6" s="1"/>
  <c r="CO5" i="3"/>
  <c r="CO6" i="6" s="1"/>
  <c r="BT5" i="3"/>
  <c r="BT6" i="6" s="1"/>
  <c r="U5" i="3"/>
  <c r="U6" i="6" s="1"/>
  <c r="AE5" i="3"/>
  <c r="AE6" i="6" s="1"/>
  <c r="AE3" i="6" s="1"/>
  <c r="CP110" i="3"/>
  <c r="CP111" i="6" s="1"/>
  <c r="CM110" i="3"/>
  <c r="CM111" i="6" s="1"/>
  <c r="DB47" i="3"/>
  <c r="DB48" i="6" s="1"/>
  <c r="G5" i="3"/>
  <c r="G6" i="6" s="1"/>
  <c r="CF5" i="3"/>
  <c r="CF6" i="6" s="1"/>
  <c r="N5" i="3"/>
  <c r="N6" i="6" s="1"/>
  <c r="H5" i="3"/>
  <c r="H6" i="6" s="1"/>
  <c r="I5" i="3"/>
  <c r="I6" i="6" s="1"/>
  <c r="X5" i="3"/>
  <c r="X6" i="6" s="1"/>
  <c r="DO5" i="3"/>
  <c r="DO6" i="6" s="1"/>
  <c r="CA5" i="3"/>
  <c r="CA6" i="6" s="1"/>
  <c r="DA5" i="3"/>
  <c r="DA6" i="6" s="1"/>
  <c r="AF5" i="3"/>
  <c r="AF6" i="6" s="1"/>
  <c r="DI5" i="3"/>
  <c r="DI6" i="6" s="1"/>
  <c r="CE5" i="3"/>
  <c r="CE6" i="6" s="1"/>
  <c r="DK5" i="3"/>
  <c r="DK6" i="6" s="1"/>
  <c r="AX5" i="3"/>
  <c r="AX6" i="6" s="1"/>
  <c r="AB5" i="3"/>
  <c r="AB6" i="6" s="1"/>
  <c r="BF5" i="3"/>
  <c r="BF6" i="6" s="1"/>
  <c r="CB5" i="3"/>
  <c r="CB6" i="6" s="1"/>
  <c r="DC5" i="3"/>
  <c r="DC6" i="6" s="1"/>
  <c r="AY5" i="3"/>
  <c r="AY6" i="6" s="1"/>
  <c r="Z5" i="3"/>
  <c r="Z6" i="6" s="1"/>
  <c r="S5" i="3"/>
  <c r="S6" i="6" s="1"/>
  <c r="AV5" i="3"/>
  <c r="AV6" i="6" s="1"/>
  <c r="BC5" i="3"/>
  <c r="BC6" i="6" s="1"/>
  <c r="DN5" i="3"/>
  <c r="DN6" i="6" s="1"/>
  <c r="CX5" i="3"/>
  <c r="CX6" i="6" s="1"/>
  <c r="CP5" i="3"/>
  <c r="CP6" i="6" s="1"/>
  <c r="BV5" i="3"/>
  <c r="BV6" i="6" s="1"/>
  <c r="CQ5" i="3"/>
  <c r="CQ6" i="6" s="1"/>
  <c r="C6" i="6"/>
  <c r="AR5" i="3"/>
  <c r="AR6" i="6"/>
  <c r="BZ5" i="3"/>
  <c r="BZ6" i="6"/>
  <c r="AT5" i="3"/>
  <c r="AT6" i="6"/>
  <c r="AS5" i="3"/>
  <c r="AS6" i="6"/>
  <c r="AN5" i="3"/>
  <c r="AN6" i="6"/>
  <c r="BJ5" i="3"/>
  <c r="BJ6" i="6"/>
  <c r="DH5" i="3"/>
  <c r="DH6" i="6"/>
  <c r="CY5" i="3"/>
  <c r="CY6" i="6"/>
  <c r="BX5" i="3"/>
  <c r="BX6" i="6"/>
  <c r="M5" i="3"/>
  <c r="M6" i="6"/>
  <c r="K5" i="3"/>
  <c r="K6" i="6"/>
  <c r="AO5" i="3"/>
  <c r="AO6" i="6"/>
  <c r="AQ5" i="3"/>
  <c r="AQ6" i="6"/>
  <c r="AC5" i="3"/>
  <c r="AC6" i="6"/>
  <c r="DE5" i="3"/>
  <c r="DE6" i="6"/>
  <c r="CT5" i="3"/>
  <c r="CT6" i="6"/>
  <c r="CJ5" i="3"/>
  <c r="CJ6" i="6"/>
  <c r="BO5" i="3"/>
  <c r="BO6" i="6"/>
  <c r="BS5" i="3"/>
  <c r="BS6" i="6"/>
  <c r="P5" i="3"/>
  <c r="P6" i="6"/>
  <c r="AP5" i="3"/>
  <c r="AP6" i="6"/>
  <c r="BA5" i="3"/>
  <c r="BA6" i="6"/>
  <c r="BP5" i="3"/>
  <c r="BP6" i="6"/>
  <c r="CV5" i="3"/>
  <c r="CV6" i="6"/>
  <c r="CZ5" i="3"/>
  <c r="CZ6" i="6"/>
  <c r="CC5" i="3"/>
  <c r="CC6" i="6"/>
  <c r="Q5" i="3"/>
  <c r="Q6" i="6"/>
  <c r="L5" i="3"/>
  <c r="L6" i="6"/>
  <c r="T5" i="3"/>
  <c r="T6" i="6"/>
  <c r="BW5" i="3"/>
  <c r="BW6" i="6"/>
  <c r="W5" i="3"/>
  <c r="W6" i="6"/>
  <c r="DL5" i="3"/>
  <c r="DL6" i="6"/>
  <c r="AD5" i="3"/>
  <c r="AD6" i="6"/>
  <c r="AK5" i="3"/>
  <c r="AK6" i="6"/>
  <c r="DF5" i="3"/>
  <c r="DF6" i="6"/>
  <c r="AL5" i="3"/>
  <c r="AL6" i="6"/>
  <c r="AH5" i="3"/>
  <c r="AH6" i="6"/>
  <c r="BD5" i="3"/>
  <c r="BD6" i="6"/>
  <c r="CN5" i="3"/>
  <c r="CN6" i="6"/>
  <c r="CI5" i="3"/>
  <c r="CI6" i="6"/>
  <c r="Y5" i="3"/>
  <c r="Y6" i="6"/>
  <c r="CG5" i="3"/>
  <c r="CG6" i="6"/>
  <c r="BE5" i="3"/>
  <c r="BE6" i="6"/>
  <c r="D5" i="3"/>
  <c r="D6" i="6"/>
  <c r="DP5" i="3"/>
  <c r="DP6" i="6"/>
  <c r="BL5" i="3"/>
  <c r="BL6" i="6"/>
  <c r="BN5" i="3"/>
  <c r="BN6" i="6"/>
  <c r="BY5" i="3"/>
  <c r="BY6" i="6"/>
  <c r="BR5" i="3"/>
  <c r="BR6" i="6"/>
  <c r="AA5" i="3"/>
  <c r="AA6" i="6"/>
  <c r="AU5" i="3"/>
  <c r="AU6" i="6"/>
  <c r="CW5" i="3"/>
  <c r="CW6" i="6"/>
  <c r="BM5" i="3"/>
  <c r="BM6" i="6"/>
  <c r="DJ5" i="3"/>
  <c r="DJ6" i="6"/>
  <c r="BH5" i="3"/>
  <c r="BH6" i="6"/>
  <c r="R5" i="3"/>
  <c r="R6" i="6"/>
  <c r="BB5" i="3"/>
  <c r="BB6" i="6"/>
  <c r="DG5" i="3"/>
  <c r="DG6" i="6"/>
  <c r="AZ5" i="3"/>
  <c r="AZ6" i="6"/>
  <c r="AI5" i="3"/>
  <c r="AI6" i="6"/>
  <c r="J5" i="3"/>
  <c r="J6" i="6"/>
  <c r="CS5" i="3"/>
  <c r="CS6" i="6"/>
  <c r="BU5" i="3"/>
  <c r="BU6" i="6"/>
  <c r="C30" i="4"/>
  <c r="D34" i="1"/>
  <c r="C33" i="5" s="1"/>
  <c r="C81" i="4"/>
  <c r="D85" i="1" s="1"/>
  <c r="G39" i="5" s="1"/>
  <c r="C70" i="4"/>
  <c r="D74" i="1"/>
  <c r="G28" i="5" s="1"/>
  <c r="C50" i="4"/>
  <c r="D54" i="1" s="1"/>
  <c r="G8" i="5" s="1"/>
  <c r="DC133" i="3"/>
  <c r="DC134" i="6"/>
  <c r="BN133" i="3"/>
  <c r="BN134" i="6"/>
  <c r="BG133" i="3"/>
  <c r="BG134" i="6"/>
  <c r="CU133" i="3"/>
  <c r="CU134" i="6"/>
  <c r="AM133" i="3"/>
  <c r="AM134" i="6"/>
  <c r="H133" i="3"/>
  <c r="H134" i="6"/>
  <c r="AI133" i="3"/>
  <c r="AI134" i="6"/>
  <c r="CA133" i="3"/>
  <c r="CA134" i="6"/>
  <c r="E133" i="3"/>
  <c r="E134" i="6"/>
  <c r="U133" i="3"/>
  <c r="U134" i="6"/>
  <c r="P133" i="3"/>
  <c r="P134" i="6"/>
  <c r="BT133" i="3"/>
  <c r="BT134" i="6"/>
  <c r="N133" i="3"/>
  <c r="N134" i="6"/>
  <c r="DK133" i="3"/>
  <c r="DK134" i="6"/>
  <c r="AU133" i="3"/>
  <c r="AU134" i="6"/>
  <c r="AK133" i="3"/>
  <c r="AK134" i="6"/>
  <c r="AG133" i="3"/>
  <c r="AG134" i="6"/>
  <c r="DF133" i="3"/>
  <c r="DF134" i="6"/>
  <c r="DP133" i="3"/>
  <c r="DP134" i="6"/>
  <c r="AX133" i="3"/>
  <c r="AX134" i="6"/>
  <c r="DI133" i="3"/>
  <c r="DI134" i="6"/>
  <c r="DL133" i="3"/>
  <c r="DL134" i="6"/>
  <c r="BM133" i="3"/>
  <c r="BM134" i="6"/>
  <c r="DN133" i="3"/>
  <c r="DN134" i="6"/>
  <c r="BZ133" i="3"/>
  <c r="BZ134" i="6"/>
  <c r="BL133" i="3"/>
  <c r="BL134" i="6"/>
  <c r="M133" i="3"/>
  <c r="M134" i="6"/>
  <c r="F133" i="3"/>
  <c r="F134" i="6"/>
  <c r="CH133" i="3"/>
  <c r="CH134" i="6"/>
  <c r="BP133" i="3"/>
  <c r="BP134" i="6"/>
  <c r="AY121" i="3"/>
  <c r="AY122" i="6"/>
  <c r="DD121" i="3"/>
  <c r="DD122" i="6"/>
  <c r="AU121" i="3"/>
  <c r="AU122" i="6"/>
  <c r="AF121" i="3"/>
  <c r="AF122" i="6"/>
  <c r="BK121" i="3"/>
  <c r="BK122" i="6"/>
  <c r="CR121" i="3"/>
  <c r="CR122" i="6"/>
  <c r="AC63" i="3"/>
  <c r="AC64" i="6"/>
  <c r="F63" i="3"/>
  <c r="F64" i="6"/>
  <c r="O63" i="3"/>
  <c r="O64" i="6"/>
  <c r="BB63" i="3"/>
  <c r="BB64" i="6"/>
  <c r="CY63" i="3"/>
  <c r="CY64" i="6"/>
  <c r="BR63" i="3"/>
  <c r="BR64" i="6"/>
  <c r="DM63" i="3"/>
  <c r="DM64" i="6"/>
  <c r="CI63" i="3"/>
  <c r="CI64" i="6"/>
  <c r="DL63" i="3"/>
  <c r="DL64" i="6"/>
  <c r="AI63" i="3"/>
  <c r="AI64" i="6"/>
  <c r="DE63" i="3"/>
  <c r="DE64" i="6"/>
  <c r="CH63" i="3"/>
  <c r="CH64" i="6"/>
  <c r="AA63" i="3"/>
  <c r="AA64" i="6"/>
  <c r="BO63" i="3"/>
  <c r="BO64" i="6"/>
  <c r="CF63" i="3"/>
  <c r="CF64" i="6"/>
  <c r="BV63" i="3"/>
  <c r="BV64" i="6"/>
  <c r="CM63" i="3"/>
  <c r="CM64" i="6"/>
  <c r="AK63" i="3"/>
  <c r="AK64" i="6"/>
  <c r="BC63" i="3"/>
  <c r="BC64" i="6"/>
  <c r="DH63" i="3"/>
  <c r="DH64" i="6"/>
  <c r="Y63" i="3"/>
  <c r="Y64" i="6"/>
  <c r="BS63" i="3"/>
  <c r="BS64" i="6"/>
  <c r="AS63" i="3"/>
  <c r="AS64" i="6"/>
  <c r="Q63" i="3"/>
  <c r="Q64" i="6"/>
  <c r="T63" i="3"/>
  <c r="T64" i="6"/>
  <c r="AL63" i="3"/>
  <c r="AL64" i="6"/>
  <c r="P63" i="3"/>
  <c r="P64" i="6"/>
  <c r="AH63" i="3"/>
  <c r="AH64" i="6"/>
  <c r="CI67" i="3"/>
  <c r="CI68" i="6"/>
  <c r="G67" i="3"/>
  <c r="G68" i="6"/>
  <c r="DB67" i="3"/>
  <c r="DB68" i="6"/>
  <c r="DK67" i="3"/>
  <c r="DK68" i="6"/>
  <c r="AB67" i="3"/>
  <c r="AB68" i="6"/>
  <c r="CT67" i="3"/>
  <c r="CT68" i="6"/>
  <c r="AC67" i="3"/>
  <c r="AC68" i="6"/>
  <c r="BK67" i="3"/>
  <c r="BK68" i="6"/>
  <c r="Y67" i="3"/>
  <c r="Y68" i="6"/>
  <c r="AN67" i="3"/>
  <c r="AN68" i="6"/>
  <c r="I67" i="3"/>
  <c r="I68" i="6"/>
  <c r="CQ67" i="3"/>
  <c r="CQ68" i="6"/>
  <c r="CM67" i="3"/>
  <c r="CM68" i="6"/>
  <c r="BT67" i="3"/>
  <c r="BT68" i="6"/>
  <c r="AQ67" i="3"/>
  <c r="AQ68" i="6"/>
  <c r="H67" i="3"/>
  <c r="H68" i="6"/>
  <c r="AZ67" i="3"/>
  <c r="AZ68" i="6"/>
  <c r="AS67" i="3"/>
  <c r="AS68" i="6"/>
  <c r="DE67" i="3"/>
  <c r="DE68" i="6"/>
  <c r="CW67" i="3"/>
  <c r="CW68" i="6"/>
  <c r="R67" i="3"/>
  <c r="R68" i="6"/>
  <c r="AE63" i="3"/>
  <c r="AE64" i="6"/>
  <c r="AV67" i="3"/>
  <c r="AV68" i="6"/>
  <c r="BU67" i="3"/>
  <c r="BU68" i="6"/>
  <c r="E5" i="3"/>
  <c r="E6" i="6"/>
  <c r="CM5" i="3"/>
  <c r="CM6" i="6"/>
  <c r="F5" i="3"/>
  <c r="F6" i="6"/>
  <c r="BG5" i="3"/>
  <c r="BG6" i="6"/>
  <c r="CU5" i="3"/>
  <c r="CU6" i="6"/>
  <c r="O5" i="3"/>
  <c r="O6" i="6"/>
  <c r="O3" i="6" s="1"/>
  <c r="O110" i="3"/>
  <c r="O111" i="6"/>
  <c r="CV110" i="3"/>
  <c r="CV111" i="6"/>
  <c r="DN110" i="3"/>
  <c r="DN111" i="6"/>
  <c r="W66" i="3"/>
  <c r="W67" i="6"/>
  <c r="C74" i="4"/>
  <c r="D78" i="1"/>
  <c r="G32" i="5" s="1"/>
  <c r="N63" i="3"/>
  <c r="N64" i="6" s="1"/>
  <c r="DJ63" i="3"/>
  <c r="DJ64" i="6" s="1"/>
  <c r="V63" i="3"/>
  <c r="V64" i="6" s="1"/>
  <c r="DK63" i="3"/>
  <c r="DK64" i="6" s="1"/>
  <c r="CO63" i="3"/>
  <c r="CO64" i="6" s="1"/>
  <c r="BD63" i="3"/>
  <c r="BD64" i="6" s="1"/>
  <c r="BH63" i="3"/>
  <c r="BH64" i="6" s="1"/>
  <c r="AN63" i="3"/>
  <c r="AN64" i="6" s="1"/>
  <c r="CC63" i="3"/>
  <c r="CC64" i="6" s="1"/>
  <c r="AT63" i="3"/>
  <c r="AT64" i="6" s="1"/>
  <c r="AB63" i="3"/>
  <c r="AB64" i="6" s="1"/>
  <c r="CQ63" i="3"/>
  <c r="CQ64" i="6" s="1"/>
  <c r="AD63" i="3"/>
  <c r="AD64" i="6" s="1"/>
  <c r="BW63" i="3"/>
  <c r="BW64" i="6" s="1"/>
  <c r="AG63" i="3"/>
  <c r="AG64" i="6" s="1"/>
  <c r="H63" i="3"/>
  <c r="H64" i="6" s="1"/>
  <c r="BT63" i="3"/>
  <c r="BT64" i="6" s="1"/>
  <c r="BN63" i="3"/>
  <c r="BN64" i="6" s="1"/>
  <c r="DD63" i="3"/>
  <c r="DD64" i="6" s="1"/>
  <c r="AX63" i="3"/>
  <c r="AX64" i="6" s="1"/>
  <c r="CJ63" i="3"/>
  <c r="CJ64" i="6" s="1"/>
  <c r="BW67" i="3"/>
  <c r="BW68" i="6" s="1"/>
  <c r="BX67" i="3"/>
  <c r="BX68" i="6" s="1"/>
  <c r="T67" i="3"/>
  <c r="T68" i="6" s="1"/>
  <c r="AJ67" i="3"/>
  <c r="AJ68" i="6" s="1"/>
  <c r="DG67" i="3"/>
  <c r="DG68" i="6" s="1"/>
  <c r="CB67" i="3"/>
  <c r="CB68" i="6" s="1"/>
  <c r="AI67" i="3"/>
  <c r="AI68" i="6" s="1"/>
  <c r="CS67" i="3"/>
  <c r="CS68" i="6" s="1"/>
  <c r="BS67" i="3"/>
  <c r="BS68" i="6" s="1"/>
  <c r="AH67" i="3"/>
  <c r="AH68" i="6" s="1"/>
  <c r="DN67" i="3"/>
  <c r="DN68" i="6" s="1"/>
  <c r="V67" i="3"/>
  <c r="V68" i="6" s="1"/>
  <c r="W67" i="3"/>
  <c r="W68" i="6" s="1"/>
  <c r="AT67" i="3"/>
  <c r="AT68" i="6" s="1"/>
  <c r="BJ67" i="3"/>
  <c r="BJ68" i="6" s="1"/>
  <c r="BE67" i="3"/>
  <c r="BE68" i="6" s="1"/>
  <c r="BH67" i="3"/>
  <c r="BH68" i="6" s="1"/>
  <c r="D67" i="3"/>
  <c r="D68" i="6" s="1"/>
  <c r="L67" i="3"/>
  <c r="L68" i="6" s="1"/>
  <c r="CE67" i="3"/>
  <c r="CE68" i="6" s="1"/>
  <c r="DH67" i="3"/>
  <c r="DH68" i="6" s="1"/>
  <c r="CA67" i="3"/>
  <c r="CA68" i="6" s="1"/>
  <c r="U63" i="3"/>
  <c r="U64" i="6" s="1"/>
  <c r="BP63" i="3"/>
  <c r="BP64" i="6" s="1"/>
  <c r="BG121" i="3"/>
  <c r="BG122" i="6" s="1"/>
  <c r="AY67" i="3"/>
  <c r="AY68" i="6" s="1"/>
  <c r="DQ5" i="3"/>
  <c r="DQ6" i="6" s="1"/>
  <c r="AJ5" i="3"/>
  <c r="AJ6" i="6" s="1"/>
  <c r="DB5" i="3"/>
  <c r="DB6" i="6" s="1"/>
  <c r="CK5" i="3"/>
  <c r="CK6" i="6" s="1"/>
  <c r="CH5" i="3"/>
  <c r="CH6" i="6" s="1"/>
  <c r="DM5" i="3"/>
  <c r="DM6" i="6" s="1"/>
  <c r="CQ110" i="3"/>
  <c r="CQ111" i="6" s="1"/>
  <c r="BD110" i="3"/>
  <c r="BD111" i="6" s="1"/>
  <c r="CM66" i="3"/>
  <c r="CM67" i="6" s="1"/>
  <c r="E66" i="3"/>
  <c r="E67" i="6" s="1"/>
  <c r="AA4" i="3"/>
  <c r="AA5" i="6" s="1"/>
  <c r="AI4" i="3"/>
  <c r="AI5" i="6" s="1"/>
  <c r="S119" i="3"/>
  <c r="S120" i="6" s="1"/>
  <c r="DE119" i="3"/>
  <c r="DE120" i="6" s="1"/>
  <c r="CK119" i="3"/>
  <c r="CK120" i="6" s="1"/>
  <c r="BM119" i="3"/>
  <c r="BM120" i="6" s="1"/>
  <c r="AS119" i="3"/>
  <c r="AS120" i="6" s="1"/>
  <c r="Y119" i="3"/>
  <c r="Y120" i="6" s="1"/>
  <c r="DN119" i="3"/>
  <c r="DN120" i="6" s="1"/>
  <c r="CM119" i="3"/>
  <c r="CM120" i="6" s="1"/>
  <c r="BL119" i="3"/>
  <c r="BL120" i="6" s="1"/>
  <c r="AF119" i="3"/>
  <c r="AF120" i="6" s="1"/>
  <c r="F119" i="3"/>
  <c r="F120" i="6" s="1"/>
  <c r="AM119" i="3"/>
  <c r="AM120" i="6" s="1"/>
  <c r="CD119" i="3"/>
  <c r="CD120" i="6" s="1"/>
  <c r="DL119" i="3"/>
  <c r="DL120" i="6" s="1"/>
  <c r="C120" i="6"/>
  <c r="DA119" i="3"/>
  <c r="DA120" i="6"/>
  <c r="CC119" i="3"/>
  <c r="CC120" i="6"/>
  <c r="BI119" i="3"/>
  <c r="BI120" i="6"/>
  <c r="AO119" i="3"/>
  <c r="AO120" i="6"/>
  <c r="Q119" i="3"/>
  <c r="Q120" i="6"/>
  <c r="DH119" i="3"/>
  <c r="DH120" i="6"/>
  <c r="CH119" i="3"/>
  <c r="CH120" i="6"/>
  <c r="BB119" i="3"/>
  <c r="BB120" i="6"/>
  <c r="AA119" i="3"/>
  <c r="AA120" i="6"/>
  <c r="J119" i="3"/>
  <c r="J120" i="6"/>
  <c r="AZ119" i="3"/>
  <c r="AZ120" i="6"/>
  <c r="CJ119" i="3"/>
  <c r="CJ120" i="6"/>
  <c r="CI119" i="3"/>
  <c r="CI120" i="6"/>
  <c r="DQ119" i="3"/>
  <c r="DQ120" i="6"/>
  <c r="CS119" i="3"/>
  <c r="CS120" i="6"/>
  <c r="BY119" i="3"/>
  <c r="BY120" i="6"/>
  <c r="BE119" i="3"/>
  <c r="BE120" i="6"/>
  <c r="AG119" i="3"/>
  <c r="AG120" i="6"/>
  <c r="M119" i="3"/>
  <c r="M120" i="6"/>
  <c r="DC119" i="3"/>
  <c r="DC120" i="6"/>
  <c r="BW119" i="3"/>
  <c r="BW120" i="6"/>
  <c r="AV119" i="3"/>
  <c r="AV120" i="6"/>
  <c r="V119" i="3"/>
  <c r="V120" i="6"/>
  <c r="X119" i="3"/>
  <c r="X120" i="6"/>
  <c r="BH119" i="3"/>
  <c r="BH120" i="6"/>
  <c r="CQ119" i="3"/>
  <c r="CQ120" i="6"/>
  <c r="BD119" i="3"/>
  <c r="BD120" i="6"/>
  <c r="CZ119" i="3"/>
  <c r="CZ120" i="6"/>
  <c r="DK119" i="3"/>
  <c r="DK120" i="6"/>
  <c r="BX119" i="3"/>
  <c r="BX120" i="6"/>
  <c r="CV119" i="3"/>
  <c r="CV120" i="6"/>
  <c r="AU119" i="3"/>
  <c r="AU120" i="6"/>
  <c r="AX119" i="3"/>
  <c r="AX120" i="6"/>
  <c r="G119" i="3"/>
  <c r="G120" i="6"/>
  <c r="CN119" i="3"/>
  <c r="CN120" i="6"/>
  <c r="K119" i="3"/>
  <c r="K120" i="6"/>
  <c r="I119" i="3"/>
  <c r="I120" i="6"/>
  <c r="CO119" i="3"/>
  <c r="CO120" i="6"/>
  <c r="AN119" i="3"/>
  <c r="AN120" i="6"/>
  <c r="AB119" i="3"/>
  <c r="AB120" i="6"/>
  <c r="BK119" i="3"/>
  <c r="BK120" i="6"/>
  <c r="DJ119" i="3"/>
  <c r="DJ120" i="6"/>
  <c r="AY119" i="3"/>
  <c r="AY120" i="6"/>
  <c r="CF119" i="3"/>
  <c r="CF120" i="6"/>
  <c r="CA119" i="3"/>
  <c r="CA120" i="6"/>
  <c r="AP119" i="3"/>
  <c r="AP120" i="6"/>
  <c r="DF119" i="3"/>
  <c r="DF120" i="6"/>
  <c r="AQ119" i="3"/>
  <c r="AQ120" i="6"/>
  <c r="AC119" i="3"/>
  <c r="AC120" i="6"/>
  <c r="DI119" i="3"/>
  <c r="DI120" i="6"/>
  <c r="AK48" i="3"/>
  <c r="AK49" i="6"/>
  <c r="Z48" i="3"/>
  <c r="Z49" i="6"/>
  <c r="AL48" i="3"/>
  <c r="AL49" i="6"/>
  <c r="AX48" i="3"/>
  <c r="AX49" i="6"/>
  <c r="BJ48" i="3"/>
  <c r="BJ49" i="6"/>
  <c r="CL48" i="3"/>
  <c r="CL49" i="6"/>
  <c r="CX48" i="3"/>
  <c r="CX49" i="6"/>
  <c r="DJ48" i="3"/>
  <c r="DJ49" i="6"/>
  <c r="G48" i="3"/>
  <c r="G49" i="6"/>
  <c r="S48" i="3"/>
  <c r="S49" i="6"/>
  <c r="AU48" i="3"/>
  <c r="AU49" i="6"/>
  <c r="BG48" i="3"/>
  <c r="BG49" i="6"/>
  <c r="BS48" i="3"/>
  <c r="BS49" i="6"/>
  <c r="CE48" i="3"/>
  <c r="CE49" i="6"/>
  <c r="DG48" i="3"/>
  <c r="DG49" i="6"/>
  <c r="N48" i="3"/>
  <c r="N49" i="6"/>
  <c r="AP48" i="3"/>
  <c r="AP49" i="6"/>
  <c r="BB48" i="3"/>
  <c r="BB49" i="6"/>
  <c r="BN48" i="3"/>
  <c r="BN49" i="6"/>
  <c r="BZ48" i="3"/>
  <c r="BZ49" i="6"/>
  <c r="DB48" i="3"/>
  <c r="DB49" i="6"/>
  <c r="DN48" i="3"/>
  <c r="DN49" i="6"/>
  <c r="K48" i="3"/>
  <c r="K49" i="6"/>
  <c r="W48" i="3"/>
  <c r="W49" i="6"/>
  <c r="AI48" i="3"/>
  <c r="AI49" i="6"/>
  <c r="BK48" i="3"/>
  <c r="BK49" i="6"/>
  <c r="BW48" i="3"/>
  <c r="BW49" i="6"/>
  <c r="CI48" i="3"/>
  <c r="CI49" i="6"/>
  <c r="CU48" i="3"/>
  <c r="CU49" i="6"/>
  <c r="F48" i="3"/>
  <c r="R48" i="3"/>
  <c r="R49" i="6" s="1"/>
  <c r="AD48" i="3"/>
  <c r="AD49" i="6" s="1"/>
  <c r="BF48" i="3"/>
  <c r="BF49" i="6" s="1"/>
  <c r="BR48" i="3"/>
  <c r="BR49" i="6" s="1"/>
  <c r="CD48" i="3"/>
  <c r="CD49" i="6" s="1"/>
  <c r="CP48" i="3"/>
  <c r="CP49" i="6" s="1"/>
  <c r="O48" i="3"/>
  <c r="O49" i="6" s="1"/>
  <c r="AA48" i="3"/>
  <c r="AA49" i="6" s="1"/>
  <c r="AM48" i="3"/>
  <c r="AM49" i="6" s="1"/>
  <c r="AY48" i="3"/>
  <c r="AY49" i="6" s="1"/>
  <c r="CA48" i="3"/>
  <c r="CA49" i="6" s="1"/>
  <c r="CM48" i="3"/>
  <c r="CM49" i="6" s="1"/>
  <c r="CY48" i="3"/>
  <c r="CY49" i="6" s="1"/>
  <c r="DK48" i="3"/>
  <c r="DK49" i="6" s="1"/>
  <c r="AK52" i="3"/>
  <c r="AK53" i="6" s="1"/>
  <c r="Q52" i="3"/>
  <c r="Q53" i="6" s="1"/>
  <c r="J52" i="3"/>
  <c r="J53" i="6" s="1"/>
  <c r="AL52" i="3"/>
  <c r="AL53" i="6" s="1"/>
  <c r="AX52" i="3"/>
  <c r="AX53" i="6" s="1"/>
  <c r="BJ52" i="3"/>
  <c r="BJ53" i="6" s="1"/>
  <c r="BV52" i="3"/>
  <c r="BV53" i="6" s="1"/>
  <c r="CX52" i="3"/>
  <c r="CX53" i="6" s="1"/>
  <c r="DJ52" i="3"/>
  <c r="DJ53" i="6" s="1"/>
  <c r="G52" i="3"/>
  <c r="G53" i="6" s="1"/>
  <c r="S52" i="3"/>
  <c r="S53" i="6" s="1"/>
  <c r="AE52" i="3"/>
  <c r="AE53" i="6" s="1"/>
  <c r="BG52" i="3"/>
  <c r="BG53" i="6" s="1"/>
  <c r="BS52" i="3"/>
  <c r="BS53" i="6" s="1"/>
  <c r="CE52" i="3"/>
  <c r="CE53" i="6" s="1"/>
  <c r="CQ52" i="3"/>
  <c r="CQ53" i="6" s="1"/>
  <c r="CV52" i="3"/>
  <c r="CV53" i="6" s="1"/>
  <c r="AW52" i="3"/>
  <c r="AW53" i="6" s="1"/>
  <c r="N52" i="3"/>
  <c r="N53" i="6" s="1"/>
  <c r="Z52" i="3"/>
  <c r="Z53" i="6" s="1"/>
  <c r="BB52" i="3"/>
  <c r="BB53" i="6" s="1"/>
  <c r="BN52" i="3"/>
  <c r="BN53" i="6" s="1"/>
  <c r="BZ52" i="3"/>
  <c r="BZ53" i="6" s="1"/>
  <c r="CL52" i="3"/>
  <c r="CL53" i="6" s="1"/>
  <c r="DN52" i="3"/>
  <c r="DN53" i="6" s="1"/>
  <c r="K52" i="3"/>
  <c r="K53" i="6" s="1"/>
  <c r="W52" i="3"/>
  <c r="W53" i="6" s="1"/>
  <c r="AI52" i="3"/>
  <c r="AI53" i="6" s="1"/>
  <c r="AU52" i="3"/>
  <c r="AU53" i="6" s="1"/>
  <c r="BW52" i="3"/>
  <c r="BW53" i="6" s="1"/>
  <c r="CI52" i="3"/>
  <c r="CI53" i="6" s="1"/>
  <c r="CU52" i="3"/>
  <c r="CU53" i="6" s="1"/>
  <c r="DG52" i="3"/>
  <c r="DG53" i="6" s="1"/>
  <c r="BI52" i="3"/>
  <c r="BI53" i="6" s="1"/>
  <c r="F52" i="3"/>
  <c r="F53" i="6" s="1"/>
  <c r="R52" i="3"/>
  <c r="R53" i="6" s="1"/>
  <c r="AD52" i="3"/>
  <c r="AD53" i="6" s="1"/>
  <c r="AP52" i="3"/>
  <c r="AP53" i="6" s="1"/>
  <c r="BR52" i="3"/>
  <c r="BR53" i="6" s="1"/>
  <c r="CD52" i="3"/>
  <c r="CD53" i="6" s="1"/>
  <c r="CP52" i="3"/>
  <c r="CP53" i="6" s="1"/>
  <c r="DB52" i="3"/>
  <c r="DB53" i="6" s="1"/>
  <c r="AA52" i="3"/>
  <c r="AA53" i="6" s="1"/>
  <c r="AM52" i="3"/>
  <c r="AM53" i="6" s="1"/>
  <c r="AY52" i="3"/>
  <c r="AY53" i="6" s="1"/>
  <c r="BK52" i="3"/>
  <c r="BK53" i="6" s="1"/>
  <c r="CM52" i="3"/>
  <c r="CM53" i="6" s="1"/>
  <c r="CY52" i="3"/>
  <c r="CY53" i="6" s="1"/>
  <c r="DK52" i="3"/>
  <c r="DK53" i="6" s="1"/>
  <c r="T85" i="3"/>
  <c r="T86" i="6" s="1"/>
  <c r="E85" i="3"/>
  <c r="E86" i="6" s="1"/>
  <c r="O85" i="3"/>
  <c r="O86" i="6" s="1"/>
  <c r="D85" i="3"/>
  <c r="AN85" i="3"/>
  <c r="AN86" i="6"/>
  <c r="CK85" i="3"/>
  <c r="CK86" i="6"/>
  <c r="BN85" i="3"/>
  <c r="BN86" i="6"/>
  <c r="CU85" i="3"/>
  <c r="CU86" i="6"/>
  <c r="BQ85" i="3"/>
  <c r="BQ86" i="6"/>
  <c r="DO85" i="3"/>
  <c r="DO86" i="6"/>
  <c r="BB85" i="3"/>
  <c r="BB86" i="6"/>
  <c r="AF85" i="3"/>
  <c r="AF86" i="6"/>
  <c r="BM85" i="3"/>
  <c r="BM86" i="6"/>
  <c r="CT85" i="3"/>
  <c r="CT86" i="6"/>
  <c r="BW85" i="3"/>
  <c r="BW86" i="6"/>
  <c r="CW85" i="3"/>
  <c r="CW86" i="6"/>
  <c r="CX85" i="3"/>
  <c r="CX86" i="6"/>
  <c r="BT85" i="3"/>
  <c r="BT86" i="6"/>
  <c r="DP85" i="3"/>
  <c r="DP86" i="6"/>
  <c r="DC85" i="3"/>
  <c r="DC86" i="6"/>
  <c r="G85" i="3"/>
  <c r="G86" i="6"/>
  <c r="C86" i="6"/>
  <c r="DM85" i="3"/>
  <c r="DM86" i="6" s="1"/>
  <c r="DN85" i="3"/>
  <c r="DN86" i="6" s="1"/>
  <c r="DG85" i="3"/>
  <c r="DG86" i="6" s="1"/>
  <c r="CZ85" i="3"/>
  <c r="CZ86" i="6" s="1"/>
  <c r="BE85" i="3"/>
  <c r="BE86" i="6" s="1"/>
  <c r="CL85" i="3"/>
  <c r="CL86" i="6" s="1"/>
  <c r="BO85" i="3"/>
  <c r="BO86" i="6" s="1"/>
  <c r="CO85" i="3"/>
  <c r="CO86" i="6" s="1"/>
  <c r="F85" i="3"/>
  <c r="F86" i="6" s="1"/>
  <c r="P85" i="3"/>
  <c r="P86" i="6" s="1"/>
  <c r="AZ85" i="3"/>
  <c r="AZ86" i="6" s="1"/>
  <c r="CS85" i="3"/>
  <c r="CS86" i="6" s="1"/>
  <c r="BV85" i="3"/>
  <c r="BV86" i="6" s="1"/>
  <c r="BL85" i="3"/>
  <c r="BL86" i="6" s="1"/>
  <c r="BY85" i="3"/>
  <c r="BY86" i="6" s="1"/>
  <c r="X85" i="3"/>
  <c r="X86" i="6" s="1"/>
  <c r="CN85" i="3"/>
  <c r="CN86" i="6" s="1"/>
  <c r="CG85" i="3"/>
  <c r="CG86" i="6" s="1"/>
  <c r="N85" i="3"/>
  <c r="N86" i="6" s="1"/>
  <c r="CC85" i="3"/>
  <c r="CC86" i="6" s="1"/>
  <c r="CH85" i="3"/>
  <c r="CH86" i="6" s="1"/>
  <c r="I85" i="3"/>
  <c r="I86" i="6" s="1"/>
  <c r="R85" i="3"/>
  <c r="R86" i="6" s="1"/>
  <c r="AM85" i="3"/>
  <c r="AM86" i="6" s="1"/>
  <c r="CJ85" i="3"/>
  <c r="CJ86" i="6" s="1"/>
  <c r="CV85" i="3"/>
  <c r="CV86" i="6" s="1"/>
  <c r="AY85" i="3"/>
  <c r="AY86" i="6" s="1"/>
  <c r="W85" i="3"/>
  <c r="W86" i="6" s="1"/>
  <c r="DA85" i="3"/>
  <c r="DA86" i="6" s="1"/>
  <c r="CR85" i="3"/>
  <c r="CR86" i="6" s="1"/>
  <c r="BF85" i="3"/>
  <c r="BF86" i="6" s="1"/>
  <c r="AK85" i="3"/>
  <c r="AK86" i="6" s="1"/>
  <c r="AB85" i="3"/>
  <c r="AB86" i="6" s="1"/>
  <c r="AJ85" i="3"/>
  <c r="AJ86" i="6" s="1"/>
  <c r="CE85" i="3"/>
  <c r="CE86" i="6" s="1"/>
  <c r="CY85" i="3"/>
  <c r="CY86" i="6" s="1"/>
  <c r="BS85" i="3"/>
  <c r="BS86" i="6" s="1"/>
  <c r="BI85" i="3"/>
  <c r="BI86" i="6" s="1"/>
  <c r="AH85" i="3"/>
  <c r="AH86" i="6" s="1"/>
  <c r="L85" i="3"/>
  <c r="L86" i="6" s="1"/>
  <c r="CM85" i="3"/>
  <c r="CM86" i="6" s="1"/>
  <c r="BH85" i="3"/>
  <c r="BH86" i="6" s="1"/>
  <c r="AG85" i="3"/>
  <c r="AG86" i="6" s="1"/>
  <c r="AR85" i="3"/>
  <c r="AR86" i="6" s="1"/>
  <c r="AE85" i="3"/>
  <c r="AE86" i="6" s="1"/>
  <c r="Q85" i="3"/>
  <c r="Q86" i="6" s="1"/>
  <c r="AP85" i="3"/>
  <c r="AP86" i="6" s="1"/>
  <c r="BZ85" i="3"/>
  <c r="BZ86" i="6" s="1"/>
  <c r="AD85" i="3"/>
  <c r="AD86" i="6" s="1"/>
  <c r="AX85" i="3"/>
  <c r="AX86" i="6" s="1"/>
  <c r="BR85" i="3"/>
  <c r="BR86" i="6" s="1"/>
  <c r="AW85" i="3"/>
  <c r="AW86" i="6" s="1"/>
  <c r="DJ85" i="3"/>
  <c r="DJ86" i="6" s="1"/>
  <c r="DF85" i="3"/>
  <c r="DF86" i="6" s="1"/>
  <c r="DL85" i="3"/>
  <c r="DL86" i="6" s="1"/>
  <c r="Z85" i="3"/>
  <c r="Z86" i="6" s="1"/>
  <c r="DD85" i="3"/>
  <c r="DD86" i="6" s="1"/>
  <c r="AT85" i="3"/>
  <c r="AT86" i="6" s="1"/>
  <c r="BD85" i="3"/>
  <c r="BD86" i="6" s="1"/>
  <c r="AU85" i="3"/>
  <c r="AU86" i="6" s="1"/>
  <c r="DH85" i="3"/>
  <c r="DH86" i="6" s="1"/>
  <c r="K85" i="3"/>
  <c r="K86" i="6" s="1"/>
  <c r="M85" i="3"/>
  <c r="M86" i="6" s="1"/>
  <c r="CB85" i="3"/>
  <c r="CB86" i="6" s="1"/>
  <c r="AO85" i="3"/>
  <c r="AO86" i="6" s="1"/>
  <c r="U85" i="3"/>
  <c r="U86" i="6" s="1"/>
  <c r="CQ85" i="3"/>
  <c r="CQ86" i="6" s="1"/>
  <c r="DB85" i="3"/>
  <c r="DB86" i="6" s="1"/>
  <c r="CP85" i="3"/>
  <c r="CP86" i="6" s="1"/>
  <c r="DI85" i="3"/>
  <c r="DI86" i="6" s="1"/>
  <c r="BG85" i="3"/>
  <c r="BG86" i="6" s="1"/>
  <c r="AL85" i="3"/>
  <c r="AL86" i="6" s="1"/>
  <c r="Y85" i="3"/>
  <c r="Y86" i="6" s="1"/>
  <c r="CD85" i="3"/>
  <c r="CD86" i="6" s="1"/>
  <c r="BA85" i="3"/>
  <c r="BA86" i="6" s="1"/>
  <c r="CI85" i="3"/>
  <c r="CI86" i="6" s="1"/>
  <c r="AI85" i="3"/>
  <c r="AI86" i="6" s="1"/>
  <c r="CA85" i="3"/>
  <c r="CA86" i="6" s="1"/>
  <c r="AQ85" i="3"/>
  <c r="AQ86" i="6" s="1"/>
  <c r="BX85" i="3"/>
  <c r="BX86" i="6" s="1"/>
  <c r="DK85" i="3"/>
  <c r="DK86" i="6" s="1"/>
  <c r="DE85" i="3"/>
  <c r="DE86" i="6" s="1"/>
  <c r="AV85" i="3"/>
  <c r="AV86" i="6" s="1"/>
  <c r="BK85" i="3"/>
  <c r="BK86" i="6" s="1"/>
  <c r="V85" i="3"/>
  <c r="V86" i="6" s="1"/>
  <c r="S85" i="3"/>
  <c r="S86" i="6" s="1"/>
  <c r="AC85" i="3"/>
  <c r="AC86" i="6" s="1"/>
  <c r="BP85" i="3"/>
  <c r="BP86" i="6" s="1"/>
  <c r="BS86" i="3"/>
  <c r="BS87" i="6" s="1"/>
  <c r="DO86" i="3"/>
  <c r="DO87" i="6" s="1"/>
  <c r="CB86" i="3"/>
  <c r="CB87" i="6" s="1"/>
  <c r="M86" i="3"/>
  <c r="M87" i="6" s="1"/>
  <c r="AQ86" i="3"/>
  <c r="AQ87" i="6" s="1"/>
  <c r="AT86" i="3"/>
  <c r="AT87" i="6" s="1"/>
  <c r="CO86" i="3"/>
  <c r="CO87" i="6" s="1"/>
  <c r="BH102" i="3"/>
  <c r="BH103" i="6" s="1"/>
  <c r="F102" i="3"/>
  <c r="F103" i="6" s="1"/>
  <c r="AB102" i="3"/>
  <c r="AB103" i="6" s="1"/>
  <c r="CT102" i="3"/>
  <c r="CT103" i="6" s="1"/>
  <c r="DF102" i="3"/>
  <c r="DF103" i="6"/>
  <c r="CN102" i="3"/>
  <c r="CN103" i="6" s="1"/>
  <c r="AW102" i="3"/>
  <c r="AW103" i="6" s="1"/>
  <c r="R102" i="3"/>
  <c r="R103" i="6" s="1"/>
  <c r="CO102" i="3"/>
  <c r="CO103" i="6" s="1"/>
  <c r="BF102" i="3"/>
  <c r="BF103" i="6" s="1"/>
  <c r="BT102" i="3"/>
  <c r="BT103" i="6" s="1"/>
  <c r="DA102" i="3"/>
  <c r="DA103" i="6" s="1"/>
  <c r="CZ102" i="3"/>
  <c r="CZ103" i="6" s="1"/>
  <c r="AK102" i="3"/>
  <c r="AK103" i="6" s="1"/>
  <c r="DK102" i="3"/>
  <c r="DK103" i="6" s="1"/>
  <c r="CV102" i="3"/>
  <c r="CV103" i="6" s="1"/>
  <c r="AA102" i="3"/>
  <c r="AA103" i="6"/>
  <c r="BA102" i="3"/>
  <c r="BA103" i="6" s="1"/>
  <c r="L102" i="3"/>
  <c r="L103" i="6" s="1"/>
  <c r="O102" i="3"/>
  <c r="O103" i="6" s="1"/>
  <c r="AV102" i="3"/>
  <c r="AV103" i="6"/>
  <c r="N102" i="3"/>
  <c r="N103" i="6" s="1"/>
  <c r="DH102" i="3"/>
  <c r="DH103" i="6" s="1"/>
  <c r="CA102" i="3"/>
  <c r="CA103" i="6" s="1"/>
  <c r="X102" i="3"/>
  <c r="X103" i="6"/>
  <c r="CE102" i="3"/>
  <c r="CE103" i="6" s="1"/>
  <c r="CX102" i="3"/>
  <c r="CX103" i="6" s="1"/>
  <c r="AU102" i="3"/>
  <c r="AU103" i="6" s="1"/>
  <c r="E102" i="3"/>
  <c r="E103" i="6"/>
  <c r="BQ102" i="3"/>
  <c r="BQ103" i="6" s="1"/>
  <c r="V102" i="3"/>
  <c r="V103" i="6" s="1"/>
  <c r="BC102" i="3"/>
  <c r="BC103" i="6" s="1"/>
  <c r="CH102" i="3"/>
  <c r="CH103" i="6"/>
  <c r="S102" i="3"/>
  <c r="S103" i="6" s="1"/>
  <c r="CF102" i="3"/>
  <c r="CF103" i="6" s="1"/>
  <c r="AZ102" i="3"/>
  <c r="AZ103" i="6" s="1"/>
  <c r="T102" i="3"/>
  <c r="T103" i="6"/>
  <c r="CU102" i="3"/>
  <c r="CU103" i="6" s="1"/>
  <c r="BE102" i="3"/>
  <c r="BE103" i="6" s="1"/>
  <c r="BN102" i="3"/>
  <c r="BN103" i="6" s="1"/>
  <c r="U102" i="3"/>
  <c r="U103" i="6"/>
  <c r="CL102" i="3"/>
  <c r="CL103" i="6" s="1"/>
  <c r="AL102" i="3"/>
  <c r="AL103" i="6" s="1"/>
  <c r="W102" i="3"/>
  <c r="W103" i="6" s="1"/>
  <c r="BB102" i="3"/>
  <c r="BB103" i="6"/>
  <c r="CI102" i="3"/>
  <c r="CI103" i="6" s="1"/>
  <c r="AF102" i="3"/>
  <c r="AF103" i="6" s="1"/>
  <c r="AO102" i="3"/>
  <c r="AO103" i="6" s="1"/>
  <c r="DE102" i="3"/>
  <c r="DE103" i="6"/>
  <c r="DL102" i="3"/>
  <c r="DL103" i="6" s="1"/>
  <c r="AH102" i="3"/>
  <c r="AH103" i="6" s="1"/>
  <c r="CP102" i="3"/>
  <c r="CP103" i="6" s="1"/>
  <c r="CB102" i="3"/>
  <c r="CB103" i="6"/>
  <c r="Y102" i="3"/>
  <c r="Y103" i="6" s="1"/>
  <c r="CC102" i="3"/>
  <c r="CC103" i="6" s="1"/>
  <c r="G102" i="3"/>
  <c r="G103" i="6" s="1"/>
  <c r="AE102" i="3"/>
  <c r="AE103" i="6"/>
  <c r="BM102" i="3"/>
  <c r="BM103" i="6" s="1"/>
  <c r="CY102" i="3"/>
  <c r="CY103" i="6" s="1"/>
  <c r="BO102" i="3"/>
  <c r="BO103" i="6" s="1"/>
  <c r="BY102" i="3"/>
  <c r="BY103" i="6"/>
  <c r="AM102" i="3"/>
  <c r="AM103" i="6" s="1"/>
  <c r="DD102" i="3"/>
  <c r="DD103" i="6" s="1"/>
  <c r="BD102" i="3"/>
  <c r="BD103" i="6" s="1"/>
  <c r="H102" i="3"/>
  <c r="H103" i="6"/>
  <c r="CG102" i="3"/>
  <c r="CG103" i="6" s="1"/>
  <c r="DG102" i="3"/>
  <c r="DG103" i="6" s="1"/>
  <c r="BL102" i="3"/>
  <c r="BL103" i="6" s="1"/>
  <c r="BW102" i="3"/>
  <c r="BW103" i="6"/>
  <c r="AR102" i="3"/>
  <c r="AR103" i="6" s="1"/>
  <c r="CM102" i="3"/>
  <c r="CM103" i="6" s="1"/>
  <c r="AG102" i="3"/>
  <c r="AG103" i="6" s="1"/>
  <c r="BG102" i="3"/>
  <c r="BG103" i="6"/>
  <c r="P102" i="3"/>
  <c r="P103" i="6" s="1"/>
  <c r="DP102" i="3"/>
  <c r="DP103" i="6" s="1"/>
  <c r="AD102" i="3"/>
  <c r="AD103" i="6" s="1"/>
  <c r="AN102" i="3"/>
  <c r="AN103" i="6"/>
  <c r="Z102" i="3"/>
  <c r="Z103" i="6" s="1"/>
  <c r="DI102" i="3"/>
  <c r="DI103" i="6" s="1"/>
  <c r="AJ102" i="3"/>
  <c r="AJ103" i="6" s="1"/>
  <c r="AP102" i="3"/>
  <c r="AP103" i="6"/>
  <c r="BR102" i="3"/>
  <c r="BR103" i="6" s="1"/>
  <c r="K102" i="3"/>
  <c r="K103" i="6" s="1"/>
  <c r="DJ102" i="3"/>
  <c r="DJ103" i="6" s="1"/>
  <c r="BX102" i="3"/>
  <c r="BX103" i="6"/>
  <c r="CD102" i="3"/>
  <c r="CD103" i="6" s="1"/>
  <c r="CR102" i="3"/>
  <c r="CR103" i="6" s="1"/>
  <c r="CS102" i="3"/>
  <c r="CS103" i="6" s="1"/>
  <c r="AX102" i="3"/>
  <c r="AX103" i="6"/>
  <c r="DQ102" i="3"/>
  <c r="DQ103" i="6" s="1"/>
  <c r="DN102" i="3"/>
  <c r="DN103" i="6" s="1"/>
  <c r="AS102" i="3"/>
  <c r="AS103" i="6" s="1"/>
  <c r="AI102" i="3"/>
  <c r="AI103" i="6"/>
  <c r="DM102" i="3"/>
  <c r="DM103" i="6" s="1"/>
  <c r="DC102" i="3"/>
  <c r="DC103" i="6" s="1"/>
  <c r="CW102" i="3"/>
  <c r="CW103" i="6" s="1"/>
  <c r="CN108" i="3"/>
  <c r="CN109" i="6"/>
  <c r="DF108" i="3"/>
  <c r="DF109" i="6" s="1"/>
  <c r="AK108" i="3"/>
  <c r="AK109" i="6" s="1"/>
  <c r="K108" i="3"/>
  <c r="K109" i="6" s="1"/>
  <c r="S108" i="3"/>
  <c r="S109" i="6"/>
  <c r="AT108" i="3"/>
  <c r="AT109" i="6" s="1"/>
  <c r="BT108" i="3"/>
  <c r="BT109" i="6" s="1"/>
  <c r="D108" i="3"/>
  <c r="AI108" i="3"/>
  <c r="AI109" i="6"/>
  <c r="CA108" i="3"/>
  <c r="CA109" i="6" s="1"/>
  <c r="CX108" i="3"/>
  <c r="CX109" i="6"/>
  <c r="BR108" i="3"/>
  <c r="BR109" i="6"/>
  <c r="AL108" i="3"/>
  <c r="AL109" i="6"/>
  <c r="F108" i="3"/>
  <c r="F109" i="6" s="1"/>
  <c r="CC108" i="3"/>
  <c r="CC109" i="6"/>
  <c r="AM108" i="3"/>
  <c r="AM109" i="6"/>
  <c r="DH108" i="3"/>
  <c r="DH109" i="6"/>
  <c r="BQ108" i="3"/>
  <c r="BQ109" i="6" s="1"/>
  <c r="AA108" i="3"/>
  <c r="AA109" i="6"/>
  <c r="CE108" i="3"/>
  <c r="CE109" i="6"/>
  <c r="DL108" i="3"/>
  <c r="DL109" i="6"/>
  <c r="AE108" i="3"/>
  <c r="AE109" i="6" s="1"/>
  <c r="BP108" i="3"/>
  <c r="BP109" i="6"/>
  <c r="O108" i="3"/>
  <c r="O109" i="6"/>
  <c r="CD108" i="3"/>
  <c r="CD109" i="6"/>
  <c r="AP108" i="3"/>
  <c r="AP109" i="6" s="1"/>
  <c r="DI108" i="3"/>
  <c r="DI109" i="6"/>
  <c r="AB108" i="3"/>
  <c r="AB109" i="6"/>
  <c r="CG108" i="3"/>
  <c r="CG109" i="6"/>
  <c r="AF108" i="3"/>
  <c r="AF109" i="6" s="1"/>
  <c r="BI108" i="3"/>
  <c r="BI109" i="6"/>
  <c r="BK108" i="3"/>
  <c r="BK109" i="6"/>
  <c r="DE108" i="3"/>
  <c r="DE109" i="6"/>
  <c r="BD108" i="3"/>
  <c r="BD109" i="6" s="1"/>
  <c r="C109" i="6"/>
  <c r="BF108" i="3"/>
  <c r="BF109" i="6" s="1"/>
  <c r="AW108" i="3"/>
  <c r="AW109" i="6" s="1"/>
  <c r="CB108" i="3"/>
  <c r="CB109" i="6"/>
  <c r="DA108" i="3"/>
  <c r="DA109" i="6" s="1"/>
  <c r="AU108" i="3"/>
  <c r="AU109" i="6" s="1"/>
  <c r="Z108" i="3"/>
  <c r="Z109" i="6" s="1"/>
  <c r="DO108" i="3"/>
  <c r="DO109" i="6"/>
  <c r="T108" i="3"/>
  <c r="T109" i="6" s="1"/>
  <c r="CV108" i="3"/>
  <c r="CV109" i="6" s="1"/>
  <c r="CF108" i="3"/>
  <c r="CF109" i="6" s="1"/>
  <c r="G108" i="3"/>
  <c r="G109" i="6"/>
  <c r="CU108" i="3"/>
  <c r="CU109" i="6" s="1"/>
  <c r="CJ108" i="3"/>
  <c r="CJ109" i="6" s="1"/>
  <c r="DQ108" i="3"/>
  <c r="DQ109" i="6" s="1"/>
  <c r="CK108" i="3"/>
  <c r="CK109" i="6"/>
  <c r="DP108" i="3"/>
  <c r="DP109" i="6" s="1"/>
  <c r="DN108" i="3"/>
  <c r="DN109" i="6" s="1"/>
  <c r="CH108" i="3"/>
  <c r="CH109" i="6" s="1"/>
  <c r="BB108" i="3"/>
  <c r="BB109" i="6"/>
  <c r="V108" i="3"/>
  <c r="V109" i="6" s="1"/>
  <c r="CY108" i="3"/>
  <c r="CY109" i="6" s="1"/>
  <c r="BH108" i="3"/>
  <c r="BH109" i="6" s="1"/>
  <c r="Q108" i="3"/>
  <c r="Q109" i="6"/>
  <c r="CM108" i="3"/>
  <c r="CM109" i="6" s="1"/>
  <c r="AV108" i="3"/>
  <c r="AV109" i="6" s="1"/>
  <c r="E108" i="3"/>
  <c r="E109" i="6" s="1"/>
  <c r="AN108" i="3"/>
  <c r="AN109" i="6"/>
  <c r="BU108" i="3"/>
  <c r="BU109" i="6" s="1"/>
  <c r="AS108" i="3"/>
  <c r="AS109" i="6" s="1"/>
  <c r="M108" i="3"/>
  <c r="M109" i="6" s="1"/>
  <c r="DB108" i="3"/>
  <c r="DB109" i="6"/>
  <c r="BJ108" i="3"/>
  <c r="BJ109" i="6" s="1"/>
  <c r="R108" i="3"/>
  <c r="R109" i="6" s="1"/>
  <c r="BC108" i="3"/>
  <c r="BC109" i="6" s="1"/>
  <c r="DM108" i="3"/>
  <c r="DM109" i="6"/>
  <c r="BG108" i="3"/>
  <c r="BG109" i="6" s="1"/>
  <c r="DK108" i="3"/>
  <c r="DK109" i="6" s="1"/>
  <c r="H108" i="3"/>
  <c r="H109" i="6" s="1"/>
  <c r="I108" i="3"/>
  <c r="I109" i="6"/>
  <c r="DG108" i="3"/>
  <c r="DG109" i="6" s="1"/>
  <c r="AJ108" i="3"/>
  <c r="AJ109" i="6" s="1"/>
  <c r="AH108" i="3"/>
  <c r="AH109" i="6" s="1"/>
  <c r="BX108" i="3"/>
  <c r="BX109" i="6"/>
  <c r="BA108" i="3"/>
  <c r="BA109" i="6" s="1"/>
  <c r="AY108" i="3"/>
  <c r="AY109" i="6" s="1"/>
  <c r="CR108" i="3"/>
  <c r="CR109" i="6" s="1"/>
  <c r="BZ108" i="3"/>
  <c r="BZ109" i="6"/>
  <c r="U108" i="3"/>
  <c r="U109" i="6" s="1"/>
  <c r="X108" i="3"/>
  <c r="X109" i="6" s="1"/>
  <c r="DJ108" i="3"/>
  <c r="DJ109" i="6" s="1"/>
  <c r="AD108" i="3"/>
  <c r="AD109" i="6"/>
  <c r="AR108" i="3"/>
  <c r="AR109" i="6" s="1"/>
  <c r="AQ108" i="3"/>
  <c r="AQ109" i="6" s="1"/>
  <c r="CQ108" i="3"/>
  <c r="CQ109" i="6" s="1"/>
  <c r="BM108" i="3"/>
  <c r="BM109" i="6"/>
  <c r="CI108" i="3"/>
  <c r="CI109" i="6" s="1"/>
  <c r="W108" i="3"/>
  <c r="W109" i="6" s="1"/>
  <c r="CZ108" i="3"/>
  <c r="CZ109" i="6" s="1"/>
  <c r="Y108" i="3"/>
  <c r="Y109" i="6"/>
  <c r="CP108" i="3"/>
  <c r="CP109" i="6" s="1"/>
  <c r="J108" i="3"/>
  <c r="J109" i="6" s="1"/>
  <c r="L108" i="3"/>
  <c r="L109" i="6" s="1"/>
  <c r="P108" i="3"/>
  <c r="P109" i="6"/>
  <c r="AO108" i="3"/>
  <c r="AO109" i="6" s="1"/>
  <c r="CT108" i="3"/>
  <c r="CT109" i="6" s="1"/>
  <c r="BE108" i="3"/>
  <c r="BE109" i="6" s="1"/>
  <c r="BS108" i="3"/>
  <c r="BS109" i="6"/>
  <c r="AC108" i="3"/>
  <c r="AC109" i="6" s="1"/>
  <c r="BN108" i="3"/>
  <c r="BN109" i="6" s="1"/>
  <c r="N108" i="3"/>
  <c r="N109" i="6" s="1"/>
  <c r="BV108" i="3"/>
  <c r="BV109" i="6"/>
  <c r="CW108" i="3"/>
  <c r="CW109" i="6" s="1"/>
  <c r="BO108" i="3"/>
  <c r="BO109" i="6" s="1"/>
  <c r="AG108" i="3"/>
  <c r="AG109" i="6" s="1"/>
  <c r="BL108" i="3"/>
  <c r="BL109" i="6"/>
  <c r="DD108" i="3"/>
  <c r="DD109" i="6" s="1"/>
  <c r="AZ108" i="3"/>
  <c r="AZ109" i="6" s="1"/>
  <c r="AX108" i="3"/>
  <c r="AX109" i="6" s="1"/>
  <c r="BW108" i="3"/>
  <c r="BW109" i="6"/>
  <c r="CL108" i="3"/>
  <c r="CL109" i="6" s="1"/>
  <c r="CO108" i="3"/>
  <c r="CO109" i="6" s="1"/>
  <c r="DC108" i="3"/>
  <c r="DC109" i="6" s="1"/>
  <c r="BY108" i="3"/>
  <c r="BY109" i="6"/>
  <c r="CS108" i="3"/>
  <c r="CS109" i="6" s="1"/>
  <c r="CS112" i="3"/>
  <c r="CS113" i="6" s="1"/>
  <c r="CU112" i="3"/>
  <c r="CU113" i="6" s="1"/>
  <c r="DH112" i="3"/>
  <c r="DH113" i="6"/>
  <c r="O112" i="3"/>
  <c r="O113" i="6" s="1"/>
  <c r="AY112" i="3"/>
  <c r="AY113" i="6" s="1"/>
  <c r="H112" i="3"/>
  <c r="H113" i="6" s="1"/>
  <c r="D112" i="3"/>
  <c r="AN112" i="3"/>
  <c r="AN113" i="6" s="1"/>
  <c r="AZ112" i="3"/>
  <c r="AZ113" i="6"/>
  <c r="AU112" i="3"/>
  <c r="AU113" i="6"/>
  <c r="BQ112" i="3"/>
  <c r="BQ113" i="6"/>
  <c r="DO112" i="3"/>
  <c r="DO113" i="6" s="1"/>
  <c r="BJ112" i="3"/>
  <c r="BJ113" i="6"/>
  <c r="Z112" i="3"/>
  <c r="Z113" i="6"/>
  <c r="AM112" i="3"/>
  <c r="AM113" i="6"/>
  <c r="AA112" i="3"/>
  <c r="AA113" i="6" s="1"/>
  <c r="BP112" i="3"/>
  <c r="BP113" i="6"/>
  <c r="BG112" i="3"/>
  <c r="BG113" i="6"/>
  <c r="BO112" i="3"/>
  <c r="BO113" i="6"/>
  <c r="J112" i="3"/>
  <c r="J113" i="6" s="1"/>
  <c r="DJ112" i="3"/>
  <c r="DJ113" i="6"/>
  <c r="DM112" i="3"/>
  <c r="DM113" i="6"/>
  <c r="BM112" i="3"/>
  <c r="BM113" i="6"/>
  <c r="AD112" i="3"/>
  <c r="AD113" i="6" s="1"/>
  <c r="BH112" i="3"/>
  <c r="BH113" i="6"/>
  <c r="BR112" i="3"/>
  <c r="BR113" i="6"/>
  <c r="W112" i="3"/>
  <c r="W113" i="6"/>
  <c r="P112" i="3"/>
  <c r="P113" i="6" s="1"/>
  <c r="DN112" i="3"/>
  <c r="DN113" i="6"/>
  <c r="CG112" i="3"/>
  <c r="CG113" i="6"/>
  <c r="AO112" i="3"/>
  <c r="AO113" i="6"/>
  <c r="CH112" i="3"/>
  <c r="CH113" i="6" s="1"/>
  <c r="CL112" i="3"/>
  <c r="CL113" i="6"/>
  <c r="I112" i="3"/>
  <c r="I113" i="6"/>
  <c r="Y112" i="3"/>
  <c r="Y113" i="6"/>
  <c r="AB112" i="3"/>
  <c r="AB113" i="6" s="1"/>
  <c r="CE112" i="3"/>
  <c r="CE113" i="6"/>
  <c r="CN112" i="3"/>
  <c r="CN113" i="6"/>
  <c r="BL112" i="3"/>
  <c r="BL113" i="6"/>
  <c r="L112" i="3"/>
  <c r="L113" i="6" s="1"/>
  <c r="M112" i="3"/>
  <c r="M113" i="6"/>
  <c r="DP112" i="3"/>
  <c r="DP113" i="6"/>
  <c r="CQ112" i="3"/>
  <c r="CQ113" i="6"/>
  <c r="AQ112" i="3"/>
  <c r="AQ113" i="6" s="1"/>
  <c r="BE112" i="3"/>
  <c r="BE113" i="6"/>
  <c r="BN112" i="3"/>
  <c r="BN113" i="6"/>
  <c r="CC112" i="3"/>
  <c r="CC113" i="6"/>
  <c r="CD112" i="3"/>
  <c r="CD113" i="6" s="1"/>
  <c r="CB112" i="3"/>
  <c r="CB113" i="6"/>
  <c r="AG112" i="3"/>
  <c r="AG113" i="6"/>
  <c r="AC112" i="3"/>
  <c r="AC113" i="6"/>
  <c r="BT112" i="3"/>
  <c r="BT113" i="6" s="1"/>
  <c r="X112" i="3"/>
  <c r="X113" i="6"/>
  <c r="Q112" i="3"/>
  <c r="Q113" i="6"/>
  <c r="BX112" i="3"/>
  <c r="BX113" i="6"/>
  <c r="CA112" i="3"/>
  <c r="CA113" i="6" s="1"/>
  <c r="CF112" i="3"/>
  <c r="CF113" i="6"/>
  <c r="C113" i="6"/>
  <c r="AK112" i="3"/>
  <c r="AK113" i="6" s="1"/>
  <c r="G112" i="3"/>
  <c r="G113" i="6"/>
  <c r="CV112" i="3"/>
  <c r="CV113" i="6" s="1"/>
  <c r="R112" i="3"/>
  <c r="R113" i="6" s="1"/>
  <c r="AI112" i="3"/>
  <c r="AI113" i="6" s="1"/>
  <c r="DL112" i="3"/>
  <c r="DL113" i="6"/>
  <c r="BC112" i="3"/>
  <c r="BC113" i="6" s="1"/>
  <c r="V112" i="3"/>
  <c r="V113" i="6" s="1"/>
  <c r="AE112" i="3"/>
  <c r="AE113" i="6" s="1"/>
  <c r="E112" i="3"/>
  <c r="E113" i="6"/>
  <c r="DE112" i="3"/>
  <c r="DE113" i="6" s="1"/>
  <c r="CX112" i="3"/>
  <c r="CX113" i="6" s="1"/>
  <c r="F112" i="3"/>
  <c r="F113" i="6" s="1"/>
  <c r="DD112" i="3"/>
  <c r="DD113" i="6"/>
  <c r="AF112" i="3"/>
  <c r="AF113" i="6" s="1"/>
  <c r="CM112" i="3"/>
  <c r="CM113" i="6" s="1"/>
  <c r="CP112" i="3"/>
  <c r="CP113" i="6" s="1"/>
  <c r="AL112" i="3"/>
  <c r="AL113" i="6"/>
  <c r="CR112" i="3"/>
  <c r="CR113" i="6" s="1"/>
  <c r="DK112" i="3"/>
  <c r="DK113" i="6" s="1"/>
  <c r="S112" i="3"/>
  <c r="S113" i="6" s="1"/>
  <c r="T112" i="3"/>
  <c r="T113" i="6"/>
  <c r="K112" i="3"/>
  <c r="K113" i="6" s="1"/>
  <c r="BD112" i="3"/>
  <c r="BD113" i="6" s="1"/>
  <c r="CJ112" i="3"/>
  <c r="CJ113" i="6" s="1"/>
  <c r="CK112" i="3"/>
  <c r="CK113" i="6"/>
  <c r="N112" i="3"/>
  <c r="N113" i="6" s="1"/>
  <c r="BA112" i="3"/>
  <c r="BA113" i="6" s="1"/>
  <c r="AV112" i="3"/>
  <c r="AV113" i="6" s="1"/>
  <c r="AS112" i="3"/>
  <c r="AS113" i="6"/>
  <c r="CW112" i="3"/>
  <c r="CW113" i="6" s="1"/>
  <c r="AT112" i="3"/>
  <c r="AT113" i="6" s="1"/>
  <c r="CY112" i="3"/>
  <c r="CY113" i="6" s="1"/>
  <c r="DA112" i="3"/>
  <c r="DA113" i="6"/>
  <c r="DF112" i="3"/>
  <c r="DF113" i="6" s="1"/>
  <c r="BY112" i="3"/>
  <c r="BY113" i="6" s="1"/>
  <c r="BW112" i="3"/>
  <c r="BW113" i="6" s="1"/>
  <c r="AR112" i="3"/>
  <c r="AR113" i="6"/>
  <c r="CO112" i="3"/>
  <c r="CO113" i="6" s="1"/>
  <c r="BZ112" i="3"/>
  <c r="BZ113" i="6" s="1"/>
  <c r="CT112" i="3"/>
  <c r="CT113" i="6" s="1"/>
  <c r="BU112" i="3"/>
  <c r="BU113" i="6"/>
  <c r="AX112" i="3"/>
  <c r="AX113" i="6" s="1"/>
  <c r="BF112" i="3"/>
  <c r="BF113" i="6" s="1"/>
  <c r="BS112" i="3"/>
  <c r="BS113" i="6" s="1"/>
  <c r="DG112" i="3"/>
  <c r="DG113" i="6"/>
  <c r="AP112" i="3"/>
  <c r="AP113" i="6" s="1"/>
  <c r="DI112" i="3"/>
  <c r="DI113" i="6" s="1"/>
  <c r="AW112" i="3"/>
  <c r="AW113" i="6" s="1"/>
  <c r="CI112" i="3"/>
  <c r="CI113" i="6"/>
  <c r="BI112" i="3"/>
  <c r="BI113" i="6" s="1"/>
  <c r="BK112" i="3"/>
  <c r="BK113" i="6" s="1"/>
  <c r="CZ112" i="3"/>
  <c r="CZ113" i="6" s="1"/>
  <c r="AJ112" i="3"/>
  <c r="AJ113" i="6"/>
  <c r="DB112" i="3"/>
  <c r="DB113" i="6" s="1"/>
  <c r="DC112" i="3"/>
  <c r="DC113" i="6" s="1"/>
  <c r="AH112" i="3"/>
  <c r="AH113" i="6" s="1"/>
  <c r="BB112" i="3"/>
  <c r="BB113" i="6"/>
  <c r="BV112" i="3"/>
  <c r="BV113" i="6" s="1"/>
  <c r="AR121" i="3"/>
  <c r="AR122" i="6" s="1"/>
  <c r="BI121" i="3"/>
  <c r="BI122" i="6" s="1"/>
  <c r="BX121" i="3"/>
  <c r="BX122" i="6"/>
  <c r="BM121" i="3"/>
  <c r="BM122" i="6" s="1"/>
  <c r="AS121" i="3"/>
  <c r="AS122" i="6" s="1"/>
  <c r="J121" i="3"/>
  <c r="J122" i="6" s="1"/>
  <c r="R121" i="3"/>
  <c r="R122" i="6"/>
  <c r="AE121" i="3"/>
  <c r="AE122" i="6" s="1"/>
  <c r="BW121" i="3"/>
  <c r="BW122" i="6" s="1"/>
  <c r="C122" i="6"/>
  <c r="CM121" i="3"/>
  <c r="CM122" i="6"/>
  <c r="AX121" i="3"/>
  <c r="AX122" i="6" s="1"/>
  <c r="G121" i="3"/>
  <c r="G122" i="6"/>
  <c r="H121" i="3"/>
  <c r="H122" i="6"/>
  <c r="CL121" i="3"/>
  <c r="CL122" i="6"/>
  <c r="CP121" i="3"/>
  <c r="CP122" i="6" s="1"/>
  <c r="AI121" i="3"/>
  <c r="AI122" i="6"/>
  <c r="AK121" i="3"/>
  <c r="AK122" i="6"/>
  <c r="CI86" i="3"/>
  <c r="CI87" i="6"/>
  <c r="CM86" i="3"/>
  <c r="CM87" i="6" s="1"/>
  <c r="DM86" i="3"/>
  <c r="DM87" i="6"/>
  <c r="AH86" i="3"/>
  <c r="AH87" i="6"/>
  <c r="DP86" i="3"/>
  <c r="DP87" i="6"/>
  <c r="BN86" i="3"/>
  <c r="BN87" i="6" s="1"/>
  <c r="CJ86" i="3"/>
  <c r="CJ87" i="6"/>
  <c r="CC86" i="3"/>
  <c r="CC87" i="6"/>
  <c r="I86" i="3"/>
  <c r="I87" i="6"/>
  <c r="DD86" i="3"/>
  <c r="DD87" i="6" s="1"/>
  <c r="CZ86" i="3"/>
  <c r="CZ87" i="6"/>
  <c r="DJ86" i="3"/>
  <c r="DJ87" i="6"/>
  <c r="AX86" i="3"/>
  <c r="AX87" i="6"/>
  <c r="CW86" i="3"/>
  <c r="CW87" i="6" s="1"/>
  <c r="Q86" i="3"/>
  <c r="Q87" i="6"/>
  <c r="CU86" i="3"/>
  <c r="CU87" i="6"/>
  <c r="CP86" i="3"/>
  <c r="CP87" i="6"/>
  <c r="AD86" i="3"/>
  <c r="AD87" i="6" s="1"/>
  <c r="E86" i="3"/>
  <c r="E87" i="6"/>
  <c r="BM86" i="3"/>
  <c r="BM87" i="6"/>
  <c r="AU86" i="3"/>
  <c r="AU87" i="6"/>
  <c r="DG86" i="3"/>
  <c r="DG87" i="6" s="1"/>
  <c r="AP86" i="3"/>
  <c r="AP87" i="6"/>
  <c r="CK86" i="3"/>
  <c r="CK87" i="6"/>
  <c r="AY86" i="3"/>
  <c r="AY87" i="6"/>
  <c r="CX86" i="3"/>
  <c r="CX87" i="6" s="1"/>
  <c r="BB86" i="3"/>
  <c r="BB87" i="6"/>
  <c r="J86" i="3"/>
  <c r="J87" i="6"/>
  <c r="CE86" i="3"/>
  <c r="CE87" i="6"/>
  <c r="BQ86" i="3"/>
  <c r="BQ87" i="6" s="1"/>
  <c r="U86" i="3"/>
  <c r="U87" i="6"/>
  <c r="L86" i="3"/>
  <c r="L87" i="6"/>
  <c r="S86" i="3"/>
  <c r="S87" i="6"/>
  <c r="BC86" i="3"/>
  <c r="BC87" i="6" s="1"/>
  <c r="BY86" i="3"/>
  <c r="BY87" i="6"/>
  <c r="DL86" i="3"/>
  <c r="DL87" i="6"/>
  <c r="W86" i="3"/>
  <c r="W87" i="6"/>
  <c r="AS86" i="3"/>
  <c r="AS87" i="6" s="1"/>
  <c r="CF86" i="3"/>
  <c r="CF87" i="6"/>
  <c r="CE121" i="3"/>
  <c r="CE122" i="6"/>
  <c r="V121" i="3"/>
  <c r="V122" i="6"/>
  <c r="AQ121" i="3"/>
  <c r="AQ122" i="6" s="1"/>
  <c r="W121" i="3"/>
  <c r="W122" i="6"/>
  <c r="AH121" i="3"/>
  <c r="AH122" i="6"/>
  <c r="CC121" i="3"/>
  <c r="CC122" i="6"/>
  <c r="CK121" i="3"/>
  <c r="CK122" i="6" s="1"/>
  <c r="CT121" i="3"/>
  <c r="CT122" i="6"/>
  <c r="BV121" i="3"/>
  <c r="BV122" i="6"/>
  <c r="BS121" i="3"/>
  <c r="BS122" i="6"/>
  <c r="O121" i="3"/>
  <c r="O122" i="6" s="1"/>
  <c r="BA121" i="3"/>
  <c r="BA122" i="6"/>
  <c r="BZ121" i="3"/>
  <c r="BZ122" i="6"/>
  <c r="CW121" i="3"/>
  <c r="CW122" i="6"/>
  <c r="AV121" i="3"/>
  <c r="AV122" i="6" s="1"/>
  <c r="BP121" i="3"/>
  <c r="BP122" i="6"/>
  <c r="AJ121" i="3"/>
  <c r="AJ122" i="6"/>
  <c r="BB121" i="3"/>
  <c r="BB122" i="6"/>
  <c r="CI121" i="3"/>
  <c r="CI122" i="6" s="1"/>
  <c r="BV93" i="3"/>
  <c r="BV94" i="6"/>
  <c r="AY93" i="3"/>
  <c r="AY94" i="6"/>
  <c r="DB93" i="3"/>
  <c r="DB94" i="6"/>
  <c r="BK93" i="3"/>
  <c r="BK94" i="6" s="1"/>
  <c r="Q93" i="3"/>
  <c r="Q94" i="6"/>
  <c r="CL93" i="3"/>
  <c r="CL94" i="6"/>
  <c r="AR93" i="3"/>
  <c r="AR94" i="6"/>
  <c r="AK93" i="3"/>
  <c r="AK94" i="6" s="1"/>
  <c r="BB93" i="3"/>
  <c r="BB94" i="6"/>
  <c r="DE93" i="3"/>
  <c r="DE94" i="6"/>
  <c r="D93" i="3"/>
  <c r="D94" i="6"/>
  <c r="BH93" i="3"/>
  <c r="BH94" i="6" s="1"/>
  <c r="BW93" i="3"/>
  <c r="BW94" i="6"/>
  <c r="DJ93" i="3"/>
  <c r="DJ94" i="6"/>
  <c r="DF93" i="3"/>
  <c r="DF94" i="6"/>
  <c r="DK93" i="3"/>
  <c r="DK94" i="6" s="1"/>
  <c r="DN93" i="3"/>
  <c r="DN94" i="6"/>
  <c r="AA93" i="3"/>
  <c r="AA94" i="6"/>
  <c r="M93" i="3"/>
  <c r="M94" i="6"/>
  <c r="G93" i="3"/>
  <c r="G94" i="6" s="1"/>
  <c r="CH93" i="3"/>
  <c r="CH94" i="6"/>
  <c r="CS93" i="3"/>
  <c r="CS94" i="6"/>
  <c r="BF93" i="3"/>
  <c r="BF94" i="6"/>
  <c r="AP93" i="3"/>
  <c r="AP94" i="6" s="1"/>
  <c r="AJ93" i="3"/>
  <c r="AJ94" i="6"/>
  <c r="F93" i="3"/>
  <c r="F94" i="6"/>
  <c r="BN93" i="3"/>
  <c r="BN94" i="6"/>
  <c r="CJ93" i="3"/>
  <c r="CJ94" i="6" s="1"/>
  <c r="J93" i="3"/>
  <c r="J94" i="6"/>
  <c r="AC102" i="3"/>
  <c r="AC103" i="6"/>
  <c r="BL121" i="3"/>
  <c r="BL122" i="6"/>
  <c r="AP121" i="3"/>
  <c r="AP122" i="6" s="1"/>
  <c r="K121" i="3"/>
  <c r="K122" i="6"/>
  <c r="Y121" i="3"/>
  <c r="Y122" i="6"/>
  <c r="BU102" i="3"/>
  <c r="BU103" i="6"/>
  <c r="Q102" i="3"/>
  <c r="Q103" i="6" s="1"/>
  <c r="BP102" i="3"/>
  <c r="BP103" i="6"/>
  <c r="BV102" i="3"/>
  <c r="BV103" i="6"/>
  <c r="BS102" i="3"/>
  <c r="BS103" i="6"/>
  <c r="CF85" i="3"/>
  <c r="CF86" i="6" s="1"/>
  <c r="BJ85" i="3"/>
  <c r="BJ86" i="6"/>
  <c r="BA2" i="3"/>
  <c r="BA2" i="6"/>
  <c r="C77" i="4"/>
  <c r="D81" i="1"/>
  <c r="G35" i="5"/>
  <c r="C10" i="4"/>
  <c r="D14" i="1" s="1"/>
  <c r="C13" i="5" s="1"/>
  <c r="C86" i="4"/>
  <c r="D90" i="1"/>
  <c r="G44" i="5" s="1"/>
  <c r="C87" i="6"/>
  <c r="BI86" i="3"/>
  <c r="BI87" i="6" s="1"/>
  <c r="T86" i="3"/>
  <c r="T87" i="6"/>
  <c r="BA86" i="3"/>
  <c r="BA87" i="6"/>
  <c r="CN86" i="3"/>
  <c r="CN87" i="6"/>
  <c r="X86" i="3"/>
  <c r="X87" i="6" s="1"/>
  <c r="AK86" i="3"/>
  <c r="AK87" i="6"/>
  <c r="AE86" i="3"/>
  <c r="AE87" i="6"/>
  <c r="BO86" i="3"/>
  <c r="BO87" i="6"/>
  <c r="CQ86" i="3"/>
  <c r="CQ87" i="6" s="1"/>
  <c r="CL86" i="3"/>
  <c r="CL87" i="6"/>
  <c r="P86" i="3"/>
  <c r="P87" i="6"/>
  <c r="BG86" i="3"/>
  <c r="BG87" i="6"/>
  <c r="CY86" i="3"/>
  <c r="CY87" i="6" s="1"/>
  <c r="AA86" i="3"/>
  <c r="AA87" i="6"/>
  <c r="BQ121" i="3"/>
  <c r="BQ122" i="6"/>
  <c r="AL121" i="3"/>
  <c r="AL122" i="6"/>
  <c r="BH121" i="3"/>
  <c r="BH122" i="6" s="1"/>
  <c r="BF121" i="3"/>
  <c r="BF122" i="6"/>
  <c r="CG121" i="3"/>
  <c r="CG122" i="6"/>
  <c r="AZ121" i="3"/>
  <c r="AZ122" i="6"/>
  <c r="DL121" i="3"/>
  <c r="DL122" i="6" s="1"/>
  <c r="DH121" i="3"/>
  <c r="DH122" i="6"/>
  <c r="CQ121" i="3"/>
  <c r="CQ122" i="6"/>
  <c r="DC121" i="3"/>
  <c r="DC122" i="6"/>
  <c r="DE121" i="3"/>
  <c r="DE122" i="6" s="1"/>
  <c r="AG121" i="3"/>
  <c r="AG122" i="6"/>
  <c r="BJ121" i="3"/>
  <c r="BJ122" i="6"/>
  <c r="DP121" i="3"/>
  <c r="DP122" i="6"/>
  <c r="DM121" i="3"/>
  <c r="DM122" i="6" s="1"/>
  <c r="CH121" i="3"/>
  <c r="CH122" i="6"/>
  <c r="CS121" i="3"/>
  <c r="CS122" i="6"/>
  <c r="P121" i="3"/>
  <c r="P122" i="6"/>
  <c r="X121" i="3"/>
  <c r="X122" i="6" s="1"/>
  <c r="BR121" i="3"/>
  <c r="BR122" i="6"/>
  <c r="BC121" i="3"/>
  <c r="BC122" i="6"/>
  <c r="AO121" i="3"/>
  <c r="AO122" i="6"/>
  <c r="BT121" i="3"/>
  <c r="BT122" i="6" s="1"/>
  <c r="E121" i="3"/>
  <c r="E122" i="6"/>
  <c r="AM121" i="3"/>
  <c r="AM122" i="6"/>
  <c r="CY121" i="3"/>
  <c r="CY122" i="6"/>
  <c r="CK93" i="3"/>
  <c r="CK94" i="6" s="1"/>
  <c r="AV93" i="3"/>
  <c r="AV94" i="6"/>
  <c r="W93" i="3"/>
  <c r="W94" i="6"/>
  <c r="V93" i="3"/>
  <c r="V94" i="6"/>
  <c r="AC93" i="3"/>
  <c r="AC94" i="6" s="1"/>
  <c r="N93" i="3"/>
  <c r="N94" i="6"/>
  <c r="C94" i="6"/>
  <c r="BT93" i="3"/>
  <c r="BT94" i="6" s="1"/>
  <c r="AW93" i="3"/>
  <c r="AW94" i="6"/>
  <c r="H93" i="3"/>
  <c r="H94" i="6" s="1"/>
  <c r="Y93" i="3"/>
  <c r="Y94" i="6" s="1"/>
  <c r="BG93" i="3"/>
  <c r="BG94" i="6" s="1"/>
  <c r="DG93" i="3"/>
  <c r="DG94" i="6"/>
  <c r="CG93" i="3"/>
  <c r="CG94" i="6" s="1"/>
  <c r="BY93" i="3"/>
  <c r="BY94" i="6" s="1"/>
  <c r="AO93" i="3"/>
  <c r="AO94" i="6" s="1"/>
  <c r="BX93" i="3"/>
  <c r="BX94" i="6"/>
  <c r="AZ93" i="3"/>
  <c r="AZ94" i="6" s="1"/>
  <c r="BE93" i="3"/>
  <c r="BE94" i="6" s="1"/>
  <c r="CR93" i="3"/>
  <c r="CR94" i="6" s="1"/>
  <c r="DO93" i="3"/>
  <c r="DO94" i="6"/>
  <c r="AN93" i="3"/>
  <c r="AN94" i="6" s="1"/>
  <c r="X93" i="3"/>
  <c r="X94" i="6" s="1"/>
  <c r="BJ93" i="3"/>
  <c r="BJ94" i="6" s="1"/>
  <c r="AU93" i="3"/>
  <c r="AU94" i="6"/>
  <c r="DQ93" i="3"/>
  <c r="DQ94" i="6" s="1"/>
  <c r="K93" i="3"/>
  <c r="K94" i="6" s="1"/>
  <c r="DH93" i="3"/>
  <c r="DH94" i="6" s="1"/>
  <c r="DM93" i="3"/>
  <c r="DM94" i="6"/>
  <c r="AQ93" i="3"/>
  <c r="AQ94" i="6" s="1"/>
  <c r="AY102" i="3"/>
  <c r="AY103" i="6" s="1"/>
  <c r="C134" i="4"/>
  <c r="D138" i="1" s="1"/>
  <c r="K47" i="5" s="1"/>
  <c r="BE121" i="3"/>
  <c r="BE122" i="6" s="1"/>
  <c r="CD121" i="3"/>
  <c r="CD122" i="6"/>
  <c r="D121" i="3"/>
  <c r="D122" i="6"/>
  <c r="BK102" i="3"/>
  <c r="BK103" i="6"/>
  <c r="CK102" i="3"/>
  <c r="CK103" i="6" s="1"/>
  <c r="BI102" i="3"/>
  <c r="BI103" i="6"/>
  <c r="C103" i="6"/>
  <c r="BJ102" i="3"/>
  <c r="BJ103" i="6" s="1"/>
  <c r="AA85" i="3"/>
  <c r="AA86" i="6"/>
  <c r="DQ85" i="3"/>
  <c r="DQ86" i="6" s="1"/>
  <c r="BD86" i="3"/>
  <c r="BD87" i="6" s="1"/>
  <c r="AV86" i="3"/>
  <c r="AV87" i="6" s="1"/>
  <c r="K86" i="3"/>
  <c r="K87" i="6"/>
  <c r="AB86" i="3"/>
  <c r="AB87" i="6" s="1"/>
  <c r="O86" i="3"/>
  <c r="O87" i="6" s="1"/>
  <c r="BZ86" i="3"/>
  <c r="BZ87" i="6" s="1"/>
  <c r="V86" i="3"/>
  <c r="V87" i="6"/>
  <c r="DF86" i="3"/>
  <c r="DF87" i="6" s="1"/>
  <c r="DQ86" i="3"/>
  <c r="DQ87" i="6" s="1"/>
  <c r="N86" i="3"/>
  <c r="N87" i="6" s="1"/>
  <c r="DE86" i="3"/>
  <c r="DE87" i="6"/>
  <c r="Z86" i="3"/>
  <c r="Z87" i="6" s="1"/>
  <c r="CA86" i="3"/>
  <c r="CA87" i="6" s="1"/>
  <c r="CD86" i="3"/>
  <c r="CD87" i="6" s="1"/>
  <c r="R86" i="3"/>
  <c r="R87" i="6"/>
  <c r="BE86" i="3"/>
  <c r="BE87" i="6" s="1"/>
  <c r="BH86" i="3"/>
  <c r="BH87" i="6" s="1"/>
  <c r="AI86" i="3"/>
  <c r="AI87" i="6" s="1"/>
  <c r="BJ86" i="3"/>
  <c r="BJ87" i="6"/>
  <c r="DI86" i="3"/>
  <c r="DI87" i="6" s="1"/>
  <c r="DI3" i="6" s="1"/>
  <c r="BR86" i="3"/>
  <c r="BR87" i="6" s="1"/>
  <c r="H86" i="3"/>
  <c r="H87" i="6" s="1"/>
  <c r="BT86" i="3"/>
  <c r="BT87" i="6"/>
  <c r="CH86" i="3"/>
  <c r="CH87" i="6" s="1"/>
  <c r="F86" i="3"/>
  <c r="F87" i="6" s="1"/>
  <c r="Y86" i="3"/>
  <c r="Y87" i="6" s="1"/>
  <c r="DN86" i="3"/>
  <c r="DN87" i="6"/>
  <c r="BV86" i="3"/>
  <c r="BV87" i="6" s="1"/>
  <c r="AL86" i="3"/>
  <c r="AL87" i="6" s="1"/>
  <c r="AR86" i="3"/>
  <c r="AR87" i="6" s="1"/>
  <c r="DA86" i="3"/>
  <c r="DA87" i="6"/>
  <c r="AW86" i="3"/>
  <c r="AW87" i="6" s="1"/>
  <c r="BX86" i="3"/>
  <c r="BX87" i="6" s="1"/>
  <c r="DK86" i="3"/>
  <c r="DK87" i="6" s="1"/>
  <c r="BL86" i="3"/>
  <c r="BL87" i="6"/>
  <c r="DC86" i="3"/>
  <c r="DC87" i="6" s="1"/>
  <c r="AF86" i="3"/>
  <c r="AF87" i="6" s="1"/>
  <c r="BW86" i="3"/>
  <c r="BW87" i="6" s="1"/>
  <c r="DO121" i="3"/>
  <c r="DO122" i="6"/>
  <c r="BY121" i="3"/>
  <c r="BY122" i="6" s="1"/>
  <c r="F121" i="3"/>
  <c r="F122" i="6" s="1"/>
  <c r="AC121" i="3"/>
  <c r="AC122" i="6" s="1"/>
  <c r="DJ121" i="3"/>
  <c r="DJ122" i="6"/>
  <c r="CO121" i="3"/>
  <c r="CO122" i="6" s="1"/>
  <c r="DA121" i="3"/>
  <c r="DA122" i="6" s="1"/>
  <c r="CB121" i="3"/>
  <c r="CB122" i="6" s="1"/>
  <c r="CZ121" i="3"/>
  <c r="CZ122" i="6"/>
  <c r="L121" i="3"/>
  <c r="L122" i="6" s="1"/>
  <c r="BO121" i="3"/>
  <c r="BO122" i="6" s="1"/>
  <c r="DK121" i="3"/>
  <c r="DK122" i="6" s="1"/>
  <c r="CV121" i="3"/>
  <c r="CV122" i="6"/>
  <c r="Z121" i="3"/>
  <c r="Z122" i="6" s="1"/>
  <c r="BN121" i="3"/>
  <c r="BN122" i="6" s="1"/>
  <c r="CF121" i="3"/>
  <c r="CF122" i="6" s="1"/>
  <c r="CN121" i="3"/>
  <c r="CN122" i="6"/>
  <c r="DF121" i="3"/>
  <c r="DF122" i="6" s="1"/>
  <c r="DP93" i="3"/>
  <c r="DP94" i="6" s="1"/>
  <c r="CE93" i="3"/>
  <c r="CE94" i="6" s="1"/>
  <c r="AI93" i="3"/>
  <c r="AI94" i="6"/>
  <c r="AM93" i="3"/>
  <c r="AM94" i="6" s="1"/>
  <c r="BI93" i="3"/>
  <c r="BI94" i="6" s="1"/>
  <c r="BL93" i="3"/>
  <c r="BL94" i="6" s="1"/>
  <c r="AD93" i="3"/>
  <c r="AD94" i="6"/>
  <c r="CD93" i="3"/>
  <c r="CD94" i="6" s="1"/>
  <c r="P93" i="3"/>
  <c r="P94" i="6" s="1"/>
  <c r="CT93" i="3"/>
  <c r="CT94" i="6" s="1"/>
  <c r="AL93" i="3"/>
  <c r="AL94" i="6"/>
  <c r="Z93" i="3"/>
  <c r="Z94" i="6" s="1"/>
  <c r="BQ93" i="3"/>
  <c r="BQ94" i="6" s="1"/>
  <c r="CW93" i="3"/>
  <c r="CW94" i="6" s="1"/>
  <c r="CN93" i="3"/>
  <c r="CN94" i="6"/>
  <c r="R93" i="3"/>
  <c r="R94" i="6" s="1"/>
  <c r="BP93" i="3"/>
  <c r="BP94" i="6" s="1"/>
  <c r="CZ93" i="3"/>
  <c r="CZ94" i="6" s="1"/>
  <c r="CP93" i="3"/>
  <c r="CP94" i="6"/>
  <c r="DA93" i="3"/>
  <c r="DA94" i="6" s="1"/>
  <c r="AX93" i="3"/>
  <c r="AX94" i="6" s="1"/>
  <c r="BR93" i="3"/>
  <c r="BR94" i="6" s="1"/>
  <c r="AT93" i="3"/>
  <c r="AT94" i="6"/>
  <c r="DI93" i="3"/>
  <c r="DI94" i="6" s="1"/>
  <c r="O93" i="3"/>
  <c r="O94" i="6" s="1"/>
  <c r="BD93" i="3"/>
  <c r="BD94" i="6" s="1"/>
  <c r="CY93" i="3"/>
  <c r="CY94" i="6"/>
  <c r="CX93" i="3"/>
  <c r="CX94" i="6" s="1"/>
  <c r="BS93" i="3"/>
  <c r="BS94" i="6" s="1"/>
  <c r="CF93" i="3"/>
  <c r="CF94" i="6" s="1"/>
  <c r="I102" i="3"/>
  <c r="I103" i="6"/>
  <c r="AT102" i="3"/>
  <c r="AT103" i="6" s="1"/>
  <c r="CU121" i="3"/>
  <c r="CU122" i="6" s="1"/>
  <c r="T121" i="3"/>
  <c r="T122" i="6" s="1"/>
  <c r="AD121" i="3"/>
  <c r="AD122" i="6"/>
  <c r="DG121" i="3"/>
  <c r="DG122" i="6" s="1"/>
  <c r="BC85" i="3"/>
  <c r="BC86" i="6" s="1"/>
  <c r="J102" i="3"/>
  <c r="J103" i="6" s="1"/>
  <c r="CQ102" i="3"/>
  <c r="CQ103" i="6"/>
  <c r="M102" i="3"/>
  <c r="M103" i="6" s="1"/>
  <c r="CJ102" i="3"/>
  <c r="CJ103" i="6" s="1"/>
  <c r="AZ86" i="3"/>
  <c r="AZ87" i="6" s="1"/>
  <c r="BU85" i="3"/>
  <c r="BU86" i="6"/>
  <c r="AS85" i="3"/>
  <c r="AS86" i="6" s="1"/>
  <c r="Z24" i="3"/>
  <c r="Z25" i="6" s="1"/>
  <c r="H17" i="3"/>
  <c r="C89" i="4"/>
  <c r="D93" i="1"/>
  <c r="G47" i="5"/>
  <c r="C102" i="4"/>
  <c r="D106" i="1" s="1"/>
  <c r="K15" i="5" s="1"/>
  <c r="C129" i="4"/>
  <c r="D133" i="1"/>
  <c r="K42" i="5" s="1"/>
  <c r="C122" i="4"/>
  <c r="D126" i="1"/>
  <c r="K35" i="5" s="1"/>
  <c r="C119" i="4"/>
  <c r="D123" i="1"/>
  <c r="K32" i="5" s="1"/>
  <c r="K8" i="6"/>
  <c r="Q60" i="6"/>
  <c r="C58" i="4"/>
  <c r="D62" i="1"/>
  <c r="G16" i="5" s="1"/>
  <c r="V57" i="6"/>
  <c r="C55" i="4"/>
  <c r="D59" i="1" s="1"/>
  <c r="G13" i="5" s="1"/>
  <c r="BT96" i="6"/>
  <c r="AY128" i="6"/>
  <c r="C126" i="4"/>
  <c r="D130" i="1" s="1"/>
  <c r="K39" i="5" s="1"/>
  <c r="AB60" i="3"/>
  <c r="AB61" i="6" s="1"/>
  <c r="Y60" i="3"/>
  <c r="Y61" i="6" s="1"/>
  <c r="AR60" i="3"/>
  <c r="AR61" i="6"/>
  <c r="BL60" i="3"/>
  <c r="BL61" i="6" s="1"/>
  <c r="CO60" i="3"/>
  <c r="CO61" i="6" s="1"/>
  <c r="AK60" i="3"/>
  <c r="AK61" i="6" s="1"/>
  <c r="AZ60" i="3"/>
  <c r="AZ61" i="6"/>
  <c r="AW60" i="3"/>
  <c r="AW61" i="6" s="1"/>
  <c r="AS60" i="3"/>
  <c r="AS61" i="6" s="1"/>
  <c r="CV60" i="3"/>
  <c r="CV61" i="6" s="1"/>
  <c r="BX60" i="3"/>
  <c r="BX61" i="6"/>
  <c r="BI60" i="3"/>
  <c r="BI61" i="6" s="1"/>
  <c r="P60" i="3"/>
  <c r="P61" i="6" s="1"/>
  <c r="BT60" i="3"/>
  <c r="BT61" i="6" s="1"/>
  <c r="BQ60" i="3"/>
  <c r="BQ61" i="6"/>
  <c r="AG60" i="3"/>
  <c r="AG61" i="6" s="1"/>
  <c r="AO60" i="3"/>
  <c r="AO61" i="6" s="1"/>
  <c r="CR60" i="3"/>
  <c r="CR61" i="6" s="1"/>
  <c r="DL60" i="3"/>
  <c r="DL61" i="6"/>
  <c r="CW60" i="3"/>
  <c r="CW61" i="6" s="1"/>
  <c r="C61" i="6"/>
  <c r="DI60" i="3"/>
  <c r="DI61" i="6"/>
  <c r="CS60" i="3"/>
  <c r="CS61" i="6"/>
  <c r="E60" i="3"/>
  <c r="C59" i="4" s="1"/>
  <c r="D63" i="1" s="1"/>
  <c r="G17" i="5" s="1"/>
  <c r="CF60" i="3"/>
  <c r="CF61" i="6" s="1"/>
  <c r="AD60" i="3"/>
  <c r="AD61" i="6" s="1"/>
  <c r="BJ60" i="3"/>
  <c r="BJ61" i="6" s="1"/>
  <c r="CP60" i="3"/>
  <c r="CP61" i="6"/>
  <c r="G60" i="3"/>
  <c r="G61" i="6" s="1"/>
  <c r="AM60" i="3"/>
  <c r="AM61" i="6" s="1"/>
  <c r="BS60" i="3"/>
  <c r="BS61" i="6" s="1"/>
  <c r="CY60" i="3"/>
  <c r="CY61" i="6"/>
  <c r="Q60" i="3"/>
  <c r="Q61" i="6" s="1"/>
  <c r="CC60" i="3"/>
  <c r="CC61" i="6" s="1"/>
  <c r="AH60" i="3"/>
  <c r="AH61" i="6" s="1"/>
  <c r="AH3" i="6" s="1"/>
  <c r="CT60" i="3"/>
  <c r="CT61" i="6"/>
  <c r="AU60" i="3"/>
  <c r="AU61" i="6" s="1"/>
  <c r="DG60" i="3"/>
  <c r="DG61" i="6" s="1"/>
  <c r="F60" i="3"/>
  <c r="F61" i="6" s="1"/>
  <c r="BR60" i="3"/>
  <c r="BR61" i="6"/>
  <c r="AA60" i="3"/>
  <c r="AA61" i="6" s="1"/>
  <c r="CM60" i="3"/>
  <c r="CM61" i="6" s="1"/>
  <c r="CQ60" i="3"/>
  <c r="CQ61" i="6" s="1"/>
  <c r="CH60" i="3"/>
  <c r="CH61" i="6"/>
  <c r="CZ60" i="3"/>
  <c r="CZ61" i="6" s="1"/>
  <c r="M60" i="3"/>
  <c r="M61" i="6" s="1"/>
  <c r="BE60" i="3"/>
  <c r="BE61" i="6" s="1"/>
  <c r="AF60" i="3"/>
  <c r="AF61" i="6"/>
  <c r="K60" i="3"/>
  <c r="K61" i="6" s="1"/>
  <c r="CD60" i="3"/>
  <c r="CD61" i="6" s="1"/>
  <c r="DD60" i="3"/>
  <c r="DD61" i="6" s="1"/>
  <c r="BR61" i="3"/>
  <c r="BR62" i="6"/>
  <c r="J61" i="3"/>
  <c r="J62" i="6" s="1"/>
  <c r="AG61" i="3"/>
  <c r="AG62" i="6" s="1"/>
  <c r="AQ61" i="3"/>
  <c r="AQ62" i="6" s="1"/>
  <c r="CC61" i="3"/>
  <c r="CC62" i="6"/>
  <c r="Z61" i="3"/>
  <c r="Z62" i="6" s="1"/>
  <c r="DN61" i="3"/>
  <c r="DN62" i="6" s="1"/>
  <c r="O61" i="3"/>
  <c r="O62" i="6" s="1"/>
  <c r="DD61" i="3"/>
  <c r="DD62" i="6"/>
  <c r="CF61" i="3"/>
  <c r="CF62" i="6" s="1"/>
  <c r="K61" i="3"/>
  <c r="K62" i="6" s="1"/>
  <c r="AK61" i="3"/>
  <c r="AK62" i="6" s="1"/>
  <c r="Q61" i="3"/>
  <c r="Q62" i="6"/>
  <c r="CQ61" i="3"/>
  <c r="CQ62" i="6" s="1"/>
  <c r="X61" i="3"/>
  <c r="X62" i="6" s="1"/>
  <c r="CI61" i="3"/>
  <c r="CI62" i="6" s="1"/>
  <c r="CB61" i="3"/>
  <c r="CB62" i="6"/>
  <c r="CD61" i="3"/>
  <c r="CD62" i="6" s="1"/>
  <c r="V61" i="3"/>
  <c r="V62" i="6" s="1"/>
  <c r="DE61" i="3"/>
  <c r="DE62" i="6" s="1"/>
  <c r="BI61" i="3"/>
  <c r="BI62" i="6"/>
  <c r="M61" i="3"/>
  <c r="M62" i="6" s="1"/>
  <c r="AY61" i="3"/>
  <c r="AY62" i="6" s="1"/>
  <c r="AR61" i="3"/>
  <c r="AR62" i="6" s="1"/>
  <c r="CR61" i="3"/>
  <c r="CR62" i="6"/>
  <c r="CP61" i="3"/>
  <c r="CP62" i="6" s="1"/>
  <c r="AX61" i="3"/>
  <c r="AX62" i="6" s="1"/>
  <c r="R61" i="3"/>
  <c r="R62" i="6" s="1"/>
  <c r="DA61" i="3"/>
  <c r="DA62" i="6"/>
  <c r="BU61" i="3"/>
  <c r="BU62" i="6" s="1"/>
  <c r="AO61" i="3"/>
  <c r="AO62" i="6" s="1"/>
  <c r="I61" i="3"/>
  <c r="I62" i="6" s="1"/>
  <c r="BG61" i="3"/>
  <c r="BG62" i="6"/>
  <c r="AI61" i="3"/>
  <c r="AI62" i="6" s="1"/>
  <c r="BA61" i="3"/>
  <c r="BA62" i="6" s="1"/>
  <c r="DM61" i="3"/>
  <c r="DM62" i="6" s="1"/>
  <c r="BF61" i="3"/>
  <c r="BF62" i="6"/>
  <c r="C62" i="6"/>
  <c r="BP61" i="3"/>
  <c r="BP62" i="6"/>
  <c r="CN61" i="3"/>
  <c r="CN62" i="6"/>
  <c r="T61" i="3"/>
  <c r="T62" i="6"/>
  <c r="L61" i="3"/>
  <c r="L62" i="6" s="1"/>
  <c r="P61" i="3"/>
  <c r="P62" i="6"/>
  <c r="BM61" i="3"/>
  <c r="BM62" i="6"/>
  <c r="AT61" i="3"/>
  <c r="AT62" i="6"/>
  <c r="DC61" i="3"/>
  <c r="DC62" i="6" s="1"/>
  <c r="CA61" i="3"/>
  <c r="CA62" i="6"/>
  <c r="AF61" i="3"/>
  <c r="AF62" i="6"/>
  <c r="CV61" i="3"/>
  <c r="CV62" i="6"/>
  <c r="DL61" i="3"/>
  <c r="DL62" i="6" s="1"/>
  <c r="AJ61" i="3"/>
  <c r="AJ62" i="6"/>
  <c r="DO61" i="3"/>
  <c r="DO62" i="6"/>
  <c r="CY61" i="3"/>
  <c r="CY62" i="6"/>
  <c r="AP61" i="3"/>
  <c r="AP62" i="6" s="1"/>
  <c r="N61" i="3"/>
  <c r="N62" i="6"/>
  <c r="DI61" i="3"/>
  <c r="DI62" i="6"/>
  <c r="BC61" i="3"/>
  <c r="BC62" i="6"/>
  <c r="D61" i="3"/>
  <c r="D62" i="6" s="1"/>
  <c r="G61" i="3"/>
  <c r="G62" i="6"/>
  <c r="BV61" i="3"/>
  <c r="BV62" i="6"/>
  <c r="CH61" i="3"/>
  <c r="CH62" i="6"/>
  <c r="BK61" i="3"/>
  <c r="BK62" i="6" s="1"/>
  <c r="DG61" i="3"/>
  <c r="DG62" i="6"/>
  <c r="AN61" i="3"/>
  <c r="AN62" i="6"/>
  <c r="BN61" i="3"/>
  <c r="BN62" i="6"/>
  <c r="BY61" i="3"/>
  <c r="BY62" i="6" s="1"/>
  <c r="S61" i="3"/>
  <c r="S62" i="6"/>
  <c r="H61" i="3"/>
  <c r="H62" i="6"/>
  <c r="BJ61" i="3"/>
  <c r="BJ62" i="6"/>
  <c r="DQ61" i="3"/>
  <c r="DQ62" i="6" s="1"/>
  <c r="BE61" i="3"/>
  <c r="BE62" i="6"/>
  <c r="AA61" i="3"/>
  <c r="AA62" i="6"/>
  <c r="U61" i="3"/>
  <c r="U62" i="6"/>
  <c r="AD61" i="3"/>
  <c r="AD62" i="6" s="1"/>
  <c r="DH61" i="3"/>
  <c r="DH62" i="6"/>
  <c r="AM61" i="3"/>
  <c r="AM62" i="6"/>
  <c r="AB61" i="3"/>
  <c r="AB62" i="6"/>
  <c r="BQ61" i="3"/>
  <c r="BQ62" i="6" s="1"/>
  <c r="BD61" i="3"/>
  <c r="BD62" i="6"/>
  <c r="F61" i="3"/>
  <c r="F62" i="6"/>
  <c r="DK61" i="3"/>
  <c r="DK62" i="6"/>
  <c r="AH61" i="3"/>
  <c r="AH62" i="6" s="1"/>
  <c r="Y61" i="3"/>
  <c r="Y62" i="6"/>
  <c r="BS61" i="3"/>
  <c r="BS62" i="6"/>
  <c r="BT61" i="3"/>
  <c r="BT62" i="6"/>
  <c r="CU61" i="3"/>
  <c r="CU62" i="6" s="1"/>
  <c r="CL61" i="3"/>
  <c r="CL62" i="6"/>
  <c r="W61" i="3"/>
  <c r="W62" i="6"/>
  <c r="DP61" i="3"/>
  <c r="DP62" i="6"/>
  <c r="AS61" i="3"/>
  <c r="AS62" i="6" s="1"/>
  <c r="CK61" i="3"/>
  <c r="CK62" i="6"/>
  <c r="BX61" i="3"/>
  <c r="BX62" i="6"/>
  <c r="CT61" i="3"/>
  <c r="CT62" i="6"/>
  <c r="DF61" i="3"/>
  <c r="DF62" i="6" s="1"/>
  <c r="CM61" i="3"/>
  <c r="CM62" i="6"/>
  <c r="CG61" i="3"/>
  <c r="CG62" i="6"/>
  <c r="AZ61" i="3"/>
  <c r="AZ62" i="6"/>
  <c r="E61" i="3"/>
  <c r="E62" i="6" s="1"/>
  <c r="BL61" i="3"/>
  <c r="BL62" i="6"/>
  <c r="CS61" i="3"/>
  <c r="CS62" i="6"/>
  <c r="BO61" i="3"/>
  <c r="BO62" i="6"/>
  <c r="DB61" i="3"/>
  <c r="DB62" i="6" s="1"/>
  <c r="BB61" i="3"/>
  <c r="BB62" i="6"/>
  <c r="AE61" i="3"/>
  <c r="AE62" i="6"/>
  <c r="CJ61" i="3"/>
  <c r="CJ62" i="6"/>
  <c r="AL61" i="3"/>
  <c r="AL62" i="6" s="1"/>
  <c r="AC61" i="3"/>
  <c r="AC62" i="6"/>
  <c r="AV61" i="3"/>
  <c r="AV62" i="6"/>
  <c r="CZ61" i="3"/>
  <c r="CZ62" i="6"/>
  <c r="BA62" i="3"/>
  <c r="BA63" i="6" s="1"/>
  <c r="CK62" i="3"/>
  <c r="CK63" i="6"/>
  <c r="CO62" i="3"/>
  <c r="CO63" i="6"/>
  <c r="CU62" i="3"/>
  <c r="CU63" i="6"/>
  <c r="AB62" i="3"/>
  <c r="AB63" i="6" s="1"/>
  <c r="CW62" i="3"/>
  <c r="CW63" i="6"/>
  <c r="K62" i="3"/>
  <c r="K63" i="6"/>
  <c r="CH62" i="3"/>
  <c r="CH63" i="6"/>
  <c r="CA62" i="3"/>
  <c r="CA63" i="6" s="1"/>
  <c r="CA3" i="6" s="1"/>
  <c r="AH62" i="3"/>
  <c r="AH63" i="6"/>
  <c r="AU62" i="3"/>
  <c r="AU63" i="6"/>
  <c r="DA62" i="3"/>
  <c r="DA63" i="6"/>
  <c r="CX62" i="3"/>
  <c r="CX63" i="6" s="1"/>
  <c r="BT62" i="3"/>
  <c r="BT63" i="6"/>
  <c r="BO62" i="3"/>
  <c r="BO63" i="6"/>
  <c r="Z62" i="3"/>
  <c r="Z63" i="6"/>
  <c r="L62" i="3"/>
  <c r="L63" i="6" s="1"/>
  <c r="R62" i="3"/>
  <c r="R63" i="6"/>
  <c r="I62" i="3"/>
  <c r="I63" i="6"/>
  <c r="DJ62" i="3"/>
  <c r="DJ63" i="6"/>
  <c r="CZ62" i="3"/>
  <c r="CZ63" i="6" s="1"/>
  <c r="CP62" i="3"/>
  <c r="CP63" i="6"/>
  <c r="AR62" i="3"/>
  <c r="AR63" i="6"/>
  <c r="BS62" i="3"/>
  <c r="BS63" i="6"/>
  <c r="BP62" i="3"/>
  <c r="BP63" i="6" s="1"/>
  <c r="AJ62" i="3"/>
  <c r="AJ63" i="6"/>
  <c r="BJ62" i="3"/>
  <c r="BJ63" i="6"/>
  <c r="CI62" i="3"/>
  <c r="CI63" i="6"/>
  <c r="DQ62" i="3"/>
  <c r="DQ63" i="6" s="1"/>
  <c r="DH62" i="3"/>
  <c r="DH63" i="6"/>
  <c r="CD62" i="3"/>
  <c r="CD63" i="6"/>
  <c r="CF62" i="3"/>
  <c r="CF63" i="6"/>
  <c r="DE62" i="3"/>
  <c r="DE63" i="6" s="1"/>
  <c r="H62" i="3"/>
  <c r="H63" i="6"/>
  <c r="BY62" i="3"/>
  <c r="BY63" i="6"/>
  <c r="AY62" i="3"/>
  <c r="AY63" i="6"/>
  <c r="BG62" i="3"/>
  <c r="BG63" i="6" s="1"/>
  <c r="AK62" i="3"/>
  <c r="AK63" i="6"/>
  <c r="DN62" i="3"/>
  <c r="DN63" i="6"/>
  <c r="AO62" i="3"/>
  <c r="AO63" i="6"/>
  <c r="AF62" i="3"/>
  <c r="AF63" i="6" s="1"/>
  <c r="AC62" i="3"/>
  <c r="AC63" i="6"/>
  <c r="AI62" i="3"/>
  <c r="AI63" i="6"/>
  <c r="CJ62" i="3"/>
  <c r="CJ63" i="6"/>
  <c r="BZ62" i="3"/>
  <c r="BZ63" i="6" s="1"/>
  <c r="AZ62" i="3"/>
  <c r="AZ63" i="6"/>
  <c r="M62" i="3"/>
  <c r="M63" i="6"/>
  <c r="BC62" i="3"/>
  <c r="BC63" i="6"/>
  <c r="G62" i="3"/>
  <c r="G63" i="6" s="1"/>
  <c r="BK62" i="3"/>
  <c r="BK63" i="6"/>
  <c r="J62" i="3"/>
  <c r="J63" i="6"/>
  <c r="BV62" i="3"/>
  <c r="BV63" i="6"/>
  <c r="AP62" i="3"/>
  <c r="AP63" i="6" s="1"/>
  <c r="CV62" i="3"/>
  <c r="CV63" i="6"/>
  <c r="CE62" i="3"/>
  <c r="CE63" i="6"/>
  <c r="CB62" i="3"/>
  <c r="CB63" i="6"/>
  <c r="AE62" i="3"/>
  <c r="AE63" i="6" s="1"/>
  <c r="DO62" i="3"/>
  <c r="DO63" i="6"/>
  <c r="BD62" i="3"/>
  <c r="BD63" i="6"/>
  <c r="Y62" i="3"/>
  <c r="Y63" i="6"/>
  <c r="DG62" i="3"/>
  <c r="DG63" i="6" s="1"/>
  <c r="AG62" i="3"/>
  <c r="AG63" i="6"/>
  <c r="Q62" i="3"/>
  <c r="Q63" i="6"/>
  <c r="BB62" i="3"/>
  <c r="BB63" i="6"/>
  <c r="AM62" i="3"/>
  <c r="AM63" i="6" s="1"/>
  <c r="T62" i="3"/>
  <c r="T63" i="6"/>
  <c r="U62" i="3"/>
  <c r="U63" i="6"/>
  <c r="N62" i="3"/>
  <c r="N63" i="6"/>
  <c r="DD62" i="3"/>
  <c r="DD63" i="6" s="1"/>
  <c r="C63" i="6"/>
  <c r="BW62" i="3"/>
  <c r="BW63" i="6" s="1"/>
  <c r="DK62" i="3"/>
  <c r="DK63" i="6" s="1"/>
  <c r="CT62" i="3"/>
  <c r="CT63" i="6"/>
  <c r="AX62" i="3"/>
  <c r="AX63" i="6" s="1"/>
  <c r="AD62" i="3"/>
  <c r="AD63" i="6" s="1"/>
  <c r="DF62" i="3"/>
  <c r="DF63" i="6" s="1"/>
  <c r="CL62" i="3"/>
  <c r="CL63" i="6"/>
  <c r="BL91" i="3"/>
  <c r="BL92" i="6" s="1"/>
  <c r="BY91" i="3"/>
  <c r="BY92" i="6" s="1"/>
  <c r="CU91" i="3"/>
  <c r="CU92" i="6" s="1"/>
  <c r="CV91" i="3"/>
  <c r="CV92" i="6"/>
  <c r="Z91" i="3"/>
  <c r="Z92" i="6" s="1"/>
  <c r="CW91" i="3"/>
  <c r="CW92" i="6" s="1"/>
  <c r="BV91" i="3"/>
  <c r="BV92" i="6" s="1"/>
  <c r="AO91" i="3"/>
  <c r="AO92" i="6"/>
  <c r="E91" i="3"/>
  <c r="E92" i="6" s="1"/>
  <c r="BH91" i="3"/>
  <c r="BH92" i="6" s="1"/>
  <c r="AT91" i="3"/>
  <c r="AT92" i="6" s="1"/>
  <c r="BX91" i="3"/>
  <c r="BX92" i="6"/>
  <c r="I91" i="3"/>
  <c r="I92" i="6" s="1"/>
  <c r="K91" i="3"/>
  <c r="K92" i="6" s="1"/>
  <c r="CS91" i="3"/>
  <c r="CS92" i="6" s="1"/>
  <c r="CB91" i="3"/>
  <c r="CB92" i="6"/>
  <c r="BJ91" i="3"/>
  <c r="BJ92" i="6" s="1"/>
  <c r="BT91" i="3"/>
  <c r="BT92" i="6" s="1"/>
  <c r="BP91" i="3"/>
  <c r="BP92" i="6" s="1"/>
  <c r="AN91" i="3"/>
  <c r="AN92" i="6"/>
  <c r="M91" i="3"/>
  <c r="M92" i="6" s="1"/>
  <c r="AU91" i="3"/>
  <c r="AU92" i="6" s="1"/>
  <c r="S91" i="3"/>
  <c r="S92" i="6" s="1"/>
  <c r="G91" i="3"/>
  <c r="G92" i="6"/>
  <c r="Q91" i="3"/>
  <c r="Q92" i="6" s="1"/>
  <c r="CQ91" i="3"/>
  <c r="CQ92" i="6" s="1"/>
  <c r="DI91" i="3"/>
  <c r="DI92" i="6" s="1"/>
  <c r="CJ91" i="3"/>
  <c r="CJ92" i="6"/>
  <c r="DE91" i="3"/>
  <c r="DE92" i="6" s="1"/>
  <c r="CP91" i="3"/>
  <c r="CP92" i="6" s="1"/>
  <c r="R91" i="3"/>
  <c r="R92" i="6" s="1"/>
  <c r="BW91" i="3"/>
  <c r="BW92" i="6"/>
  <c r="CE91" i="3"/>
  <c r="CE92" i="6" s="1"/>
  <c r="DH91" i="3"/>
  <c r="DH92" i="6" s="1"/>
  <c r="AG91" i="3"/>
  <c r="AG92" i="6" s="1"/>
  <c r="CN91" i="3"/>
  <c r="CN92" i="6"/>
  <c r="DD91" i="3"/>
  <c r="DD92" i="6" s="1"/>
  <c r="C92" i="6"/>
  <c r="DA91" i="3"/>
  <c r="DA92" i="6"/>
  <c r="CC91" i="3"/>
  <c r="CC92" i="6"/>
  <c r="BF91" i="3"/>
  <c r="BF92" i="6" s="1"/>
  <c r="BK91" i="3"/>
  <c r="BK92" i="6"/>
  <c r="DQ91" i="3"/>
  <c r="DQ92" i="6"/>
  <c r="AV91" i="3"/>
  <c r="AV92" i="6"/>
  <c r="V91" i="3"/>
  <c r="V92" i="6" s="1"/>
  <c r="J91" i="3"/>
  <c r="J92" i="6"/>
  <c r="AY91" i="3"/>
  <c r="AY92" i="6"/>
  <c r="CO91" i="3"/>
  <c r="CO92" i="6"/>
  <c r="CI91" i="3"/>
  <c r="CI92" i="6" s="1"/>
  <c r="X91" i="3"/>
  <c r="X92" i="6"/>
  <c r="AX91" i="3"/>
  <c r="AX92" i="6"/>
  <c r="CK91" i="3"/>
  <c r="CK92" i="6"/>
  <c r="CD91" i="3"/>
  <c r="CD92" i="6" s="1"/>
  <c r="O91" i="3"/>
  <c r="O92" i="6"/>
  <c r="W91" i="3"/>
  <c r="W92" i="6"/>
  <c r="DG91" i="3"/>
  <c r="DG92" i="6"/>
  <c r="CR91" i="3"/>
  <c r="CR92" i="6" s="1"/>
  <c r="P91" i="3"/>
  <c r="P92" i="6"/>
  <c r="CL91" i="3"/>
  <c r="CL92" i="6"/>
  <c r="CX91" i="3"/>
  <c r="CX92" i="6"/>
  <c r="DN91" i="3"/>
  <c r="DN92" i="6" s="1"/>
  <c r="AK91" i="3"/>
  <c r="AK92" i="6"/>
  <c r="T91" i="3"/>
  <c r="T92" i="6"/>
  <c r="BZ91" i="3"/>
  <c r="BZ92" i="6"/>
  <c r="DB91" i="3"/>
  <c r="DB92" i="6" s="1"/>
  <c r="BI91" i="3"/>
  <c r="BI92" i="6"/>
  <c r="DC91" i="3"/>
  <c r="DC92" i="6"/>
  <c r="AQ91" i="3"/>
  <c r="AQ92" i="6"/>
  <c r="BN91" i="3"/>
  <c r="BN92" i="6" s="1"/>
  <c r="BG91" i="3"/>
  <c r="BG92" i="6"/>
  <c r="AI91" i="3"/>
  <c r="AI92" i="6"/>
  <c r="DK91" i="3"/>
  <c r="DK92" i="6"/>
  <c r="U91" i="3"/>
  <c r="U92" i="6" s="1"/>
  <c r="AS91" i="3"/>
  <c r="AS92" i="6"/>
  <c r="H91" i="3"/>
  <c r="H92" i="6"/>
  <c r="D91" i="3"/>
  <c r="AH91" i="3"/>
  <c r="AH92" i="6"/>
  <c r="AZ91" i="3"/>
  <c r="AZ92" i="6" s="1"/>
  <c r="BU91" i="3"/>
  <c r="BU92" i="6" s="1"/>
  <c r="CM91" i="3"/>
  <c r="CM92" i="6" s="1"/>
  <c r="DO91" i="3"/>
  <c r="DO92" i="6"/>
  <c r="BO91" i="3"/>
  <c r="BO92" i="6" s="1"/>
  <c r="BS91" i="3"/>
  <c r="BS92" i="6" s="1"/>
  <c r="BR91" i="3"/>
  <c r="BR92" i="6" s="1"/>
  <c r="L91" i="3"/>
  <c r="L92" i="6"/>
  <c r="CF91" i="3"/>
  <c r="CF92" i="6" s="1"/>
  <c r="DJ91" i="3"/>
  <c r="DJ92" i="6" s="1"/>
  <c r="BD91" i="3"/>
  <c r="BD92" i="6" s="1"/>
  <c r="CT91" i="3"/>
  <c r="CT92" i="6"/>
  <c r="AD91" i="3"/>
  <c r="AD92" i="6" s="1"/>
  <c r="CH91" i="3"/>
  <c r="CH92" i="6" s="1"/>
  <c r="AW91" i="3"/>
  <c r="AW92" i="6" s="1"/>
  <c r="CG91" i="3"/>
  <c r="CG92" i="6"/>
  <c r="AB91" i="3"/>
  <c r="AB92" i="6" s="1"/>
  <c r="AF91" i="3"/>
  <c r="AF92" i="6" s="1"/>
  <c r="BM91" i="3"/>
  <c r="BM92" i="6" s="1"/>
  <c r="DL91" i="3"/>
  <c r="DL92" i="6"/>
  <c r="AC91" i="3"/>
  <c r="AC92" i="6" s="1"/>
  <c r="BB60" i="3"/>
  <c r="BB61" i="6" s="1"/>
  <c r="CX60" i="3"/>
  <c r="CX61" i="6" s="1"/>
  <c r="O60" i="3"/>
  <c r="O61" i="6"/>
  <c r="DO60" i="3"/>
  <c r="DO61" i="6" s="1"/>
  <c r="DF60" i="3"/>
  <c r="DF61" i="6" s="1"/>
  <c r="AV60" i="3"/>
  <c r="AV61" i="6" s="1"/>
  <c r="CU60" i="3"/>
  <c r="CU61" i="6"/>
  <c r="AY60" i="3"/>
  <c r="AY61" i="6" s="1"/>
  <c r="AY3" i="6" s="1"/>
  <c r="BV60" i="3"/>
  <c r="BV61" i="6" s="1"/>
  <c r="Z60" i="3"/>
  <c r="Z61" i="6" s="1"/>
  <c r="H60" i="3"/>
  <c r="H61" i="6"/>
  <c r="BH60" i="3"/>
  <c r="BH61" i="6" s="1"/>
  <c r="CN62" i="3"/>
  <c r="CN63" i="6" s="1"/>
  <c r="BI62" i="3"/>
  <c r="BI63" i="6" s="1"/>
  <c r="DP62" i="3"/>
  <c r="DP63" i="6"/>
  <c r="DC62" i="3"/>
  <c r="DC63" i="6" s="1"/>
  <c r="AQ62" i="3"/>
  <c r="AQ63" i="6" s="1"/>
  <c r="CR62" i="3"/>
  <c r="CR63" i="6" s="1"/>
  <c r="BM62" i="3"/>
  <c r="BM63" i="6"/>
  <c r="D62" i="3"/>
  <c r="BF62" i="3"/>
  <c r="BF63" i="6"/>
  <c r="AA62" i="3"/>
  <c r="AA63" i="6"/>
  <c r="BQ62" i="3"/>
  <c r="BQ63" i="6"/>
  <c r="CE61" i="3"/>
  <c r="CE62" i="6" s="1"/>
  <c r="BH61" i="3"/>
  <c r="BH62" i="6"/>
  <c r="CX61" i="3"/>
  <c r="CX62" i="6"/>
  <c r="AE91" i="3"/>
  <c r="AE92" i="6"/>
  <c r="BB91" i="3"/>
  <c r="BB92" i="6" s="1"/>
  <c r="DM91" i="3"/>
  <c r="DM92" i="6"/>
  <c r="AM91" i="3"/>
  <c r="AM92" i="6"/>
  <c r="CZ91" i="3"/>
  <c r="CZ92" i="6"/>
  <c r="L60" i="3"/>
  <c r="L61" i="6" s="1"/>
  <c r="CB60" i="3"/>
  <c r="CB61" i="6"/>
  <c r="U60" i="3"/>
  <c r="U61" i="6"/>
  <c r="DH60" i="3"/>
  <c r="DH61" i="6"/>
  <c r="AQ60" i="3"/>
  <c r="AQ61" i="6" s="1"/>
  <c r="AQ3" i="6" s="1"/>
  <c r="DN60" i="3"/>
  <c r="DN61" i="6"/>
  <c r="BG60" i="3"/>
  <c r="BG61" i="6"/>
  <c r="CA60" i="3"/>
  <c r="CA61" i="6"/>
  <c r="BY60" i="3"/>
  <c r="BY61" i="6" s="1"/>
  <c r="W60" i="3"/>
  <c r="W61" i="6"/>
  <c r="N60" i="3"/>
  <c r="N61" i="6"/>
  <c r="DA60" i="3"/>
  <c r="DA61" i="6"/>
  <c r="CE60" i="3"/>
  <c r="CE61" i="6" s="1"/>
  <c r="CE3" i="6" s="1"/>
  <c r="DB60" i="3"/>
  <c r="DB61" i="6"/>
  <c r="BF60" i="3"/>
  <c r="BF61" i="6"/>
  <c r="BD60" i="3"/>
  <c r="BD61" i="6"/>
  <c r="AL62" i="3"/>
  <c r="AL63" i="6" s="1"/>
  <c r="F62" i="3"/>
  <c r="F63" i="6"/>
  <c r="CC62" i="3"/>
  <c r="CC63" i="6"/>
  <c r="CY62" i="3"/>
  <c r="CY63" i="6"/>
  <c r="BX62" i="3"/>
  <c r="BX63" i="6" s="1"/>
  <c r="AW62" i="3"/>
  <c r="AW63" i="6"/>
  <c r="DM62" i="3"/>
  <c r="DM63" i="6"/>
  <c r="BR62" i="3"/>
  <c r="BR63" i="6"/>
  <c r="BL62" i="3"/>
  <c r="BL63" i="6" s="1"/>
  <c r="CO61" i="3"/>
  <c r="CO62" i="6"/>
  <c r="AW61" i="3"/>
  <c r="AW62" i="6"/>
  <c r="BC91" i="3"/>
  <c r="BC92" i="6"/>
  <c r="BE91" i="3"/>
  <c r="BE92" i="6" s="1"/>
  <c r="AL91" i="3"/>
  <c r="AL92" i="6"/>
  <c r="AP91" i="3"/>
  <c r="AP92" i="6"/>
  <c r="N91" i="3"/>
  <c r="N92" i="6"/>
  <c r="F91" i="3"/>
  <c r="F92" i="6" s="1"/>
  <c r="AE60" i="3"/>
  <c r="AE61" i="6"/>
  <c r="AX60" i="3"/>
  <c r="AX61" i="6"/>
  <c r="AC60" i="3"/>
  <c r="AC61" i="6"/>
  <c r="DP60" i="3"/>
  <c r="DP61" i="6" s="1"/>
  <c r="BC60" i="3"/>
  <c r="BC61" i="6"/>
  <c r="AT60" i="3"/>
  <c r="AT61" i="6"/>
  <c r="DK60" i="3"/>
  <c r="DK61" i="6"/>
  <c r="AI60" i="3"/>
  <c r="AI61" i="6" s="1"/>
  <c r="AI3" i="6" s="1"/>
  <c r="CL60" i="3"/>
  <c r="CL61" i="6"/>
  <c r="J60" i="3"/>
  <c r="J61" i="6"/>
  <c r="BW60" i="3"/>
  <c r="BW61" i="6"/>
  <c r="R60" i="3"/>
  <c r="R61" i="6" s="1"/>
  <c r="E62" i="3"/>
  <c r="E63" i="6"/>
  <c r="AN62" i="3"/>
  <c r="AN63" i="6"/>
  <c r="V62" i="3"/>
  <c r="V63" i="6"/>
  <c r="CM62" i="3"/>
  <c r="CM63" i="6" s="1"/>
  <c r="BH62" i="3"/>
  <c r="BH63" i="6"/>
  <c r="S62" i="3"/>
  <c r="S63" i="6"/>
  <c r="AT62" i="3"/>
  <c r="AT63" i="6"/>
  <c r="AV62" i="3"/>
  <c r="AV63" i="6" s="1"/>
  <c r="CQ62" i="3"/>
  <c r="CQ63" i="6"/>
  <c r="CS62" i="3"/>
  <c r="CS63" i="6"/>
  <c r="BU62" i="3"/>
  <c r="BU63" i="6"/>
  <c r="DJ61" i="3"/>
  <c r="DJ62" i="6" s="1"/>
  <c r="CW61" i="3"/>
  <c r="CW62" i="6"/>
  <c r="AA91" i="3"/>
  <c r="AA92" i="6"/>
  <c r="DP91" i="3"/>
  <c r="DP92" i="6"/>
  <c r="BQ91" i="3"/>
  <c r="BQ92" i="6" s="1"/>
  <c r="AR91" i="3"/>
  <c r="AR92" i="6"/>
  <c r="AJ91" i="3"/>
  <c r="AJ92" i="6"/>
  <c r="AJ60" i="3"/>
  <c r="AJ61" i="6"/>
  <c r="AE27" i="3"/>
  <c r="AE28" i="6" s="1"/>
  <c r="BL27" i="3"/>
  <c r="BL28" i="6"/>
  <c r="CD27" i="3"/>
  <c r="CD28" i="6"/>
  <c r="DF27" i="3"/>
  <c r="DF28" i="6"/>
  <c r="CB27" i="3"/>
  <c r="CB28" i="6" s="1"/>
  <c r="F27" i="3"/>
  <c r="DH28" i="3"/>
  <c r="DH29" i="6" s="1"/>
  <c r="CC28" i="3"/>
  <c r="CC29" i="6" s="1"/>
  <c r="CC3" i="6" s="1"/>
  <c r="BF28" i="3"/>
  <c r="BF29" i="6"/>
  <c r="DD28" i="3"/>
  <c r="DD29" i="6" s="1"/>
  <c r="I28" i="3"/>
  <c r="CD28" i="3"/>
  <c r="CD29" i="6"/>
  <c r="Q88" i="3"/>
  <c r="Q89" i="6"/>
  <c r="CZ88" i="3"/>
  <c r="CZ89" i="6" s="1"/>
  <c r="CB88" i="3"/>
  <c r="CB89" i="6"/>
  <c r="AQ88" i="3"/>
  <c r="AQ89" i="6"/>
  <c r="AI88" i="3"/>
  <c r="AI89" i="6"/>
  <c r="AL131" i="3"/>
  <c r="AL132" i="6" s="1"/>
  <c r="AK131" i="3"/>
  <c r="AK132" i="6"/>
  <c r="U131" i="3"/>
  <c r="U132" i="6"/>
  <c r="AO131" i="3"/>
  <c r="AO132" i="6"/>
  <c r="AI131" i="3"/>
  <c r="AI132" i="6" s="1"/>
  <c r="BA131" i="3"/>
  <c r="BA132" i="6"/>
  <c r="AT131" i="3"/>
  <c r="AT132" i="6"/>
  <c r="BU131" i="3"/>
  <c r="BU132" i="6"/>
  <c r="CF131" i="3"/>
  <c r="CF132" i="6" s="1"/>
  <c r="DJ131" i="3"/>
  <c r="DJ132" i="6"/>
  <c r="AW131" i="3"/>
  <c r="AW132" i="6"/>
  <c r="CL131" i="3"/>
  <c r="CL132" i="6"/>
  <c r="CB131" i="3"/>
  <c r="CB132" i="6" s="1"/>
  <c r="CA131" i="3"/>
  <c r="CA132" i="6"/>
  <c r="CD131" i="3"/>
  <c r="CD132" i="6"/>
  <c r="T131" i="3"/>
  <c r="T132" i="6"/>
  <c r="BC131" i="3"/>
  <c r="BC132" i="6" s="1"/>
  <c r="AQ131" i="3"/>
  <c r="AQ132" i="6"/>
  <c r="BW131" i="3"/>
  <c r="BW132" i="6"/>
  <c r="Z131" i="3"/>
  <c r="Z132" i="6"/>
  <c r="DO131" i="3"/>
  <c r="DO132" i="6" s="1"/>
  <c r="DL131" i="3"/>
  <c r="DL132" i="6"/>
  <c r="AJ131" i="3"/>
  <c r="AJ132" i="6"/>
  <c r="BV131" i="3"/>
  <c r="BV132" i="6"/>
  <c r="AV131" i="3"/>
  <c r="AV132" i="6" s="1"/>
  <c r="CN131" i="3"/>
  <c r="CN132" i="6"/>
  <c r="AE131" i="3"/>
  <c r="AE132" i="6"/>
  <c r="S131" i="3"/>
  <c r="S132" i="6"/>
  <c r="CS131" i="3"/>
  <c r="CS132" i="6" s="1"/>
  <c r="AD131" i="3"/>
  <c r="AD132" i="6"/>
  <c r="BE131" i="3"/>
  <c r="BE132" i="6"/>
  <c r="CW131" i="3"/>
  <c r="CW132" i="6"/>
  <c r="CU131" i="3"/>
  <c r="CU132" i="6" s="1"/>
  <c r="X131" i="3"/>
  <c r="X132" i="6"/>
  <c r="AG131" i="3"/>
  <c r="AG132" i="6"/>
  <c r="BY131" i="3"/>
  <c r="BY132" i="6"/>
  <c r="DQ131" i="3"/>
  <c r="DQ132" i="6" s="1"/>
  <c r="BL131" i="3"/>
  <c r="BL132" i="6"/>
  <c r="C132" i="6"/>
  <c r="I131" i="3"/>
  <c r="I132" i="6" s="1"/>
  <c r="N131" i="3"/>
  <c r="N132" i="6"/>
  <c r="P131" i="3"/>
  <c r="P132" i="6" s="1"/>
  <c r="BF131" i="3"/>
  <c r="BF132" i="6" s="1"/>
  <c r="BH131" i="3"/>
  <c r="BH132" i="6" s="1"/>
  <c r="BG131" i="3"/>
  <c r="BG132" i="6"/>
  <c r="AX131" i="3"/>
  <c r="AX132" i="6" s="1"/>
  <c r="J131" i="3"/>
  <c r="J132" i="6" s="1"/>
  <c r="L131" i="3"/>
  <c r="L132" i="6" s="1"/>
  <c r="BP131" i="3"/>
  <c r="BP132" i="6"/>
  <c r="E131" i="3"/>
  <c r="E132" i="6" s="1"/>
  <c r="CH131" i="3"/>
  <c r="CH132" i="6" s="1"/>
  <c r="K131" i="3"/>
  <c r="K132" i="6" s="1"/>
  <c r="D131" i="3"/>
  <c r="AR131" i="3"/>
  <c r="AR132" i="6" s="1"/>
  <c r="BJ131" i="3"/>
  <c r="BJ132" i="6"/>
  <c r="BI131" i="3"/>
  <c r="BI132" i="6"/>
  <c r="CK131" i="3"/>
  <c r="CK132" i="6"/>
  <c r="CJ131" i="3"/>
  <c r="CJ132" i="6" s="1"/>
  <c r="R131" i="3"/>
  <c r="R132" i="6"/>
  <c r="F131" i="3"/>
  <c r="F132" i="6"/>
  <c r="CY131" i="3"/>
  <c r="CY132" i="6"/>
  <c r="CI131" i="3"/>
  <c r="CI132" i="6" s="1"/>
  <c r="DG131" i="3"/>
  <c r="DG132" i="6"/>
  <c r="CM131" i="3"/>
  <c r="CM132" i="6"/>
  <c r="AB131" i="3"/>
  <c r="AB132" i="6"/>
  <c r="DH131" i="3"/>
  <c r="DH132" i="6" s="1"/>
  <c r="CC131" i="3"/>
  <c r="CC132" i="6"/>
  <c r="CP131" i="3"/>
  <c r="CP132" i="6"/>
  <c r="DE131" i="3"/>
  <c r="DE132" i="6"/>
  <c r="BD131" i="3"/>
  <c r="BD132" i="6" s="1"/>
  <c r="DF131" i="3"/>
  <c r="DF132" i="6"/>
  <c r="DN131" i="3"/>
  <c r="DN132" i="6"/>
  <c r="W131" i="3"/>
  <c r="W132" i="6"/>
  <c r="BX131" i="3"/>
  <c r="BX132" i="6" s="1"/>
  <c r="BS131" i="3"/>
  <c r="BS132" i="6"/>
  <c r="BB131" i="3"/>
  <c r="BB132" i="6"/>
  <c r="BK131" i="3"/>
  <c r="BK132" i="6"/>
  <c r="DB131" i="3"/>
  <c r="DB132" i="6" s="1"/>
  <c r="BR131" i="3"/>
  <c r="BR132" i="6"/>
  <c r="AY131" i="3"/>
  <c r="AY132" i="6"/>
  <c r="BO131" i="3"/>
  <c r="BO132" i="6"/>
  <c r="CG131" i="3"/>
  <c r="CG132" i="6" s="1"/>
  <c r="CO131" i="3"/>
  <c r="CO132" i="6"/>
  <c r="DM131" i="3"/>
  <c r="DM132" i="6"/>
  <c r="CZ131" i="3"/>
  <c r="CZ132" i="6"/>
  <c r="G88" i="3"/>
  <c r="C87" i="4" s="1"/>
  <c r="D91" i="1" s="1"/>
  <c r="G45" i="5" s="1"/>
  <c r="CH88" i="3"/>
  <c r="CH89" i="6" s="1"/>
  <c r="M131" i="3"/>
  <c r="M132" i="6" s="1"/>
  <c r="CQ131" i="3"/>
  <c r="CQ132" i="6" s="1"/>
  <c r="AP131" i="3"/>
  <c r="AP132" i="6"/>
  <c r="O131" i="3"/>
  <c r="O132" i="6" s="1"/>
  <c r="AF131" i="3"/>
  <c r="AF132" i="6" s="1"/>
  <c r="DK131" i="3"/>
  <c r="DK132" i="6" s="1"/>
  <c r="AC131" i="3"/>
  <c r="AC132" i="6"/>
  <c r="AM131" i="3"/>
  <c r="AM132" i="6" s="1"/>
  <c r="BN131" i="3"/>
  <c r="BN132" i="6" s="1"/>
  <c r="DD131" i="3"/>
  <c r="DD132" i="6" s="1"/>
  <c r="CR131" i="3"/>
  <c r="CR132" i="6"/>
  <c r="DA131" i="3"/>
  <c r="DA132" i="6" s="1"/>
  <c r="DP131" i="3"/>
  <c r="DP132" i="6" s="1"/>
  <c r="V131" i="3"/>
  <c r="V132" i="6" s="1"/>
  <c r="CS28" i="3"/>
  <c r="CS29" i="6"/>
  <c r="BL69" i="3"/>
  <c r="BL70" i="6" s="1"/>
  <c r="CX69" i="3"/>
  <c r="CX70" i="6" s="1"/>
  <c r="CB69" i="3"/>
  <c r="CB70" i="6" s="1"/>
  <c r="P69" i="3"/>
  <c r="DF69" i="3"/>
  <c r="DF70" i="6" s="1"/>
  <c r="AA36" i="3"/>
  <c r="AA37" i="6"/>
  <c r="AA3" i="6" s="1"/>
  <c r="CV36" i="3"/>
  <c r="CV37" i="6"/>
  <c r="E36" i="3"/>
  <c r="J36" i="3"/>
  <c r="J37" i="6"/>
  <c r="BN36" i="3"/>
  <c r="BN37" i="6" s="1"/>
  <c r="CJ65" i="3"/>
  <c r="CJ66" i="6" s="1"/>
  <c r="CT65" i="3"/>
  <c r="CT66" i="6" s="1"/>
  <c r="AH65" i="3"/>
  <c r="AH66" i="6"/>
  <c r="BE65" i="3"/>
  <c r="BE66" i="6" s="1"/>
  <c r="CM65" i="3"/>
  <c r="CM66" i="6" s="1"/>
  <c r="BK65" i="3"/>
  <c r="BK66" i="6" s="1"/>
  <c r="AZ65" i="3"/>
  <c r="AZ66" i="6"/>
  <c r="O65" i="3"/>
  <c r="O66" i="6" s="1"/>
  <c r="BS65" i="3"/>
  <c r="BS66" i="6" s="1"/>
  <c r="AE65" i="3"/>
  <c r="AE66" i="6" s="1"/>
  <c r="CQ65" i="3"/>
  <c r="CQ66" i="6"/>
  <c r="G65" i="3"/>
  <c r="CN65" i="3"/>
  <c r="CN66" i="6"/>
  <c r="AV65" i="3"/>
  <c r="AV66" i="6"/>
  <c r="DH65" i="3"/>
  <c r="DH66" i="6"/>
  <c r="CZ65" i="3"/>
  <c r="CZ66" i="6" s="1"/>
  <c r="BV65" i="3"/>
  <c r="BV66" i="6"/>
  <c r="Z65" i="3"/>
  <c r="Z66" i="6"/>
  <c r="DI65" i="3"/>
  <c r="DI66" i="6"/>
  <c r="BM65" i="3"/>
  <c r="BM66" i="6" s="1"/>
  <c r="Q65" i="3"/>
  <c r="Q66" i="6"/>
  <c r="AQ65" i="3"/>
  <c r="AQ66" i="6"/>
  <c r="AU65" i="3"/>
  <c r="AU66" i="6"/>
  <c r="DN65" i="3"/>
  <c r="DN66" i="6" s="1"/>
  <c r="CH65" i="3"/>
  <c r="CH66" i="6"/>
  <c r="AL65" i="3"/>
  <c r="AL66" i="6"/>
  <c r="DE65" i="3"/>
  <c r="DE66" i="6"/>
  <c r="BY65" i="3"/>
  <c r="BY66" i="6" s="1"/>
  <c r="AC65" i="3"/>
  <c r="AC66" i="6"/>
  <c r="AY65" i="3"/>
  <c r="AY66" i="6"/>
  <c r="DK65" i="3"/>
  <c r="DK66" i="6"/>
  <c r="AO65" i="3"/>
  <c r="AO66" i="6" s="1"/>
  <c r="R65" i="3"/>
  <c r="R66" i="6"/>
  <c r="CD65" i="3"/>
  <c r="CD66" i="6"/>
  <c r="AN65" i="3"/>
  <c r="AN66" i="6"/>
  <c r="G111" i="3"/>
  <c r="G112" i="6" s="1"/>
  <c r="S111" i="3"/>
  <c r="S112" i="6" s="1"/>
  <c r="AE111" i="3"/>
  <c r="AE112" i="6" s="1"/>
  <c r="AM111" i="3"/>
  <c r="AM112" i="6" s="1"/>
  <c r="AY111" i="3"/>
  <c r="AY112" i="6"/>
  <c r="BK111" i="3"/>
  <c r="BK112" i="6" s="1"/>
  <c r="BS111" i="3"/>
  <c r="BS112" i="6" s="1"/>
  <c r="CE111" i="3"/>
  <c r="CE112" i="6" s="1"/>
  <c r="CQ111" i="3"/>
  <c r="CQ112" i="6"/>
  <c r="CY111" i="3"/>
  <c r="CY112" i="6" s="1"/>
  <c r="DK111" i="3"/>
  <c r="DK112" i="6" s="1"/>
  <c r="S115" i="3"/>
  <c r="AU115" i="3"/>
  <c r="AU116" i="6"/>
  <c r="CQ115" i="3"/>
  <c r="CQ116" i="6" s="1"/>
  <c r="C133" i="4"/>
  <c r="D137" i="1"/>
  <c r="K46" i="5" s="1"/>
  <c r="C131" i="4"/>
  <c r="D135" i="1" s="1"/>
  <c r="K44" i="5" s="1"/>
  <c r="C127" i="4"/>
  <c r="D131" i="1" s="1"/>
  <c r="K40" i="5" s="1"/>
  <c r="C54" i="4"/>
  <c r="D58" i="1" s="1"/>
  <c r="G12" i="5" s="1"/>
  <c r="C15" i="4"/>
  <c r="D19" i="1"/>
  <c r="C18" i="5"/>
  <c r="C34" i="4"/>
  <c r="D38" i="1" s="1"/>
  <c r="C37" i="5" s="1"/>
  <c r="X137" i="2"/>
  <c r="X3" i="2" s="1"/>
  <c r="C105" i="4"/>
  <c r="D109" i="1"/>
  <c r="K18" i="5"/>
  <c r="C121" i="4"/>
  <c r="D125" i="1" s="1"/>
  <c r="K34" i="5" s="1"/>
  <c r="BV137" i="2"/>
  <c r="BV3" i="2" s="1"/>
  <c r="C97" i="4"/>
  <c r="D101" i="1"/>
  <c r="K10" i="5"/>
  <c r="C73" i="4"/>
  <c r="D77" i="1" s="1"/>
  <c r="G31" i="5" s="1"/>
  <c r="C117" i="4"/>
  <c r="D121" i="1" s="1"/>
  <c r="K30" i="5" s="1"/>
  <c r="C125" i="4"/>
  <c r="D129" i="1"/>
  <c r="K38" i="5" s="1"/>
  <c r="DJ137" i="2"/>
  <c r="DJ3" i="2"/>
  <c r="C12" i="4"/>
  <c r="D16" i="1" s="1"/>
  <c r="C15" i="5" s="1"/>
  <c r="DF137" i="2"/>
  <c r="DF3" i="2"/>
  <c r="BW137" i="2"/>
  <c r="BW3" i="2"/>
  <c r="CS137" i="2"/>
  <c r="CS3" i="2" s="1"/>
  <c r="CD137" i="2"/>
  <c r="CD3" i="2" s="1"/>
  <c r="C72" i="4"/>
  <c r="D76" i="1"/>
  <c r="G30" i="5" s="1"/>
  <c r="C56" i="4"/>
  <c r="D60" i="1"/>
  <c r="G14" i="5" s="1"/>
  <c r="AR137" i="2"/>
  <c r="AR3" i="2" s="1"/>
  <c r="BA137" i="2"/>
  <c r="BA3" i="2"/>
  <c r="K137" i="2"/>
  <c r="K3" i="2" s="1"/>
  <c r="AH137" i="2"/>
  <c r="AH3" i="2" s="1"/>
  <c r="DI137" i="2"/>
  <c r="DI3" i="2" s="1"/>
  <c r="CK137" i="2"/>
  <c r="CK3" i="2"/>
  <c r="DG137" i="2"/>
  <c r="DG3" i="2" s="1"/>
  <c r="C8" i="4"/>
  <c r="D12" i="1"/>
  <c r="C11" i="5" s="1"/>
  <c r="CH137" i="2"/>
  <c r="CH3" i="2" s="1"/>
  <c r="AB137" i="2"/>
  <c r="AB3" i="2"/>
  <c r="BQ137" i="2"/>
  <c r="BQ3" i="2" s="1"/>
  <c r="AW137" i="2"/>
  <c r="AW3" i="2" s="1"/>
  <c r="BB137" i="2"/>
  <c r="BB3" i="2" s="1"/>
  <c r="U137" i="2"/>
  <c r="U3" i="2"/>
  <c r="CL137" i="2"/>
  <c r="CL3" i="2" s="1"/>
  <c r="CJ137" i="2"/>
  <c r="CJ3" i="2" s="1"/>
  <c r="C20" i="4"/>
  <c r="D24" i="1" s="1"/>
  <c r="C23" i="5" s="1"/>
  <c r="C24" i="4"/>
  <c r="D28" i="1" s="1"/>
  <c r="C27" i="5" s="1"/>
  <c r="C14" i="4"/>
  <c r="D18" i="1"/>
  <c r="C17" i="5"/>
  <c r="BF137" i="2"/>
  <c r="BF3" i="2"/>
  <c r="BT137" i="2"/>
  <c r="BT3" i="2"/>
  <c r="AA137" i="2"/>
  <c r="AA3" i="2" s="1"/>
  <c r="AX137" i="2"/>
  <c r="AX3" i="2"/>
  <c r="CU137" i="2"/>
  <c r="CU3" i="2" s="1"/>
  <c r="L137" i="2"/>
  <c r="L3" i="2"/>
  <c r="C28" i="4"/>
  <c r="D32" i="1" s="1"/>
  <c r="C31" i="5" s="1"/>
  <c r="AQ137" i="2"/>
  <c r="AQ3" i="2" s="1"/>
  <c r="CE137" i="2"/>
  <c r="CE3" i="2" s="1"/>
  <c r="Q137" i="2"/>
  <c r="Q3" i="2"/>
  <c r="DN137" i="2"/>
  <c r="DN3" i="2" s="1"/>
  <c r="BI137" i="2"/>
  <c r="BI3" i="2" s="1"/>
  <c r="BE137" i="2"/>
  <c r="BE3" i="2" s="1"/>
  <c r="C71" i="4"/>
  <c r="D75" i="1"/>
  <c r="G29" i="5" s="1"/>
  <c r="C98" i="4"/>
  <c r="D102" i="1"/>
  <c r="K11" i="5" s="1"/>
  <c r="S137" i="2"/>
  <c r="S3" i="2" s="1"/>
  <c r="DA137" i="2"/>
  <c r="DA3" i="2"/>
  <c r="C67" i="4"/>
  <c r="D71" i="1" s="1"/>
  <c r="G25" i="5" s="1"/>
  <c r="F108" i="6"/>
  <c r="C9" i="4"/>
  <c r="D13" i="1" s="1"/>
  <c r="C12" i="5" s="1"/>
  <c r="AZ2" i="2"/>
  <c r="H137" i="2"/>
  <c r="H3" i="2"/>
  <c r="F137" i="2"/>
  <c r="F3" i="2" s="1"/>
  <c r="AT137" i="2"/>
  <c r="AT3" i="2" s="1"/>
  <c r="BO137" i="2"/>
  <c r="BO3" i="2" s="1"/>
  <c r="AI137" i="2"/>
  <c r="AI3" i="2"/>
  <c r="BR137" i="2"/>
  <c r="BR3" i="2" s="1"/>
  <c r="AY137" i="2"/>
  <c r="AY3" i="2" s="1"/>
  <c r="V137" i="2"/>
  <c r="V3" i="2" s="1"/>
  <c r="CI125" i="6"/>
  <c r="CG137" i="2"/>
  <c r="CG3" i="2" s="1"/>
  <c r="AZ137" i="2"/>
  <c r="AZ3" i="2"/>
  <c r="D137" i="2"/>
  <c r="D3" i="2"/>
  <c r="BM137" i="2"/>
  <c r="BM3" i="2"/>
  <c r="AJ137" i="2"/>
  <c r="AJ3" i="2" s="1"/>
  <c r="DM137" i="2"/>
  <c r="DM3" i="2"/>
  <c r="AZ2" i="1"/>
  <c r="AY2" i="2"/>
  <c r="DD137" i="2"/>
  <c r="DD3" i="2" s="1"/>
  <c r="DO137" i="2"/>
  <c r="DO3" i="2"/>
  <c r="CT137" i="2"/>
  <c r="CT3" i="2" s="1"/>
  <c r="AC137" i="2"/>
  <c r="AC3" i="2" s="1"/>
  <c r="CN137" i="2"/>
  <c r="CN3" i="2" s="1"/>
  <c r="CP137" i="2"/>
  <c r="CP3" i="2"/>
  <c r="G137" i="2"/>
  <c r="G3" i="2" s="1"/>
  <c r="BJ137" i="2"/>
  <c r="BJ3" i="2" s="1"/>
  <c r="BN137" i="2"/>
  <c r="BN3" i="2" s="1"/>
  <c r="R137" i="2"/>
  <c r="R3" i="2"/>
  <c r="DC137" i="2"/>
  <c r="DC3" i="2" s="1"/>
  <c r="O137" i="2"/>
  <c r="O3" i="2" s="1"/>
  <c r="CW137" i="2"/>
  <c r="CW3" i="2" s="1"/>
  <c r="BY137" i="2"/>
  <c r="BY3" i="2"/>
  <c r="P137" i="2"/>
  <c r="P3" i="2" s="1"/>
  <c r="DK137" i="2"/>
  <c r="DK3" i="2" s="1"/>
  <c r="DH137" i="2"/>
  <c r="DH3" i="2" s="1"/>
  <c r="DL137" i="2"/>
  <c r="DL3" i="2"/>
  <c r="BX137" i="2"/>
  <c r="BX3" i="2" s="1"/>
  <c r="AE137" i="2"/>
  <c r="AE3" i="2" s="1"/>
  <c r="AL137" i="2"/>
  <c r="AL3" i="2" s="1"/>
  <c r="AU137" i="2"/>
  <c r="AU3" i="2"/>
  <c r="AD137" i="2"/>
  <c r="AD3" i="2" s="1"/>
  <c r="T137" i="2"/>
  <c r="T3" i="2" s="1"/>
  <c r="DB137" i="2"/>
  <c r="DB3" i="2" s="1"/>
  <c r="I137" i="2"/>
  <c r="I3" i="2"/>
  <c r="AG137" i="2"/>
  <c r="AG3" i="2" s="1"/>
  <c r="W137" i="2"/>
  <c r="W3" i="2" s="1"/>
  <c r="BG137" i="2"/>
  <c r="BG3" i="2"/>
  <c r="Y137" i="2"/>
  <c r="Y3" i="2"/>
  <c r="CV137" i="2"/>
  <c r="CV3" i="2"/>
  <c r="BP137" i="2"/>
  <c r="BP3" i="2" s="1"/>
  <c r="AS137" i="2"/>
  <c r="AS3" i="2"/>
  <c r="CR137" i="2"/>
  <c r="CR3" i="2"/>
  <c r="CC137" i="2"/>
  <c r="CC3" i="2"/>
  <c r="AK137" i="2"/>
  <c r="AK3" i="2" s="1"/>
  <c r="BZ137" i="2"/>
  <c r="BZ3" i="2"/>
  <c r="CA137" i="2"/>
  <c r="CA3" i="2"/>
  <c r="E137" i="2"/>
  <c r="E3" i="2"/>
  <c r="C63" i="4"/>
  <c r="D67" i="1" s="1"/>
  <c r="G21" i="5" s="1"/>
  <c r="BU137" i="2"/>
  <c r="BU3" i="2" s="1"/>
  <c r="AF137" i="2"/>
  <c r="AF3" i="2" s="1"/>
  <c r="BD137" i="2"/>
  <c r="BD3" i="2" s="1"/>
  <c r="BK2" i="1"/>
  <c r="BL2" i="1" s="1"/>
  <c r="BJ2" i="2"/>
  <c r="C53" i="4"/>
  <c r="D57" i="1"/>
  <c r="G11" i="5" s="1"/>
  <c r="DP137" i="2"/>
  <c r="DP3" i="2" s="1"/>
  <c r="C76" i="4"/>
  <c r="D80" i="1" s="1"/>
  <c r="G34" i="5" s="1"/>
  <c r="C83" i="4"/>
  <c r="D87" i="1"/>
  <c r="G41" i="5"/>
  <c r="N137" i="2"/>
  <c r="N3" i="2" s="1"/>
  <c r="C41" i="4"/>
  <c r="D45" i="1" s="1"/>
  <c r="C44" i="5" s="1"/>
  <c r="C112" i="4"/>
  <c r="D116" i="1"/>
  <c r="K25" i="5"/>
  <c r="CF137" i="2"/>
  <c r="CF3" i="2"/>
  <c r="AN137" i="2"/>
  <c r="AN3" i="2" s="1"/>
  <c r="CM137" i="2"/>
  <c r="CM3" i="2" s="1"/>
  <c r="J137" i="2"/>
  <c r="J3" i="2" s="1"/>
  <c r="BI2" i="3"/>
  <c r="BI2" i="6" s="1"/>
  <c r="CQ137" i="2"/>
  <c r="CQ3" i="2"/>
  <c r="AV137" i="2"/>
  <c r="AV3" i="2"/>
  <c r="BK137" i="2"/>
  <c r="BK3" i="2"/>
  <c r="Z137" i="2"/>
  <c r="Z3" i="2" s="1"/>
  <c r="CX137" i="2"/>
  <c r="CX3" i="2"/>
  <c r="AO137" i="2"/>
  <c r="AO3" i="2"/>
  <c r="CB137" i="2"/>
  <c r="CB3" i="2"/>
  <c r="C69" i="4"/>
  <c r="D73" i="1" s="1"/>
  <c r="G27" i="5" s="1"/>
  <c r="C25" i="4"/>
  <c r="D29" i="1" s="1"/>
  <c r="C28" i="5" s="1"/>
  <c r="CI137" i="2"/>
  <c r="CI3" i="2" s="1"/>
  <c r="CO137" i="2"/>
  <c r="CO3" i="2" s="1"/>
  <c r="M137" i="2"/>
  <c r="M3" i="2" s="1"/>
  <c r="CY137" i="2"/>
  <c r="CY3" i="2"/>
  <c r="DQ137" i="2"/>
  <c r="DQ3" i="2"/>
  <c r="C3" i="4"/>
  <c r="D7" i="1"/>
  <c r="C6" i="5"/>
  <c r="C88" i="4"/>
  <c r="D92" i="1" s="1"/>
  <c r="G46" i="5" s="1"/>
  <c r="C36" i="4"/>
  <c r="D40" i="1"/>
  <c r="C39" i="5" s="1"/>
  <c r="C6" i="4"/>
  <c r="D10" i="1"/>
  <c r="C9" i="5" s="1"/>
  <c r="BC137" i="2"/>
  <c r="BC3" i="2" s="1"/>
  <c r="C31" i="4"/>
  <c r="D35" i="1"/>
  <c r="C34" i="5" s="1"/>
  <c r="C60" i="4"/>
  <c r="D64" i="1" s="1"/>
  <c r="G18" i="5" s="1"/>
  <c r="C43" i="4"/>
  <c r="D47" i="1"/>
  <c r="C46" i="5" s="1"/>
  <c r="C62" i="4"/>
  <c r="D66" i="1"/>
  <c r="G20" i="5" s="1"/>
  <c r="C11" i="4"/>
  <c r="D15" i="1" s="1"/>
  <c r="C14" i="5" s="1"/>
  <c r="C94" i="4"/>
  <c r="D98" i="1"/>
  <c r="K7" i="5" s="1"/>
  <c r="C132" i="4"/>
  <c r="D136" i="1" s="1"/>
  <c r="K45" i="5" s="1"/>
  <c r="C116" i="4"/>
  <c r="D120" i="1"/>
  <c r="K29" i="5"/>
  <c r="C124" i="4"/>
  <c r="D128" i="1"/>
  <c r="K37" i="5"/>
  <c r="C4" i="4"/>
  <c r="D8" i="1"/>
  <c r="C7" i="5" s="1"/>
  <c r="C128" i="4"/>
  <c r="D132" i="1" s="1"/>
  <c r="K41" i="5" s="1"/>
  <c r="C66" i="4"/>
  <c r="D70" i="1"/>
  <c r="G24" i="5" s="1"/>
  <c r="C32" i="4"/>
  <c r="D36" i="1"/>
  <c r="C35" i="5" s="1"/>
  <c r="C104" i="4"/>
  <c r="D108" i="1"/>
  <c r="K17" i="5"/>
  <c r="C108" i="4"/>
  <c r="D112" i="1"/>
  <c r="K21" i="5" s="1"/>
  <c r="D15" i="6"/>
  <c r="D41" i="6"/>
  <c r="E117" i="6"/>
  <c r="G21" i="6"/>
  <c r="F49" i="6"/>
  <c r="C47" i="4"/>
  <c r="D51" i="1" s="1"/>
  <c r="G5" i="5" s="1"/>
  <c r="D67" i="6"/>
  <c r="C65" i="4"/>
  <c r="D69" i="1"/>
  <c r="G23" i="5" s="1"/>
  <c r="D111" i="6"/>
  <c r="C109" i="4"/>
  <c r="D113" i="1" s="1"/>
  <c r="K22" i="5" s="1"/>
  <c r="D48" i="6"/>
  <c r="H18" i="6"/>
  <c r="C16" i="4"/>
  <c r="D20" i="1" s="1"/>
  <c r="C19" i="5" s="1"/>
  <c r="D86" i="6"/>
  <c r="C23" i="4"/>
  <c r="D27" i="1"/>
  <c r="C26" i="5" s="1"/>
  <c r="D113" i="6"/>
  <c r="D109" i="6"/>
  <c r="D132" i="6"/>
  <c r="F28" i="6"/>
  <c r="G66" i="6"/>
  <c r="D92" i="6"/>
  <c r="S116" i="6"/>
  <c r="E37" i="6"/>
  <c r="C35" i="4"/>
  <c r="D39" i="1"/>
  <c r="C38" i="5"/>
  <c r="P70" i="6"/>
  <c r="I29" i="6"/>
  <c r="C27" i="4"/>
  <c r="D31" i="1" s="1"/>
  <c r="C30" i="5" s="1"/>
  <c r="D63" i="6"/>
  <c r="AY2" i="1"/>
  <c r="BJ2" i="3"/>
  <c r="BJ2" i="6" s="1"/>
  <c r="AY2" i="3"/>
  <c r="AY2" i="6" s="1"/>
  <c r="AX2" i="1"/>
  <c r="AW2" i="2" s="1"/>
  <c r="AX2" i="3"/>
  <c r="AX2" i="6" s="1"/>
  <c r="AX2" i="2"/>
  <c r="AW2" i="3"/>
  <c r="AW2" i="6"/>
  <c r="CM3" i="6" l="1"/>
  <c r="S3" i="6"/>
  <c r="L3" i="6"/>
  <c r="AJ3" i="6"/>
  <c r="CW3" i="6"/>
  <c r="BS3" i="6"/>
  <c r="DK3" i="6"/>
  <c r="DF3" i="6"/>
  <c r="DD3" i="6"/>
  <c r="AS3" i="6"/>
  <c r="CJ3" i="6"/>
  <c r="AD3" i="6"/>
  <c r="CZ3" i="6"/>
  <c r="AB3" i="6"/>
  <c r="BU3" i="6"/>
  <c r="CD3" i="6"/>
  <c r="BT3" i="6"/>
  <c r="AO3" i="6"/>
  <c r="CY3" i="6"/>
  <c r="BR3" i="6"/>
  <c r="BW3" i="6"/>
  <c r="BI3" i="6"/>
  <c r="AF3" i="6"/>
  <c r="AU3" i="6"/>
  <c r="CV3" i="6"/>
  <c r="AR3" i="6"/>
  <c r="BZ3" i="6"/>
  <c r="U3" i="6"/>
  <c r="CK3" i="6"/>
  <c r="AL3" i="6"/>
  <c r="BH3" i="6"/>
  <c r="AV3" i="6"/>
  <c r="BE3" i="6"/>
  <c r="BQ3" i="6"/>
  <c r="W3" i="6"/>
  <c r="AK3" i="6"/>
  <c r="BD3" i="6"/>
  <c r="AX3" i="6"/>
  <c r="I3" i="6"/>
  <c r="CQ3" i="6"/>
  <c r="CU3" i="6"/>
  <c r="BK3" i="6"/>
  <c r="Q3" i="6"/>
  <c r="BC3" i="6"/>
  <c r="BK2" i="3"/>
  <c r="BK2" i="6" s="1"/>
  <c r="BK2" i="2"/>
  <c r="BM2" i="1"/>
  <c r="BO3" i="6"/>
  <c r="BX3" i="6"/>
  <c r="CR3" i="6"/>
  <c r="X3" i="6"/>
  <c r="BV3" i="6"/>
  <c r="DO3" i="6"/>
  <c r="CS3" i="6"/>
  <c r="F3" i="6"/>
  <c r="DQ3" i="6"/>
  <c r="V3" i="6"/>
  <c r="AZ3" i="6"/>
  <c r="C46" i="4"/>
  <c r="D50" i="1" s="1"/>
  <c r="C49" i="5" s="1"/>
  <c r="C39" i="4"/>
  <c r="D43" i="1" s="1"/>
  <c r="C42" i="5" s="1"/>
  <c r="C40" i="4"/>
  <c r="D44" i="1" s="1"/>
  <c r="C43" i="5" s="1"/>
  <c r="C79" i="4"/>
  <c r="D83" i="1" s="1"/>
  <c r="G37" i="5" s="1"/>
  <c r="C26" i="4"/>
  <c r="D30" i="1" s="1"/>
  <c r="C29" i="5" s="1"/>
  <c r="E61" i="6"/>
  <c r="E3" i="6" s="1"/>
  <c r="G89" i="6"/>
  <c r="G3" i="6" s="1"/>
  <c r="C95" i="4"/>
  <c r="D99" i="1" s="1"/>
  <c r="K8" i="5" s="1"/>
  <c r="C21" i="4"/>
  <c r="D25" i="1" s="1"/>
  <c r="C24" i="5" s="1"/>
  <c r="C57" i="4"/>
  <c r="D61" i="1" s="1"/>
  <c r="G15" i="5" s="1"/>
  <c r="C91" i="4"/>
  <c r="D95" i="1" s="1"/>
  <c r="G49" i="5" s="1"/>
  <c r="C85" i="4"/>
  <c r="D89" i="1" s="1"/>
  <c r="G43" i="5" s="1"/>
  <c r="C100" i="4"/>
  <c r="D104" i="1" s="1"/>
  <c r="K13" i="5" s="1"/>
  <c r="C44" i="4"/>
  <c r="D48" i="1" s="1"/>
  <c r="C47" i="5" s="1"/>
  <c r="C96" i="4"/>
  <c r="D100" i="1" s="1"/>
  <c r="K9" i="5" s="1"/>
  <c r="C123" i="4"/>
  <c r="D127" i="1" s="1"/>
  <c r="K36" i="5" s="1"/>
  <c r="C106" i="4"/>
  <c r="D110" i="1" s="1"/>
  <c r="K19" i="5" s="1"/>
  <c r="C48" i="4"/>
  <c r="D52" i="1" s="1"/>
  <c r="G6" i="5" s="1"/>
  <c r="C64" i="4"/>
  <c r="D68" i="1" s="1"/>
  <c r="G22" i="5" s="1"/>
  <c r="C19" i="4"/>
  <c r="D23" i="1" s="1"/>
  <c r="C22" i="5" s="1"/>
  <c r="C84" i="4"/>
  <c r="D88" i="1" s="1"/>
  <c r="G42" i="5" s="1"/>
  <c r="C92" i="4"/>
  <c r="D96" i="1" s="1"/>
  <c r="K5" i="5" s="1"/>
  <c r="C99" i="4"/>
  <c r="D103" i="1" s="1"/>
  <c r="K12" i="5" s="1"/>
  <c r="C37" i="4"/>
  <c r="D41" i="1" s="1"/>
  <c r="C40" i="5" s="1"/>
  <c r="C45" i="4"/>
  <c r="D49" i="1" s="1"/>
  <c r="C48" i="5" s="1"/>
  <c r="C110" i="4"/>
  <c r="D114" i="1" s="1"/>
  <c r="K23" i="5" s="1"/>
  <c r="C107" i="4"/>
  <c r="D111" i="1" s="1"/>
  <c r="K20" i="5" s="1"/>
  <c r="C111" i="4"/>
  <c r="D115" i="1" s="1"/>
  <c r="K24" i="5" s="1"/>
  <c r="C115" i="4"/>
  <c r="D119" i="1" s="1"/>
  <c r="K28" i="5" s="1"/>
  <c r="C17" i="4"/>
  <c r="D21" i="1" s="1"/>
  <c r="C20" i="5" s="1"/>
  <c r="C5" i="4"/>
  <c r="D9" i="1" s="1"/>
  <c r="C8" i="5" s="1"/>
  <c r="C61" i="4"/>
  <c r="D65" i="1" s="1"/>
  <c r="G19" i="5" s="1"/>
  <c r="C68" i="4"/>
  <c r="D72" i="1" s="1"/>
  <c r="G26" i="5" s="1"/>
  <c r="C114" i="4"/>
  <c r="D118" i="1" s="1"/>
  <c r="K27" i="5" s="1"/>
  <c r="C33" i="4"/>
  <c r="D37" i="1" s="1"/>
  <c r="C36" i="5" s="1"/>
  <c r="AW2" i="1"/>
  <c r="C90" i="4"/>
  <c r="D94" i="1" s="1"/>
  <c r="G48" i="5" s="1"/>
  <c r="C52" i="4"/>
  <c r="D56" i="1" s="1"/>
  <c r="G10" i="5" s="1"/>
  <c r="C29" i="4"/>
  <c r="D33" i="1" s="1"/>
  <c r="C32" i="5" s="1"/>
  <c r="C103" i="4"/>
  <c r="D107" i="1" s="1"/>
  <c r="K16" i="5" s="1"/>
  <c r="C130" i="4"/>
  <c r="D134" i="1" s="1"/>
  <c r="K43" i="5" s="1"/>
  <c r="C13" i="4"/>
  <c r="D17" i="1" s="1"/>
  <c r="C16" i="5" s="1"/>
  <c r="C51" i="4"/>
  <c r="D55" i="1" s="1"/>
  <c r="G9" i="5" s="1"/>
  <c r="C101" i="4"/>
  <c r="D105" i="1" s="1"/>
  <c r="K14" i="5" s="1"/>
  <c r="C7" i="4"/>
  <c r="D11" i="1" s="1"/>
  <c r="C10" i="5" s="1"/>
  <c r="C120" i="4"/>
  <c r="D124" i="1" s="1"/>
  <c r="K33" i="5" s="1"/>
  <c r="C49" i="4"/>
  <c r="D53" i="1" s="1"/>
  <c r="G7" i="5" s="1"/>
  <c r="C80" i="4"/>
  <c r="D84" i="1" s="1"/>
  <c r="G38" i="5" s="1"/>
  <c r="C75" i="4"/>
  <c r="D79" i="1" s="1"/>
  <c r="G33" i="5" s="1"/>
  <c r="C18" i="4"/>
  <c r="D22" i="1" s="1"/>
  <c r="C21" i="5" s="1"/>
  <c r="BS119" i="3"/>
  <c r="BS120" i="6" s="1"/>
  <c r="N119" i="3"/>
  <c r="AD119" i="3"/>
  <c r="AD120" i="6" s="1"/>
  <c r="DM119" i="3"/>
  <c r="DM120" i="6" s="1"/>
  <c r="DM3" i="6" s="1"/>
  <c r="BA119" i="3"/>
  <c r="BA120" i="6" s="1"/>
  <c r="BA3" i="6" s="1"/>
  <c r="CX119" i="3"/>
  <c r="CX120" i="6" s="1"/>
  <c r="CX3" i="6" s="1"/>
  <c r="P119" i="3"/>
  <c r="P120" i="6" s="1"/>
  <c r="P3" i="6" s="1"/>
  <c r="CY119" i="3"/>
  <c r="CY120" i="6" s="1"/>
  <c r="BT119" i="3"/>
  <c r="BT120" i="6" s="1"/>
  <c r="Z119" i="3"/>
  <c r="Z120" i="6" s="1"/>
  <c r="Z3" i="6" s="1"/>
  <c r="CW119" i="3"/>
  <c r="CW120" i="6" s="1"/>
  <c r="AK119" i="3"/>
  <c r="AK120" i="6" s="1"/>
  <c r="CB119" i="3"/>
  <c r="CB120" i="6" s="1"/>
  <c r="CB3" i="6" s="1"/>
  <c r="R119" i="3"/>
  <c r="R120" i="6" s="1"/>
  <c r="R3" i="6" s="1"/>
  <c r="CL119" i="3"/>
  <c r="CL120" i="6" s="1"/>
  <c r="CL3" i="6" s="1"/>
  <c r="AL119" i="3"/>
  <c r="AL120" i="6" s="1"/>
  <c r="U119" i="3"/>
  <c r="U120" i="6" s="1"/>
  <c r="CT119" i="3"/>
  <c r="CT120" i="6" s="1"/>
  <c r="CT3" i="6" s="1"/>
  <c r="CP119" i="3"/>
  <c r="CP120" i="6" s="1"/>
  <c r="CP3" i="6" s="1"/>
  <c r="CG119" i="3"/>
  <c r="CG120" i="6" s="1"/>
  <c r="CG3" i="6" s="1"/>
  <c r="DG3" i="6"/>
  <c r="C38" i="4"/>
  <c r="D42" i="1" s="1"/>
  <c r="C41" i="5" s="1"/>
  <c r="B1" i="5"/>
  <c r="N3" i="5" s="1"/>
  <c r="AV2" i="2" l="1"/>
  <c r="AV2" i="1"/>
  <c r="AV2" i="3"/>
  <c r="AV2" i="6" s="1"/>
  <c r="N120" i="6"/>
  <c r="N3" i="6" s="1"/>
  <c r="C118" i="4"/>
  <c r="D122" i="1" s="1"/>
  <c r="K31" i="5" s="1"/>
  <c r="BL2" i="3"/>
  <c r="BL2" i="6" s="1"/>
  <c r="BN2" i="1"/>
  <c r="BL2" i="2"/>
  <c r="BM2" i="2" l="1"/>
  <c r="BM2" i="3"/>
  <c r="BM2" i="6" s="1"/>
  <c r="BO2" i="1"/>
  <c r="AU2" i="1"/>
  <c r="AU2" i="2"/>
  <c r="AU2" i="3"/>
  <c r="AU2" i="6" s="1"/>
  <c r="AT2" i="1" l="1"/>
  <c r="AT2" i="2"/>
  <c r="AT2" i="3"/>
  <c r="AT2" i="6" s="1"/>
  <c r="BN2" i="3"/>
  <c r="BN2" i="6" s="1"/>
  <c r="BP2" i="1"/>
  <c r="BN2" i="2"/>
  <c r="BO2" i="3" l="1"/>
  <c r="BO2" i="6" s="1"/>
  <c r="BO2" i="2"/>
  <c r="BQ2" i="1"/>
  <c r="AS2" i="2"/>
  <c r="AS2" i="1"/>
  <c r="AS2" i="3"/>
  <c r="AS2" i="6" s="1"/>
  <c r="AR2" i="1" l="1"/>
  <c r="AR2" i="2"/>
  <c r="AR2" i="3"/>
  <c r="AR2" i="6" s="1"/>
  <c r="BP2" i="2"/>
  <c r="BR2" i="1"/>
  <c r="BP2" i="3"/>
  <c r="BP2" i="6" s="1"/>
  <c r="BS2" i="1" l="1"/>
  <c r="BQ2" i="3"/>
  <c r="BQ2" i="6" s="1"/>
  <c r="BQ2" i="2"/>
  <c r="AQ2" i="3"/>
  <c r="AQ2" i="6" s="1"/>
  <c r="AQ2" i="1"/>
  <c r="AQ2" i="2"/>
  <c r="BT2" i="1" l="1"/>
  <c r="BR2" i="2"/>
  <c r="BR2" i="3"/>
  <c r="BR2" i="6" s="1"/>
  <c r="AP2" i="1"/>
  <c r="AP2" i="2"/>
  <c r="AP2" i="3"/>
  <c r="AP2" i="6" s="1"/>
  <c r="BS2" i="2" l="1"/>
  <c r="BU2" i="1"/>
  <c r="BS2" i="3"/>
  <c r="BS2" i="6" s="1"/>
  <c r="AO2" i="2"/>
  <c r="AO2" i="1"/>
  <c r="AO2" i="3"/>
  <c r="AO2" i="6" s="1"/>
  <c r="BT2" i="3" l="1"/>
  <c r="BT2" i="6" s="1"/>
  <c r="BT2" i="2"/>
  <c r="BV2" i="1"/>
  <c r="AN2" i="1"/>
  <c r="AN2" i="2"/>
  <c r="AN2" i="3"/>
  <c r="AN2" i="6" s="1"/>
  <c r="AM2" i="1" l="1"/>
  <c r="AM2" i="2"/>
  <c r="AM2" i="3"/>
  <c r="AM2" i="6" s="1"/>
  <c r="BW2" i="1"/>
  <c r="BU2" i="2"/>
  <c r="BU2" i="3"/>
  <c r="BU2" i="6" s="1"/>
  <c r="BX2" i="1" l="1"/>
  <c r="BV2" i="2"/>
  <c r="BV2" i="3"/>
  <c r="BV2" i="6" s="1"/>
  <c r="AL2" i="2"/>
  <c r="AL2" i="1"/>
  <c r="AL2" i="3"/>
  <c r="AL2" i="6" s="1"/>
  <c r="AK2" i="3" l="1"/>
  <c r="AK2" i="6" s="1"/>
  <c r="AK2" i="1"/>
  <c r="AK2" i="2"/>
  <c r="BW2" i="3"/>
  <c r="BW2" i="6" s="1"/>
  <c r="BW2" i="2"/>
  <c r="BY2" i="1"/>
  <c r="AJ2" i="1" l="1"/>
  <c r="AJ2" i="2"/>
  <c r="AJ2" i="3"/>
  <c r="AJ2" i="6" s="1"/>
  <c r="BX2" i="3"/>
  <c r="BX2" i="6" s="1"/>
  <c r="BZ2" i="1"/>
  <c r="BX2" i="2"/>
  <c r="BY2" i="2" l="1"/>
  <c r="CA2" i="1"/>
  <c r="BY2" i="3"/>
  <c r="BY2" i="6" s="1"/>
  <c r="AI2" i="2"/>
  <c r="AI2" i="1"/>
  <c r="AI2" i="3"/>
  <c r="AI2" i="6" s="1"/>
  <c r="CB2" i="1" l="1"/>
  <c r="BZ2" i="2"/>
  <c r="BZ2" i="3"/>
  <c r="BZ2" i="6" s="1"/>
  <c r="AH2" i="1"/>
  <c r="AH2" i="2"/>
  <c r="AH2" i="3"/>
  <c r="AH2" i="6" s="1"/>
  <c r="AG2" i="2" l="1"/>
  <c r="AG2" i="3"/>
  <c r="AG2" i="6" s="1"/>
  <c r="AG2" i="1"/>
  <c r="CA2" i="3"/>
  <c r="CA2" i="6" s="1"/>
  <c r="CA2" i="2"/>
  <c r="CC2" i="1"/>
  <c r="CB2" i="3" l="1"/>
  <c r="CB2" i="6" s="1"/>
  <c r="CB2" i="2"/>
  <c r="CD2" i="1"/>
  <c r="AF2" i="3"/>
  <c r="AF2" i="6" s="1"/>
  <c r="AF2" i="1"/>
  <c r="AF2" i="2"/>
  <c r="CC2" i="3" l="1"/>
  <c r="CC2" i="6" s="1"/>
  <c r="CE2" i="1"/>
  <c r="CC2" i="2"/>
  <c r="AE2" i="2"/>
  <c r="AE2" i="1"/>
  <c r="AE2" i="3"/>
  <c r="AE2" i="6" s="1"/>
  <c r="AD2" i="3" l="1"/>
  <c r="AD2" i="6" s="1"/>
  <c r="AD2" i="1"/>
  <c r="AD2" i="2"/>
  <c r="CF2" i="1"/>
  <c r="CD2" i="2"/>
  <c r="CD2" i="3"/>
  <c r="CD2" i="6" s="1"/>
  <c r="CG2" i="1" l="1"/>
  <c r="CE2" i="3"/>
  <c r="CE2" i="6" s="1"/>
  <c r="CE2" i="2"/>
  <c r="AC2" i="2"/>
  <c r="AC2" i="1"/>
  <c r="AC2" i="3"/>
  <c r="AC2" i="6" s="1"/>
  <c r="AB2" i="3" l="1"/>
  <c r="AB2" i="6" s="1"/>
  <c r="AB2" i="1"/>
  <c r="AB2" i="2"/>
  <c r="CH2" i="1"/>
  <c r="CF2" i="3"/>
  <c r="CF2" i="6" s="1"/>
  <c r="CF2" i="2"/>
  <c r="CG2" i="2" l="1"/>
  <c r="CI2" i="1"/>
  <c r="CG2" i="3"/>
  <c r="CG2" i="6" s="1"/>
  <c r="AA2" i="2"/>
  <c r="AA2" i="1"/>
  <c r="AA2" i="3"/>
  <c r="AA2" i="6" s="1"/>
  <c r="Z2" i="1" l="1"/>
  <c r="Z2" i="2"/>
  <c r="Z2" i="3"/>
  <c r="Z2" i="6" s="1"/>
  <c r="CH2" i="2"/>
  <c r="CH2" i="3"/>
  <c r="CH2" i="6" s="1"/>
  <c r="CJ2" i="1"/>
  <c r="CK2" i="1" l="1"/>
  <c r="CI2" i="3"/>
  <c r="CI2" i="6" s="1"/>
  <c r="CI2" i="2"/>
  <c r="Y2" i="1"/>
  <c r="Y2" i="3"/>
  <c r="Y2" i="6" s="1"/>
  <c r="Y2" i="2"/>
  <c r="X2" i="1" l="1"/>
  <c r="X2" i="2"/>
  <c r="X2" i="3"/>
  <c r="X2" i="6" s="1"/>
  <c r="CL2" i="1"/>
  <c r="CJ2" i="2"/>
  <c r="CJ2" i="3"/>
  <c r="CJ2" i="6" s="1"/>
  <c r="CK2" i="3" l="1"/>
  <c r="CK2" i="6" s="1"/>
  <c r="CK2" i="2"/>
  <c r="CM2" i="1"/>
  <c r="W2" i="1"/>
  <c r="W2" i="2"/>
  <c r="W2" i="3"/>
  <c r="W2" i="6" s="1"/>
  <c r="V2" i="2" l="1"/>
  <c r="V2" i="1"/>
  <c r="V2" i="3"/>
  <c r="V2" i="6" s="1"/>
  <c r="CL2" i="3"/>
  <c r="CL2" i="6" s="1"/>
  <c r="CL2" i="2"/>
  <c r="CN2" i="1"/>
  <c r="CO2" i="1" l="1"/>
  <c r="CM2" i="2"/>
  <c r="CM2" i="3"/>
  <c r="CM2" i="6" s="1"/>
  <c r="U2" i="3"/>
  <c r="U2" i="6" s="1"/>
  <c r="U2" i="1"/>
  <c r="U2" i="2"/>
  <c r="CN2" i="3" l="1"/>
  <c r="CN2" i="6" s="1"/>
  <c r="CN2" i="2"/>
  <c r="CP2" i="1"/>
  <c r="T2" i="1"/>
  <c r="T2" i="2"/>
  <c r="T2" i="3"/>
  <c r="T2" i="6" s="1"/>
  <c r="S2" i="1" l="1"/>
  <c r="S2" i="2"/>
  <c r="S2" i="3"/>
  <c r="S2" i="6" s="1"/>
  <c r="CO2" i="2"/>
  <c r="CO2" i="3"/>
  <c r="CO2" i="6" s="1"/>
  <c r="CQ2" i="1"/>
  <c r="R2" i="2" l="1"/>
  <c r="R2" i="1"/>
  <c r="R2" i="3"/>
  <c r="R2" i="6" s="1"/>
  <c r="CP2" i="3"/>
  <c r="CP2" i="6" s="1"/>
  <c r="CP2" i="2"/>
  <c r="CR2" i="1"/>
  <c r="CS2" i="1" l="1"/>
  <c r="CQ2" i="3"/>
  <c r="CQ2" i="6" s="1"/>
  <c r="CQ2" i="2"/>
  <c r="Q2" i="2"/>
  <c r="Q2" i="1"/>
  <c r="Q2" i="3"/>
  <c r="Q2" i="6" s="1"/>
  <c r="P2" i="2" l="1"/>
  <c r="P2" i="3"/>
  <c r="P2" i="6" s="1"/>
  <c r="P2" i="1"/>
  <c r="CT2" i="1"/>
  <c r="CR2" i="2"/>
  <c r="CR2" i="3"/>
  <c r="CR2" i="6" s="1"/>
  <c r="CS2" i="3" l="1"/>
  <c r="CS2" i="6" s="1"/>
  <c r="CU2" i="1"/>
  <c r="CS2" i="2"/>
  <c r="O2" i="1"/>
  <c r="O2" i="2"/>
  <c r="O2" i="3"/>
  <c r="O2" i="6" s="1"/>
  <c r="N2" i="2" l="1"/>
  <c r="N2" i="1"/>
  <c r="N2" i="3"/>
  <c r="N2" i="6" s="1"/>
  <c r="CV2" i="1"/>
  <c r="CT2" i="2"/>
  <c r="CT2" i="3"/>
  <c r="CT2" i="6" s="1"/>
  <c r="CU2" i="2" l="1"/>
  <c r="CW2" i="1"/>
  <c r="CU2" i="3"/>
  <c r="CU2" i="6" s="1"/>
  <c r="M2" i="1"/>
  <c r="M2" i="2"/>
  <c r="M2" i="3"/>
  <c r="M2" i="6" s="1"/>
  <c r="L2" i="3" l="1"/>
  <c r="L2" i="6" s="1"/>
  <c r="L2" i="1"/>
  <c r="L2" i="2"/>
  <c r="CV2" i="2"/>
  <c r="CX2" i="1"/>
  <c r="CV2" i="3"/>
  <c r="CV2" i="6" s="1"/>
  <c r="CW2" i="2" l="1"/>
  <c r="CW2" i="3"/>
  <c r="CW2" i="6" s="1"/>
  <c r="CY2" i="1"/>
  <c r="K2" i="1"/>
  <c r="K2" i="2"/>
  <c r="K2" i="3"/>
  <c r="K2" i="6" s="1"/>
  <c r="CX2" i="2" l="1"/>
  <c r="CX2" i="3"/>
  <c r="CX2" i="6" s="1"/>
  <c r="CZ2" i="1"/>
  <c r="J2" i="1"/>
  <c r="J2" i="2"/>
  <c r="J2" i="3"/>
  <c r="J2" i="6" s="1"/>
  <c r="DA2" i="1" l="1"/>
  <c r="CY2" i="3"/>
  <c r="CY2" i="6" s="1"/>
  <c r="CY2" i="2"/>
  <c r="I2" i="1"/>
  <c r="I2" i="2"/>
  <c r="I2" i="3"/>
  <c r="I2" i="6" s="1"/>
  <c r="H2" i="2" l="1"/>
  <c r="H2" i="1"/>
  <c r="H2" i="3"/>
  <c r="H2" i="6" s="1"/>
  <c r="CZ2" i="2"/>
  <c r="DB2" i="1"/>
  <c r="CZ2" i="3"/>
  <c r="CZ2" i="6" s="1"/>
  <c r="DC2" i="1" l="1"/>
  <c r="DA2" i="2"/>
  <c r="DA2" i="3"/>
  <c r="DA2" i="6" s="1"/>
  <c r="G2" i="1"/>
  <c r="G2" i="2"/>
  <c r="G2" i="3"/>
  <c r="G2" i="6" s="1"/>
  <c r="F2" i="2" l="1"/>
  <c r="F2" i="1"/>
  <c r="F2" i="3"/>
  <c r="F2" i="6" s="1"/>
  <c r="DD2" i="1"/>
  <c r="DB2" i="2"/>
  <c r="DB2" i="3"/>
  <c r="DB2" i="6" s="1"/>
  <c r="DC2" i="3" l="1"/>
  <c r="DC2" i="6" s="1"/>
  <c r="DE2" i="1"/>
  <c r="DC2" i="2"/>
  <c r="E2" i="1"/>
  <c r="E2" i="2"/>
  <c r="E2" i="3"/>
  <c r="E2" i="6" s="1"/>
  <c r="D2" i="2" l="1"/>
  <c r="D2" i="3"/>
  <c r="DD2" i="3"/>
  <c r="DD2" i="6" s="1"/>
  <c r="DD2" i="2"/>
  <c r="DF2" i="1"/>
  <c r="DG2" i="1" l="1"/>
  <c r="DE2" i="2"/>
  <c r="DE2" i="3"/>
  <c r="DE2" i="6" s="1"/>
  <c r="D2" i="6"/>
  <c r="E1" i="4"/>
  <c r="C1" i="4" s="1"/>
  <c r="DF2" i="2" l="1"/>
  <c r="DF2" i="3"/>
  <c r="DF2" i="6" s="1"/>
  <c r="DH2" i="1"/>
  <c r="F1" i="4"/>
  <c r="D1" i="1"/>
  <c r="E2" i="5" l="1"/>
  <c r="D2" i="1"/>
  <c r="DI2" i="1"/>
  <c r="DG2" i="3"/>
  <c r="DG2" i="6" s="1"/>
  <c r="DG2" i="2"/>
  <c r="DH2" i="2" l="1"/>
  <c r="DH2" i="3"/>
  <c r="DH2" i="6" s="1"/>
  <c r="DJ2" i="1"/>
  <c r="D4" i="1"/>
  <c r="D5" i="1"/>
  <c r="DI2" i="3" l="1"/>
  <c r="DI2" i="6" s="1"/>
  <c r="DK2" i="1"/>
  <c r="DI2" i="2"/>
  <c r="DL2" i="1" l="1"/>
  <c r="DJ2" i="3"/>
  <c r="DJ2" i="6" s="1"/>
  <c r="DJ2" i="2"/>
  <c r="DK2" i="3" l="1"/>
  <c r="DK2" i="6" s="1"/>
  <c r="DK2" i="2"/>
  <c r="DM2" i="1"/>
  <c r="DL2" i="2" l="1"/>
  <c r="DL2" i="3"/>
  <c r="DL2" i="6" s="1"/>
  <c r="DN2" i="1"/>
  <c r="DO2" i="1" l="1"/>
  <c r="DM2" i="2"/>
  <c r="DM2" i="3"/>
  <c r="DM2" i="6" s="1"/>
  <c r="DN2" i="2" l="1"/>
  <c r="DP2" i="1"/>
  <c r="DN2" i="3"/>
  <c r="DN2" i="6" s="1"/>
  <c r="DO2" i="3" l="1"/>
  <c r="DO2" i="6" s="1"/>
  <c r="DQ2" i="1"/>
  <c r="DO2" i="2"/>
  <c r="DR2" i="1" l="1"/>
  <c r="DP2" i="3"/>
  <c r="DP2" i="6" s="1"/>
  <c r="DP2" i="2"/>
  <c r="DQ2" i="2" l="1"/>
  <c r="DQ2" i="3"/>
  <c r="DQ2" i="6" s="1"/>
</calcChain>
</file>

<file path=xl/sharedStrings.xml><?xml version="1.0" encoding="utf-8"?>
<sst xmlns="http://schemas.openxmlformats.org/spreadsheetml/2006/main" count="327" uniqueCount="142">
  <si>
    <t>ዕጣ ቁጥር</t>
  </si>
  <si>
    <t>ስም</t>
  </si>
  <si>
    <t>ክፍያ መጠን</t>
  </si>
  <si>
    <t>መስፍን ሀ/ማሪያም</t>
  </si>
  <si>
    <t>ዓማኑኤል አላሮ</t>
  </si>
  <si>
    <t>ብርሃኑ ማሩ</t>
  </si>
  <si>
    <t>ከፈለኝ ፃዲቁ</t>
  </si>
  <si>
    <t>አስፈው ወርጂ</t>
  </si>
  <si>
    <t>ከተማ ለማ</t>
  </si>
  <si>
    <t>ጥላነሽ ከበደ</t>
  </si>
  <si>
    <t>ሲሳይ ባህሩ</t>
  </si>
  <si>
    <t>ሲንታየሁ ካሳ</t>
  </si>
  <si>
    <t>ሄኖክ በቀለ</t>
  </si>
  <si>
    <t>ሀብታሙ ፃዲቁ</t>
  </si>
  <si>
    <t>ፍሬው ኢትዮጲያ</t>
  </si>
  <si>
    <t>አስራት ኩሳ</t>
  </si>
  <si>
    <t xml:space="preserve">አበራ ዩሐንስ </t>
  </si>
  <si>
    <t>አለማየሁ ገዛህኝ</t>
  </si>
  <si>
    <t>እንግዳ ካሳዬ</t>
  </si>
  <si>
    <t>ህዝቄል ጴጥሮስ</t>
  </si>
  <si>
    <t xml:space="preserve">አንተነህ ግዛዉ </t>
  </si>
  <si>
    <t>ሻምበል ቦንጃ</t>
  </si>
  <si>
    <t>ማተጎ አመኖ</t>
  </si>
  <si>
    <t>ማሩ እርቅይሁን</t>
  </si>
  <si>
    <t>ደረጀ ታደግ</t>
  </si>
  <si>
    <t>ስንቅነሽ ጃራ</t>
  </si>
  <si>
    <t>ይድነቃቸው ወ/መስቀል</t>
  </si>
  <si>
    <t>ፈትለወርቅ ታደሰ</t>
  </si>
  <si>
    <t>አንተነህ ግዛዉ</t>
  </si>
  <si>
    <t>ግርማ አበበ</t>
  </si>
  <si>
    <t>መስፍን መንግስቱ</t>
  </si>
  <si>
    <t>እሱባለው ስለሺ</t>
  </si>
  <si>
    <t>ዳንኤል ጎሌ</t>
  </si>
  <si>
    <t>አየነዉ ፀጋዩ</t>
  </si>
  <si>
    <t>ደሊል ፍሬው</t>
  </si>
  <si>
    <t>ኤርሚያስ ሲራ</t>
  </si>
  <si>
    <t>ቢልቢሎ ቢንቤ</t>
  </si>
  <si>
    <t>ሰለሞን ብርቄ</t>
  </si>
  <si>
    <t xml:space="preserve">ሽታዬ ቦንጌ </t>
  </si>
  <si>
    <t>ኡሬሳ ኡርሳ</t>
  </si>
  <si>
    <t>አሸናፊ ጨመረ</t>
  </si>
  <si>
    <t>ማሩ ዱቤ</t>
  </si>
  <si>
    <t xml:space="preserve">ሞገስ ግርማ </t>
  </si>
  <si>
    <t>ደርጋሶ ደንዴ</t>
  </si>
  <si>
    <t>ተረፈ ዓለሙ</t>
  </si>
  <si>
    <t>ሀብታሙ አበራ</t>
  </si>
  <si>
    <t>ሳምሶን ጀማል</t>
  </si>
  <si>
    <t>ኤርሚያስ ፊሎ</t>
  </si>
  <si>
    <t>ሙሴ ዳንኤል</t>
  </si>
  <si>
    <t>ሽመልስ ሽብሩ</t>
  </si>
  <si>
    <t>ጌታቸው በቀለ</t>
  </si>
  <si>
    <t>ተዘራ ታመነ</t>
  </si>
  <si>
    <t>ሙሉስው ዘገየ</t>
  </si>
  <si>
    <t>ገነት ገ /ፃዲቅ</t>
  </si>
  <si>
    <t>አለሙ ሽመልስ</t>
  </si>
  <si>
    <t>አልማዝ ደምሴ</t>
  </si>
  <si>
    <t>ፍቅሩ ሰጋሮ</t>
  </si>
  <si>
    <t xml:space="preserve">ቴዎድሮስ ጌታቸው </t>
  </si>
  <si>
    <t>ሀጊርሶ ጤሴጎ</t>
  </si>
  <si>
    <t>ለገሰ አሸናፊ</t>
  </si>
  <si>
    <t>ሽፈራው ወርቁ</t>
  </si>
  <si>
    <t>አማረ ወርቁ</t>
  </si>
  <si>
    <t>ጥሩወርቅ አንዳርጌ</t>
  </si>
  <si>
    <t>እስራኤል ዩናስ</t>
  </si>
  <si>
    <t>ሲሳይ ይልማ</t>
  </si>
  <si>
    <t>ይርዳቸዉ ኤርሚያስ</t>
  </si>
  <si>
    <t>ጌቱ በቀለ</t>
  </si>
  <si>
    <t>ሽፈራዉ ከበደ</t>
  </si>
  <si>
    <t>አስቴር ገ/ፃዲቅ</t>
  </si>
  <si>
    <t>መለሰ ከለቻ</t>
  </si>
  <si>
    <t>ሻምበል ሚልክያስ</t>
  </si>
  <si>
    <t>አክሊሉ አጥናፉ</t>
  </si>
  <si>
    <t>ታምራት ወርቁ</t>
  </si>
  <si>
    <t>አዲሱ ግሼ</t>
  </si>
  <si>
    <t>ዘለቀ አከ</t>
  </si>
  <si>
    <t>ጋቶ ጋሌ</t>
  </si>
  <si>
    <t xml:space="preserve">ቀሬ ቀማቾ </t>
  </si>
  <si>
    <t>ሀብታሙ ቀሬ</t>
  </si>
  <si>
    <t xml:space="preserve">ኢዮብ ዋኬኖ </t>
  </si>
  <si>
    <t xml:space="preserve">ስለሺ ግርማ </t>
  </si>
  <si>
    <t>ሰለሞን ግርማ</t>
  </si>
  <si>
    <t xml:space="preserve">ሄኖክ ቶሎሳ </t>
  </si>
  <si>
    <t>ያዕቆብ ይቱራ</t>
  </si>
  <si>
    <t xml:space="preserve">ዬሐንስ ከበደ </t>
  </si>
  <si>
    <t>እያሱ ዎታንጎ</t>
  </si>
  <si>
    <t xml:space="preserve">ዳናዋ ደምሴ </t>
  </si>
  <si>
    <t>ዶክተር ጠቃ</t>
  </si>
  <si>
    <t xml:space="preserve">ታሪኩ ካርሎስ </t>
  </si>
  <si>
    <t xml:space="preserve">ሙሄድን አህመድ </t>
  </si>
  <si>
    <t xml:space="preserve">እዮብ ደርቤ </t>
  </si>
  <si>
    <t>ኢትዮጽያ አንዳርጌ</t>
  </si>
  <si>
    <t xml:space="preserve">ፀጋዬ ቡጤ </t>
  </si>
  <si>
    <t>መኮንን ሰኬሎ</t>
  </si>
  <si>
    <t xml:space="preserve">ፍቃዱ ባልቻ </t>
  </si>
  <si>
    <t>ሮዛ ተስፋማርያም</t>
  </si>
  <si>
    <t xml:space="preserve">ዘመዱ ሸኖ </t>
  </si>
  <si>
    <t>ሰጋሮ ገለሶ</t>
  </si>
  <si>
    <t xml:space="preserve">ስካሬ ደጋጋ </t>
  </si>
  <si>
    <t>ወንድሙ ስንታየሁ</t>
  </si>
  <si>
    <t>አንበሴ ማናዩ</t>
  </si>
  <si>
    <t xml:space="preserve">ሴም ገብራይ </t>
  </si>
  <si>
    <t>ሙሉአባይ መለሰ</t>
  </si>
  <si>
    <t>ደስታ ቶሎሳ</t>
  </si>
  <si>
    <t>ኤልያስ አቢባ</t>
  </si>
  <si>
    <t>ዮሴፍ ዮናስ</t>
  </si>
  <si>
    <t>ሙሉ ቶማስ</t>
  </si>
  <si>
    <t xml:space="preserve">ፀጋዩ ጀምበሬ </t>
  </si>
  <si>
    <t>አለማየሁ ዳንኤል</t>
  </si>
  <si>
    <t xml:space="preserve">ጀማል ኢብራይም </t>
  </si>
  <si>
    <t>ተሻለ አሰፋ</t>
  </si>
  <si>
    <t xml:space="preserve">ታደሰ ሪቂዋ </t>
  </si>
  <si>
    <t>ዘይኑ ባጀግባ</t>
  </si>
  <si>
    <t>ኤልያስ ኩኪሳ</t>
  </si>
  <si>
    <t>በቀለ ዶሳ</t>
  </si>
  <si>
    <t>አበጀ አላሮ</t>
  </si>
  <si>
    <t>ሰለሞን ሰጋሮ</t>
  </si>
  <si>
    <t>አማኑኤል አየለ</t>
  </si>
  <si>
    <t>ጋሻቸዉ ሀብቱ</t>
  </si>
  <si>
    <t>ሚልክያስ እዩኤል</t>
  </si>
  <si>
    <t>ቀን፡-</t>
  </si>
  <si>
    <t>ከፍቃዱ የመጣ ቦኖ …………….…………….</t>
  </si>
  <si>
    <t xml:space="preserve">የማህበር </t>
  </si>
  <si>
    <t>.</t>
  </si>
  <si>
    <t>ኛ ሳምንት</t>
  </si>
  <si>
    <t>ካለፈው የመጣ ቦኖ …………..………………</t>
  </si>
  <si>
    <t>የወጣ ዕጣ ..................</t>
  </si>
  <si>
    <t>ቀሪ ቦኖ ……...…………………….</t>
  </si>
  <si>
    <t xml:space="preserve"> </t>
  </si>
  <si>
    <r>
      <rPr>
        <i/>
        <sz val="10"/>
        <color theme="1"/>
        <rFont val="Nyala"/>
      </rPr>
      <t>ጥላነ</t>
    </r>
    <r>
      <rPr>
        <sz val="10"/>
        <color theme="1"/>
        <rFont val="Nyala"/>
      </rPr>
      <t>ሽ</t>
    </r>
    <r>
      <rPr>
        <i/>
        <sz val="10"/>
        <color theme="1"/>
        <rFont val="Nyala"/>
      </rPr>
      <t xml:space="preserve"> ከበደ</t>
    </r>
  </si>
  <si>
    <t>ጥላነሸ ከበደ</t>
  </si>
  <si>
    <t>ሙሉ አባይ</t>
  </si>
  <si>
    <t>በዕለቱ የተሰበሰበ ገቢ መጠን ………………………………………………………………….</t>
  </si>
  <si>
    <t>በብር</t>
  </si>
  <si>
    <t>X</t>
  </si>
  <si>
    <t>………………….</t>
  </si>
  <si>
    <t>=</t>
  </si>
  <si>
    <t>……………………………….</t>
  </si>
  <si>
    <t>ጠቅላላ ድምር</t>
  </si>
  <si>
    <t>……………………………………….</t>
  </si>
  <si>
    <r>
      <t xml:space="preserve">ወረቀት እና </t>
    </r>
    <r>
      <rPr>
        <sz val="12"/>
        <color theme="1"/>
        <rFont val="Nyala"/>
      </rPr>
      <t>ቼክ</t>
    </r>
  </si>
  <si>
    <t>WEEKS</t>
  </si>
  <si>
    <t>winner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</si>
</sst>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[$-409]d\-mmm\-yy"/>
    <numFmt numFmtId="167" formatCode="[$-409]dd\-mmm\-yy"/>
    <numFmt numFmtId="168" formatCode="[$-F800]dddd\,\ mmmm\ dd\,\ yyyy"/>
    <numFmt numFmtId="169" formatCode="0.0"/>
    <numFmt numFmtId="170" formatCode="[$-409]d\-mmm\-yyyy"/>
    <numFmt numFmtId="171" formatCode="dd/mm/yyyy"/>
  </numFmts>
  <fonts count="20" x14ac:knownFonts="1">
    <font>
      <sz val="11"/>
      <color theme="1"/>
      <name val="Calibri"/>
      <scheme val="minor"/>
    </font>
    <font>
      <i/>
      <sz val="12"/>
      <color theme="1"/>
      <name val="Nyala"/>
    </font>
    <font>
      <i/>
      <sz val="12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i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i/>
      <sz val="12"/>
      <color rgb="FF000000"/>
      <name val="Nyala"/>
    </font>
    <font>
      <i/>
      <sz val="12"/>
      <color rgb="FF000000"/>
      <name val="Calibri"/>
      <family val="2"/>
    </font>
    <font>
      <sz val="10"/>
      <color theme="1"/>
      <name val="Calibri"/>
      <family val="2"/>
    </font>
    <font>
      <b/>
      <sz val="12"/>
      <color theme="1"/>
      <name val="Nyala"/>
    </font>
    <font>
      <i/>
      <sz val="14"/>
      <color rgb="FF000000"/>
      <name val="Nyala"/>
    </font>
    <font>
      <i/>
      <sz val="10"/>
      <color theme="1"/>
      <name val="Calibri"/>
      <family val="2"/>
    </font>
    <font>
      <i/>
      <sz val="10"/>
      <color theme="1"/>
      <name val="Nyala"/>
    </font>
    <font>
      <b/>
      <i/>
      <sz val="10"/>
      <color theme="1"/>
      <name val="Calibri"/>
      <family val="2"/>
    </font>
    <font>
      <sz val="12"/>
      <color theme="1"/>
      <name val="Nyala"/>
    </font>
    <font>
      <sz val="12"/>
      <color theme="1"/>
      <name val="Calibri"/>
      <family val="2"/>
    </font>
    <font>
      <sz val="10"/>
      <color theme="1"/>
      <name val="Nyala"/>
    </font>
    <font>
      <i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6FFAB"/>
        <bgColor rgb="FF66FFAB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164" fontId="1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/>
    <xf numFmtId="0" fontId="3" fillId="0" borderId="0" xfId="0" applyFont="1" applyAlignment="1">
      <alignment vertical="center"/>
    </xf>
    <xf numFmtId="164" fontId="1" fillId="0" borderId="5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165" fontId="5" fillId="0" borderId="3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horizontal="right" vertical="center"/>
    </xf>
    <xf numFmtId="10" fontId="5" fillId="0" borderId="6" xfId="0" applyNumberFormat="1" applyFont="1" applyBorder="1" applyAlignment="1">
      <alignment horizontal="right" vertical="center"/>
    </xf>
    <xf numFmtId="10" fontId="5" fillId="0" borderId="3" xfId="0" applyNumberFormat="1" applyFont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164" fontId="2" fillId="0" borderId="3" xfId="0" applyNumberFormat="1" applyFont="1" applyBorder="1"/>
    <xf numFmtId="1" fontId="2" fillId="0" borderId="3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164" fontId="2" fillId="0" borderId="7" xfId="0" applyNumberFormat="1" applyFont="1" applyBorder="1"/>
    <xf numFmtId="1" fontId="2" fillId="0" borderId="7" xfId="0" applyNumberFormat="1" applyFont="1" applyBorder="1" applyAlignment="1">
      <alignment horizontal="center"/>
    </xf>
    <xf numFmtId="3" fontId="2" fillId="0" borderId="7" xfId="0" applyNumberFormat="1" applyFont="1" applyBorder="1" applyAlignment="1">
      <alignment horizontal="right" vertical="center"/>
    </xf>
    <xf numFmtId="0" fontId="2" fillId="2" borderId="3" xfId="0" applyFont="1" applyFill="1" applyBorder="1" applyAlignment="1">
      <alignment horizontal="center"/>
    </xf>
    <xf numFmtId="43" fontId="3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6" fillId="0" borderId="0" xfId="0" applyNumberFormat="1" applyFont="1"/>
    <xf numFmtId="164" fontId="3" fillId="0" borderId="0" xfId="0" applyNumberFormat="1" applyFont="1"/>
    <xf numFmtId="2" fontId="6" fillId="0" borderId="0" xfId="0" applyNumberFormat="1" applyFont="1"/>
    <xf numFmtId="0" fontId="3" fillId="0" borderId="0" xfId="0" applyFont="1" applyAlignment="1">
      <alignment horizontal="center"/>
    </xf>
    <xf numFmtId="0" fontId="3" fillId="0" borderId="3" xfId="0" applyFont="1" applyBorder="1"/>
    <xf numFmtId="164" fontId="3" fillId="0" borderId="3" xfId="0" applyNumberFormat="1" applyFont="1" applyBorder="1" applyAlignment="1">
      <alignment horizontal="center" vertical="center"/>
    </xf>
    <xf numFmtId="166" fontId="3" fillId="0" borderId="3" xfId="0" applyNumberFormat="1" applyFont="1" applyBorder="1"/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/>
    <xf numFmtId="0" fontId="3" fillId="0" borderId="3" xfId="0" applyFont="1" applyBorder="1" applyAlignment="1">
      <alignment horizontal="center"/>
    </xf>
    <xf numFmtId="0" fontId="3" fillId="0" borderId="9" xfId="0" applyFont="1" applyBorder="1"/>
    <xf numFmtId="0" fontId="7" fillId="0" borderId="0" xfId="0" applyFont="1"/>
    <xf numFmtId="164" fontId="7" fillId="0" borderId="0" xfId="0" applyNumberFormat="1" applyFont="1"/>
    <xf numFmtId="167" fontId="3" fillId="0" borderId="0" xfId="0" applyNumberFormat="1" applyFont="1"/>
    <xf numFmtId="1" fontId="3" fillId="0" borderId="0" xfId="0" applyNumberFormat="1" applyFont="1"/>
    <xf numFmtId="168" fontId="3" fillId="0" borderId="0" xfId="0" applyNumberFormat="1" applyFont="1"/>
    <xf numFmtId="169" fontId="3" fillId="0" borderId="0" xfId="0" applyNumberFormat="1" applyFont="1"/>
    <xf numFmtId="2" fontId="3" fillId="0" borderId="0" xfId="0" applyNumberFormat="1" applyFont="1"/>
    <xf numFmtId="170" fontId="3" fillId="0" borderId="0" xfId="0" applyNumberFormat="1" applyFont="1"/>
    <xf numFmtId="1" fontId="3" fillId="0" borderId="3" xfId="0" applyNumberFormat="1" applyFont="1" applyBorder="1"/>
    <xf numFmtId="171" fontId="9" fillId="0" borderId="0" xfId="0" applyNumberFormat="1" applyFont="1" applyAlignment="1">
      <alignment horizontal="left" vertical="center"/>
    </xf>
    <xf numFmtId="0" fontId="10" fillId="0" borderId="0" xfId="0" applyFont="1"/>
    <xf numFmtId="0" fontId="11" fillId="0" borderId="0" xfId="0" applyFont="1"/>
    <xf numFmtId="0" fontId="8" fillId="0" borderId="0" xfId="0" applyFont="1" applyAlignment="1">
      <alignment vertical="center"/>
    </xf>
    <xf numFmtId="14" fontId="3" fillId="0" borderId="0" xfId="0" applyNumberFormat="1" applyFont="1"/>
    <xf numFmtId="0" fontId="12" fillId="0" borderId="0" xfId="0" applyFont="1" applyAlignment="1">
      <alignment horizontal="left" vertical="center"/>
    </xf>
    <xf numFmtId="0" fontId="10" fillId="0" borderId="12" xfId="0" applyFont="1" applyBorder="1"/>
    <xf numFmtId="0" fontId="13" fillId="0" borderId="3" xfId="0" applyFont="1" applyBorder="1" applyAlignment="1">
      <alignment horizontal="center"/>
    </xf>
    <xf numFmtId="0" fontId="14" fillId="0" borderId="3" xfId="0" applyFont="1" applyBorder="1" applyAlignment="1">
      <alignment vertical="center"/>
    </xf>
    <xf numFmtId="41" fontId="15" fillId="0" borderId="3" xfId="0" applyNumberFormat="1" applyFont="1" applyBorder="1"/>
    <xf numFmtId="43" fontId="13" fillId="0" borderId="3" xfId="0" applyNumberFormat="1" applyFont="1" applyBorder="1"/>
    <xf numFmtId="0" fontId="14" fillId="0" borderId="3" xfId="0" applyFont="1" applyBorder="1"/>
    <xf numFmtId="0" fontId="14" fillId="0" borderId="3" xfId="0" applyFont="1" applyBorder="1" applyAlignment="1">
      <alignment horizontal="left"/>
    </xf>
    <xf numFmtId="0" fontId="14" fillId="0" borderId="3" xfId="0" applyFont="1" applyBorder="1" applyAlignment="1">
      <alignment horizontal="left" vertical="center"/>
    </xf>
    <xf numFmtId="43" fontId="15" fillId="0" borderId="3" xfId="0" applyNumberFormat="1" applyFont="1" applyBorder="1"/>
    <xf numFmtId="1" fontId="10" fillId="0" borderId="0" xfId="0" applyNumberFormat="1" applyFont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center"/>
    </xf>
    <xf numFmtId="1" fontId="7" fillId="0" borderId="0" xfId="0" applyNumberFormat="1" applyFont="1"/>
    <xf numFmtId="0" fontId="3" fillId="0" borderId="0" xfId="0" applyFont="1" applyAlignment="1">
      <alignment horizontal="right"/>
    </xf>
    <xf numFmtId="0" fontId="8" fillId="0" borderId="0" xfId="0" applyFont="1"/>
    <xf numFmtId="0" fontId="10" fillId="0" borderId="10" xfId="0" applyFont="1" applyBorder="1"/>
    <xf numFmtId="0" fontId="10" fillId="0" borderId="11" xfId="0" applyFont="1" applyBorder="1"/>
    <xf numFmtId="0" fontId="17" fillId="0" borderId="3" xfId="0" applyFont="1" applyBorder="1"/>
    <xf numFmtId="1" fontId="19" fillId="0" borderId="0" xfId="0" applyNumberFormat="1" applyFont="1" applyAlignment="1">
      <alignment horizontal="right" vertical="center"/>
    </xf>
    <xf numFmtId="0" fontId="13" fillId="3" borderId="3" xfId="0" applyFont="1" applyFill="1" applyBorder="1" applyAlignment="1">
      <alignment horizontal="center"/>
    </xf>
    <xf numFmtId="0" fontId="14" fillId="3" borderId="3" xfId="0" applyFont="1" applyFill="1" applyBorder="1" applyAlignment="1">
      <alignment vertical="center"/>
    </xf>
    <xf numFmtId="41" fontId="15" fillId="3" borderId="3" xfId="0" applyNumberFormat="1" applyFont="1" applyFill="1" applyBorder="1"/>
    <xf numFmtId="43" fontId="13" fillId="3" borderId="3" xfId="0" applyNumberFormat="1" applyFont="1" applyFill="1" applyBorder="1"/>
    <xf numFmtId="0" fontId="14" fillId="3" borderId="3" xfId="0" applyFont="1" applyFill="1" applyBorder="1" applyAlignment="1">
      <alignment horizontal="left" vertical="center"/>
    </xf>
    <xf numFmtId="0" fontId="0" fillId="3" borderId="0" xfId="0" applyFill="1"/>
    <xf numFmtId="0" fontId="10" fillId="0" borderId="13" xfId="0" applyFont="1" applyBorder="1" applyAlignment="1">
      <alignment horizontal="center"/>
    </xf>
    <xf numFmtId="0" fontId="4" fillId="0" borderId="14" xfId="0" applyFont="1" applyBorder="1"/>
    <xf numFmtId="0" fontId="16" fillId="0" borderId="13" xfId="0" applyFont="1" applyBorder="1" applyAlignment="1">
      <alignment horizontal="center"/>
    </xf>
    <xf numFmtId="0" fontId="4" fillId="0" borderId="15" xfId="0" applyFont="1" applyBorder="1"/>
    <xf numFmtId="3" fontId="5" fillId="0" borderId="6" xfId="0" applyNumberFormat="1" applyFont="1" applyBorder="1" applyAlignment="1">
      <alignment horizontal="center" vertical="center"/>
    </xf>
    <xf numFmtId="0" fontId="4" fillId="0" borderId="7" xfId="0" applyFont="1" applyBorder="1"/>
    <xf numFmtId="0" fontId="1" fillId="0" borderId="1" xfId="0" applyFont="1" applyBorder="1" applyAlignment="1">
      <alignment horizontal="center" vertical="center"/>
    </xf>
    <xf numFmtId="0" fontId="4" fillId="0" borderId="4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6" xfId="0" applyFont="1" applyBorder="1" applyAlignment="1">
      <alignment horizontal="center" vertical="center"/>
    </xf>
    <xf numFmtId="0" fontId="4" fillId="0" borderId="9" xfId="0" applyFont="1" applyBorder="1"/>
    <xf numFmtId="0" fontId="3" fillId="0" borderId="0" xfId="0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1000"/>
  <sheetViews>
    <sheetView tabSelected="1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B94" sqref="B94"/>
    </sheetView>
  </sheetViews>
  <sheetFormatPr defaultColWidth="14.44140625" defaultRowHeight="15" customHeight="1" x14ac:dyDescent="0.3"/>
  <cols>
    <col min="1" max="1" width="8.88671875" customWidth="1"/>
    <col min="2" max="2" width="19.6640625" customWidth="1"/>
    <col min="3" max="3" width="12.109375" hidden="1" customWidth="1"/>
    <col min="4" max="4" width="14.88671875" customWidth="1"/>
    <col min="5" max="5" width="11" customWidth="1"/>
    <col min="6" max="8" width="11.44140625" customWidth="1"/>
    <col min="9" max="9" width="11" customWidth="1"/>
    <col min="10" max="12" width="11.44140625" customWidth="1"/>
    <col min="13" max="18" width="11" customWidth="1"/>
    <col min="19" max="21" width="11.109375" customWidth="1"/>
    <col min="22" max="22" width="11" customWidth="1"/>
    <col min="23" max="25" width="11.6640625" customWidth="1"/>
    <col min="26" max="31" width="11" customWidth="1"/>
    <col min="32" max="34" width="12" customWidth="1"/>
    <col min="35" max="44" width="11" customWidth="1"/>
    <col min="45" max="47" width="11.44140625" customWidth="1"/>
    <col min="48" max="48" width="11" customWidth="1"/>
    <col min="49" max="51" width="11.109375" customWidth="1"/>
    <col min="52" max="57" width="11" customWidth="1"/>
    <col min="58" max="60" width="11.44140625" customWidth="1"/>
    <col min="61" max="61" width="11" customWidth="1"/>
    <col min="62" max="65" width="11.44140625" customWidth="1"/>
    <col min="66" max="66" width="11.6640625" customWidth="1"/>
    <col min="67" max="69" width="10.88671875" customWidth="1"/>
    <col min="70" max="70" width="11" customWidth="1"/>
    <col min="71" max="73" width="11.109375" customWidth="1"/>
    <col min="74" max="74" width="11" customWidth="1"/>
    <col min="75" max="78" width="11.6640625" customWidth="1"/>
    <col min="79" max="82" width="11" customWidth="1"/>
    <col min="83" max="83" width="10.88671875" customWidth="1"/>
    <col min="84" max="86" width="12" customWidth="1"/>
    <col min="87" max="88" width="11" bestFit="1" customWidth="1"/>
    <col min="89" max="91" width="10.88671875" customWidth="1"/>
    <col min="92" max="92" width="11" bestFit="1" customWidth="1"/>
    <col min="93" max="96" width="10.33203125" customWidth="1"/>
    <col min="97" max="99" width="11.44140625" customWidth="1"/>
    <col min="100" max="101" width="11" bestFit="1" customWidth="1"/>
    <col min="102" max="104" width="11.109375" customWidth="1"/>
    <col min="105" max="105" width="11" bestFit="1" customWidth="1"/>
    <col min="106" max="108" width="11" customWidth="1"/>
    <col min="109" max="109" width="10.33203125" customWidth="1"/>
    <col min="110" max="112" width="11.44140625" customWidth="1"/>
    <col min="113" max="114" width="10.33203125" customWidth="1"/>
    <col min="115" max="117" width="11.44140625" customWidth="1"/>
    <col min="118" max="118" width="9.6640625" customWidth="1"/>
    <col min="119" max="121" width="10.88671875" customWidth="1"/>
    <col min="122" max="122" width="10" customWidth="1"/>
    <col min="123" max="123" width="15.33203125" customWidth="1"/>
  </cols>
  <sheetData>
    <row r="1" spans="1:123" ht="16.2" x14ac:dyDescent="0.3">
      <c r="A1" s="87" t="s">
        <v>0</v>
      </c>
      <c r="B1" s="89" t="s">
        <v>1</v>
      </c>
      <c r="C1" s="1" t="s">
        <v>2</v>
      </c>
      <c r="D1" s="2">
        <f ca="1">ROUND(Sheet3!$C$1,0)</f>
        <v>183</v>
      </c>
      <c r="E1" s="3">
        <v>1</v>
      </c>
      <c r="F1" s="3">
        <f t="shared" ref="F1:DR1" si="0">E1+1</f>
        <v>2</v>
      </c>
      <c r="G1" s="3">
        <f t="shared" si="0"/>
        <v>3</v>
      </c>
      <c r="H1" s="3">
        <f t="shared" si="0"/>
        <v>4</v>
      </c>
      <c r="I1" s="3">
        <f t="shared" si="0"/>
        <v>5</v>
      </c>
      <c r="J1" s="3">
        <f t="shared" si="0"/>
        <v>6</v>
      </c>
      <c r="K1" s="3">
        <f t="shared" si="0"/>
        <v>7</v>
      </c>
      <c r="L1" s="3">
        <f t="shared" si="0"/>
        <v>8</v>
      </c>
      <c r="M1" s="3">
        <f t="shared" si="0"/>
        <v>9</v>
      </c>
      <c r="N1" s="3">
        <f t="shared" si="0"/>
        <v>10</v>
      </c>
      <c r="O1" s="3">
        <f t="shared" si="0"/>
        <v>11</v>
      </c>
      <c r="P1" s="3">
        <f t="shared" si="0"/>
        <v>12</v>
      </c>
      <c r="Q1" s="3">
        <f t="shared" si="0"/>
        <v>13</v>
      </c>
      <c r="R1" s="3">
        <f t="shared" si="0"/>
        <v>14</v>
      </c>
      <c r="S1" s="3">
        <f t="shared" si="0"/>
        <v>15</v>
      </c>
      <c r="T1" s="3">
        <f t="shared" si="0"/>
        <v>16</v>
      </c>
      <c r="U1" s="3">
        <f t="shared" si="0"/>
        <v>17</v>
      </c>
      <c r="V1" s="3">
        <f t="shared" si="0"/>
        <v>18</v>
      </c>
      <c r="W1" s="3">
        <f t="shared" si="0"/>
        <v>19</v>
      </c>
      <c r="X1" s="3">
        <f t="shared" si="0"/>
        <v>20</v>
      </c>
      <c r="Y1" s="3">
        <f t="shared" si="0"/>
        <v>21</v>
      </c>
      <c r="Z1" s="3">
        <f t="shared" si="0"/>
        <v>22</v>
      </c>
      <c r="AA1" s="3">
        <f t="shared" si="0"/>
        <v>23</v>
      </c>
      <c r="AB1" s="3">
        <f t="shared" si="0"/>
        <v>24</v>
      </c>
      <c r="AC1" s="3">
        <f t="shared" si="0"/>
        <v>25</v>
      </c>
      <c r="AD1" s="3">
        <f t="shared" si="0"/>
        <v>26</v>
      </c>
      <c r="AE1" s="3">
        <f t="shared" si="0"/>
        <v>27</v>
      </c>
      <c r="AF1" s="3">
        <f t="shared" si="0"/>
        <v>28</v>
      </c>
      <c r="AG1" s="3">
        <f t="shared" si="0"/>
        <v>29</v>
      </c>
      <c r="AH1" s="3">
        <f t="shared" si="0"/>
        <v>30</v>
      </c>
      <c r="AI1" s="3">
        <f t="shared" si="0"/>
        <v>31</v>
      </c>
      <c r="AJ1" s="3">
        <f t="shared" si="0"/>
        <v>32</v>
      </c>
      <c r="AK1" s="3">
        <f t="shared" si="0"/>
        <v>33</v>
      </c>
      <c r="AL1" s="3">
        <f t="shared" si="0"/>
        <v>34</v>
      </c>
      <c r="AM1" s="3">
        <f t="shared" si="0"/>
        <v>35</v>
      </c>
      <c r="AN1" s="3">
        <f t="shared" si="0"/>
        <v>36</v>
      </c>
      <c r="AO1" s="3">
        <f t="shared" si="0"/>
        <v>37</v>
      </c>
      <c r="AP1" s="3">
        <f t="shared" si="0"/>
        <v>38</v>
      </c>
      <c r="AQ1" s="3">
        <f t="shared" si="0"/>
        <v>39</v>
      </c>
      <c r="AR1" s="3">
        <f t="shared" si="0"/>
        <v>40</v>
      </c>
      <c r="AS1" s="3">
        <f t="shared" si="0"/>
        <v>41</v>
      </c>
      <c r="AT1" s="3">
        <f t="shared" si="0"/>
        <v>42</v>
      </c>
      <c r="AU1" s="3">
        <f t="shared" si="0"/>
        <v>43</v>
      </c>
      <c r="AV1" s="3">
        <f t="shared" si="0"/>
        <v>44</v>
      </c>
      <c r="AW1" s="3">
        <f t="shared" si="0"/>
        <v>45</v>
      </c>
      <c r="AX1" s="3">
        <f t="shared" si="0"/>
        <v>46</v>
      </c>
      <c r="AY1" s="3">
        <f t="shared" si="0"/>
        <v>47</v>
      </c>
      <c r="AZ1" s="3">
        <f t="shared" si="0"/>
        <v>48</v>
      </c>
      <c r="BA1" s="3">
        <f t="shared" si="0"/>
        <v>49</v>
      </c>
      <c r="BB1" s="3">
        <f t="shared" si="0"/>
        <v>50</v>
      </c>
      <c r="BC1" s="3">
        <f t="shared" si="0"/>
        <v>51</v>
      </c>
      <c r="BD1" s="3">
        <f t="shared" si="0"/>
        <v>52</v>
      </c>
      <c r="BE1" s="3">
        <f t="shared" si="0"/>
        <v>53</v>
      </c>
      <c r="BF1" s="3">
        <f t="shared" si="0"/>
        <v>54</v>
      </c>
      <c r="BG1" s="3">
        <f t="shared" si="0"/>
        <v>55</v>
      </c>
      <c r="BH1" s="3">
        <f t="shared" si="0"/>
        <v>56</v>
      </c>
      <c r="BI1" s="3">
        <f t="shared" si="0"/>
        <v>57</v>
      </c>
      <c r="BJ1" s="3">
        <f t="shared" si="0"/>
        <v>58</v>
      </c>
      <c r="BK1" s="3">
        <f t="shared" si="0"/>
        <v>59</v>
      </c>
      <c r="BL1" s="3">
        <f t="shared" si="0"/>
        <v>60</v>
      </c>
      <c r="BM1" s="3">
        <f t="shared" si="0"/>
        <v>61</v>
      </c>
      <c r="BN1" s="3">
        <f t="shared" si="0"/>
        <v>62</v>
      </c>
      <c r="BO1" s="3">
        <f t="shared" si="0"/>
        <v>63</v>
      </c>
      <c r="BP1" s="3">
        <f t="shared" si="0"/>
        <v>64</v>
      </c>
      <c r="BQ1" s="3">
        <f t="shared" si="0"/>
        <v>65</v>
      </c>
      <c r="BR1" s="3">
        <f t="shared" si="0"/>
        <v>66</v>
      </c>
      <c r="BS1" s="3">
        <f t="shared" si="0"/>
        <v>67</v>
      </c>
      <c r="BT1" s="3">
        <f t="shared" si="0"/>
        <v>68</v>
      </c>
      <c r="BU1" s="3">
        <f t="shared" si="0"/>
        <v>69</v>
      </c>
      <c r="BV1" s="3">
        <f t="shared" si="0"/>
        <v>70</v>
      </c>
      <c r="BW1" s="3">
        <f t="shared" si="0"/>
        <v>71</v>
      </c>
      <c r="BX1" s="3">
        <f t="shared" si="0"/>
        <v>72</v>
      </c>
      <c r="BY1" s="3">
        <f t="shared" si="0"/>
        <v>73</v>
      </c>
      <c r="BZ1" s="3">
        <f t="shared" si="0"/>
        <v>74</v>
      </c>
      <c r="CA1" s="3">
        <f t="shared" si="0"/>
        <v>75</v>
      </c>
      <c r="CB1" s="3">
        <f t="shared" si="0"/>
        <v>76</v>
      </c>
      <c r="CC1" s="3">
        <f t="shared" si="0"/>
        <v>77</v>
      </c>
      <c r="CD1" s="3">
        <f t="shared" si="0"/>
        <v>78</v>
      </c>
      <c r="CE1" s="3">
        <f t="shared" si="0"/>
        <v>79</v>
      </c>
      <c r="CF1" s="3">
        <f t="shared" si="0"/>
        <v>80</v>
      </c>
      <c r="CG1" s="3">
        <f t="shared" si="0"/>
        <v>81</v>
      </c>
      <c r="CH1" s="3">
        <f t="shared" si="0"/>
        <v>82</v>
      </c>
      <c r="CI1" s="3">
        <f t="shared" si="0"/>
        <v>83</v>
      </c>
      <c r="CJ1" s="3">
        <f t="shared" si="0"/>
        <v>84</v>
      </c>
      <c r="CK1" s="3">
        <f t="shared" si="0"/>
        <v>85</v>
      </c>
      <c r="CL1" s="3">
        <f t="shared" si="0"/>
        <v>86</v>
      </c>
      <c r="CM1" s="3">
        <f t="shared" si="0"/>
        <v>87</v>
      </c>
      <c r="CN1" s="3">
        <f t="shared" si="0"/>
        <v>88</v>
      </c>
      <c r="CO1" s="3">
        <f t="shared" si="0"/>
        <v>89</v>
      </c>
      <c r="CP1" s="3">
        <f t="shared" si="0"/>
        <v>90</v>
      </c>
      <c r="CQ1" s="3">
        <f t="shared" si="0"/>
        <v>91</v>
      </c>
      <c r="CR1" s="3">
        <f t="shared" si="0"/>
        <v>92</v>
      </c>
      <c r="CS1" s="3">
        <f t="shared" si="0"/>
        <v>93</v>
      </c>
      <c r="CT1" s="3">
        <f t="shared" si="0"/>
        <v>94</v>
      </c>
      <c r="CU1" s="3">
        <f t="shared" si="0"/>
        <v>95</v>
      </c>
      <c r="CV1" s="3">
        <f t="shared" si="0"/>
        <v>96</v>
      </c>
      <c r="CW1" s="3">
        <f t="shared" si="0"/>
        <v>97</v>
      </c>
      <c r="CX1" s="3">
        <f t="shared" si="0"/>
        <v>98</v>
      </c>
      <c r="CY1" s="3">
        <f t="shared" si="0"/>
        <v>99</v>
      </c>
      <c r="CZ1" s="3">
        <f t="shared" si="0"/>
        <v>100</v>
      </c>
      <c r="DA1" s="3">
        <f t="shared" si="0"/>
        <v>101</v>
      </c>
      <c r="DB1" s="3">
        <f t="shared" si="0"/>
        <v>102</v>
      </c>
      <c r="DC1" s="3">
        <f t="shared" si="0"/>
        <v>103</v>
      </c>
      <c r="DD1" s="3">
        <f t="shared" si="0"/>
        <v>104</v>
      </c>
      <c r="DE1" s="3">
        <f t="shared" si="0"/>
        <v>105</v>
      </c>
      <c r="DF1" s="3">
        <f t="shared" si="0"/>
        <v>106</v>
      </c>
      <c r="DG1" s="3">
        <f t="shared" si="0"/>
        <v>107</v>
      </c>
      <c r="DH1" s="3">
        <f t="shared" si="0"/>
        <v>108</v>
      </c>
      <c r="DI1" s="3">
        <f t="shared" si="0"/>
        <v>109</v>
      </c>
      <c r="DJ1" s="3">
        <f t="shared" si="0"/>
        <v>110</v>
      </c>
      <c r="DK1" s="3">
        <f t="shared" si="0"/>
        <v>111</v>
      </c>
      <c r="DL1" s="3">
        <f t="shared" si="0"/>
        <v>112</v>
      </c>
      <c r="DM1" s="3">
        <f t="shared" si="0"/>
        <v>113</v>
      </c>
      <c r="DN1" s="3">
        <f t="shared" si="0"/>
        <v>114</v>
      </c>
      <c r="DO1" s="3">
        <f t="shared" si="0"/>
        <v>115</v>
      </c>
      <c r="DP1" s="3">
        <f>DO1+1</f>
        <v>116</v>
      </c>
      <c r="DQ1" s="3">
        <f t="shared" si="0"/>
        <v>117</v>
      </c>
      <c r="DR1" s="3">
        <f t="shared" si="0"/>
        <v>118</v>
      </c>
      <c r="DS1" s="4"/>
    </row>
    <row r="2" spans="1:123" ht="16.2" x14ac:dyDescent="0.3">
      <c r="A2" s="88"/>
      <c r="B2" s="90"/>
      <c r="C2" s="5"/>
      <c r="D2" s="6">
        <f ca="1">113*21000*D1</f>
        <v>434259000</v>
      </c>
      <c r="E2" s="7">
        <f t="shared" ref="E2:BF2" si="1">F2-7</f>
        <v>44871</v>
      </c>
      <c r="F2" s="7">
        <f t="shared" si="1"/>
        <v>44878</v>
      </c>
      <c r="G2" s="7">
        <f t="shared" si="1"/>
        <v>44885</v>
      </c>
      <c r="H2" s="7">
        <f t="shared" si="1"/>
        <v>44892</v>
      </c>
      <c r="I2" s="7">
        <f t="shared" si="1"/>
        <v>44899</v>
      </c>
      <c r="J2" s="7">
        <f t="shared" si="1"/>
        <v>44906</v>
      </c>
      <c r="K2" s="7">
        <f t="shared" si="1"/>
        <v>44913</v>
      </c>
      <c r="L2" s="7">
        <f t="shared" si="1"/>
        <v>44920</v>
      </c>
      <c r="M2" s="7">
        <f t="shared" si="1"/>
        <v>44927</v>
      </c>
      <c r="N2" s="7">
        <f t="shared" si="1"/>
        <v>44934</v>
      </c>
      <c r="O2" s="7">
        <f t="shared" si="1"/>
        <v>44941</v>
      </c>
      <c r="P2" s="7">
        <f t="shared" si="1"/>
        <v>44948</v>
      </c>
      <c r="Q2" s="7">
        <f t="shared" si="1"/>
        <v>44955</v>
      </c>
      <c r="R2" s="7">
        <f t="shared" si="1"/>
        <v>44962</v>
      </c>
      <c r="S2" s="7">
        <f t="shared" si="1"/>
        <v>44969</v>
      </c>
      <c r="T2" s="7">
        <f t="shared" si="1"/>
        <v>44976</v>
      </c>
      <c r="U2" s="7">
        <f t="shared" si="1"/>
        <v>44983</v>
      </c>
      <c r="V2" s="7">
        <f t="shared" si="1"/>
        <v>44990</v>
      </c>
      <c r="W2" s="7">
        <f t="shared" si="1"/>
        <v>44997</v>
      </c>
      <c r="X2" s="7">
        <f t="shared" si="1"/>
        <v>45004</v>
      </c>
      <c r="Y2" s="7">
        <f t="shared" si="1"/>
        <v>45011</v>
      </c>
      <c r="Z2" s="7">
        <f t="shared" si="1"/>
        <v>45018</v>
      </c>
      <c r="AA2" s="7">
        <f t="shared" si="1"/>
        <v>45025</v>
      </c>
      <c r="AB2" s="7">
        <f t="shared" si="1"/>
        <v>45032</v>
      </c>
      <c r="AC2" s="7">
        <f t="shared" si="1"/>
        <v>45039</v>
      </c>
      <c r="AD2" s="7">
        <f t="shared" si="1"/>
        <v>45046</v>
      </c>
      <c r="AE2" s="7">
        <f t="shared" si="1"/>
        <v>45053</v>
      </c>
      <c r="AF2" s="7">
        <f t="shared" si="1"/>
        <v>45060</v>
      </c>
      <c r="AG2" s="7">
        <f t="shared" si="1"/>
        <v>45067</v>
      </c>
      <c r="AH2" s="7">
        <f t="shared" si="1"/>
        <v>45074</v>
      </c>
      <c r="AI2" s="7">
        <f t="shared" si="1"/>
        <v>45081</v>
      </c>
      <c r="AJ2" s="7">
        <f t="shared" si="1"/>
        <v>45088</v>
      </c>
      <c r="AK2" s="7">
        <f t="shared" si="1"/>
        <v>45095</v>
      </c>
      <c r="AL2" s="7">
        <f t="shared" si="1"/>
        <v>45102</v>
      </c>
      <c r="AM2" s="7">
        <f t="shared" si="1"/>
        <v>45109</v>
      </c>
      <c r="AN2" s="7">
        <f t="shared" si="1"/>
        <v>45116</v>
      </c>
      <c r="AO2" s="7">
        <f t="shared" si="1"/>
        <v>45123</v>
      </c>
      <c r="AP2" s="7">
        <f t="shared" si="1"/>
        <v>45130</v>
      </c>
      <c r="AQ2" s="7">
        <f t="shared" si="1"/>
        <v>45137</v>
      </c>
      <c r="AR2" s="7">
        <f t="shared" si="1"/>
        <v>45144</v>
      </c>
      <c r="AS2" s="7">
        <f t="shared" si="1"/>
        <v>45151</v>
      </c>
      <c r="AT2" s="7">
        <f t="shared" si="1"/>
        <v>45158</v>
      </c>
      <c r="AU2" s="7">
        <f t="shared" si="1"/>
        <v>45165</v>
      </c>
      <c r="AV2" s="7">
        <f t="shared" si="1"/>
        <v>45172</v>
      </c>
      <c r="AW2" s="7">
        <f t="shared" si="1"/>
        <v>45179</v>
      </c>
      <c r="AX2" s="7">
        <f t="shared" si="1"/>
        <v>45186</v>
      </c>
      <c r="AY2" s="7">
        <f t="shared" si="1"/>
        <v>45193</v>
      </c>
      <c r="AZ2" s="7">
        <f t="shared" si="1"/>
        <v>45200</v>
      </c>
      <c r="BA2" s="7">
        <f t="shared" si="1"/>
        <v>45207</v>
      </c>
      <c r="BB2" s="7">
        <f t="shared" si="1"/>
        <v>45214</v>
      </c>
      <c r="BC2" s="7">
        <f t="shared" si="1"/>
        <v>45221</v>
      </c>
      <c r="BD2" s="7">
        <f t="shared" si="1"/>
        <v>45228</v>
      </c>
      <c r="BE2" s="7">
        <f t="shared" si="1"/>
        <v>45235</v>
      </c>
      <c r="BF2" s="7">
        <f t="shared" si="1"/>
        <v>45242</v>
      </c>
      <c r="BG2" s="7">
        <v>45249</v>
      </c>
      <c r="BH2" s="7">
        <f t="shared" ref="BH2:DR2" si="2">BG2+7</f>
        <v>45256</v>
      </c>
      <c r="BI2" s="7">
        <f t="shared" si="2"/>
        <v>45263</v>
      </c>
      <c r="BJ2" s="7">
        <f t="shared" si="2"/>
        <v>45270</v>
      </c>
      <c r="BK2" s="7">
        <f t="shared" si="2"/>
        <v>45277</v>
      </c>
      <c r="BL2" s="7">
        <f t="shared" si="2"/>
        <v>45284</v>
      </c>
      <c r="BM2" s="7">
        <f t="shared" si="2"/>
        <v>45291</v>
      </c>
      <c r="BN2" s="7">
        <f t="shared" si="2"/>
        <v>45298</v>
      </c>
      <c r="BO2" s="7">
        <f t="shared" si="2"/>
        <v>45305</v>
      </c>
      <c r="BP2" s="7">
        <f t="shared" si="2"/>
        <v>45312</v>
      </c>
      <c r="BQ2" s="7">
        <f t="shared" si="2"/>
        <v>45319</v>
      </c>
      <c r="BR2" s="7">
        <f t="shared" si="2"/>
        <v>45326</v>
      </c>
      <c r="BS2" s="7">
        <f t="shared" si="2"/>
        <v>45333</v>
      </c>
      <c r="BT2" s="7">
        <f t="shared" si="2"/>
        <v>45340</v>
      </c>
      <c r="BU2" s="7">
        <f t="shared" si="2"/>
        <v>45347</v>
      </c>
      <c r="BV2" s="7">
        <f t="shared" si="2"/>
        <v>45354</v>
      </c>
      <c r="BW2" s="7">
        <f t="shared" si="2"/>
        <v>45361</v>
      </c>
      <c r="BX2" s="7">
        <f t="shared" si="2"/>
        <v>45368</v>
      </c>
      <c r="BY2" s="7">
        <f t="shared" si="2"/>
        <v>45375</v>
      </c>
      <c r="BZ2" s="7">
        <f t="shared" si="2"/>
        <v>45382</v>
      </c>
      <c r="CA2" s="7">
        <f t="shared" si="2"/>
        <v>45389</v>
      </c>
      <c r="CB2" s="7">
        <f t="shared" si="2"/>
        <v>45396</v>
      </c>
      <c r="CC2" s="7">
        <f t="shared" si="2"/>
        <v>45403</v>
      </c>
      <c r="CD2" s="7">
        <f t="shared" si="2"/>
        <v>45410</v>
      </c>
      <c r="CE2" s="7">
        <f t="shared" si="2"/>
        <v>45417</v>
      </c>
      <c r="CF2" s="7">
        <f t="shared" si="2"/>
        <v>45424</v>
      </c>
      <c r="CG2" s="7">
        <f t="shared" si="2"/>
        <v>45431</v>
      </c>
      <c r="CH2" s="7">
        <f t="shared" si="2"/>
        <v>45438</v>
      </c>
      <c r="CI2" s="7">
        <f t="shared" si="2"/>
        <v>45445</v>
      </c>
      <c r="CJ2" s="7">
        <f t="shared" si="2"/>
        <v>45452</v>
      </c>
      <c r="CK2" s="7">
        <f t="shared" si="2"/>
        <v>45459</v>
      </c>
      <c r="CL2" s="7">
        <f t="shared" si="2"/>
        <v>45466</v>
      </c>
      <c r="CM2" s="7">
        <f t="shared" si="2"/>
        <v>45473</v>
      </c>
      <c r="CN2" s="7">
        <f t="shared" si="2"/>
        <v>45480</v>
      </c>
      <c r="CO2" s="7">
        <f t="shared" si="2"/>
        <v>45487</v>
      </c>
      <c r="CP2" s="7">
        <f t="shared" si="2"/>
        <v>45494</v>
      </c>
      <c r="CQ2" s="7">
        <f t="shared" si="2"/>
        <v>45501</v>
      </c>
      <c r="CR2" s="7">
        <f t="shared" si="2"/>
        <v>45508</v>
      </c>
      <c r="CS2" s="7">
        <f t="shared" si="2"/>
        <v>45515</v>
      </c>
      <c r="CT2" s="7">
        <f t="shared" si="2"/>
        <v>45522</v>
      </c>
      <c r="CU2" s="7">
        <f t="shared" si="2"/>
        <v>45529</v>
      </c>
      <c r="CV2" s="7">
        <f t="shared" si="2"/>
        <v>45536</v>
      </c>
      <c r="CW2" s="7">
        <f t="shared" si="2"/>
        <v>45543</v>
      </c>
      <c r="CX2" s="7">
        <f t="shared" si="2"/>
        <v>45550</v>
      </c>
      <c r="CY2" s="7">
        <f t="shared" si="2"/>
        <v>45557</v>
      </c>
      <c r="CZ2" s="7">
        <f t="shared" si="2"/>
        <v>45564</v>
      </c>
      <c r="DA2" s="7">
        <f t="shared" si="2"/>
        <v>45571</v>
      </c>
      <c r="DB2" s="7">
        <f t="shared" si="2"/>
        <v>45578</v>
      </c>
      <c r="DC2" s="7">
        <f t="shared" si="2"/>
        <v>45585</v>
      </c>
      <c r="DD2" s="7">
        <f t="shared" si="2"/>
        <v>45592</v>
      </c>
      <c r="DE2" s="7">
        <f t="shared" si="2"/>
        <v>45599</v>
      </c>
      <c r="DF2" s="7">
        <f t="shared" si="2"/>
        <v>45606</v>
      </c>
      <c r="DG2" s="7">
        <f t="shared" si="2"/>
        <v>45613</v>
      </c>
      <c r="DH2" s="7">
        <f t="shared" si="2"/>
        <v>45620</v>
      </c>
      <c r="DI2" s="7">
        <f t="shared" si="2"/>
        <v>45627</v>
      </c>
      <c r="DJ2" s="7">
        <f t="shared" si="2"/>
        <v>45634</v>
      </c>
      <c r="DK2" s="7">
        <f t="shared" si="2"/>
        <v>45641</v>
      </c>
      <c r="DL2" s="7">
        <f t="shared" si="2"/>
        <v>45648</v>
      </c>
      <c r="DM2" s="7">
        <f t="shared" si="2"/>
        <v>45655</v>
      </c>
      <c r="DN2" s="7">
        <f t="shared" si="2"/>
        <v>45662</v>
      </c>
      <c r="DO2" s="7">
        <f t="shared" si="2"/>
        <v>45669</v>
      </c>
      <c r="DP2" s="7">
        <f t="shared" si="2"/>
        <v>45676</v>
      </c>
      <c r="DQ2" s="7">
        <f t="shared" si="2"/>
        <v>45683</v>
      </c>
      <c r="DR2" s="7">
        <f t="shared" si="2"/>
        <v>45690</v>
      </c>
      <c r="DS2" s="8"/>
    </row>
    <row r="3" spans="1:123" ht="16.2" x14ac:dyDescent="0.3">
      <c r="A3" s="88"/>
      <c r="B3" s="90"/>
      <c r="C3" s="9"/>
      <c r="D3" s="6">
        <f>SUM(E3:DR4)</f>
        <v>230107500</v>
      </c>
      <c r="E3" s="85">
        <f t="shared" ref="E3:DR3" si="3">SUM(E6:E138)</f>
        <v>2247000</v>
      </c>
      <c r="F3" s="85">
        <f t="shared" si="3"/>
        <v>2236500</v>
      </c>
      <c r="G3" s="85">
        <f t="shared" si="3"/>
        <v>2236500</v>
      </c>
      <c r="H3" s="85">
        <f t="shared" si="3"/>
        <v>2236500</v>
      </c>
      <c r="I3" s="85">
        <f t="shared" si="3"/>
        <v>2236500</v>
      </c>
      <c r="J3" s="85">
        <f t="shared" si="3"/>
        <v>2236500</v>
      </c>
      <c r="K3" s="85">
        <f t="shared" si="3"/>
        <v>2236500</v>
      </c>
      <c r="L3" s="85">
        <f t="shared" si="3"/>
        <v>2236500</v>
      </c>
      <c r="M3" s="85">
        <f t="shared" si="3"/>
        <v>2236500</v>
      </c>
      <c r="N3" s="85">
        <f t="shared" si="3"/>
        <v>2236500</v>
      </c>
      <c r="O3" s="85">
        <f t="shared" si="3"/>
        <v>2236500</v>
      </c>
      <c r="P3" s="85">
        <f t="shared" si="3"/>
        <v>2236500</v>
      </c>
      <c r="Q3" s="85">
        <f t="shared" si="3"/>
        <v>2236500</v>
      </c>
      <c r="R3" s="85">
        <f t="shared" si="3"/>
        <v>2236500</v>
      </c>
      <c r="S3" s="85">
        <f t="shared" si="3"/>
        <v>2236500</v>
      </c>
      <c r="T3" s="85">
        <f t="shared" si="3"/>
        <v>2236500</v>
      </c>
      <c r="U3" s="85">
        <f t="shared" si="3"/>
        <v>2236500</v>
      </c>
      <c r="V3" s="85">
        <f t="shared" si="3"/>
        <v>2215500</v>
      </c>
      <c r="W3" s="85">
        <f t="shared" si="3"/>
        <v>2215500</v>
      </c>
      <c r="X3" s="85">
        <f t="shared" si="3"/>
        <v>2079000</v>
      </c>
      <c r="Y3" s="85">
        <f t="shared" si="3"/>
        <v>2236500</v>
      </c>
      <c r="Z3" s="85">
        <f t="shared" si="3"/>
        <v>2163000</v>
      </c>
      <c r="AA3" s="85">
        <f t="shared" si="3"/>
        <v>2289000</v>
      </c>
      <c r="AB3" s="85">
        <f t="shared" si="3"/>
        <v>1753500</v>
      </c>
      <c r="AC3" s="85">
        <f t="shared" si="3"/>
        <v>2730000</v>
      </c>
      <c r="AD3" s="85">
        <f t="shared" si="3"/>
        <v>2142000</v>
      </c>
      <c r="AE3" s="85">
        <f t="shared" si="3"/>
        <v>2142000</v>
      </c>
      <c r="AF3" s="85">
        <f t="shared" si="3"/>
        <v>2068500</v>
      </c>
      <c r="AG3" s="85">
        <f t="shared" si="3"/>
        <v>2383500</v>
      </c>
      <c r="AH3" s="85">
        <f t="shared" si="3"/>
        <v>2257500</v>
      </c>
      <c r="AI3" s="85">
        <f t="shared" si="3"/>
        <v>2373000</v>
      </c>
      <c r="AJ3" s="85">
        <f t="shared" si="3"/>
        <v>2173500</v>
      </c>
      <c r="AK3" s="85">
        <f t="shared" si="3"/>
        <v>2215500</v>
      </c>
      <c r="AL3" s="85">
        <f t="shared" si="3"/>
        <v>2278500</v>
      </c>
      <c r="AM3" s="85">
        <f t="shared" si="3"/>
        <v>2205000</v>
      </c>
      <c r="AN3" s="85">
        <f t="shared" si="3"/>
        <v>2268000</v>
      </c>
      <c r="AO3" s="85">
        <f t="shared" si="3"/>
        <v>2215500</v>
      </c>
      <c r="AP3" s="85">
        <f t="shared" si="3"/>
        <v>2236500</v>
      </c>
      <c r="AQ3" s="85">
        <f t="shared" si="3"/>
        <v>2226000</v>
      </c>
      <c r="AR3" s="85">
        <f t="shared" si="3"/>
        <v>2236500</v>
      </c>
      <c r="AS3" s="85">
        <f t="shared" si="3"/>
        <v>1995000</v>
      </c>
      <c r="AT3" s="85">
        <f t="shared" si="3"/>
        <v>2373000</v>
      </c>
      <c r="AU3" s="85">
        <f t="shared" si="3"/>
        <v>2215500</v>
      </c>
      <c r="AV3" s="85">
        <f t="shared" si="3"/>
        <v>2047500</v>
      </c>
      <c r="AW3" s="85">
        <f t="shared" si="3"/>
        <v>2205000</v>
      </c>
      <c r="AX3" s="85">
        <f t="shared" si="3"/>
        <v>2089500</v>
      </c>
      <c r="AY3" s="85">
        <f t="shared" si="3"/>
        <v>1995000</v>
      </c>
      <c r="AZ3" s="85">
        <f t="shared" si="3"/>
        <v>2100000</v>
      </c>
      <c r="BA3" s="85">
        <f t="shared" si="3"/>
        <v>2331000</v>
      </c>
      <c r="BB3" s="85">
        <f t="shared" si="3"/>
        <v>2173500</v>
      </c>
      <c r="BC3" s="85">
        <f t="shared" si="3"/>
        <v>2226000</v>
      </c>
      <c r="BD3" s="85">
        <f t="shared" si="3"/>
        <v>2100000</v>
      </c>
      <c r="BE3" s="85">
        <f t="shared" si="3"/>
        <v>2268000</v>
      </c>
      <c r="BF3" s="85">
        <f t="shared" si="3"/>
        <v>2100000</v>
      </c>
      <c r="BG3" s="85">
        <f t="shared" si="3"/>
        <v>2215500</v>
      </c>
      <c r="BH3" s="85">
        <f t="shared" si="3"/>
        <v>1732500</v>
      </c>
      <c r="BI3" s="85">
        <f t="shared" si="3"/>
        <v>2446500</v>
      </c>
      <c r="BJ3" s="85">
        <f t="shared" si="3"/>
        <v>1995000</v>
      </c>
      <c r="BK3" s="85">
        <f t="shared" si="3"/>
        <v>2373000</v>
      </c>
      <c r="BL3" s="85">
        <f t="shared" si="3"/>
        <v>2089500</v>
      </c>
      <c r="BM3" s="85">
        <f t="shared" si="3"/>
        <v>2320500</v>
      </c>
      <c r="BN3" s="85">
        <f t="shared" si="3"/>
        <v>1155000</v>
      </c>
      <c r="BO3" s="85">
        <f t="shared" si="3"/>
        <v>2898000</v>
      </c>
      <c r="BP3" s="85">
        <f t="shared" si="3"/>
        <v>1627500</v>
      </c>
      <c r="BQ3" s="85">
        <f t="shared" si="3"/>
        <v>2572500</v>
      </c>
      <c r="BR3" s="85">
        <f t="shared" si="3"/>
        <v>2089500</v>
      </c>
      <c r="BS3" s="85">
        <f t="shared" si="3"/>
        <v>2110500</v>
      </c>
      <c r="BT3" s="85">
        <f t="shared" si="3"/>
        <v>2688000</v>
      </c>
      <c r="BU3" s="85">
        <f t="shared" si="3"/>
        <v>2163000</v>
      </c>
      <c r="BV3" s="85">
        <f t="shared" si="3"/>
        <v>1806000</v>
      </c>
      <c r="BW3" s="85">
        <f t="shared" si="3"/>
        <v>2100000</v>
      </c>
      <c r="BX3" s="85">
        <f t="shared" si="3"/>
        <v>1816500</v>
      </c>
      <c r="BY3" s="85">
        <f t="shared" si="3"/>
        <v>2152500</v>
      </c>
      <c r="BZ3" s="85">
        <f t="shared" si="3"/>
        <v>1837500</v>
      </c>
      <c r="CA3" s="85">
        <f t="shared" si="3"/>
        <v>1942500</v>
      </c>
      <c r="CB3" s="85">
        <f t="shared" si="3"/>
        <v>2089500</v>
      </c>
      <c r="CC3" s="85">
        <f t="shared" si="3"/>
        <v>2278500</v>
      </c>
      <c r="CD3" s="85">
        <f t="shared" si="3"/>
        <v>1753500</v>
      </c>
      <c r="CE3" s="85">
        <f t="shared" si="3"/>
        <v>1176000</v>
      </c>
      <c r="CF3" s="85">
        <f t="shared" si="3"/>
        <v>2719500</v>
      </c>
      <c r="CG3" s="85">
        <f t="shared" si="3"/>
        <v>1827000</v>
      </c>
      <c r="CH3" s="85">
        <f t="shared" si="3"/>
        <v>2205000</v>
      </c>
      <c r="CI3" s="85">
        <f t="shared" si="3"/>
        <v>2110500</v>
      </c>
      <c r="CJ3" s="85">
        <f t="shared" si="3"/>
        <v>2068500</v>
      </c>
      <c r="CK3" s="85">
        <f t="shared" si="3"/>
        <v>2362500</v>
      </c>
      <c r="CL3" s="85">
        <f t="shared" si="3"/>
        <v>1869000</v>
      </c>
      <c r="CM3" s="85">
        <f t="shared" si="3"/>
        <v>2562000</v>
      </c>
      <c r="CN3" s="85">
        <f t="shared" si="3"/>
        <v>2205000</v>
      </c>
      <c r="CO3" s="85">
        <f>SUM(CO6:CO138)</f>
        <v>1932000</v>
      </c>
      <c r="CP3" s="85">
        <f t="shared" si="3"/>
        <v>2362500</v>
      </c>
      <c r="CQ3" s="85">
        <f t="shared" si="3"/>
        <v>2037000</v>
      </c>
      <c r="CR3" s="85">
        <f t="shared" si="3"/>
        <v>1911000</v>
      </c>
      <c r="CS3" s="85">
        <f t="shared" si="3"/>
        <v>2152500</v>
      </c>
      <c r="CT3" s="85">
        <f t="shared" si="3"/>
        <v>2205000</v>
      </c>
      <c r="CU3" s="85">
        <f t="shared" si="3"/>
        <v>1627500</v>
      </c>
      <c r="CV3" s="85">
        <f t="shared" si="3"/>
        <v>2163000</v>
      </c>
      <c r="CW3" s="85">
        <f t="shared" si="3"/>
        <v>1921500</v>
      </c>
      <c r="CX3" s="85">
        <f t="shared" si="3"/>
        <v>1848000</v>
      </c>
      <c r="CY3" s="85">
        <f t="shared" si="3"/>
        <v>1984500</v>
      </c>
      <c r="CZ3" s="85">
        <f t="shared" si="3"/>
        <v>1491000</v>
      </c>
      <c r="DA3" s="85">
        <f t="shared" si="3"/>
        <v>2530500</v>
      </c>
      <c r="DB3" s="85">
        <f t="shared" si="3"/>
        <v>2100000</v>
      </c>
      <c r="DC3" s="85">
        <f t="shared" si="3"/>
        <v>1291500</v>
      </c>
      <c r="DD3" s="85">
        <f t="shared" si="3"/>
        <v>2005500</v>
      </c>
      <c r="DE3" s="85">
        <f t="shared" si="3"/>
        <v>1953000</v>
      </c>
      <c r="DF3" s="85">
        <f t="shared" si="3"/>
        <v>1806000</v>
      </c>
      <c r="DG3" s="85">
        <f t="shared" si="3"/>
        <v>2026500</v>
      </c>
      <c r="DH3" s="85">
        <f>SUM(DH6:DH138)</f>
        <v>2047500</v>
      </c>
      <c r="DI3" s="85">
        <f t="shared" si="3"/>
        <v>0</v>
      </c>
      <c r="DJ3" s="85">
        <f t="shared" si="3"/>
        <v>0</v>
      </c>
      <c r="DK3" s="85">
        <f t="shared" si="3"/>
        <v>0</v>
      </c>
      <c r="DL3" s="85">
        <f t="shared" si="3"/>
        <v>0</v>
      </c>
      <c r="DM3" s="85">
        <f t="shared" si="3"/>
        <v>0</v>
      </c>
      <c r="DN3" s="85">
        <f t="shared" si="3"/>
        <v>0</v>
      </c>
      <c r="DO3" s="85">
        <f t="shared" si="3"/>
        <v>0</v>
      </c>
      <c r="DP3" s="85">
        <f t="shared" si="3"/>
        <v>0</v>
      </c>
      <c r="DQ3" s="85">
        <f t="shared" si="3"/>
        <v>0</v>
      </c>
      <c r="DR3" s="85">
        <f t="shared" si="3"/>
        <v>0</v>
      </c>
      <c r="DS3" s="10"/>
    </row>
    <row r="4" spans="1:123" ht="16.2" x14ac:dyDescent="0.3">
      <c r="A4" s="88"/>
      <c r="B4" s="90"/>
      <c r="C4" s="9"/>
      <c r="D4" s="11">
        <f ca="1">D2-D3</f>
        <v>204151500</v>
      </c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  <c r="BM4" s="86"/>
      <c r="BN4" s="86"/>
      <c r="BO4" s="86"/>
      <c r="BP4" s="86"/>
      <c r="BQ4" s="86"/>
      <c r="BR4" s="86"/>
      <c r="BS4" s="86"/>
      <c r="BT4" s="86"/>
      <c r="BU4" s="86"/>
      <c r="BV4" s="86"/>
      <c r="BW4" s="86"/>
      <c r="BX4" s="86"/>
      <c r="BY4" s="86"/>
      <c r="BZ4" s="86"/>
      <c r="CA4" s="86"/>
      <c r="CB4" s="86"/>
      <c r="CC4" s="86"/>
      <c r="CD4" s="86"/>
      <c r="CE4" s="86"/>
      <c r="CF4" s="86"/>
      <c r="CG4" s="86"/>
      <c r="CH4" s="86"/>
      <c r="CI4" s="86"/>
      <c r="CJ4" s="86"/>
      <c r="CK4" s="86"/>
      <c r="CL4" s="86"/>
      <c r="CM4" s="86"/>
      <c r="CN4" s="86"/>
      <c r="CO4" s="86"/>
      <c r="CP4" s="86"/>
      <c r="CQ4" s="86"/>
      <c r="CR4" s="86"/>
      <c r="CS4" s="86"/>
      <c r="CT4" s="86"/>
      <c r="CU4" s="86"/>
      <c r="CV4" s="86"/>
      <c r="CW4" s="86"/>
      <c r="CX4" s="86"/>
      <c r="CY4" s="86"/>
      <c r="CZ4" s="86"/>
      <c r="DA4" s="86"/>
      <c r="DB4" s="86"/>
      <c r="DC4" s="86"/>
      <c r="DD4" s="86"/>
      <c r="DE4" s="86"/>
      <c r="DF4" s="86"/>
      <c r="DG4" s="86"/>
      <c r="DH4" s="86"/>
      <c r="DI4" s="86"/>
      <c r="DJ4" s="86"/>
      <c r="DK4" s="86"/>
      <c r="DL4" s="86"/>
      <c r="DM4" s="86"/>
      <c r="DN4" s="86"/>
      <c r="DO4" s="86"/>
      <c r="DP4" s="86"/>
      <c r="DQ4" s="86"/>
      <c r="DR4" s="86"/>
      <c r="DS4" s="10"/>
    </row>
    <row r="5" spans="1:123" ht="16.2" x14ac:dyDescent="0.3">
      <c r="A5" s="88"/>
      <c r="B5" s="90"/>
      <c r="C5" s="12"/>
      <c r="D5" s="13">
        <f ca="1">D3/D2</f>
        <v>0.52988539097635279</v>
      </c>
      <c r="E5" s="14">
        <f t="shared" ref="E5:DR5" si="4">E3/(113*21000)</f>
        <v>0.94690265486725667</v>
      </c>
      <c r="F5" s="14">
        <f t="shared" si="4"/>
        <v>0.94247787610619471</v>
      </c>
      <c r="G5" s="14">
        <f t="shared" si="4"/>
        <v>0.94247787610619471</v>
      </c>
      <c r="H5" s="14">
        <f t="shared" si="4"/>
        <v>0.94247787610619471</v>
      </c>
      <c r="I5" s="14">
        <f t="shared" si="4"/>
        <v>0.94247787610619471</v>
      </c>
      <c r="J5" s="14">
        <f t="shared" si="4"/>
        <v>0.94247787610619471</v>
      </c>
      <c r="K5" s="14">
        <f t="shared" si="4"/>
        <v>0.94247787610619471</v>
      </c>
      <c r="L5" s="14">
        <f t="shared" si="4"/>
        <v>0.94247787610619471</v>
      </c>
      <c r="M5" s="14">
        <f t="shared" si="4"/>
        <v>0.94247787610619471</v>
      </c>
      <c r="N5" s="14">
        <f t="shared" si="4"/>
        <v>0.94247787610619471</v>
      </c>
      <c r="O5" s="14">
        <f t="shared" si="4"/>
        <v>0.94247787610619471</v>
      </c>
      <c r="P5" s="14">
        <f t="shared" si="4"/>
        <v>0.94247787610619471</v>
      </c>
      <c r="Q5" s="14">
        <f t="shared" si="4"/>
        <v>0.94247787610619471</v>
      </c>
      <c r="R5" s="14">
        <f t="shared" si="4"/>
        <v>0.94247787610619471</v>
      </c>
      <c r="S5" s="14">
        <f t="shared" si="4"/>
        <v>0.94247787610619471</v>
      </c>
      <c r="T5" s="14">
        <f t="shared" si="4"/>
        <v>0.94247787610619471</v>
      </c>
      <c r="U5" s="14">
        <f t="shared" si="4"/>
        <v>0.94247787610619471</v>
      </c>
      <c r="V5" s="14">
        <f t="shared" si="4"/>
        <v>0.9336283185840708</v>
      </c>
      <c r="W5" s="14">
        <f t="shared" si="4"/>
        <v>0.9336283185840708</v>
      </c>
      <c r="X5" s="14">
        <f t="shared" si="4"/>
        <v>0.87610619469026552</v>
      </c>
      <c r="Y5" s="14">
        <f t="shared" si="4"/>
        <v>0.94247787610619471</v>
      </c>
      <c r="Z5" s="14">
        <f t="shared" si="4"/>
        <v>0.91150442477876104</v>
      </c>
      <c r="AA5" s="14">
        <f t="shared" si="4"/>
        <v>0.96460176991150437</v>
      </c>
      <c r="AB5" s="14">
        <f t="shared" si="4"/>
        <v>0.73893805309734517</v>
      </c>
      <c r="AC5" s="14">
        <f t="shared" si="4"/>
        <v>1.1504424778761062</v>
      </c>
      <c r="AD5" s="14">
        <f t="shared" si="4"/>
        <v>0.90265486725663713</v>
      </c>
      <c r="AE5" s="14">
        <f t="shared" si="4"/>
        <v>0.90265486725663713</v>
      </c>
      <c r="AF5" s="14">
        <f t="shared" si="4"/>
        <v>0.87168141592920356</v>
      </c>
      <c r="AG5" s="14">
        <f t="shared" si="4"/>
        <v>1.0044247787610618</v>
      </c>
      <c r="AH5" s="14">
        <f t="shared" si="4"/>
        <v>0.95132743362831862</v>
      </c>
      <c r="AI5" s="14">
        <f t="shared" si="4"/>
        <v>1</v>
      </c>
      <c r="AJ5" s="14">
        <f t="shared" si="4"/>
        <v>0.91592920353982299</v>
      </c>
      <c r="AK5" s="14">
        <f t="shared" si="4"/>
        <v>0.9336283185840708</v>
      </c>
      <c r="AL5" s="14">
        <f t="shared" si="4"/>
        <v>0.96017699115044253</v>
      </c>
      <c r="AM5" s="14">
        <f t="shared" si="4"/>
        <v>0.92920353982300885</v>
      </c>
      <c r="AN5" s="14">
        <f t="shared" si="4"/>
        <v>0.95575221238938057</v>
      </c>
      <c r="AO5" s="14">
        <f t="shared" si="4"/>
        <v>0.9336283185840708</v>
      </c>
      <c r="AP5" s="14">
        <f t="shared" si="4"/>
        <v>0.94247787610619471</v>
      </c>
      <c r="AQ5" s="14">
        <f t="shared" si="4"/>
        <v>0.93805309734513276</v>
      </c>
      <c r="AR5" s="14">
        <f t="shared" si="4"/>
        <v>0.94247787610619471</v>
      </c>
      <c r="AS5" s="14">
        <f t="shared" si="4"/>
        <v>0.84070796460176989</v>
      </c>
      <c r="AT5" s="14">
        <f t="shared" si="4"/>
        <v>1</v>
      </c>
      <c r="AU5" s="14">
        <f t="shared" si="4"/>
        <v>0.9336283185840708</v>
      </c>
      <c r="AV5" s="14">
        <f t="shared" si="4"/>
        <v>0.86283185840707965</v>
      </c>
      <c r="AW5" s="14">
        <f t="shared" si="4"/>
        <v>0.92920353982300885</v>
      </c>
      <c r="AX5" s="14">
        <f t="shared" si="4"/>
        <v>0.88053097345132747</v>
      </c>
      <c r="AY5" s="14">
        <f t="shared" si="4"/>
        <v>0.84070796460176989</v>
      </c>
      <c r="AZ5" s="14">
        <f t="shared" si="4"/>
        <v>0.88495575221238942</v>
      </c>
      <c r="BA5" s="14">
        <f t="shared" si="4"/>
        <v>0.98230088495575218</v>
      </c>
      <c r="BB5" s="14">
        <f t="shared" si="4"/>
        <v>0.91592920353982299</v>
      </c>
      <c r="BC5" s="14">
        <f t="shared" si="4"/>
        <v>0.93805309734513276</v>
      </c>
      <c r="BD5" s="14">
        <f t="shared" si="4"/>
        <v>0.88495575221238942</v>
      </c>
      <c r="BE5" s="14">
        <f t="shared" si="4"/>
        <v>0.95575221238938057</v>
      </c>
      <c r="BF5" s="14">
        <f t="shared" si="4"/>
        <v>0.88495575221238942</v>
      </c>
      <c r="BG5" s="14">
        <f t="shared" si="4"/>
        <v>0.9336283185840708</v>
      </c>
      <c r="BH5" s="14">
        <f t="shared" si="4"/>
        <v>0.73008849557522126</v>
      </c>
      <c r="BI5" s="14">
        <f t="shared" si="4"/>
        <v>1.0309734513274336</v>
      </c>
      <c r="BJ5" s="14">
        <f t="shared" si="4"/>
        <v>0.84070796460176989</v>
      </c>
      <c r="BK5" s="14">
        <f t="shared" si="4"/>
        <v>1</v>
      </c>
      <c r="BL5" s="14">
        <f t="shared" si="4"/>
        <v>0.88053097345132747</v>
      </c>
      <c r="BM5" s="14">
        <f t="shared" si="4"/>
        <v>0.97787610619469023</v>
      </c>
      <c r="BN5" s="14">
        <f t="shared" si="4"/>
        <v>0.48672566371681414</v>
      </c>
      <c r="BO5" s="14">
        <f t="shared" si="4"/>
        <v>1.2212389380530972</v>
      </c>
      <c r="BP5" s="14">
        <f t="shared" si="4"/>
        <v>0.68584070796460173</v>
      </c>
      <c r="BQ5" s="14">
        <f t="shared" si="4"/>
        <v>1.084070796460177</v>
      </c>
      <c r="BR5" s="14">
        <f t="shared" si="4"/>
        <v>0.88053097345132747</v>
      </c>
      <c r="BS5" s="14">
        <f t="shared" si="4"/>
        <v>0.88938053097345138</v>
      </c>
      <c r="BT5" s="14">
        <f t="shared" si="4"/>
        <v>1.1327433628318584</v>
      </c>
      <c r="BU5" s="14">
        <f t="shared" si="4"/>
        <v>0.91150442477876104</v>
      </c>
      <c r="BV5" s="14">
        <f t="shared" si="4"/>
        <v>0.76106194690265483</v>
      </c>
      <c r="BW5" s="14">
        <f t="shared" si="4"/>
        <v>0.88495575221238942</v>
      </c>
      <c r="BX5" s="14">
        <f t="shared" si="4"/>
        <v>0.76548672566371678</v>
      </c>
      <c r="BY5" s="14">
        <f t="shared" si="4"/>
        <v>0.90707964601769908</v>
      </c>
      <c r="BZ5" s="14">
        <f t="shared" si="4"/>
        <v>0.77433628318584069</v>
      </c>
      <c r="CA5" s="14">
        <f t="shared" si="4"/>
        <v>0.81858407079646023</v>
      </c>
      <c r="CB5" s="14">
        <f t="shared" si="4"/>
        <v>0.88053097345132747</v>
      </c>
      <c r="CC5" s="14">
        <f t="shared" si="4"/>
        <v>0.96017699115044253</v>
      </c>
      <c r="CD5" s="14">
        <f t="shared" si="4"/>
        <v>0.73893805309734517</v>
      </c>
      <c r="CE5" s="14">
        <f t="shared" si="4"/>
        <v>0.49557522123893805</v>
      </c>
      <c r="CF5" s="14">
        <f t="shared" si="4"/>
        <v>1.1460176991150441</v>
      </c>
      <c r="CG5" s="14">
        <f t="shared" si="4"/>
        <v>0.76991150442477874</v>
      </c>
      <c r="CH5" s="14">
        <f t="shared" si="4"/>
        <v>0.92920353982300885</v>
      </c>
      <c r="CI5" s="14">
        <f t="shared" si="4"/>
        <v>0.88938053097345138</v>
      </c>
      <c r="CJ5" s="14">
        <f t="shared" si="4"/>
        <v>0.87168141592920356</v>
      </c>
      <c r="CK5" s="14">
        <f t="shared" si="4"/>
        <v>0.99557522123893805</v>
      </c>
      <c r="CL5" s="14">
        <f t="shared" si="4"/>
        <v>0.78761061946902655</v>
      </c>
      <c r="CM5" s="14">
        <f t="shared" si="4"/>
        <v>1.0796460176991149</v>
      </c>
      <c r="CN5" s="14">
        <f t="shared" si="4"/>
        <v>0.92920353982300885</v>
      </c>
      <c r="CO5" s="14">
        <f t="shared" si="4"/>
        <v>0.81415929203539827</v>
      </c>
      <c r="CP5" s="14">
        <f t="shared" si="4"/>
        <v>0.99557522123893805</v>
      </c>
      <c r="CQ5" s="14">
        <f t="shared" si="4"/>
        <v>0.8584070796460177</v>
      </c>
      <c r="CR5" s="14">
        <f t="shared" si="4"/>
        <v>0.80530973451327437</v>
      </c>
      <c r="CS5" s="14">
        <f t="shared" si="4"/>
        <v>0.90707964601769908</v>
      </c>
      <c r="CT5" s="14">
        <f t="shared" si="4"/>
        <v>0.92920353982300885</v>
      </c>
      <c r="CU5" s="14">
        <f t="shared" si="4"/>
        <v>0.68584070796460173</v>
      </c>
      <c r="CV5" s="14">
        <f t="shared" si="4"/>
        <v>0.91150442477876104</v>
      </c>
      <c r="CW5" s="14">
        <f t="shared" si="4"/>
        <v>0.80973451327433632</v>
      </c>
      <c r="CX5" s="14">
        <f t="shared" si="4"/>
        <v>0.77876106194690264</v>
      </c>
      <c r="CY5" s="14">
        <f t="shared" si="4"/>
        <v>0.83628318584070793</v>
      </c>
      <c r="CZ5" s="14">
        <f t="shared" si="4"/>
        <v>0.62831858407079644</v>
      </c>
      <c r="DA5" s="14">
        <f t="shared" si="4"/>
        <v>1.0663716814159292</v>
      </c>
      <c r="DB5" s="14">
        <f t="shared" si="4"/>
        <v>0.88495575221238942</v>
      </c>
      <c r="DC5" s="14">
        <f t="shared" si="4"/>
        <v>0.54424778761061943</v>
      </c>
      <c r="DD5" s="14">
        <f t="shared" si="4"/>
        <v>0.84513274336283184</v>
      </c>
      <c r="DE5" s="14">
        <f t="shared" si="4"/>
        <v>0.82300884955752207</v>
      </c>
      <c r="DF5" s="14">
        <f t="shared" si="4"/>
        <v>0.76106194690265483</v>
      </c>
      <c r="DG5" s="14">
        <f t="shared" si="4"/>
        <v>0.85398230088495575</v>
      </c>
      <c r="DH5" s="14">
        <f t="shared" si="4"/>
        <v>0.86283185840707965</v>
      </c>
      <c r="DI5" s="14">
        <f t="shared" si="4"/>
        <v>0</v>
      </c>
      <c r="DJ5" s="14">
        <f t="shared" si="4"/>
        <v>0</v>
      </c>
      <c r="DK5" s="14">
        <f t="shared" si="4"/>
        <v>0</v>
      </c>
      <c r="DL5" s="14">
        <f t="shared" si="4"/>
        <v>0</v>
      </c>
      <c r="DM5" s="14">
        <f t="shared" si="4"/>
        <v>0</v>
      </c>
      <c r="DN5" s="14">
        <f t="shared" si="4"/>
        <v>0</v>
      </c>
      <c r="DO5" s="14">
        <f t="shared" si="4"/>
        <v>0</v>
      </c>
      <c r="DP5" s="14">
        <f t="shared" si="4"/>
        <v>0</v>
      </c>
      <c r="DQ5" s="14">
        <f t="shared" si="4"/>
        <v>0</v>
      </c>
      <c r="DR5" s="14">
        <f t="shared" si="4"/>
        <v>0</v>
      </c>
      <c r="DS5" s="10"/>
    </row>
    <row r="6" spans="1:123" ht="15.75" customHeight="1" x14ac:dyDescent="0.3">
      <c r="A6" s="15">
        <v>1</v>
      </c>
      <c r="B6" s="16" t="s">
        <v>3</v>
      </c>
      <c r="C6" s="17">
        <v>21000</v>
      </c>
      <c r="D6" s="18">
        <f>Sheet3!C2</f>
        <v>103</v>
      </c>
      <c r="E6" s="19">
        <v>21000</v>
      </c>
      <c r="F6" s="19">
        <v>21000</v>
      </c>
      <c r="G6" s="19">
        <v>21000</v>
      </c>
      <c r="H6" s="19">
        <v>21000</v>
      </c>
      <c r="I6" s="19">
        <v>21000</v>
      </c>
      <c r="J6" s="19">
        <v>21000</v>
      </c>
      <c r="K6" s="19">
        <v>21000</v>
      </c>
      <c r="L6" s="19">
        <v>21000</v>
      </c>
      <c r="M6" s="19">
        <v>21000</v>
      </c>
      <c r="N6" s="19">
        <v>21000</v>
      </c>
      <c r="O6" s="19">
        <v>21000</v>
      </c>
      <c r="P6" s="19">
        <v>21000</v>
      </c>
      <c r="Q6" s="19">
        <v>21000</v>
      </c>
      <c r="R6" s="19">
        <v>21000</v>
      </c>
      <c r="S6" s="19">
        <v>21000</v>
      </c>
      <c r="T6" s="19">
        <v>21000</v>
      </c>
      <c r="U6" s="19">
        <v>21000</v>
      </c>
      <c r="V6" s="19">
        <v>21000</v>
      </c>
      <c r="W6" s="19">
        <v>21000</v>
      </c>
      <c r="X6" s="19">
        <v>0</v>
      </c>
      <c r="Y6" s="19">
        <v>21000</v>
      </c>
      <c r="Z6" s="19">
        <v>42000</v>
      </c>
      <c r="AA6" s="19">
        <v>21000</v>
      </c>
      <c r="AB6" s="19">
        <v>21000</v>
      </c>
      <c r="AC6" s="19">
        <v>21000</v>
      </c>
      <c r="AD6" s="19">
        <v>21000</v>
      </c>
      <c r="AE6" s="19">
        <v>21000</v>
      </c>
      <c r="AF6" s="19">
        <v>21000</v>
      </c>
      <c r="AG6" s="19">
        <v>21000</v>
      </c>
      <c r="AH6" s="19">
        <v>21000</v>
      </c>
      <c r="AI6" s="19">
        <v>0</v>
      </c>
      <c r="AJ6" s="19">
        <v>42000</v>
      </c>
      <c r="AK6" s="19">
        <v>0</v>
      </c>
      <c r="AL6" s="19">
        <v>42000</v>
      </c>
      <c r="AM6" s="19">
        <v>21000</v>
      </c>
      <c r="AN6" s="19">
        <v>21000</v>
      </c>
      <c r="AO6" s="19">
        <v>21000</v>
      </c>
      <c r="AP6" s="19">
        <v>21000</v>
      </c>
      <c r="AQ6" s="19">
        <v>21000</v>
      </c>
      <c r="AR6" s="19">
        <v>0</v>
      </c>
      <c r="AS6" s="19">
        <v>0</v>
      </c>
      <c r="AT6" s="19">
        <v>0</v>
      </c>
      <c r="AU6" s="19">
        <v>84000</v>
      </c>
      <c r="AV6" s="19">
        <v>21000</v>
      </c>
      <c r="AW6" s="19">
        <v>21000</v>
      </c>
      <c r="AX6" s="19">
        <v>21000</v>
      </c>
      <c r="AY6" s="19">
        <v>0</v>
      </c>
      <c r="AZ6" s="19">
        <v>21000</v>
      </c>
      <c r="BA6" s="19">
        <v>21000</v>
      </c>
      <c r="BB6" s="19">
        <v>0</v>
      </c>
      <c r="BC6" s="19">
        <v>42000</v>
      </c>
      <c r="BD6" s="19">
        <v>21000</v>
      </c>
      <c r="BE6" s="19">
        <v>42000</v>
      </c>
      <c r="BF6" s="19">
        <v>21000</v>
      </c>
      <c r="BG6" s="19">
        <v>0</v>
      </c>
      <c r="BH6" s="19">
        <v>21000</v>
      </c>
      <c r="BI6" s="19">
        <v>42000</v>
      </c>
      <c r="BJ6" s="19">
        <v>0</v>
      </c>
      <c r="BK6" s="19">
        <v>42000</v>
      </c>
      <c r="BL6" s="19">
        <v>0</v>
      </c>
      <c r="BM6" s="19">
        <v>0</v>
      </c>
      <c r="BN6" s="19">
        <v>0</v>
      </c>
      <c r="BO6" s="19">
        <v>84000</v>
      </c>
      <c r="BP6" s="19">
        <v>0</v>
      </c>
      <c r="BQ6" s="19"/>
      <c r="BR6" s="19">
        <v>63000</v>
      </c>
      <c r="BS6" s="19">
        <v>0</v>
      </c>
      <c r="BT6" s="19">
        <v>42000</v>
      </c>
      <c r="BU6" s="19">
        <v>21000</v>
      </c>
      <c r="BV6" s="19">
        <v>0</v>
      </c>
      <c r="BW6" s="19">
        <v>42000</v>
      </c>
      <c r="BX6" s="19">
        <v>0</v>
      </c>
      <c r="BY6" s="19">
        <v>0</v>
      </c>
      <c r="BZ6" s="19">
        <v>42000</v>
      </c>
      <c r="CA6" s="19">
        <v>21000</v>
      </c>
      <c r="CB6" s="19">
        <v>0</v>
      </c>
      <c r="CC6" s="19">
        <v>0</v>
      </c>
      <c r="CD6" s="19">
        <v>0</v>
      </c>
      <c r="CE6" s="19">
        <v>0</v>
      </c>
      <c r="CF6" s="19">
        <v>0</v>
      </c>
      <c r="CG6" s="19">
        <v>42000</v>
      </c>
      <c r="CH6" s="19">
        <v>0</v>
      </c>
      <c r="CI6" s="19">
        <v>84000</v>
      </c>
      <c r="CJ6" s="19">
        <v>0</v>
      </c>
      <c r="CK6" s="19">
        <v>105000</v>
      </c>
      <c r="CL6" s="19">
        <v>21000</v>
      </c>
      <c r="CM6" s="19">
        <v>21000</v>
      </c>
      <c r="CN6" s="19">
        <v>21000</v>
      </c>
      <c r="CO6" s="19">
        <v>0</v>
      </c>
      <c r="CP6" s="19">
        <v>0</v>
      </c>
      <c r="CQ6" s="19">
        <v>21000</v>
      </c>
      <c r="CR6" s="19">
        <v>42000</v>
      </c>
      <c r="CS6" s="19">
        <v>42000</v>
      </c>
      <c r="CT6" s="19">
        <v>21000</v>
      </c>
      <c r="CU6" s="19">
        <v>0</v>
      </c>
      <c r="CV6" s="19">
        <v>0</v>
      </c>
      <c r="CW6" s="19">
        <v>21000</v>
      </c>
      <c r="CX6" s="19">
        <v>21000</v>
      </c>
      <c r="CY6" s="19">
        <v>42000</v>
      </c>
      <c r="CZ6" s="19">
        <v>0</v>
      </c>
      <c r="DA6" s="19">
        <v>0</v>
      </c>
      <c r="DB6" s="19">
        <v>0</v>
      </c>
      <c r="DC6" s="19">
        <v>21000</v>
      </c>
      <c r="DD6" s="19">
        <v>42000</v>
      </c>
      <c r="DE6" s="19">
        <v>21000</v>
      </c>
      <c r="DF6" s="19">
        <v>21000</v>
      </c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</row>
    <row r="7" spans="1:123" ht="15.75" customHeight="1" x14ac:dyDescent="0.3">
      <c r="A7" s="20">
        <v>2</v>
      </c>
      <c r="B7" s="21" t="s">
        <v>4</v>
      </c>
      <c r="C7" s="22">
        <v>21000</v>
      </c>
      <c r="D7" s="23">
        <f>Sheet3!C3</f>
        <v>108</v>
      </c>
      <c r="E7" s="24">
        <v>21000</v>
      </c>
      <c r="F7" s="24">
        <v>21000</v>
      </c>
      <c r="G7" s="24">
        <v>21000</v>
      </c>
      <c r="H7" s="24">
        <v>21000</v>
      </c>
      <c r="I7" s="24">
        <v>21000</v>
      </c>
      <c r="J7" s="24">
        <v>21000</v>
      </c>
      <c r="K7" s="24">
        <v>21000</v>
      </c>
      <c r="L7" s="24">
        <v>21000</v>
      </c>
      <c r="M7" s="24">
        <v>21000</v>
      </c>
      <c r="N7" s="24">
        <v>21000</v>
      </c>
      <c r="O7" s="24">
        <v>21000</v>
      </c>
      <c r="P7" s="24">
        <v>21000</v>
      </c>
      <c r="Q7" s="24">
        <v>21000</v>
      </c>
      <c r="R7" s="24">
        <v>21000</v>
      </c>
      <c r="S7" s="24">
        <v>21000</v>
      </c>
      <c r="T7" s="24">
        <v>21000</v>
      </c>
      <c r="U7" s="24">
        <v>21000</v>
      </c>
      <c r="V7" s="24">
        <v>21000</v>
      </c>
      <c r="W7" s="24">
        <v>21000</v>
      </c>
      <c r="X7" s="24">
        <v>21000</v>
      </c>
      <c r="Y7" s="24">
        <v>21000</v>
      </c>
      <c r="Z7" s="24">
        <v>21000</v>
      </c>
      <c r="AA7" s="24">
        <v>21000</v>
      </c>
      <c r="AB7" s="24">
        <v>21000</v>
      </c>
      <c r="AC7" s="24">
        <v>21000</v>
      </c>
      <c r="AD7" s="24">
        <v>21000</v>
      </c>
      <c r="AE7" s="24">
        <v>21000</v>
      </c>
      <c r="AF7" s="24">
        <v>21000</v>
      </c>
      <c r="AG7" s="24">
        <v>21000</v>
      </c>
      <c r="AH7" s="24">
        <v>21000</v>
      </c>
      <c r="AI7" s="24">
        <v>21000</v>
      </c>
      <c r="AJ7" s="24">
        <v>21000</v>
      </c>
      <c r="AK7" s="24">
        <v>21000</v>
      </c>
      <c r="AL7" s="24">
        <v>21000</v>
      </c>
      <c r="AM7" s="24">
        <v>21000</v>
      </c>
      <c r="AN7" s="24">
        <v>21000</v>
      </c>
      <c r="AO7" s="24">
        <v>21000</v>
      </c>
      <c r="AP7" s="24">
        <v>21000</v>
      </c>
      <c r="AQ7" s="24">
        <v>21000</v>
      </c>
      <c r="AR7" s="24">
        <v>21000</v>
      </c>
      <c r="AS7" s="24">
        <v>21000</v>
      </c>
      <c r="AT7" s="24">
        <v>21000</v>
      </c>
      <c r="AU7" s="24">
        <v>21000</v>
      </c>
      <c r="AV7" s="24">
        <v>21000</v>
      </c>
      <c r="AW7" s="24">
        <v>21000</v>
      </c>
      <c r="AX7" s="24">
        <v>21000</v>
      </c>
      <c r="AY7" s="24">
        <v>21000</v>
      </c>
      <c r="AZ7" s="24">
        <v>21000</v>
      </c>
      <c r="BA7" s="24">
        <v>21000</v>
      </c>
      <c r="BB7" s="24">
        <v>21000</v>
      </c>
      <c r="BC7" s="24">
        <v>21000</v>
      </c>
      <c r="BD7" s="24">
        <v>21000</v>
      </c>
      <c r="BE7" s="24">
        <v>21000</v>
      </c>
      <c r="BF7" s="24">
        <v>21000</v>
      </c>
      <c r="BG7" s="24">
        <v>21000</v>
      </c>
      <c r="BH7" s="24">
        <v>21000</v>
      </c>
      <c r="BI7" s="24">
        <v>21000</v>
      </c>
      <c r="BJ7" s="24">
        <v>21000</v>
      </c>
      <c r="BK7" s="24">
        <v>21000</v>
      </c>
      <c r="BL7" s="24">
        <v>21000</v>
      </c>
      <c r="BM7" s="24">
        <v>21000</v>
      </c>
      <c r="BN7" s="24">
        <v>21000</v>
      </c>
      <c r="BO7" s="24">
        <v>21000</v>
      </c>
      <c r="BP7" s="24">
        <v>21000</v>
      </c>
      <c r="BQ7" s="24">
        <v>21000</v>
      </c>
      <c r="BR7" s="24">
        <v>21000</v>
      </c>
      <c r="BS7" s="24">
        <v>21000</v>
      </c>
      <c r="BT7" s="24">
        <v>21000</v>
      </c>
      <c r="BU7" s="24">
        <v>21000</v>
      </c>
      <c r="BV7" s="24">
        <v>21000</v>
      </c>
      <c r="BW7" s="24">
        <v>21000</v>
      </c>
      <c r="BX7" s="24">
        <v>21000</v>
      </c>
      <c r="BY7" s="24">
        <v>21000</v>
      </c>
      <c r="BZ7" s="24">
        <v>21000</v>
      </c>
      <c r="CA7" s="24">
        <v>21000</v>
      </c>
      <c r="CB7" s="24">
        <v>21000</v>
      </c>
      <c r="CC7" s="24">
        <v>21000</v>
      </c>
      <c r="CD7" s="19">
        <v>21000</v>
      </c>
      <c r="CE7" s="24">
        <v>21000</v>
      </c>
      <c r="CF7" s="24">
        <v>21000</v>
      </c>
      <c r="CG7" s="24">
        <v>21000</v>
      </c>
      <c r="CH7" s="24">
        <v>21000</v>
      </c>
      <c r="CI7" s="24">
        <v>21000</v>
      </c>
      <c r="CJ7" s="24">
        <v>21000</v>
      </c>
      <c r="CK7" s="24">
        <v>21000</v>
      </c>
      <c r="CL7" s="24">
        <v>21000</v>
      </c>
      <c r="CM7" s="24">
        <v>21000</v>
      </c>
      <c r="CN7" s="24">
        <v>21000</v>
      </c>
      <c r="CO7" s="24">
        <v>21000</v>
      </c>
      <c r="CP7" s="24">
        <v>21000</v>
      </c>
      <c r="CQ7" s="24">
        <v>21000</v>
      </c>
      <c r="CR7" s="24">
        <v>21000</v>
      </c>
      <c r="CS7" s="24">
        <v>21000</v>
      </c>
      <c r="CT7" s="24">
        <v>21000</v>
      </c>
      <c r="CU7" s="24">
        <v>21000</v>
      </c>
      <c r="CV7" s="24">
        <v>21000</v>
      </c>
      <c r="CW7" s="24">
        <v>21000</v>
      </c>
      <c r="CX7" s="24">
        <v>21000</v>
      </c>
      <c r="CY7" s="24">
        <v>21000</v>
      </c>
      <c r="CZ7" s="24">
        <v>21000</v>
      </c>
      <c r="DA7" s="24">
        <v>21000</v>
      </c>
      <c r="DB7" s="24">
        <v>21000</v>
      </c>
      <c r="DC7" s="24">
        <v>21000</v>
      </c>
      <c r="DD7" s="24">
        <v>21000</v>
      </c>
      <c r="DE7" s="24">
        <v>21000</v>
      </c>
      <c r="DF7" s="24">
        <v>21000</v>
      </c>
      <c r="DG7" s="24">
        <v>21000</v>
      </c>
      <c r="DH7" s="24">
        <v>21000</v>
      </c>
      <c r="DI7" s="24"/>
      <c r="DJ7" s="24"/>
      <c r="DK7" s="24"/>
      <c r="DL7" s="24"/>
      <c r="DM7" s="24"/>
      <c r="DN7" s="24"/>
      <c r="DO7" s="24"/>
      <c r="DP7" s="24"/>
      <c r="DQ7" s="24"/>
      <c r="DR7" s="24"/>
    </row>
    <row r="8" spans="1:123" ht="15.75" customHeight="1" x14ac:dyDescent="0.3">
      <c r="A8" s="15">
        <v>3</v>
      </c>
      <c r="B8" s="16" t="s">
        <v>5</v>
      </c>
      <c r="C8" s="17">
        <v>21000</v>
      </c>
      <c r="D8" s="18">
        <f>Sheet3!C4</f>
        <v>107</v>
      </c>
      <c r="E8" s="19">
        <v>21000</v>
      </c>
      <c r="F8" s="19">
        <v>21000</v>
      </c>
      <c r="G8" s="19">
        <v>21000</v>
      </c>
      <c r="H8" s="19">
        <v>21000</v>
      </c>
      <c r="I8" s="19">
        <v>21000</v>
      </c>
      <c r="J8" s="19">
        <v>21000</v>
      </c>
      <c r="K8" s="19">
        <v>21000</v>
      </c>
      <c r="L8" s="19">
        <v>21000</v>
      </c>
      <c r="M8" s="19">
        <v>21000</v>
      </c>
      <c r="N8" s="19">
        <v>21000</v>
      </c>
      <c r="O8" s="19">
        <v>21000</v>
      </c>
      <c r="P8" s="19">
        <v>21000</v>
      </c>
      <c r="Q8" s="19">
        <v>21000</v>
      </c>
      <c r="R8" s="19">
        <v>21000</v>
      </c>
      <c r="S8" s="19">
        <v>21000</v>
      </c>
      <c r="T8" s="19">
        <v>21000</v>
      </c>
      <c r="U8" s="19">
        <v>21000</v>
      </c>
      <c r="V8" s="19">
        <v>21000</v>
      </c>
      <c r="W8" s="19">
        <v>21000</v>
      </c>
      <c r="X8" s="19">
        <v>21000</v>
      </c>
      <c r="Y8" s="19">
        <v>21000</v>
      </c>
      <c r="Z8" s="19">
        <v>21000</v>
      </c>
      <c r="AA8" s="19">
        <v>21000</v>
      </c>
      <c r="AB8" s="19">
        <v>21000</v>
      </c>
      <c r="AC8" s="19">
        <v>21000</v>
      </c>
      <c r="AD8" s="19">
        <v>21000</v>
      </c>
      <c r="AE8" s="19">
        <v>21000</v>
      </c>
      <c r="AF8" s="19">
        <v>21000</v>
      </c>
      <c r="AG8" s="19">
        <v>21000</v>
      </c>
      <c r="AH8" s="19">
        <v>21000</v>
      </c>
      <c r="AI8" s="19">
        <v>21000</v>
      </c>
      <c r="AJ8" s="19">
        <v>21000</v>
      </c>
      <c r="AK8" s="19">
        <v>21000</v>
      </c>
      <c r="AL8" s="19">
        <v>21000</v>
      </c>
      <c r="AM8" s="19">
        <v>21000</v>
      </c>
      <c r="AN8" s="19">
        <v>21000</v>
      </c>
      <c r="AO8" s="19">
        <v>21000</v>
      </c>
      <c r="AP8" s="19">
        <v>21000</v>
      </c>
      <c r="AQ8" s="19">
        <v>21000</v>
      </c>
      <c r="AR8" s="19">
        <v>21000</v>
      </c>
      <c r="AS8" s="19">
        <v>21000</v>
      </c>
      <c r="AT8" s="19">
        <v>21000</v>
      </c>
      <c r="AU8" s="19">
        <v>21000</v>
      </c>
      <c r="AV8" s="19">
        <v>21000</v>
      </c>
      <c r="AW8" s="19">
        <v>21000</v>
      </c>
      <c r="AX8" s="19">
        <v>21000</v>
      </c>
      <c r="AY8" s="19">
        <v>21000</v>
      </c>
      <c r="AZ8" s="19">
        <v>21000</v>
      </c>
      <c r="BA8" s="19">
        <v>21000</v>
      </c>
      <c r="BB8" s="19">
        <v>21000</v>
      </c>
      <c r="BC8" s="19">
        <v>21000</v>
      </c>
      <c r="BD8" s="19">
        <v>21000</v>
      </c>
      <c r="BE8" s="19">
        <v>21000</v>
      </c>
      <c r="BF8" s="19">
        <v>21000</v>
      </c>
      <c r="BG8" s="19">
        <v>21000</v>
      </c>
      <c r="BH8" s="19">
        <v>21000</v>
      </c>
      <c r="BI8" s="19">
        <v>21000</v>
      </c>
      <c r="BJ8" s="19">
        <v>21000</v>
      </c>
      <c r="BK8" s="19">
        <v>21000</v>
      </c>
      <c r="BL8" s="19">
        <v>21000</v>
      </c>
      <c r="BM8" s="19">
        <v>21000</v>
      </c>
      <c r="BN8" s="19">
        <v>21000</v>
      </c>
      <c r="BO8" s="19">
        <v>0</v>
      </c>
      <c r="BP8" s="19">
        <v>21000</v>
      </c>
      <c r="BQ8" s="19">
        <v>21000</v>
      </c>
      <c r="BR8" s="19">
        <v>21000</v>
      </c>
      <c r="BS8" s="19">
        <v>21000</v>
      </c>
      <c r="BT8" s="19">
        <v>21000</v>
      </c>
      <c r="BU8" s="19">
        <v>21000</v>
      </c>
      <c r="BV8" s="19">
        <v>21000</v>
      </c>
      <c r="BW8" s="19">
        <v>21000</v>
      </c>
      <c r="BX8" s="19">
        <v>21000</v>
      </c>
      <c r="BY8" s="19">
        <v>21000</v>
      </c>
      <c r="BZ8" s="19">
        <v>21000</v>
      </c>
      <c r="CA8" s="19">
        <v>21000</v>
      </c>
      <c r="CB8" s="19">
        <v>21000</v>
      </c>
      <c r="CC8" s="19">
        <v>21000</v>
      </c>
      <c r="CD8" s="19">
        <v>21000</v>
      </c>
      <c r="CE8" s="19">
        <v>21000</v>
      </c>
      <c r="CF8" s="19">
        <v>21000</v>
      </c>
      <c r="CG8" s="19">
        <v>21000</v>
      </c>
      <c r="CH8" s="19">
        <v>21000</v>
      </c>
      <c r="CI8" s="19">
        <v>21000</v>
      </c>
      <c r="CJ8" s="19">
        <v>21000</v>
      </c>
      <c r="CK8" s="19">
        <v>21000</v>
      </c>
      <c r="CL8" s="19">
        <v>21000</v>
      </c>
      <c r="CM8" s="19">
        <v>21000</v>
      </c>
      <c r="CN8" s="19">
        <v>21000</v>
      </c>
      <c r="CO8" s="19">
        <v>21000</v>
      </c>
      <c r="CP8" s="19">
        <v>21000</v>
      </c>
      <c r="CQ8" s="24">
        <v>21000</v>
      </c>
      <c r="CR8" s="19">
        <v>21000</v>
      </c>
      <c r="CS8" s="19">
        <v>21000</v>
      </c>
      <c r="CT8" s="19">
        <v>21000</v>
      </c>
      <c r="CU8" s="19">
        <v>21000</v>
      </c>
      <c r="CV8" s="19">
        <v>21000</v>
      </c>
      <c r="CW8" s="19">
        <v>21000</v>
      </c>
      <c r="CX8" s="19">
        <v>21000</v>
      </c>
      <c r="CY8" s="19">
        <v>21000</v>
      </c>
      <c r="CZ8" s="19">
        <v>21000</v>
      </c>
      <c r="DA8" s="19">
        <v>21000</v>
      </c>
      <c r="DB8" s="19">
        <v>21000</v>
      </c>
      <c r="DC8" s="19">
        <v>21000</v>
      </c>
      <c r="DD8" s="19">
        <v>21000</v>
      </c>
      <c r="DE8" s="19">
        <v>0</v>
      </c>
      <c r="DF8" s="19">
        <v>42000</v>
      </c>
      <c r="DG8" s="19">
        <v>21000</v>
      </c>
      <c r="DH8" s="19">
        <v>21000</v>
      </c>
      <c r="DI8" s="19"/>
      <c r="DJ8" s="19"/>
      <c r="DK8" s="19"/>
      <c r="DL8" s="19"/>
      <c r="DM8" s="19"/>
      <c r="DN8" s="19"/>
      <c r="DO8" s="19"/>
      <c r="DP8" s="19"/>
      <c r="DQ8" s="19"/>
      <c r="DR8" s="19"/>
    </row>
    <row r="9" spans="1:123" ht="15.75" customHeight="1" x14ac:dyDescent="0.3">
      <c r="A9" s="15">
        <v>4</v>
      </c>
      <c r="B9" s="16" t="s">
        <v>6</v>
      </c>
      <c r="C9" s="17">
        <v>21000</v>
      </c>
      <c r="D9" s="18">
        <f>Sheet3!C5</f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/>
      <c r="BV9" s="19">
        <v>0</v>
      </c>
      <c r="BW9" s="19">
        <v>0</v>
      </c>
      <c r="BX9" s="19">
        <v>0</v>
      </c>
      <c r="BY9" s="19">
        <v>0</v>
      </c>
      <c r="BZ9" s="19">
        <v>0</v>
      </c>
      <c r="CA9" s="19">
        <v>0</v>
      </c>
      <c r="CB9" s="19">
        <v>0</v>
      </c>
      <c r="CC9" s="19">
        <v>0</v>
      </c>
      <c r="CD9" s="19">
        <v>0</v>
      </c>
      <c r="CE9" s="19">
        <v>0</v>
      </c>
      <c r="CF9" s="19">
        <v>0</v>
      </c>
      <c r="CG9" s="19">
        <v>0</v>
      </c>
      <c r="CH9" s="19">
        <v>0</v>
      </c>
      <c r="CI9" s="19">
        <v>0</v>
      </c>
      <c r="CJ9" s="19">
        <v>0</v>
      </c>
      <c r="CK9" s="19">
        <v>0</v>
      </c>
      <c r="CL9" s="19">
        <v>0</v>
      </c>
      <c r="CM9" s="19">
        <v>0</v>
      </c>
      <c r="CN9" s="19">
        <v>0</v>
      </c>
      <c r="CO9" s="19">
        <v>0</v>
      </c>
      <c r="CP9" s="19">
        <v>0</v>
      </c>
      <c r="CQ9" s="24">
        <v>0</v>
      </c>
      <c r="CR9" s="19">
        <v>0</v>
      </c>
      <c r="CS9" s="19">
        <v>0</v>
      </c>
      <c r="CT9" s="19">
        <v>0</v>
      </c>
      <c r="CU9" s="19">
        <v>0</v>
      </c>
      <c r="CV9" s="19">
        <v>0</v>
      </c>
      <c r="CW9" s="19">
        <v>0</v>
      </c>
      <c r="CX9" s="19">
        <v>0</v>
      </c>
      <c r="CY9" s="19">
        <v>0</v>
      </c>
      <c r="CZ9" s="19">
        <v>0</v>
      </c>
      <c r="DA9" s="19">
        <v>0</v>
      </c>
      <c r="DB9" s="19">
        <v>0</v>
      </c>
      <c r="DC9" s="19">
        <v>0</v>
      </c>
      <c r="DD9" s="19">
        <v>0</v>
      </c>
      <c r="DE9" s="19">
        <v>0</v>
      </c>
      <c r="DF9" s="19">
        <v>0</v>
      </c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</row>
    <row r="10" spans="1:123" ht="15.75" customHeight="1" x14ac:dyDescent="0.3">
      <c r="A10" s="15">
        <v>5</v>
      </c>
      <c r="B10" s="16" t="s">
        <v>7</v>
      </c>
      <c r="C10" s="17">
        <v>21000</v>
      </c>
      <c r="D10" s="18">
        <f>Sheet3!C6</f>
        <v>108</v>
      </c>
      <c r="E10" s="19">
        <v>21000</v>
      </c>
      <c r="F10" s="19">
        <v>21000</v>
      </c>
      <c r="G10" s="19">
        <v>21000</v>
      </c>
      <c r="H10" s="19">
        <v>21000</v>
      </c>
      <c r="I10" s="19">
        <v>21000</v>
      </c>
      <c r="J10" s="19">
        <v>21000</v>
      </c>
      <c r="K10" s="19">
        <v>21000</v>
      </c>
      <c r="L10" s="19">
        <v>21000</v>
      </c>
      <c r="M10" s="19">
        <v>21000</v>
      </c>
      <c r="N10" s="19">
        <v>21000</v>
      </c>
      <c r="O10" s="19">
        <v>21000</v>
      </c>
      <c r="P10" s="19">
        <v>21000</v>
      </c>
      <c r="Q10" s="19">
        <v>21000</v>
      </c>
      <c r="R10" s="19">
        <v>21000</v>
      </c>
      <c r="S10" s="19">
        <v>21000</v>
      </c>
      <c r="T10" s="19">
        <v>21000</v>
      </c>
      <c r="U10" s="19">
        <v>21000</v>
      </c>
      <c r="V10" s="19">
        <v>21000</v>
      </c>
      <c r="W10" s="19">
        <v>21000</v>
      </c>
      <c r="X10" s="19">
        <v>21000</v>
      </c>
      <c r="Y10" s="19">
        <v>21000</v>
      </c>
      <c r="Z10" s="19">
        <v>21000</v>
      </c>
      <c r="AA10" s="19">
        <v>21000</v>
      </c>
      <c r="AB10" s="19">
        <v>21000</v>
      </c>
      <c r="AC10" s="19">
        <v>21000</v>
      </c>
      <c r="AD10" s="19">
        <v>21000</v>
      </c>
      <c r="AE10" s="19">
        <v>21000</v>
      </c>
      <c r="AF10" s="19">
        <v>21000</v>
      </c>
      <c r="AG10" s="19">
        <v>21000</v>
      </c>
      <c r="AH10" s="19">
        <v>21000</v>
      </c>
      <c r="AI10" s="19">
        <v>0</v>
      </c>
      <c r="AJ10" s="19">
        <v>42000</v>
      </c>
      <c r="AK10" s="19">
        <v>21000</v>
      </c>
      <c r="AL10" s="19">
        <v>21000</v>
      </c>
      <c r="AM10" s="19">
        <v>21000</v>
      </c>
      <c r="AN10" s="19">
        <v>21000</v>
      </c>
      <c r="AO10" s="19">
        <v>21000</v>
      </c>
      <c r="AP10" s="19">
        <v>21000</v>
      </c>
      <c r="AQ10" s="19">
        <v>21000</v>
      </c>
      <c r="AR10" s="19">
        <v>21000</v>
      </c>
      <c r="AS10" s="19">
        <v>21000</v>
      </c>
      <c r="AT10" s="19">
        <v>21000</v>
      </c>
      <c r="AU10" s="19">
        <v>21000</v>
      </c>
      <c r="AV10" s="19">
        <v>0</v>
      </c>
      <c r="AW10" s="19">
        <v>42000</v>
      </c>
      <c r="AX10" s="19">
        <v>21000</v>
      </c>
      <c r="AY10" s="19">
        <v>21000</v>
      </c>
      <c r="AZ10" s="19">
        <v>21000</v>
      </c>
      <c r="BA10" s="19">
        <v>21000</v>
      </c>
      <c r="BB10" s="19">
        <v>21000</v>
      </c>
      <c r="BC10" s="19">
        <v>21000</v>
      </c>
      <c r="BD10" s="19">
        <v>21000</v>
      </c>
      <c r="BE10" s="19">
        <v>21000</v>
      </c>
      <c r="BF10" s="19">
        <v>21000</v>
      </c>
      <c r="BG10" s="19">
        <v>21000</v>
      </c>
      <c r="BH10" s="19">
        <v>21000</v>
      </c>
      <c r="BI10" s="19">
        <v>21000</v>
      </c>
      <c r="BJ10" s="19">
        <v>21000</v>
      </c>
      <c r="BK10" s="19">
        <v>21000</v>
      </c>
      <c r="BL10" s="19">
        <v>0</v>
      </c>
      <c r="BM10" s="19">
        <v>42000</v>
      </c>
      <c r="BN10" s="19">
        <v>21000</v>
      </c>
      <c r="BO10" s="19">
        <v>21000</v>
      </c>
      <c r="BP10" s="19">
        <v>0</v>
      </c>
      <c r="BQ10" s="19">
        <v>42000</v>
      </c>
      <c r="BR10" s="19">
        <v>21000</v>
      </c>
      <c r="BS10" s="19">
        <v>21000</v>
      </c>
      <c r="BT10" s="19">
        <v>21000</v>
      </c>
      <c r="BU10" s="19">
        <v>21000</v>
      </c>
      <c r="BV10" s="19">
        <v>21000</v>
      </c>
      <c r="BW10" s="19">
        <v>21000</v>
      </c>
      <c r="BX10" s="19">
        <v>21000</v>
      </c>
      <c r="BY10" s="19">
        <v>21000</v>
      </c>
      <c r="BZ10" s="19">
        <v>21000</v>
      </c>
      <c r="CA10" s="19">
        <v>21000</v>
      </c>
      <c r="CB10" s="19">
        <v>21000</v>
      </c>
      <c r="CC10" s="19">
        <v>21000</v>
      </c>
      <c r="CD10" s="19">
        <v>21000</v>
      </c>
      <c r="CE10" s="19">
        <v>21000</v>
      </c>
      <c r="CF10" s="19">
        <v>21000</v>
      </c>
      <c r="CG10" s="19">
        <v>21000</v>
      </c>
      <c r="CH10" s="19">
        <v>0</v>
      </c>
      <c r="CI10" s="19">
        <v>42000</v>
      </c>
      <c r="CJ10" s="19">
        <v>21000</v>
      </c>
      <c r="CK10" s="19">
        <v>21000</v>
      </c>
      <c r="CL10" s="19">
        <v>21000</v>
      </c>
      <c r="CM10" s="19">
        <v>21000</v>
      </c>
      <c r="CN10" s="19">
        <v>21000</v>
      </c>
      <c r="CO10" s="19">
        <v>21000</v>
      </c>
      <c r="CP10" s="19">
        <v>21000</v>
      </c>
      <c r="CQ10" s="24">
        <v>0</v>
      </c>
      <c r="CR10" s="19">
        <v>42000</v>
      </c>
      <c r="CS10" s="19">
        <v>21000</v>
      </c>
      <c r="CT10" s="19">
        <v>0</v>
      </c>
      <c r="CU10" s="19">
        <v>0</v>
      </c>
      <c r="CV10" s="19">
        <v>63000</v>
      </c>
      <c r="CW10" s="19">
        <v>21000</v>
      </c>
      <c r="CX10" s="19">
        <v>21000</v>
      </c>
      <c r="CY10" s="19">
        <v>0</v>
      </c>
      <c r="CZ10" s="19">
        <v>42000</v>
      </c>
      <c r="DA10" s="19">
        <v>21000</v>
      </c>
      <c r="DB10" s="19">
        <v>0</v>
      </c>
      <c r="DC10" s="19">
        <v>42000</v>
      </c>
      <c r="DD10" s="19">
        <v>0</v>
      </c>
      <c r="DE10" s="19">
        <v>0</v>
      </c>
      <c r="DF10" s="19">
        <v>63000</v>
      </c>
      <c r="DG10" s="19"/>
      <c r="DH10" s="19">
        <v>42000</v>
      </c>
      <c r="DI10" s="19"/>
      <c r="DJ10" s="19"/>
      <c r="DK10" s="19"/>
      <c r="DL10" s="19"/>
      <c r="DM10" s="19"/>
      <c r="DN10" s="19"/>
      <c r="DO10" s="19"/>
      <c r="DP10" s="19"/>
      <c r="DQ10" s="19"/>
      <c r="DR10" s="19"/>
    </row>
    <row r="11" spans="1:123" ht="15.75" customHeight="1" x14ac:dyDescent="0.3">
      <c r="A11" s="15">
        <v>6</v>
      </c>
      <c r="B11" s="16" t="s">
        <v>8</v>
      </c>
      <c r="C11" s="17">
        <v>21000</v>
      </c>
      <c r="D11" s="18">
        <f>Sheet3!C7</f>
        <v>107</v>
      </c>
      <c r="E11" s="19">
        <v>21000</v>
      </c>
      <c r="F11" s="19">
        <v>21000</v>
      </c>
      <c r="G11" s="19">
        <v>21000</v>
      </c>
      <c r="H11" s="19">
        <v>21000</v>
      </c>
      <c r="I11" s="19">
        <v>21000</v>
      </c>
      <c r="J11" s="19">
        <v>21000</v>
      </c>
      <c r="K11" s="19">
        <v>21000</v>
      </c>
      <c r="L11" s="19">
        <v>21000</v>
      </c>
      <c r="M11" s="19">
        <v>21000</v>
      </c>
      <c r="N11" s="19">
        <v>21000</v>
      </c>
      <c r="O11" s="19">
        <v>21000</v>
      </c>
      <c r="P11" s="19">
        <v>21000</v>
      </c>
      <c r="Q11" s="19">
        <v>21000</v>
      </c>
      <c r="R11" s="19">
        <v>21000</v>
      </c>
      <c r="S11" s="19">
        <v>21000</v>
      </c>
      <c r="T11" s="19">
        <v>21000</v>
      </c>
      <c r="U11" s="19">
        <v>21000</v>
      </c>
      <c r="V11" s="19">
        <v>21000</v>
      </c>
      <c r="W11" s="19">
        <v>21000</v>
      </c>
      <c r="X11" s="19">
        <v>21000</v>
      </c>
      <c r="Y11" s="19">
        <v>21000</v>
      </c>
      <c r="Z11" s="19">
        <v>21000</v>
      </c>
      <c r="AA11" s="19">
        <v>21000</v>
      </c>
      <c r="AB11" s="19">
        <v>21000</v>
      </c>
      <c r="AC11" s="19">
        <v>21000</v>
      </c>
      <c r="AD11" s="19">
        <v>21000</v>
      </c>
      <c r="AE11" s="19">
        <v>21000</v>
      </c>
      <c r="AF11" s="19">
        <v>21000</v>
      </c>
      <c r="AG11" s="19">
        <v>21000</v>
      </c>
      <c r="AH11" s="19">
        <v>21000</v>
      </c>
      <c r="AI11" s="19">
        <v>21000</v>
      </c>
      <c r="AJ11" s="19">
        <v>21000</v>
      </c>
      <c r="AK11" s="19">
        <v>21000</v>
      </c>
      <c r="AL11" s="19">
        <v>21000</v>
      </c>
      <c r="AM11" s="19">
        <v>21000</v>
      </c>
      <c r="AN11" s="19">
        <v>21000</v>
      </c>
      <c r="AO11" s="19">
        <v>21000</v>
      </c>
      <c r="AP11" s="19">
        <v>21000</v>
      </c>
      <c r="AQ11" s="19">
        <v>21000</v>
      </c>
      <c r="AR11" s="19">
        <v>21000</v>
      </c>
      <c r="AS11" s="19">
        <v>21000</v>
      </c>
      <c r="AT11" s="19">
        <v>21000</v>
      </c>
      <c r="AU11" s="19">
        <v>21000</v>
      </c>
      <c r="AV11" s="19">
        <v>21000</v>
      </c>
      <c r="AW11" s="19">
        <v>21000</v>
      </c>
      <c r="AX11" s="19">
        <v>21000</v>
      </c>
      <c r="AY11" s="19">
        <v>21000</v>
      </c>
      <c r="AZ11" s="19">
        <v>21000</v>
      </c>
      <c r="BA11" s="19">
        <v>21000</v>
      </c>
      <c r="BB11" s="19">
        <v>21000</v>
      </c>
      <c r="BC11" s="19">
        <v>21000</v>
      </c>
      <c r="BD11" s="19">
        <v>21000</v>
      </c>
      <c r="BE11" s="19">
        <v>21000</v>
      </c>
      <c r="BF11" s="19">
        <v>21000</v>
      </c>
      <c r="BG11" s="19">
        <v>21000</v>
      </c>
      <c r="BH11" s="19">
        <v>21000</v>
      </c>
      <c r="BI11" s="19">
        <v>21000</v>
      </c>
      <c r="BJ11" s="19">
        <v>21000</v>
      </c>
      <c r="BK11" s="19">
        <v>21000</v>
      </c>
      <c r="BL11" s="19">
        <v>21000</v>
      </c>
      <c r="BM11" s="19">
        <v>21000</v>
      </c>
      <c r="BN11" s="19">
        <v>21000</v>
      </c>
      <c r="BO11" s="19">
        <v>21000</v>
      </c>
      <c r="BP11" s="19">
        <v>21000</v>
      </c>
      <c r="BQ11" s="19">
        <v>21000</v>
      </c>
      <c r="BR11" s="19">
        <v>21000</v>
      </c>
      <c r="BS11" s="19">
        <v>21000</v>
      </c>
      <c r="BT11" s="19">
        <v>21000</v>
      </c>
      <c r="BU11" s="19">
        <v>21000</v>
      </c>
      <c r="BV11" s="19">
        <v>21000</v>
      </c>
      <c r="BW11" s="19">
        <v>21000</v>
      </c>
      <c r="BX11" s="19">
        <v>21000</v>
      </c>
      <c r="BY11" s="19">
        <v>21000</v>
      </c>
      <c r="BZ11" s="19">
        <v>21000</v>
      </c>
      <c r="CA11" s="19">
        <v>21000</v>
      </c>
      <c r="CB11" s="19">
        <v>21000</v>
      </c>
      <c r="CC11" s="19">
        <v>21000</v>
      </c>
      <c r="CD11" s="19">
        <v>0</v>
      </c>
      <c r="CE11" s="19">
        <v>42000</v>
      </c>
      <c r="CF11" s="19">
        <v>21000</v>
      </c>
      <c r="CG11" s="19">
        <v>21000</v>
      </c>
      <c r="CH11" s="19">
        <v>21000</v>
      </c>
      <c r="CI11" s="19">
        <v>21000</v>
      </c>
      <c r="CJ11" s="19">
        <v>0</v>
      </c>
      <c r="CK11" s="19">
        <v>42000</v>
      </c>
      <c r="CL11" s="19">
        <v>21000</v>
      </c>
      <c r="CM11" s="19">
        <v>21000</v>
      </c>
      <c r="CN11" s="19">
        <v>21000</v>
      </c>
      <c r="CO11" s="19">
        <v>21000</v>
      </c>
      <c r="CP11" s="19">
        <v>21000</v>
      </c>
      <c r="CQ11" s="24">
        <v>21000</v>
      </c>
      <c r="CR11" s="19">
        <v>21000</v>
      </c>
      <c r="CS11" s="19">
        <v>21000</v>
      </c>
      <c r="CT11" s="19">
        <v>21000</v>
      </c>
      <c r="CU11" s="19">
        <v>0</v>
      </c>
      <c r="CV11" s="19">
        <v>21000</v>
      </c>
      <c r="CW11" s="19">
        <v>21000</v>
      </c>
      <c r="CX11" s="19">
        <v>21000</v>
      </c>
      <c r="CY11" s="19">
        <v>21000</v>
      </c>
      <c r="CZ11" s="19">
        <v>21000</v>
      </c>
      <c r="DA11" s="19">
        <v>21000</v>
      </c>
      <c r="DB11" s="19">
        <v>21000</v>
      </c>
      <c r="DC11" s="19">
        <v>21000</v>
      </c>
      <c r="DD11" s="19">
        <v>21000</v>
      </c>
      <c r="DE11" s="19">
        <v>21000</v>
      </c>
      <c r="DF11" s="19">
        <v>21000</v>
      </c>
      <c r="DG11" s="19">
        <v>21000</v>
      </c>
      <c r="DH11" s="19">
        <v>21000</v>
      </c>
      <c r="DI11" s="19"/>
      <c r="DJ11" s="19"/>
      <c r="DK11" s="19"/>
      <c r="DL11" s="19"/>
      <c r="DM11" s="19"/>
      <c r="DN11" s="19"/>
      <c r="DO11" s="19"/>
      <c r="DP11" s="19"/>
      <c r="DQ11" s="19"/>
      <c r="DR11" s="19"/>
    </row>
    <row r="12" spans="1:123" ht="15.75" customHeight="1" x14ac:dyDescent="0.3">
      <c r="A12" s="15">
        <v>7</v>
      </c>
      <c r="B12" s="16" t="s">
        <v>9</v>
      </c>
      <c r="C12" s="17">
        <v>21000</v>
      </c>
      <c r="D12" s="18">
        <f>Sheet3!C8</f>
        <v>108</v>
      </c>
      <c r="E12" s="19">
        <v>21000</v>
      </c>
      <c r="F12" s="19">
        <v>21000</v>
      </c>
      <c r="G12" s="19">
        <v>21000</v>
      </c>
      <c r="H12" s="19">
        <v>21000</v>
      </c>
      <c r="I12" s="19">
        <v>21000</v>
      </c>
      <c r="J12" s="19">
        <v>21000</v>
      </c>
      <c r="K12" s="19">
        <v>21000</v>
      </c>
      <c r="L12" s="19">
        <v>21000</v>
      </c>
      <c r="M12" s="19">
        <v>21000</v>
      </c>
      <c r="N12" s="19">
        <v>21000</v>
      </c>
      <c r="O12" s="19">
        <v>21000</v>
      </c>
      <c r="P12" s="19">
        <v>21000</v>
      </c>
      <c r="Q12" s="19">
        <v>21000</v>
      </c>
      <c r="R12" s="19">
        <v>21000</v>
      </c>
      <c r="S12" s="19">
        <v>21000</v>
      </c>
      <c r="T12" s="19">
        <v>21000</v>
      </c>
      <c r="U12" s="19">
        <v>21000</v>
      </c>
      <c r="V12" s="19">
        <v>21000</v>
      </c>
      <c r="W12" s="19">
        <v>21000</v>
      </c>
      <c r="X12" s="19">
        <v>21000</v>
      </c>
      <c r="Y12" s="19">
        <v>21000</v>
      </c>
      <c r="Z12" s="19">
        <v>21000</v>
      </c>
      <c r="AA12" s="19">
        <v>21000</v>
      </c>
      <c r="AB12" s="19">
        <v>21000</v>
      </c>
      <c r="AC12" s="19">
        <v>21000</v>
      </c>
      <c r="AD12" s="19">
        <v>21000</v>
      </c>
      <c r="AE12" s="19">
        <v>21000</v>
      </c>
      <c r="AF12" s="19">
        <v>21000</v>
      </c>
      <c r="AG12" s="19">
        <v>21000</v>
      </c>
      <c r="AH12" s="19">
        <v>21000</v>
      </c>
      <c r="AI12" s="19">
        <v>21000</v>
      </c>
      <c r="AJ12" s="19">
        <v>21000</v>
      </c>
      <c r="AK12" s="19">
        <v>21000</v>
      </c>
      <c r="AL12" s="19">
        <v>21000</v>
      </c>
      <c r="AM12" s="19">
        <v>21000</v>
      </c>
      <c r="AN12" s="19">
        <v>21000</v>
      </c>
      <c r="AO12" s="19">
        <v>21000</v>
      </c>
      <c r="AP12" s="19">
        <v>0</v>
      </c>
      <c r="AQ12" s="19">
        <v>42000</v>
      </c>
      <c r="AR12" s="19">
        <v>21000</v>
      </c>
      <c r="AS12" s="19">
        <v>21000</v>
      </c>
      <c r="AT12" s="19">
        <v>21000</v>
      </c>
      <c r="AU12" s="19">
        <v>21000</v>
      </c>
      <c r="AV12" s="19">
        <v>21000</v>
      </c>
      <c r="AW12" s="19">
        <v>21000</v>
      </c>
      <c r="AX12" s="19">
        <v>21000</v>
      </c>
      <c r="AY12" s="19">
        <v>21000</v>
      </c>
      <c r="AZ12" s="19">
        <v>21000</v>
      </c>
      <c r="BA12" s="19">
        <v>21000</v>
      </c>
      <c r="BB12" s="19">
        <v>21000</v>
      </c>
      <c r="BC12" s="19">
        <v>21000</v>
      </c>
      <c r="BD12" s="19">
        <v>21000</v>
      </c>
      <c r="BE12" s="19">
        <v>21000</v>
      </c>
      <c r="BF12" s="19">
        <v>21000</v>
      </c>
      <c r="BG12" s="19">
        <v>21000</v>
      </c>
      <c r="BH12" s="19">
        <v>21000</v>
      </c>
      <c r="BI12" s="19">
        <v>21000</v>
      </c>
      <c r="BJ12" s="19">
        <v>21000</v>
      </c>
      <c r="BK12" s="19">
        <v>21000</v>
      </c>
      <c r="BL12" s="19">
        <v>21000</v>
      </c>
      <c r="BM12" s="19">
        <v>21000</v>
      </c>
      <c r="BN12" s="19">
        <v>0</v>
      </c>
      <c r="BO12" s="19">
        <v>42000</v>
      </c>
      <c r="BP12" s="19">
        <v>21000</v>
      </c>
      <c r="BQ12" s="19">
        <v>21000</v>
      </c>
      <c r="BR12" s="19">
        <v>21000</v>
      </c>
      <c r="BS12" s="19">
        <v>21000</v>
      </c>
      <c r="BT12" s="19">
        <v>21000</v>
      </c>
      <c r="BU12" s="19">
        <v>21000</v>
      </c>
      <c r="BV12" s="19">
        <v>21000</v>
      </c>
      <c r="BW12" s="19">
        <v>21000</v>
      </c>
      <c r="BX12" s="19">
        <v>21000</v>
      </c>
      <c r="BY12" s="19">
        <v>21000</v>
      </c>
      <c r="BZ12" s="19">
        <v>21000</v>
      </c>
      <c r="CA12" s="19">
        <v>21000</v>
      </c>
      <c r="CB12" s="19">
        <v>21000</v>
      </c>
      <c r="CC12" s="19">
        <v>21000</v>
      </c>
      <c r="CD12" s="19">
        <v>21000</v>
      </c>
      <c r="CE12" s="19">
        <v>0</v>
      </c>
      <c r="CF12" s="19">
        <v>42000</v>
      </c>
      <c r="CG12" s="19">
        <v>21000</v>
      </c>
      <c r="CH12" s="19">
        <v>21000</v>
      </c>
      <c r="CI12" s="19">
        <v>21000</v>
      </c>
      <c r="CJ12" s="19">
        <v>21000</v>
      </c>
      <c r="CK12" s="19">
        <v>21000</v>
      </c>
      <c r="CL12" s="19">
        <v>21000</v>
      </c>
      <c r="CM12" s="19">
        <v>21000</v>
      </c>
      <c r="CN12" s="19">
        <v>21000</v>
      </c>
      <c r="CO12" s="19">
        <v>21000</v>
      </c>
      <c r="CP12" s="19">
        <v>21000</v>
      </c>
      <c r="CQ12" s="24">
        <v>21000</v>
      </c>
      <c r="CR12" s="19">
        <v>21000</v>
      </c>
      <c r="CS12" s="19">
        <v>21000</v>
      </c>
      <c r="CT12" s="19">
        <v>21000</v>
      </c>
      <c r="CU12" s="19">
        <v>21000</v>
      </c>
      <c r="CV12" s="19">
        <v>21000</v>
      </c>
      <c r="CW12" s="19">
        <v>21000</v>
      </c>
      <c r="CX12" s="19">
        <v>21000</v>
      </c>
      <c r="CY12" s="19">
        <v>21000</v>
      </c>
      <c r="CZ12" s="19">
        <v>21000</v>
      </c>
      <c r="DA12" s="19">
        <v>21000</v>
      </c>
      <c r="DB12" s="19">
        <v>21000</v>
      </c>
      <c r="DC12" s="19">
        <v>21000</v>
      </c>
      <c r="DD12" s="19">
        <v>21000</v>
      </c>
      <c r="DE12" s="19">
        <v>21000</v>
      </c>
      <c r="DF12" s="19">
        <v>21000</v>
      </c>
      <c r="DG12" s="19">
        <v>21000</v>
      </c>
      <c r="DH12" s="19">
        <v>21000</v>
      </c>
      <c r="DI12" s="19"/>
      <c r="DJ12" s="19"/>
      <c r="DK12" s="19"/>
      <c r="DL12" s="19"/>
      <c r="DM12" s="19"/>
      <c r="DN12" s="19"/>
      <c r="DO12" s="19"/>
      <c r="DP12" s="19"/>
      <c r="DQ12" s="19"/>
      <c r="DR12" s="19"/>
    </row>
    <row r="13" spans="1:123" ht="15.75" customHeight="1" x14ac:dyDescent="0.3">
      <c r="A13" s="15">
        <v>8</v>
      </c>
      <c r="B13" s="16" t="s">
        <v>10</v>
      </c>
      <c r="C13" s="17">
        <v>21000</v>
      </c>
      <c r="D13" s="18">
        <f>Sheet3!C9</f>
        <v>108</v>
      </c>
      <c r="E13" s="19">
        <v>21000</v>
      </c>
      <c r="F13" s="19">
        <v>21000</v>
      </c>
      <c r="G13" s="19">
        <v>21000</v>
      </c>
      <c r="H13" s="19">
        <v>21000</v>
      </c>
      <c r="I13" s="19">
        <v>21000</v>
      </c>
      <c r="J13" s="19">
        <v>21000</v>
      </c>
      <c r="K13" s="19">
        <v>21000</v>
      </c>
      <c r="L13" s="19">
        <v>21000</v>
      </c>
      <c r="M13" s="19">
        <v>21000</v>
      </c>
      <c r="N13" s="19">
        <v>21000</v>
      </c>
      <c r="O13" s="19">
        <v>21000</v>
      </c>
      <c r="P13" s="19">
        <v>21000</v>
      </c>
      <c r="Q13" s="19">
        <v>21000</v>
      </c>
      <c r="R13" s="19">
        <v>21000</v>
      </c>
      <c r="S13" s="19">
        <v>21000</v>
      </c>
      <c r="T13" s="19">
        <v>21000</v>
      </c>
      <c r="U13" s="19">
        <v>21000</v>
      </c>
      <c r="V13" s="19">
        <v>21000</v>
      </c>
      <c r="W13" s="19">
        <v>21000</v>
      </c>
      <c r="X13" s="19">
        <v>21000</v>
      </c>
      <c r="Y13" s="19">
        <v>21000</v>
      </c>
      <c r="Z13" s="19">
        <v>21000</v>
      </c>
      <c r="AA13" s="19">
        <v>21000</v>
      </c>
      <c r="AB13" s="19">
        <v>21000</v>
      </c>
      <c r="AC13" s="19">
        <v>21000</v>
      </c>
      <c r="AD13" s="19">
        <v>21000</v>
      </c>
      <c r="AE13" s="19">
        <v>21000</v>
      </c>
      <c r="AF13" s="19">
        <v>21000</v>
      </c>
      <c r="AG13" s="19">
        <v>21000</v>
      </c>
      <c r="AH13" s="19">
        <v>21000</v>
      </c>
      <c r="AI13" s="19">
        <v>21000</v>
      </c>
      <c r="AJ13" s="19">
        <v>21000</v>
      </c>
      <c r="AK13" s="19">
        <v>21000</v>
      </c>
      <c r="AL13" s="19">
        <v>21000</v>
      </c>
      <c r="AM13" s="19">
        <v>21000</v>
      </c>
      <c r="AN13" s="19">
        <v>21000</v>
      </c>
      <c r="AO13" s="19">
        <v>21000</v>
      </c>
      <c r="AP13" s="19">
        <v>21000</v>
      </c>
      <c r="AQ13" s="19">
        <v>21000</v>
      </c>
      <c r="AR13" s="19">
        <v>21000</v>
      </c>
      <c r="AS13" s="19">
        <v>21000</v>
      </c>
      <c r="AT13" s="19">
        <v>21000</v>
      </c>
      <c r="AU13" s="19">
        <v>21000</v>
      </c>
      <c r="AV13" s="19">
        <v>21000</v>
      </c>
      <c r="AW13" s="19">
        <v>21000</v>
      </c>
      <c r="AX13" s="19">
        <v>21000</v>
      </c>
      <c r="AY13" s="19">
        <v>21000</v>
      </c>
      <c r="AZ13" s="19">
        <v>21000</v>
      </c>
      <c r="BA13" s="19">
        <v>21000</v>
      </c>
      <c r="BB13" s="19">
        <v>21000</v>
      </c>
      <c r="BC13" s="19">
        <v>21000</v>
      </c>
      <c r="BD13" s="19">
        <v>21000</v>
      </c>
      <c r="BE13" s="19">
        <v>21000</v>
      </c>
      <c r="BF13" s="19">
        <v>21000</v>
      </c>
      <c r="BG13" s="19">
        <v>21000</v>
      </c>
      <c r="BH13" s="19">
        <v>21000</v>
      </c>
      <c r="BI13" s="19">
        <v>21000</v>
      </c>
      <c r="BJ13" s="19">
        <v>21000</v>
      </c>
      <c r="BK13" s="19">
        <v>21000</v>
      </c>
      <c r="BL13" s="19">
        <v>21000</v>
      </c>
      <c r="BM13" s="19">
        <v>21000</v>
      </c>
      <c r="BN13" s="19">
        <v>21000</v>
      </c>
      <c r="BO13" s="19">
        <v>21000</v>
      </c>
      <c r="BP13" s="19">
        <v>21000</v>
      </c>
      <c r="BQ13" s="19">
        <v>21000</v>
      </c>
      <c r="BR13" s="19">
        <v>21000</v>
      </c>
      <c r="BS13" s="19">
        <v>21000</v>
      </c>
      <c r="BT13" s="19">
        <v>21000</v>
      </c>
      <c r="BU13" s="19">
        <v>21000</v>
      </c>
      <c r="BV13" s="19">
        <v>21000</v>
      </c>
      <c r="BW13" s="19">
        <v>21000</v>
      </c>
      <c r="BX13" s="19">
        <v>21000</v>
      </c>
      <c r="BY13" s="19">
        <v>21000</v>
      </c>
      <c r="BZ13" s="19">
        <v>21000</v>
      </c>
      <c r="CA13" s="19">
        <v>21000</v>
      </c>
      <c r="CB13" s="19">
        <v>21000</v>
      </c>
      <c r="CC13" s="19">
        <v>21000</v>
      </c>
      <c r="CD13" s="19">
        <v>21000</v>
      </c>
      <c r="CE13" s="19">
        <v>21000</v>
      </c>
      <c r="CF13" s="19">
        <v>21000</v>
      </c>
      <c r="CG13" s="19">
        <v>21000</v>
      </c>
      <c r="CH13" s="19">
        <v>21000</v>
      </c>
      <c r="CI13" s="19">
        <v>21000</v>
      </c>
      <c r="CJ13" s="19">
        <v>21000</v>
      </c>
      <c r="CK13" s="19">
        <v>21000</v>
      </c>
      <c r="CL13" s="19">
        <v>21000</v>
      </c>
      <c r="CM13" s="19">
        <v>21000</v>
      </c>
      <c r="CN13" s="19">
        <v>21000</v>
      </c>
      <c r="CO13" s="19">
        <v>21000</v>
      </c>
      <c r="CP13" s="19">
        <v>21000</v>
      </c>
      <c r="CQ13" s="24">
        <v>21000</v>
      </c>
      <c r="CR13" s="19">
        <v>21000</v>
      </c>
      <c r="CS13" s="19">
        <v>21000</v>
      </c>
      <c r="CT13" s="19">
        <v>21000</v>
      </c>
      <c r="CU13" s="19">
        <v>21000</v>
      </c>
      <c r="CV13" s="19">
        <v>21000</v>
      </c>
      <c r="CW13" s="19">
        <v>21000</v>
      </c>
      <c r="CX13" s="19">
        <v>21000</v>
      </c>
      <c r="CY13" s="19">
        <v>21000</v>
      </c>
      <c r="CZ13" s="19">
        <v>21000</v>
      </c>
      <c r="DA13" s="19">
        <v>21000</v>
      </c>
      <c r="DB13" s="19">
        <v>21000</v>
      </c>
      <c r="DC13" s="19">
        <v>21000</v>
      </c>
      <c r="DD13" s="19">
        <v>21000</v>
      </c>
      <c r="DE13" s="19">
        <v>21000</v>
      </c>
      <c r="DF13" s="19">
        <v>21000</v>
      </c>
      <c r="DG13" s="19">
        <v>21000</v>
      </c>
      <c r="DH13" s="19">
        <v>21000</v>
      </c>
      <c r="DI13" s="19"/>
      <c r="DJ13" s="19"/>
      <c r="DK13" s="19"/>
      <c r="DL13" s="19"/>
      <c r="DM13" s="19"/>
      <c r="DN13" s="19"/>
      <c r="DO13" s="19"/>
      <c r="DP13" s="19"/>
      <c r="DQ13" s="19"/>
      <c r="DR13" s="19"/>
    </row>
    <row r="14" spans="1:123" ht="15.75" customHeight="1" x14ac:dyDescent="0.3">
      <c r="A14" s="15">
        <v>9</v>
      </c>
      <c r="B14" s="16" t="s">
        <v>11</v>
      </c>
      <c r="C14" s="17">
        <v>21000</v>
      </c>
      <c r="D14" s="18">
        <f>Sheet3!C10</f>
        <v>108</v>
      </c>
      <c r="E14" s="19">
        <v>21000</v>
      </c>
      <c r="F14" s="19">
        <v>21000</v>
      </c>
      <c r="G14" s="19">
        <v>21000</v>
      </c>
      <c r="H14" s="19">
        <v>21000</v>
      </c>
      <c r="I14" s="19">
        <v>21000</v>
      </c>
      <c r="J14" s="19">
        <v>21000</v>
      </c>
      <c r="K14" s="19">
        <v>21000</v>
      </c>
      <c r="L14" s="19">
        <v>21000</v>
      </c>
      <c r="M14" s="19">
        <v>21000</v>
      </c>
      <c r="N14" s="19">
        <v>21000</v>
      </c>
      <c r="O14" s="19">
        <v>21000</v>
      </c>
      <c r="P14" s="19">
        <v>21000</v>
      </c>
      <c r="Q14" s="19">
        <v>21000</v>
      </c>
      <c r="R14" s="19">
        <v>21000</v>
      </c>
      <c r="S14" s="19">
        <v>21000</v>
      </c>
      <c r="T14" s="19">
        <v>21000</v>
      </c>
      <c r="U14" s="19">
        <v>21000</v>
      </c>
      <c r="V14" s="19">
        <v>21000</v>
      </c>
      <c r="W14" s="19">
        <v>21000</v>
      </c>
      <c r="X14" s="19">
        <v>21000</v>
      </c>
      <c r="Y14" s="19">
        <v>21000</v>
      </c>
      <c r="Z14" s="19">
        <v>21000</v>
      </c>
      <c r="AA14" s="19">
        <v>21000</v>
      </c>
      <c r="AB14" s="19">
        <v>21000</v>
      </c>
      <c r="AC14" s="19">
        <v>21000</v>
      </c>
      <c r="AD14" s="19">
        <v>21000</v>
      </c>
      <c r="AE14" s="19">
        <v>21000</v>
      </c>
      <c r="AF14" s="19">
        <v>21000</v>
      </c>
      <c r="AG14" s="19">
        <v>21000</v>
      </c>
      <c r="AH14" s="19">
        <v>21000</v>
      </c>
      <c r="AI14" s="19">
        <v>21000</v>
      </c>
      <c r="AJ14" s="19">
        <v>21000</v>
      </c>
      <c r="AK14" s="19">
        <v>21000</v>
      </c>
      <c r="AL14" s="19">
        <v>21000</v>
      </c>
      <c r="AM14" s="19">
        <v>21000</v>
      </c>
      <c r="AN14" s="19">
        <v>21000</v>
      </c>
      <c r="AO14" s="19">
        <v>21000</v>
      </c>
      <c r="AP14" s="19">
        <v>21000</v>
      </c>
      <c r="AQ14" s="19">
        <v>21000</v>
      </c>
      <c r="AR14" s="19">
        <v>21000</v>
      </c>
      <c r="AS14" s="19">
        <v>21000</v>
      </c>
      <c r="AT14" s="19">
        <v>21000</v>
      </c>
      <c r="AU14" s="19">
        <v>21000</v>
      </c>
      <c r="AV14" s="19">
        <v>21000</v>
      </c>
      <c r="AW14" s="19">
        <v>21000</v>
      </c>
      <c r="AX14" s="19">
        <v>21000</v>
      </c>
      <c r="AY14" s="19">
        <v>21000</v>
      </c>
      <c r="AZ14" s="19">
        <v>21000</v>
      </c>
      <c r="BA14" s="19">
        <v>21000</v>
      </c>
      <c r="BB14" s="19">
        <v>21000</v>
      </c>
      <c r="BC14" s="19">
        <v>21000</v>
      </c>
      <c r="BD14" s="19">
        <v>21000</v>
      </c>
      <c r="BE14" s="19">
        <v>21000</v>
      </c>
      <c r="BF14" s="19">
        <v>21000</v>
      </c>
      <c r="BG14" s="19">
        <v>21000</v>
      </c>
      <c r="BH14" s="19">
        <v>21000</v>
      </c>
      <c r="BI14" s="19">
        <v>21000</v>
      </c>
      <c r="BJ14" s="19">
        <v>21000</v>
      </c>
      <c r="BK14" s="19">
        <v>21000</v>
      </c>
      <c r="BL14" s="19">
        <v>21000</v>
      </c>
      <c r="BM14" s="19">
        <v>21000</v>
      </c>
      <c r="BN14" s="19">
        <v>21000</v>
      </c>
      <c r="BO14" s="19">
        <v>21000</v>
      </c>
      <c r="BP14" s="19">
        <v>0</v>
      </c>
      <c r="BQ14" s="19">
        <v>42000</v>
      </c>
      <c r="BR14" s="19">
        <v>21000</v>
      </c>
      <c r="BS14" s="19">
        <v>21000</v>
      </c>
      <c r="BT14" s="19">
        <v>21000</v>
      </c>
      <c r="BU14" s="19">
        <v>21000</v>
      </c>
      <c r="BV14" s="19">
        <v>21000</v>
      </c>
      <c r="BW14" s="19">
        <v>21000</v>
      </c>
      <c r="BX14" s="19">
        <v>21000</v>
      </c>
      <c r="BY14" s="19">
        <v>21000</v>
      </c>
      <c r="BZ14" s="19">
        <v>21000</v>
      </c>
      <c r="CA14" s="19">
        <v>21000</v>
      </c>
      <c r="CB14" s="19">
        <v>21000</v>
      </c>
      <c r="CC14" s="19">
        <v>21000</v>
      </c>
      <c r="CD14" s="19">
        <v>21000</v>
      </c>
      <c r="CE14" s="19">
        <v>21000</v>
      </c>
      <c r="CF14" s="19">
        <v>21000</v>
      </c>
      <c r="CG14" s="19">
        <v>21000</v>
      </c>
      <c r="CH14" s="19">
        <v>21000</v>
      </c>
      <c r="CI14" s="19">
        <v>21000</v>
      </c>
      <c r="CJ14" s="19">
        <v>21000</v>
      </c>
      <c r="CK14" s="19">
        <v>21000</v>
      </c>
      <c r="CL14" s="19">
        <v>21000</v>
      </c>
      <c r="CM14" s="19">
        <v>21000</v>
      </c>
      <c r="CN14" s="19">
        <v>21000</v>
      </c>
      <c r="CO14" s="19">
        <v>21000</v>
      </c>
      <c r="CP14" s="19">
        <v>21000</v>
      </c>
      <c r="CQ14" s="24">
        <v>21000</v>
      </c>
      <c r="CR14" s="19">
        <v>21000</v>
      </c>
      <c r="CS14" s="19">
        <v>21000</v>
      </c>
      <c r="CT14" s="19">
        <v>21000</v>
      </c>
      <c r="CU14" s="19">
        <v>21000</v>
      </c>
      <c r="CV14" s="19">
        <v>21000</v>
      </c>
      <c r="CW14" s="19">
        <v>21000</v>
      </c>
      <c r="CX14" s="19">
        <v>21000</v>
      </c>
      <c r="CY14" s="19">
        <v>21000</v>
      </c>
      <c r="CZ14" s="19">
        <v>21000</v>
      </c>
      <c r="DA14" s="19">
        <v>21000</v>
      </c>
      <c r="DB14" s="19">
        <v>21000</v>
      </c>
      <c r="DC14" s="19">
        <v>21000</v>
      </c>
      <c r="DD14" s="19">
        <v>21000</v>
      </c>
      <c r="DE14" s="19">
        <v>21000</v>
      </c>
      <c r="DF14" s="19">
        <v>21000</v>
      </c>
      <c r="DG14" s="19">
        <v>21000</v>
      </c>
      <c r="DH14" s="19">
        <v>21000</v>
      </c>
      <c r="DI14" s="19"/>
      <c r="DJ14" s="19"/>
      <c r="DK14" s="19"/>
      <c r="DL14" s="19"/>
      <c r="DM14" s="19"/>
      <c r="DN14" s="19"/>
      <c r="DO14" s="19"/>
      <c r="DP14" s="19"/>
      <c r="DQ14" s="19"/>
      <c r="DR14" s="19"/>
    </row>
    <row r="15" spans="1:123" ht="15.75" customHeight="1" x14ac:dyDescent="0.3">
      <c r="A15" s="15">
        <v>10</v>
      </c>
      <c r="B15" s="16" t="s">
        <v>9</v>
      </c>
      <c r="C15" s="17">
        <v>21000</v>
      </c>
      <c r="D15" s="18">
        <f>Sheet3!C11</f>
        <v>108</v>
      </c>
      <c r="E15" s="19">
        <v>21000</v>
      </c>
      <c r="F15" s="19">
        <v>21000</v>
      </c>
      <c r="G15" s="19">
        <v>21000</v>
      </c>
      <c r="H15" s="19">
        <v>21000</v>
      </c>
      <c r="I15" s="19">
        <v>21000</v>
      </c>
      <c r="J15" s="19">
        <v>21000</v>
      </c>
      <c r="K15" s="19">
        <v>21000</v>
      </c>
      <c r="L15" s="19">
        <v>21000</v>
      </c>
      <c r="M15" s="19">
        <v>21000</v>
      </c>
      <c r="N15" s="19">
        <v>21000</v>
      </c>
      <c r="O15" s="19">
        <v>21000</v>
      </c>
      <c r="P15" s="19">
        <v>21000</v>
      </c>
      <c r="Q15" s="19">
        <v>21000</v>
      </c>
      <c r="R15" s="19">
        <v>21000</v>
      </c>
      <c r="S15" s="19">
        <v>21000</v>
      </c>
      <c r="T15" s="19">
        <v>21000</v>
      </c>
      <c r="U15" s="19">
        <v>21000</v>
      </c>
      <c r="V15" s="19">
        <v>21000</v>
      </c>
      <c r="W15" s="19">
        <v>21000</v>
      </c>
      <c r="X15" s="19">
        <v>21000</v>
      </c>
      <c r="Y15" s="19">
        <v>21000</v>
      </c>
      <c r="Z15" s="19">
        <v>21000</v>
      </c>
      <c r="AA15" s="19">
        <v>21000</v>
      </c>
      <c r="AB15" s="19">
        <v>21000</v>
      </c>
      <c r="AC15" s="19">
        <v>21000</v>
      </c>
      <c r="AD15" s="19">
        <v>21000</v>
      </c>
      <c r="AE15" s="19">
        <v>21000</v>
      </c>
      <c r="AF15" s="19">
        <v>21000</v>
      </c>
      <c r="AG15" s="19">
        <v>21000</v>
      </c>
      <c r="AH15" s="19">
        <v>21000</v>
      </c>
      <c r="AI15" s="19">
        <v>21000</v>
      </c>
      <c r="AJ15" s="19">
        <v>21000</v>
      </c>
      <c r="AK15" s="19">
        <v>21000</v>
      </c>
      <c r="AL15" s="19">
        <v>21000</v>
      </c>
      <c r="AM15" s="19">
        <v>21000</v>
      </c>
      <c r="AN15" s="19">
        <v>21000</v>
      </c>
      <c r="AO15" s="19">
        <v>21000</v>
      </c>
      <c r="AP15" s="19">
        <v>0</v>
      </c>
      <c r="AQ15" s="19">
        <v>42000</v>
      </c>
      <c r="AR15" s="19">
        <v>21000</v>
      </c>
      <c r="AS15" s="19">
        <v>21000</v>
      </c>
      <c r="AT15" s="19">
        <v>21000</v>
      </c>
      <c r="AU15" s="19">
        <v>21000</v>
      </c>
      <c r="AV15" s="19">
        <v>21000</v>
      </c>
      <c r="AW15" s="19">
        <v>21000</v>
      </c>
      <c r="AX15" s="19">
        <v>21000</v>
      </c>
      <c r="AY15" s="19">
        <v>21000</v>
      </c>
      <c r="AZ15" s="19">
        <v>21000</v>
      </c>
      <c r="BA15" s="19">
        <v>21000</v>
      </c>
      <c r="BB15" s="19">
        <v>21000</v>
      </c>
      <c r="BC15" s="19">
        <v>21000</v>
      </c>
      <c r="BD15" s="19">
        <v>21000</v>
      </c>
      <c r="BE15" s="19">
        <v>21000</v>
      </c>
      <c r="BF15" s="19">
        <v>21000</v>
      </c>
      <c r="BG15" s="19">
        <v>21000</v>
      </c>
      <c r="BH15" s="19">
        <v>21000</v>
      </c>
      <c r="BI15" s="19">
        <v>21000</v>
      </c>
      <c r="BJ15" s="19">
        <v>21000</v>
      </c>
      <c r="BK15" s="19">
        <v>21000</v>
      </c>
      <c r="BL15" s="19">
        <v>21000</v>
      </c>
      <c r="BM15" s="19">
        <v>21000</v>
      </c>
      <c r="BN15" s="19">
        <v>0</v>
      </c>
      <c r="BO15" s="19">
        <v>42000</v>
      </c>
      <c r="BP15" s="19">
        <v>21000</v>
      </c>
      <c r="BQ15" s="19">
        <v>21000</v>
      </c>
      <c r="BR15" s="19">
        <v>21000</v>
      </c>
      <c r="BS15" s="19">
        <v>21000</v>
      </c>
      <c r="BT15" s="19">
        <v>21000</v>
      </c>
      <c r="BU15" s="19">
        <v>21000</v>
      </c>
      <c r="BV15" s="19">
        <v>21000</v>
      </c>
      <c r="BW15" s="19">
        <v>21000</v>
      </c>
      <c r="BX15" s="19">
        <v>21000</v>
      </c>
      <c r="BY15" s="19">
        <v>21000</v>
      </c>
      <c r="BZ15" s="19">
        <v>21000</v>
      </c>
      <c r="CA15" s="19">
        <v>21000</v>
      </c>
      <c r="CB15" s="19">
        <v>21000</v>
      </c>
      <c r="CC15" s="19">
        <v>21000</v>
      </c>
      <c r="CD15" s="19">
        <v>21000</v>
      </c>
      <c r="CE15" s="19">
        <v>0</v>
      </c>
      <c r="CF15" s="19">
        <v>42000</v>
      </c>
      <c r="CG15" s="19">
        <v>21000</v>
      </c>
      <c r="CH15" s="19">
        <v>21000</v>
      </c>
      <c r="CI15" s="19">
        <v>21000</v>
      </c>
      <c r="CJ15" s="19">
        <v>21000</v>
      </c>
      <c r="CK15" s="19">
        <v>21000</v>
      </c>
      <c r="CL15" s="19">
        <v>21000</v>
      </c>
      <c r="CM15" s="19">
        <v>21000</v>
      </c>
      <c r="CN15" s="19">
        <v>21000</v>
      </c>
      <c r="CO15" s="19">
        <v>21000</v>
      </c>
      <c r="CP15" s="19">
        <v>21000</v>
      </c>
      <c r="CQ15" s="24">
        <v>21000</v>
      </c>
      <c r="CR15" s="19">
        <v>21000</v>
      </c>
      <c r="CS15" s="19">
        <v>21000</v>
      </c>
      <c r="CT15" s="19">
        <v>21000</v>
      </c>
      <c r="CU15" s="19">
        <v>21000</v>
      </c>
      <c r="CV15" s="19">
        <v>21000</v>
      </c>
      <c r="CW15" s="19">
        <v>21000</v>
      </c>
      <c r="CX15" s="19">
        <v>21000</v>
      </c>
      <c r="CY15" s="19">
        <v>21000</v>
      </c>
      <c r="CZ15" s="19">
        <v>21000</v>
      </c>
      <c r="DA15" s="19">
        <v>21000</v>
      </c>
      <c r="DB15" s="19">
        <v>21000</v>
      </c>
      <c r="DC15" s="19">
        <v>21000</v>
      </c>
      <c r="DD15" s="19">
        <v>21000</v>
      </c>
      <c r="DE15" s="19">
        <v>21000</v>
      </c>
      <c r="DF15" s="19">
        <v>21000</v>
      </c>
      <c r="DG15" s="19">
        <v>21000</v>
      </c>
      <c r="DH15" s="19">
        <v>21000</v>
      </c>
      <c r="DI15" s="19"/>
      <c r="DJ15" s="19"/>
      <c r="DK15" s="19"/>
      <c r="DL15" s="19"/>
      <c r="DM15" s="19"/>
      <c r="DN15" s="19"/>
      <c r="DO15" s="19"/>
      <c r="DP15" s="19"/>
      <c r="DQ15" s="19"/>
      <c r="DR15" s="19"/>
    </row>
    <row r="16" spans="1:123" ht="15.75" customHeight="1" x14ac:dyDescent="0.3">
      <c r="A16" s="15">
        <v>11</v>
      </c>
      <c r="B16" s="16" t="s">
        <v>12</v>
      </c>
      <c r="C16" s="17">
        <v>21000</v>
      </c>
      <c r="D16" s="18">
        <f>Sheet3!C12</f>
        <v>101</v>
      </c>
      <c r="E16" s="19">
        <v>21000</v>
      </c>
      <c r="F16" s="19">
        <v>21000</v>
      </c>
      <c r="G16" s="19">
        <v>21000</v>
      </c>
      <c r="H16" s="19">
        <v>21000</v>
      </c>
      <c r="I16" s="19">
        <v>21000</v>
      </c>
      <c r="J16" s="19">
        <v>21000</v>
      </c>
      <c r="K16" s="19">
        <v>21000</v>
      </c>
      <c r="L16" s="19">
        <v>21000</v>
      </c>
      <c r="M16" s="19">
        <v>21000</v>
      </c>
      <c r="N16" s="19">
        <v>21000</v>
      </c>
      <c r="O16" s="19">
        <v>21000</v>
      </c>
      <c r="P16" s="19">
        <v>21000</v>
      </c>
      <c r="Q16" s="19">
        <v>21000</v>
      </c>
      <c r="R16" s="19">
        <v>21000</v>
      </c>
      <c r="S16" s="19">
        <v>21000</v>
      </c>
      <c r="T16" s="19">
        <v>21000</v>
      </c>
      <c r="U16" s="19">
        <v>21000</v>
      </c>
      <c r="V16" s="19">
        <v>21000</v>
      </c>
      <c r="W16" s="19">
        <v>21000</v>
      </c>
      <c r="X16" s="19">
        <v>21000</v>
      </c>
      <c r="Y16" s="19">
        <v>21000</v>
      </c>
      <c r="Z16" s="19">
        <v>21000</v>
      </c>
      <c r="AA16" s="19">
        <v>21000</v>
      </c>
      <c r="AB16" s="19">
        <v>21000</v>
      </c>
      <c r="AC16" s="19">
        <v>21000</v>
      </c>
      <c r="AD16" s="19">
        <v>21000</v>
      </c>
      <c r="AE16" s="19">
        <v>21000</v>
      </c>
      <c r="AF16" s="19">
        <v>21000</v>
      </c>
      <c r="AG16" s="19">
        <v>0</v>
      </c>
      <c r="AH16" s="19">
        <v>42000</v>
      </c>
      <c r="AI16" s="19">
        <v>21000</v>
      </c>
      <c r="AJ16" s="19">
        <v>21000</v>
      </c>
      <c r="AK16" s="19">
        <v>21000</v>
      </c>
      <c r="AL16" s="19">
        <v>21000</v>
      </c>
      <c r="AM16" s="19">
        <v>21000</v>
      </c>
      <c r="AN16" s="19">
        <v>21000</v>
      </c>
      <c r="AO16" s="19">
        <v>21000</v>
      </c>
      <c r="AP16" s="19">
        <v>21000</v>
      </c>
      <c r="AQ16" s="19">
        <v>21000</v>
      </c>
      <c r="AR16" s="19">
        <v>21000</v>
      </c>
      <c r="AS16" s="19">
        <v>21000</v>
      </c>
      <c r="AT16" s="19">
        <v>21000</v>
      </c>
      <c r="AU16" s="19">
        <v>21000</v>
      </c>
      <c r="AV16" s="19">
        <v>0</v>
      </c>
      <c r="AW16" s="19">
        <v>42000</v>
      </c>
      <c r="AX16" s="19">
        <v>21000</v>
      </c>
      <c r="AY16" s="19">
        <v>21000</v>
      </c>
      <c r="AZ16" s="19">
        <v>21000</v>
      </c>
      <c r="BA16" s="19">
        <v>21000</v>
      </c>
      <c r="BB16" s="19">
        <v>21000</v>
      </c>
      <c r="BC16" s="19">
        <v>21000</v>
      </c>
      <c r="BD16" s="19">
        <v>0</v>
      </c>
      <c r="BE16" s="19">
        <v>21000</v>
      </c>
      <c r="BF16" s="19">
        <v>21000</v>
      </c>
      <c r="BG16" s="19">
        <v>21000</v>
      </c>
      <c r="BH16" s="19">
        <v>42000</v>
      </c>
      <c r="BI16" s="19">
        <v>21000</v>
      </c>
      <c r="BJ16" s="19">
        <v>21000</v>
      </c>
      <c r="BK16" s="19">
        <v>21000</v>
      </c>
      <c r="BL16" s="19">
        <v>21000</v>
      </c>
      <c r="BM16" s="19">
        <v>21000</v>
      </c>
      <c r="BN16" s="19">
        <v>0</v>
      </c>
      <c r="BO16" s="19">
        <v>21000</v>
      </c>
      <c r="BP16" s="19">
        <v>21000</v>
      </c>
      <c r="BQ16" s="19">
        <v>21000</v>
      </c>
      <c r="BR16" s="19">
        <v>21000</v>
      </c>
      <c r="BS16" s="19">
        <v>21000</v>
      </c>
      <c r="BT16" s="19">
        <v>21000</v>
      </c>
      <c r="BU16" s="19">
        <v>21000</v>
      </c>
      <c r="BV16" s="19">
        <v>21000</v>
      </c>
      <c r="BW16" s="19">
        <v>21000</v>
      </c>
      <c r="BX16" s="19">
        <v>0</v>
      </c>
      <c r="BY16" s="19">
        <v>21000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21000</v>
      </c>
      <c r="CG16" s="19">
        <v>21000</v>
      </c>
      <c r="CH16" s="19">
        <v>21000</v>
      </c>
      <c r="CI16" s="19">
        <v>21000</v>
      </c>
      <c r="CJ16" s="19">
        <v>42000</v>
      </c>
      <c r="CK16" s="19">
        <v>0</v>
      </c>
      <c r="CL16" s="19">
        <v>0</v>
      </c>
      <c r="CM16" s="19">
        <v>21000</v>
      </c>
      <c r="CN16" s="19">
        <v>21000</v>
      </c>
      <c r="CO16" s="19">
        <v>0</v>
      </c>
      <c r="CP16" s="19">
        <v>0</v>
      </c>
      <c r="CQ16" s="24">
        <v>0</v>
      </c>
      <c r="CR16" s="19">
        <v>21000</v>
      </c>
      <c r="CS16" s="19">
        <v>0</v>
      </c>
      <c r="CT16" s="19">
        <v>84000</v>
      </c>
      <c r="CU16" s="19">
        <v>0</v>
      </c>
      <c r="CV16" s="19">
        <v>63000</v>
      </c>
      <c r="CW16" s="19">
        <v>0</v>
      </c>
      <c r="CX16" s="19">
        <v>63000</v>
      </c>
      <c r="CY16" s="19">
        <v>21000</v>
      </c>
      <c r="CZ16" s="19">
        <v>42000</v>
      </c>
      <c r="DA16" s="19">
        <v>21000</v>
      </c>
      <c r="DB16" s="19">
        <v>21000</v>
      </c>
      <c r="DC16" s="19">
        <v>0</v>
      </c>
      <c r="DD16" s="19">
        <v>21000</v>
      </c>
      <c r="DE16" s="19">
        <v>42000</v>
      </c>
      <c r="DF16" s="19">
        <v>0</v>
      </c>
      <c r="DG16" s="19">
        <v>42000</v>
      </c>
      <c r="DH16" s="19">
        <v>21000</v>
      </c>
      <c r="DI16" s="19"/>
      <c r="DJ16" s="19"/>
      <c r="DK16" s="19"/>
      <c r="DL16" s="19"/>
      <c r="DM16" s="19"/>
      <c r="DN16" s="19"/>
      <c r="DO16" s="19"/>
      <c r="DP16" s="19"/>
      <c r="DQ16" s="19"/>
      <c r="DR16" s="19"/>
    </row>
    <row r="17" spans="1:122" ht="15.75" customHeight="1" x14ac:dyDescent="0.3">
      <c r="A17" s="15">
        <v>12</v>
      </c>
      <c r="B17" s="16" t="s">
        <v>13</v>
      </c>
      <c r="C17" s="17">
        <v>21000</v>
      </c>
      <c r="D17" s="18">
        <f>Sheet3!C13</f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/>
      <c r="BV17" s="19">
        <v>0</v>
      </c>
      <c r="BW17" s="19">
        <v>0</v>
      </c>
      <c r="BX17" s="19">
        <v>0</v>
      </c>
      <c r="BY17" s="19">
        <v>0</v>
      </c>
      <c r="BZ17" s="19">
        <v>0</v>
      </c>
      <c r="CA17" s="19">
        <v>0</v>
      </c>
      <c r="CB17" s="19">
        <v>0</v>
      </c>
      <c r="CC17" s="19">
        <v>0</v>
      </c>
      <c r="CD17" s="19">
        <v>0</v>
      </c>
      <c r="CE17" s="19">
        <v>0</v>
      </c>
      <c r="CF17" s="19">
        <v>0</v>
      </c>
      <c r="CG17" s="19">
        <v>0</v>
      </c>
      <c r="CH17" s="19">
        <v>0</v>
      </c>
      <c r="CI17" s="19">
        <v>0</v>
      </c>
      <c r="CJ17" s="19">
        <v>0</v>
      </c>
      <c r="CK17" s="19">
        <v>0</v>
      </c>
      <c r="CL17" s="19">
        <v>0</v>
      </c>
      <c r="CM17" s="19">
        <v>0</v>
      </c>
      <c r="CN17" s="19">
        <v>0</v>
      </c>
      <c r="CO17" s="19">
        <v>0</v>
      </c>
      <c r="CP17" s="19">
        <v>0</v>
      </c>
      <c r="CQ17" s="24">
        <v>0</v>
      </c>
      <c r="CR17" s="19">
        <v>0</v>
      </c>
      <c r="CS17" s="19">
        <v>0</v>
      </c>
      <c r="CT17" s="19">
        <v>0</v>
      </c>
      <c r="CU17" s="19">
        <v>0</v>
      </c>
      <c r="CV17" s="19">
        <v>0</v>
      </c>
      <c r="CW17" s="19">
        <v>0</v>
      </c>
      <c r="CX17" s="19">
        <v>0</v>
      </c>
      <c r="CY17" s="19">
        <v>0</v>
      </c>
      <c r="CZ17" s="19">
        <v>0</v>
      </c>
      <c r="DA17" s="19">
        <v>0</v>
      </c>
      <c r="DB17" s="19">
        <v>0</v>
      </c>
      <c r="DC17" s="19">
        <v>0</v>
      </c>
      <c r="DD17" s="19">
        <v>0</v>
      </c>
      <c r="DE17" s="19">
        <v>0</v>
      </c>
      <c r="DF17" s="19">
        <v>0</v>
      </c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</row>
    <row r="18" spans="1:122" ht="15.75" customHeight="1" x14ac:dyDescent="0.3">
      <c r="A18" s="15">
        <v>13</v>
      </c>
      <c r="B18" s="16" t="s">
        <v>14</v>
      </c>
      <c r="C18" s="17">
        <v>21000</v>
      </c>
      <c r="D18" s="18">
        <f>Sheet3!C14</f>
        <v>108</v>
      </c>
      <c r="E18" s="19">
        <v>21000</v>
      </c>
      <c r="F18" s="19">
        <v>21000</v>
      </c>
      <c r="G18" s="19">
        <v>21000</v>
      </c>
      <c r="H18" s="19">
        <v>21000</v>
      </c>
      <c r="I18" s="19">
        <v>21000</v>
      </c>
      <c r="J18" s="19">
        <v>21000</v>
      </c>
      <c r="K18" s="19">
        <v>21000</v>
      </c>
      <c r="L18" s="19">
        <v>21000</v>
      </c>
      <c r="M18" s="19">
        <v>21000</v>
      </c>
      <c r="N18" s="19">
        <v>21000</v>
      </c>
      <c r="O18" s="19">
        <v>21000</v>
      </c>
      <c r="P18" s="19">
        <v>21000</v>
      </c>
      <c r="Q18" s="19">
        <v>21000</v>
      </c>
      <c r="R18" s="19">
        <v>21000</v>
      </c>
      <c r="S18" s="19">
        <v>21000</v>
      </c>
      <c r="T18" s="19">
        <v>21000</v>
      </c>
      <c r="U18" s="19">
        <v>21000</v>
      </c>
      <c r="V18" s="19">
        <v>21000</v>
      </c>
      <c r="W18" s="19">
        <v>21000</v>
      </c>
      <c r="X18" s="19">
        <v>21000</v>
      </c>
      <c r="Y18" s="19">
        <v>21000</v>
      </c>
      <c r="Z18" s="19">
        <v>21000</v>
      </c>
      <c r="AA18" s="19">
        <v>21000</v>
      </c>
      <c r="AB18" s="19">
        <v>21000</v>
      </c>
      <c r="AC18" s="19">
        <v>21000</v>
      </c>
      <c r="AD18" s="19">
        <v>21000</v>
      </c>
      <c r="AE18" s="19">
        <v>21000</v>
      </c>
      <c r="AF18" s="19">
        <v>21000</v>
      </c>
      <c r="AG18" s="19">
        <v>21000</v>
      </c>
      <c r="AH18" s="19">
        <v>21000</v>
      </c>
      <c r="AI18" s="19">
        <v>21000</v>
      </c>
      <c r="AJ18" s="19">
        <v>21000</v>
      </c>
      <c r="AK18" s="19">
        <v>21000</v>
      </c>
      <c r="AL18" s="19">
        <v>21000</v>
      </c>
      <c r="AM18" s="19">
        <v>21000</v>
      </c>
      <c r="AN18" s="19">
        <v>21000</v>
      </c>
      <c r="AO18" s="19">
        <v>21000</v>
      </c>
      <c r="AP18" s="19">
        <v>21000</v>
      </c>
      <c r="AQ18" s="19">
        <v>21000</v>
      </c>
      <c r="AR18" s="19">
        <v>21000</v>
      </c>
      <c r="AS18" s="19">
        <v>21000</v>
      </c>
      <c r="AT18" s="19">
        <v>21000</v>
      </c>
      <c r="AU18" s="19">
        <v>21000</v>
      </c>
      <c r="AV18" s="19">
        <v>21000</v>
      </c>
      <c r="AW18" s="19">
        <v>21000</v>
      </c>
      <c r="AX18" s="19">
        <v>21000</v>
      </c>
      <c r="AY18" s="19">
        <v>21000</v>
      </c>
      <c r="AZ18" s="19">
        <v>21000</v>
      </c>
      <c r="BA18" s="19">
        <v>21000</v>
      </c>
      <c r="BB18" s="19">
        <v>21000</v>
      </c>
      <c r="BC18" s="19">
        <v>21000</v>
      </c>
      <c r="BD18" s="19">
        <v>21000</v>
      </c>
      <c r="BE18" s="19">
        <v>21000</v>
      </c>
      <c r="BF18" s="19">
        <v>21000</v>
      </c>
      <c r="BG18" s="19">
        <v>21000</v>
      </c>
      <c r="BH18" s="19">
        <v>21000</v>
      </c>
      <c r="BI18" s="19">
        <v>21000</v>
      </c>
      <c r="BJ18" s="19">
        <v>21000</v>
      </c>
      <c r="BK18" s="19">
        <v>21000</v>
      </c>
      <c r="BL18" s="19">
        <v>21000</v>
      </c>
      <c r="BM18" s="19">
        <v>21000</v>
      </c>
      <c r="BN18" s="19">
        <v>21000</v>
      </c>
      <c r="BO18" s="19">
        <v>21000</v>
      </c>
      <c r="BP18" s="19">
        <v>21000</v>
      </c>
      <c r="BQ18" s="19">
        <v>21000</v>
      </c>
      <c r="BR18" s="19">
        <v>21000</v>
      </c>
      <c r="BS18" s="19">
        <v>21000</v>
      </c>
      <c r="BT18" s="19">
        <v>21000</v>
      </c>
      <c r="BU18" s="19">
        <v>21000</v>
      </c>
      <c r="BV18" s="19">
        <v>21000</v>
      </c>
      <c r="BW18" s="19">
        <v>21000</v>
      </c>
      <c r="BX18" s="19">
        <v>21000</v>
      </c>
      <c r="BY18" s="19">
        <v>21000</v>
      </c>
      <c r="BZ18" s="19">
        <v>21000</v>
      </c>
      <c r="CA18" s="19">
        <v>21000</v>
      </c>
      <c r="CB18" s="19">
        <v>21000</v>
      </c>
      <c r="CC18" s="19">
        <v>21000</v>
      </c>
      <c r="CD18" s="19">
        <v>21000</v>
      </c>
      <c r="CE18" s="19">
        <v>21000</v>
      </c>
      <c r="CF18" s="19">
        <v>21000</v>
      </c>
      <c r="CG18" s="19">
        <v>21000</v>
      </c>
      <c r="CH18" s="19">
        <v>21000</v>
      </c>
      <c r="CI18" s="19">
        <v>21000</v>
      </c>
      <c r="CJ18" s="19">
        <v>21000</v>
      </c>
      <c r="CK18" s="19">
        <v>21000</v>
      </c>
      <c r="CL18" s="19">
        <v>21000</v>
      </c>
      <c r="CM18" s="19">
        <v>21000</v>
      </c>
      <c r="CN18" s="19">
        <v>21000</v>
      </c>
      <c r="CO18" s="19">
        <v>21000</v>
      </c>
      <c r="CP18" s="19">
        <v>21000</v>
      </c>
      <c r="CQ18" s="24">
        <v>21000</v>
      </c>
      <c r="CR18" s="19">
        <v>21000</v>
      </c>
      <c r="CS18" s="19">
        <v>21000</v>
      </c>
      <c r="CT18" s="19">
        <v>21000</v>
      </c>
      <c r="CU18" s="19">
        <v>21000</v>
      </c>
      <c r="CV18" s="19">
        <v>21000</v>
      </c>
      <c r="CW18" s="19">
        <v>21000</v>
      </c>
      <c r="CX18" s="19">
        <v>21000</v>
      </c>
      <c r="CY18" s="19">
        <v>21000</v>
      </c>
      <c r="CZ18" s="19">
        <v>21000</v>
      </c>
      <c r="DA18" s="19">
        <v>21000</v>
      </c>
      <c r="DB18" s="19">
        <v>21000</v>
      </c>
      <c r="DC18" s="19">
        <v>21000</v>
      </c>
      <c r="DD18" s="19">
        <v>21000</v>
      </c>
      <c r="DE18" s="19">
        <v>21000</v>
      </c>
      <c r="DF18" s="19">
        <v>21000</v>
      </c>
      <c r="DG18" s="19">
        <v>21000</v>
      </c>
      <c r="DH18" s="19">
        <v>21000</v>
      </c>
      <c r="DI18" s="19"/>
      <c r="DJ18" s="19"/>
      <c r="DK18" s="19"/>
      <c r="DL18" s="19"/>
      <c r="DM18" s="19"/>
      <c r="DN18" s="19"/>
      <c r="DO18" s="19"/>
      <c r="DP18" s="19"/>
      <c r="DQ18" s="19"/>
      <c r="DR18" s="19"/>
    </row>
    <row r="19" spans="1:122" ht="15.75" customHeight="1" x14ac:dyDescent="0.3">
      <c r="A19" s="15">
        <v>14</v>
      </c>
      <c r="B19" s="16" t="s">
        <v>15</v>
      </c>
      <c r="C19" s="17">
        <v>21000</v>
      </c>
      <c r="D19" s="18">
        <f>Sheet3!C15</f>
        <v>106</v>
      </c>
      <c r="E19" s="19">
        <v>21000</v>
      </c>
      <c r="F19" s="19">
        <v>21000</v>
      </c>
      <c r="G19" s="19">
        <v>21000</v>
      </c>
      <c r="H19" s="19">
        <v>21000</v>
      </c>
      <c r="I19" s="19">
        <v>21000</v>
      </c>
      <c r="J19" s="19">
        <v>21000</v>
      </c>
      <c r="K19" s="19">
        <v>21000</v>
      </c>
      <c r="L19" s="19">
        <v>21000</v>
      </c>
      <c r="M19" s="19">
        <v>21000</v>
      </c>
      <c r="N19" s="19">
        <v>21000</v>
      </c>
      <c r="O19" s="19">
        <v>21000</v>
      </c>
      <c r="P19" s="19">
        <v>21000</v>
      </c>
      <c r="Q19" s="19">
        <v>21000</v>
      </c>
      <c r="R19" s="19">
        <v>21000</v>
      </c>
      <c r="S19" s="19">
        <v>21000</v>
      </c>
      <c r="T19" s="19">
        <v>21000</v>
      </c>
      <c r="U19" s="19">
        <v>21000</v>
      </c>
      <c r="V19" s="19">
        <v>21000</v>
      </c>
      <c r="W19" s="19">
        <v>21000</v>
      </c>
      <c r="X19" s="19">
        <v>0</v>
      </c>
      <c r="Y19" s="19">
        <v>42000</v>
      </c>
      <c r="Z19" s="19">
        <v>21000</v>
      </c>
      <c r="AA19" s="19">
        <v>21000</v>
      </c>
      <c r="AB19" s="19">
        <v>21000</v>
      </c>
      <c r="AC19" s="19">
        <v>21000</v>
      </c>
      <c r="AD19" s="19">
        <v>21000</v>
      </c>
      <c r="AE19" s="19">
        <v>21000</v>
      </c>
      <c r="AF19" s="19">
        <v>0</v>
      </c>
      <c r="AG19" s="19">
        <v>42000</v>
      </c>
      <c r="AH19" s="19">
        <v>21000</v>
      </c>
      <c r="AI19" s="19">
        <v>21000</v>
      </c>
      <c r="AJ19" s="19">
        <v>0</v>
      </c>
      <c r="AK19" s="19">
        <v>42000</v>
      </c>
      <c r="AL19" s="19">
        <v>21000</v>
      </c>
      <c r="AM19" s="19">
        <v>21000</v>
      </c>
      <c r="AN19" s="19">
        <v>0</v>
      </c>
      <c r="AO19" s="19">
        <v>42000</v>
      </c>
      <c r="AP19" s="19">
        <v>21000</v>
      </c>
      <c r="AQ19" s="19">
        <v>21000</v>
      </c>
      <c r="AR19" s="19">
        <v>21000</v>
      </c>
      <c r="AS19" s="19">
        <v>21000</v>
      </c>
      <c r="AT19" s="19">
        <v>21000</v>
      </c>
      <c r="AU19" s="19">
        <v>21000</v>
      </c>
      <c r="AV19" s="19">
        <v>21000</v>
      </c>
      <c r="AW19" s="19">
        <v>0</v>
      </c>
      <c r="AX19" s="19">
        <v>21000</v>
      </c>
      <c r="AY19" s="19">
        <v>21000</v>
      </c>
      <c r="AZ19" s="19">
        <v>42000</v>
      </c>
      <c r="BA19" s="19">
        <v>21000</v>
      </c>
      <c r="BB19" s="19">
        <v>21000</v>
      </c>
      <c r="BC19" s="19">
        <v>21000</v>
      </c>
      <c r="BD19" s="19">
        <v>21000</v>
      </c>
      <c r="BE19" s="19">
        <v>21000</v>
      </c>
      <c r="BF19" s="19">
        <v>21000</v>
      </c>
      <c r="BG19" s="19">
        <v>21000</v>
      </c>
      <c r="BH19" s="19">
        <v>0</v>
      </c>
      <c r="BI19" s="19">
        <v>42000</v>
      </c>
      <c r="BJ19" s="19">
        <v>21000</v>
      </c>
      <c r="BK19" s="19">
        <v>21000</v>
      </c>
      <c r="BL19" s="19">
        <v>0</v>
      </c>
      <c r="BM19" s="19">
        <v>42000</v>
      </c>
      <c r="BN19" s="19">
        <v>21000</v>
      </c>
      <c r="BO19" s="19">
        <v>21000</v>
      </c>
      <c r="BP19" s="19">
        <v>0</v>
      </c>
      <c r="BQ19" s="19">
        <v>42000</v>
      </c>
      <c r="BR19" s="19"/>
      <c r="BS19" s="19">
        <v>21000</v>
      </c>
      <c r="BT19" s="19">
        <v>21000</v>
      </c>
      <c r="BU19" s="19">
        <v>42000</v>
      </c>
      <c r="BV19" s="19">
        <v>21000</v>
      </c>
      <c r="BW19" s="19">
        <v>21000</v>
      </c>
      <c r="BX19" s="19">
        <v>0</v>
      </c>
      <c r="BY19" s="19">
        <v>42000</v>
      </c>
      <c r="BZ19" s="19">
        <v>0</v>
      </c>
      <c r="CA19" s="19">
        <v>42000</v>
      </c>
      <c r="CB19" s="19">
        <v>21000</v>
      </c>
      <c r="CC19" s="19">
        <v>21000</v>
      </c>
      <c r="CD19" s="19">
        <v>21000</v>
      </c>
      <c r="CE19" s="19">
        <v>0</v>
      </c>
      <c r="CF19" s="19">
        <v>42000</v>
      </c>
      <c r="CG19" s="19">
        <v>0</v>
      </c>
      <c r="CH19" s="19">
        <v>21000</v>
      </c>
      <c r="CI19" s="19">
        <v>42000</v>
      </c>
      <c r="CJ19" s="19">
        <v>21000</v>
      </c>
      <c r="CK19" s="19">
        <v>21000</v>
      </c>
      <c r="CL19" s="19">
        <v>21000</v>
      </c>
      <c r="CM19" s="19">
        <v>0</v>
      </c>
      <c r="CN19" s="19">
        <v>42000</v>
      </c>
      <c r="CO19" s="19">
        <v>21000</v>
      </c>
      <c r="CP19" s="19">
        <v>0</v>
      </c>
      <c r="CQ19" s="24">
        <v>42000</v>
      </c>
      <c r="CR19" s="19">
        <v>0</v>
      </c>
      <c r="CS19" s="19">
        <v>42000</v>
      </c>
      <c r="CT19" s="19">
        <v>0</v>
      </c>
      <c r="CU19" s="19">
        <v>0</v>
      </c>
      <c r="CV19" s="19">
        <v>0</v>
      </c>
      <c r="CW19" s="19">
        <v>63000</v>
      </c>
      <c r="CX19" s="19">
        <v>0</v>
      </c>
      <c r="CY19" s="19">
        <v>0</v>
      </c>
      <c r="CZ19" s="19">
        <v>0</v>
      </c>
      <c r="DA19" s="19">
        <v>105000</v>
      </c>
      <c r="DB19" s="19">
        <v>21000</v>
      </c>
      <c r="DC19" s="19">
        <v>0</v>
      </c>
      <c r="DD19" s="19">
        <v>0</v>
      </c>
      <c r="DE19" s="19">
        <v>42000</v>
      </c>
      <c r="DF19" s="19">
        <v>0</v>
      </c>
      <c r="DG19" s="19">
        <v>42000</v>
      </c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</row>
    <row r="20" spans="1:122" ht="15.75" customHeight="1" x14ac:dyDescent="0.3">
      <c r="A20" s="15">
        <v>15</v>
      </c>
      <c r="B20" s="16" t="s">
        <v>16</v>
      </c>
      <c r="C20" s="17">
        <v>21000</v>
      </c>
      <c r="D20" s="18">
        <f>Sheet3!C16</f>
        <v>88</v>
      </c>
      <c r="E20" s="19">
        <v>21000</v>
      </c>
      <c r="F20" s="19">
        <v>21000</v>
      </c>
      <c r="G20" s="19">
        <v>21000</v>
      </c>
      <c r="H20" s="19">
        <v>21000</v>
      </c>
      <c r="I20" s="19">
        <v>21000</v>
      </c>
      <c r="J20" s="19">
        <v>21000</v>
      </c>
      <c r="K20" s="19">
        <v>21000</v>
      </c>
      <c r="L20" s="19">
        <v>21000</v>
      </c>
      <c r="M20" s="19">
        <v>21000</v>
      </c>
      <c r="N20" s="19">
        <v>21000</v>
      </c>
      <c r="O20" s="19">
        <v>21000</v>
      </c>
      <c r="P20" s="19">
        <v>21000</v>
      </c>
      <c r="Q20" s="19">
        <v>21000</v>
      </c>
      <c r="R20" s="19">
        <v>21000</v>
      </c>
      <c r="S20" s="19">
        <v>21000</v>
      </c>
      <c r="T20" s="19">
        <v>21000</v>
      </c>
      <c r="U20" s="19">
        <v>21000</v>
      </c>
      <c r="V20" s="19">
        <v>21000</v>
      </c>
      <c r="W20" s="19">
        <v>21000</v>
      </c>
      <c r="X20" s="19">
        <v>21000</v>
      </c>
      <c r="Y20" s="19">
        <v>21000</v>
      </c>
      <c r="Z20" s="19">
        <v>21000</v>
      </c>
      <c r="AA20" s="19">
        <v>21000</v>
      </c>
      <c r="AB20" s="19">
        <v>21000</v>
      </c>
      <c r="AC20" s="19">
        <v>21000</v>
      </c>
      <c r="AD20" s="19">
        <v>21000</v>
      </c>
      <c r="AE20" s="19">
        <v>21000</v>
      </c>
      <c r="AF20" s="19">
        <v>21000</v>
      </c>
      <c r="AG20" s="19">
        <v>21000</v>
      </c>
      <c r="AH20" s="19">
        <v>21000</v>
      </c>
      <c r="AI20" s="19">
        <v>21000</v>
      </c>
      <c r="AJ20" s="19">
        <v>21000</v>
      </c>
      <c r="AK20" s="19">
        <v>21000</v>
      </c>
      <c r="AL20" s="19">
        <v>21000</v>
      </c>
      <c r="AM20" s="19">
        <v>21000</v>
      </c>
      <c r="AN20" s="19">
        <v>21000</v>
      </c>
      <c r="AO20" s="19">
        <v>21000</v>
      </c>
      <c r="AP20" s="19">
        <v>21000</v>
      </c>
      <c r="AQ20" s="19">
        <v>21000</v>
      </c>
      <c r="AR20" s="19">
        <v>21000</v>
      </c>
      <c r="AS20" s="19">
        <v>21000</v>
      </c>
      <c r="AT20" s="19">
        <v>21000</v>
      </c>
      <c r="AU20" s="19">
        <v>21000</v>
      </c>
      <c r="AV20" s="19">
        <v>0</v>
      </c>
      <c r="AW20" s="19">
        <v>0</v>
      </c>
      <c r="AX20" s="19">
        <v>0</v>
      </c>
      <c r="AY20" s="19">
        <v>21000</v>
      </c>
      <c r="AZ20" s="19">
        <v>21000</v>
      </c>
      <c r="BA20" s="19">
        <v>63000</v>
      </c>
      <c r="BB20" s="19">
        <v>21000</v>
      </c>
      <c r="BC20" s="19">
        <v>42000</v>
      </c>
      <c r="BD20" s="19">
        <v>21000</v>
      </c>
      <c r="BE20" s="19">
        <v>21000</v>
      </c>
      <c r="BF20" s="19">
        <v>21000</v>
      </c>
      <c r="BG20" s="19">
        <v>21000</v>
      </c>
      <c r="BH20" s="19">
        <v>21000</v>
      </c>
      <c r="BI20" s="19">
        <v>21000</v>
      </c>
      <c r="BJ20" s="19">
        <v>21000</v>
      </c>
      <c r="BK20" s="19">
        <v>21000</v>
      </c>
      <c r="BL20" s="19">
        <v>21000</v>
      </c>
      <c r="BM20" s="19">
        <v>0</v>
      </c>
      <c r="BN20" s="19">
        <v>0</v>
      </c>
      <c r="BO20" s="19">
        <v>0</v>
      </c>
      <c r="BP20" s="19">
        <v>21000</v>
      </c>
      <c r="BQ20" s="19">
        <v>0</v>
      </c>
      <c r="BR20" s="19">
        <v>0</v>
      </c>
      <c r="BS20" s="19">
        <v>42000</v>
      </c>
      <c r="BT20" s="19">
        <v>21000</v>
      </c>
      <c r="BU20" s="19">
        <v>21000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21000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252000</v>
      </c>
      <c r="CQ20" s="24">
        <v>105000</v>
      </c>
      <c r="CR20" s="19">
        <v>105000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</row>
    <row r="21" spans="1:122" ht="15.75" customHeight="1" x14ac:dyDescent="0.3">
      <c r="A21" s="15">
        <v>16</v>
      </c>
      <c r="B21" s="16" t="s">
        <v>17</v>
      </c>
      <c r="C21" s="17">
        <v>21000</v>
      </c>
      <c r="D21" s="18">
        <f>Sheet3!C17</f>
        <v>108</v>
      </c>
      <c r="E21" s="19">
        <v>21000</v>
      </c>
      <c r="F21" s="19">
        <v>21000</v>
      </c>
      <c r="G21" s="19">
        <v>21000</v>
      </c>
      <c r="H21" s="19">
        <v>21000</v>
      </c>
      <c r="I21" s="19">
        <v>21000</v>
      </c>
      <c r="J21" s="19">
        <v>21000</v>
      </c>
      <c r="K21" s="19">
        <v>21000</v>
      </c>
      <c r="L21" s="19">
        <v>21000</v>
      </c>
      <c r="M21" s="19">
        <v>21000</v>
      </c>
      <c r="N21" s="19">
        <v>21000</v>
      </c>
      <c r="O21" s="19">
        <v>21000</v>
      </c>
      <c r="P21" s="19">
        <v>21000</v>
      </c>
      <c r="Q21" s="19">
        <v>21000</v>
      </c>
      <c r="R21" s="19">
        <v>21000</v>
      </c>
      <c r="S21" s="19">
        <v>21000</v>
      </c>
      <c r="T21" s="19">
        <v>21000</v>
      </c>
      <c r="U21" s="19">
        <v>21000</v>
      </c>
      <c r="V21" s="19">
        <v>21000</v>
      </c>
      <c r="W21" s="19">
        <v>21000</v>
      </c>
      <c r="X21" s="19">
        <v>21000</v>
      </c>
      <c r="Y21" s="19">
        <v>21000</v>
      </c>
      <c r="Z21" s="19">
        <v>21000</v>
      </c>
      <c r="AA21" s="19">
        <v>21000</v>
      </c>
      <c r="AB21" s="19">
        <v>21000</v>
      </c>
      <c r="AC21" s="19">
        <v>21000</v>
      </c>
      <c r="AD21" s="19">
        <v>21000</v>
      </c>
      <c r="AE21" s="19">
        <v>21000</v>
      </c>
      <c r="AF21" s="19">
        <v>21000</v>
      </c>
      <c r="AG21" s="19">
        <v>21000</v>
      </c>
      <c r="AH21" s="19">
        <v>21000</v>
      </c>
      <c r="AI21" s="19">
        <v>21000</v>
      </c>
      <c r="AJ21" s="19">
        <v>21000</v>
      </c>
      <c r="AK21" s="19">
        <v>21000</v>
      </c>
      <c r="AL21" s="19">
        <v>21000</v>
      </c>
      <c r="AM21" s="19">
        <v>21000</v>
      </c>
      <c r="AN21" s="19">
        <v>21000</v>
      </c>
      <c r="AO21" s="19">
        <v>21000</v>
      </c>
      <c r="AP21" s="19">
        <v>21000</v>
      </c>
      <c r="AQ21" s="19">
        <v>21000</v>
      </c>
      <c r="AR21" s="19">
        <v>21000</v>
      </c>
      <c r="AS21" s="19">
        <v>21000</v>
      </c>
      <c r="AT21" s="19">
        <v>21000</v>
      </c>
      <c r="AU21" s="19">
        <v>21000</v>
      </c>
      <c r="AV21" s="19">
        <v>21000</v>
      </c>
      <c r="AW21" s="19">
        <v>21000</v>
      </c>
      <c r="AX21" s="19">
        <v>21000</v>
      </c>
      <c r="AY21" s="19">
        <v>21000</v>
      </c>
      <c r="AZ21" s="19">
        <v>21000</v>
      </c>
      <c r="BA21" s="19">
        <v>21000</v>
      </c>
      <c r="BB21" s="19">
        <v>21000</v>
      </c>
      <c r="BC21" s="19">
        <v>21000</v>
      </c>
      <c r="BD21" s="19">
        <v>0</v>
      </c>
      <c r="BE21" s="19">
        <v>42000</v>
      </c>
      <c r="BF21" s="19">
        <v>21000</v>
      </c>
      <c r="BG21" s="19">
        <v>21000</v>
      </c>
      <c r="BH21" s="19">
        <v>21000</v>
      </c>
      <c r="BI21" s="19">
        <v>21000</v>
      </c>
      <c r="BJ21" s="19">
        <v>21000</v>
      </c>
      <c r="BK21" s="19">
        <v>21000</v>
      </c>
      <c r="BL21" s="19">
        <v>21000</v>
      </c>
      <c r="BM21" s="19">
        <v>21000</v>
      </c>
      <c r="BN21" s="19">
        <v>21000</v>
      </c>
      <c r="BO21" s="19">
        <v>21000</v>
      </c>
      <c r="BP21" s="19">
        <v>21000</v>
      </c>
      <c r="BQ21" s="19">
        <v>21000</v>
      </c>
      <c r="BR21" s="19">
        <v>21000</v>
      </c>
      <c r="BS21" s="19">
        <v>21000</v>
      </c>
      <c r="BT21" s="19">
        <v>21000</v>
      </c>
      <c r="BU21" s="19">
        <v>21000</v>
      </c>
      <c r="BV21" s="19">
        <v>21000</v>
      </c>
      <c r="BW21" s="19">
        <v>21000</v>
      </c>
      <c r="BX21" s="19">
        <v>21000</v>
      </c>
      <c r="BY21" s="19">
        <v>21000</v>
      </c>
      <c r="BZ21" s="19">
        <v>21000</v>
      </c>
      <c r="CA21" s="19">
        <v>21000</v>
      </c>
      <c r="CB21" s="19">
        <v>21000</v>
      </c>
      <c r="CC21" s="19">
        <v>21000</v>
      </c>
      <c r="CD21" s="19">
        <v>21000</v>
      </c>
      <c r="CE21" s="19">
        <v>21000</v>
      </c>
      <c r="CF21" s="19">
        <v>21000</v>
      </c>
      <c r="CG21" s="19">
        <v>21000</v>
      </c>
      <c r="CH21" s="19">
        <v>21000</v>
      </c>
      <c r="CI21" s="19">
        <v>21000</v>
      </c>
      <c r="CJ21" s="19">
        <v>21000</v>
      </c>
      <c r="CK21" s="19">
        <v>21000</v>
      </c>
      <c r="CL21" s="19">
        <v>21000</v>
      </c>
      <c r="CM21" s="19">
        <v>21000</v>
      </c>
      <c r="CN21" s="19">
        <v>21000</v>
      </c>
      <c r="CO21" s="19">
        <v>21000</v>
      </c>
      <c r="CP21" s="19">
        <v>0</v>
      </c>
      <c r="CQ21" s="24">
        <v>42000</v>
      </c>
      <c r="CR21" s="19">
        <v>21000</v>
      </c>
      <c r="CS21" s="19">
        <v>21000</v>
      </c>
      <c r="CT21" s="19">
        <v>21000</v>
      </c>
      <c r="CU21" s="19">
        <v>21000</v>
      </c>
      <c r="CV21" s="19">
        <v>21000</v>
      </c>
      <c r="CW21" s="19">
        <v>21000</v>
      </c>
      <c r="CX21" s="19">
        <v>21000</v>
      </c>
      <c r="CY21" s="19">
        <v>21000</v>
      </c>
      <c r="CZ21" s="19">
        <v>21000</v>
      </c>
      <c r="DA21" s="19">
        <v>21000</v>
      </c>
      <c r="DB21" s="19">
        <v>21000</v>
      </c>
      <c r="DC21" s="19">
        <v>21000</v>
      </c>
      <c r="DD21" s="19">
        <v>21000</v>
      </c>
      <c r="DE21" s="19">
        <v>21000</v>
      </c>
      <c r="DF21" s="19">
        <v>21000</v>
      </c>
      <c r="DG21" s="19">
        <v>21000</v>
      </c>
      <c r="DH21" s="19">
        <v>21000</v>
      </c>
      <c r="DI21" s="19"/>
      <c r="DJ21" s="19"/>
      <c r="DK21" s="19"/>
      <c r="DL21" s="19"/>
      <c r="DM21" s="19"/>
      <c r="DN21" s="19"/>
      <c r="DO21" s="19"/>
      <c r="DP21" s="19"/>
      <c r="DQ21" s="19"/>
      <c r="DR21" s="19"/>
    </row>
    <row r="22" spans="1:122" ht="15.75" customHeight="1" x14ac:dyDescent="0.3">
      <c r="A22" s="15">
        <v>17</v>
      </c>
      <c r="B22" s="16" t="s">
        <v>18</v>
      </c>
      <c r="C22" s="17">
        <v>21000</v>
      </c>
      <c r="D22" s="18">
        <f>Sheet3!C18</f>
        <v>100</v>
      </c>
      <c r="E22" s="19">
        <v>21000</v>
      </c>
      <c r="F22" s="19">
        <v>21000</v>
      </c>
      <c r="G22" s="19">
        <v>21000</v>
      </c>
      <c r="H22" s="19">
        <v>21000</v>
      </c>
      <c r="I22" s="19">
        <v>21000</v>
      </c>
      <c r="J22" s="19">
        <v>21000</v>
      </c>
      <c r="K22" s="19">
        <v>21000</v>
      </c>
      <c r="L22" s="19">
        <v>21000</v>
      </c>
      <c r="M22" s="19">
        <v>21000</v>
      </c>
      <c r="N22" s="19">
        <v>21000</v>
      </c>
      <c r="O22" s="19">
        <v>21000</v>
      </c>
      <c r="P22" s="19">
        <v>21000</v>
      </c>
      <c r="Q22" s="19">
        <v>21000</v>
      </c>
      <c r="R22" s="19">
        <v>21000</v>
      </c>
      <c r="S22" s="19">
        <v>21000</v>
      </c>
      <c r="T22" s="19">
        <v>21000</v>
      </c>
      <c r="U22" s="19">
        <v>21000</v>
      </c>
      <c r="V22" s="19">
        <v>21000</v>
      </c>
      <c r="W22" s="19">
        <v>21000</v>
      </c>
      <c r="X22" s="19">
        <v>21000</v>
      </c>
      <c r="Y22" s="19">
        <v>21000</v>
      </c>
      <c r="Z22" s="19">
        <v>21000</v>
      </c>
      <c r="AA22" s="19">
        <v>21000</v>
      </c>
      <c r="AB22" s="19">
        <v>0</v>
      </c>
      <c r="AC22" s="19">
        <v>42000</v>
      </c>
      <c r="AD22" s="19">
        <v>21000</v>
      </c>
      <c r="AE22" s="19">
        <v>21000</v>
      </c>
      <c r="AF22" s="19">
        <v>21000</v>
      </c>
      <c r="AG22" s="19">
        <v>21000</v>
      </c>
      <c r="AH22" s="19">
        <v>21000</v>
      </c>
      <c r="AI22" s="19">
        <v>21000</v>
      </c>
      <c r="AJ22" s="19">
        <v>21000</v>
      </c>
      <c r="AK22" s="19">
        <v>21000</v>
      </c>
      <c r="AL22" s="19">
        <v>21000</v>
      </c>
      <c r="AM22" s="19">
        <v>21000</v>
      </c>
      <c r="AN22" s="19">
        <v>21000</v>
      </c>
      <c r="AO22" s="19">
        <v>21000</v>
      </c>
      <c r="AP22" s="19">
        <v>21000</v>
      </c>
      <c r="AQ22" s="19">
        <v>21000</v>
      </c>
      <c r="AR22" s="19">
        <v>21000</v>
      </c>
      <c r="AS22" s="19">
        <v>21000</v>
      </c>
      <c r="AT22" s="19">
        <v>21000</v>
      </c>
      <c r="AU22" s="19">
        <v>21000</v>
      </c>
      <c r="AV22" s="19">
        <v>21000</v>
      </c>
      <c r="AW22" s="19">
        <v>21000</v>
      </c>
      <c r="AX22" s="19">
        <v>21000</v>
      </c>
      <c r="AY22" s="19">
        <v>21000</v>
      </c>
      <c r="AZ22" s="19">
        <v>21000</v>
      </c>
      <c r="BA22" s="19">
        <v>21000</v>
      </c>
      <c r="BB22" s="19">
        <v>21000</v>
      </c>
      <c r="BC22" s="19">
        <v>21000</v>
      </c>
      <c r="BD22" s="19">
        <v>21000</v>
      </c>
      <c r="BE22" s="19">
        <v>21000</v>
      </c>
      <c r="BF22" s="19">
        <v>0</v>
      </c>
      <c r="BG22" s="19">
        <v>21000</v>
      </c>
      <c r="BH22" s="19">
        <v>21000</v>
      </c>
      <c r="BI22" s="19">
        <v>21000</v>
      </c>
      <c r="BJ22" s="19">
        <v>21000</v>
      </c>
      <c r="BK22" s="19">
        <v>21000</v>
      </c>
      <c r="BL22" s="19">
        <v>21000</v>
      </c>
      <c r="BM22" s="19">
        <v>21000</v>
      </c>
      <c r="BN22" s="19">
        <v>0</v>
      </c>
      <c r="BO22" s="19">
        <v>42000</v>
      </c>
      <c r="BP22" s="19">
        <v>21000</v>
      </c>
      <c r="BQ22" s="19">
        <v>21000</v>
      </c>
      <c r="BR22" s="19">
        <v>21000</v>
      </c>
      <c r="BS22" s="19">
        <v>21000</v>
      </c>
      <c r="BT22" s="19">
        <v>21000</v>
      </c>
      <c r="BU22" s="19">
        <v>21000</v>
      </c>
      <c r="BV22" s="19">
        <v>21000</v>
      </c>
      <c r="BW22" s="19">
        <v>21000</v>
      </c>
      <c r="BX22" s="19">
        <v>21000</v>
      </c>
      <c r="BY22" s="19">
        <v>21000</v>
      </c>
      <c r="BZ22" s="19">
        <v>21000</v>
      </c>
      <c r="CA22" s="19">
        <v>21000</v>
      </c>
      <c r="CB22" s="19">
        <v>0</v>
      </c>
      <c r="CC22" s="19">
        <v>42000</v>
      </c>
      <c r="CD22" s="19">
        <v>21000</v>
      </c>
      <c r="CE22" s="19">
        <v>0</v>
      </c>
      <c r="CF22" s="19">
        <v>21000</v>
      </c>
      <c r="CG22" s="19">
        <v>0</v>
      </c>
      <c r="CH22" s="19">
        <v>21000</v>
      </c>
      <c r="CI22" s="19">
        <v>21000</v>
      </c>
      <c r="CJ22" s="19">
        <v>21000</v>
      </c>
      <c r="CK22" s="19">
        <v>21000</v>
      </c>
      <c r="CL22" s="19">
        <v>0</v>
      </c>
      <c r="CM22" s="19">
        <v>42000</v>
      </c>
      <c r="CN22" s="19">
        <v>21000</v>
      </c>
      <c r="CO22" s="19">
        <v>21000</v>
      </c>
      <c r="CP22" s="19">
        <v>0</v>
      </c>
      <c r="CQ22" s="24">
        <v>21000</v>
      </c>
      <c r="CR22" s="19">
        <v>21000</v>
      </c>
      <c r="CS22" s="19">
        <v>21000</v>
      </c>
      <c r="CT22" s="19">
        <v>21000</v>
      </c>
      <c r="CU22" s="19">
        <v>21000</v>
      </c>
      <c r="CV22" s="19">
        <v>21000</v>
      </c>
      <c r="CW22" s="19">
        <v>0</v>
      </c>
      <c r="CX22" s="19">
        <v>21000</v>
      </c>
      <c r="CY22" s="19">
        <v>0</v>
      </c>
      <c r="CZ22" s="19">
        <v>0</v>
      </c>
      <c r="DA22" s="19">
        <v>21000</v>
      </c>
      <c r="DB22" s="19">
        <v>21000</v>
      </c>
      <c r="DC22" s="19">
        <v>21000</v>
      </c>
      <c r="DD22" s="19">
        <v>0</v>
      </c>
      <c r="DE22" s="19">
        <v>21000</v>
      </c>
      <c r="DF22" s="19">
        <v>21000</v>
      </c>
      <c r="DG22" s="19">
        <v>21000</v>
      </c>
      <c r="DH22" s="19">
        <v>21000</v>
      </c>
      <c r="DI22" s="19"/>
      <c r="DJ22" s="19"/>
      <c r="DK22" s="19"/>
      <c r="DL22" s="19"/>
      <c r="DM22" s="19"/>
      <c r="DN22" s="19"/>
      <c r="DO22" s="19"/>
      <c r="DP22" s="19"/>
      <c r="DQ22" s="19"/>
      <c r="DR22" s="19"/>
    </row>
    <row r="23" spans="1:122" ht="15.75" customHeight="1" x14ac:dyDescent="0.3">
      <c r="A23" s="15">
        <v>18</v>
      </c>
      <c r="B23" s="16" t="s">
        <v>19</v>
      </c>
      <c r="C23" s="17">
        <v>21000</v>
      </c>
      <c r="D23" s="18">
        <f>Sheet3!C19</f>
        <v>106</v>
      </c>
      <c r="E23" s="19">
        <v>21000</v>
      </c>
      <c r="F23" s="19">
        <v>21000</v>
      </c>
      <c r="G23" s="19">
        <v>21000</v>
      </c>
      <c r="H23" s="19">
        <v>21000</v>
      </c>
      <c r="I23" s="19">
        <v>21000</v>
      </c>
      <c r="J23" s="19">
        <v>21000</v>
      </c>
      <c r="K23" s="19">
        <v>21000</v>
      </c>
      <c r="L23" s="19">
        <v>21000</v>
      </c>
      <c r="M23" s="19">
        <v>21000</v>
      </c>
      <c r="N23" s="19">
        <v>21000</v>
      </c>
      <c r="O23" s="19">
        <v>21000</v>
      </c>
      <c r="P23" s="19">
        <v>21000</v>
      </c>
      <c r="Q23" s="19">
        <v>21000</v>
      </c>
      <c r="R23" s="19">
        <v>21000</v>
      </c>
      <c r="S23" s="19">
        <v>21000</v>
      </c>
      <c r="T23" s="19">
        <v>21000</v>
      </c>
      <c r="U23" s="19">
        <v>21000</v>
      </c>
      <c r="V23" s="19">
        <v>21000</v>
      </c>
      <c r="W23" s="19">
        <v>21000</v>
      </c>
      <c r="X23" s="19">
        <v>21000</v>
      </c>
      <c r="Y23" s="19">
        <v>21000</v>
      </c>
      <c r="Z23" s="19">
        <v>21000</v>
      </c>
      <c r="AA23" s="19">
        <v>21000</v>
      </c>
      <c r="AB23" s="19">
        <v>21000</v>
      </c>
      <c r="AC23" s="19">
        <v>21000</v>
      </c>
      <c r="AD23" s="19">
        <v>21000</v>
      </c>
      <c r="AE23" s="19">
        <v>21000</v>
      </c>
      <c r="AF23" s="19">
        <v>21000</v>
      </c>
      <c r="AG23" s="19">
        <v>21000</v>
      </c>
      <c r="AH23" s="19">
        <v>21000</v>
      </c>
      <c r="AI23" s="19">
        <v>21000</v>
      </c>
      <c r="AJ23" s="19">
        <v>21000</v>
      </c>
      <c r="AK23" s="19">
        <v>21000</v>
      </c>
      <c r="AL23" s="19">
        <v>0</v>
      </c>
      <c r="AM23" s="19">
        <v>42000</v>
      </c>
      <c r="AN23" s="19">
        <v>21000</v>
      </c>
      <c r="AO23" s="19">
        <v>21000</v>
      </c>
      <c r="AP23" s="19">
        <v>21000</v>
      </c>
      <c r="AQ23" s="19">
        <v>21000</v>
      </c>
      <c r="AR23" s="19">
        <v>21000</v>
      </c>
      <c r="AS23" s="19">
        <v>21000</v>
      </c>
      <c r="AT23" s="19">
        <v>21000</v>
      </c>
      <c r="AU23" s="19">
        <v>21000</v>
      </c>
      <c r="AV23" s="19">
        <v>21000</v>
      </c>
      <c r="AW23" s="19">
        <v>21000</v>
      </c>
      <c r="AX23" s="19">
        <v>21000</v>
      </c>
      <c r="AY23" s="19">
        <v>21000</v>
      </c>
      <c r="AZ23" s="19">
        <v>21000</v>
      </c>
      <c r="BA23" s="19">
        <v>21000</v>
      </c>
      <c r="BB23" s="19">
        <v>21000</v>
      </c>
      <c r="BC23" s="19">
        <v>21000</v>
      </c>
      <c r="BD23" s="19">
        <v>21000</v>
      </c>
      <c r="BE23" s="19">
        <v>21000</v>
      </c>
      <c r="BF23" s="19">
        <v>21000</v>
      </c>
      <c r="BG23" s="19">
        <v>21000</v>
      </c>
      <c r="BH23" s="19">
        <v>21000</v>
      </c>
      <c r="BI23" s="19">
        <v>21000</v>
      </c>
      <c r="BJ23" s="19">
        <v>21000</v>
      </c>
      <c r="BK23" s="19">
        <v>21000</v>
      </c>
      <c r="BL23" s="19">
        <v>21000</v>
      </c>
      <c r="BM23" s="19">
        <v>21000</v>
      </c>
      <c r="BN23" s="19">
        <v>21000</v>
      </c>
      <c r="BO23" s="19">
        <v>21000</v>
      </c>
      <c r="BP23" s="19">
        <v>21000</v>
      </c>
      <c r="BQ23" s="19"/>
      <c r="BR23" s="19">
        <v>21000</v>
      </c>
      <c r="BS23" s="19">
        <v>21000</v>
      </c>
      <c r="BT23" s="19">
        <v>21000</v>
      </c>
      <c r="BU23" s="19">
        <v>21000</v>
      </c>
      <c r="BV23" s="19">
        <v>21000</v>
      </c>
      <c r="BW23" s="19">
        <v>21000</v>
      </c>
      <c r="BX23" s="19">
        <v>21000</v>
      </c>
      <c r="BY23" s="19">
        <v>21000</v>
      </c>
      <c r="BZ23" s="19">
        <v>21000</v>
      </c>
      <c r="CA23" s="19">
        <v>21000</v>
      </c>
      <c r="CB23" s="19">
        <v>21000</v>
      </c>
      <c r="CC23" s="19">
        <v>21000</v>
      </c>
      <c r="CD23" s="19">
        <v>21000</v>
      </c>
      <c r="CE23" s="19">
        <v>0</v>
      </c>
      <c r="CF23" s="19">
        <v>42000</v>
      </c>
      <c r="CG23" s="19">
        <v>21000</v>
      </c>
      <c r="CH23" s="19">
        <v>21000</v>
      </c>
      <c r="CI23" s="19">
        <v>21000</v>
      </c>
      <c r="CJ23" s="19">
        <v>21000</v>
      </c>
      <c r="CK23" s="19">
        <v>21000</v>
      </c>
      <c r="CL23" s="19">
        <v>0</v>
      </c>
      <c r="CM23" s="19">
        <v>42000</v>
      </c>
      <c r="CN23" s="19">
        <v>21000</v>
      </c>
      <c r="CO23" s="19">
        <v>21000</v>
      </c>
      <c r="CP23" s="19">
        <v>21000</v>
      </c>
      <c r="CQ23" s="24">
        <v>21000</v>
      </c>
      <c r="CR23" s="19">
        <v>21000</v>
      </c>
      <c r="CS23" s="19">
        <v>0</v>
      </c>
      <c r="CT23" s="19">
        <v>21000</v>
      </c>
      <c r="CU23" s="19">
        <v>21000</v>
      </c>
      <c r="CV23" s="19">
        <v>21000</v>
      </c>
      <c r="CW23" s="19">
        <v>21000</v>
      </c>
      <c r="CX23" s="19">
        <v>21000</v>
      </c>
      <c r="CY23" s="19">
        <v>21000</v>
      </c>
      <c r="CZ23" s="19">
        <v>21000</v>
      </c>
      <c r="DA23" s="19">
        <v>21000</v>
      </c>
      <c r="DB23" s="19">
        <v>21000</v>
      </c>
      <c r="DC23" s="19">
        <v>0</v>
      </c>
      <c r="DD23" s="19">
        <v>42000</v>
      </c>
      <c r="DE23" s="19">
        <v>0</v>
      </c>
      <c r="DF23" s="19">
        <v>42000</v>
      </c>
      <c r="DG23" s="19"/>
      <c r="DH23" s="19">
        <v>42000</v>
      </c>
      <c r="DI23" s="19"/>
      <c r="DJ23" s="19"/>
      <c r="DK23" s="19"/>
      <c r="DL23" s="19"/>
      <c r="DM23" s="19"/>
      <c r="DN23" s="19"/>
      <c r="DO23" s="19"/>
      <c r="DP23" s="19"/>
      <c r="DQ23" s="19"/>
      <c r="DR23" s="19"/>
    </row>
    <row r="24" spans="1:122" ht="15.75" customHeight="1" x14ac:dyDescent="0.3">
      <c r="A24" s="15">
        <v>19</v>
      </c>
      <c r="B24" s="16" t="s">
        <v>20</v>
      </c>
      <c r="C24" s="17">
        <v>10500</v>
      </c>
      <c r="D24" s="18">
        <f>Sheet3!C20</f>
        <v>105</v>
      </c>
      <c r="E24" s="19">
        <v>10500</v>
      </c>
      <c r="F24" s="19">
        <v>10500</v>
      </c>
      <c r="G24" s="19">
        <v>10500</v>
      </c>
      <c r="H24" s="19">
        <v>10500</v>
      </c>
      <c r="I24" s="19">
        <v>10500</v>
      </c>
      <c r="J24" s="19">
        <v>10500</v>
      </c>
      <c r="K24" s="19">
        <v>10500</v>
      </c>
      <c r="L24" s="19">
        <v>10500</v>
      </c>
      <c r="M24" s="19">
        <v>10500</v>
      </c>
      <c r="N24" s="19">
        <v>10500</v>
      </c>
      <c r="O24" s="19">
        <v>10500</v>
      </c>
      <c r="P24" s="19">
        <v>10500</v>
      </c>
      <c r="Q24" s="19">
        <v>10500</v>
      </c>
      <c r="R24" s="19">
        <v>10500</v>
      </c>
      <c r="S24" s="19">
        <v>10500</v>
      </c>
      <c r="T24" s="19">
        <v>10500</v>
      </c>
      <c r="U24" s="19">
        <v>10500</v>
      </c>
      <c r="V24" s="19">
        <v>10500</v>
      </c>
      <c r="W24" s="19">
        <v>10500</v>
      </c>
      <c r="X24" s="19">
        <v>10500</v>
      </c>
      <c r="Y24" s="19">
        <v>10500</v>
      </c>
      <c r="Z24" s="19">
        <v>0</v>
      </c>
      <c r="AA24" s="19">
        <v>21000</v>
      </c>
      <c r="AB24" s="19">
        <v>10500</v>
      </c>
      <c r="AC24" s="19">
        <v>10500</v>
      </c>
      <c r="AD24" s="19">
        <v>10500</v>
      </c>
      <c r="AE24" s="19">
        <v>0</v>
      </c>
      <c r="AF24" s="19">
        <v>10500</v>
      </c>
      <c r="AG24" s="19">
        <v>21000</v>
      </c>
      <c r="AH24" s="19">
        <v>10500</v>
      </c>
      <c r="AI24" s="19">
        <v>10500</v>
      </c>
      <c r="AJ24" s="19">
        <v>0</v>
      </c>
      <c r="AK24" s="19">
        <v>21000</v>
      </c>
      <c r="AL24" s="19">
        <v>10500</v>
      </c>
      <c r="AM24" s="19">
        <v>10500</v>
      </c>
      <c r="AN24" s="19">
        <v>10500</v>
      </c>
      <c r="AO24" s="19">
        <v>10500</v>
      </c>
      <c r="AP24" s="19">
        <v>10500</v>
      </c>
      <c r="AQ24" s="19">
        <v>0</v>
      </c>
      <c r="AR24" s="19">
        <v>10500</v>
      </c>
      <c r="AS24" s="19">
        <v>21000</v>
      </c>
      <c r="AT24" s="19">
        <v>0</v>
      </c>
      <c r="AU24" s="19">
        <v>21000</v>
      </c>
      <c r="AV24" s="19">
        <v>10500</v>
      </c>
      <c r="AW24" s="19">
        <v>10500</v>
      </c>
      <c r="AX24" s="19">
        <v>10500</v>
      </c>
      <c r="AY24" s="19">
        <v>10500</v>
      </c>
      <c r="AZ24" s="19">
        <v>0</v>
      </c>
      <c r="BA24" s="19">
        <v>10500</v>
      </c>
      <c r="BB24" s="19">
        <v>10500</v>
      </c>
      <c r="BC24" s="19">
        <v>10500</v>
      </c>
      <c r="BD24" s="19">
        <v>10500</v>
      </c>
      <c r="BE24" s="19">
        <v>10500</v>
      </c>
      <c r="BF24" s="19">
        <v>10500</v>
      </c>
      <c r="BG24" s="19">
        <v>10500</v>
      </c>
      <c r="BH24" s="19">
        <v>10500</v>
      </c>
      <c r="BI24" s="19">
        <v>10500</v>
      </c>
      <c r="BJ24" s="19">
        <v>10500</v>
      </c>
      <c r="BK24" s="19">
        <v>10500</v>
      </c>
      <c r="BL24" s="19">
        <v>10500</v>
      </c>
      <c r="BM24" s="19">
        <v>10500</v>
      </c>
      <c r="BN24" s="19">
        <v>10500</v>
      </c>
      <c r="BO24" s="19">
        <v>10500</v>
      </c>
      <c r="BP24" s="19">
        <v>0</v>
      </c>
      <c r="BQ24" s="19">
        <v>21000</v>
      </c>
      <c r="BR24" s="19">
        <v>10500</v>
      </c>
      <c r="BS24" s="19">
        <v>10500</v>
      </c>
      <c r="BT24" s="19"/>
      <c r="BU24" s="19">
        <v>21000</v>
      </c>
      <c r="BV24" s="19">
        <v>0</v>
      </c>
      <c r="BW24" s="19">
        <v>21000</v>
      </c>
      <c r="BX24" s="19">
        <v>10500</v>
      </c>
      <c r="BY24" s="19">
        <v>10500</v>
      </c>
      <c r="BZ24" s="19">
        <v>10500</v>
      </c>
      <c r="CA24" s="19">
        <v>10500</v>
      </c>
      <c r="CB24" s="19">
        <v>10500</v>
      </c>
      <c r="CC24" s="19">
        <v>10500</v>
      </c>
      <c r="CD24" s="19">
        <v>10500</v>
      </c>
      <c r="CE24" s="19">
        <v>0</v>
      </c>
      <c r="CF24" s="19">
        <v>10500</v>
      </c>
      <c r="CG24" s="19">
        <v>10500</v>
      </c>
      <c r="CH24" s="19">
        <v>10500</v>
      </c>
      <c r="CI24" s="19">
        <v>0</v>
      </c>
      <c r="CJ24" s="19">
        <v>21000</v>
      </c>
      <c r="CK24" s="19">
        <v>10500</v>
      </c>
      <c r="CL24" s="19">
        <v>10500</v>
      </c>
      <c r="CM24" s="19">
        <v>10500</v>
      </c>
      <c r="CN24" s="19">
        <v>10500</v>
      </c>
      <c r="CO24" s="19">
        <v>10500</v>
      </c>
      <c r="CP24" s="19">
        <v>10500</v>
      </c>
      <c r="CQ24" s="24">
        <v>10500</v>
      </c>
      <c r="CR24" s="19">
        <v>10500</v>
      </c>
      <c r="CS24" s="19">
        <v>10500</v>
      </c>
      <c r="CT24" s="19">
        <v>10500</v>
      </c>
      <c r="CU24" s="19">
        <v>10500</v>
      </c>
      <c r="CV24" s="19">
        <v>10500</v>
      </c>
      <c r="CW24" s="19">
        <v>10500</v>
      </c>
      <c r="CX24" s="19">
        <v>0</v>
      </c>
      <c r="CY24" s="19">
        <v>21000</v>
      </c>
      <c r="CZ24" s="19">
        <v>0</v>
      </c>
      <c r="DA24" s="19">
        <v>21000</v>
      </c>
      <c r="DB24" s="19">
        <v>10500</v>
      </c>
      <c r="DC24" s="19">
        <v>0</v>
      </c>
      <c r="DD24" s="19">
        <v>0</v>
      </c>
      <c r="DE24" s="19">
        <v>21000</v>
      </c>
      <c r="DF24" s="19">
        <v>10500</v>
      </c>
      <c r="DG24" s="19">
        <v>10500</v>
      </c>
      <c r="DH24" s="19">
        <v>10500</v>
      </c>
      <c r="DI24" s="19"/>
      <c r="DJ24" s="19"/>
      <c r="DK24" s="19"/>
      <c r="DL24" s="19"/>
      <c r="DM24" s="19"/>
      <c r="DN24" s="19"/>
      <c r="DO24" s="19"/>
      <c r="DP24" s="19"/>
      <c r="DQ24" s="19"/>
      <c r="DR24" s="19"/>
    </row>
    <row r="25" spans="1:122" ht="15.75" customHeight="1" x14ac:dyDescent="0.3">
      <c r="A25" s="15">
        <v>19</v>
      </c>
      <c r="B25" s="16" t="s">
        <v>17</v>
      </c>
      <c r="C25" s="17">
        <v>10500</v>
      </c>
      <c r="D25" s="18">
        <f>Sheet3!C21</f>
        <v>108</v>
      </c>
      <c r="E25" s="19">
        <v>10500</v>
      </c>
      <c r="F25" s="19">
        <v>10500</v>
      </c>
      <c r="G25" s="19">
        <v>10500</v>
      </c>
      <c r="H25" s="19">
        <v>10500</v>
      </c>
      <c r="I25" s="19">
        <v>10500</v>
      </c>
      <c r="J25" s="19">
        <v>10500</v>
      </c>
      <c r="K25" s="19">
        <v>10500</v>
      </c>
      <c r="L25" s="19">
        <v>10500</v>
      </c>
      <c r="M25" s="19">
        <v>10500</v>
      </c>
      <c r="N25" s="19">
        <v>10500</v>
      </c>
      <c r="O25" s="19">
        <v>10500</v>
      </c>
      <c r="P25" s="19">
        <v>10500</v>
      </c>
      <c r="Q25" s="19">
        <v>10500</v>
      </c>
      <c r="R25" s="19">
        <v>10500</v>
      </c>
      <c r="S25" s="19">
        <v>10500</v>
      </c>
      <c r="T25" s="19">
        <v>10500</v>
      </c>
      <c r="U25" s="19">
        <v>10500</v>
      </c>
      <c r="V25" s="19">
        <v>10500</v>
      </c>
      <c r="W25" s="19">
        <v>10500</v>
      </c>
      <c r="X25" s="19">
        <v>10500</v>
      </c>
      <c r="Y25" s="19">
        <v>10500</v>
      </c>
      <c r="Z25" s="19">
        <v>10500</v>
      </c>
      <c r="AA25" s="19">
        <v>10500</v>
      </c>
      <c r="AB25" s="19">
        <v>10500</v>
      </c>
      <c r="AC25" s="19">
        <v>10500</v>
      </c>
      <c r="AD25" s="19">
        <v>10500</v>
      </c>
      <c r="AE25" s="19">
        <v>10500</v>
      </c>
      <c r="AF25" s="19">
        <v>10500</v>
      </c>
      <c r="AG25" s="19">
        <v>10500</v>
      </c>
      <c r="AH25" s="19">
        <v>10500</v>
      </c>
      <c r="AI25" s="19">
        <v>10500</v>
      </c>
      <c r="AJ25" s="19">
        <v>10500</v>
      </c>
      <c r="AK25" s="19">
        <v>10500</v>
      </c>
      <c r="AL25" s="19">
        <v>10500</v>
      </c>
      <c r="AM25" s="19">
        <v>10500</v>
      </c>
      <c r="AN25" s="19">
        <v>10500</v>
      </c>
      <c r="AO25" s="19">
        <v>10500</v>
      </c>
      <c r="AP25" s="19">
        <v>10500</v>
      </c>
      <c r="AQ25" s="19">
        <v>10500</v>
      </c>
      <c r="AR25" s="19">
        <v>10500</v>
      </c>
      <c r="AS25" s="19">
        <v>10500</v>
      </c>
      <c r="AT25" s="19">
        <v>10500</v>
      </c>
      <c r="AU25" s="19">
        <v>10500</v>
      </c>
      <c r="AV25" s="19">
        <v>10500</v>
      </c>
      <c r="AW25" s="19">
        <v>10500</v>
      </c>
      <c r="AX25" s="19">
        <v>10500</v>
      </c>
      <c r="AY25" s="19">
        <v>10500</v>
      </c>
      <c r="AZ25" s="19">
        <v>10500</v>
      </c>
      <c r="BA25" s="19">
        <v>10500</v>
      </c>
      <c r="BB25" s="19">
        <v>10500</v>
      </c>
      <c r="BC25" s="19">
        <v>10500</v>
      </c>
      <c r="BD25" s="19">
        <v>0</v>
      </c>
      <c r="BE25" s="19">
        <v>21000</v>
      </c>
      <c r="BF25" s="19">
        <v>10500</v>
      </c>
      <c r="BG25" s="19">
        <v>10500</v>
      </c>
      <c r="BH25" s="19">
        <v>10500</v>
      </c>
      <c r="BI25" s="19">
        <v>10500</v>
      </c>
      <c r="BJ25" s="19">
        <v>10500</v>
      </c>
      <c r="BK25" s="19">
        <v>10500</v>
      </c>
      <c r="BL25" s="19">
        <v>10500</v>
      </c>
      <c r="BM25" s="19">
        <v>10500</v>
      </c>
      <c r="BN25" s="19">
        <v>10500</v>
      </c>
      <c r="BO25" s="19">
        <v>10500</v>
      </c>
      <c r="BP25" s="19">
        <v>10500</v>
      </c>
      <c r="BQ25" s="19">
        <v>10500</v>
      </c>
      <c r="BR25" s="19">
        <v>10500</v>
      </c>
      <c r="BS25" s="19">
        <v>10500</v>
      </c>
      <c r="BT25" s="19">
        <v>10500</v>
      </c>
      <c r="BU25" s="19">
        <v>10500</v>
      </c>
      <c r="BV25" s="19">
        <v>10500</v>
      </c>
      <c r="BW25" s="19">
        <v>10500</v>
      </c>
      <c r="BX25" s="19">
        <v>10500</v>
      </c>
      <c r="BY25" s="19">
        <v>10500</v>
      </c>
      <c r="BZ25" s="19">
        <v>10500</v>
      </c>
      <c r="CA25" s="19">
        <v>10500</v>
      </c>
      <c r="CB25" s="19">
        <v>10500</v>
      </c>
      <c r="CC25" s="19">
        <v>10500</v>
      </c>
      <c r="CD25" s="19">
        <v>10500</v>
      </c>
      <c r="CE25" s="19">
        <v>10500</v>
      </c>
      <c r="CF25" s="19">
        <v>10500</v>
      </c>
      <c r="CG25" s="19">
        <v>10500</v>
      </c>
      <c r="CH25" s="19">
        <v>10500</v>
      </c>
      <c r="CI25" s="19">
        <v>10500</v>
      </c>
      <c r="CJ25" s="19">
        <v>10500</v>
      </c>
      <c r="CK25" s="19">
        <v>10500</v>
      </c>
      <c r="CL25" s="19">
        <v>10500</v>
      </c>
      <c r="CM25" s="19">
        <v>10500</v>
      </c>
      <c r="CN25" s="19">
        <v>10500</v>
      </c>
      <c r="CO25" s="19">
        <v>10500</v>
      </c>
      <c r="CP25" s="19">
        <v>0</v>
      </c>
      <c r="CQ25" s="24">
        <v>10500</v>
      </c>
      <c r="CR25" s="19">
        <v>10500</v>
      </c>
      <c r="CS25" s="19">
        <v>10500</v>
      </c>
      <c r="CT25" s="19">
        <v>21000</v>
      </c>
      <c r="CU25" s="19">
        <v>10500</v>
      </c>
      <c r="CV25" s="19">
        <v>10500</v>
      </c>
      <c r="CW25" s="19">
        <v>10500</v>
      </c>
      <c r="CX25" s="19">
        <v>10500</v>
      </c>
      <c r="CY25" s="19">
        <v>10500</v>
      </c>
      <c r="CZ25" s="19">
        <v>10500</v>
      </c>
      <c r="DA25" s="19">
        <v>10500</v>
      </c>
      <c r="DB25" s="19">
        <v>10500</v>
      </c>
      <c r="DC25" s="19">
        <v>10500</v>
      </c>
      <c r="DD25" s="19">
        <v>10500</v>
      </c>
      <c r="DE25" s="19">
        <v>10500</v>
      </c>
      <c r="DF25" s="19">
        <v>10500</v>
      </c>
      <c r="DG25" s="19">
        <v>10500</v>
      </c>
      <c r="DH25" s="19">
        <v>10500</v>
      </c>
      <c r="DI25" s="19"/>
      <c r="DJ25" s="19"/>
      <c r="DK25" s="19"/>
      <c r="DL25" s="19"/>
      <c r="DM25" s="19"/>
      <c r="DN25" s="19"/>
      <c r="DO25" s="19"/>
      <c r="DP25" s="19"/>
      <c r="DQ25" s="19"/>
      <c r="DR25" s="19"/>
    </row>
    <row r="26" spans="1:122" ht="15.75" customHeight="1" x14ac:dyDescent="0.3">
      <c r="A26" s="15">
        <v>20</v>
      </c>
      <c r="B26" s="16" t="s">
        <v>21</v>
      </c>
      <c r="C26" s="17">
        <v>21000</v>
      </c>
      <c r="D26" s="18">
        <f>Sheet3!C22</f>
        <v>106</v>
      </c>
      <c r="E26" s="19">
        <v>21000</v>
      </c>
      <c r="F26" s="19">
        <v>21000</v>
      </c>
      <c r="G26" s="19">
        <v>21000</v>
      </c>
      <c r="H26" s="19">
        <v>21000</v>
      </c>
      <c r="I26" s="19">
        <v>21000</v>
      </c>
      <c r="J26" s="19">
        <v>21000</v>
      </c>
      <c r="K26" s="19">
        <v>21000</v>
      </c>
      <c r="L26" s="19">
        <v>21000</v>
      </c>
      <c r="M26" s="19">
        <v>21000</v>
      </c>
      <c r="N26" s="19">
        <v>21000</v>
      </c>
      <c r="O26" s="19">
        <v>21000</v>
      </c>
      <c r="P26" s="19">
        <v>21000</v>
      </c>
      <c r="Q26" s="19">
        <v>21000</v>
      </c>
      <c r="R26" s="19">
        <v>21000</v>
      </c>
      <c r="S26" s="19">
        <v>21000</v>
      </c>
      <c r="T26" s="19">
        <v>21000</v>
      </c>
      <c r="U26" s="19">
        <v>21000</v>
      </c>
      <c r="V26" s="19">
        <v>21000</v>
      </c>
      <c r="W26" s="19">
        <v>21000</v>
      </c>
      <c r="X26" s="19">
        <v>21000</v>
      </c>
      <c r="Y26" s="19">
        <v>21000</v>
      </c>
      <c r="Z26" s="19">
        <v>21000</v>
      </c>
      <c r="AA26" s="19">
        <v>21000</v>
      </c>
      <c r="AB26" s="19">
        <v>21000</v>
      </c>
      <c r="AC26" s="19">
        <v>21000</v>
      </c>
      <c r="AD26" s="19">
        <v>21000</v>
      </c>
      <c r="AE26" s="19">
        <v>21000</v>
      </c>
      <c r="AF26" s="19">
        <v>0</v>
      </c>
      <c r="AG26" s="19">
        <v>42000</v>
      </c>
      <c r="AH26" s="19">
        <v>21000</v>
      </c>
      <c r="AI26" s="19">
        <v>21000</v>
      </c>
      <c r="AJ26" s="19">
        <v>21000</v>
      </c>
      <c r="AK26" s="19">
        <v>21000</v>
      </c>
      <c r="AL26" s="19">
        <v>21000</v>
      </c>
      <c r="AM26" s="19">
        <v>0</v>
      </c>
      <c r="AN26" s="19">
        <v>42000</v>
      </c>
      <c r="AO26" s="19">
        <v>21000</v>
      </c>
      <c r="AP26" s="19">
        <v>21000</v>
      </c>
      <c r="AQ26" s="19">
        <v>21000</v>
      </c>
      <c r="AR26" s="19">
        <v>21000</v>
      </c>
      <c r="AS26" s="19">
        <v>0</v>
      </c>
      <c r="AT26" s="19">
        <v>42000</v>
      </c>
      <c r="AU26" s="19">
        <v>0</v>
      </c>
      <c r="AV26" s="19">
        <v>42000</v>
      </c>
      <c r="AW26" s="19">
        <v>21000</v>
      </c>
      <c r="AX26" s="19">
        <v>21000</v>
      </c>
      <c r="AY26" s="19">
        <v>0</v>
      </c>
      <c r="AZ26" s="19">
        <v>42000</v>
      </c>
      <c r="BA26" s="19">
        <v>0</v>
      </c>
      <c r="BB26" s="19">
        <v>42000</v>
      </c>
      <c r="BC26" s="19">
        <v>21000</v>
      </c>
      <c r="BD26" s="19">
        <v>0</v>
      </c>
      <c r="BE26" s="19">
        <v>42000</v>
      </c>
      <c r="BF26" s="19">
        <v>0</v>
      </c>
      <c r="BG26" s="19">
        <v>42000</v>
      </c>
      <c r="BH26" s="19">
        <v>21000</v>
      </c>
      <c r="BI26" s="19">
        <v>21000</v>
      </c>
      <c r="BJ26" s="19">
        <v>21000</v>
      </c>
      <c r="BK26" s="19">
        <v>21000</v>
      </c>
      <c r="BL26" s="19">
        <v>21000</v>
      </c>
      <c r="BM26" s="19">
        <v>21000</v>
      </c>
      <c r="BN26" s="19">
        <v>0</v>
      </c>
      <c r="BO26" s="19">
        <v>42000</v>
      </c>
      <c r="BP26" s="19">
        <v>21000</v>
      </c>
      <c r="BQ26" s="19">
        <v>21000</v>
      </c>
      <c r="BR26" s="19"/>
      <c r="BS26" s="19">
        <v>42000</v>
      </c>
      <c r="BT26" s="19">
        <v>21000</v>
      </c>
      <c r="BU26" s="19"/>
      <c r="BV26" s="19">
        <v>0</v>
      </c>
      <c r="BW26" s="19">
        <v>63000</v>
      </c>
      <c r="BX26" s="19">
        <v>0</v>
      </c>
      <c r="BY26" s="19">
        <v>42000</v>
      </c>
      <c r="BZ26" s="19">
        <v>0</v>
      </c>
      <c r="CA26" s="19">
        <v>0</v>
      </c>
      <c r="CB26" s="19">
        <v>63000</v>
      </c>
      <c r="CC26" s="19">
        <v>21000</v>
      </c>
      <c r="CD26" s="19">
        <v>21000</v>
      </c>
      <c r="CE26" s="19">
        <v>0</v>
      </c>
      <c r="CF26" s="19">
        <v>0</v>
      </c>
      <c r="CG26" s="19">
        <v>63000</v>
      </c>
      <c r="CH26" s="19">
        <v>21000</v>
      </c>
      <c r="CI26" s="19">
        <v>21000</v>
      </c>
      <c r="CJ26" s="19">
        <v>21000</v>
      </c>
      <c r="CK26" s="19">
        <v>0</v>
      </c>
      <c r="CL26" s="19">
        <v>0</v>
      </c>
      <c r="CM26" s="19">
        <v>42000</v>
      </c>
      <c r="CN26" s="19">
        <v>0</v>
      </c>
      <c r="CO26" s="19">
        <v>0</v>
      </c>
      <c r="CP26" s="19">
        <v>42000</v>
      </c>
      <c r="CQ26" s="24">
        <v>0</v>
      </c>
      <c r="CR26" s="19">
        <v>42000</v>
      </c>
      <c r="CS26" s="19">
        <v>21000</v>
      </c>
      <c r="CT26" s="19">
        <v>0</v>
      </c>
      <c r="CU26" s="19">
        <v>42000</v>
      </c>
      <c r="CV26" s="19">
        <v>0</v>
      </c>
      <c r="CW26" s="19">
        <v>42000</v>
      </c>
      <c r="CX26" s="19">
        <v>0</v>
      </c>
      <c r="CY26" s="19">
        <v>42000</v>
      </c>
      <c r="CZ26" s="19">
        <v>0</v>
      </c>
      <c r="DA26" s="19">
        <v>42000</v>
      </c>
      <c r="DB26" s="19">
        <v>21000</v>
      </c>
      <c r="DC26" s="19">
        <v>0</v>
      </c>
      <c r="DD26" s="19">
        <v>42000</v>
      </c>
      <c r="DE26" s="19">
        <v>0</v>
      </c>
      <c r="DF26" s="19">
        <v>42000</v>
      </c>
      <c r="DG26" s="19"/>
      <c r="DH26" s="19">
        <v>42000</v>
      </c>
      <c r="DI26" s="19"/>
      <c r="DJ26" s="19"/>
      <c r="DK26" s="19"/>
      <c r="DL26" s="19"/>
      <c r="DM26" s="19"/>
      <c r="DN26" s="19"/>
      <c r="DO26" s="19"/>
      <c r="DP26" s="19"/>
      <c r="DQ26" s="19"/>
      <c r="DR26" s="19"/>
    </row>
    <row r="27" spans="1:122" ht="15.75" customHeight="1" x14ac:dyDescent="0.3">
      <c r="A27" s="15">
        <v>21</v>
      </c>
      <c r="B27" s="16" t="s">
        <v>22</v>
      </c>
      <c r="C27" s="17">
        <v>21000</v>
      </c>
      <c r="D27" s="18">
        <f>Sheet3!C23</f>
        <v>106</v>
      </c>
      <c r="E27" s="19">
        <v>21000</v>
      </c>
      <c r="F27" s="19">
        <v>21000</v>
      </c>
      <c r="G27" s="19">
        <v>21000</v>
      </c>
      <c r="H27" s="19">
        <v>21000</v>
      </c>
      <c r="I27" s="19">
        <v>21000</v>
      </c>
      <c r="J27" s="19">
        <v>21000</v>
      </c>
      <c r="K27" s="19">
        <v>21000</v>
      </c>
      <c r="L27" s="19">
        <v>21000</v>
      </c>
      <c r="M27" s="19">
        <v>21000</v>
      </c>
      <c r="N27" s="19">
        <v>21000</v>
      </c>
      <c r="O27" s="19">
        <v>21000</v>
      </c>
      <c r="P27" s="19">
        <v>21000</v>
      </c>
      <c r="Q27" s="19">
        <v>21000</v>
      </c>
      <c r="R27" s="19">
        <v>21000</v>
      </c>
      <c r="S27" s="19">
        <v>21000</v>
      </c>
      <c r="T27" s="19">
        <v>21000</v>
      </c>
      <c r="U27" s="19">
        <v>21000</v>
      </c>
      <c r="V27" s="19">
        <v>21000</v>
      </c>
      <c r="W27" s="19">
        <v>21000</v>
      </c>
      <c r="X27" s="19">
        <v>0</v>
      </c>
      <c r="Y27" s="19">
        <v>42000</v>
      </c>
      <c r="Z27" s="19">
        <v>21000</v>
      </c>
      <c r="AA27" s="19">
        <v>21000</v>
      </c>
      <c r="AB27" s="19">
        <v>0</v>
      </c>
      <c r="AC27" s="19">
        <v>42000</v>
      </c>
      <c r="AD27" s="19">
        <v>21000</v>
      </c>
      <c r="AE27" s="19">
        <v>21000</v>
      </c>
      <c r="AF27" s="19">
        <v>0</v>
      </c>
      <c r="AG27" s="19">
        <v>42000</v>
      </c>
      <c r="AH27" s="19">
        <v>21000</v>
      </c>
      <c r="AI27" s="19">
        <v>21000</v>
      </c>
      <c r="AJ27" s="19">
        <v>0</v>
      </c>
      <c r="AK27" s="19">
        <v>42000</v>
      </c>
      <c r="AL27" s="19">
        <v>21000</v>
      </c>
      <c r="AM27" s="19">
        <v>21000</v>
      </c>
      <c r="AN27" s="19">
        <v>21000</v>
      </c>
      <c r="AO27" s="19">
        <v>21000</v>
      </c>
      <c r="AP27" s="19">
        <v>21000</v>
      </c>
      <c r="AQ27" s="19">
        <v>21000</v>
      </c>
      <c r="AR27" s="19">
        <v>21000</v>
      </c>
      <c r="AS27" s="19">
        <v>21000</v>
      </c>
      <c r="AT27" s="19">
        <v>21000</v>
      </c>
      <c r="AU27" s="19">
        <v>21000</v>
      </c>
      <c r="AV27" s="19">
        <v>21000</v>
      </c>
      <c r="AW27" s="19">
        <v>21000</v>
      </c>
      <c r="AX27" s="19">
        <v>21000</v>
      </c>
      <c r="AY27" s="19">
        <v>21000</v>
      </c>
      <c r="AZ27" s="19">
        <v>0</v>
      </c>
      <c r="BA27" s="19">
        <v>42000</v>
      </c>
      <c r="BB27" s="19">
        <v>21000</v>
      </c>
      <c r="BC27" s="19">
        <v>21000</v>
      </c>
      <c r="BD27" s="19">
        <v>0</v>
      </c>
      <c r="BE27" s="19">
        <v>42000</v>
      </c>
      <c r="BF27" s="19">
        <v>21000</v>
      </c>
      <c r="BG27" s="19">
        <v>21000</v>
      </c>
      <c r="BH27" s="19">
        <v>0</v>
      </c>
      <c r="BI27" s="19">
        <v>42000</v>
      </c>
      <c r="BJ27" s="19">
        <v>21000</v>
      </c>
      <c r="BK27" s="19">
        <v>21000</v>
      </c>
      <c r="BL27" s="19">
        <v>0</v>
      </c>
      <c r="BM27" s="19">
        <v>42000</v>
      </c>
      <c r="BN27" s="19">
        <v>21000</v>
      </c>
      <c r="BO27" s="19">
        <v>21000</v>
      </c>
      <c r="BP27" s="19">
        <v>0</v>
      </c>
      <c r="BQ27" s="19">
        <v>42000</v>
      </c>
      <c r="BR27" s="19">
        <v>21000</v>
      </c>
      <c r="BS27" s="19">
        <v>21000</v>
      </c>
      <c r="BT27" s="19"/>
      <c r="BU27" s="19">
        <v>21000</v>
      </c>
      <c r="BV27" s="19">
        <v>21000</v>
      </c>
      <c r="BW27" s="19">
        <v>42000</v>
      </c>
      <c r="BX27" s="19">
        <v>21000</v>
      </c>
      <c r="BY27" s="19">
        <v>21000</v>
      </c>
      <c r="BZ27" s="19">
        <v>21000</v>
      </c>
      <c r="CA27" s="19">
        <v>21000</v>
      </c>
      <c r="CB27" s="19">
        <v>21000</v>
      </c>
      <c r="CC27" s="19">
        <v>21000</v>
      </c>
      <c r="CD27" s="19">
        <v>21000</v>
      </c>
      <c r="CE27" s="19">
        <v>0</v>
      </c>
      <c r="CF27" s="19">
        <v>21000</v>
      </c>
      <c r="CG27" s="19">
        <v>21000</v>
      </c>
      <c r="CH27" s="19">
        <v>21000</v>
      </c>
      <c r="CI27" s="19">
        <v>21000</v>
      </c>
      <c r="CJ27" s="19">
        <v>21000</v>
      </c>
      <c r="CK27" s="19">
        <v>21000</v>
      </c>
      <c r="CL27" s="19">
        <v>21000</v>
      </c>
      <c r="CM27" s="19">
        <v>21000</v>
      </c>
      <c r="CN27" s="19">
        <v>21000</v>
      </c>
      <c r="CO27" s="19">
        <v>21000</v>
      </c>
      <c r="CP27" s="19">
        <v>21000</v>
      </c>
      <c r="CQ27" s="24">
        <v>42000</v>
      </c>
      <c r="CR27" s="19">
        <v>0</v>
      </c>
      <c r="CS27" s="19">
        <v>21000</v>
      </c>
      <c r="CT27" s="19">
        <v>21000</v>
      </c>
      <c r="CU27" s="19">
        <v>21000</v>
      </c>
      <c r="CV27" s="19">
        <v>21000</v>
      </c>
      <c r="CW27" s="19">
        <v>21000</v>
      </c>
      <c r="CX27" s="19">
        <v>21000</v>
      </c>
      <c r="CY27" s="19">
        <v>21000</v>
      </c>
      <c r="CZ27" s="19">
        <v>0</v>
      </c>
      <c r="DA27" s="19">
        <v>21000</v>
      </c>
      <c r="DB27" s="19">
        <v>21000</v>
      </c>
      <c r="DC27" s="19">
        <v>21000</v>
      </c>
      <c r="DD27" s="19">
        <v>0</v>
      </c>
      <c r="DE27" s="19">
        <v>42000</v>
      </c>
      <c r="DF27" s="19">
        <v>21000</v>
      </c>
      <c r="DG27" s="19">
        <v>21000</v>
      </c>
      <c r="DH27" s="19">
        <v>21000</v>
      </c>
      <c r="DI27" s="19"/>
      <c r="DJ27" s="19"/>
      <c r="DK27" s="19"/>
      <c r="DL27" s="19"/>
      <c r="DM27" s="19"/>
      <c r="DN27" s="19"/>
      <c r="DO27" s="19"/>
      <c r="DP27" s="19"/>
      <c r="DQ27" s="19"/>
      <c r="DR27" s="19"/>
    </row>
    <row r="28" spans="1:122" ht="15.75" customHeight="1" x14ac:dyDescent="0.3">
      <c r="A28" s="15">
        <v>22</v>
      </c>
      <c r="B28" s="16" t="s">
        <v>23</v>
      </c>
      <c r="C28" s="17">
        <v>21000</v>
      </c>
      <c r="D28" s="18">
        <f>Sheet3!C24</f>
        <v>108</v>
      </c>
      <c r="E28" s="19">
        <v>21000</v>
      </c>
      <c r="F28" s="19">
        <v>21000</v>
      </c>
      <c r="G28" s="19">
        <v>21000</v>
      </c>
      <c r="H28" s="19">
        <v>21000</v>
      </c>
      <c r="I28" s="19">
        <v>21000</v>
      </c>
      <c r="J28" s="19">
        <v>21000</v>
      </c>
      <c r="K28" s="19">
        <v>21000</v>
      </c>
      <c r="L28" s="19">
        <v>21000</v>
      </c>
      <c r="M28" s="19">
        <v>21000</v>
      </c>
      <c r="N28" s="19">
        <v>21000</v>
      </c>
      <c r="O28" s="19">
        <v>21000</v>
      </c>
      <c r="P28" s="19">
        <v>21000</v>
      </c>
      <c r="Q28" s="19">
        <v>21000</v>
      </c>
      <c r="R28" s="19">
        <v>21000</v>
      </c>
      <c r="S28" s="19">
        <v>21000</v>
      </c>
      <c r="T28" s="19">
        <v>21000</v>
      </c>
      <c r="U28" s="19">
        <v>21000</v>
      </c>
      <c r="V28" s="19">
        <v>21000</v>
      </c>
      <c r="W28" s="19">
        <v>21000</v>
      </c>
      <c r="X28" s="19">
        <v>21000</v>
      </c>
      <c r="Y28" s="19">
        <v>21000</v>
      </c>
      <c r="Z28" s="19">
        <v>21000</v>
      </c>
      <c r="AA28" s="19">
        <v>21000</v>
      </c>
      <c r="AB28" s="19">
        <v>21000</v>
      </c>
      <c r="AC28" s="19">
        <v>21000</v>
      </c>
      <c r="AD28" s="19">
        <v>21000</v>
      </c>
      <c r="AE28" s="19">
        <v>21000</v>
      </c>
      <c r="AF28" s="19">
        <v>21000</v>
      </c>
      <c r="AG28" s="19">
        <v>21000</v>
      </c>
      <c r="AH28" s="19">
        <v>21000</v>
      </c>
      <c r="AI28" s="19">
        <v>21000</v>
      </c>
      <c r="AJ28" s="19">
        <v>21000</v>
      </c>
      <c r="AK28" s="19">
        <v>21000</v>
      </c>
      <c r="AL28" s="19">
        <v>21000</v>
      </c>
      <c r="AM28" s="19">
        <v>21000</v>
      </c>
      <c r="AN28" s="19">
        <v>21000</v>
      </c>
      <c r="AO28" s="19">
        <v>21000</v>
      </c>
      <c r="AP28" s="19">
        <v>0</v>
      </c>
      <c r="AQ28" s="19">
        <v>42000</v>
      </c>
      <c r="AR28" s="19">
        <v>21000</v>
      </c>
      <c r="AS28" s="19">
        <v>21000</v>
      </c>
      <c r="AT28" s="19">
        <v>21000</v>
      </c>
      <c r="AU28" s="19">
        <v>21000</v>
      </c>
      <c r="AV28" s="19">
        <v>21000</v>
      </c>
      <c r="AW28" s="19">
        <v>21000</v>
      </c>
      <c r="AX28" s="19">
        <v>21000</v>
      </c>
      <c r="AY28" s="19">
        <v>21000</v>
      </c>
      <c r="AZ28" s="19">
        <v>21000</v>
      </c>
      <c r="BA28" s="19">
        <v>21000</v>
      </c>
      <c r="BB28" s="19">
        <v>21000</v>
      </c>
      <c r="BC28" s="19">
        <v>21000</v>
      </c>
      <c r="BD28" s="19">
        <v>21000</v>
      </c>
      <c r="BE28" s="19">
        <v>21000</v>
      </c>
      <c r="BF28" s="19">
        <v>21000</v>
      </c>
      <c r="BG28" s="19">
        <v>21000</v>
      </c>
      <c r="BH28" s="19">
        <v>21000</v>
      </c>
      <c r="BI28" s="19">
        <v>21000</v>
      </c>
      <c r="BJ28" s="19">
        <v>21000</v>
      </c>
      <c r="BK28" s="19">
        <v>21000</v>
      </c>
      <c r="BL28" s="19">
        <v>21000</v>
      </c>
      <c r="BM28" s="19">
        <v>21000</v>
      </c>
      <c r="BN28" s="19">
        <v>0</v>
      </c>
      <c r="BO28" s="19">
        <v>42000</v>
      </c>
      <c r="BP28" s="19">
        <v>21000</v>
      </c>
      <c r="BQ28" s="19">
        <v>21000</v>
      </c>
      <c r="BR28" s="19">
        <v>21000</v>
      </c>
      <c r="BS28" s="19">
        <v>21000</v>
      </c>
      <c r="BT28" s="19">
        <v>21000</v>
      </c>
      <c r="BU28" s="19">
        <v>21000</v>
      </c>
      <c r="BV28" s="19">
        <v>21000</v>
      </c>
      <c r="BW28" s="19">
        <v>21000</v>
      </c>
      <c r="BX28" s="19">
        <v>21000</v>
      </c>
      <c r="BY28" s="19">
        <v>21000</v>
      </c>
      <c r="BZ28" s="19">
        <v>21000</v>
      </c>
      <c r="CA28" s="19">
        <v>21000</v>
      </c>
      <c r="CB28" s="19">
        <v>21000</v>
      </c>
      <c r="CC28" s="19">
        <v>21000</v>
      </c>
      <c r="CD28" s="19">
        <v>21000</v>
      </c>
      <c r="CE28" s="19">
        <v>0</v>
      </c>
      <c r="CF28" s="19">
        <v>42000</v>
      </c>
      <c r="CG28" s="19">
        <v>21000</v>
      </c>
      <c r="CH28" s="19">
        <v>21000</v>
      </c>
      <c r="CI28" s="19">
        <v>21000</v>
      </c>
      <c r="CJ28" s="19">
        <v>21000</v>
      </c>
      <c r="CK28" s="19">
        <v>21000</v>
      </c>
      <c r="CL28" s="19">
        <v>21000</v>
      </c>
      <c r="CM28" s="19">
        <v>21000</v>
      </c>
      <c r="CN28" s="19">
        <v>21000</v>
      </c>
      <c r="CO28" s="19">
        <v>21000</v>
      </c>
      <c r="CP28" s="19">
        <v>21000</v>
      </c>
      <c r="CQ28" s="24">
        <v>21000</v>
      </c>
      <c r="CR28" s="19">
        <v>21000</v>
      </c>
      <c r="CS28" s="19">
        <v>21000</v>
      </c>
      <c r="CT28" s="19">
        <v>21000</v>
      </c>
      <c r="CU28" s="19">
        <v>21000</v>
      </c>
      <c r="CV28" s="19">
        <v>21000</v>
      </c>
      <c r="CW28" s="19">
        <v>21000</v>
      </c>
      <c r="CX28" s="19">
        <v>21000</v>
      </c>
      <c r="CY28" s="19">
        <v>21000</v>
      </c>
      <c r="CZ28" s="19">
        <v>21000</v>
      </c>
      <c r="DA28" s="19">
        <v>21000</v>
      </c>
      <c r="DB28" s="19">
        <v>21000</v>
      </c>
      <c r="DC28" s="19">
        <v>21000</v>
      </c>
      <c r="DD28" s="19">
        <v>21000</v>
      </c>
      <c r="DE28" s="19">
        <v>21000</v>
      </c>
      <c r="DF28" s="19">
        <v>21000</v>
      </c>
      <c r="DG28" s="19">
        <v>21000</v>
      </c>
      <c r="DH28" s="19">
        <v>21000</v>
      </c>
      <c r="DI28" s="19"/>
      <c r="DJ28" s="19"/>
      <c r="DK28" s="19"/>
      <c r="DL28" s="19"/>
      <c r="DM28" s="19"/>
      <c r="DN28" s="19"/>
      <c r="DO28" s="19"/>
      <c r="DP28" s="19"/>
      <c r="DQ28" s="19"/>
      <c r="DR28" s="19"/>
    </row>
    <row r="29" spans="1:122" ht="15.75" customHeight="1" x14ac:dyDescent="0.3">
      <c r="A29" s="15">
        <v>23</v>
      </c>
      <c r="B29" s="16" t="s">
        <v>24</v>
      </c>
      <c r="C29" s="17">
        <v>21000</v>
      </c>
      <c r="D29" s="18">
        <f>Sheet3!C25</f>
        <v>103</v>
      </c>
      <c r="E29" s="19">
        <v>21000</v>
      </c>
      <c r="F29" s="19">
        <v>21000</v>
      </c>
      <c r="G29" s="19">
        <v>21000</v>
      </c>
      <c r="H29" s="19">
        <v>21000</v>
      </c>
      <c r="I29" s="19">
        <v>21000</v>
      </c>
      <c r="J29" s="19">
        <v>21000</v>
      </c>
      <c r="K29" s="19">
        <v>21000</v>
      </c>
      <c r="L29" s="19">
        <v>21000</v>
      </c>
      <c r="M29" s="19">
        <v>21000</v>
      </c>
      <c r="N29" s="19">
        <v>21000</v>
      </c>
      <c r="O29" s="19">
        <v>21000</v>
      </c>
      <c r="P29" s="19">
        <v>21000</v>
      </c>
      <c r="Q29" s="19">
        <v>21000</v>
      </c>
      <c r="R29" s="19">
        <v>21000</v>
      </c>
      <c r="S29" s="19">
        <v>21000</v>
      </c>
      <c r="T29" s="19">
        <v>21000</v>
      </c>
      <c r="U29" s="19">
        <v>21000</v>
      </c>
      <c r="V29" s="19">
        <v>21000</v>
      </c>
      <c r="W29" s="19">
        <v>21000</v>
      </c>
      <c r="X29" s="19">
        <v>21000</v>
      </c>
      <c r="Y29" s="19">
        <v>21000</v>
      </c>
      <c r="Z29" s="19">
        <v>21000</v>
      </c>
      <c r="AA29" s="19">
        <v>21000</v>
      </c>
      <c r="AB29" s="19">
        <v>21000</v>
      </c>
      <c r="AC29" s="19">
        <v>21000</v>
      </c>
      <c r="AD29" s="19">
        <v>21000</v>
      </c>
      <c r="AE29" s="19">
        <v>21000</v>
      </c>
      <c r="AF29" s="19">
        <v>0</v>
      </c>
      <c r="AG29" s="19">
        <v>42000</v>
      </c>
      <c r="AH29" s="19">
        <v>21000</v>
      </c>
      <c r="AI29" s="19">
        <v>21000</v>
      </c>
      <c r="AJ29" s="19">
        <v>21000</v>
      </c>
      <c r="AK29" s="19">
        <v>21000</v>
      </c>
      <c r="AL29" s="19">
        <v>21000</v>
      </c>
      <c r="AM29" s="19">
        <v>21000</v>
      </c>
      <c r="AN29" s="19">
        <v>21000</v>
      </c>
      <c r="AO29" s="19">
        <v>21000</v>
      </c>
      <c r="AP29" s="19">
        <v>21000</v>
      </c>
      <c r="AQ29" s="19">
        <v>21000</v>
      </c>
      <c r="AR29" s="19">
        <v>21000</v>
      </c>
      <c r="AS29" s="19">
        <v>21000</v>
      </c>
      <c r="AT29" s="19">
        <v>21000</v>
      </c>
      <c r="AU29" s="19">
        <v>21000</v>
      </c>
      <c r="AV29" s="19">
        <v>21000</v>
      </c>
      <c r="AW29" s="19">
        <v>21000</v>
      </c>
      <c r="AX29" s="19">
        <v>21000</v>
      </c>
      <c r="AY29" s="19">
        <v>21000</v>
      </c>
      <c r="AZ29" s="19">
        <v>0</v>
      </c>
      <c r="BA29" s="19">
        <v>42000</v>
      </c>
      <c r="BB29" s="19">
        <v>21000</v>
      </c>
      <c r="BC29" s="19">
        <v>21000</v>
      </c>
      <c r="BD29" s="19">
        <v>21000</v>
      </c>
      <c r="BE29" s="19">
        <v>21000</v>
      </c>
      <c r="BF29" s="19">
        <v>21000</v>
      </c>
      <c r="BG29" s="19">
        <v>21000</v>
      </c>
      <c r="BH29" s="19">
        <v>21000</v>
      </c>
      <c r="BI29" s="19">
        <v>21000</v>
      </c>
      <c r="BJ29" s="19">
        <v>21000</v>
      </c>
      <c r="BK29" s="19">
        <v>21000</v>
      </c>
      <c r="BL29" s="19">
        <v>21000</v>
      </c>
      <c r="BM29" s="19">
        <v>21000</v>
      </c>
      <c r="BN29" s="19">
        <v>21000</v>
      </c>
      <c r="BO29" s="19">
        <v>21000</v>
      </c>
      <c r="BP29" s="19">
        <v>21000</v>
      </c>
      <c r="BQ29" s="19">
        <v>21000</v>
      </c>
      <c r="BR29" s="19">
        <v>21000</v>
      </c>
      <c r="BS29" s="19">
        <v>21000</v>
      </c>
      <c r="BT29" s="19"/>
      <c r="BU29" s="19">
        <v>42000</v>
      </c>
      <c r="BV29" s="19">
        <v>21000</v>
      </c>
      <c r="BW29" s="19">
        <v>21000</v>
      </c>
      <c r="BX29" s="19">
        <v>0</v>
      </c>
      <c r="BY29" s="19">
        <v>21000</v>
      </c>
      <c r="BZ29" s="19">
        <v>21000</v>
      </c>
      <c r="CA29" s="19">
        <v>21000</v>
      </c>
      <c r="CB29" s="19">
        <v>21000</v>
      </c>
      <c r="CC29" s="19">
        <v>21000</v>
      </c>
      <c r="CD29" s="19">
        <v>21000</v>
      </c>
      <c r="CE29" s="19">
        <v>21000</v>
      </c>
      <c r="CF29" s="19">
        <v>21000</v>
      </c>
      <c r="CG29" s="19">
        <v>21000</v>
      </c>
      <c r="CH29" s="19">
        <v>21000</v>
      </c>
      <c r="CI29" s="19">
        <v>21000</v>
      </c>
      <c r="CJ29" s="19">
        <v>21000</v>
      </c>
      <c r="CK29" s="19">
        <v>0</v>
      </c>
      <c r="CL29" s="19">
        <v>42000</v>
      </c>
      <c r="CM29" s="19">
        <v>21000</v>
      </c>
      <c r="CN29" s="19">
        <v>21000</v>
      </c>
      <c r="CO29" s="19">
        <v>0</v>
      </c>
      <c r="CP29" s="19">
        <v>0</v>
      </c>
      <c r="CQ29" s="24">
        <v>63000</v>
      </c>
      <c r="CR29" s="19">
        <v>21000</v>
      </c>
      <c r="CS29" s="19">
        <v>0</v>
      </c>
      <c r="CT29" s="19">
        <v>21000</v>
      </c>
      <c r="CU29" s="19">
        <v>21000</v>
      </c>
      <c r="CV29" s="19">
        <v>21000</v>
      </c>
      <c r="CW29" s="19">
        <v>21000</v>
      </c>
      <c r="CX29" s="19">
        <v>21000</v>
      </c>
      <c r="CY29" s="19">
        <v>21000</v>
      </c>
      <c r="CZ29" s="19">
        <v>21000</v>
      </c>
      <c r="DA29" s="19">
        <v>0</v>
      </c>
      <c r="DB29" s="19">
        <v>0</v>
      </c>
      <c r="DC29" s="19">
        <v>21000</v>
      </c>
      <c r="DD29" s="19">
        <v>0</v>
      </c>
      <c r="DE29" s="19">
        <v>21000</v>
      </c>
      <c r="DF29" s="19">
        <v>21000</v>
      </c>
      <c r="DG29" s="19">
        <v>21000</v>
      </c>
      <c r="DH29" s="19">
        <v>21000</v>
      </c>
      <c r="DI29" s="19"/>
      <c r="DJ29" s="19"/>
      <c r="DK29" s="19"/>
      <c r="DL29" s="19"/>
      <c r="DM29" s="19"/>
      <c r="DN29" s="19"/>
      <c r="DO29" s="19"/>
      <c r="DP29" s="19"/>
      <c r="DQ29" s="19"/>
      <c r="DR29" s="19"/>
    </row>
    <row r="30" spans="1:122" ht="15.75" customHeight="1" x14ac:dyDescent="0.3">
      <c r="A30" s="15">
        <v>24</v>
      </c>
      <c r="B30" s="16" t="s">
        <v>25</v>
      </c>
      <c r="C30" s="17">
        <v>21000</v>
      </c>
      <c r="D30" s="18">
        <f>Sheet3!C26</f>
        <v>108</v>
      </c>
      <c r="E30" s="19">
        <v>21000</v>
      </c>
      <c r="F30" s="19">
        <v>21000</v>
      </c>
      <c r="G30" s="19">
        <v>21000</v>
      </c>
      <c r="H30" s="19">
        <v>21000</v>
      </c>
      <c r="I30" s="19">
        <v>21000</v>
      </c>
      <c r="J30" s="19">
        <v>21000</v>
      </c>
      <c r="K30" s="19">
        <v>21000</v>
      </c>
      <c r="L30" s="19">
        <v>21000</v>
      </c>
      <c r="M30" s="19">
        <v>21000</v>
      </c>
      <c r="N30" s="19">
        <v>21000</v>
      </c>
      <c r="O30" s="19">
        <v>21000</v>
      </c>
      <c r="P30" s="19">
        <v>21000</v>
      </c>
      <c r="Q30" s="19">
        <v>21000</v>
      </c>
      <c r="R30" s="19">
        <v>21000</v>
      </c>
      <c r="S30" s="19">
        <v>21000</v>
      </c>
      <c r="T30" s="19">
        <v>21000</v>
      </c>
      <c r="U30" s="19">
        <v>21000</v>
      </c>
      <c r="V30" s="19">
        <v>21000</v>
      </c>
      <c r="W30" s="19">
        <v>21000</v>
      </c>
      <c r="X30" s="19">
        <v>21000</v>
      </c>
      <c r="Y30" s="19">
        <v>21000</v>
      </c>
      <c r="Z30" s="19">
        <v>0</v>
      </c>
      <c r="AA30" s="19">
        <v>42000</v>
      </c>
      <c r="AB30" s="19">
        <v>0</v>
      </c>
      <c r="AC30" s="19">
        <v>42000</v>
      </c>
      <c r="AD30" s="19">
        <v>0</v>
      </c>
      <c r="AE30" s="19">
        <v>21000</v>
      </c>
      <c r="AF30" s="19">
        <v>42000</v>
      </c>
      <c r="AG30" s="19">
        <v>21000</v>
      </c>
      <c r="AH30" s="19">
        <v>21000</v>
      </c>
      <c r="AI30" s="19">
        <v>21000</v>
      </c>
      <c r="AJ30" s="19">
        <v>21000</v>
      </c>
      <c r="AK30" s="19">
        <v>21000</v>
      </c>
      <c r="AL30" s="19">
        <v>21000</v>
      </c>
      <c r="AM30" s="19">
        <v>21000</v>
      </c>
      <c r="AN30" s="19">
        <v>21000</v>
      </c>
      <c r="AO30" s="19">
        <v>21000</v>
      </c>
      <c r="AP30" s="19">
        <v>21000</v>
      </c>
      <c r="AQ30" s="19">
        <v>21000</v>
      </c>
      <c r="AR30" s="19">
        <v>21000</v>
      </c>
      <c r="AS30" s="19">
        <v>21000</v>
      </c>
      <c r="AT30" s="19">
        <v>21000</v>
      </c>
      <c r="AU30" s="19">
        <v>21000</v>
      </c>
      <c r="AV30" s="19">
        <v>21000</v>
      </c>
      <c r="AW30" s="19">
        <v>21000</v>
      </c>
      <c r="AX30" s="19">
        <v>21000</v>
      </c>
      <c r="AY30" s="19">
        <v>21000</v>
      </c>
      <c r="AZ30" s="19">
        <v>21000</v>
      </c>
      <c r="BA30" s="19">
        <v>21000</v>
      </c>
      <c r="BB30" s="19">
        <v>21000</v>
      </c>
      <c r="BC30" s="19">
        <v>21000</v>
      </c>
      <c r="BD30" s="19">
        <v>21000</v>
      </c>
      <c r="BE30" s="19">
        <v>21000</v>
      </c>
      <c r="BF30" s="19">
        <v>21000</v>
      </c>
      <c r="BG30" s="19">
        <v>21000</v>
      </c>
      <c r="BH30" s="19">
        <v>0</v>
      </c>
      <c r="BI30" s="19">
        <v>42000</v>
      </c>
      <c r="BJ30" s="19">
        <v>21000</v>
      </c>
      <c r="BK30" s="19">
        <v>21000</v>
      </c>
      <c r="BL30" s="19">
        <v>21000</v>
      </c>
      <c r="BM30" s="19">
        <v>21000</v>
      </c>
      <c r="BN30" s="19">
        <v>0</v>
      </c>
      <c r="BO30" s="19">
        <v>42000</v>
      </c>
      <c r="BP30" s="19">
        <v>21000</v>
      </c>
      <c r="BQ30" s="19">
        <v>21000</v>
      </c>
      <c r="BR30" s="19">
        <v>21000</v>
      </c>
      <c r="BS30" s="19">
        <v>21000</v>
      </c>
      <c r="BT30" s="19">
        <v>21000</v>
      </c>
      <c r="BU30" s="19">
        <v>21000</v>
      </c>
      <c r="BV30" s="19">
        <v>21000</v>
      </c>
      <c r="BW30" s="19">
        <v>21000</v>
      </c>
      <c r="BX30" s="19">
        <v>21000</v>
      </c>
      <c r="BY30" s="19">
        <v>21000</v>
      </c>
      <c r="BZ30" s="19">
        <v>21000</v>
      </c>
      <c r="CA30" s="19">
        <v>21000</v>
      </c>
      <c r="CB30" s="19">
        <v>21000</v>
      </c>
      <c r="CC30" s="19">
        <v>21000</v>
      </c>
      <c r="CD30" s="19">
        <v>21000</v>
      </c>
      <c r="CE30" s="19">
        <v>0</v>
      </c>
      <c r="CF30" s="19">
        <v>42000</v>
      </c>
      <c r="CG30" s="19">
        <v>21000</v>
      </c>
      <c r="CH30" s="19">
        <v>21000</v>
      </c>
      <c r="CI30" s="19">
        <v>21000</v>
      </c>
      <c r="CJ30" s="19">
        <v>21000</v>
      </c>
      <c r="CK30" s="19">
        <v>21000</v>
      </c>
      <c r="CL30" s="19">
        <v>21000</v>
      </c>
      <c r="CM30" s="19">
        <v>21000</v>
      </c>
      <c r="CN30" s="19">
        <v>21000</v>
      </c>
      <c r="CO30" s="19">
        <v>21000</v>
      </c>
      <c r="CP30" s="19">
        <v>21000</v>
      </c>
      <c r="CQ30" s="24">
        <v>21000</v>
      </c>
      <c r="CR30" s="19">
        <v>21000</v>
      </c>
      <c r="CS30" s="19">
        <v>21000</v>
      </c>
      <c r="CT30" s="19">
        <v>21000</v>
      </c>
      <c r="CU30" s="19">
        <v>21000</v>
      </c>
      <c r="CV30" s="19">
        <v>21000</v>
      </c>
      <c r="CW30" s="19">
        <v>21000</v>
      </c>
      <c r="CX30" s="19">
        <v>21000</v>
      </c>
      <c r="CY30" s="19">
        <v>21000</v>
      </c>
      <c r="CZ30" s="19">
        <v>21000</v>
      </c>
      <c r="DA30" s="19">
        <v>21000</v>
      </c>
      <c r="DB30" s="19">
        <v>21000</v>
      </c>
      <c r="DC30" s="19">
        <v>21000</v>
      </c>
      <c r="DD30" s="19">
        <v>21000</v>
      </c>
      <c r="DE30" s="19">
        <v>21000</v>
      </c>
      <c r="DF30" s="19">
        <v>21000</v>
      </c>
      <c r="DG30" s="19">
        <v>21000</v>
      </c>
      <c r="DH30" s="19">
        <v>21000</v>
      </c>
      <c r="DI30" s="19"/>
      <c r="DJ30" s="19"/>
      <c r="DK30" s="19"/>
      <c r="DL30" s="19"/>
      <c r="DM30" s="19"/>
      <c r="DN30" s="19"/>
      <c r="DO30" s="19"/>
      <c r="DP30" s="19"/>
      <c r="DQ30" s="19"/>
      <c r="DR30" s="19"/>
    </row>
    <row r="31" spans="1:122" ht="15.75" customHeight="1" x14ac:dyDescent="0.3">
      <c r="A31" s="15">
        <v>25</v>
      </c>
      <c r="B31" s="16" t="s">
        <v>26</v>
      </c>
      <c r="C31" s="17">
        <v>21000</v>
      </c>
      <c r="D31" s="18">
        <f>Sheet3!C27</f>
        <v>108</v>
      </c>
      <c r="E31" s="19">
        <v>21000</v>
      </c>
      <c r="F31" s="19">
        <v>21000</v>
      </c>
      <c r="G31" s="19">
        <v>21000</v>
      </c>
      <c r="H31" s="19">
        <v>21000</v>
      </c>
      <c r="I31" s="19">
        <v>21000</v>
      </c>
      <c r="J31" s="19">
        <v>21000</v>
      </c>
      <c r="K31" s="19">
        <v>21000</v>
      </c>
      <c r="L31" s="19">
        <v>21000</v>
      </c>
      <c r="M31" s="19">
        <v>21000</v>
      </c>
      <c r="N31" s="19">
        <v>21000</v>
      </c>
      <c r="O31" s="19">
        <v>21000</v>
      </c>
      <c r="P31" s="19">
        <v>21000</v>
      </c>
      <c r="Q31" s="19">
        <v>21000</v>
      </c>
      <c r="R31" s="19">
        <v>21000</v>
      </c>
      <c r="S31" s="19">
        <v>21000</v>
      </c>
      <c r="T31" s="19">
        <v>21000</v>
      </c>
      <c r="U31" s="19">
        <v>21000</v>
      </c>
      <c r="V31" s="19">
        <v>21000</v>
      </c>
      <c r="W31" s="19">
        <v>21000</v>
      </c>
      <c r="X31" s="19">
        <v>21000</v>
      </c>
      <c r="Y31" s="19">
        <v>21000</v>
      </c>
      <c r="Z31" s="19">
        <v>21000</v>
      </c>
      <c r="AA31" s="19">
        <v>21000</v>
      </c>
      <c r="AB31" s="19">
        <v>21000</v>
      </c>
      <c r="AC31" s="19">
        <v>21000</v>
      </c>
      <c r="AD31" s="19">
        <v>21000</v>
      </c>
      <c r="AE31" s="19">
        <v>21000</v>
      </c>
      <c r="AF31" s="19">
        <v>21000</v>
      </c>
      <c r="AG31" s="19">
        <v>21000</v>
      </c>
      <c r="AH31" s="19">
        <v>21000</v>
      </c>
      <c r="AI31" s="19">
        <v>21000</v>
      </c>
      <c r="AJ31" s="19">
        <v>21000</v>
      </c>
      <c r="AK31" s="19">
        <v>21000</v>
      </c>
      <c r="AL31" s="19">
        <v>21000</v>
      </c>
      <c r="AM31" s="19">
        <v>21000</v>
      </c>
      <c r="AN31" s="19">
        <v>21000</v>
      </c>
      <c r="AO31" s="19">
        <v>21000</v>
      </c>
      <c r="AP31" s="19">
        <v>21000</v>
      </c>
      <c r="AQ31" s="19">
        <v>21000</v>
      </c>
      <c r="AR31" s="19">
        <v>21000</v>
      </c>
      <c r="AS31" s="19">
        <v>0</v>
      </c>
      <c r="AT31" s="19">
        <v>42000</v>
      </c>
      <c r="AU31" s="19">
        <v>0</v>
      </c>
      <c r="AV31" s="19">
        <v>42000</v>
      </c>
      <c r="AW31" s="19">
        <v>21000</v>
      </c>
      <c r="AX31" s="19">
        <v>0</v>
      </c>
      <c r="AY31" s="19">
        <v>42000</v>
      </c>
      <c r="AZ31" s="19">
        <v>21000</v>
      </c>
      <c r="BA31" s="19">
        <v>21000</v>
      </c>
      <c r="BB31" s="19">
        <v>21000</v>
      </c>
      <c r="BC31" s="19">
        <v>21000</v>
      </c>
      <c r="BD31" s="19">
        <v>21000</v>
      </c>
      <c r="BE31" s="19">
        <v>0</v>
      </c>
      <c r="BF31" s="19">
        <v>42000</v>
      </c>
      <c r="BG31" s="19">
        <v>21000</v>
      </c>
      <c r="BH31" s="19">
        <v>0</v>
      </c>
      <c r="BI31" s="19">
        <v>42000</v>
      </c>
      <c r="BJ31" s="19">
        <v>21000</v>
      </c>
      <c r="BK31" s="19">
        <v>21000</v>
      </c>
      <c r="BL31" s="19">
        <v>21000</v>
      </c>
      <c r="BM31" s="19">
        <v>21000</v>
      </c>
      <c r="BN31" s="19">
        <v>0</v>
      </c>
      <c r="BO31" s="19">
        <v>42000</v>
      </c>
      <c r="BP31" s="19">
        <v>0</v>
      </c>
      <c r="BQ31" s="19">
        <v>42000</v>
      </c>
      <c r="BR31" s="19">
        <v>21000</v>
      </c>
      <c r="BS31" s="19">
        <v>21000</v>
      </c>
      <c r="BT31" s="19">
        <v>21000</v>
      </c>
      <c r="BU31" s="19">
        <v>21000</v>
      </c>
      <c r="BV31" s="19">
        <v>21000</v>
      </c>
      <c r="BW31" s="19">
        <v>21000</v>
      </c>
      <c r="BX31" s="19">
        <v>21000</v>
      </c>
      <c r="BY31" s="19">
        <v>21000</v>
      </c>
      <c r="BZ31" s="19">
        <v>21000</v>
      </c>
      <c r="CA31" s="19">
        <v>0</v>
      </c>
      <c r="CB31" s="19">
        <v>42000</v>
      </c>
      <c r="CC31" s="19">
        <v>0</v>
      </c>
      <c r="CD31" s="19">
        <v>42000</v>
      </c>
      <c r="CE31" s="19">
        <v>21000</v>
      </c>
      <c r="CF31" s="19">
        <v>21000</v>
      </c>
      <c r="CG31" s="19">
        <v>0</v>
      </c>
      <c r="CH31" s="19">
        <v>42000</v>
      </c>
      <c r="CI31" s="19">
        <v>0</v>
      </c>
      <c r="CJ31" s="19">
        <v>42000</v>
      </c>
      <c r="CK31" s="19">
        <v>21000</v>
      </c>
      <c r="CL31" s="19">
        <v>21000</v>
      </c>
      <c r="CM31" s="19">
        <v>21000</v>
      </c>
      <c r="CN31" s="19">
        <v>21000</v>
      </c>
      <c r="CO31" s="19">
        <v>21000</v>
      </c>
      <c r="CP31" s="19">
        <v>21000</v>
      </c>
      <c r="CQ31" s="24">
        <v>0</v>
      </c>
      <c r="CR31" s="19">
        <v>42000</v>
      </c>
      <c r="CS31" s="19">
        <v>21000</v>
      </c>
      <c r="CT31" s="19">
        <v>21000</v>
      </c>
      <c r="CU31" s="19">
        <v>21000</v>
      </c>
      <c r="CV31" s="19">
        <v>21000</v>
      </c>
      <c r="CW31" s="19">
        <v>21000</v>
      </c>
      <c r="CX31" s="19">
        <v>21000</v>
      </c>
      <c r="CY31" s="19">
        <v>21000</v>
      </c>
      <c r="CZ31" s="19">
        <v>21000</v>
      </c>
      <c r="DA31" s="19">
        <v>21000</v>
      </c>
      <c r="DB31" s="19">
        <v>21000</v>
      </c>
      <c r="DC31" s="19">
        <v>21000</v>
      </c>
      <c r="DD31" s="19">
        <v>21000</v>
      </c>
      <c r="DE31" s="19">
        <v>21000</v>
      </c>
      <c r="DF31" s="19">
        <v>21000</v>
      </c>
      <c r="DG31" s="19">
        <v>21000</v>
      </c>
      <c r="DH31" s="19">
        <v>21000</v>
      </c>
      <c r="DI31" s="19"/>
      <c r="DJ31" s="19"/>
      <c r="DK31" s="19"/>
      <c r="DL31" s="19"/>
      <c r="DM31" s="19"/>
      <c r="DN31" s="19"/>
      <c r="DO31" s="19"/>
      <c r="DP31" s="19"/>
      <c r="DQ31" s="19"/>
      <c r="DR31" s="19"/>
    </row>
    <row r="32" spans="1:122" ht="15.75" customHeight="1" x14ac:dyDescent="0.3">
      <c r="A32" s="15">
        <v>26</v>
      </c>
      <c r="B32" s="16" t="s">
        <v>27</v>
      </c>
      <c r="C32" s="17">
        <v>21000</v>
      </c>
      <c r="D32" s="18">
        <f>Sheet3!C28</f>
        <v>108</v>
      </c>
      <c r="E32" s="19">
        <v>21000</v>
      </c>
      <c r="F32" s="19">
        <v>21000</v>
      </c>
      <c r="G32" s="19">
        <v>21000</v>
      </c>
      <c r="H32" s="19">
        <v>21000</v>
      </c>
      <c r="I32" s="19">
        <v>21000</v>
      </c>
      <c r="J32" s="19">
        <v>21000</v>
      </c>
      <c r="K32" s="19">
        <v>21000</v>
      </c>
      <c r="L32" s="19">
        <v>21000</v>
      </c>
      <c r="M32" s="19">
        <v>21000</v>
      </c>
      <c r="N32" s="19">
        <v>21000</v>
      </c>
      <c r="O32" s="19">
        <v>21000</v>
      </c>
      <c r="P32" s="19">
        <v>21000</v>
      </c>
      <c r="Q32" s="19">
        <v>21000</v>
      </c>
      <c r="R32" s="19">
        <v>21000</v>
      </c>
      <c r="S32" s="19">
        <v>21000</v>
      </c>
      <c r="T32" s="19">
        <v>21000</v>
      </c>
      <c r="U32" s="19">
        <v>21000</v>
      </c>
      <c r="V32" s="19">
        <v>21000</v>
      </c>
      <c r="W32" s="19">
        <v>21000</v>
      </c>
      <c r="X32" s="19">
        <v>21000</v>
      </c>
      <c r="Y32" s="19">
        <v>21000</v>
      </c>
      <c r="Z32" s="19">
        <v>21000</v>
      </c>
      <c r="AA32" s="19">
        <v>21000</v>
      </c>
      <c r="AB32" s="19">
        <v>21000</v>
      </c>
      <c r="AC32" s="19">
        <v>21000</v>
      </c>
      <c r="AD32" s="19">
        <v>21000</v>
      </c>
      <c r="AE32" s="19">
        <v>21000</v>
      </c>
      <c r="AF32" s="19">
        <v>21000</v>
      </c>
      <c r="AG32" s="19">
        <v>21000</v>
      </c>
      <c r="AH32" s="19">
        <v>21000</v>
      </c>
      <c r="AI32" s="19">
        <v>21000</v>
      </c>
      <c r="AJ32" s="19">
        <v>21000</v>
      </c>
      <c r="AK32" s="19">
        <v>21000</v>
      </c>
      <c r="AL32" s="19">
        <v>21000</v>
      </c>
      <c r="AM32" s="19">
        <v>21000</v>
      </c>
      <c r="AN32" s="19">
        <v>21000</v>
      </c>
      <c r="AO32" s="19">
        <v>21000</v>
      </c>
      <c r="AP32" s="19">
        <v>21000</v>
      </c>
      <c r="AQ32" s="19">
        <v>21000</v>
      </c>
      <c r="AR32" s="19">
        <v>21000</v>
      </c>
      <c r="AS32" s="19">
        <v>0</v>
      </c>
      <c r="AT32" s="19">
        <v>42000</v>
      </c>
      <c r="AU32" s="19">
        <v>0</v>
      </c>
      <c r="AV32" s="19">
        <v>42000</v>
      </c>
      <c r="AW32" s="19">
        <v>21000</v>
      </c>
      <c r="AX32" s="19">
        <v>0</v>
      </c>
      <c r="AY32" s="19">
        <v>42000</v>
      </c>
      <c r="AZ32" s="19">
        <v>21000</v>
      </c>
      <c r="BA32" s="19">
        <v>21000</v>
      </c>
      <c r="BB32" s="19">
        <v>21000</v>
      </c>
      <c r="BC32" s="19">
        <v>21000</v>
      </c>
      <c r="BD32" s="19">
        <v>21000</v>
      </c>
      <c r="BE32" s="19">
        <v>0</v>
      </c>
      <c r="BF32" s="19">
        <v>42000</v>
      </c>
      <c r="BG32" s="19">
        <v>21000</v>
      </c>
      <c r="BH32" s="19">
        <v>0</v>
      </c>
      <c r="BI32" s="19">
        <v>42000</v>
      </c>
      <c r="BJ32" s="19">
        <v>21000</v>
      </c>
      <c r="BK32" s="19">
        <v>21000</v>
      </c>
      <c r="BL32" s="19">
        <v>21000</v>
      </c>
      <c r="BM32" s="19">
        <v>21000</v>
      </c>
      <c r="BN32" s="19">
        <v>0</v>
      </c>
      <c r="BO32" s="19">
        <v>42000</v>
      </c>
      <c r="BP32" s="19">
        <v>0</v>
      </c>
      <c r="BQ32" s="19">
        <v>42000</v>
      </c>
      <c r="BR32" s="19">
        <v>21000</v>
      </c>
      <c r="BS32" s="19">
        <v>21000</v>
      </c>
      <c r="BT32" s="19">
        <v>21000</v>
      </c>
      <c r="BU32" s="19">
        <v>21000</v>
      </c>
      <c r="BV32" s="19">
        <v>21000</v>
      </c>
      <c r="BW32" s="19">
        <v>21000</v>
      </c>
      <c r="BX32" s="19">
        <v>21000</v>
      </c>
      <c r="BY32" s="19">
        <v>21000</v>
      </c>
      <c r="BZ32" s="19">
        <v>21000</v>
      </c>
      <c r="CA32" s="19">
        <v>0</v>
      </c>
      <c r="CB32" s="19">
        <v>42000</v>
      </c>
      <c r="CC32" s="19">
        <v>0</v>
      </c>
      <c r="CD32" s="19">
        <v>42000</v>
      </c>
      <c r="CE32" s="19">
        <v>21000</v>
      </c>
      <c r="CF32" s="19">
        <v>21000</v>
      </c>
      <c r="CG32" s="19">
        <v>0</v>
      </c>
      <c r="CH32" s="19">
        <v>42000</v>
      </c>
      <c r="CI32" s="19">
        <v>0</v>
      </c>
      <c r="CJ32" s="19">
        <v>42000</v>
      </c>
      <c r="CK32" s="19">
        <v>21000</v>
      </c>
      <c r="CL32" s="19">
        <v>21000</v>
      </c>
      <c r="CM32" s="19">
        <v>21000</v>
      </c>
      <c r="CN32" s="19">
        <v>21000</v>
      </c>
      <c r="CO32" s="19">
        <v>21000</v>
      </c>
      <c r="CP32" s="19">
        <v>21000</v>
      </c>
      <c r="CQ32" s="24">
        <v>0</v>
      </c>
      <c r="CR32" s="19">
        <v>42000</v>
      </c>
      <c r="CS32" s="19">
        <v>21000</v>
      </c>
      <c r="CT32" s="19">
        <v>21000</v>
      </c>
      <c r="CU32" s="19">
        <v>21000</v>
      </c>
      <c r="CV32" s="19">
        <v>21000</v>
      </c>
      <c r="CW32" s="19">
        <v>21000</v>
      </c>
      <c r="CX32" s="19">
        <v>21000</v>
      </c>
      <c r="CY32" s="19">
        <v>21000</v>
      </c>
      <c r="CZ32" s="19">
        <v>21000</v>
      </c>
      <c r="DA32" s="19">
        <v>21000</v>
      </c>
      <c r="DB32" s="19">
        <v>21000</v>
      </c>
      <c r="DC32" s="19">
        <v>21000</v>
      </c>
      <c r="DD32" s="19">
        <v>21000</v>
      </c>
      <c r="DE32" s="19">
        <v>21000</v>
      </c>
      <c r="DF32" s="19">
        <v>21000</v>
      </c>
      <c r="DG32" s="19">
        <v>21000</v>
      </c>
      <c r="DH32" s="19">
        <v>21000</v>
      </c>
      <c r="DI32" s="19"/>
      <c r="DJ32" s="19"/>
      <c r="DK32" s="19"/>
      <c r="DL32" s="19"/>
      <c r="DM32" s="19"/>
      <c r="DN32" s="19"/>
      <c r="DO32" s="19"/>
      <c r="DP32" s="19"/>
      <c r="DQ32" s="19"/>
      <c r="DR32" s="19"/>
    </row>
    <row r="33" spans="1:122" ht="15.75" customHeight="1" x14ac:dyDescent="0.3">
      <c r="A33" s="15">
        <v>27</v>
      </c>
      <c r="B33" s="16" t="s">
        <v>28</v>
      </c>
      <c r="C33" s="17">
        <v>21000</v>
      </c>
      <c r="D33" s="18">
        <f>Sheet3!C29</f>
        <v>105</v>
      </c>
      <c r="E33" s="19">
        <v>21000</v>
      </c>
      <c r="F33" s="19">
        <v>21000</v>
      </c>
      <c r="G33" s="19">
        <v>21000</v>
      </c>
      <c r="H33" s="19">
        <v>21000</v>
      </c>
      <c r="I33" s="19">
        <v>21000</v>
      </c>
      <c r="J33" s="19">
        <v>21000</v>
      </c>
      <c r="K33" s="19">
        <v>21000</v>
      </c>
      <c r="L33" s="19">
        <v>21000</v>
      </c>
      <c r="M33" s="19">
        <v>21000</v>
      </c>
      <c r="N33" s="19">
        <v>21000</v>
      </c>
      <c r="O33" s="19">
        <v>21000</v>
      </c>
      <c r="P33" s="19">
        <v>21000</v>
      </c>
      <c r="Q33" s="19">
        <v>21000</v>
      </c>
      <c r="R33" s="19">
        <v>21000</v>
      </c>
      <c r="S33" s="19">
        <v>21000</v>
      </c>
      <c r="T33" s="19">
        <v>21000</v>
      </c>
      <c r="U33" s="19">
        <v>21000</v>
      </c>
      <c r="V33" s="19">
        <v>21000</v>
      </c>
      <c r="W33" s="19">
        <v>21000</v>
      </c>
      <c r="X33" s="19">
        <v>21000</v>
      </c>
      <c r="Y33" s="19">
        <v>21000</v>
      </c>
      <c r="Z33" s="19">
        <v>0</v>
      </c>
      <c r="AA33" s="19">
        <v>42000</v>
      </c>
      <c r="AB33" s="19">
        <v>21000</v>
      </c>
      <c r="AC33" s="19">
        <v>21000</v>
      </c>
      <c r="AD33" s="19">
        <v>21000</v>
      </c>
      <c r="AE33" s="19">
        <v>0</v>
      </c>
      <c r="AF33" s="19">
        <v>21000</v>
      </c>
      <c r="AG33" s="19">
        <v>42000</v>
      </c>
      <c r="AH33" s="19">
        <v>21000</v>
      </c>
      <c r="AI33" s="19">
        <v>21000</v>
      </c>
      <c r="AJ33" s="19">
        <v>0</v>
      </c>
      <c r="AK33" s="19">
        <v>42000</v>
      </c>
      <c r="AL33" s="19">
        <v>21000</v>
      </c>
      <c r="AM33" s="19">
        <v>21000</v>
      </c>
      <c r="AN33" s="19">
        <v>21000</v>
      </c>
      <c r="AO33" s="19">
        <v>21000</v>
      </c>
      <c r="AP33" s="19">
        <v>21000</v>
      </c>
      <c r="AQ33" s="19">
        <v>0</v>
      </c>
      <c r="AR33" s="19">
        <v>42000</v>
      </c>
      <c r="AS33" s="19">
        <v>21000</v>
      </c>
      <c r="AT33" s="19">
        <v>0</v>
      </c>
      <c r="AU33" s="19">
        <v>42000</v>
      </c>
      <c r="AV33" s="19">
        <v>21000</v>
      </c>
      <c r="AW33" s="19">
        <v>21000</v>
      </c>
      <c r="AX33" s="19">
        <v>21000</v>
      </c>
      <c r="AY33" s="19">
        <v>21000</v>
      </c>
      <c r="AZ33" s="19">
        <v>0</v>
      </c>
      <c r="BA33" s="19">
        <v>21000</v>
      </c>
      <c r="BB33" s="19">
        <v>21000</v>
      </c>
      <c r="BC33" s="19">
        <v>21000</v>
      </c>
      <c r="BD33" s="19">
        <v>21000</v>
      </c>
      <c r="BE33" s="19">
        <v>21000</v>
      </c>
      <c r="BF33" s="19">
        <v>21000</v>
      </c>
      <c r="BG33" s="19">
        <v>21000</v>
      </c>
      <c r="BH33" s="19">
        <v>21000</v>
      </c>
      <c r="BI33" s="19">
        <v>21000</v>
      </c>
      <c r="BJ33" s="19">
        <v>21000</v>
      </c>
      <c r="BK33" s="19">
        <v>21000</v>
      </c>
      <c r="BL33" s="19">
        <v>21000</v>
      </c>
      <c r="BM33" s="19">
        <v>21000</v>
      </c>
      <c r="BN33" s="19">
        <v>21000</v>
      </c>
      <c r="BO33" s="19">
        <v>21000</v>
      </c>
      <c r="BP33" s="19">
        <v>0</v>
      </c>
      <c r="BQ33" s="19">
        <v>42000</v>
      </c>
      <c r="BR33" s="19">
        <v>21000</v>
      </c>
      <c r="BS33" s="19">
        <v>21000</v>
      </c>
      <c r="BT33" s="19"/>
      <c r="BU33" s="19">
        <v>42000</v>
      </c>
      <c r="BV33" s="19">
        <v>0</v>
      </c>
      <c r="BW33" s="19">
        <v>42000</v>
      </c>
      <c r="BX33" s="19">
        <v>21000</v>
      </c>
      <c r="BY33" s="19">
        <v>21000</v>
      </c>
      <c r="BZ33" s="19">
        <v>21000</v>
      </c>
      <c r="CA33" s="19">
        <v>21000</v>
      </c>
      <c r="CB33" s="19">
        <v>21000</v>
      </c>
      <c r="CC33" s="19">
        <v>21000</v>
      </c>
      <c r="CD33" s="19">
        <v>21000</v>
      </c>
      <c r="CE33" s="19">
        <v>0</v>
      </c>
      <c r="CF33" s="19">
        <v>21000</v>
      </c>
      <c r="CG33" s="19">
        <v>21000</v>
      </c>
      <c r="CH33" s="19">
        <v>21000</v>
      </c>
      <c r="CI33" s="19">
        <v>0</v>
      </c>
      <c r="CJ33" s="19">
        <v>42000</v>
      </c>
      <c r="CK33" s="19">
        <v>21000</v>
      </c>
      <c r="CL33" s="19">
        <v>21000</v>
      </c>
      <c r="CM33" s="19">
        <v>21000</v>
      </c>
      <c r="CN33" s="19">
        <v>21000</v>
      </c>
      <c r="CO33" s="19">
        <v>21000</v>
      </c>
      <c r="CP33" s="19">
        <v>21000</v>
      </c>
      <c r="CQ33" s="24">
        <v>21000</v>
      </c>
      <c r="CR33" s="19">
        <v>21000</v>
      </c>
      <c r="CS33" s="19">
        <v>21000</v>
      </c>
      <c r="CT33" s="19">
        <v>21000</v>
      </c>
      <c r="CU33" s="19">
        <v>21000</v>
      </c>
      <c r="CV33" s="19">
        <v>21000</v>
      </c>
      <c r="CW33" s="19">
        <v>21000</v>
      </c>
      <c r="CX33" s="19">
        <v>0</v>
      </c>
      <c r="CY33" s="19">
        <v>42000</v>
      </c>
      <c r="CZ33" s="19">
        <v>0</v>
      </c>
      <c r="DA33" s="19">
        <v>42000</v>
      </c>
      <c r="DB33" s="19">
        <v>21000</v>
      </c>
      <c r="DC33" s="19">
        <v>0</v>
      </c>
      <c r="DD33" s="19">
        <v>0</v>
      </c>
      <c r="DE33" s="19">
        <v>42000</v>
      </c>
      <c r="DF33" s="19">
        <v>21000</v>
      </c>
      <c r="DG33" s="19">
        <v>21000</v>
      </c>
      <c r="DH33" s="19">
        <v>21000</v>
      </c>
      <c r="DI33" s="19"/>
      <c r="DJ33" s="19"/>
      <c r="DK33" s="19"/>
      <c r="DL33" s="19"/>
      <c r="DM33" s="19"/>
      <c r="DN33" s="19"/>
      <c r="DO33" s="19"/>
      <c r="DP33" s="19"/>
      <c r="DQ33" s="19"/>
      <c r="DR33" s="19"/>
    </row>
    <row r="34" spans="1:122" ht="15.75" customHeight="1" x14ac:dyDescent="0.3">
      <c r="A34" s="15">
        <v>28</v>
      </c>
      <c r="B34" s="16" t="s">
        <v>29</v>
      </c>
      <c r="C34" s="17">
        <v>21000</v>
      </c>
      <c r="D34" s="18">
        <f>Sheet3!C30</f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/>
      <c r="BV34" s="19">
        <v>0</v>
      </c>
      <c r="BW34" s="19">
        <v>0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/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0</v>
      </c>
      <c r="CQ34" s="24">
        <v>0</v>
      </c>
      <c r="CR34" s="19">
        <v>0</v>
      </c>
      <c r="CS34" s="19">
        <v>0</v>
      </c>
      <c r="CT34" s="19">
        <v>0</v>
      </c>
      <c r="CU34" s="19">
        <v>0</v>
      </c>
      <c r="CV34" s="19">
        <v>0</v>
      </c>
      <c r="CW34" s="19">
        <v>0</v>
      </c>
      <c r="CX34" s="19">
        <v>0</v>
      </c>
      <c r="CY34" s="19">
        <v>0</v>
      </c>
      <c r="CZ34" s="19">
        <v>0</v>
      </c>
      <c r="DA34" s="19">
        <v>0</v>
      </c>
      <c r="DB34" s="19">
        <v>0</v>
      </c>
      <c r="DC34" s="19">
        <v>0</v>
      </c>
      <c r="DD34" s="19">
        <v>0</v>
      </c>
      <c r="DE34" s="19">
        <v>0</v>
      </c>
      <c r="DF34" s="19">
        <v>0</v>
      </c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</row>
    <row r="35" spans="1:122" ht="15.75" customHeight="1" x14ac:dyDescent="0.3">
      <c r="A35" s="15">
        <v>29</v>
      </c>
      <c r="B35" s="16" t="s">
        <v>30</v>
      </c>
      <c r="C35" s="17">
        <v>21000</v>
      </c>
      <c r="D35" s="18">
        <f>Sheet3!C31</f>
        <v>104</v>
      </c>
      <c r="E35" s="19">
        <v>21000</v>
      </c>
      <c r="F35" s="19">
        <v>21000</v>
      </c>
      <c r="G35" s="19">
        <v>21000</v>
      </c>
      <c r="H35" s="19">
        <v>21000</v>
      </c>
      <c r="I35" s="19">
        <v>21000</v>
      </c>
      <c r="J35" s="19">
        <v>21000</v>
      </c>
      <c r="K35" s="19">
        <v>21000</v>
      </c>
      <c r="L35" s="19">
        <v>21000</v>
      </c>
      <c r="M35" s="19">
        <v>21000</v>
      </c>
      <c r="N35" s="19">
        <v>21000</v>
      </c>
      <c r="O35" s="19">
        <v>21000</v>
      </c>
      <c r="P35" s="19">
        <v>21000</v>
      </c>
      <c r="Q35" s="19">
        <v>21000</v>
      </c>
      <c r="R35" s="19">
        <v>21000</v>
      </c>
      <c r="S35" s="19">
        <v>21000</v>
      </c>
      <c r="T35" s="19">
        <v>21000</v>
      </c>
      <c r="U35" s="19">
        <v>21000</v>
      </c>
      <c r="V35" s="19">
        <v>21000</v>
      </c>
      <c r="W35" s="19">
        <v>21000</v>
      </c>
      <c r="X35" s="19">
        <v>21000</v>
      </c>
      <c r="Y35" s="19">
        <v>21000</v>
      </c>
      <c r="Z35" s="19">
        <v>21000</v>
      </c>
      <c r="AA35" s="19">
        <v>21000</v>
      </c>
      <c r="AB35" s="19">
        <v>21000</v>
      </c>
      <c r="AC35" s="19">
        <v>21000</v>
      </c>
      <c r="AD35" s="19">
        <v>21000</v>
      </c>
      <c r="AE35" s="19">
        <v>0</v>
      </c>
      <c r="AF35" s="19">
        <v>42000</v>
      </c>
      <c r="AG35" s="19">
        <v>21000</v>
      </c>
      <c r="AH35" s="19">
        <v>21000</v>
      </c>
      <c r="AI35" s="19">
        <v>21000</v>
      </c>
      <c r="AJ35" s="19">
        <v>21000</v>
      </c>
      <c r="AK35" s="19">
        <v>21000</v>
      </c>
      <c r="AL35" s="19">
        <v>21000</v>
      </c>
      <c r="AM35" s="19">
        <v>21000</v>
      </c>
      <c r="AN35" s="19">
        <v>21000</v>
      </c>
      <c r="AO35" s="19">
        <v>21000</v>
      </c>
      <c r="AP35" s="19">
        <v>21000</v>
      </c>
      <c r="AQ35" s="19">
        <v>21000</v>
      </c>
      <c r="AR35" s="19">
        <v>21000</v>
      </c>
      <c r="AS35" s="19">
        <v>21000</v>
      </c>
      <c r="AT35" s="19">
        <v>21000</v>
      </c>
      <c r="AU35" s="19">
        <v>21000</v>
      </c>
      <c r="AV35" s="19">
        <v>21000</v>
      </c>
      <c r="AW35" s="19">
        <v>21000</v>
      </c>
      <c r="AX35" s="19">
        <v>21000</v>
      </c>
      <c r="AY35" s="19">
        <v>21000</v>
      </c>
      <c r="AZ35" s="19">
        <v>21000</v>
      </c>
      <c r="BA35" s="19">
        <v>21000</v>
      </c>
      <c r="BB35" s="19">
        <v>21000</v>
      </c>
      <c r="BC35" s="19">
        <v>0</v>
      </c>
      <c r="BD35" s="19">
        <v>42000</v>
      </c>
      <c r="BE35" s="19">
        <v>21000</v>
      </c>
      <c r="BF35" s="19">
        <v>21000</v>
      </c>
      <c r="BG35" s="19">
        <v>21000</v>
      </c>
      <c r="BH35" s="19">
        <v>0</v>
      </c>
      <c r="BI35" s="19">
        <v>21000</v>
      </c>
      <c r="BJ35" s="19">
        <v>21000</v>
      </c>
      <c r="BK35" s="19">
        <v>42000</v>
      </c>
      <c r="BL35" s="19">
        <v>0</v>
      </c>
      <c r="BM35" s="19">
        <v>42000</v>
      </c>
      <c r="BN35" s="19">
        <v>0</v>
      </c>
      <c r="BO35" s="19">
        <v>21000</v>
      </c>
      <c r="BP35" s="19">
        <v>0</v>
      </c>
      <c r="BQ35" s="19">
        <v>42000</v>
      </c>
      <c r="BR35" s="19">
        <v>21000</v>
      </c>
      <c r="BS35" s="19">
        <v>0</v>
      </c>
      <c r="BT35" s="19">
        <v>42000</v>
      </c>
      <c r="BU35" s="19">
        <v>21000</v>
      </c>
      <c r="BV35" s="19">
        <v>0</v>
      </c>
      <c r="BW35" s="19">
        <v>0</v>
      </c>
      <c r="BX35" s="19">
        <v>63000</v>
      </c>
      <c r="BY35" s="19">
        <v>0</v>
      </c>
      <c r="BZ35" s="19">
        <v>0</v>
      </c>
      <c r="CA35" s="19">
        <v>42000</v>
      </c>
      <c r="CB35" s="19">
        <v>42000</v>
      </c>
      <c r="CC35" s="19">
        <v>21000</v>
      </c>
      <c r="CD35" s="19">
        <v>21000</v>
      </c>
      <c r="CE35" s="19"/>
      <c r="CF35" s="19">
        <v>42000</v>
      </c>
      <c r="CG35" s="19">
        <v>0</v>
      </c>
      <c r="CH35" s="19">
        <v>63000</v>
      </c>
      <c r="CI35" s="19">
        <v>0</v>
      </c>
      <c r="CJ35" s="19">
        <v>42000</v>
      </c>
      <c r="CK35" s="19">
        <v>21000</v>
      </c>
      <c r="CL35" s="19">
        <v>21000</v>
      </c>
      <c r="CM35" s="19">
        <v>0</v>
      </c>
      <c r="CN35" s="19">
        <v>42000</v>
      </c>
      <c r="CO35" s="19">
        <v>21000</v>
      </c>
      <c r="CP35" s="19">
        <v>21000</v>
      </c>
      <c r="CQ35" s="24">
        <v>21000</v>
      </c>
      <c r="CR35" s="19">
        <v>0</v>
      </c>
      <c r="CS35" s="19">
        <v>42000</v>
      </c>
      <c r="CT35" s="19">
        <v>21000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63000</v>
      </c>
      <c r="DB35" s="19">
        <v>84000</v>
      </c>
      <c r="DC35" s="19">
        <v>0</v>
      </c>
      <c r="DD35" s="19">
        <v>0</v>
      </c>
      <c r="DE35" s="19">
        <v>0</v>
      </c>
      <c r="DF35" s="19">
        <v>0</v>
      </c>
      <c r="DG35" s="19">
        <v>63000</v>
      </c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</row>
    <row r="36" spans="1:122" ht="15.75" customHeight="1" x14ac:dyDescent="0.3">
      <c r="A36" s="15">
        <v>30</v>
      </c>
      <c r="B36" s="16" t="s">
        <v>31</v>
      </c>
      <c r="C36" s="17">
        <v>21000</v>
      </c>
      <c r="D36" s="18">
        <f>Sheet3!C32</f>
        <v>92</v>
      </c>
      <c r="E36" s="19">
        <v>21000</v>
      </c>
      <c r="F36" s="19">
        <v>21000</v>
      </c>
      <c r="G36" s="19">
        <v>21000</v>
      </c>
      <c r="H36" s="19">
        <v>21000</v>
      </c>
      <c r="I36" s="19">
        <v>21000</v>
      </c>
      <c r="J36" s="19">
        <v>21000</v>
      </c>
      <c r="K36" s="19">
        <v>21000</v>
      </c>
      <c r="L36" s="19">
        <v>21000</v>
      </c>
      <c r="M36" s="19">
        <v>21000</v>
      </c>
      <c r="N36" s="19">
        <v>21000</v>
      </c>
      <c r="O36" s="19">
        <v>21000</v>
      </c>
      <c r="P36" s="19">
        <v>21000</v>
      </c>
      <c r="Q36" s="19">
        <v>21000</v>
      </c>
      <c r="R36" s="19">
        <v>21000</v>
      </c>
      <c r="S36" s="19">
        <v>21000</v>
      </c>
      <c r="T36" s="19">
        <v>21000</v>
      </c>
      <c r="U36" s="19">
        <v>21000</v>
      </c>
      <c r="V36" s="19">
        <v>21000</v>
      </c>
      <c r="W36" s="19">
        <v>21000</v>
      </c>
      <c r="X36" s="19">
        <v>21000</v>
      </c>
      <c r="Y36" s="19">
        <v>21000</v>
      </c>
      <c r="Z36" s="19">
        <v>21000</v>
      </c>
      <c r="AA36" s="19">
        <v>21000</v>
      </c>
      <c r="AB36" s="19">
        <v>21000</v>
      </c>
      <c r="AC36" s="19">
        <v>21000</v>
      </c>
      <c r="AD36" s="19">
        <v>21000</v>
      </c>
      <c r="AE36" s="19">
        <v>21000</v>
      </c>
      <c r="AF36" s="19">
        <v>21000</v>
      </c>
      <c r="AG36" s="19">
        <v>21000</v>
      </c>
      <c r="AH36" s="19">
        <v>21000</v>
      </c>
      <c r="AI36" s="19">
        <v>21000</v>
      </c>
      <c r="AJ36" s="19">
        <v>21000</v>
      </c>
      <c r="AK36" s="19">
        <v>21000</v>
      </c>
      <c r="AL36" s="19">
        <v>21000</v>
      </c>
      <c r="AM36" s="19">
        <v>21000</v>
      </c>
      <c r="AN36" s="19">
        <v>21000</v>
      </c>
      <c r="AO36" s="19">
        <v>21000</v>
      </c>
      <c r="AP36" s="19">
        <v>21000</v>
      </c>
      <c r="AQ36" s="19">
        <v>21000</v>
      </c>
      <c r="AR36" s="19">
        <v>21000</v>
      </c>
      <c r="AS36" s="19">
        <v>21000</v>
      </c>
      <c r="AT36" s="19">
        <v>21000</v>
      </c>
      <c r="AU36" s="19">
        <v>21000</v>
      </c>
      <c r="AV36" s="19">
        <v>21000</v>
      </c>
      <c r="AW36" s="19">
        <v>21000</v>
      </c>
      <c r="AX36" s="19">
        <v>21000</v>
      </c>
      <c r="AY36" s="19">
        <v>21000</v>
      </c>
      <c r="AZ36" s="19">
        <v>21000</v>
      </c>
      <c r="BA36" s="19">
        <v>21000</v>
      </c>
      <c r="BB36" s="19">
        <v>21000</v>
      </c>
      <c r="BC36" s="19">
        <v>21000</v>
      </c>
      <c r="BD36" s="19">
        <v>21000</v>
      </c>
      <c r="BE36" s="19">
        <v>21000</v>
      </c>
      <c r="BF36" s="19">
        <v>21000</v>
      </c>
      <c r="BG36" s="19">
        <v>21000</v>
      </c>
      <c r="BH36" s="19">
        <v>21000</v>
      </c>
      <c r="BI36" s="19">
        <v>21000</v>
      </c>
      <c r="BJ36" s="19">
        <v>21000</v>
      </c>
      <c r="BK36" s="19">
        <v>21000</v>
      </c>
      <c r="BL36" s="19">
        <v>21000</v>
      </c>
      <c r="BM36" s="19">
        <v>21000</v>
      </c>
      <c r="BN36" s="19">
        <v>0</v>
      </c>
      <c r="BO36" s="19">
        <v>21000</v>
      </c>
      <c r="BP36" s="19">
        <v>21000</v>
      </c>
      <c r="BQ36" s="19"/>
      <c r="BR36" s="19">
        <v>42000</v>
      </c>
      <c r="BS36" s="19">
        <v>21000</v>
      </c>
      <c r="BT36" s="19"/>
      <c r="BU36" s="19">
        <v>21000</v>
      </c>
      <c r="BV36" s="19">
        <v>21000</v>
      </c>
      <c r="BW36" s="19">
        <v>21000</v>
      </c>
      <c r="BX36" s="19">
        <v>0</v>
      </c>
      <c r="BY36" s="19">
        <v>42000</v>
      </c>
      <c r="BZ36" s="19">
        <v>0</v>
      </c>
      <c r="CA36" s="19">
        <v>0</v>
      </c>
      <c r="CB36" s="19">
        <v>42000</v>
      </c>
      <c r="CC36" s="19">
        <v>0</v>
      </c>
      <c r="CD36" s="19">
        <v>42000</v>
      </c>
      <c r="CE36" s="19"/>
      <c r="CF36" s="19">
        <v>42000</v>
      </c>
      <c r="CG36" s="19">
        <v>0</v>
      </c>
      <c r="CH36" s="19">
        <v>42000</v>
      </c>
      <c r="CI36" s="19">
        <v>0</v>
      </c>
      <c r="CJ36" s="19">
        <v>42000</v>
      </c>
      <c r="CK36" s="19">
        <v>0</v>
      </c>
      <c r="CL36" s="19">
        <v>0</v>
      </c>
      <c r="CM36" s="19">
        <v>42000</v>
      </c>
      <c r="CN36" s="19">
        <v>0</v>
      </c>
      <c r="CO36" s="19">
        <v>0</v>
      </c>
      <c r="CP36" s="19">
        <v>42000</v>
      </c>
      <c r="CQ36" s="24">
        <v>0</v>
      </c>
      <c r="CR36" s="19">
        <v>21000</v>
      </c>
      <c r="CS36" s="19">
        <v>0</v>
      </c>
      <c r="CT36" s="19">
        <v>0</v>
      </c>
      <c r="CU36" s="19">
        <v>0</v>
      </c>
      <c r="CV36" s="19">
        <v>42000</v>
      </c>
      <c r="CW36" s="19">
        <v>42000</v>
      </c>
      <c r="CX36" s="19">
        <v>0</v>
      </c>
      <c r="CY36" s="19">
        <v>21000</v>
      </c>
      <c r="CZ36" s="19">
        <v>0</v>
      </c>
      <c r="DA36" s="19">
        <v>21000</v>
      </c>
      <c r="DB36" s="19">
        <v>0</v>
      </c>
      <c r="DC36" s="19">
        <v>0</v>
      </c>
      <c r="DD36" s="19">
        <v>0</v>
      </c>
      <c r="DE36" s="19">
        <v>0</v>
      </c>
      <c r="DF36" s="19">
        <v>0</v>
      </c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</row>
    <row r="37" spans="1:122" ht="15.75" customHeight="1" x14ac:dyDescent="0.3">
      <c r="A37" s="15">
        <v>31</v>
      </c>
      <c r="B37" s="16" t="s">
        <v>6</v>
      </c>
      <c r="C37" s="17">
        <v>21000</v>
      </c>
      <c r="D37" s="18">
        <f>Sheet3!C33</f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/>
      <c r="BV37" s="19">
        <v>0</v>
      </c>
      <c r="BW37" s="19">
        <v>0</v>
      </c>
      <c r="BX37" s="19">
        <v>0</v>
      </c>
      <c r="BY37" s="19">
        <v>0</v>
      </c>
      <c r="BZ37" s="19">
        <v>0</v>
      </c>
      <c r="CA37" s="19">
        <v>0</v>
      </c>
      <c r="CB37" s="19">
        <v>0</v>
      </c>
      <c r="CC37" s="19">
        <v>0</v>
      </c>
      <c r="CD37" s="19">
        <v>0</v>
      </c>
      <c r="CE37" s="19"/>
      <c r="CF37" s="19">
        <v>0</v>
      </c>
      <c r="CG37" s="19">
        <v>0</v>
      </c>
      <c r="CH37" s="19">
        <v>0</v>
      </c>
      <c r="CI37" s="19">
        <v>0</v>
      </c>
      <c r="CJ37" s="19">
        <v>0</v>
      </c>
      <c r="CK37" s="19">
        <v>0</v>
      </c>
      <c r="CL37" s="19">
        <v>0</v>
      </c>
      <c r="CM37" s="19">
        <v>0</v>
      </c>
      <c r="CN37" s="19">
        <v>0</v>
      </c>
      <c r="CO37" s="19">
        <v>0</v>
      </c>
      <c r="CP37" s="19">
        <v>0</v>
      </c>
      <c r="CQ37" s="24">
        <v>0</v>
      </c>
      <c r="CR37" s="19">
        <v>0</v>
      </c>
      <c r="CS37" s="19">
        <v>0</v>
      </c>
      <c r="CT37" s="19">
        <v>0</v>
      </c>
      <c r="CU37" s="19">
        <v>0</v>
      </c>
      <c r="CV37" s="19">
        <v>0</v>
      </c>
      <c r="CW37" s="19">
        <v>0</v>
      </c>
      <c r="CX37" s="19">
        <v>0</v>
      </c>
      <c r="CY37" s="19">
        <v>0</v>
      </c>
      <c r="CZ37" s="19">
        <v>0</v>
      </c>
      <c r="DA37" s="19">
        <v>0</v>
      </c>
      <c r="DB37" s="19">
        <v>0</v>
      </c>
      <c r="DC37" s="19">
        <v>0</v>
      </c>
      <c r="DD37" s="19">
        <v>0</v>
      </c>
      <c r="DE37" s="19">
        <v>0</v>
      </c>
      <c r="DF37" s="19">
        <v>0</v>
      </c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</row>
    <row r="38" spans="1:122" ht="15.75" customHeight="1" x14ac:dyDescent="0.3">
      <c r="A38" s="15">
        <v>32</v>
      </c>
      <c r="B38" s="16" t="s">
        <v>32</v>
      </c>
      <c r="C38" s="17">
        <v>21000</v>
      </c>
      <c r="D38" s="18">
        <f>Sheet3!C34</f>
        <v>108</v>
      </c>
      <c r="E38" s="19">
        <v>21000</v>
      </c>
      <c r="F38" s="19">
        <v>21000</v>
      </c>
      <c r="G38" s="19">
        <v>21000</v>
      </c>
      <c r="H38" s="19">
        <v>21000</v>
      </c>
      <c r="I38" s="19">
        <v>21000</v>
      </c>
      <c r="J38" s="19">
        <v>21000</v>
      </c>
      <c r="K38" s="19">
        <v>21000</v>
      </c>
      <c r="L38" s="19">
        <v>21000</v>
      </c>
      <c r="M38" s="19">
        <v>21000</v>
      </c>
      <c r="N38" s="19">
        <v>21000</v>
      </c>
      <c r="O38" s="19">
        <v>21000</v>
      </c>
      <c r="P38" s="19">
        <v>21000</v>
      </c>
      <c r="Q38" s="19">
        <v>21000</v>
      </c>
      <c r="R38" s="19">
        <v>21000</v>
      </c>
      <c r="S38" s="19">
        <v>21000</v>
      </c>
      <c r="T38" s="19">
        <v>21000</v>
      </c>
      <c r="U38" s="19">
        <v>21000</v>
      </c>
      <c r="V38" s="19">
        <v>21000</v>
      </c>
      <c r="W38" s="19">
        <v>21000</v>
      </c>
      <c r="X38" s="19">
        <v>21000</v>
      </c>
      <c r="Y38" s="19">
        <v>21000</v>
      </c>
      <c r="Z38" s="19">
        <v>21000</v>
      </c>
      <c r="AA38" s="19">
        <v>21000</v>
      </c>
      <c r="AB38" s="19">
        <v>21000</v>
      </c>
      <c r="AC38" s="19">
        <v>21000</v>
      </c>
      <c r="AD38" s="19">
        <v>21000</v>
      </c>
      <c r="AE38" s="19">
        <v>21000</v>
      </c>
      <c r="AF38" s="19">
        <v>21000</v>
      </c>
      <c r="AG38" s="19">
        <v>21000</v>
      </c>
      <c r="AH38" s="19">
        <v>21000</v>
      </c>
      <c r="AI38" s="19">
        <v>21000</v>
      </c>
      <c r="AJ38" s="19">
        <v>21000</v>
      </c>
      <c r="AK38" s="19">
        <v>21000</v>
      </c>
      <c r="AL38" s="19">
        <v>21000</v>
      </c>
      <c r="AM38" s="19">
        <v>21000</v>
      </c>
      <c r="AN38" s="19">
        <v>21000</v>
      </c>
      <c r="AO38" s="19">
        <v>21000</v>
      </c>
      <c r="AP38" s="19">
        <v>21000</v>
      </c>
      <c r="AQ38" s="19">
        <v>21000</v>
      </c>
      <c r="AR38" s="19">
        <v>21000</v>
      </c>
      <c r="AS38" s="19">
        <v>21000</v>
      </c>
      <c r="AT38" s="19">
        <v>21000</v>
      </c>
      <c r="AU38" s="19">
        <v>21000</v>
      </c>
      <c r="AV38" s="19">
        <v>21000</v>
      </c>
      <c r="AW38" s="19">
        <v>21000</v>
      </c>
      <c r="AX38" s="19">
        <v>21000</v>
      </c>
      <c r="AY38" s="19">
        <v>21000</v>
      </c>
      <c r="AZ38" s="19">
        <v>21000</v>
      </c>
      <c r="BA38" s="19">
        <v>21000</v>
      </c>
      <c r="BB38" s="19">
        <v>21000</v>
      </c>
      <c r="BC38" s="19">
        <v>21000</v>
      </c>
      <c r="BD38" s="19">
        <v>21000</v>
      </c>
      <c r="BE38" s="19">
        <v>21000</v>
      </c>
      <c r="BF38" s="19">
        <v>21000</v>
      </c>
      <c r="BG38" s="19">
        <v>21000</v>
      </c>
      <c r="BH38" s="19">
        <v>21000</v>
      </c>
      <c r="BI38" s="19">
        <v>21000</v>
      </c>
      <c r="BJ38" s="19">
        <v>21000</v>
      </c>
      <c r="BK38" s="19">
        <v>21000</v>
      </c>
      <c r="BL38" s="19">
        <v>21000</v>
      </c>
      <c r="BM38" s="19">
        <v>21000</v>
      </c>
      <c r="BN38" s="19">
        <v>21000</v>
      </c>
      <c r="BO38" s="19">
        <v>21000</v>
      </c>
      <c r="BP38" s="19">
        <v>21000</v>
      </c>
      <c r="BQ38" s="19">
        <v>21000</v>
      </c>
      <c r="BR38" s="19">
        <v>21000</v>
      </c>
      <c r="BS38" s="19">
        <v>21000</v>
      </c>
      <c r="BT38" s="19">
        <v>21000</v>
      </c>
      <c r="BU38" s="19">
        <v>21000</v>
      </c>
      <c r="BV38" s="19">
        <v>21000</v>
      </c>
      <c r="BW38" s="19">
        <v>21000</v>
      </c>
      <c r="BX38" s="19">
        <v>21000</v>
      </c>
      <c r="BY38" s="19">
        <v>21000</v>
      </c>
      <c r="BZ38" s="19">
        <v>21000</v>
      </c>
      <c r="CA38" s="19">
        <v>21000</v>
      </c>
      <c r="CB38" s="19">
        <v>21000</v>
      </c>
      <c r="CC38" s="19">
        <v>21000</v>
      </c>
      <c r="CD38" s="19">
        <v>21000</v>
      </c>
      <c r="CE38" s="19">
        <v>21000</v>
      </c>
      <c r="CF38" s="19">
        <v>21000</v>
      </c>
      <c r="CG38" s="19">
        <v>21000</v>
      </c>
      <c r="CH38" s="19">
        <v>0</v>
      </c>
      <c r="CI38" s="19">
        <v>42000</v>
      </c>
      <c r="CJ38" s="19">
        <v>21000</v>
      </c>
      <c r="CK38" s="19">
        <v>21000</v>
      </c>
      <c r="CL38" s="19">
        <v>21000</v>
      </c>
      <c r="CM38" s="19">
        <v>21000</v>
      </c>
      <c r="CN38" s="19">
        <v>21000</v>
      </c>
      <c r="CO38" s="19">
        <v>21000</v>
      </c>
      <c r="CP38" s="19">
        <v>21000</v>
      </c>
      <c r="CQ38" s="24">
        <v>21000</v>
      </c>
      <c r="CR38" s="19">
        <v>21000</v>
      </c>
      <c r="CS38" s="19">
        <v>21000</v>
      </c>
      <c r="CT38" s="19">
        <v>21000</v>
      </c>
      <c r="CU38" s="19">
        <v>21000</v>
      </c>
      <c r="CV38" s="19">
        <v>21000</v>
      </c>
      <c r="CW38" s="19">
        <v>21000</v>
      </c>
      <c r="CX38" s="19">
        <v>21000</v>
      </c>
      <c r="CY38" s="19">
        <v>21000</v>
      </c>
      <c r="CZ38" s="19">
        <v>21000</v>
      </c>
      <c r="DA38" s="19">
        <v>21000</v>
      </c>
      <c r="DB38" s="19">
        <v>21000</v>
      </c>
      <c r="DC38" s="19">
        <v>21000</v>
      </c>
      <c r="DD38" s="19">
        <v>21000</v>
      </c>
      <c r="DE38" s="19">
        <v>21000</v>
      </c>
      <c r="DF38" s="19">
        <v>21000</v>
      </c>
      <c r="DG38" s="19">
        <v>21000</v>
      </c>
      <c r="DH38" s="19">
        <v>21000</v>
      </c>
      <c r="DI38" s="19"/>
      <c r="DJ38" s="19"/>
      <c r="DK38" s="19"/>
      <c r="DL38" s="19"/>
      <c r="DM38" s="19"/>
      <c r="DN38" s="19"/>
      <c r="DO38" s="19"/>
      <c r="DP38" s="19"/>
      <c r="DQ38" s="19"/>
      <c r="DR38" s="19"/>
    </row>
    <row r="39" spans="1:122" ht="15.75" customHeight="1" x14ac:dyDescent="0.3">
      <c r="A39" s="15">
        <v>33</v>
      </c>
      <c r="B39" s="16" t="s">
        <v>33</v>
      </c>
      <c r="C39" s="17">
        <v>21000</v>
      </c>
      <c r="D39" s="18">
        <f>Sheet3!C35</f>
        <v>105</v>
      </c>
      <c r="E39" s="19">
        <v>21000</v>
      </c>
      <c r="F39" s="19">
        <v>21000</v>
      </c>
      <c r="G39" s="19">
        <v>21000</v>
      </c>
      <c r="H39" s="19">
        <v>21000</v>
      </c>
      <c r="I39" s="19">
        <v>21000</v>
      </c>
      <c r="J39" s="19">
        <v>21000</v>
      </c>
      <c r="K39" s="19">
        <v>21000</v>
      </c>
      <c r="L39" s="19">
        <v>21000</v>
      </c>
      <c r="M39" s="19">
        <v>21000</v>
      </c>
      <c r="N39" s="19">
        <v>21000</v>
      </c>
      <c r="O39" s="19">
        <v>21000</v>
      </c>
      <c r="P39" s="19">
        <v>21000</v>
      </c>
      <c r="Q39" s="19">
        <v>21000</v>
      </c>
      <c r="R39" s="19">
        <v>21000</v>
      </c>
      <c r="S39" s="19">
        <v>21000</v>
      </c>
      <c r="T39" s="19">
        <v>21000</v>
      </c>
      <c r="U39" s="19">
        <v>21000</v>
      </c>
      <c r="V39" s="19">
        <v>21000</v>
      </c>
      <c r="W39" s="19">
        <v>21000</v>
      </c>
      <c r="X39" s="19">
        <v>21000</v>
      </c>
      <c r="Y39" s="19">
        <v>21000</v>
      </c>
      <c r="Z39" s="19">
        <v>21000</v>
      </c>
      <c r="AA39" s="19">
        <v>21000</v>
      </c>
      <c r="AB39" s="19">
        <v>21000</v>
      </c>
      <c r="AC39" s="19">
        <v>21000</v>
      </c>
      <c r="AD39" s="19">
        <v>21000</v>
      </c>
      <c r="AE39" s="19">
        <v>21000</v>
      </c>
      <c r="AF39" s="19">
        <v>21000</v>
      </c>
      <c r="AG39" s="19">
        <v>21000</v>
      </c>
      <c r="AH39" s="19">
        <v>21000</v>
      </c>
      <c r="AI39" s="19">
        <v>21000</v>
      </c>
      <c r="AJ39" s="19">
        <v>21000</v>
      </c>
      <c r="AK39" s="19">
        <v>21000</v>
      </c>
      <c r="AL39" s="19">
        <v>21000</v>
      </c>
      <c r="AM39" s="19">
        <v>21000</v>
      </c>
      <c r="AN39" s="19">
        <v>21000</v>
      </c>
      <c r="AO39" s="19">
        <v>21000</v>
      </c>
      <c r="AP39" s="19">
        <v>21000</v>
      </c>
      <c r="AQ39" s="19">
        <v>21000</v>
      </c>
      <c r="AR39" s="19">
        <v>21000</v>
      </c>
      <c r="AS39" s="19">
        <v>21000</v>
      </c>
      <c r="AT39" s="19">
        <v>21000</v>
      </c>
      <c r="AU39" s="19">
        <v>21000</v>
      </c>
      <c r="AV39" s="19">
        <v>21000</v>
      </c>
      <c r="AW39" s="19">
        <v>21000</v>
      </c>
      <c r="AX39" s="19">
        <v>21000</v>
      </c>
      <c r="AY39" s="19">
        <v>21000</v>
      </c>
      <c r="AZ39" s="19">
        <v>21000</v>
      </c>
      <c r="BA39" s="19">
        <v>21000</v>
      </c>
      <c r="BB39" s="19">
        <v>21000</v>
      </c>
      <c r="BC39" s="19">
        <v>21000</v>
      </c>
      <c r="BD39" s="19">
        <v>21000</v>
      </c>
      <c r="BE39" s="19">
        <v>21000</v>
      </c>
      <c r="BF39" s="19">
        <v>21000</v>
      </c>
      <c r="BG39" s="19">
        <v>0</v>
      </c>
      <c r="BH39" s="19">
        <v>42000</v>
      </c>
      <c r="BI39" s="19">
        <v>0</v>
      </c>
      <c r="BJ39" s="19">
        <v>42000</v>
      </c>
      <c r="BK39" s="19">
        <v>21000</v>
      </c>
      <c r="BL39" s="19">
        <v>21000</v>
      </c>
      <c r="BM39" s="19">
        <v>21000</v>
      </c>
      <c r="BN39" s="19">
        <v>0</v>
      </c>
      <c r="BO39" s="19">
        <v>42000</v>
      </c>
      <c r="BP39" s="19">
        <v>21000</v>
      </c>
      <c r="BQ39" s="19">
        <v>21000</v>
      </c>
      <c r="BR39" s="19"/>
      <c r="BS39" s="19">
        <v>42000</v>
      </c>
      <c r="BT39" s="19">
        <v>21000</v>
      </c>
      <c r="BU39" s="19"/>
      <c r="BV39" s="19">
        <v>42000</v>
      </c>
      <c r="BW39" s="19">
        <v>0</v>
      </c>
      <c r="BX39" s="19">
        <v>42000</v>
      </c>
      <c r="BY39" s="19">
        <v>21000</v>
      </c>
      <c r="BZ39" s="19">
        <v>21000</v>
      </c>
      <c r="CA39" s="19">
        <v>0</v>
      </c>
      <c r="CB39" s="19">
        <v>0</v>
      </c>
      <c r="CC39" s="19">
        <v>63000</v>
      </c>
      <c r="CD39" s="19">
        <v>0</v>
      </c>
      <c r="CE39" s="19"/>
      <c r="CF39" s="19">
        <v>42000</v>
      </c>
      <c r="CG39" s="19">
        <v>21000</v>
      </c>
      <c r="CH39" s="19">
        <v>21000</v>
      </c>
      <c r="CI39" s="19">
        <v>0</v>
      </c>
      <c r="CJ39" s="19">
        <v>0</v>
      </c>
      <c r="CK39" s="19">
        <v>63000</v>
      </c>
      <c r="CL39" s="19">
        <v>0</v>
      </c>
      <c r="CM39" s="19">
        <v>0</v>
      </c>
      <c r="CN39" s="19">
        <v>42000</v>
      </c>
      <c r="CO39" s="19">
        <v>0</v>
      </c>
      <c r="CP39" s="19">
        <v>42000</v>
      </c>
      <c r="CQ39" s="24">
        <v>0</v>
      </c>
      <c r="CR39" s="19">
        <v>42000</v>
      </c>
      <c r="CS39" s="19">
        <v>0</v>
      </c>
      <c r="CT39" s="19">
        <v>42000</v>
      </c>
      <c r="CU39" s="19">
        <v>0</v>
      </c>
      <c r="CV39" s="19">
        <v>0</v>
      </c>
      <c r="CW39" s="19">
        <v>63000</v>
      </c>
      <c r="CX39" s="19">
        <v>0</v>
      </c>
      <c r="CY39" s="19">
        <v>0</v>
      </c>
      <c r="CZ39" s="19">
        <v>0</v>
      </c>
      <c r="DA39" s="19">
        <v>84000</v>
      </c>
      <c r="DB39" s="19">
        <v>0</v>
      </c>
      <c r="DC39" s="19">
        <v>0</v>
      </c>
      <c r="DD39" s="19">
        <v>0</v>
      </c>
      <c r="DE39" s="19">
        <v>0</v>
      </c>
      <c r="DF39" s="19">
        <v>84000</v>
      </c>
      <c r="DG39" s="19">
        <v>42000</v>
      </c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</row>
    <row r="40" spans="1:122" ht="15.75" customHeight="1" x14ac:dyDescent="0.3">
      <c r="A40" s="15">
        <v>34</v>
      </c>
      <c r="B40" s="16" t="s">
        <v>34</v>
      </c>
      <c r="C40" s="17">
        <v>21000</v>
      </c>
      <c r="D40" s="18">
        <f>Sheet3!C36</f>
        <v>108</v>
      </c>
      <c r="E40" s="19">
        <v>21000</v>
      </c>
      <c r="F40" s="19">
        <v>21000</v>
      </c>
      <c r="G40" s="19">
        <v>21000</v>
      </c>
      <c r="H40" s="19">
        <v>21000</v>
      </c>
      <c r="I40" s="19">
        <v>21000</v>
      </c>
      <c r="J40" s="19">
        <v>21000</v>
      </c>
      <c r="K40" s="19">
        <v>21000</v>
      </c>
      <c r="L40" s="19">
        <v>21000</v>
      </c>
      <c r="M40" s="19">
        <v>21000</v>
      </c>
      <c r="N40" s="19">
        <v>21000</v>
      </c>
      <c r="O40" s="19">
        <v>21000</v>
      </c>
      <c r="P40" s="19">
        <v>21000</v>
      </c>
      <c r="Q40" s="19">
        <v>21000</v>
      </c>
      <c r="R40" s="19">
        <v>21000</v>
      </c>
      <c r="S40" s="19">
        <v>21000</v>
      </c>
      <c r="T40" s="19">
        <v>21000</v>
      </c>
      <c r="U40" s="19">
        <v>21000</v>
      </c>
      <c r="V40" s="19">
        <v>21000</v>
      </c>
      <c r="W40" s="19">
        <v>21000</v>
      </c>
      <c r="X40" s="19">
        <v>21000</v>
      </c>
      <c r="Y40" s="19">
        <v>21000</v>
      </c>
      <c r="Z40" s="19">
        <v>21000</v>
      </c>
      <c r="AA40" s="19">
        <v>21000</v>
      </c>
      <c r="AB40" s="19">
        <v>0</v>
      </c>
      <c r="AC40" s="19">
        <v>42000</v>
      </c>
      <c r="AD40" s="19">
        <v>21000</v>
      </c>
      <c r="AE40" s="19">
        <v>21000</v>
      </c>
      <c r="AF40" s="19">
        <v>21000</v>
      </c>
      <c r="AG40" s="19">
        <v>21000</v>
      </c>
      <c r="AH40" s="19">
        <v>21000</v>
      </c>
      <c r="AI40" s="19">
        <v>21000</v>
      </c>
      <c r="AJ40" s="19">
        <v>21000</v>
      </c>
      <c r="AK40" s="19">
        <v>21000</v>
      </c>
      <c r="AL40" s="19">
        <v>21000</v>
      </c>
      <c r="AM40" s="19">
        <v>21000</v>
      </c>
      <c r="AN40" s="19">
        <v>21000</v>
      </c>
      <c r="AO40" s="19">
        <v>21000</v>
      </c>
      <c r="AP40" s="19">
        <v>21000</v>
      </c>
      <c r="AQ40" s="19">
        <v>21000</v>
      </c>
      <c r="AR40" s="19">
        <v>21000</v>
      </c>
      <c r="AS40" s="19">
        <v>21000</v>
      </c>
      <c r="AT40" s="19">
        <v>21000</v>
      </c>
      <c r="AU40" s="19">
        <v>21000</v>
      </c>
      <c r="AV40" s="19">
        <v>21000</v>
      </c>
      <c r="AW40" s="19">
        <v>21000</v>
      </c>
      <c r="AX40" s="19">
        <v>21000</v>
      </c>
      <c r="AY40" s="19">
        <v>21000</v>
      </c>
      <c r="AZ40" s="19">
        <v>21000</v>
      </c>
      <c r="BA40" s="19">
        <v>21000</v>
      </c>
      <c r="BB40" s="19">
        <v>21000</v>
      </c>
      <c r="BC40" s="19">
        <v>21000</v>
      </c>
      <c r="BD40" s="19">
        <v>21000</v>
      </c>
      <c r="BE40" s="19">
        <v>21000</v>
      </c>
      <c r="BF40" s="19">
        <v>21000</v>
      </c>
      <c r="BG40" s="19">
        <v>21000</v>
      </c>
      <c r="BH40" s="19">
        <v>21000</v>
      </c>
      <c r="BI40" s="19">
        <v>21000</v>
      </c>
      <c r="BJ40" s="19">
        <v>21000</v>
      </c>
      <c r="BK40" s="19">
        <v>21000</v>
      </c>
      <c r="BL40" s="19">
        <v>21000</v>
      </c>
      <c r="BM40" s="19">
        <v>21000</v>
      </c>
      <c r="BN40" s="19">
        <v>21000</v>
      </c>
      <c r="BO40" s="19">
        <v>21000</v>
      </c>
      <c r="BP40" s="19">
        <v>21000</v>
      </c>
      <c r="BQ40" s="19">
        <v>21000</v>
      </c>
      <c r="BR40" s="19">
        <v>21000</v>
      </c>
      <c r="BS40" s="19">
        <v>21000</v>
      </c>
      <c r="BT40" s="19">
        <v>21000</v>
      </c>
      <c r="BU40" s="19">
        <v>21000</v>
      </c>
      <c r="BV40" s="19">
        <v>21000</v>
      </c>
      <c r="BW40" s="19">
        <v>21000</v>
      </c>
      <c r="BX40" s="19">
        <v>21000</v>
      </c>
      <c r="BY40" s="19">
        <v>21000</v>
      </c>
      <c r="BZ40" s="19">
        <v>21000</v>
      </c>
      <c r="CA40" s="19">
        <v>21000</v>
      </c>
      <c r="CB40" s="19">
        <v>21000</v>
      </c>
      <c r="CC40" s="19">
        <v>21000</v>
      </c>
      <c r="CD40" s="19">
        <v>21000</v>
      </c>
      <c r="CE40" s="19">
        <v>21000</v>
      </c>
      <c r="CF40" s="19">
        <v>21000</v>
      </c>
      <c r="CG40" s="19">
        <v>21000</v>
      </c>
      <c r="CH40" s="19">
        <v>21000</v>
      </c>
      <c r="CI40" s="19">
        <v>21000</v>
      </c>
      <c r="CJ40" s="19">
        <v>21000</v>
      </c>
      <c r="CK40" s="19">
        <v>21000</v>
      </c>
      <c r="CL40" s="19">
        <v>21000</v>
      </c>
      <c r="CM40" s="19">
        <v>21000</v>
      </c>
      <c r="CN40" s="19">
        <v>21000</v>
      </c>
      <c r="CO40" s="19">
        <v>21000</v>
      </c>
      <c r="CP40" s="19">
        <v>21000</v>
      </c>
      <c r="CQ40" s="24">
        <v>21000</v>
      </c>
      <c r="CR40" s="19">
        <v>21000</v>
      </c>
      <c r="CS40" s="19">
        <v>21000</v>
      </c>
      <c r="CT40" s="19">
        <v>0</v>
      </c>
      <c r="CU40" s="19">
        <v>42000</v>
      </c>
      <c r="CV40" s="19">
        <v>21000</v>
      </c>
      <c r="CW40" s="19">
        <v>21000</v>
      </c>
      <c r="CX40" s="19">
        <v>21000</v>
      </c>
      <c r="CY40" s="19">
        <v>21000</v>
      </c>
      <c r="CZ40" s="19">
        <v>21000</v>
      </c>
      <c r="DA40" s="19">
        <v>21000</v>
      </c>
      <c r="DB40" s="19">
        <v>21000</v>
      </c>
      <c r="DC40" s="19">
        <v>21000</v>
      </c>
      <c r="DD40" s="19">
        <v>21000</v>
      </c>
      <c r="DE40" s="19">
        <v>21000</v>
      </c>
      <c r="DF40" s="19">
        <v>21000</v>
      </c>
      <c r="DG40" s="19">
        <v>21000</v>
      </c>
      <c r="DH40" s="19">
        <v>21000</v>
      </c>
      <c r="DI40" s="19"/>
      <c r="DJ40" s="19"/>
      <c r="DK40" s="19"/>
      <c r="DL40" s="19"/>
      <c r="DM40" s="19"/>
      <c r="DN40" s="19"/>
      <c r="DO40" s="19"/>
      <c r="DP40" s="19"/>
      <c r="DQ40" s="19"/>
      <c r="DR40" s="19"/>
    </row>
    <row r="41" spans="1:122" ht="15.75" customHeight="1" x14ac:dyDescent="0.3">
      <c r="A41" s="15">
        <v>35</v>
      </c>
      <c r="B41" s="16" t="s">
        <v>35</v>
      </c>
      <c r="C41" s="17">
        <v>21000</v>
      </c>
      <c r="D41" s="18">
        <f>Sheet3!C37</f>
        <v>101</v>
      </c>
      <c r="E41" s="19">
        <v>21000</v>
      </c>
      <c r="F41" s="19">
        <v>21000</v>
      </c>
      <c r="G41" s="19">
        <v>21000</v>
      </c>
      <c r="H41" s="19">
        <v>21000</v>
      </c>
      <c r="I41" s="19">
        <v>21000</v>
      </c>
      <c r="J41" s="19">
        <v>21000</v>
      </c>
      <c r="K41" s="19">
        <v>21000</v>
      </c>
      <c r="L41" s="19">
        <v>21000</v>
      </c>
      <c r="M41" s="19">
        <v>21000</v>
      </c>
      <c r="N41" s="19">
        <v>21000</v>
      </c>
      <c r="O41" s="19">
        <v>21000</v>
      </c>
      <c r="P41" s="19">
        <v>21000</v>
      </c>
      <c r="Q41" s="19">
        <v>21000</v>
      </c>
      <c r="R41" s="19">
        <v>21000</v>
      </c>
      <c r="S41" s="19">
        <v>21000</v>
      </c>
      <c r="T41" s="19">
        <v>21000</v>
      </c>
      <c r="U41" s="19">
        <v>21000</v>
      </c>
      <c r="V41" s="19">
        <v>21000</v>
      </c>
      <c r="W41" s="19">
        <v>21000</v>
      </c>
      <c r="X41" s="19">
        <v>21000</v>
      </c>
      <c r="Y41" s="19">
        <v>21000</v>
      </c>
      <c r="Z41" s="19">
        <v>21000</v>
      </c>
      <c r="AA41" s="19">
        <v>21000</v>
      </c>
      <c r="AB41" s="19">
        <v>21000</v>
      </c>
      <c r="AC41" s="19">
        <v>21000</v>
      </c>
      <c r="AD41" s="19">
        <v>21000</v>
      </c>
      <c r="AE41" s="19">
        <v>21000</v>
      </c>
      <c r="AF41" s="19">
        <v>21000</v>
      </c>
      <c r="AG41" s="19">
        <v>21000</v>
      </c>
      <c r="AH41" s="19">
        <v>21000</v>
      </c>
      <c r="AI41" s="19">
        <v>21000</v>
      </c>
      <c r="AJ41" s="19">
        <v>21000</v>
      </c>
      <c r="AK41" s="19">
        <v>21000</v>
      </c>
      <c r="AL41" s="19">
        <v>21000</v>
      </c>
      <c r="AM41" s="19">
        <v>21000</v>
      </c>
      <c r="AN41" s="19">
        <v>21000</v>
      </c>
      <c r="AO41" s="19">
        <v>21000</v>
      </c>
      <c r="AP41" s="19">
        <v>21000</v>
      </c>
      <c r="AQ41" s="19">
        <v>21000</v>
      </c>
      <c r="AR41" s="19">
        <v>0</v>
      </c>
      <c r="AS41" s="19">
        <v>42000</v>
      </c>
      <c r="AT41" s="19">
        <v>21000</v>
      </c>
      <c r="AU41" s="19">
        <v>21000</v>
      </c>
      <c r="AV41" s="19">
        <v>21000</v>
      </c>
      <c r="AW41" s="19">
        <v>21000</v>
      </c>
      <c r="AX41" s="19">
        <v>21000</v>
      </c>
      <c r="AY41" s="19">
        <v>21000</v>
      </c>
      <c r="AZ41" s="19">
        <v>21000</v>
      </c>
      <c r="BA41" s="19">
        <v>21000</v>
      </c>
      <c r="BB41" s="19">
        <v>21000</v>
      </c>
      <c r="BC41" s="19">
        <v>21000</v>
      </c>
      <c r="BD41" s="19">
        <v>21000</v>
      </c>
      <c r="BE41" s="19">
        <v>0</v>
      </c>
      <c r="BF41" s="19">
        <v>21000</v>
      </c>
      <c r="BG41" s="19">
        <v>21000</v>
      </c>
      <c r="BH41" s="19">
        <v>42000</v>
      </c>
      <c r="BI41" s="19">
        <v>0</v>
      </c>
      <c r="BJ41" s="19">
        <v>21000</v>
      </c>
      <c r="BK41" s="19">
        <v>21000</v>
      </c>
      <c r="BL41" s="19">
        <v>21000</v>
      </c>
      <c r="BM41" s="19">
        <v>21000</v>
      </c>
      <c r="BN41" s="19">
        <v>21000</v>
      </c>
      <c r="BO41" s="19">
        <v>21000</v>
      </c>
      <c r="BP41" s="19">
        <v>21000</v>
      </c>
      <c r="BQ41" s="19"/>
      <c r="BR41" s="19">
        <v>42000</v>
      </c>
      <c r="BS41" s="19">
        <v>21000</v>
      </c>
      <c r="BT41" s="19"/>
      <c r="BU41" s="19">
        <v>42000</v>
      </c>
      <c r="BV41" s="19">
        <v>21000</v>
      </c>
      <c r="BW41" s="19">
        <v>0</v>
      </c>
      <c r="BX41" s="19">
        <v>21000</v>
      </c>
      <c r="BY41" s="19">
        <v>21000</v>
      </c>
      <c r="BZ41" s="19">
        <v>21000</v>
      </c>
      <c r="CA41" s="19">
        <v>0</v>
      </c>
      <c r="CB41" s="19">
        <v>42000</v>
      </c>
      <c r="CC41" s="19">
        <v>21000</v>
      </c>
      <c r="CD41" s="19">
        <v>0</v>
      </c>
      <c r="CE41" s="19">
        <v>42000</v>
      </c>
      <c r="CF41" s="19">
        <v>0</v>
      </c>
      <c r="CG41" s="19">
        <v>0</v>
      </c>
      <c r="CH41" s="19">
        <v>42000</v>
      </c>
      <c r="CI41" s="19">
        <v>42000</v>
      </c>
      <c r="CJ41" s="19">
        <v>21000</v>
      </c>
      <c r="CK41" s="19">
        <v>21000</v>
      </c>
      <c r="CL41" s="19">
        <v>21000</v>
      </c>
      <c r="CM41" s="19">
        <v>0</v>
      </c>
      <c r="CN41" s="19">
        <v>0</v>
      </c>
      <c r="CO41" s="19">
        <v>0</v>
      </c>
      <c r="CP41" s="19">
        <v>42000</v>
      </c>
      <c r="CQ41" s="24">
        <v>0</v>
      </c>
      <c r="CR41" s="19">
        <v>21000</v>
      </c>
      <c r="CS41" s="19">
        <v>21000</v>
      </c>
      <c r="CT41" s="19">
        <v>42000</v>
      </c>
      <c r="CU41" s="19">
        <v>0</v>
      </c>
      <c r="CV41" s="19">
        <v>42000</v>
      </c>
      <c r="CW41" s="19">
        <v>0</v>
      </c>
      <c r="CX41" s="19">
        <v>42000</v>
      </c>
      <c r="CY41" s="19">
        <v>21000</v>
      </c>
      <c r="CZ41" s="19">
        <v>0</v>
      </c>
      <c r="DA41" s="19">
        <v>42000</v>
      </c>
      <c r="DB41" s="19">
        <v>0</v>
      </c>
      <c r="DC41" s="19">
        <v>0</v>
      </c>
      <c r="DD41" s="19">
        <v>42000</v>
      </c>
      <c r="DE41" s="19">
        <v>0</v>
      </c>
      <c r="DF41" s="19">
        <v>0</v>
      </c>
      <c r="DG41" s="19">
        <v>42000</v>
      </c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</row>
    <row r="42" spans="1:122" ht="15.75" customHeight="1" x14ac:dyDescent="0.3">
      <c r="A42" s="15">
        <v>36</v>
      </c>
      <c r="B42" s="16" t="s">
        <v>36</v>
      </c>
      <c r="C42" s="17">
        <v>21000</v>
      </c>
      <c r="D42" s="18">
        <f>Sheet3!C38</f>
        <v>107</v>
      </c>
      <c r="E42" s="19">
        <v>21000</v>
      </c>
      <c r="F42" s="19">
        <v>21000</v>
      </c>
      <c r="G42" s="19">
        <v>21000</v>
      </c>
      <c r="H42" s="19">
        <v>21000</v>
      </c>
      <c r="I42" s="19">
        <v>21000</v>
      </c>
      <c r="J42" s="19">
        <v>21000</v>
      </c>
      <c r="K42" s="19">
        <v>21000</v>
      </c>
      <c r="L42" s="19">
        <v>21000</v>
      </c>
      <c r="M42" s="19">
        <v>21000</v>
      </c>
      <c r="N42" s="19">
        <v>21000</v>
      </c>
      <c r="O42" s="19">
        <v>21000</v>
      </c>
      <c r="P42" s="19">
        <v>21000</v>
      </c>
      <c r="Q42" s="19">
        <v>21000</v>
      </c>
      <c r="R42" s="19">
        <v>21000</v>
      </c>
      <c r="S42" s="19">
        <v>21000</v>
      </c>
      <c r="T42" s="19">
        <v>21000</v>
      </c>
      <c r="U42" s="19">
        <v>21000</v>
      </c>
      <c r="V42" s="19">
        <v>21000</v>
      </c>
      <c r="W42" s="19">
        <v>21000</v>
      </c>
      <c r="X42" s="19">
        <v>21000</v>
      </c>
      <c r="Y42" s="19">
        <v>21000</v>
      </c>
      <c r="Z42" s="19">
        <v>21000</v>
      </c>
      <c r="AA42" s="19">
        <v>21000</v>
      </c>
      <c r="AB42" s="19">
        <v>21000</v>
      </c>
      <c r="AC42" s="19">
        <v>21000</v>
      </c>
      <c r="AD42" s="19">
        <v>21000</v>
      </c>
      <c r="AE42" s="19">
        <v>21000</v>
      </c>
      <c r="AF42" s="19">
        <v>21000</v>
      </c>
      <c r="AG42" s="19">
        <v>21000</v>
      </c>
      <c r="AH42" s="19">
        <v>0</v>
      </c>
      <c r="AI42" s="19">
        <v>42000</v>
      </c>
      <c r="AJ42" s="19">
        <v>21000</v>
      </c>
      <c r="AK42" s="19">
        <v>21000</v>
      </c>
      <c r="AL42" s="19">
        <v>0</v>
      </c>
      <c r="AM42" s="19">
        <v>42000</v>
      </c>
      <c r="AN42" s="19">
        <v>21000</v>
      </c>
      <c r="AO42" s="19">
        <v>21000</v>
      </c>
      <c r="AP42" s="19">
        <v>21000</v>
      </c>
      <c r="AQ42" s="19">
        <v>21000</v>
      </c>
      <c r="AR42" s="19">
        <v>21000</v>
      </c>
      <c r="AS42" s="19">
        <v>0</v>
      </c>
      <c r="AT42" s="19">
        <v>42000</v>
      </c>
      <c r="AU42" s="19">
        <v>0</v>
      </c>
      <c r="AV42" s="19">
        <v>42000</v>
      </c>
      <c r="AW42" s="19">
        <v>0</v>
      </c>
      <c r="AX42" s="19">
        <v>42000</v>
      </c>
      <c r="AY42" s="19">
        <v>0</v>
      </c>
      <c r="AZ42" s="19">
        <v>42000</v>
      </c>
      <c r="BA42" s="19">
        <v>21000</v>
      </c>
      <c r="BB42" s="19">
        <v>0</v>
      </c>
      <c r="BC42" s="19">
        <v>42000</v>
      </c>
      <c r="BD42" s="19">
        <v>21000</v>
      </c>
      <c r="BE42" s="19">
        <v>21000</v>
      </c>
      <c r="BF42" s="19">
        <v>0</v>
      </c>
      <c r="BG42" s="19">
        <v>42000</v>
      </c>
      <c r="BH42" s="19">
        <v>0</v>
      </c>
      <c r="BI42" s="19">
        <v>42000</v>
      </c>
      <c r="BJ42" s="19">
        <v>0</v>
      </c>
      <c r="BK42" s="19">
        <v>42000</v>
      </c>
      <c r="BL42" s="19">
        <v>0</v>
      </c>
      <c r="BM42" s="19">
        <v>0</v>
      </c>
      <c r="BN42" s="19">
        <v>0</v>
      </c>
      <c r="BO42" s="19">
        <v>105000</v>
      </c>
      <c r="BP42" s="19">
        <v>0</v>
      </c>
      <c r="BQ42" s="19">
        <v>21000</v>
      </c>
      <c r="BR42" s="19">
        <v>0</v>
      </c>
      <c r="BS42" s="19">
        <v>0</v>
      </c>
      <c r="BT42" s="19">
        <v>42000</v>
      </c>
      <c r="BU42" s="19">
        <v>42000</v>
      </c>
      <c r="BV42" s="19">
        <v>21000</v>
      </c>
      <c r="BW42" s="19">
        <v>21000</v>
      </c>
      <c r="BX42" s="19">
        <v>0</v>
      </c>
      <c r="BY42" s="19">
        <v>42000</v>
      </c>
      <c r="BZ42" s="19">
        <v>0</v>
      </c>
      <c r="CA42" s="19">
        <v>42000</v>
      </c>
      <c r="CB42" s="19">
        <v>21000</v>
      </c>
      <c r="CC42" s="19">
        <v>0</v>
      </c>
      <c r="CD42" s="19">
        <v>42000</v>
      </c>
      <c r="CE42" s="19">
        <v>0</v>
      </c>
      <c r="CF42" s="19">
        <v>42000</v>
      </c>
      <c r="CG42" s="19">
        <v>0</v>
      </c>
      <c r="CH42" s="19">
        <v>42000</v>
      </c>
      <c r="CI42" s="19">
        <v>0</v>
      </c>
      <c r="CJ42" s="19">
        <v>42000</v>
      </c>
      <c r="CK42" s="19">
        <v>0</v>
      </c>
      <c r="CL42" s="19">
        <v>42000</v>
      </c>
      <c r="CM42" s="19">
        <v>0</v>
      </c>
      <c r="CN42" s="19">
        <v>42000</v>
      </c>
      <c r="CO42" s="19">
        <v>21000</v>
      </c>
      <c r="CP42" s="19">
        <v>21000</v>
      </c>
      <c r="CQ42" s="24">
        <v>21000</v>
      </c>
      <c r="CR42" s="19">
        <v>0</v>
      </c>
      <c r="CS42" s="19">
        <v>0</v>
      </c>
      <c r="CT42" s="19">
        <v>42000</v>
      </c>
      <c r="CU42" s="19">
        <v>42000</v>
      </c>
      <c r="CV42" s="19">
        <v>0</v>
      </c>
      <c r="CW42" s="19">
        <v>0</v>
      </c>
      <c r="CX42" s="19">
        <v>42000</v>
      </c>
      <c r="CY42" s="19">
        <v>0</v>
      </c>
      <c r="CZ42" s="19">
        <v>63000</v>
      </c>
      <c r="DA42" s="19">
        <v>0</v>
      </c>
      <c r="DB42" s="19">
        <v>0</v>
      </c>
      <c r="DC42" s="19">
        <v>63000</v>
      </c>
      <c r="DD42" s="19">
        <v>0</v>
      </c>
      <c r="DE42" s="19">
        <v>42000</v>
      </c>
      <c r="DF42" s="19">
        <v>0</v>
      </c>
      <c r="DG42" s="19">
        <v>42000</v>
      </c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</row>
    <row r="43" spans="1:122" ht="15.75" customHeight="1" x14ac:dyDescent="0.3">
      <c r="A43" s="15">
        <v>37</v>
      </c>
      <c r="B43" s="16" t="s">
        <v>25</v>
      </c>
      <c r="C43" s="17">
        <v>21000</v>
      </c>
      <c r="D43" s="18">
        <f>Sheet3!C39</f>
        <v>107</v>
      </c>
      <c r="E43" s="19">
        <v>21000</v>
      </c>
      <c r="F43" s="19">
        <v>21000</v>
      </c>
      <c r="G43" s="19">
        <v>21000</v>
      </c>
      <c r="H43" s="19">
        <v>21000</v>
      </c>
      <c r="I43" s="19">
        <v>21000</v>
      </c>
      <c r="J43" s="19">
        <v>21000</v>
      </c>
      <c r="K43" s="19">
        <v>21000</v>
      </c>
      <c r="L43" s="19">
        <v>21000</v>
      </c>
      <c r="M43" s="19">
        <v>21000</v>
      </c>
      <c r="N43" s="19">
        <v>21000</v>
      </c>
      <c r="O43" s="19">
        <v>21000</v>
      </c>
      <c r="P43" s="19">
        <v>21000</v>
      </c>
      <c r="Q43" s="19">
        <v>21000</v>
      </c>
      <c r="R43" s="19">
        <v>21000</v>
      </c>
      <c r="S43" s="19">
        <v>21000</v>
      </c>
      <c r="T43" s="19">
        <v>21000</v>
      </c>
      <c r="U43" s="19">
        <v>21000</v>
      </c>
      <c r="V43" s="19">
        <v>21000</v>
      </c>
      <c r="W43" s="19">
        <v>21000</v>
      </c>
      <c r="X43" s="19">
        <v>21000</v>
      </c>
      <c r="Y43" s="19">
        <v>21000</v>
      </c>
      <c r="Z43" s="19">
        <v>0</v>
      </c>
      <c r="AA43" s="19">
        <v>42000</v>
      </c>
      <c r="AB43" s="19">
        <v>0</v>
      </c>
      <c r="AC43" s="19">
        <v>42000</v>
      </c>
      <c r="AD43" s="19">
        <v>0</v>
      </c>
      <c r="AE43" s="19">
        <v>42000</v>
      </c>
      <c r="AF43" s="19">
        <v>21000</v>
      </c>
      <c r="AG43" s="19">
        <v>21000</v>
      </c>
      <c r="AH43" s="19">
        <v>21000</v>
      </c>
      <c r="AI43" s="19">
        <v>21000</v>
      </c>
      <c r="AJ43" s="19">
        <v>21000</v>
      </c>
      <c r="AK43" s="19">
        <v>21000</v>
      </c>
      <c r="AL43" s="19">
        <v>21000</v>
      </c>
      <c r="AM43" s="19">
        <v>21000</v>
      </c>
      <c r="AN43" s="19">
        <v>21000</v>
      </c>
      <c r="AO43" s="19">
        <v>21000</v>
      </c>
      <c r="AP43" s="19">
        <v>21000</v>
      </c>
      <c r="AQ43" s="19">
        <v>0</v>
      </c>
      <c r="AR43" s="19">
        <v>42000</v>
      </c>
      <c r="AS43" s="19">
        <v>21000</v>
      </c>
      <c r="AT43" s="19">
        <v>21000</v>
      </c>
      <c r="AU43" s="19">
        <v>0</v>
      </c>
      <c r="AV43" s="19">
        <v>0</v>
      </c>
      <c r="AW43" s="19">
        <v>63000</v>
      </c>
      <c r="AX43" s="19">
        <v>21000</v>
      </c>
      <c r="AY43" s="19">
        <v>21000</v>
      </c>
      <c r="AZ43" s="19">
        <v>21000</v>
      </c>
      <c r="BA43" s="19">
        <v>21000</v>
      </c>
      <c r="BB43" s="19">
        <v>0</v>
      </c>
      <c r="BC43" s="19">
        <v>42000</v>
      </c>
      <c r="BD43" s="19">
        <v>21000</v>
      </c>
      <c r="BE43" s="19">
        <v>21000</v>
      </c>
      <c r="BF43" s="19">
        <v>21000</v>
      </c>
      <c r="BG43" s="19">
        <v>21000</v>
      </c>
      <c r="BH43" s="19">
        <v>21000</v>
      </c>
      <c r="BI43" s="19">
        <v>21000</v>
      </c>
      <c r="BJ43" s="19">
        <v>0</v>
      </c>
      <c r="BK43" s="19">
        <v>42000</v>
      </c>
      <c r="BL43" s="19">
        <v>21000</v>
      </c>
      <c r="BM43" s="19">
        <v>21000</v>
      </c>
      <c r="BN43" s="19">
        <v>0</v>
      </c>
      <c r="BO43" s="19">
        <v>0</v>
      </c>
      <c r="BP43" s="19">
        <v>63000</v>
      </c>
      <c r="BQ43" s="19">
        <v>21000</v>
      </c>
      <c r="BR43" s="19">
        <v>21000</v>
      </c>
      <c r="BS43" s="19"/>
      <c r="BT43" s="19">
        <v>42000</v>
      </c>
      <c r="BU43" s="19">
        <v>21000</v>
      </c>
      <c r="BV43" s="19">
        <v>0</v>
      </c>
      <c r="BW43" s="19">
        <v>42000</v>
      </c>
      <c r="BX43" s="19">
        <v>0</v>
      </c>
      <c r="BY43" s="19">
        <v>42000</v>
      </c>
      <c r="BZ43" s="19">
        <v>0</v>
      </c>
      <c r="CA43" s="19">
        <v>42000</v>
      </c>
      <c r="CB43" s="19">
        <v>21000</v>
      </c>
      <c r="CC43" s="19">
        <v>0</v>
      </c>
      <c r="CD43" s="19">
        <v>0</v>
      </c>
      <c r="CE43" s="19">
        <v>63000</v>
      </c>
      <c r="CF43" s="19">
        <v>0</v>
      </c>
      <c r="CG43" s="19">
        <v>42000</v>
      </c>
      <c r="CH43" s="19">
        <v>21000</v>
      </c>
      <c r="CI43" s="19">
        <v>0</v>
      </c>
      <c r="CJ43" s="19">
        <v>42000</v>
      </c>
      <c r="CK43" s="19">
        <v>21000</v>
      </c>
      <c r="CL43" s="19">
        <v>21000</v>
      </c>
      <c r="CM43" s="19">
        <v>21000</v>
      </c>
      <c r="CN43" s="19">
        <v>21000</v>
      </c>
      <c r="CO43" s="19">
        <v>0</v>
      </c>
      <c r="CP43" s="19">
        <v>42000</v>
      </c>
      <c r="CQ43" s="24">
        <v>0</v>
      </c>
      <c r="CR43" s="19">
        <v>42000</v>
      </c>
      <c r="CS43" s="19">
        <v>21000</v>
      </c>
      <c r="CT43" s="19">
        <v>21000</v>
      </c>
      <c r="CU43" s="19">
        <v>0</v>
      </c>
      <c r="CV43" s="19">
        <v>0</v>
      </c>
      <c r="CW43" s="19">
        <v>63000</v>
      </c>
      <c r="CX43" s="19">
        <v>21000</v>
      </c>
      <c r="CY43" s="19">
        <v>21000</v>
      </c>
      <c r="CZ43" s="19">
        <v>21000</v>
      </c>
      <c r="DA43" s="19">
        <v>21000</v>
      </c>
      <c r="DB43" s="19">
        <v>21000</v>
      </c>
      <c r="DC43" s="19">
        <v>0</v>
      </c>
      <c r="DD43" s="19">
        <v>42000</v>
      </c>
      <c r="DE43" s="19">
        <v>0</v>
      </c>
      <c r="DF43" s="19">
        <v>42000</v>
      </c>
      <c r="DG43" s="19">
        <v>21000</v>
      </c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</row>
    <row r="44" spans="1:122" ht="15.75" customHeight="1" x14ac:dyDescent="0.3">
      <c r="A44" s="15">
        <v>38</v>
      </c>
      <c r="B44" s="16" t="s">
        <v>37</v>
      </c>
      <c r="C44" s="17">
        <v>21000</v>
      </c>
      <c r="D44" s="18">
        <f>Sheet3!C40</f>
        <v>104</v>
      </c>
      <c r="E44" s="19">
        <v>21000</v>
      </c>
      <c r="F44" s="19">
        <v>21000</v>
      </c>
      <c r="G44" s="19">
        <v>21000</v>
      </c>
      <c r="H44" s="19">
        <v>21000</v>
      </c>
      <c r="I44" s="19">
        <v>21000</v>
      </c>
      <c r="J44" s="19">
        <v>21000</v>
      </c>
      <c r="K44" s="19">
        <v>21000</v>
      </c>
      <c r="L44" s="19">
        <v>21000</v>
      </c>
      <c r="M44" s="19">
        <v>21000</v>
      </c>
      <c r="N44" s="19">
        <v>21000</v>
      </c>
      <c r="O44" s="19">
        <v>21000</v>
      </c>
      <c r="P44" s="19">
        <v>21000</v>
      </c>
      <c r="Q44" s="19">
        <v>21000</v>
      </c>
      <c r="R44" s="19">
        <v>21000</v>
      </c>
      <c r="S44" s="19">
        <v>21000</v>
      </c>
      <c r="T44" s="19">
        <v>21000</v>
      </c>
      <c r="U44" s="19">
        <v>21000</v>
      </c>
      <c r="V44" s="19">
        <v>21000</v>
      </c>
      <c r="W44" s="19">
        <v>21000</v>
      </c>
      <c r="X44" s="19">
        <v>21000</v>
      </c>
      <c r="Y44" s="19">
        <v>21000</v>
      </c>
      <c r="Z44" s="19">
        <v>21000</v>
      </c>
      <c r="AA44" s="19">
        <v>21000</v>
      </c>
      <c r="AB44" s="19">
        <v>21000</v>
      </c>
      <c r="AC44" s="19">
        <v>21000</v>
      </c>
      <c r="AD44" s="19">
        <v>21000</v>
      </c>
      <c r="AE44" s="19">
        <v>21000</v>
      </c>
      <c r="AF44" s="19">
        <v>21000</v>
      </c>
      <c r="AG44" s="19">
        <v>21000</v>
      </c>
      <c r="AH44" s="19">
        <v>21000</v>
      </c>
      <c r="AI44" s="19">
        <v>21000</v>
      </c>
      <c r="AJ44" s="19">
        <v>21000</v>
      </c>
      <c r="AK44" s="19">
        <v>21000</v>
      </c>
      <c r="AL44" s="19">
        <v>21000</v>
      </c>
      <c r="AM44" s="19">
        <v>21000</v>
      </c>
      <c r="AN44" s="19">
        <v>21000</v>
      </c>
      <c r="AO44" s="19">
        <v>21000</v>
      </c>
      <c r="AP44" s="19">
        <v>21000</v>
      </c>
      <c r="AQ44" s="19">
        <v>21000</v>
      </c>
      <c r="AR44" s="19">
        <v>21000</v>
      </c>
      <c r="AS44" s="19">
        <v>21000</v>
      </c>
      <c r="AT44" s="19">
        <v>21000</v>
      </c>
      <c r="AU44" s="19">
        <v>21000</v>
      </c>
      <c r="AV44" s="19">
        <v>21000</v>
      </c>
      <c r="AW44" s="19">
        <v>21000</v>
      </c>
      <c r="AX44" s="19">
        <v>21000</v>
      </c>
      <c r="AY44" s="19">
        <v>21000</v>
      </c>
      <c r="AZ44" s="19">
        <v>21000</v>
      </c>
      <c r="BA44" s="19">
        <v>21000</v>
      </c>
      <c r="BB44" s="19">
        <v>21000</v>
      </c>
      <c r="BC44" s="19">
        <v>21000</v>
      </c>
      <c r="BD44" s="19">
        <v>21000</v>
      </c>
      <c r="BE44" s="19">
        <v>21000</v>
      </c>
      <c r="BF44" s="19">
        <v>21000</v>
      </c>
      <c r="BG44" s="19">
        <v>21000</v>
      </c>
      <c r="BH44" s="19">
        <v>21000</v>
      </c>
      <c r="BI44" s="19">
        <v>21000</v>
      </c>
      <c r="BJ44" s="19">
        <v>21000</v>
      </c>
      <c r="BK44" s="19">
        <v>21000</v>
      </c>
      <c r="BL44" s="19">
        <v>21000</v>
      </c>
      <c r="BM44" s="19">
        <v>21000</v>
      </c>
      <c r="BN44" s="19">
        <v>21000</v>
      </c>
      <c r="BO44" s="19">
        <v>21000</v>
      </c>
      <c r="BP44" s="19">
        <v>21000</v>
      </c>
      <c r="BQ44" s="19">
        <v>21000</v>
      </c>
      <c r="BR44" s="19">
        <v>21000</v>
      </c>
      <c r="BS44" s="19">
        <v>21000</v>
      </c>
      <c r="BT44" s="19">
        <v>21000</v>
      </c>
      <c r="BU44" s="19">
        <v>21000</v>
      </c>
      <c r="BV44" s="19">
        <v>21000</v>
      </c>
      <c r="BW44" s="19">
        <v>21000</v>
      </c>
      <c r="BX44" s="19">
        <v>21000</v>
      </c>
      <c r="BY44" s="19">
        <v>21000</v>
      </c>
      <c r="BZ44" s="19">
        <v>21000</v>
      </c>
      <c r="CA44" s="19">
        <v>21000</v>
      </c>
      <c r="CB44" s="19">
        <v>21000</v>
      </c>
      <c r="CC44" s="19">
        <v>21000</v>
      </c>
      <c r="CD44" s="19">
        <v>0</v>
      </c>
      <c r="CE44" s="19">
        <v>42000</v>
      </c>
      <c r="CF44" s="19">
        <v>21000</v>
      </c>
      <c r="CG44" s="19">
        <v>21000</v>
      </c>
      <c r="CH44" s="19">
        <v>21000</v>
      </c>
      <c r="CI44" s="19">
        <v>21000</v>
      </c>
      <c r="CJ44" s="19">
        <v>21000</v>
      </c>
      <c r="CK44" s="19">
        <v>21000</v>
      </c>
      <c r="CL44" s="19">
        <v>21000</v>
      </c>
      <c r="CM44" s="19">
        <v>21000</v>
      </c>
      <c r="CN44" s="19">
        <v>21000</v>
      </c>
      <c r="CO44" s="19">
        <v>21000</v>
      </c>
      <c r="CP44" s="19">
        <v>21000</v>
      </c>
      <c r="CQ44" s="24">
        <v>21000</v>
      </c>
      <c r="CR44" s="19">
        <v>21000</v>
      </c>
      <c r="CS44" s="19">
        <v>21000</v>
      </c>
      <c r="CT44" s="19">
        <v>21000</v>
      </c>
      <c r="CU44" s="19">
        <v>21000</v>
      </c>
      <c r="CV44" s="19">
        <v>21000</v>
      </c>
      <c r="CW44" s="19">
        <v>21000</v>
      </c>
      <c r="CX44" s="19">
        <v>0</v>
      </c>
      <c r="CY44" s="19">
        <v>21000</v>
      </c>
      <c r="CZ44" s="19">
        <v>0</v>
      </c>
      <c r="DA44" s="19">
        <v>0</v>
      </c>
      <c r="DB44" s="19">
        <v>21000</v>
      </c>
      <c r="DC44" s="19">
        <v>21000</v>
      </c>
      <c r="DD44" s="19">
        <v>0</v>
      </c>
      <c r="DE44" s="19">
        <v>21000</v>
      </c>
      <c r="DF44" s="19">
        <v>21000</v>
      </c>
      <c r="DG44" s="19">
        <v>21000</v>
      </c>
      <c r="DH44" s="19">
        <v>21000</v>
      </c>
      <c r="DI44" s="19"/>
      <c r="DJ44" s="19"/>
      <c r="DK44" s="19"/>
      <c r="DL44" s="19"/>
      <c r="DM44" s="19"/>
      <c r="DN44" s="19"/>
      <c r="DO44" s="19"/>
      <c r="DP44" s="19"/>
      <c r="DQ44" s="19"/>
      <c r="DR44" s="19"/>
    </row>
    <row r="45" spans="1:122" ht="15.75" customHeight="1" x14ac:dyDescent="0.3">
      <c r="A45" s="15">
        <v>39</v>
      </c>
      <c r="B45" s="16" t="s">
        <v>10</v>
      </c>
      <c r="C45" s="17">
        <v>21000</v>
      </c>
      <c r="D45" s="18">
        <f>Sheet3!C41</f>
        <v>108</v>
      </c>
      <c r="E45" s="19">
        <v>21000</v>
      </c>
      <c r="F45" s="19">
        <v>21000</v>
      </c>
      <c r="G45" s="19">
        <v>21000</v>
      </c>
      <c r="H45" s="19">
        <v>21000</v>
      </c>
      <c r="I45" s="19">
        <v>21000</v>
      </c>
      <c r="J45" s="19">
        <v>21000</v>
      </c>
      <c r="K45" s="19">
        <v>21000</v>
      </c>
      <c r="L45" s="19">
        <v>21000</v>
      </c>
      <c r="M45" s="19">
        <v>21000</v>
      </c>
      <c r="N45" s="19">
        <v>21000</v>
      </c>
      <c r="O45" s="19">
        <v>21000</v>
      </c>
      <c r="P45" s="19">
        <v>21000</v>
      </c>
      <c r="Q45" s="19">
        <v>21000</v>
      </c>
      <c r="R45" s="19">
        <v>21000</v>
      </c>
      <c r="S45" s="19">
        <v>21000</v>
      </c>
      <c r="T45" s="19">
        <v>21000</v>
      </c>
      <c r="U45" s="19">
        <v>21000</v>
      </c>
      <c r="V45" s="19">
        <v>21000</v>
      </c>
      <c r="W45" s="19">
        <v>21000</v>
      </c>
      <c r="X45" s="19">
        <v>21000</v>
      </c>
      <c r="Y45" s="19">
        <v>21000</v>
      </c>
      <c r="Z45" s="19">
        <v>21000</v>
      </c>
      <c r="AA45" s="19">
        <v>21000</v>
      </c>
      <c r="AB45" s="19">
        <v>21000</v>
      </c>
      <c r="AC45" s="19">
        <v>21000</v>
      </c>
      <c r="AD45" s="19">
        <v>21000</v>
      </c>
      <c r="AE45" s="19">
        <v>21000</v>
      </c>
      <c r="AF45" s="19">
        <v>21000</v>
      </c>
      <c r="AG45" s="19">
        <v>21000</v>
      </c>
      <c r="AH45" s="19">
        <v>21000</v>
      </c>
      <c r="AI45" s="19">
        <v>21000</v>
      </c>
      <c r="AJ45" s="19">
        <v>21000</v>
      </c>
      <c r="AK45" s="19">
        <v>21000</v>
      </c>
      <c r="AL45" s="19">
        <v>21000</v>
      </c>
      <c r="AM45" s="19">
        <v>21000</v>
      </c>
      <c r="AN45" s="19">
        <v>21000</v>
      </c>
      <c r="AO45" s="19">
        <v>21000</v>
      </c>
      <c r="AP45" s="19">
        <v>21000</v>
      </c>
      <c r="AQ45" s="19">
        <v>21000</v>
      </c>
      <c r="AR45" s="19">
        <v>21000</v>
      </c>
      <c r="AS45" s="19">
        <v>21000</v>
      </c>
      <c r="AT45" s="19">
        <v>21000</v>
      </c>
      <c r="AU45" s="19">
        <v>21000</v>
      </c>
      <c r="AV45" s="19">
        <v>21000</v>
      </c>
      <c r="AW45" s="19">
        <v>21000</v>
      </c>
      <c r="AX45" s="19">
        <v>21000</v>
      </c>
      <c r="AY45" s="19">
        <v>21000</v>
      </c>
      <c r="AZ45" s="19">
        <v>21000</v>
      </c>
      <c r="BA45" s="19">
        <v>21000</v>
      </c>
      <c r="BB45" s="19">
        <v>21000</v>
      </c>
      <c r="BC45" s="19">
        <v>21000</v>
      </c>
      <c r="BD45" s="19">
        <v>21000</v>
      </c>
      <c r="BE45" s="19">
        <v>21000</v>
      </c>
      <c r="BF45" s="19">
        <v>21000</v>
      </c>
      <c r="BG45" s="19">
        <v>21000</v>
      </c>
      <c r="BH45" s="19">
        <v>21000</v>
      </c>
      <c r="BI45" s="19">
        <v>21000</v>
      </c>
      <c r="BJ45" s="19">
        <v>21000</v>
      </c>
      <c r="BK45" s="19">
        <v>21000</v>
      </c>
      <c r="BL45" s="19">
        <v>21000</v>
      </c>
      <c r="BM45" s="19">
        <v>21000</v>
      </c>
      <c r="BN45" s="19">
        <v>21000</v>
      </c>
      <c r="BO45" s="19">
        <v>21000</v>
      </c>
      <c r="BP45" s="19">
        <v>21000</v>
      </c>
      <c r="BQ45" s="19">
        <v>21000</v>
      </c>
      <c r="BR45" s="19">
        <v>21000</v>
      </c>
      <c r="BS45" s="19">
        <v>21000</v>
      </c>
      <c r="BT45" s="19">
        <v>21000</v>
      </c>
      <c r="BU45" s="19">
        <v>21000</v>
      </c>
      <c r="BV45" s="19">
        <v>21000</v>
      </c>
      <c r="BW45" s="19">
        <v>21000</v>
      </c>
      <c r="BX45" s="19">
        <v>21000</v>
      </c>
      <c r="BY45" s="19">
        <v>21000</v>
      </c>
      <c r="BZ45" s="19">
        <v>21000</v>
      </c>
      <c r="CA45" s="19">
        <v>21000</v>
      </c>
      <c r="CB45" s="19">
        <v>21000</v>
      </c>
      <c r="CC45" s="19">
        <v>21000</v>
      </c>
      <c r="CD45" s="19">
        <v>21000</v>
      </c>
      <c r="CE45" s="19">
        <v>21000</v>
      </c>
      <c r="CF45" s="19">
        <v>21000</v>
      </c>
      <c r="CG45" s="19">
        <v>21000</v>
      </c>
      <c r="CH45" s="19">
        <v>21000</v>
      </c>
      <c r="CI45" s="19">
        <v>21000</v>
      </c>
      <c r="CJ45" s="19">
        <v>21000</v>
      </c>
      <c r="CK45" s="19">
        <v>21000</v>
      </c>
      <c r="CL45" s="19">
        <v>21000</v>
      </c>
      <c r="CM45" s="19">
        <v>21000</v>
      </c>
      <c r="CN45" s="19">
        <v>21000</v>
      </c>
      <c r="CO45" s="19">
        <v>21000</v>
      </c>
      <c r="CP45" s="19">
        <v>21000</v>
      </c>
      <c r="CQ45" s="24">
        <v>21000</v>
      </c>
      <c r="CR45" s="19">
        <v>21000</v>
      </c>
      <c r="CS45" s="19">
        <v>21000</v>
      </c>
      <c r="CT45" s="19">
        <v>21000</v>
      </c>
      <c r="CU45" s="19">
        <v>21000</v>
      </c>
      <c r="CV45" s="19">
        <v>21000</v>
      </c>
      <c r="CW45" s="19">
        <v>21000</v>
      </c>
      <c r="CX45" s="19">
        <v>21000</v>
      </c>
      <c r="CY45" s="19">
        <v>21000</v>
      </c>
      <c r="CZ45" s="19">
        <v>21000</v>
      </c>
      <c r="DA45" s="19">
        <v>21000</v>
      </c>
      <c r="DB45" s="19">
        <v>21000</v>
      </c>
      <c r="DC45" s="19">
        <v>21000</v>
      </c>
      <c r="DD45" s="19">
        <v>21000</v>
      </c>
      <c r="DE45" s="19">
        <v>21000</v>
      </c>
      <c r="DF45" s="19">
        <v>21000</v>
      </c>
      <c r="DG45" s="19">
        <v>21000</v>
      </c>
      <c r="DH45" s="19">
        <v>21000</v>
      </c>
      <c r="DI45" s="19"/>
      <c r="DJ45" s="19"/>
      <c r="DK45" s="19"/>
      <c r="DL45" s="19"/>
      <c r="DM45" s="19"/>
      <c r="DN45" s="19"/>
      <c r="DO45" s="19"/>
      <c r="DP45" s="19"/>
      <c r="DQ45" s="19"/>
      <c r="DR45" s="19"/>
    </row>
    <row r="46" spans="1:122" ht="15.75" customHeight="1" x14ac:dyDescent="0.3">
      <c r="A46" s="15">
        <v>40</v>
      </c>
      <c r="B46" s="16" t="s">
        <v>38</v>
      </c>
      <c r="C46" s="17">
        <v>21000</v>
      </c>
      <c r="D46" s="18">
        <f>Sheet3!C42</f>
        <v>105</v>
      </c>
      <c r="E46" s="19">
        <v>21000</v>
      </c>
      <c r="F46" s="19">
        <v>21000</v>
      </c>
      <c r="G46" s="19">
        <v>21000</v>
      </c>
      <c r="H46" s="19">
        <v>21000</v>
      </c>
      <c r="I46" s="19">
        <v>21000</v>
      </c>
      <c r="J46" s="19">
        <v>21000</v>
      </c>
      <c r="K46" s="19">
        <v>21000</v>
      </c>
      <c r="L46" s="19">
        <v>21000</v>
      </c>
      <c r="M46" s="19">
        <v>21000</v>
      </c>
      <c r="N46" s="19">
        <v>21000</v>
      </c>
      <c r="O46" s="19">
        <v>21000</v>
      </c>
      <c r="P46" s="19">
        <v>21000</v>
      </c>
      <c r="Q46" s="19">
        <v>21000</v>
      </c>
      <c r="R46" s="19">
        <v>21000</v>
      </c>
      <c r="S46" s="19">
        <v>21000</v>
      </c>
      <c r="T46" s="19">
        <v>21000</v>
      </c>
      <c r="U46" s="19">
        <v>21000</v>
      </c>
      <c r="V46" s="19">
        <v>21000</v>
      </c>
      <c r="W46" s="19">
        <v>21000</v>
      </c>
      <c r="X46" s="19">
        <v>21000</v>
      </c>
      <c r="Y46" s="19">
        <v>21000</v>
      </c>
      <c r="Z46" s="19">
        <v>21000</v>
      </c>
      <c r="AA46" s="19">
        <v>21000</v>
      </c>
      <c r="AB46" s="19">
        <v>21000</v>
      </c>
      <c r="AC46" s="19">
        <v>21000</v>
      </c>
      <c r="AD46" s="19">
        <v>21000</v>
      </c>
      <c r="AE46" s="19">
        <v>21000</v>
      </c>
      <c r="AF46" s="19">
        <v>21000</v>
      </c>
      <c r="AG46" s="19">
        <v>21000</v>
      </c>
      <c r="AH46" s="19">
        <v>21000</v>
      </c>
      <c r="AI46" s="19">
        <v>21000</v>
      </c>
      <c r="AJ46" s="19">
        <v>21000</v>
      </c>
      <c r="AK46" s="19">
        <v>21000</v>
      </c>
      <c r="AL46" s="19">
        <v>21000</v>
      </c>
      <c r="AM46" s="19">
        <v>21000</v>
      </c>
      <c r="AN46" s="19">
        <v>0</v>
      </c>
      <c r="AO46" s="19">
        <v>42000</v>
      </c>
      <c r="AP46" s="19">
        <v>21000</v>
      </c>
      <c r="AQ46" s="19">
        <v>21000</v>
      </c>
      <c r="AR46" s="19">
        <v>0</v>
      </c>
      <c r="AS46" s="19">
        <v>42000</v>
      </c>
      <c r="AT46" s="19">
        <v>21000</v>
      </c>
      <c r="AU46" s="19">
        <v>21000</v>
      </c>
      <c r="AV46" s="19">
        <v>21000</v>
      </c>
      <c r="AW46" s="19">
        <v>21000</v>
      </c>
      <c r="AX46" s="19">
        <v>21000</v>
      </c>
      <c r="AY46" s="19">
        <v>0</v>
      </c>
      <c r="AZ46" s="19">
        <v>21000</v>
      </c>
      <c r="BA46" s="19">
        <v>21000</v>
      </c>
      <c r="BB46" s="19">
        <v>21000</v>
      </c>
      <c r="BC46" s="19">
        <v>21000</v>
      </c>
      <c r="BD46" s="19">
        <v>21000</v>
      </c>
      <c r="BE46" s="19">
        <v>21000</v>
      </c>
      <c r="BF46" s="19">
        <v>21000</v>
      </c>
      <c r="BG46" s="19">
        <v>21000</v>
      </c>
      <c r="BH46" s="19">
        <v>21000</v>
      </c>
      <c r="BI46" s="19">
        <v>21000</v>
      </c>
      <c r="BJ46" s="19">
        <v>21000</v>
      </c>
      <c r="BK46" s="19">
        <v>21000</v>
      </c>
      <c r="BL46" s="19">
        <v>21000</v>
      </c>
      <c r="BM46" s="19">
        <v>21000</v>
      </c>
      <c r="BN46" s="19">
        <v>21000</v>
      </c>
      <c r="BO46" s="19">
        <v>21000</v>
      </c>
      <c r="BP46" s="19">
        <v>21000</v>
      </c>
      <c r="BQ46" s="19">
        <v>21000</v>
      </c>
      <c r="BR46" s="19">
        <v>21000</v>
      </c>
      <c r="BS46" s="19">
        <v>21000</v>
      </c>
      <c r="BT46" s="19">
        <v>21000</v>
      </c>
      <c r="BU46" s="19">
        <v>21000</v>
      </c>
      <c r="BV46" s="19">
        <v>21000</v>
      </c>
      <c r="BW46" s="19">
        <v>21000</v>
      </c>
      <c r="BX46" s="19">
        <v>21000</v>
      </c>
      <c r="BY46" s="19">
        <v>21000</v>
      </c>
      <c r="BZ46" s="19">
        <v>21000</v>
      </c>
      <c r="CA46" s="19">
        <v>21000</v>
      </c>
      <c r="CB46" s="19">
        <v>21000</v>
      </c>
      <c r="CC46" s="19">
        <v>21000</v>
      </c>
      <c r="CD46" s="19">
        <v>21000</v>
      </c>
      <c r="CE46" s="19">
        <v>21000</v>
      </c>
      <c r="CF46" s="19">
        <v>21000</v>
      </c>
      <c r="CG46" s="19">
        <v>21000</v>
      </c>
      <c r="CH46" s="19">
        <v>0</v>
      </c>
      <c r="CI46" s="19">
        <v>42000</v>
      </c>
      <c r="CJ46" s="19">
        <v>21000</v>
      </c>
      <c r="CK46" s="19">
        <v>21000</v>
      </c>
      <c r="CL46" s="19">
        <v>0</v>
      </c>
      <c r="CM46" s="19">
        <v>21000</v>
      </c>
      <c r="CN46" s="19">
        <v>21000</v>
      </c>
      <c r="CO46" s="19">
        <v>21000</v>
      </c>
      <c r="CP46" s="19">
        <v>21000</v>
      </c>
      <c r="CQ46" s="24">
        <v>0</v>
      </c>
      <c r="CR46" s="19">
        <v>42000</v>
      </c>
      <c r="CS46" s="19">
        <v>0</v>
      </c>
      <c r="CT46" s="19">
        <v>42000</v>
      </c>
      <c r="CU46" s="19">
        <v>0</v>
      </c>
      <c r="CV46" s="19">
        <v>42000</v>
      </c>
      <c r="CW46" s="19">
        <v>21000</v>
      </c>
      <c r="CX46" s="19">
        <v>21000</v>
      </c>
      <c r="CY46" s="19">
        <v>21000</v>
      </c>
      <c r="CZ46" s="19">
        <v>21000</v>
      </c>
      <c r="DA46" s="19">
        <v>21000</v>
      </c>
      <c r="DB46" s="19">
        <v>21000</v>
      </c>
      <c r="DC46" s="19">
        <v>0</v>
      </c>
      <c r="DD46" s="19">
        <v>21000</v>
      </c>
      <c r="DE46" s="19">
        <v>21000</v>
      </c>
      <c r="DF46" s="19">
        <v>21000</v>
      </c>
      <c r="DG46" s="19">
        <v>21000</v>
      </c>
      <c r="DH46" s="19">
        <v>21000</v>
      </c>
      <c r="DI46" s="19"/>
      <c r="DJ46" s="19"/>
      <c r="DK46" s="19"/>
      <c r="DL46" s="19"/>
      <c r="DM46" s="19"/>
      <c r="DN46" s="19"/>
      <c r="DO46" s="19"/>
      <c r="DP46" s="19"/>
      <c r="DQ46" s="19"/>
      <c r="DR46" s="19"/>
    </row>
    <row r="47" spans="1:122" ht="15.75" customHeight="1" x14ac:dyDescent="0.3">
      <c r="A47" s="15">
        <v>41</v>
      </c>
      <c r="B47" s="16" t="s">
        <v>39</v>
      </c>
      <c r="C47" s="17">
        <v>21000</v>
      </c>
      <c r="D47" s="18">
        <f>Sheet3!C43</f>
        <v>106</v>
      </c>
      <c r="E47" s="19">
        <v>21000</v>
      </c>
      <c r="F47" s="19">
        <v>21000</v>
      </c>
      <c r="G47" s="19">
        <v>21000</v>
      </c>
      <c r="H47" s="19">
        <v>21000</v>
      </c>
      <c r="I47" s="19">
        <v>21000</v>
      </c>
      <c r="J47" s="19">
        <v>21000</v>
      </c>
      <c r="K47" s="19">
        <v>21000</v>
      </c>
      <c r="L47" s="19">
        <v>21000</v>
      </c>
      <c r="M47" s="19">
        <v>21000</v>
      </c>
      <c r="N47" s="19">
        <v>21000</v>
      </c>
      <c r="O47" s="19">
        <v>21000</v>
      </c>
      <c r="P47" s="19">
        <v>21000</v>
      </c>
      <c r="Q47" s="19">
        <v>21000</v>
      </c>
      <c r="R47" s="19">
        <v>21000</v>
      </c>
      <c r="S47" s="19">
        <v>21000</v>
      </c>
      <c r="T47" s="19">
        <v>21000</v>
      </c>
      <c r="U47" s="19">
        <v>21000</v>
      </c>
      <c r="V47" s="19">
        <v>21000</v>
      </c>
      <c r="W47" s="19">
        <v>21000</v>
      </c>
      <c r="X47" s="19">
        <v>21000</v>
      </c>
      <c r="Y47" s="19">
        <v>21000</v>
      </c>
      <c r="Z47" s="19">
        <v>21000</v>
      </c>
      <c r="AA47" s="19">
        <v>21000</v>
      </c>
      <c r="AB47" s="19">
        <v>21000</v>
      </c>
      <c r="AC47" s="19">
        <v>21000</v>
      </c>
      <c r="AD47" s="19">
        <v>21000</v>
      </c>
      <c r="AE47" s="19">
        <v>21000</v>
      </c>
      <c r="AF47" s="19">
        <v>0</v>
      </c>
      <c r="AG47" s="19">
        <v>42000</v>
      </c>
      <c r="AH47" s="19">
        <v>21000</v>
      </c>
      <c r="AI47" s="19">
        <v>21000</v>
      </c>
      <c r="AJ47" s="19">
        <v>21000</v>
      </c>
      <c r="AK47" s="19">
        <v>21000</v>
      </c>
      <c r="AL47" s="19">
        <v>21000</v>
      </c>
      <c r="AM47" s="19">
        <v>0</v>
      </c>
      <c r="AN47" s="19">
        <v>42000</v>
      </c>
      <c r="AO47" s="19">
        <v>21000</v>
      </c>
      <c r="AP47" s="19">
        <v>21000</v>
      </c>
      <c r="AQ47" s="19">
        <v>21000</v>
      </c>
      <c r="AR47" s="19">
        <v>21000</v>
      </c>
      <c r="AS47" s="19">
        <v>0</v>
      </c>
      <c r="AT47" s="19">
        <v>42000</v>
      </c>
      <c r="AU47" s="19">
        <v>0</v>
      </c>
      <c r="AV47" s="19">
        <v>42000</v>
      </c>
      <c r="AW47" s="19">
        <v>21000</v>
      </c>
      <c r="AX47" s="19">
        <v>21000</v>
      </c>
      <c r="AY47" s="19">
        <v>0</v>
      </c>
      <c r="AZ47" s="19">
        <v>42000</v>
      </c>
      <c r="BA47" s="19">
        <v>0</v>
      </c>
      <c r="BB47" s="19">
        <v>42000</v>
      </c>
      <c r="BC47" s="19">
        <v>21000</v>
      </c>
      <c r="BD47" s="19">
        <v>0</v>
      </c>
      <c r="BE47" s="19">
        <v>42000</v>
      </c>
      <c r="BF47" s="19">
        <v>0</v>
      </c>
      <c r="BG47" s="19">
        <v>42000</v>
      </c>
      <c r="BH47" s="19">
        <v>21000</v>
      </c>
      <c r="BI47" s="19">
        <v>21000</v>
      </c>
      <c r="BJ47" s="19">
        <v>21000</v>
      </c>
      <c r="BK47" s="19">
        <v>21000</v>
      </c>
      <c r="BL47" s="19">
        <v>21000</v>
      </c>
      <c r="BM47" s="19">
        <v>21000</v>
      </c>
      <c r="BN47" s="19">
        <v>0</v>
      </c>
      <c r="BO47" s="19">
        <v>42000</v>
      </c>
      <c r="BP47" s="19">
        <v>21000</v>
      </c>
      <c r="BQ47" s="19">
        <v>21000</v>
      </c>
      <c r="BR47" s="19"/>
      <c r="BS47" s="19">
        <v>42000</v>
      </c>
      <c r="BT47" s="19">
        <v>21000</v>
      </c>
      <c r="BU47" s="19"/>
      <c r="BV47" s="19">
        <v>0</v>
      </c>
      <c r="BW47" s="19">
        <v>63000</v>
      </c>
      <c r="BX47" s="19">
        <v>0</v>
      </c>
      <c r="BY47" s="19">
        <v>42000</v>
      </c>
      <c r="BZ47" s="19">
        <v>0</v>
      </c>
      <c r="CA47" s="19">
        <v>0</v>
      </c>
      <c r="CB47" s="19">
        <v>63000</v>
      </c>
      <c r="CC47" s="19">
        <v>21000</v>
      </c>
      <c r="CD47" s="19">
        <v>21000</v>
      </c>
      <c r="CE47" s="19"/>
      <c r="CF47" s="19">
        <v>0</v>
      </c>
      <c r="CG47" s="19">
        <v>63000</v>
      </c>
      <c r="CH47" s="19">
        <v>21000</v>
      </c>
      <c r="CI47" s="19">
        <v>21000</v>
      </c>
      <c r="CJ47" s="19">
        <v>21000</v>
      </c>
      <c r="CK47" s="19">
        <v>0</v>
      </c>
      <c r="CL47" s="19">
        <v>0</v>
      </c>
      <c r="CM47" s="19">
        <v>42000</v>
      </c>
      <c r="CN47" s="19">
        <v>0</v>
      </c>
      <c r="CO47" s="19">
        <v>0</v>
      </c>
      <c r="CP47" s="19">
        <v>42000</v>
      </c>
      <c r="CQ47" s="24">
        <v>0</v>
      </c>
      <c r="CR47" s="19">
        <v>42000</v>
      </c>
      <c r="CS47" s="19">
        <v>21000</v>
      </c>
      <c r="CT47" s="19">
        <v>0</v>
      </c>
      <c r="CU47" s="19">
        <v>42000</v>
      </c>
      <c r="CV47" s="19">
        <v>0</v>
      </c>
      <c r="CW47" s="19">
        <v>42000</v>
      </c>
      <c r="CX47" s="19">
        <v>0</v>
      </c>
      <c r="CY47" s="19">
        <v>42000</v>
      </c>
      <c r="CZ47" s="19">
        <v>0</v>
      </c>
      <c r="DA47" s="19">
        <v>42000</v>
      </c>
      <c r="DB47" s="19">
        <v>21000</v>
      </c>
      <c r="DC47" s="19">
        <v>0</v>
      </c>
      <c r="DD47" s="19">
        <v>42000</v>
      </c>
      <c r="DE47" s="19">
        <v>0</v>
      </c>
      <c r="DF47" s="19">
        <v>42000</v>
      </c>
      <c r="DG47" s="19"/>
      <c r="DH47" s="19">
        <v>42000</v>
      </c>
      <c r="DI47" s="19"/>
      <c r="DJ47" s="19"/>
      <c r="DK47" s="19"/>
      <c r="DL47" s="19"/>
      <c r="DM47" s="19"/>
      <c r="DN47" s="19"/>
      <c r="DO47" s="19"/>
      <c r="DP47" s="19"/>
      <c r="DQ47" s="19"/>
      <c r="DR47" s="19"/>
    </row>
    <row r="48" spans="1:122" ht="15.75" customHeight="1" x14ac:dyDescent="0.3">
      <c r="A48" s="15">
        <v>42</v>
      </c>
      <c r="B48" s="16" t="s">
        <v>40</v>
      </c>
      <c r="C48" s="17">
        <v>21000</v>
      </c>
      <c r="D48" s="18">
        <f>Sheet3!C44</f>
        <v>104</v>
      </c>
      <c r="E48" s="19">
        <v>21000</v>
      </c>
      <c r="F48" s="19">
        <v>21000</v>
      </c>
      <c r="G48" s="19">
        <v>21000</v>
      </c>
      <c r="H48" s="19">
        <v>21000</v>
      </c>
      <c r="I48" s="19">
        <v>21000</v>
      </c>
      <c r="J48" s="19">
        <v>21000</v>
      </c>
      <c r="K48" s="19">
        <v>21000</v>
      </c>
      <c r="L48" s="19">
        <v>21000</v>
      </c>
      <c r="M48" s="19">
        <v>21000</v>
      </c>
      <c r="N48" s="19">
        <v>21000</v>
      </c>
      <c r="O48" s="19">
        <v>21000</v>
      </c>
      <c r="P48" s="19">
        <v>21000</v>
      </c>
      <c r="Q48" s="19">
        <v>21000</v>
      </c>
      <c r="R48" s="19">
        <v>21000</v>
      </c>
      <c r="S48" s="19">
        <v>21000</v>
      </c>
      <c r="T48" s="19">
        <v>21000</v>
      </c>
      <c r="U48" s="19">
        <v>21000</v>
      </c>
      <c r="V48" s="19">
        <v>21000</v>
      </c>
      <c r="W48" s="19">
        <v>21000</v>
      </c>
      <c r="X48" s="19">
        <v>21000</v>
      </c>
      <c r="Y48" s="19">
        <v>21000</v>
      </c>
      <c r="Z48" s="19">
        <v>21000</v>
      </c>
      <c r="AA48" s="19">
        <v>21000</v>
      </c>
      <c r="AB48" s="19">
        <v>21000</v>
      </c>
      <c r="AC48" s="19">
        <v>21000</v>
      </c>
      <c r="AD48" s="19">
        <v>21000</v>
      </c>
      <c r="AE48" s="19">
        <v>21000</v>
      </c>
      <c r="AF48" s="19">
        <v>21000</v>
      </c>
      <c r="AG48" s="19">
        <v>21000</v>
      </c>
      <c r="AH48" s="19">
        <v>21000</v>
      </c>
      <c r="AI48" s="19">
        <v>21000</v>
      </c>
      <c r="AJ48" s="19">
        <v>21000</v>
      </c>
      <c r="AK48" s="19">
        <v>21000</v>
      </c>
      <c r="AL48" s="19">
        <v>21000</v>
      </c>
      <c r="AM48" s="19">
        <v>21000</v>
      </c>
      <c r="AN48" s="19">
        <v>21000</v>
      </c>
      <c r="AO48" s="19">
        <v>21000</v>
      </c>
      <c r="AP48" s="19">
        <v>21000</v>
      </c>
      <c r="AQ48" s="19">
        <v>21000</v>
      </c>
      <c r="AR48" s="19">
        <v>21000</v>
      </c>
      <c r="AS48" s="19">
        <v>21000</v>
      </c>
      <c r="AT48" s="19">
        <v>21000</v>
      </c>
      <c r="AU48" s="19">
        <v>21000</v>
      </c>
      <c r="AV48" s="19">
        <v>21000</v>
      </c>
      <c r="AW48" s="19">
        <v>21000</v>
      </c>
      <c r="AX48" s="19">
        <v>21000</v>
      </c>
      <c r="AY48" s="19">
        <v>21000</v>
      </c>
      <c r="AZ48" s="19">
        <v>21000</v>
      </c>
      <c r="BA48" s="19">
        <v>21000</v>
      </c>
      <c r="BB48" s="19">
        <v>21000</v>
      </c>
      <c r="BC48" s="19">
        <v>21000</v>
      </c>
      <c r="BD48" s="19">
        <v>21000</v>
      </c>
      <c r="BE48" s="19">
        <v>21000</v>
      </c>
      <c r="BF48" s="19">
        <v>21000</v>
      </c>
      <c r="BG48" s="19">
        <v>21000</v>
      </c>
      <c r="BH48" s="19">
        <v>21000</v>
      </c>
      <c r="BI48" s="19">
        <v>21000</v>
      </c>
      <c r="BJ48" s="19">
        <v>21000</v>
      </c>
      <c r="BK48" s="19">
        <v>21000</v>
      </c>
      <c r="BL48" s="19">
        <v>21000</v>
      </c>
      <c r="BM48" s="19">
        <v>21000</v>
      </c>
      <c r="BN48" s="19">
        <v>21000</v>
      </c>
      <c r="BO48" s="19">
        <v>21000</v>
      </c>
      <c r="BP48" s="19">
        <v>21000</v>
      </c>
      <c r="BQ48" s="19">
        <v>21000</v>
      </c>
      <c r="BR48" s="19">
        <v>21000</v>
      </c>
      <c r="BS48" s="19">
        <v>21000</v>
      </c>
      <c r="BT48" s="19">
        <v>21000</v>
      </c>
      <c r="BU48" s="19">
        <v>21000</v>
      </c>
      <c r="BV48" s="19">
        <v>21000</v>
      </c>
      <c r="BW48" s="19">
        <v>21000</v>
      </c>
      <c r="BX48" s="19">
        <v>21000</v>
      </c>
      <c r="BY48" s="19">
        <v>0</v>
      </c>
      <c r="BZ48" s="19">
        <v>42000</v>
      </c>
      <c r="CA48" s="19">
        <v>21000</v>
      </c>
      <c r="CB48" s="19">
        <v>21000</v>
      </c>
      <c r="CC48" s="19">
        <v>21000</v>
      </c>
      <c r="CD48" s="19">
        <v>21000</v>
      </c>
      <c r="CE48" s="19">
        <v>21000</v>
      </c>
      <c r="CF48" s="19">
        <v>0</v>
      </c>
      <c r="CG48" s="19">
        <v>21000</v>
      </c>
      <c r="CH48" s="19">
        <v>21000</v>
      </c>
      <c r="CI48" s="19">
        <v>21000</v>
      </c>
      <c r="CJ48" s="19">
        <v>21000</v>
      </c>
      <c r="CK48" s="19">
        <v>21000</v>
      </c>
      <c r="CL48" s="19">
        <v>21000</v>
      </c>
      <c r="CM48" s="19">
        <v>21000</v>
      </c>
      <c r="CN48" s="19">
        <v>21000</v>
      </c>
      <c r="CO48" s="19">
        <v>21000</v>
      </c>
      <c r="CP48" s="19">
        <v>21000</v>
      </c>
      <c r="CQ48" s="24">
        <v>21000</v>
      </c>
      <c r="CR48" s="19">
        <v>21000</v>
      </c>
      <c r="CS48" s="19">
        <v>21000</v>
      </c>
      <c r="CT48" s="19">
        <v>21000</v>
      </c>
      <c r="CU48" s="19">
        <v>21000</v>
      </c>
      <c r="CV48" s="19">
        <v>21000</v>
      </c>
      <c r="CW48" s="19">
        <v>21000</v>
      </c>
      <c r="CX48" s="19">
        <v>21000</v>
      </c>
      <c r="CY48" s="19">
        <v>21000</v>
      </c>
      <c r="CZ48" s="19">
        <v>21000</v>
      </c>
      <c r="DA48" s="19">
        <v>0</v>
      </c>
      <c r="DB48" s="19">
        <v>21000</v>
      </c>
      <c r="DC48" s="19">
        <v>0</v>
      </c>
      <c r="DD48" s="19">
        <v>42000</v>
      </c>
      <c r="DE48" s="19">
        <v>21000</v>
      </c>
      <c r="DF48" s="19">
        <v>0</v>
      </c>
      <c r="DG48" s="19">
        <v>21000</v>
      </c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</row>
    <row r="49" spans="1:122" ht="15.75" customHeight="1" x14ac:dyDescent="0.3">
      <c r="A49" s="15">
        <v>43</v>
      </c>
      <c r="B49" s="16" t="s">
        <v>40</v>
      </c>
      <c r="C49" s="17">
        <v>21000</v>
      </c>
      <c r="D49" s="18">
        <f>Sheet3!C45</f>
        <v>104</v>
      </c>
      <c r="E49" s="19">
        <v>21000</v>
      </c>
      <c r="F49" s="19">
        <v>21000</v>
      </c>
      <c r="G49" s="19">
        <v>21000</v>
      </c>
      <c r="H49" s="19">
        <v>21000</v>
      </c>
      <c r="I49" s="19">
        <v>21000</v>
      </c>
      <c r="J49" s="19">
        <v>21000</v>
      </c>
      <c r="K49" s="19">
        <v>21000</v>
      </c>
      <c r="L49" s="19">
        <v>21000</v>
      </c>
      <c r="M49" s="19">
        <v>21000</v>
      </c>
      <c r="N49" s="19">
        <v>21000</v>
      </c>
      <c r="O49" s="19">
        <v>21000</v>
      </c>
      <c r="P49" s="19">
        <v>21000</v>
      </c>
      <c r="Q49" s="19">
        <v>21000</v>
      </c>
      <c r="R49" s="19">
        <v>21000</v>
      </c>
      <c r="S49" s="19">
        <v>21000</v>
      </c>
      <c r="T49" s="19">
        <v>21000</v>
      </c>
      <c r="U49" s="19">
        <v>21000</v>
      </c>
      <c r="V49" s="19">
        <v>21000</v>
      </c>
      <c r="W49" s="19">
        <v>21000</v>
      </c>
      <c r="X49" s="19">
        <v>21000</v>
      </c>
      <c r="Y49" s="19">
        <v>21000</v>
      </c>
      <c r="Z49" s="19">
        <v>21000</v>
      </c>
      <c r="AA49" s="19">
        <v>21000</v>
      </c>
      <c r="AB49" s="19">
        <v>21000</v>
      </c>
      <c r="AC49" s="19">
        <v>21000</v>
      </c>
      <c r="AD49" s="19">
        <v>21000</v>
      </c>
      <c r="AE49" s="19">
        <v>21000</v>
      </c>
      <c r="AF49" s="19">
        <v>21000</v>
      </c>
      <c r="AG49" s="19">
        <v>21000</v>
      </c>
      <c r="AH49" s="19">
        <v>21000</v>
      </c>
      <c r="AI49" s="19">
        <v>21000</v>
      </c>
      <c r="AJ49" s="19">
        <v>21000</v>
      </c>
      <c r="AK49" s="19">
        <v>21000</v>
      </c>
      <c r="AL49" s="19">
        <v>21000</v>
      </c>
      <c r="AM49" s="19">
        <v>21000</v>
      </c>
      <c r="AN49" s="19">
        <v>21000</v>
      </c>
      <c r="AO49" s="19">
        <v>21000</v>
      </c>
      <c r="AP49" s="19">
        <v>21000</v>
      </c>
      <c r="AQ49" s="19">
        <v>21000</v>
      </c>
      <c r="AR49" s="19">
        <v>21000</v>
      </c>
      <c r="AS49" s="19">
        <v>21000</v>
      </c>
      <c r="AT49" s="19">
        <v>21000</v>
      </c>
      <c r="AU49" s="19">
        <v>21000</v>
      </c>
      <c r="AV49" s="19">
        <v>21000</v>
      </c>
      <c r="AW49" s="19">
        <v>21000</v>
      </c>
      <c r="AX49" s="19">
        <v>21000</v>
      </c>
      <c r="AY49" s="19">
        <v>21000</v>
      </c>
      <c r="AZ49" s="19">
        <v>21000</v>
      </c>
      <c r="BA49" s="19">
        <v>21000</v>
      </c>
      <c r="BB49" s="19">
        <v>21000</v>
      </c>
      <c r="BC49" s="19">
        <v>21000</v>
      </c>
      <c r="BD49" s="19">
        <v>21000</v>
      </c>
      <c r="BE49" s="19">
        <v>21000</v>
      </c>
      <c r="BF49" s="19">
        <v>21000</v>
      </c>
      <c r="BG49" s="19">
        <v>21000</v>
      </c>
      <c r="BH49" s="19">
        <v>21000</v>
      </c>
      <c r="BI49" s="19">
        <v>21000</v>
      </c>
      <c r="BJ49" s="19">
        <v>21000</v>
      </c>
      <c r="BK49" s="19">
        <v>21000</v>
      </c>
      <c r="BL49" s="19">
        <v>21000</v>
      </c>
      <c r="BM49" s="19">
        <v>21000</v>
      </c>
      <c r="BN49" s="19">
        <v>21000</v>
      </c>
      <c r="BO49" s="19">
        <v>21000</v>
      </c>
      <c r="BP49" s="19">
        <v>21000</v>
      </c>
      <c r="BQ49" s="19">
        <v>21000</v>
      </c>
      <c r="BR49" s="19">
        <v>21000</v>
      </c>
      <c r="BS49" s="19">
        <v>21000</v>
      </c>
      <c r="BT49" s="19">
        <v>21000</v>
      </c>
      <c r="BU49" s="19">
        <v>21000</v>
      </c>
      <c r="BV49" s="19">
        <v>21000</v>
      </c>
      <c r="BW49" s="19">
        <v>21000</v>
      </c>
      <c r="BX49" s="19">
        <v>21000</v>
      </c>
      <c r="BY49" s="19">
        <v>0</v>
      </c>
      <c r="BZ49" s="19">
        <v>42000</v>
      </c>
      <c r="CA49" s="19">
        <v>21000</v>
      </c>
      <c r="CB49" s="19">
        <v>21000</v>
      </c>
      <c r="CC49" s="19">
        <v>21000</v>
      </c>
      <c r="CD49" s="19">
        <v>21000</v>
      </c>
      <c r="CE49" s="19">
        <v>21000</v>
      </c>
      <c r="CF49" s="19">
        <v>0</v>
      </c>
      <c r="CG49" s="19">
        <v>21000</v>
      </c>
      <c r="CH49" s="19">
        <v>21000</v>
      </c>
      <c r="CI49" s="19">
        <v>21000</v>
      </c>
      <c r="CJ49" s="19">
        <v>21000</v>
      </c>
      <c r="CK49" s="19">
        <v>21000</v>
      </c>
      <c r="CL49" s="19">
        <v>21000</v>
      </c>
      <c r="CM49" s="19">
        <v>21000</v>
      </c>
      <c r="CN49" s="19">
        <v>21000</v>
      </c>
      <c r="CO49" s="19">
        <v>21000</v>
      </c>
      <c r="CP49" s="19">
        <v>21000</v>
      </c>
      <c r="CQ49" s="24">
        <v>21000</v>
      </c>
      <c r="CR49" s="19">
        <v>21000</v>
      </c>
      <c r="CS49" s="19">
        <v>21000</v>
      </c>
      <c r="CT49" s="19">
        <v>21000</v>
      </c>
      <c r="CU49" s="19">
        <v>21000</v>
      </c>
      <c r="CV49" s="19">
        <v>21000</v>
      </c>
      <c r="CW49" s="19">
        <v>21000</v>
      </c>
      <c r="CX49" s="19">
        <v>21000</v>
      </c>
      <c r="CY49" s="19">
        <v>21000</v>
      </c>
      <c r="CZ49" s="19">
        <v>21000</v>
      </c>
      <c r="DA49" s="19">
        <v>0</v>
      </c>
      <c r="DB49" s="19">
        <v>21000</v>
      </c>
      <c r="DC49" s="19">
        <v>0</v>
      </c>
      <c r="DD49" s="19">
        <v>42000</v>
      </c>
      <c r="DE49" s="19">
        <v>21000</v>
      </c>
      <c r="DF49" s="19">
        <v>0</v>
      </c>
      <c r="DG49" s="19">
        <v>21000</v>
      </c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</row>
    <row r="50" spans="1:122" ht="15.75" customHeight="1" x14ac:dyDescent="0.3">
      <c r="A50" s="15">
        <v>44</v>
      </c>
      <c r="B50" s="16" t="s">
        <v>40</v>
      </c>
      <c r="C50" s="17">
        <v>21000</v>
      </c>
      <c r="D50" s="18">
        <f>Sheet3!C46</f>
        <v>104</v>
      </c>
      <c r="E50" s="19">
        <v>21000</v>
      </c>
      <c r="F50" s="19">
        <v>21000</v>
      </c>
      <c r="G50" s="19">
        <v>21000</v>
      </c>
      <c r="H50" s="19">
        <v>21000</v>
      </c>
      <c r="I50" s="19">
        <v>21000</v>
      </c>
      <c r="J50" s="19">
        <v>21000</v>
      </c>
      <c r="K50" s="19">
        <v>21000</v>
      </c>
      <c r="L50" s="19">
        <v>21000</v>
      </c>
      <c r="M50" s="19">
        <v>21000</v>
      </c>
      <c r="N50" s="19">
        <v>21000</v>
      </c>
      <c r="O50" s="19">
        <v>21000</v>
      </c>
      <c r="P50" s="19">
        <v>21000</v>
      </c>
      <c r="Q50" s="19">
        <v>21000</v>
      </c>
      <c r="R50" s="19">
        <v>21000</v>
      </c>
      <c r="S50" s="19">
        <v>21000</v>
      </c>
      <c r="T50" s="19">
        <v>21000</v>
      </c>
      <c r="U50" s="19">
        <v>21000</v>
      </c>
      <c r="V50" s="19">
        <v>21000</v>
      </c>
      <c r="W50" s="19">
        <v>21000</v>
      </c>
      <c r="X50" s="19">
        <v>21000</v>
      </c>
      <c r="Y50" s="19">
        <v>21000</v>
      </c>
      <c r="Z50" s="19">
        <v>21000</v>
      </c>
      <c r="AA50" s="19">
        <v>21000</v>
      </c>
      <c r="AB50" s="19">
        <v>21000</v>
      </c>
      <c r="AC50" s="19">
        <v>21000</v>
      </c>
      <c r="AD50" s="19">
        <v>21000</v>
      </c>
      <c r="AE50" s="19">
        <v>21000</v>
      </c>
      <c r="AF50" s="19">
        <v>21000</v>
      </c>
      <c r="AG50" s="19">
        <v>21000</v>
      </c>
      <c r="AH50" s="19">
        <v>21000</v>
      </c>
      <c r="AI50" s="19">
        <v>21000</v>
      </c>
      <c r="AJ50" s="19">
        <v>21000</v>
      </c>
      <c r="AK50" s="19">
        <v>21000</v>
      </c>
      <c r="AL50" s="19">
        <v>21000</v>
      </c>
      <c r="AM50" s="19">
        <v>21000</v>
      </c>
      <c r="AN50" s="19">
        <v>21000</v>
      </c>
      <c r="AO50" s="19">
        <v>21000</v>
      </c>
      <c r="AP50" s="19">
        <v>21000</v>
      </c>
      <c r="AQ50" s="19">
        <v>21000</v>
      </c>
      <c r="AR50" s="19">
        <v>21000</v>
      </c>
      <c r="AS50" s="19">
        <v>21000</v>
      </c>
      <c r="AT50" s="19">
        <v>21000</v>
      </c>
      <c r="AU50" s="19">
        <v>21000</v>
      </c>
      <c r="AV50" s="19">
        <v>21000</v>
      </c>
      <c r="AW50" s="19">
        <v>21000</v>
      </c>
      <c r="AX50" s="19">
        <v>21000</v>
      </c>
      <c r="AY50" s="19">
        <v>21000</v>
      </c>
      <c r="AZ50" s="19">
        <v>21000</v>
      </c>
      <c r="BA50" s="19">
        <v>21000</v>
      </c>
      <c r="BB50" s="19">
        <v>21000</v>
      </c>
      <c r="BC50" s="19">
        <v>21000</v>
      </c>
      <c r="BD50" s="19">
        <v>21000</v>
      </c>
      <c r="BE50" s="19">
        <v>21000</v>
      </c>
      <c r="BF50" s="19">
        <v>21000</v>
      </c>
      <c r="BG50" s="19">
        <v>21000</v>
      </c>
      <c r="BH50" s="19">
        <v>21000</v>
      </c>
      <c r="BI50" s="19">
        <v>21000</v>
      </c>
      <c r="BJ50" s="19">
        <v>21000</v>
      </c>
      <c r="BK50" s="19">
        <v>21000</v>
      </c>
      <c r="BL50" s="19">
        <v>21000</v>
      </c>
      <c r="BM50" s="19">
        <v>21000</v>
      </c>
      <c r="BN50" s="19">
        <v>21000</v>
      </c>
      <c r="BO50" s="19">
        <v>21000</v>
      </c>
      <c r="BP50" s="19">
        <v>21000</v>
      </c>
      <c r="BQ50" s="19">
        <v>21000</v>
      </c>
      <c r="BR50" s="19">
        <v>21000</v>
      </c>
      <c r="BS50" s="19">
        <v>21000</v>
      </c>
      <c r="BT50" s="19">
        <v>21000</v>
      </c>
      <c r="BU50" s="19">
        <v>21000</v>
      </c>
      <c r="BV50" s="19">
        <v>21000</v>
      </c>
      <c r="BW50" s="19">
        <v>21000</v>
      </c>
      <c r="BX50" s="19">
        <v>21000</v>
      </c>
      <c r="BY50" s="19">
        <v>0</v>
      </c>
      <c r="BZ50" s="19">
        <v>42000</v>
      </c>
      <c r="CA50" s="19">
        <v>21000</v>
      </c>
      <c r="CB50" s="19">
        <v>21000</v>
      </c>
      <c r="CC50" s="19">
        <v>21000</v>
      </c>
      <c r="CD50" s="19">
        <v>21000</v>
      </c>
      <c r="CE50" s="19">
        <v>21000</v>
      </c>
      <c r="CF50" s="19">
        <v>0</v>
      </c>
      <c r="CG50" s="19">
        <v>21000</v>
      </c>
      <c r="CH50" s="19">
        <v>21000</v>
      </c>
      <c r="CI50" s="19">
        <v>21000</v>
      </c>
      <c r="CJ50" s="19">
        <v>21000</v>
      </c>
      <c r="CK50" s="19">
        <v>21000</v>
      </c>
      <c r="CL50" s="19">
        <v>21000</v>
      </c>
      <c r="CM50" s="19">
        <v>21000</v>
      </c>
      <c r="CN50" s="19">
        <v>21000</v>
      </c>
      <c r="CO50" s="19">
        <v>21000</v>
      </c>
      <c r="CP50" s="19">
        <v>21000</v>
      </c>
      <c r="CQ50" s="24">
        <v>21000</v>
      </c>
      <c r="CR50" s="19">
        <v>21000</v>
      </c>
      <c r="CS50" s="19">
        <v>21000</v>
      </c>
      <c r="CT50" s="19">
        <v>21000</v>
      </c>
      <c r="CU50" s="19">
        <v>21000</v>
      </c>
      <c r="CV50" s="19">
        <v>21000</v>
      </c>
      <c r="CW50" s="19">
        <v>21000</v>
      </c>
      <c r="CX50" s="19">
        <v>21000</v>
      </c>
      <c r="CY50" s="19">
        <v>21000</v>
      </c>
      <c r="CZ50" s="19">
        <v>21000</v>
      </c>
      <c r="DA50" s="19">
        <v>0</v>
      </c>
      <c r="DB50" s="19">
        <v>21000</v>
      </c>
      <c r="DC50" s="19">
        <v>0</v>
      </c>
      <c r="DD50" s="19">
        <v>42000</v>
      </c>
      <c r="DE50" s="19">
        <v>21000</v>
      </c>
      <c r="DF50" s="19">
        <v>0</v>
      </c>
      <c r="DG50" s="19">
        <v>21000</v>
      </c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</row>
    <row r="51" spans="1:122" ht="15.75" customHeight="1" x14ac:dyDescent="0.3">
      <c r="A51" s="15">
        <v>45</v>
      </c>
      <c r="B51" s="16" t="s">
        <v>40</v>
      </c>
      <c r="C51" s="17">
        <v>21000</v>
      </c>
      <c r="D51" s="18">
        <f>Sheet3!C47</f>
        <v>104</v>
      </c>
      <c r="E51" s="19">
        <v>21000</v>
      </c>
      <c r="F51" s="19">
        <v>21000</v>
      </c>
      <c r="G51" s="19">
        <v>21000</v>
      </c>
      <c r="H51" s="19">
        <v>21000</v>
      </c>
      <c r="I51" s="19">
        <v>21000</v>
      </c>
      <c r="J51" s="19">
        <v>21000</v>
      </c>
      <c r="K51" s="19">
        <v>21000</v>
      </c>
      <c r="L51" s="19">
        <v>21000</v>
      </c>
      <c r="M51" s="19">
        <v>21000</v>
      </c>
      <c r="N51" s="19">
        <v>21000</v>
      </c>
      <c r="O51" s="19">
        <v>21000</v>
      </c>
      <c r="P51" s="19">
        <v>21000</v>
      </c>
      <c r="Q51" s="19">
        <v>21000</v>
      </c>
      <c r="R51" s="19">
        <v>21000</v>
      </c>
      <c r="S51" s="19">
        <v>21000</v>
      </c>
      <c r="T51" s="19">
        <v>21000</v>
      </c>
      <c r="U51" s="19">
        <v>21000</v>
      </c>
      <c r="V51" s="19">
        <v>21000</v>
      </c>
      <c r="W51" s="19">
        <v>21000</v>
      </c>
      <c r="X51" s="19">
        <v>21000</v>
      </c>
      <c r="Y51" s="19">
        <v>21000</v>
      </c>
      <c r="Z51" s="19">
        <v>21000</v>
      </c>
      <c r="AA51" s="19">
        <v>21000</v>
      </c>
      <c r="AB51" s="19">
        <v>21000</v>
      </c>
      <c r="AC51" s="19">
        <v>21000</v>
      </c>
      <c r="AD51" s="19">
        <v>21000</v>
      </c>
      <c r="AE51" s="19">
        <v>21000</v>
      </c>
      <c r="AF51" s="19">
        <v>21000</v>
      </c>
      <c r="AG51" s="19">
        <v>21000</v>
      </c>
      <c r="AH51" s="19">
        <v>21000</v>
      </c>
      <c r="AI51" s="19">
        <v>21000</v>
      </c>
      <c r="AJ51" s="19">
        <v>21000</v>
      </c>
      <c r="AK51" s="19">
        <v>21000</v>
      </c>
      <c r="AL51" s="19">
        <v>21000</v>
      </c>
      <c r="AM51" s="19">
        <v>21000</v>
      </c>
      <c r="AN51" s="19">
        <v>21000</v>
      </c>
      <c r="AO51" s="19">
        <v>21000</v>
      </c>
      <c r="AP51" s="19">
        <v>21000</v>
      </c>
      <c r="AQ51" s="19">
        <v>21000</v>
      </c>
      <c r="AR51" s="19">
        <v>21000</v>
      </c>
      <c r="AS51" s="19">
        <v>21000</v>
      </c>
      <c r="AT51" s="19">
        <v>21000</v>
      </c>
      <c r="AU51" s="19">
        <v>21000</v>
      </c>
      <c r="AV51" s="19">
        <v>21000</v>
      </c>
      <c r="AW51" s="19">
        <v>21000</v>
      </c>
      <c r="AX51" s="19">
        <v>21000</v>
      </c>
      <c r="AY51" s="19">
        <v>21000</v>
      </c>
      <c r="AZ51" s="19">
        <v>21000</v>
      </c>
      <c r="BA51" s="19">
        <v>21000</v>
      </c>
      <c r="BB51" s="19">
        <v>21000</v>
      </c>
      <c r="BC51" s="19">
        <v>21000</v>
      </c>
      <c r="BD51" s="19">
        <v>21000</v>
      </c>
      <c r="BE51" s="19">
        <v>21000</v>
      </c>
      <c r="BF51" s="19">
        <v>21000</v>
      </c>
      <c r="BG51" s="19">
        <v>21000</v>
      </c>
      <c r="BH51" s="19">
        <v>21000</v>
      </c>
      <c r="BI51" s="19">
        <v>21000</v>
      </c>
      <c r="BJ51" s="19">
        <v>21000</v>
      </c>
      <c r="BK51" s="19">
        <v>21000</v>
      </c>
      <c r="BL51" s="19">
        <v>21000</v>
      </c>
      <c r="BM51" s="19">
        <v>21000</v>
      </c>
      <c r="BN51" s="19">
        <v>21000</v>
      </c>
      <c r="BO51" s="19">
        <v>21000</v>
      </c>
      <c r="BP51" s="19">
        <v>21000</v>
      </c>
      <c r="BQ51" s="19">
        <v>21000</v>
      </c>
      <c r="BR51" s="19">
        <v>21000</v>
      </c>
      <c r="BS51" s="19">
        <v>21000</v>
      </c>
      <c r="BT51" s="19">
        <v>21000</v>
      </c>
      <c r="BU51" s="19">
        <v>21000</v>
      </c>
      <c r="BV51" s="19">
        <v>21000</v>
      </c>
      <c r="BW51" s="19">
        <v>21000</v>
      </c>
      <c r="BX51" s="19">
        <v>21000</v>
      </c>
      <c r="BY51" s="19">
        <v>0</v>
      </c>
      <c r="BZ51" s="19">
        <v>42000</v>
      </c>
      <c r="CA51" s="19">
        <v>21000</v>
      </c>
      <c r="CB51" s="19">
        <v>21000</v>
      </c>
      <c r="CC51" s="19">
        <v>21000</v>
      </c>
      <c r="CD51" s="19">
        <v>21000</v>
      </c>
      <c r="CE51" s="19">
        <v>21000</v>
      </c>
      <c r="CF51" s="19">
        <v>0</v>
      </c>
      <c r="CG51" s="19">
        <v>21000</v>
      </c>
      <c r="CH51" s="19">
        <v>21000</v>
      </c>
      <c r="CI51" s="19">
        <v>21000</v>
      </c>
      <c r="CJ51" s="19">
        <v>21000</v>
      </c>
      <c r="CK51" s="19">
        <v>21000</v>
      </c>
      <c r="CL51" s="19">
        <v>21000</v>
      </c>
      <c r="CM51" s="19">
        <v>21000</v>
      </c>
      <c r="CN51" s="19">
        <v>21000</v>
      </c>
      <c r="CO51" s="19">
        <v>21000</v>
      </c>
      <c r="CP51" s="19">
        <v>21000</v>
      </c>
      <c r="CQ51" s="24">
        <v>21000</v>
      </c>
      <c r="CR51" s="19">
        <v>21000</v>
      </c>
      <c r="CS51" s="19">
        <v>21000</v>
      </c>
      <c r="CT51" s="19">
        <v>21000</v>
      </c>
      <c r="CU51" s="19">
        <v>21000</v>
      </c>
      <c r="CV51" s="19">
        <v>21000</v>
      </c>
      <c r="CW51" s="19">
        <v>21000</v>
      </c>
      <c r="CX51" s="19">
        <v>21000</v>
      </c>
      <c r="CY51" s="19">
        <v>21000</v>
      </c>
      <c r="CZ51" s="19">
        <v>21000</v>
      </c>
      <c r="DA51" s="19">
        <v>0</v>
      </c>
      <c r="DB51" s="19">
        <v>21000</v>
      </c>
      <c r="DC51" s="19">
        <v>0</v>
      </c>
      <c r="DD51" s="19">
        <v>42000</v>
      </c>
      <c r="DE51" s="19">
        <v>21000</v>
      </c>
      <c r="DF51" s="19">
        <v>0</v>
      </c>
      <c r="DG51" s="19">
        <v>21000</v>
      </c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</row>
    <row r="52" spans="1:122" ht="15.75" customHeight="1" x14ac:dyDescent="0.3">
      <c r="A52" s="15">
        <v>46</v>
      </c>
      <c r="B52" s="16" t="s">
        <v>41</v>
      </c>
      <c r="C52" s="17">
        <v>21000</v>
      </c>
      <c r="D52" s="18">
        <f>Sheet3!C48</f>
        <v>108</v>
      </c>
      <c r="E52" s="19">
        <v>21000</v>
      </c>
      <c r="F52" s="19">
        <v>21000</v>
      </c>
      <c r="G52" s="19">
        <v>21000</v>
      </c>
      <c r="H52" s="19">
        <v>21000</v>
      </c>
      <c r="I52" s="19">
        <v>21000</v>
      </c>
      <c r="J52" s="19">
        <v>21000</v>
      </c>
      <c r="K52" s="19">
        <v>21000</v>
      </c>
      <c r="L52" s="19">
        <v>21000</v>
      </c>
      <c r="M52" s="19">
        <v>21000</v>
      </c>
      <c r="N52" s="19">
        <v>21000</v>
      </c>
      <c r="O52" s="19">
        <v>21000</v>
      </c>
      <c r="P52" s="19">
        <v>21000</v>
      </c>
      <c r="Q52" s="19">
        <v>21000</v>
      </c>
      <c r="R52" s="19">
        <v>21000</v>
      </c>
      <c r="S52" s="19">
        <v>21000</v>
      </c>
      <c r="T52" s="19">
        <v>21000</v>
      </c>
      <c r="U52" s="19">
        <v>21000</v>
      </c>
      <c r="V52" s="19">
        <v>21000</v>
      </c>
      <c r="W52" s="19">
        <v>21000</v>
      </c>
      <c r="X52" s="19">
        <v>21000</v>
      </c>
      <c r="Y52" s="19">
        <v>21000</v>
      </c>
      <c r="Z52" s="19">
        <v>21000</v>
      </c>
      <c r="AA52" s="19">
        <v>21000</v>
      </c>
      <c r="AB52" s="19">
        <v>21000</v>
      </c>
      <c r="AC52" s="19">
        <v>21000</v>
      </c>
      <c r="AD52" s="19">
        <v>21000</v>
      </c>
      <c r="AE52" s="19">
        <v>21000</v>
      </c>
      <c r="AF52" s="19">
        <v>21000</v>
      </c>
      <c r="AG52" s="19">
        <v>21000</v>
      </c>
      <c r="AH52" s="19">
        <v>21000</v>
      </c>
      <c r="AI52" s="19">
        <v>21000</v>
      </c>
      <c r="AJ52" s="19">
        <v>21000</v>
      </c>
      <c r="AK52" s="19">
        <v>21000</v>
      </c>
      <c r="AL52" s="19">
        <v>21000</v>
      </c>
      <c r="AM52" s="19">
        <v>21000</v>
      </c>
      <c r="AN52" s="19">
        <v>21000</v>
      </c>
      <c r="AO52" s="19">
        <v>21000</v>
      </c>
      <c r="AP52" s="19">
        <v>21000</v>
      </c>
      <c r="AQ52" s="19">
        <v>21000</v>
      </c>
      <c r="AR52" s="19">
        <v>21000</v>
      </c>
      <c r="AS52" s="19">
        <v>21000</v>
      </c>
      <c r="AT52" s="19">
        <v>21000</v>
      </c>
      <c r="AU52" s="19">
        <v>21000</v>
      </c>
      <c r="AV52" s="19">
        <v>21000</v>
      </c>
      <c r="AW52" s="19">
        <v>21000</v>
      </c>
      <c r="AX52" s="19">
        <v>21000</v>
      </c>
      <c r="AY52" s="19">
        <v>21000</v>
      </c>
      <c r="AZ52" s="19">
        <v>21000</v>
      </c>
      <c r="BA52" s="19">
        <v>21000</v>
      </c>
      <c r="BB52" s="19">
        <v>21000</v>
      </c>
      <c r="BC52" s="19">
        <v>21000</v>
      </c>
      <c r="BD52" s="19">
        <v>21000</v>
      </c>
      <c r="BE52" s="19">
        <v>21000</v>
      </c>
      <c r="BF52" s="19">
        <v>21000</v>
      </c>
      <c r="BG52" s="19">
        <v>21000</v>
      </c>
      <c r="BH52" s="19">
        <v>21000</v>
      </c>
      <c r="BI52" s="19">
        <v>21000</v>
      </c>
      <c r="BJ52" s="19">
        <v>21000</v>
      </c>
      <c r="BK52" s="19">
        <v>21000</v>
      </c>
      <c r="BL52" s="19">
        <v>21000</v>
      </c>
      <c r="BM52" s="19">
        <v>21000</v>
      </c>
      <c r="BN52" s="19">
        <v>0</v>
      </c>
      <c r="BO52" s="19">
        <v>42000</v>
      </c>
      <c r="BP52" s="19">
        <v>21000</v>
      </c>
      <c r="BQ52" s="19">
        <v>21000</v>
      </c>
      <c r="BR52" s="19">
        <v>21000</v>
      </c>
      <c r="BS52" s="19">
        <v>21000</v>
      </c>
      <c r="BT52" s="19">
        <v>21000</v>
      </c>
      <c r="BU52" s="19">
        <v>21000</v>
      </c>
      <c r="BV52" s="19">
        <v>21000</v>
      </c>
      <c r="BW52" s="19">
        <v>21000</v>
      </c>
      <c r="BX52" s="19">
        <v>21000</v>
      </c>
      <c r="BY52" s="19">
        <v>21000</v>
      </c>
      <c r="BZ52" s="19">
        <v>21000</v>
      </c>
      <c r="CA52" s="19">
        <v>21000</v>
      </c>
      <c r="CB52" s="19">
        <v>21000</v>
      </c>
      <c r="CC52" s="19">
        <v>21000</v>
      </c>
      <c r="CD52" s="19">
        <v>21000</v>
      </c>
      <c r="CE52" s="19">
        <v>21000</v>
      </c>
      <c r="CF52" s="19">
        <v>21000</v>
      </c>
      <c r="CG52" s="19">
        <v>21000</v>
      </c>
      <c r="CH52" s="19">
        <v>21000</v>
      </c>
      <c r="CI52" s="19">
        <v>21000</v>
      </c>
      <c r="CJ52" s="19">
        <v>21000</v>
      </c>
      <c r="CK52" s="19">
        <v>21000</v>
      </c>
      <c r="CL52" s="19">
        <v>21000</v>
      </c>
      <c r="CM52" s="19">
        <v>21000</v>
      </c>
      <c r="CN52" s="19">
        <v>21000</v>
      </c>
      <c r="CO52" s="19">
        <v>21000</v>
      </c>
      <c r="CP52" s="19">
        <v>21000</v>
      </c>
      <c r="CQ52" s="24">
        <v>21000</v>
      </c>
      <c r="CR52" s="19">
        <v>21000</v>
      </c>
      <c r="CS52" s="19">
        <v>21000</v>
      </c>
      <c r="CT52" s="19">
        <v>21000</v>
      </c>
      <c r="CU52" s="19">
        <v>21000</v>
      </c>
      <c r="CV52" s="19">
        <v>21000</v>
      </c>
      <c r="CW52" s="19">
        <v>21000</v>
      </c>
      <c r="CX52" s="19">
        <v>21000</v>
      </c>
      <c r="CY52" s="19">
        <v>21000</v>
      </c>
      <c r="CZ52" s="19">
        <v>21000</v>
      </c>
      <c r="DA52" s="19">
        <v>21000</v>
      </c>
      <c r="DB52" s="19">
        <v>21000</v>
      </c>
      <c r="DC52" s="19">
        <v>21000</v>
      </c>
      <c r="DD52" s="19">
        <v>21000</v>
      </c>
      <c r="DE52" s="19">
        <v>21000</v>
      </c>
      <c r="DF52" s="19">
        <v>21000</v>
      </c>
      <c r="DG52" s="19">
        <v>21000</v>
      </c>
      <c r="DH52" s="19">
        <v>21000</v>
      </c>
      <c r="DI52" s="19"/>
      <c r="DJ52" s="19"/>
      <c r="DK52" s="19"/>
      <c r="DL52" s="19"/>
      <c r="DM52" s="19"/>
      <c r="DN52" s="19"/>
      <c r="DO52" s="19"/>
      <c r="DP52" s="19"/>
      <c r="DQ52" s="19"/>
      <c r="DR52" s="19"/>
    </row>
    <row r="53" spans="1:122" ht="15.75" customHeight="1" x14ac:dyDescent="0.3">
      <c r="A53" s="15">
        <v>47</v>
      </c>
      <c r="B53" s="16" t="s">
        <v>42</v>
      </c>
      <c r="C53" s="17">
        <v>21000</v>
      </c>
      <c r="D53" s="18">
        <f>Sheet3!C49</f>
        <v>107</v>
      </c>
      <c r="E53" s="19">
        <v>21000</v>
      </c>
      <c r="F53" s="19">
        <v>21000</v>
      </c>
      <c r="G53" s="19">
        <v>21000</v>
      </c>
      <c r="H53" s="19">
        <v>21000</v>
      </c>
      <c r="I53" s="19">
        <v>21000</v>
      </c>
      <c r="J53" s="19">
        <v>21000</v>
      </c>
      <c r="K53" s="19">
        <v>21000</v>
      </c>
      <c r="L53" s="19">
        <v>21000</v>
      </c>
      <c r="M53" s="19">
        <v>21000</v>
      </c>
      <c r="N53" s="19">
        <v>21000</v>
      </c>
      <c r="O53" s="19">
        <v>21000</v>
      </c>
      <c r="P53" s="19">
        <v>21000</v>
      </c>
      <c r="Q53" s="19">
        <v>21000</v>
      </c>
      <c r="R53" s="19">
        <v>21000</v>
      </c>
      <c r="S53" s="19">
        <v>21000</v>
      </c>
      <c r="T53" s="19">
        <v>21000</v>
      </c>
      <c r="U53" s="19">
        <v>21000</v>
      </c>
      <c r="V53" s="19">
        <v>21000</v>
      </c>
      <c r="W53" s="19">
        <v>21000</v>
      </c>
      <c r="X53" s="19">
        <v>21000</v>
      </c>
      <c r="Y53" s="19">
        <v>21000</v>
      </c>
      <c r="Z53" s="19">
        <v>21000</v>
      </c>
      <c r="AA53" s="19">
        <v>21000</v>
      </c>
      <c r="AB53" s="19">
        <v>21000</v>
      </c>
      <c r="AC53" s="19">
        <v>21000</v>
      </c>
      <c r="AD53" s="19">
        <v>21000</v>
      </c>
      <c r="AE53" s="19">
        <v>21000</v>
      </c>
      <c r="AF53" s="19">
        <v>21000</v>
      </c>
      <c r="AG53" s="19">
        <v>21000</v>
      </c>
      <c r="AH53" s="19">
        <v>21000</v>
      </c>
      <c r="AI53" s="19">
        <v>21000</v>
      </c>
      <c r="AJ53" s="19">
        <v>21000</v>
      </c>
      <c r="AK53" s="19">
        <v>21000</v>
      </c>
      <c r="AL53" s="19">
        <v>21000</v>
      </c>
      <c r="AM53" s="19">
        <v>21000</v>
      </c>
      <c r="AN53" s="19">
        <v>21000</v>
      </c>
      <c r="AO53" s="19">
        <v>21000</v>
      </c>
      <c r="AP53" s="19">
        <v>21000</v>
      </c>
      <c r="AQ53" s="19">
        <v>21000</v>
      </c>
      <c r="AR53" s="19">
        <v>21000</v>
      </c>
      <c r="AS53" s="19">
        <v>21000</v>
      </c>
      <c r="AT53" s="19">
        <v>21000</v>
      </c>
      <c r="AU53" s="19">
        <v>21000</v>
      </c>
      <c r="AV53" s="19">
        <v>21000</v>
      </c>
      <c r="AW53" s="19">
        <v>21000</v>
      </c>
      <c r="AX53" s="19">
        <v>21000</v>
      </c>
      <c r="AY53" s="19">
        <v>21000</v>
      </c>
      <c r="AZ53" s="19">
        <v>0</v>
      </c>
      <c r="BA53" s="19">
        <v>42000</v>
      </c>
      <c r="BB53" s="19">
        <v>21000</v>
      </c>
      <c r="BC53" s="19">
        <v>21000</v>
      </c>
      <c r="BD53" s="19">
        <v>21000</v>
      </c>
      <c r="BE53" s="19">
        <v>21000</v>
      </c>
      <c r="BF53" s="19">
        <v>21000</v>
      </c>
      <c r="BG53" s="19">
        <v>21000</v>
      </c>
      <c r="BH53" s="19">
        <v>21000</v>
      </c>
      <c r="BI53" s="19">
        <v>21000</v>
      </c>
      <c r="BJ53" s="19">
        <v>21000</v>
      </c>
      <c r="BK53" s="19">
        <v>21000</v>
      </c>
      <c r="BL53" s="19">
        <v>21000</v>
      </c>
      <c r="BM53" s="19">
        <v>21000</v>
      </c>
      <c r="BN53" s="19">
        <v>0</v>
      </c>
      <c r="BO53" s="19">
        <v>42000</v>
      </c>
      <c r="BP53" s="19">
        <v>21000</v>
      </c>
      <c r="BQ53" s="19">
        <v>21000</v>
      </c>
      <c r="BR53" s="19">
        <v>21000</v>
      </c>
      <c r="BS53" s="19">
        <v>21000</v>
      </c>
      <c r="BT53" s="19">
        <v>21000</v>
      </c>
      <c r="BU53" s="19">
        <v>21000</v>
      </c>
      <c r="BV53" s="19">
        <v>21000</v>
      </c>
      <c r="BW53" s="19">
        <v>21000</v>
      </c>
      <c r="BX53" s="19">
        <v>21000</v>
      </c>
      <c r="BY53" s="19">
        <v>21000</v>
      </c>
      <c r="BZ53" s="19">
        <v>21000</v>
      </c>
      <c r="CA53" s="19">
        <v>21000</v>
      </c>
      <c r="CB53" s="19">
        <v>21000</v>
      </c>
      <c r="CC53" s="19">
        <v>21000</v>
      </c>
      <c r="CD53" s="19">
        <v>21000</v>
      </c>
      <c r="CE53" s="19">
        <v>21000</v>
      </c>
      <c r="CF53" s="19">
        <v>21000</v>
      </c>
      <c r="CG53" s="19">
        <v>21000</v>
      </c>
      <c r="CH53" s="19">
        <v>21000</v>
      </c>
      <c r="CI53" s="19">
        <v>21000</v>
      </c>
      <c r="CJ53" s="19">
        <v>21000</v>
      </c>
      <c r="CK53" s="19">
        <v>21000</v>
      </c>
      <c r="CL53" s="19">
        <v>21000</v>
      </c>
      <c r="CM53" s="19">
        <v>21000</v>
      </c>
      <c r="CN53" s="19">
        <v>0</v>
      </c>
      <c r="CO53" s="19">
        <v>21000</v>
      </c>
      <c r="CP53" s="19">
        <v>21000</v>
      </c>
      <c r="CQ53" s="24">
        <v>21000</v>
      </c>
      <c r="CR53" s="19">
        <v>21000</v>
      </c>
      <c r="CS53" s="19">
        <v>0</v>
      </c>
      <c r="CT53" s="19">
        <v>42000</v>
      </c>
      <c r="CU53" s="19">
        <v>21000</v>
      </c>
      <c r="CV53" s="19">
        <v>21000</v>
      </c>
      <c r="CW53" s="19">
        <v>21000</v>
      </c>
      <c r="CX53" s="19">
        <v>21000</v>
      </c>
      <c r="CY53" s="19">
        <v>21000</v>
      </c>
      <c r="CZ53" s="19">
        <v>21000</v>
      </c>
      <c r="DA53" s="19">
        <v>21000</v>
      </c>
      <c r="DB53" s="19">
        <v>21000</v>
      </c>
      <c r="DC53" s="19">
        <v>21000</v>
      </c>
      <c r="DD53" s="19">
        <v>21000</v>
      </c>
      <c r="DE53" s="19">
        <v>21000</v>
      </c>
      <c r="DF53" s="19">
        <v>21000</v>
      </c>
      <c r="DG53" s="19">
        <v>21000</v>
      </c>
      <c r="DH53" s="19">
        <v>21000</v>
      </c>
      <c r="DI53" s="19"/>
      <c r="DJ53" s="19"/>
      <c r="DK53" s="19"/>
      <c r="DL53" s="19"/>
      <c r="DM53" s="19"/>
      <c r="DN53" s="19"/>
      <c r="DO53" s="19"/>
      <c r="DP53" s="19"/>
      <c r="DQ53" s="19"/>
      <c r="DR53" s="19"/>
    </row>
    <row r="54" spans="1:122" ht="15.75" customHeight="1" x14ac:dyDescent="0.3">
      <c r="A54" s="15">
        <v>48</v>
      </c>
      <c r="B54" s="16" t="s">
        <v>43</v>
      </c>
      <c r="C54" s="17">
        <v>21000</v>
      </c>
      <c r="D54" s="18">
        <f>Sheet3!C50</f>
        <v>104</v>
      </c>
      <c r="E54" s="19">
        <v>21000</v>
      </c>
      <c r="F54" s="19">
        <v>21000</v>
      </c>
      <c r="G54" s="19">
        <v>21000</v>
      </c>
      <c r="H54" s="19">
        <v>21000</v>
      </c>
      <c r="I54" s="19">
        <v>21000</v>
      </c>
      <c r="J54" s="19">
        <v>21000</v>
      </c>
      <c r="K54" s="19">
        <v>21000</v>
      </c>
      <c r="L54" s="19">
        <v>21000</v>
      </c>
      <c r="M54" s="19">
        <v>21000</v>
      </c>
      <c r="N54" s="19">
        <v>21000</v>
      </c>
      <c r="O54" s="19">
        <v>21000</v>
      </c>
      <c r="P54" s="19">
        <v>21000</v>
      </c>
      <c r="Q54" s="19">
        <v>21000</v>
      </c>
      <c r="R54" s="19">
        <v>21000</v>
      </c>
      <c r="S54" s="19">
        <v>21000</v>
      </c>
      <c r="T54" s="19">
        <v>21000</v>
      </c>
      <c r="U54" s="19">
        <v>21000</v>
      </c>
      <c r="V54" s="19">
        <v>21000</v>
      </c>
      <c r="W54" s="19">
        <v>21000</v>
      </c>
      <c r="X54" s="19">
        <v>21000</v>
      </c>
      <c r="Y54" s="19">
        <v>21000</v>
      </c>
      <c r="Z54" s="19">
        <v>21000</v>
      </c>
      <c r="AA54" s="19">
        <v>21000</v>
      </c>
      <c r="AB54" s="19">
        <v>21000</v>
      </c>
      <c r="AC54" s="19">
        <v>21000</v>
      </c>
      <c r="AD54" s="19">
        <v>21000</v>
      </c>
      <c r="AE54" s="19">
        <v>21000</v>
      </c>
      <c r="AF54" s="19">
        <v>21000</v>
      </c>
      <c r="AG54" s="19">
        <v>21000</v>
      </c>
      <c r="AH54" s="19">
        <v>21000</v>
      </c>
      <c r="AI54" s="19">
        <v>21000</v>
      </c>
      <c r="AJ54" s="19">
        <v>21000</v>
      </c>
      <c r="AK54" s="19">
        <v>21000</v>
      </c>
      <c r="AL54" s="19">
        <v>0</v>
      </c>
      <c r="AM54" s="19">
        <v>42000</v>
      </c>
      <c r="AN54" s="19">
        <v>21000</v>
      </c>
      <c r="AO54" s="19">
        <v>0</v>
      </c>
      <c r="AP54" s="19">
        <v>42000</v>
      </c>
      <c r="AQ54" s="19">
        <v>0</v>
      </c>
      <c r="AR54" s="19">
        <v>42000</v>
      </c>
      <c r="AS54" s="19">
        <v>21000</v>
      </c>
      <c r="AT54" s="19">
        <v>0</v>
      </c>
      <c r="AU54" s="19">
        <v>42000</v>
      </c>
      <c r="AV54" s="19">
        <v>0</v>
      </c>
      <c r="AW54" s="19">
        <v>42000</v>
      </c>
      <c r="AX54" s="19">
        <v>0</v>
      </c>
      <c r="AY54" s="19">
        <v>21000</v>
      </c>
      <c r="AZ54" s="19">
        <v>21000</v>
      </c>
      <c r="BA54" s="19">
        <v>21000</v>
      </c>
      <c r="BB54" s="19">
        <v>21000</v>
      </c>
      <c r="BC54" s="19">
        <v>21000</v>
      </c>
      <c r="BD54" s="19">
        <v>42000</v>
      </c>
      <c r="BE54" s="19">
        <v>0</v>
      </c>
      <c r="BF54" s="19">
        <v>21000</v>
      </c>
      <c r="BG54" s="19">
        <v>21000</v>
      </c>
      <c r="BH54" s="19">
        <v>21000</v>
      </c>
      <c r="BI54" s="19">
        <v>21000</v>
      </c>
      <c r="BJ54" s="19">
        <v>21000</v>
      </c>
      <c r="BK54" s="19">
        <v>21000</v>
      </c>
      <c r="BL54" s="19">
        <v>21000</v>
      </c>
      <c r="BM54" s="19">
        <v>21000</v>
      </c>
      <c r="BN54" s="19">
        <v>21000</v>
      </c>
      <c r="BO54" s="19">
        <v>21000</v>
      </c>
      <c r="BP54" s="19">
        <v>0</v>
      </c>
      <c r="BQ54" s="19">
        <v>42000</v>
      </c>
      <c r="BR54" s="19">
        <v>21000</v>
      </c>
      <c r="BS54" s="19">
        <v>21000</v>
      </c>
      <c r="BT54" s="19">
        <v>21000</v>
      </c>
      <c r="BU54" s="19">
        <v>21000</v>
      </c>
      <c r="BV54" s="19">
        <v>21000</v>
      </c>
      <c r="BW54" s="19">
        <v>21000</v>
      </c>
      <c r="BX54" s="19">
        <v>0</v>
      </c>
      <c r="BY54" s="19">
        <v>0</v>
      </c>
      <c r="BZ54" s="19">
        <v>0</v>
      </c>
      <c r="CA54" s="19">
        <v>0</v>
      </c>
      <c r="CB54" s="19">
        <v>105000</v>
      </c>
      <c r="CC54" s="19">
        <v>0</v>
      </c>
      <c r="CD54" s="19">
        <v>0</v>
      </c>
      <c r="CE54" s="19"/>
      <c r="CF54" s="19">
        <v>63000</v>
      </c>
      <c r="CG54" s="19">
        <v>0</v>
      </c>
      <c r="CH54" s="19">
        <v>63000</v>
      </c>
      <c r="CI54" s="19">
        <v>0</v>
      </c>
      <c r="CJ54" s="19">
        <v>42000</v>
      </c>
      <c r="CK54" s="19">
        <v>0</v>
      </c>
      <c r="CL54" s="19">
        <v>0</v>
      </c>
      <c r="CM54" s="19">
        <v>0</v>
      </c>
      <c r="CN54" s="19">
        <v>84000</v>
      </c>
      <c r="CO54" s="19">
        <v>0</v>
      </c>
      <c r="CP54" s="19">
        <v>0</v>
      </c>
      <c r="CQ54" s="24">
        <v>0</v>
      </c>
      <c r="CR54" s="19">
        <v>0</v>
      </c>
      <c r="CS54" s="19">
        <v>105000</v>
      </c>
      <c r="CT54" s="19">
        <v>0</v>
      </c>
      <c r="CU54" s="19">
        <v>0</v>
      </c>
      <c r="CV54" s="19">
        <v>0</v>
      </c>
      <c r="CW54" s="19">
        <v>0</v>
      </c>
      <c r="CX54" s="19">
        <v>84000</v>
      </c>
      <c r="CY54" s="19">
        <v>0</v>
      </c>
      <c r="CZ54" s="19">
        <v>0</v>
      </c>
      <c r="DA54" s="19">
        <v>63000</v>
      </c>
      <c r="DB54" s="19">
        <v>0</v>
      </c>
      <c r="DC54" s="19">
        <v>0</v>
      </c>
      <c r="DD54" s="19">
        <v>0</v>
      </c>
      <c r="DE54" s="19">
        <v>0</v>
      </c>
      <c r="DF54" s="19">
        <v>105000</v>
      </c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</row>
    <row r="55" spans="1:122" ht="15.75" customHeight="1" x14ac:dyDescent="0.3">
      <c r="A55" s="15">
        <v>49</v>
      </c>
      <c r="B55" s="16" t="s">
        <v>44</v>
      </c>
      <c r="C55" s="17">
        <v>21000</v>
      </c>
      <c r="D55" s="18">
        <f>Sheet3!C51</f>
        <v>108</v>
      </c>
      <c r="E55" s="19">
        <v>21000</v>
      </c>
      <c r="F55" s="19">
        <v>21000</v>
      </c>
      <c r="G55" s="19">
        <v>21000</v>
      </c>
      <c r="H55" s="19">
        <v>21000</v>
      </c>
      <c r="I55" s="19">
        <v>21000</v>
      </c>
      <c r="J55" s="19">
        <v>21000</v>
      </c>
      <c r="K55" s="19">
        <v>21000</v>
      </c>
      <c r="L55" s="19">
        <v>21000</v>
      </c>
      <c r="M55" s="19">
        <v>21000</v>
      </c>
      <c r="N55" s="19">
        <v>21000</v>
      </c>
      <c r="O55" s="19">
        <v>21000</v>
      </c>
      <c r="P55" s="19">
        <v>21000</v>
      </c>
      <c r="Q55" s="19">
        <v>21000</v>
      </c>
      <c r="R55" s="19">
        <v>21000</v>
      </c>
      <c r="S55" s="19">
        <v>21000</v>
      </c>
      <c r="T55" s="19">
        <v>21000</v>
      </c>
      <c r="U55" s="19">
        <v>21000</v>
      </c>
      <c r="V55" s="19">
        <v>21000</v>
      </c>
      <c r="W55" s="19">
        <v>21000</v>
      </c>
      <c r="X55" s="19">
        <v>0</v>
      </c>
      <c r="Y55" s="19">
        <v>42000</v>
      </c>
      <c r="Z55" s="19">
        <v>21000</v>
      </c>
      <c r="AA55" s="19">
        <v>21000</v>
      </c>
      <c r="AB55" s="19">
        <v>21000</v>
      </c>
      <c r="AC55" s="19">
        <v>21000</v>
      </c>
      <c r="AD55" s="19">
        <v>21000</v>
      </c>
      <c r="AE55" s="19">
        <v>21000</v>
      </c>
      <c r="AF55" s="19">
        <v>21000</v>
      </c>
      <c r="AG55" s="19">
        <v>21000</v>
      </c>
      <c r="AH55" s="19">
        <v>21000</v>
      </c>
      <c r="AI55" s="19">
        <v>21000</v>
      </c>
      <c r="AJ55" s="19">
        <v>21000</v>
      </c>
      <c r="AK55" s="19">
        <v>21000</v>
      </c>
      <c r="AL55" s="19">
        <v>21000</v>
      </c>
      <c r="AM55" s="19">
        <v>21000</v>
      </c>
      <c r="AN55" s="19">
        <v>21000</v>
      </c>
      <c r="AO55" s="19">
        <v>21000</v>
      </c>
      <c r="AP55" s="19">
        <v>21000</v>
      </c>
      <c r="AQ55" s="19">
        <v>21000</v>
      </c>
      <c r="AR55" s="19">
        <v>21000</v>
      </c>
      <c r="AS55" s="19">
        <v>21000</v>
      </c>
      <c r="AT55" s="19">
        <v>21000</v>
      </c>
      <c r="AU55" s="19">
        <v>21000</v>
      </c>
      <c r="AV55" s="19">
        <v>21000</v>
      </c>
      <c r="AW55" s="19">
        <v>21000</v>
      </c>
      <c r="AX55" s="19">
        <v>21000</v>
      </c>
      <c r="AY55" s="19">
        <v>21000</v>
      </c>
      <c r="AZ55" s="19">
        <v>21000</v>
      </c>
      <c r="BA55" s="19">
        <v>21000</v>
      </c>
      <c r="BB55" s="19">
        <v>21000</v>
      </c>
      <c r="BC55" s="19">
        <v>21000</v>
      </c>
      <c r="BD55" s="19">
        <v>21000</v>
      </c>
      <c r="BE55" s="19">
        <v>21000</v>
      </c>
      <c r="BF55" s="19">
        <v>21000</v>
      </c>
      <c r="BG55" s="19">
        <v>21000</v>
      </c>
      <c r="BH55" s="19">
        <v>21000</v>
      </c>
      <c r="BI55" s="19">
        <v>21000</v>
      </c>
      <c r="BJ55" s="19">
        <v>0</v>
      </c>
      <c r="BK55" s="19">
        <v>21000</v>
      </c>
      <c r="BL55" s="19">
        <v>42000</v>
      </c>
      <c r="BM55" s="19">
        <v>21000</v>
      </c>
      <c r="BN55" s="19">
        <v>0</v>
      </c>
      <c r="BO55" s="19">
        <v>42000</v>
      </c>
      <c r="BP55" s="19">
        <v>0</v>
      </c>
      <c r="BQ55" s="19">
        <v>42000</v>
      </c>
      <c r="BR55" s="19">
        <v>21000</v>
      </c>
      <c r="BS55" s="19">
        <v>21000</v>
      </c>
      <c r="BT55" s="19">
        <v>21000</v>
      </c>
      <c r="BU55" s="19">
        <v>21000</v>
      </c>
      <c r="BV55" s="19">
        <v>21000</v>
      </c>
      <c r="BW55" s="19">
        <v>21000</v>
      </c>
      <c r="BX55" s="19">
        <v>21000</v>
      </c>
      <c r="BY55" s="19">
        <v>21000</v>
      </c>
      <c r="BZ55" s="19">
        <v>0</v>
      </c>
      <c r="CA55" s="19">
        <v>42000</v>
      </c>
      <c r="CB55" s="19">
        <v>21000</v>
      </c>
      <c r="CC55" s="19">
        <v>0</v>
      </c>
      <c r="CD55" s="19">
        <v>42000</v>
      </c>
      <c r="CE55" s="19"/>
      <c r="CF55" s="19">
        <v>42000</v>
      </c>
      <c r="CG55" s="19">
        <v>21000</v>
      </c>
      <c r="CH55" s="19">
        <v>21000</v>
      </c>
      <c r="CI55" s="19">
        <v>21000</v>
      </c>
      <c r="CJ55" s="19">
        <v>21000</v>
      </c>
      <c r="CK55" s="19">
        <v>21000</v>
      </c>
      <c r="CL55" s="19">
        <v>21000</v>
      </c>
      <c r="CM55" s="19">
        <v>21000</v>
      </c>
      <c r="CN55" s="19">
        <v>0</v>
      </c>
      <c r="CO55" s="19">
        <v>42000</v>
      </c>
      <c r="CP55" s="19">
        <v>21000</v>
      </c>
      <c r="CQ55" s="24">
        <v>21000</v>
      </c>
      <c r="CR55" s="19">
        <v>0</v>
      </c>
      <c r="CS55" s="19">
        <v>42000</v>
      </c>
      <c r="CT55" s="19">
        <v>0</v>
      </c>
      <c r="CU55" s="19">
        <v>42000</v>
      </c>
      <c r="CV55" s="19">
        <v>21000</v>
      </c>
      <c r="CW55" s="19">
        <v>0</v>
      </c>
      <c r="CX55" s="19">
        <v>42000</v>
      </c>
      <c r="CY55" s="19">
        <v>21000</v>
      </c>
      <c r="CZ55" s="19">
        <v>0</v>
      </c>
      <c r="DA55" s="19">
        <v>42000</v>
      </c>
      <c r="DB55" s="19">
        <v>21000</v>
      </c>
      <c r="DC55" s="19">
        <v>21000</v>
      </c>
      <c r="DD55" s="19">
        <v>21000</v>
      </c>
      <c r="DE55" s="19">
        <v>21000</v>
      </c>
      <c r="DF55" s="19">
        <v>21000</v>
      </c>
      <c r="DG55" s="19">
        <v>21000</v>
      </c>
      <c r="DH55" s="19">
        <v>21000</v>
      </c>
      <c r="DI55" s="19"/>
      <c r="DJ55" s="19"/>
      <c r="DK55" s="19"/>
      <c r="DL55" s="19"/>
      <c r="DM55" s="19"/>
      <c r="DN55" s="19"/>
      <c r="DO55" s="19"/>
      <c r="DP55" s="19"/>
      <c r="DQ55" s="19"/>
      <c r="DR55" s="19"/>
    </row>
    <row r="56" spans="1:122" ht="15.75" customHeight="1" x14ac:dyDescent="0.3">
      <c r="A56" s="15">
        <v>50</v>
      </c>
      <c r="B56" s="16" t="s">
        <v>45</v>
      </c>
      <c r="C56" s="17">
        <v>21000</v>
      </c>
      <c r="D56" s="18">
        <f>Sheet3!C52</f>
        <v>104</v>
      </c>
      <c r="E56" s="19">
        <v>21000</v>
      </c>
      <c r="F56" s="19">
        <v>21000</v>
      </c>
      <c r="G56" s="19">
        <v>21000</v>
      </c>
      <c r="H56" s="19">
        <v>21000</v>
      </c>
      <c r="I56" s="19">
        <v>21000</v>
      </c>
      <c r="J56" s="19">
        <v>21000</v>
      </c>
      <c r="K56" s="19">
        <v>21000</v>
      </c>
      <c r="L56" s="19">
        <v>21000</v>
      </c>
      <c r="M56" s="19">
        <v>21000</v>
      </c>
      <c r="N56" s="19">
        <v>21000</v>
      </c>
      <c r="O56" s="19">
        <v>21000</v>
      </c>
      <c r="P56" s="19">
        <v>21000</v>
      </c>
      <c r="Q56" s="19">
        <v>21000</v>
      </c>
      <c r="R56" s="19">
        <v>21000</v>
      </c>
      <c r="S56" s="19">
        <v>21000</v>
      </c>
      <c r="T56" s="19">
        <v>21000</v>
      </c>
      <c r="U56" s="19">
        <v>21000</v>
      </c>
      <c r="V56" s="19">
        <v>21000</v>
      </c>
      <c r="W56" s="19">
        <v>21000</v>
      </c>
      <c r="X56" s="19">
        <v>21000</v>
      </c>
      <c r="Y56" s="19">
        <v>21000</v>
      </c>
      <c r="Z56" s="19">
        <v>21000</v>
      </c>
      <c r="AA56" s="19">
        <v>21000</v>
      </c>
      <c r="AB56" s="19">
        <v>0</v>
      </c>
      <c r="AC56" s="19">
        <v>42000</v>
      </c>
      <c r="AD56" s="19">
        <v>21000</v>
      </c>
      <c r="AE56" s="19">
        <v>21000</v>
      </c>
      <c r="AF56" s="19">
        <v>21000</v>
      </c>
      <c r="AG56" s="19">
        <v>21000</v>
      </c>
      <c r="AH56" s="19">
        <v>21000</v>
      </c>
      <c r="AI56" s="19">
        <v>21000</v>
      </c>
      <c r="AJ56" s="19">
        <v>21000</v>
      </c>
      <c r="AK56" s="19">
        <v>21000</v>
      </c>
      <c r="AL56" s="19">
        <v>21000</v>
      </c>
      <c r="AM56" s="19">
        <v>21000</v>
      </c>
      <c r="AN56" s="19">
        <v>21000</v>
      </c>
      <c r="AO56" s="19">
        <v>21000</v>
      </c>
      <c r="AP56" s="19">
        <v>21000</v>
      </c>
      <c r="AQ56" s="19">
        <v>21000</v>
      </c>
      <c r="AR56" s="19">
        <v>21000</v>
      </c>
      <c r="AS56" s="19">
        <v>21000</v>
      </c>
      <c r="AT56" s="19">
        <v>21000</v>
      </c>
      <c r="AU56" s="19">
        <v>21000</v>
      </c>
      <c r="AV56" s="19">
        <v>21000</v>
      </c>
      <c r="AW56" s="19">
        <v>0</v>
      </c>
      <c r="AX56" s="19">
        <v>42000</v>
      </c>
      <c r="AY56" s="19">
        <v>21000</v>
      </c>
      <c r="AZ56" s="19">
        <v>21000</v>
      </c>
      <c r="BA56" s="19">
        <v>0</v>
      </c>
      <c r="BB56" s="19">
        <v>42000</v>
      </c>
      <c r="BC56" s="19">
        <v>0</v>
      </c>
      <c r="BD56" s="19">
        <v>42000</v>
      </c>
      <c r="BE56" s="19">
        <v>0</v>
      </c>
      <c r="BF56" s="19">
        <v>42000</v>
      </c>
      <c r="BG56" s="19">
        <v>21000</v>
      </c>
      <c r="BH56" s="19">
        <v>21000</v>
      </c>
      <c r="BI56" s="19">
        <v>0</v>
      </c>
      <c r="BJ56" s="19">
        <v>42000</v>
      </c>
      <c r="BK56" s="19">
        <v>21000</v>
      </c>
      <c r="BL56" s="19">
        <v>0</v>
      </c>
      <c r="BM56" s="19">
        <v>42000</v>
      </c>
      <c r="BN56" s="19">
        <v>21000</v>
      </c>
      <c r="BO56" s="19">
        <v>0</v>
      </c>
      <c r="BP56" s="19">
        <v>0</v>
      </c>
      <c r="BQ56" s="19">
        <v>42000</v>
      </c>
      <c r="BR56" s="19"/>
      <c r="BS56" s="19">
        <v>21000</v>
      </c>
      <c r="BT56" s="19"/>
      <c r="BU56" s="19">
        <v>21000</v>
      </c>
      <c r="BV56" s="19">
        <v>21000</v>
      </c>
      <c r="BW56" s="19">
        <v>21000</v>
      </c>
      <c r="BX56" s="19">
        <v>21000</v>
      </c>
      <c r="BY56" s="19">
        <v>21000</v>
      </c>
      <c r="BZ56" s="19">
        <v>21000</v>
      </c>
      <c r="CA56" s="19">
        <v>21000</v>
      </c>
      <c r="CB56" s="19">
        <v>21000</v>
      </c>
      <c r="CC56" s="19">
        <v>21000</v>
      </c>
      <c r="CD56" s="19">
        <v>21000</v>
      </c>
      <c r="CE56" s="19">
        <v>21000</v>
      </c>
      <c r="CF56" s="19">
        <v>21000</v>
      </c>
      <c r="CG56" s="19">
        <v>21000</v>
      </c>
      <c r="CH56" s="19">
        <v>21000</v>
      </c>
      <c r="CI56" s="19">
        <v>21000</v>
      </c>
      <c r="CJ56" s="19">
        <v>21000</v>
      </c>
      <c r="CK56" s="19">
        <v>21000</v>
      </c>
      <c r="CL56" s="19">
        <v>0</v>
      </c>
      <c r="CM56" s="19">
        <v>21000</v>
      </c>
      <c r="CN56" s="19">
        <v>0</v>
      </c>
      <c r="CO56" s="19">
        <v>42000</v>
      </c>
      <c r="CP56" s="19">
        <v>21000</v>
      </c>
      <c r="CQ56" s="24">
        <v>21000</v>
      </c>
      <c r="CR56" s="19">
        <v>21000</v>
      </c>
      <c r="CS56" s="19">
        <v>21000</v>
      </c>
      <c r="CT56" s="19">
        <v>21000</v>
      </c>
      <c r="CU56" s="19">
        <v>21000</v>
      </c>
      <c r="CV56" s="19">
        <v>21000</v>
      </c>
      <c r="CW56" s="19">
        <v>21000</v>
      </c>
      <c r="CX56" s="19">
        <v>21000</v>
      </c>
      <c r="CY56" s="19">
        <v>21000</v>
      </c>
      <c r="CZ56" s="19">
        <v>21000</v>
      </c>
      <c r="DA56" s="19">
        <v>21000</v>
      </c>
      <c r="DB56" s="19">
        <v>21000</v>
      </c>
      <c r="DC56" s="19">
        <v>21000</v>
      </c>
      <c r="DD56" s="19">
        <v>21000</v>
      </c>
      <c r="DE56" s="19">
        <v>21000</v>
      </c>
      <c r="DF56" s="19">
        <v>21000</v>
      </c>
      <c r="DG56" s="19">
        <v>21000</v>
      </c>
      <c r="DH56" s="19">
        <v>21000</v>
      </c>
      <c r="DI56" s="19"/>
      <c r="DJ56" s="19"/>
      <c r="DK56" s="19"/>
      <c r="DL56" s="19"/>
      <c r="DM56" s="19"/>
      <c r="DN56" s="19"/>
      <c r="DO56" s="19"/>
      <c r="DP56" s="19"/>
      <c r="DQ56" s="19"/>
      <c r="DR56" s="19"/>
    </row>
    <row r="57" spans="1:122" ht="15.75" customHeight="1" x14ac:dyDescent="0.3">
      <c r="A57" s="15">
        <v>51</v>
      </c>
      <c r="B57" s="16" t="s">
        <v>46</v>
      </c>
      <c r="C57" s="17">
        <v>21000</v>
      </c>
      <c r="D57" s="18">
        <f>Sheet3!C53</f>
        <v>107</v>
      </c>
      <c r="E57" s="19">
        <v>21000</v>
      </c>
      <c r="F57" s="19">
        <v>21000</v>
      </c>
      <c r="G57" s="19">
        <v>21000</v>
      </c>
      <c r="H57" s="19">
        <v>21000</v>
      </c>
      <c r="I57" s="19">
        <v>21000</v>
      </c>
      <c r="J57" s="19">
        <v>21000</v>
      </c>
      <c r="K57" s="19">
        <v>21000</v>
      </c>
      <c r="L57" s="19">
        <v>21000</v>
      </c>
      <c r="M57" s="19">
        <v>21000</v>
      </c>
      <c r="N57" s="19">
        <v>21000</v>
      </c>
      <c r="O57" s="19">
        <v>21000</v>
      </c>
      <c r="P57" s="19">
        <v>21000</v>
      </c>
      <c r="Q57" s="19">
        <v>21000</v>
      </c>
      <c r="R57" s="19">
        <v>21000</v>
      </c>
      <c r="S57" s="19">
        <v>21000</v>
      </c>
      <c r="T57" s="19">
        <v>21000</v>
      </c>
      <c r="U57" s="19">
        <v>21000</v>
      </c>
      <c r="V57" s="19">
        <v>21000</v>
      </c>
      <c r="W57" s="19">
        <v>21000</v>
      </c>
      <c r="X57" s="19">
        <v>21000</v>
      </c>
      <c r="Y57" s="19">
        <v>21000</v>
      </c>
      <c r="Z57" s="19">
        <v>21000</v>
      </c>
      <c r="AA57" s="19">
        <v>21000</v>
      </c>
      <c r="AB57" s="19">
        <v>21000</v>
      </c>
      <c r="AC57" s="19">
        <v>21000</v>
      </c>
      <c r="AD57" s="19">
        <v>21000</v>
      </c>
      <c r="AE57" s="19">
        <v>21000</v>
      </c>
      <c r="AF57" s="19">
        <v>21000</v>
      </c>
      <c r="AG57" s="19">
        <v>21000</v>
      </c>
      <c r="AH57" s="19">
        <v>21000</v>
      </c>
      <c r="AI57" s="19">
        <v>0</v>
      </c>
      <c r="AJ57" s="19">
        <v>42000</v>
      </c>
      <c r="AK57" s="19">
        <v>0</v>
      </c>
      <c r="AL57" s="19">
        <v>42000</v>
      </c>
      <c r="AM57" s="19">
        <v>0</v>
      </c>
      <c r="AN57" s="19">
        <v>42000</v>
      </c>
      <c r="AO57" s="19">
        <v>0</v>
      </c>
      <c r="AP57" s="19">
        <v>42000</v>
      </c>
      <c r="AQ57" s="19">
        <v>21000</v>
      </c>
      <c r="AR57" s="19">
        <v>21000</v>
      </c>
      <c r="AS57" s="19">
        <v>0</v>
      </c>
      <c r="AT57" s="19">
        <v>42000</v>
      </c>
      <c r="AU57" s="19">
        <v>21000</v>
      </c>
      <c r="AV57" s="19">
        <v>0</v>
      </c>
      <c r="AW57" s="19">
        <v>0</v>
      </c>
      <c r="AX57" s="19">
        <v>0</v>
      </c>
      <c r="AY57" s="19">
        <v>0</v>
      </c>
      <c r="AZ57" s="19">
        <v>0</v>
      </c>
      <c r="BA57" s="19">
        <v>105000</v>
      </c>
      <c r="BB57" s="19">
        <v>0</v>
      </c>
      <c r="BC57" s="19">
        <v>63000</v>
      </c>
      <c r="BD57" s="19">
        <v>21000</v>
      </c>
      <c r="BE57" s="19">
        <v>21000</v>
      </c>
      <c r="BF57" s="19">
        <v>21000</v>
      </c>
      <c r="BG57" s="19">
        <v>21000</v>
      </c>
      <c r="BH57" s="19">
        <v>0</v>
      </c>
      <c r="BI57" s="19">
        <v>42000</v>
      </c>
      <c r="BJ57" s="19">
        <v>0</v>
      </c>
      <c r="BK57" s="19">
        <v>21000</v>
      </c>
      <c r="BL57" s="19">
        <v>21000</v>
      </c>
      <c r="BM57" s="19">
        <v>42000</v>
      </c>
      <c r="BN57" s="19">
        <v>21000</v>
      </c>
      <c r="BO57" s="19">
        <v>21000</v>
      </c>
      <c r="BP57" s="19">
        <v>21000</v>
      </c>
      <c r="BQ57" s="19"/>
      <c r="BR57" s="19">
        <v>42000</v>
      </c>
      <c r="BS57" s="19">
        <v>21000</v>
      </c>
      <c r="BT57" s="19">
        <v>21000</v>
      </c>
      <c r="BU57" s="19"/>
      <c r="BV57" s="19">
        <v>42000</v>
      </c>
      <c r="BW57" s="19">
        <v>21000</v>
      </c>
      <c r="BX57" s="19">
        <v>21000</v>
      </c>
      <c r="BY57" s="19">
        <v>21000</v>
      </c>
      <c r="BZ57" s="19">
        <v>21000</v>
      </c>
      <c r="CA57" s="19">
        <v>0</v>
      </c>
      <c r="CB57" s="19">
        <v>42000</v>
      </c>
      <c r="CC57" s="19">
        <v>0</v>
      </c>
      <c r="CD57" s="19">
        <v>42000</v>
      </c>
      <c r="CE57" s="19"/>
      <c r="CF57" s="19">
        <v>42000</v>
      </c>
      <c r="CG57" s="19">
        <v>0</v>
      </c>
      <c r="CH57" s="19">
        <v>42000</v>
      </c>
      <c r="CI57" s="19">
        <v>0</v>
      </c>
      <c r="CJ57" s="19">
        <v>42000</v>
      </c>
      <c r="CK57" s="19">
        <v>21000</v>
      </c>
      <c r="CL57" s="19">
        <v>21000</v>
      </c>
      <c r="CM57" s="19">
        <v>21000</v>
      </c>
      <c r="CN57" s="19">
        <v>21000</v>
      </c>
      <c r="CO57" s="19">
        <v>0</v>
      </c>
      <c r="CP57" s="19">
        <v>0</v>
      </c>
      <c r="CQ57" s="24">
        <v>42000</v>
      </c>
      <c r="CR57" s="19">
        <v>42000</v>
      </c>
      <c r="CS57" s="19">
        <v>0</v>
      </c>
      <c r="CT57" s="19">
        <v>42000</v>
      </c>
      <c r="CU57" s="19">
        <v>21000</v>
      </c>
      <c r="CV57" s="19">
        <v>0</v>
      </c>
      <c r="CW57" s="19">
        <v>0</v>
      </c>
      <c r="CX57" s="19">
        <v>0</v>
      </c>
      <c r="CY57" s="19">
        <v>0</v>
      </c>
      <c r="CZ57" s="19">
        <v>0</v>
      </c>
      <c r="DA57" s="19">
        <v>105000</v>
      </c>
      <c r="DB57" s="19">
        <v>42000</v>
      </c>
      <c r="DC57" s="19">
        <v>0</v>
      </c>
      <c r="DD57" s="19">
        <v>42000</v>
      </c>
      <c r="DE57" s="19">
        <v>21000</v>
      </c>
      <c r="DF57" s="19">
        <v>0</v>
      </c>
      <c r="DG57" s="19">
        <v>42000</v>
      </c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</row>
    <row r="58" spans="1:122" ht="15.75" customHeight="1" x14ac:dyDescent="0.3">
      <c r="A58" s="15">
        <v>52</v>
      </c>
      <c r="B58" s="16" t="s">
        <v>47</v>
      </c>
      <c r="C58" s="17">
        <v>21000</v>
      </c>
      <c r="D58" s="18">
        <f>Sheet3!C54</f>
        <v>106</v>
      </c>
      <c r="E58" s="19">
        <v>21000</v>
      </c>
      <c r="F58" s="19">
        <v>21000</v>
      </c>
      <c r="G58" s="19">
        <v>21000</v>
      </c>
      <c r="H58" s="19">
        <v>21000</v>
      </c>
      <c r="I58" s="19">
        <v>21000</v>
      </c>
      <c r="J58" s="19">
        <v>21000</v>
      </c>
      <c r="K58" s="19">
        <v>21000</v>
      </c>
      <c r="L58" s="19">
        <v>21000</v>
      </c>
      <c r="M58" s="19">
        <v>21000</v>
      </c>
      <c r="N58" s="19">
        <v>21000</v>
      </c>
      <c r="O58" s="19">
        <v>21000</v>
      </c>
      <c r="P58" s="19">
        <v>21000</v>
      </c>
      <c r="Q58" s="19">
        <v>21000</v>
      </c>
      <c r="R58" s="19">
        <v>21000</v>
      </c>
      <c r="S58" s="19">
        <v>21000</v>
      </c>
      <c r="T58" s="19">
        <v>21000</v>
      </c>
      <c r="U58" s="19">
        <v>21000</v>
      </c>
      <c r="V58" s="19">
        <v>21000</v>
      </c>
      <c r="W58" s="19">
        <v>21000</v>
      </c>
      <c r="X58" s="19">
        <v>21000</v>
      </c>
      <c r="Y58" s="19">
        <v>21000</v>
      </c>
      <c r="Z58" s="19">
        <v>21000</v>
      </c>
      <c r="AA58" s="19">
        <v>21000</v>
      </c>
      <c r="AB58" s="19">
        <v>21000</v>
      </c>
      <c r="AC58" s="19">
        <v>21000</v>
      </c>
      <c r="AD58" s="19">
        <v>21000</v>
      </c>
      <c r="AE58" s="19">
        <v>21000</v>
      </c>
      <c r="AF58" s="19">
        <v>21000</v>
      </c>
      <c r="AG58" s="19">
        <v>21000</v>
      </c>
      <c r="AH58" s="19">
        <v>21000</v>
      </c>
      <c r="AI58" s="19">
        <v>21000</v>
      </c>
      <c r="AJ58" s="19">
        <v>21000</v>
      </c>
      <c r="AK58" s="19">
        <v>21000</v>
      </c>
      <c r="AL58" s="19">
        <v>21000</v>
      </c>
      <c r="AM58" s="19">
        <v>21000</v>
      </c>
      <c r="AN58" s="19">
        <v>21000</v>
      </c>
      <c r="AO58" s="19">
        <v>21000</v>
      </c>
      <c r="AP58" s="19">
        <v>21000</v>
      </c>
      <c r="AQ58" s="19">
        <v>21000</v>
      </c>
      <c r="AR58" s="19">
        <v>21000</v>
      </c>
      <c r="AS58" s="19">
        <v>21000</v>
      </c>
      <c r="AT58" s="19">
        <v>21000</v>
      </c>
      <c r="AU58" s="19">
        <v>21000</v>
      </c>
      <c r="AV58" s="19">
        <v>0</v>
      </c>
      <c r="AW58" s="19">
        <v>42000</v>
      </c>
      <c r="AX58" s="19">
        <v>21000</v>
      </c>
      <c r="AY58" s="19">
        <v>21000</v>
      </c>
      <c r="AZ58" s="19">
        <v>21000</v>
      </c>
      <c r="BA58" s="19">
        <v>21000</v>
      </c>
      <c r="BB58" s="19">
        <v>21000</v>
      </c>
      <c r="BC58" s="19">
        <v>0</v>
      </c>
      <c r="BD58" s="19">
        <v>42000</v>
      </c>
      <c r="BE58" s="19">
        <v>21000</v>
      </c>
      <c r="BF58" s="19">
        <v>21000</v>
      </c>
      <c r="BG58" s="19">
        <v>21000</v>
      </c>
      <c r="BH58" s="19">
        <v>0</v>
      </c>
      <c r="BI58" s="19">
        <v>42000</v>
      </c>
      <c r="BJ58" s="19">
        <v>21000</v>
      </c>
      <c r="BK58" s="19">
        <v>0</v>
      </c>
      <c r="BL58" s="19">
        <v>42000</v>
      </c>
      <c r="BM58" s="19">
        <v>21000</v>
      </c>
      <c r="BN58" s="19">
        <v>21000</v>
      </c>
      <c r="BO58" s="19">
        <v>21000</v>
      </c>
      <c r="BP58" s="19">
        <v>21000</v>
      </c>
      <c r="BQ58" s="19">
        <v>21000</v>
      </c>
      <c r="BR58" s="19">
        <v>21000</v>
      </c>
      <c r="BS58" s="19">
        <v>21000</v>
      </c>
      <c r="BT58" s="19">
        <v>21000</v>
      </c>
      <c r="BU58" s="19">
        <v>21000</v>
      </c>
      <c r="BV58" s="19">
        <v>21000</v>
      </c>
      <c r="BW58" s="19">
        <v>21000</v>
      </c>
      <c r="BX58" s="19">
        <v>21000</v>
      </c>
      <c r="BY58" s="19">
        <v>21000</v>
      </c>
      <c r="BZ58" s="19">
        <v>21000</v>
      </c>
      <c r="CA58" s="19">
        <v>21000</v>
      </c>
      <c r="CB58" s="19">
        <v>21000</v>
      </c>
      <c r="CC58" s="19">
        <v>21000</v>
      </c>
      <c r="CD58" s="19">
        <v>21000</v>
      </c>
      <c r="CE58" s="19">
        <v>21000</v>
      </c>
      <c r="CF58" s="19">
        <v>21000</v>
      </c>
      <c r="CG58" s="19">
        <v>0</v>
      </c>
      <c r="CH58" s="19">
        <v>21000</v>
      </c>
      <c r="CI58" s="19">
        <v>21000</v>
      </c>
      <c r="CJ58" s="19">
        <v>21000</v>
      </c>
      <c r="CK58" s="19">
        <v>21000</v>
      </c>
      <c r="CL58" s="19">
        <v>21000</v>
      </c>
      <c r="CM58" s="19">
        <v>21000</v>
      </c>
      <c r="CN58" s="19">
        <v>21000</v>
      </c>
      <c r="CO58" s="19">
        <v>21000</v>
      </c>
      <c r="CP58" s="19">
        <v>21000</v>
      </c>
      <c r="CQ58" s="24">
        <v>21000</v>
      </c>
      <c r="CR58" s="19">
        <v>21000</v>
      </c>
      <c r="CS58" s="19">
        <v>21000</v>
      </c>
      <c r="CT58" s="19">
        <v>21000</v>
      </c>
      <c r="CU58" s="19">
        <v>21000</v>
      </c>
      <c r="CV58" s="19">
        <v>21000</v>
      </c>
      <c r="CW58" s="19">
        <v>0</v>
      </c>
      <c r="CX58" s="19">
        <v>42000</v>
      </c>
      <c r="CY58" s="19">
        <v>21000</v>
      </c>
      <c r="CZ58" s="19">
        <v>21000</v>
      </c>
      <c r="DA58" s="19">
        <v>21000</v>
      </c>
      <c r="DB58" s="19">
        <v>21000</v>
      </c>
      <c r="DC58" s="19">
        <v>21000</v>
      </c>
      <c r="DD58" s="19">
        <v>21000</v>
      </c>
      <c r="DE58" s="19">
        <v>21000</v>
      </c>
      <c r="DF58" s="19">
        <v>0</v>
      </c>
      <c r="DG58" s="19">
        <v>21000</v>
      </c>
      <c r="DH58" s="19">
        <v>21000</v>
      </c>
      <c r="DI58" s="19"/>
      <c r="DJ58" s="19"/>
      <c r="DK58" s="19"/>
      <c r="DL58" s="19"/>
      <c r="DM58" s="19"/>
      <c r="DN58" s="19"/>
      <c r="DO58" s="19"/>
      <c r="DP58" s="19"/>
      <c r="DQ58" s="19"/>
      <c r="DR58" s="19"/>
    </row>
    <row r="59" spans="1:122" ht="15.75" customHeight="1" x14ac:dyDescent="0.3">
      <c r="A59" s="15">
        <v>53</v>
      </c>
      <c r="B59" s="16" t="s">
        <v>48</v>
      </c>
      <c r="C59" s="17">
        <v>21000</v>
      </c>
      <c r="D59" s="18">
        <f>Sheet3!C55</f>
        <v>107</v>
      </c>
      <c r="E59" s="19">
        <v>21000</v>
      </c>
      <c r="F59" s="19">
        <v>21000</v>
      </c>
      <c r="G59" s="19">
        <v>21000</v>
      </c>
      <c r="H59" s="19">
        <v>21000</v>
      </c>
      <c r="I59" s="19">
        <v>21000</v>
      </c>
      <c r="J59" s="19">
        <v>21000</v>
      </c>
      <c r="K59" s="19">
        <v>21000</v>
      </c>
      <c r="L59" s="19">
        <v>21000</v>
      </c>
      <c r="M59" s="19">
        <v>21000</v>
      </c>
      <c r="N59" s="19">
        <v>21000</v>
      </c>
      <c r="O59" s="19">
        <v>21000</v>
      </c>
      <c r="P59" s="19">
        <v>21000</v>
      </c>
      <c r="Q59" s="19">
        <v>21000</v>
      </c>
      <c r="R59" s="19">
        <v>21000</v>
      </c>
      <c r="S59" s="19">
        <v>21000</v>
      </c>
      <c r="T59" s="19">
        <v>21000</v>
      </c>
      <c r="U59" s="19">
        <v>21000</v>
      </c>
      <c r="V59" s="19">
        <v>21000</v>
      </c>
      <c r="W59" s="19">
        <v>21000</v>
      </c>
      <c r="X59" s="19">
        <v>21000</v>
      </c>
      <c r="Y59" s="19">
        <v>21000</v>
      </c>
      <c r="Z59" s="19">
        <v>0</v>
      </c>
      <c r="AA59" s="19">
        <v>42000</v>
      </c>
      <c r="AB59" s="19">
        <v>0</v>
      </c>
      <c r="AC59" s="19">
        <v>42000</v>
      </c>
      <c r="AD59" s="19">
        <v>0</v>
      </c>
      <c r="AE59" s="19">
        <v>42000</v>
      </c>
      <c r="AF59" s="19">
        <v>21000</v>
      </c>
      <c r="AG59" s="19">
        <v>0</v>
      </c>
      <c r="AH59" s="19">
        <v>42000</v>
      </c>
      <c r="AI59" s="19">
        <v>21000</v>
      </c>
      <c r="AJ59" s="19">
        <v>0</v>
      </c>
      <c r="AK59" s="19">
        <v>0</v>
      </c>
      <c r="AL59" s="19">
        <v>63000</v>
      </c>
      <c r="AM59" s="19">
        <v>21000</v>
      </c>
      <c r="AN59" s="19">
        <v>21000</v>
      </c>
      <c r="AO59" s="19">
        <v>0</v>
      </c>
      <c r="AP59" s="19">
        <v>42000</v>
      </c>
      <c r="AQ59" s="19">
        <v>21000</v>
      </c>
      <c r="AR59" s="19">
        <v>21000</v>
      </c>
      <c r="AS59" s="19">
        <v>21000</v>
      </c>
      <c r="AT59" s="19">
        <v>21000</v>
      </c>
      <c r="AU59" s="19">
        <v>21000</v>
      </c>
      <c r="AV59" s="19">
        <v>21000</v>
      </c>
      <c r="AW59" s="19">
        <v>21000</v>
      </c>
      <c r="AX59" s="19">
        <v>21000</v>
      </c>
      <c r="AY59" s="19">
        <v>21000</v>
      </c>
      <c r="AZ59" s="19">
        <v>21000</v>
      </c>
      <c r="BA59" s="19">
        <v>21000</v>
      </c>
      <c r="BB59" s="19">
        <v>21000</v>
      </c>
      <c r="BC59" s="19">
        <v>21000</v>
      </c>
      <c r="BD59" s="19">
        <v>0</v>
      </c>
      <c r="BE59" s="19">
        <v>42000</v>
      </c>
      <c r="BF59" s="19">
        <v>21000</v>
      </c>
      <c r="BG59" s="19">
        <v>21000</v>
      </c>
      <c r="BH59" s="19">
        <v>0</v>
      </c>
      <c r="BI59" s="19">
        <v>42000</v>
      </c>
      <c r="BJ59" s="19">
        <v>21000</v>
      </c>
      <c r="BK59" s="19">
        <v>21000</v>
      </c>
      <c r="BL59" s="19">
        <v>21000</v>
      </c>
      <c r="BM59" s="19">
        <v>21000</v>
      </c>
      <c r="BN59" s="19">
        <v>0</v>
      </c>
      <c r="BO59" s="19">
        <v>42000</v>
      </c>
      <c r="BP59" s="19">
        <v>21000</v>
      </c>
      <c r="BQ59" s="19">
        <v>21000</v>
      </c>
      <c r="BR59" s="19"/>
      <c r="BS59" s="19">
        <v>42000</v>
      </c>
      <c r="BT59" s="19">
        <v>21000</v>
      </c>
      <c r="BU59" s="19">
        <v>21000</v>
      </c>
      <c r="BV59" s="19">
        <v>0</v>
      </c>
      <c r="BW59" s="19">
        <v>0</v>
      </c>
      <c r="BX59" s="19">
        <v>63000</v>
      </c>
      <c r="BY59" s="19">
        <v>0</v>
      </c>
      <c r="BZ59" s="19">
        <v>0</v>
      </c>
      <c r="CA59" s="19">
        <v>42000</v>
      </c>
      <c r="CB59" s="19">
        <v>42000</v>
      </c>
      <c r="CC59" s="19">
        <v>21000</v>
      </c>
      <c r="CD59" s="19">
        <v>21000</v>
      </c>
      <c r="CE59" s="19"/>
      <c r="CF59" s="19">
        <v>42000</v>
      </c>
      <c r="CG59" s="19">
        <v>0</v>
      </c>
      <c r="CH59" s="19">
        <v>42000</v>
      </c>
      <c r="CI59" s="19">
        <v>0</v>
      </c>
      <c r="CJ59" s="19">
        <v>42000</v>
      </c>
      <c r="CK59" s="19">
        <v>0</v>
      </c>
      <c r="CL59" s="19">
        <v>0</v>
      </c>
      <c r="CM59" s="19">
        <v>42000</v>
      </c>
      <c r="CN59" s="19">
        <v>21000</v>
      </c>
      <c r="CO59" s="19">
        <v>21000</v>
      </c>
      <c r="CP59" s="19">
        <v>0</v>
      </c>
      <c r="CQ59" s="24">
        <v>42000</v>
      </c>
      <c r="CR59" s="19">
        <v>21000</v>
      </c>
      <c r="CS59" s="19">
        <v>21000</v>
      </c>
      <c r="CT59" s="19">
        <v>21000</v>
      </c>
      <c r="CU59" s="19">
        <v>0</v>
      </c>
      <c r="CV59" s="19">
        <v>42000</v>
      </c>
      <c r="CW59" s="19">
        <v>21000</v>
      </c>
      <c r="CX59" s="19">
        <v>21000</v>
      </c>
      <c r="CY59" s="19">
        <v>0</v>
      </c>
      <c r="CZ59" s="19">
        <v>42000</v>
      </c>
      <c r="DA59" s="19">
        <v>21000</v>
      </c>
      <c r="DB59" s="19">
        <v>21000</v>
      </c>
      <c r="DC59" s="19">
        <v>0</v>
      </c>
      <c r="DD59" s="19">
        <v>42000</v>
      </c>
      <c r="DE59" s="19">
        <v>21000</v>
      </c>
      <c r="DF59" s="19">
        <v>0</v>
      </c>
      <c r="DG59" s="19"/>
      <c r="DH59" s="19">
        <v>63000</v>
      </c>
      <c r="DI59" s="19"/>
      <c r="DJ59" s="19"/>
      <c r="DK59" s="19"/>
      <c r="DL59" s="19"/>
      <c r="DM59" s="19"/>
      <c r="DN59" s="19"/>
      <c r="DO59" s="19"/>
      <c r="DP59" s="19"/>
      <c r="DQ59" s="19"/>
      <c r="DR59" s="19"/>
    </row>
    <row r="60" spans="1:122" ht="15.75" customHeight="1" x14ac:dyDescent="0.3">
      <c r="A60" s="15">
        <v>54</v>
      </c>
      <c r="B60" s="16" t="s">
        <v>49</v>
      </c>
      <c r="C60" s="17">
        <v>21000</v>
      </c>
      <c r="D60" s="18">
        <f>Sheet3!C56</f>
        <v>99</v>
      </c>
      <c r="E60" s="19">
        <v>21000</v>
      </c>
      <c r="F60" s="19">
        <v>21000</v>
      </c>
      <c r="G60" s="19">
        <v>21000</v>
      </c>
      <c r="H60" s="19">
        <v>21000</v>
      </c>
      <c r="I60" s="19">
        <v>21000</v>
      </c>
      <c r="J60" s="19">
        <v>21000</v>
      </c>
      <c r="K60" s="19">
        <v>21000</v>
      </c>
      <c r="L60" s="19">
        <v>21000</v>
      </c>
      <c r="M60" s="19">
        <v>21000</v>
      </c>
      <c r="N60" s="19">
        <v>21000</v>
      </c>
      <c r="O60" s="19">
        <v>21000</v>
      </c>
      <c r="P60" s="19">
        <v>21000</v>
      </c>
      <c r="Q60" s="19">
        <v>21000</v>
      </c>
      <c r="R60" s="19">
        <v>21000</v>
      </c>
      <c r="S60" s="19">
        <v>21000</v>
      </c>
      <c r="T60" s="19">
        <v>21000</v>
      </c>
      <c r="U60" s="19">
        <v>21000</v>
      </c>
      <c r="V60" s="19">
        <v>21000</v>
      </c>
      <c r="W60" s="19">
        <v>21000</v>
      </c>
      <c r="X60" s="19">
        <v>21000</v>
      </c>
      <c r="Y60" s="19">
        <v>21000</v>
      </c>
      <c r="Z60" s="19">
        <v>21000</v>
      </c>
      <c r="AA60" s="19">
        <v>21000</v>
      </c>
      <c r="AB60" s="19">
        <v>21000</v>
      </c>
      <c r="AC60" s="19">
        <v>21000</v>
      </c>
      <c r="AD60" s="19">
        <v>21000</v>
      </c>
      <c r="AE60" s="19">
        <v>21000</v>
      </c>
      <c r="AF60" s="19">
        <v>21000</v>
      </c>
      <c r="AG60" s="19">
        <v>21000</v>
      </c>
      <c r="AH60" s="19">
        <v>21000</v>
      </c>
      <c r="AI60" s="19">
        <v>21000</v>
      </c>
      <c r="AJ60" s="19">
        <v>21000</v>
      </c>
      <c r="AK60" s="19">
        <v>0</v>
      </c>
      <c r="AL60" s="19">
        <v>21000</v>
      </c>
      <c r="AM60" s="19">
        <v>0</v>
      </c>
      <c r="AN60" s="19">
        <v>42000</v>
      </c>
      <c r="AO60" s="19">
        <v>21000</v>
      </c>
      <c r="AP60" s="19">
        <v>21000</v>
      </c>
      <c r="AQ60" s="19">
        <v>0</v>
      </c>
      <c r="AR60" s="19">
        <v>42000</v>
      </c>
      <c r="AS60" s="19">
        <v>0</v>
      </c>
      <c r="AT60" s="19">
        <v>42000</v>
      </c>
      <c r="AU60" s="19">
        <v>21000</v>
      </c>
      <c r="AV60" s="19">
        <v>0</v>
      </c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>
        <v>0</v>
      </c>
      <c r="BC60" s="19">
        <v>0</v>
      </c>
      <c r="BD60" s="19">
        <v>0</v>
      </c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>
        <v>210000</v>
      </c>
      <c r="BM60" s="19">
        <v>0</v>
      </c>
      <c r="BN60" s="19">
        <v>0</v>
      </c>
      <c r="BO60" s="19">
        <v>0</v>
      </c>
      <c r="BP60" s="19">
        <v>0</v>
      </c>
      <c r="BQ60" s="19">
        <v>168000</v>
      </c>
      <c r="BR60" s="19"/>
      <c r="BS60" s="19"/>
      <c r="BT60" s="19">
        <v>42000</v>
      </c>
      <c r="BU60" s="19"/>
      <c r="BV60" s="19">
        <v>0</v>
      </c>
      <c r="BW60" s="19">
        <v>21000</v>
      </c>
      <c r="BX60" s="19">
        <v>0</v>
      </c>
      <c r="BY60" s="19"/>
      <c r="BZ60" s="19">
        <v>0</v>
      </c>
      <c r="CA60" s="19">
        <v>0</v>
      </c>
      <c r="CB60" s="19">
        <v>0</v>
      </c>
      <c r="CC60" s="19">
        <v>0</v>
      </c>
      <c r="CD60" s="19">
        <v>0</v>
      </c>
      <c r="CE60" s="19">
        <v>0</v>
      </c>
      <c r="CF60" s="19">
        <v>0</v>
      </c>
      <c r="CG60" s="19">
        <v>0</v>
      </c>
      <c r="CH60" s="19">
        <v>0</v>
      </c>
      <c r="CI60" s="19">
        <v>0</v>
      </c>
      <c r="CJ60" s="19">
        <v>0</v>
      </c>
      <c r="CK60" s="19">
        <v>294000</v>
      </c>
      <c r="CL60" s="19">
        <v>0</v>
      </c>
      <c r="CM60" s="19">
        <v>0</v>
      </c>
      <c r="CN60" s="19">
        <v>0</v>
      </c>
      <c r="CO60" s="19">
        <v>0</v>
      </c>
      <c r="CP60" s="19">
        <v>0</v>
      </c>
      <c r="CQ60" s="24">
        <v>0</v>
      </c>
      <c r="CR60" s="19">
        <v>0</v>
      </c>
      <c r="CS60" s="19">
        <v>0</v>
      </c>
      <c r="CT60" s="19">
        <v>0</v>
      </c>
      <c r="CU60" s="19">
        <v>0</v>
      </c>
      <c r="CV60" s="19">
        <v>0</v>
      </c>
      <c r="CW60" s="19">
        <v>0</v>
      </c>
      <c r="CX60" s="19">
        <v>0</v>
      </c>
      <c r="CY60" s="19">
        <v>0</v>
      </c>
      <c r="CZ60" s="19">
        <v>0</v>
      </c>
      <c r="DA60" s="19">
        <v>0</v>
      </c>
      <c r="DB60" s="19">
        <v>0</v>
      </c>
      <c r="DC60" s="19">
        <v>0</v>
      </c>
      <c r="DD60" s="19">
        <v>0</v>
      </c>
      <c r="DE60" s="19">
        <v>0</v>
      </c>
      <c r="DF60" s="19">
        <v>0</v>
      </c>
      <c r="DG60" s="19"/>
      <c r="DH60" s="19">
        <v>462000</v>
      </c>
      <c r="DI60" s="19"/>
      <c r="DJ60" s="19"/>
      <c r="DK60" s="19"/>
      <c r="DL60" s="19"/>
      <c r="DM60" s="19"/>
      <c r="DN60" s="19"/>
      <c r="DO60" s="19"/>
      <c r="DP60" s="19"/>
      <c r="DQ60" s="19"/>
      <c r="DR60" s="19"/>
    </row>
    <row r="61" spans="1:122" ht="15.75" customHeight="1" x14ac:dyDescent="0.3">
      <c r="A61" s="15">
        <v>55</v>
      </c>
      <c r="B61" s="16" t="s">
        <v>50</v>
      </c>
      <c r="C61" s="17">
        <v>21000</v>
      </c>
      <c r="D61" s="18">
        <f>Sheet3!C57</f>
        <v>106</v>
      </c>
      <c r="E61" s="19">
        <v>21000</v>
      </c>
      <c r="F61" s="19">
        <v>21000</v>
      </c>
      <c r="G61" s="19">
        <v>21000</v>
      </c>
      <c r="H61" s="19">
        <v>21000</v>
      </c>
      <c r="I61" s="19">
        <v>21000</v>
      </c>
      <c r="J61" s="19">
        <v>21000</v>
      </c>
      <c r="K61" s="19">
        <v>21000</v>
      </c>
      <c r="L61" s="19">
        <v>21000</v>
      </c>
      <c r="M61" s="19">
        <v>21000</v>
      </c>
      <c r="N61" s="19">
        <v>21000</v>
      </c>
      <c r="O61" s="19">
        <v>21000</v>
      </c>
      <c r="P61" s="19">
        <v>21000</v>
      </c>
      <c r="Q61" s="19">
        <v>21000</v>
      </c>
      <c r="R61" s="19">
        <v>21000</v>
      </c>
      <c r="S61" s="19">
        <v>21000</v>
      </c>
      <c r="T61" s="19">
        <v>21000</v>
      </c>
      <c r="U61" s="19">
        <v>21000</v>
      </c>
      <c r="V61" s="19">
        <v>21000</v>
      </c>
      <c r="W61" s="19">
        <v>21000</v>
      </c>
      <c r="X61" s="19">
        <v>21000</v>
      </c>
      <c r="Y61" s="19">
        <v>21000</v>
      </c>
      <c r="Z61" s="19">
        <v>21000</v>
      </c>
      <c r="AA61" s="19">
        <v>21000</v>
      </c>
      <c r="AB61" s="19">
        <v>21000</v>
      </c>
      <c r="AC61" s="19">
        <v>21000</v>
      </c>
      <c r="AD61" s="19">
        <v>21000</v>
      </c>
      <c r="AE61" s="19">
        <v>0</v>
      </c>
      <c r="AF61" s="19">
        <v>42000</v>
      </c>
      <c r="AG61" s="19">
        <v>21000</v>
      </c>
      <c r="AH61" s="19">
        <v>21000</v>
      </c>
      <c r="AI61" s="19">
        <v>21000</v>
      </c>
      <c r="AJ61" s="19">
        <v>21000</v>
      </c>
      <c r="AK61" s="19">
        <v>21000</v>
      </c>
      <c r="AL61" s="19">
        <v>21000</v>
      </c>
      <c r="AM61" s="19">
        <v>21000</v>
      </c>
      <c r="AN61" s="19">
        <v>21000</v>
      </c>
      <c r="AO61" s="19">
        <v>21000</v>
      </c>
      <c r="AP61" s="19">
        <v>21000</v>
      </c>
      <c r="AQ61" s="19">
        <v>21000</v>
      </c>
      <c r="AR61" s="19">
        <v>21000</v>
      </c>
      <c r="AS61" s="19">
        <v>21000</v>
      </c>
      <c r="AT61" s="19">
        <v>21000</v>
      </c>
      <c r="AU61" s="19">
        <v>21000</v>
      </c>
      <c r="AV61" s="19">
        <v>21000</v>
      </c>
      <c r="AW61" s="19">
        <v>21000</v>
      </c>
      <c r="AX61" s="19">
        <v>21000</v>
      </c>
      <c r="AY61" s="19">
        <v>21000</v>
      </c>
      <c r="AZ61" s="19">
        <v>21000</v>
      </c>
      <c r="BA61" s="19">
        <v>21000</v>
      </c>
      <c r="BB61" s="19">
        <v>21000</v>
      </c>
      <c r="BC61" s="19">
        <v>21000</v>
      </c>
      <c r="BD61" s="19">
        <v>21000</v>
      </c>
      <c r="BE61" s="19">
        <v>21000</v>
      </c>
      <c r="BF61" s="19">
        <v>21000</v>
      </c>
      <c r="BG61" s="19">
        <v>21000</v>
      </c>
      <c r="BH61" s="19">
        <v>21000</v>
      </c>
      <c r="BI61" s="19">
        <v>21000</v>
      </c>
      <c r="BJ61" s="19">
        <v>21000</v>
      </c>
      <c r="BK61" s="19">
        <v>21000</v>
      </c>
      <c r="BL61" s="19">
        <v>21000</v>
      </c>
      <c r="BM61" s="19">
        <v>21000</v>
      </c>
      <c r="BN61" s="19">
        <v>21000</v>
      </c>
      <c r="BO61" s="19">
        <v>21000</v>
      </c>
      <c r="BP61" s="19">
        <v>21000</v>
      </c>
      <c r="BQ61" s="19">
        <v>21000</v>
      </c>
      <c r="BR61" s="19">
        <v>21000</v>
      </c>
      <c r="BS61" s="19">
        <v>21000</v>
      </c>
      <c r="BT61" s="19">
        <v>21000</v>
      </c>
      <c r="BU61" s="19">
        <v>21000</v>
      </c>
      <c r="BV61" s="19">
        <v>21000</v>
      </c>
      <c r="BW61" s="19">
        <v>0</v>
      </c>
      <c r="BX61" s="19">
        <v>42000</v>
      </c>
      <c r="BY61" s="19">
        <v>21000</v>
      </c>
      <c r="BZ61" s="19">
        <v>0</v>
      </c>
      <c r="CA61" s="19">
        <v>21000</v>
      </c>
      <c r="CB61" s="19">
        <v>21000</v>
      </c>
      <c r="CC61" s="19">
        <v>21000</v>
      </c>
      <c r="CD61" s="19">
        <v>21000</v>
      </c>
      <c r="CE61" s="19">
        <v>21000</v>
      </c>
      <c r="CF61" s="19">
        <v>21000</v>
      </c>
      <c r="CG61" s="19">
        <v>21000</v>
      </c>
      <c r="CH61" s="19">
        <v>21000</v>
      </c>
      <c r="CI61" s="19">
        <v>21000</v>
      </c>
      <c r="CJ61" s="19">
        <v>21000</v>
      </c>
      <c r="CK61" s="19">
        <v>21000</v>
      </c>
      <c r="CL61" s="19">
        <v>21000</v>
      </c>
      <c r="CM61" s="19">
        <v>0</v>
      </c>
      <c r="CN61" s="19">
        <v>42000</v>
      </c>
      <c r="CO61" s="19">
        <v>21000</v>
      </c>
      <c r="CP61" s="19">
        <v>21000</v>
      </c>
      <c r="CQ61" s="24">
        <v>21000</v>
      </c>
      <c r="CR61" s="19">
        <v>21000</v>
      </c>
      <c r="CS61" s="19">
        <v>21000</v>
      </c>
      <c r="CT61" s="19">
        <v>21000</v>
      </c>
      <c r="CU61" s="19">
        <v>21000</v>
      </c>
      <c r="CV61" s="19">
        <v>21000</v>
      </c>
      <c r="CW61" s="19">
        <v>21000</v>
      </c>
      <c r="CX61" s="19">
        <v>0</v>
      </c>
      <c r="CY61" s="19">
        <v>42000</v>
      </c>
      <c r="CZ61" s="19">
        <v>0</v>
      </c>
      <c r="DA61" s="19">
        <v>42000</v>
      </c>
      <c r="DB61" s="19">
        <v>21000</v>
      </c>
      <c r="DC61" s="19">
        <v>0</v>
      </c>
      <c r="DD61" s="19">
        <v>42000</v>
      </c>
      <c r="DE61" s="19">
        <v>21000</v>
      </c>
      <c r="DF61" s="19">
        <v>0</v>
      </c>
      <c r="DG61" s="19">
        <v>42000</v>
      </c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</row>
    <row r="62" spans="1:122" ht="15.75" customHeight="1" x14ac:dyDescent="0.3">
      <c r="A62" s="15">
        <v>56</v>
      </c>
      <c r="B62" s="16" t="s">
        <v>6</v>
      </c>
      <c r="C62" s="17">
        <v>21000</v>
      </c>
      <c r="D62" s="18">
        <f>Sheet3!C58</f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>
        <v>0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  <c r="BK62" s="19">
        <v>0</v>
      </c>
      <c r="BL62" s="19">
        <v>0</v>
      </c>
      <c r="BM62" s="19">
        <v>0</v>
      </c>
      <c r="BN62" s="19">
        <v>0</v>
      </c>
      <c r="BO62" s="19">
        <v>0</v>
      </c>
      <c r="BP62" s="19">
        <v>0</v>
      </c>
      <c r="BQ62" s="19"/>
      <c r="BR62" s="19"/>
      <c r="BS62" s="19"/>
      <c r="BT62" s="19"/>
      <c r="BU62" s="19"/>
      <c r="BV62" s="19">
        <v>0</v>
      </c>
      <c r="BW62" s="19">
        <v>0</v>
      </c>
      <c r="BX62" s="19">
        <v>0</v>
      </c>
      <c r="BY62" s="19">
        <v>0</v>
      </c>
      <c r="BZ62" s="19">
        <v>0</v>
      </c>
      <c r="CA62" s="19">
        <v>0</v>
      </c>
      <c r="CB62" s="19">
        <v>0</v>
      </c>
      <c r="CC62" s="19">
        <v>0</v>
      </c>
      <c r="CD62" s="19">
        <v>0</v>
      </c>
      <c r="CE62" s="19">
        <v>0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0</v>
      </c>
      <c r="CL62" s="19">
        <v>0</v>
      </c>
      <c r="CM62" s="19">
        <v>0</v>
      </c>
      <c r="CN62" s="19">
        <v>0</v>
      </c>
      <c r="CO62" s="19">
        <v>0</v>
      </c>
      <c r="CP62" s="19">
        <v>0</v>
      </c>
      <c r="CQ62" s="24">
        <v>0</v>
      </c>
      <c r="CR62" s="19">
        <v>0</v>
      </c>
      <c r="CS62" s="19">
        <v>0</v>
      </c>
      <c r="CT62" s="19">
        <v>0</v>
      </c>
      <c r="CU62" s="19">
        <v>0</v>
      </c>
      <c r="CV62" s="19">
        <v>0</v>
      </c>
      <c r="CW62" s="19">
        <v>0</v>
      </c>
      <c r="CX62" s="19">
        <v>0</v>
      </c>
      <c r="CY62" s="19">
        <v>0</v>
      </c>
      <c r="CZ62" s="19">
        <v>0</v>
      </c>
      <c r="DA62" s="19">
        <v>0</v>
      </c>
      <c r="DB62" s="19">
        <v>0</v>
      </c>
      <c r="DC62" s="19">
        <v>0</v>
      </c>
      <c r="DD62" s="19">
        <v>0</v>
      </c>
      <c r="DE62" s="19">
        <v>0</v>
      </c>
      <c r="DF62" s="19">
        <v>0</v>
      </c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</row>
    <row r="63" spans="1:122" ht="15.75" customHeight="1" x14ac:dyDescent="0.3">
      <c r="A63" s="15">
        <v>57</v>
      </c>
      <c r="B63" s="16" t="s">
        <v>51</v>
      </c>
      <c r="C63" s="17">
        <v>21000</v>
      </c>
      <c r="D63" s="18">
        <f>Sheet3!C59</f>
        <v>99</v>
      </c>
      <c r="E63" s="19">
        <v>21000</v>
      </c>
      <c r="F63" s="19">
        <v>21000</v>
      </c>
      <c r="G63" s="19">
        <v>21000</v>
      </c>
      <c r="H63" s="19">
        <v>21000</v>
      </c>
      <c r="I63" s="19">
        <v>21000</v>
      </c>
      <c r="J63" s="19">
        <v>21000</v>
      </c>
      <c r="K63" s="19">
        <v>21000</v>
      </c>
      <c r="L63" s="19">
        <v>21000</v>
      </c>
      <c r="M63" s="19">
        <v>21000</v>
      </c>
      <c r="N63" s="19">
        <v>21000</v>
      </c>
      <c r="O63" s="19">
        <v>21000</v>
      </c>
      <c r="P63" s="19">
        <v>21000</v>
      </c>
      <c r="Q63" s="19">
        <v>21000</v>
      </c>
      <c r="R63" s="19">
        <v>21000</v>
      </c>
      <c r="S63" s="19">
        <v>21000</v>
      </c>
      <c r="T63" s="19">
        <v>21000</v>
      </c>
      <c r="U63" s="19">
        <v>21000</v>
      </c>
      <c r="V63" s="19">
        <v>21000</v>
      </c>
      <c r="W63" s="19">
        <v>21000</v>
      </c>
      <c r="X63" s="19">
        <v>21000</v>
      </c>
      <c r="Y63" s="19">
        <v>0</v>
      </c>
      <c r="Z63" s="19">
        <v>0</v>
      </c>
      <c r="AA63" s="19">
        <v>21000</v>
      </c>
      <c r="AB63" s="19">
        <v>0</v>
      </c>
      <c r="AC63" s="19">
        <v>42000</v>
      </c>
      <c r="AD63" s="19">
        <v>0</v>
      </c>
      <c r="AE63" s="19">
        <v>42000</v>
      </c>
      <c r="AF63" s="19">
        <v>0</v>
      </c>
      <c r="AG63" s="19">
        <v>42000</v>
      </c>
      <c r="AH63" s="19">
        <v>0</v>
      </c>
      <c r="AI63" s="19">
        <v>42000</v>
      </c>
      <c r="AJ63" s="19">
        <v>0</v>
      </c>
      <c r="AK63" s="19">
        <v>0</v>
      </c>
      <c r="AL63" s="19">
        <v>63000</v>
      </c>
      <c r="AM63" s="19">
        <v>0</v>
      </c>
      <c r="AN63" s="19">
        <v>42000</v>
      </c>
      <c r="AO63" s="19">
        <v>0</v>
      </c>
      <c r="AP63" s="19">
        <v>42000</v>
      </c>
      <c r="AQ63" s="19">
        <v>0</v>
      </c>
      <c r="AR63" s="19">
        <v>42000</v>
      </c>
      <c r="AS63" s="19">
        <v>0</v>
      </c>
      <c r="AT63" s="19">
        <v>42000</v>
      </c>
      <c r="AU63" s="19">
        <v>0</v>
      </c>
      <c r="AV63" s="19">
        <v>42000</v>
      </c>
      <c r="AW63" s="19">
        <v>0</v>
      </c>
      <c r="AX63" s="19">
        <v>0</v>
      </c>
      <c r="AY63" s="19">
        <v>0</v>
      </c>
      <c r="AZ63" s="19">
        <v>42000</v>
      </c>
      <c r="BA63" s="19">
        <v>0</v>
      </c>
      <c r="BB63" s="19">
        <v>0</v>
      </c>
      <c r="BC63" s="19">
        <v>0</v>
      </c>
      <c r="BD63" s="19">
        <v>0</v>
      </c>
      <c r="BE63" s="19">
        <v>84000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84000</v>
      </c>
      <c r="BL63" s="19">
        <v>0</v>
      </c>
      <c r="BM63" s="19">
        <v>0</v>
      </c>
      <c r="BN63" s="19">
        <v>0</v>
      </c>
      <c r="BO63" s="19">
        <v>84000</v>
      </c>
      <c r="BP63" s="19">
        <v>0</v>
      </c>
      <c r="BQ63" s="19"/>
      <c r="BR63" s="19">
        <v>63000</v>
      </c>
      <c r="BS63" s="19"/>
      <c r="BT63" s="19">
        <v>105000</v>
      </c>
      <c r="BU63" s="19">
        <v>63000</v>
      </c>
      <c r="BV63" s="19">
        <v>0</v>
      </c>
      <c r="BW63" s="19">
        <v>0</v>
      </c>
      <c r="BX63" s="19">
        <v>0</v>
      </c>
      <c r="BY63" s="19">
        <v>63000</v>
      </c>
      <c r="BZ63" s="19">
        <v>0</v>
      </c>
      <c r="CA63" s="19">
        <v>0</v>
      </c>
      <c r="CB63" s="19">
        <v>0</v>
      </c>
      <c r="CC63" s="19">
        <v>63000</v>
      </c>
      <c r="CD63" s="19">
        <v>0</v>
      </c>
      <c r="CE63" s="19">
        <v>0</v>
      </c>
      <c r="CF63" s="19">
        <v>0</v>
      </c>
      <c r="CG63" s="19">
        <v>63000</v>
      </c>
      <c r="CH63" s="19">
        <v>0</v>
      </c>
      <c r="CI63" s="19">
        <v>0</v>
      </c>
      <c r="CJ63" s="19">
        <v>63000</v>
      </c>
      <c r="CK63" s="19">
        <v>0</v>
      </c>
      <c r="CL63" s="19">
        <v>0</v>
      </c>
      <c r="CM63" s="19">
        <v>63000</v>
      </c>
      <c r="CN63" s="19">
        <v>0</v>
      </c>
      <c r="CO63" s="19">
        <v>42000</v>
      </c>
      <c r="CP63" s="19">
        <v>0</v>
      </c>
      <c r="CQ63" s="24">
        <v>0</v>
      </c>
      <c r="CR63" s="19">
        <v>42000</v>
      </c>
      <c r="CS63" s="19">
        <v>0</v>
      </c>
      <c r="CT63" s="19">
        <v>0</v>
      </c>
      <c r="CU63" s="19">
        <v>0</v>
      </c>
      <c r="CV63" s="19">
        <v>84000</v>
      </c>
      <c r="CW63" s="19">
        <v>21000</v>
      </c>
      <c r="CX63" s="19">
        <v>0</v>
      </c>
      <c r="CY63" s="19">
        <v>42000</v>
      </c>
      <c r="CZ63" s="19">
        <v>0</v>
      </c>
      <c r="DA63" s="19">
        <v>42000</v>
      </c>
      <c r="DB63" s="19">
        <v>21000</v>
      </c>
      <c r="DC63" s="19">
        <v>0</v>
      </c>
      <c r="DD63" s="19">
        <v>0</v>
      </c>
      <c r="DE63" s="19">
        <v>0</v>
      </c>
      <c r="DF63" s="19">
        <v>63000</v>
      </c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</row>
    <row r="64" spans="1:122" ht="15.75" customHeight="1" x14ac:dyDescent="0.3">
      <c r="A64" s="15">
        <v>58</v>
      </c>
      <c r="B64" s="16" t="s">
        <v>52</v>
      </c>
      <c r="C64" s="17">
        <v>21000</v>
      </c>
      <c r="D64" s="18">
        <f>Sheet3!C60</f>
        <v>106</v>
      </c>
      <c r="E64" s="19">
        <v>21000</v>
      </c>
      <c r="F64" s="19">
        <v>21000</v>
      </c>
      <c r="G64" s="19">
        <v>21000</v>
      </c>
      <c r="H64" s="19">
        <v>21000</v>
      </c>
      <c r="I64" s="19">
        <v>21000</v>
      </c>
      <c r="J64" s="19">
        <v>21000</v>
      </c>
      <c r="K64" s="19">
        <v>21000</v>
      </c>
      <c r="L64" s="19">
        <v>21000</v>
      </c>
      <c r="M64" s="19">
        <v>21000</v>
      </c>
      <c r="N64" s="19">
        <v>21000</v>
      </c>
      <c r="O64" s="19">
        <v>21000</v>
      </c>
      <c r="P64" s="19">
        <v>21000</v>
      </c>
      <c r="Q64" s="19">
        <v>21000</v>
      </c>
      <c r="R64" s="19">
        <v>21000</v>
      </c>
      <c r="S64" s="19">
        <v>21000</v>
      </c>
      <c r="T64" s="19">
        <v>21000</v>
      </c>
      <c r="U64" s="19">
        <v>21000</v>
      </c>
      <c r="V64" s="19">
        <v>21000</v>
      </c>
      <c r="W64" s="19">
        <v>21000</v>
      </c>
      <c r="X64" s="19">
        <v>21000</v>
      </c>
      <c r="Y64" s="19">
        <v>21000</v>
      </c>
      <c r="Z64" s="19">
        <v>21000</v>
      </c>
      <c r="AA64" s="19">
        <v>21000</v>
      </c>
      <c r="AB64" s="19">
        <v>21000</v>
      </c>
      <c r="AC64" s="19">
        <v>21000</v>
      </c>
      <c r="AD64" s="19">
        <v>21000</v>
      </c>
      <c r="AE64" s="19">
        <v>21000</v>
      </c>
      <c r="AF64" s="19">
        <v>21000</v>
      </c>
      <c r="AG64" s="19">
        <v>21000</v>
      </c>
      <c r="AH64" s="19">
        <v>21000</v>
      </c>
      <c r="AI64" s="19">
        <v>21000</v>
      </c>
      <c r="AJ64" s="19">
        <v>21000</v>
      </c>
      <c r="AK64" s="19">
        <v>21000</v>
      </c>
      <c r="AL64" s="19">
        <v>21000</v>
      </c>
      <c r="AM64" s="19">
        <v>21000</v>
      </c>
      <c r="AN64" s="19">
        <v>21000</v>
      </c>
      <c r="AO64" s="19">
        <v>21000</v>
      </c>
      <c r="AP64" s="19">
        <v>21000</v>
      </c>
      <c r="AQ64" s="19">
        <v>21000</v>
      </c>
      <c r="AR64" s="19">
        <v>21000</v>
      </c>
      <c r="AS64" s="19">
        <v>21000</v>
      </c>
      <c r="AT64" s="19">
        <v>21000</v>
      </c>
      <c r="AU64" s="19">
        <v>21000</v>
      </c>
      <c r="AV64" s="19">
        <v>21000</v>
      </c>
      <c r="AW64" s="19">
        <v>21000</v>
      </c>
      <c r="AX64" s="19">
        <v>21000</v>
      </c>
      <c r="AY64" s="19">
        <v>21000</v>
      </c>
      <c r="AZ64" s="19">
        <v>21000</v>
      </c>
      <c r="BA64" s="19">
        <v>21000</v>
      </c>
      <c r="BB64" s="19">
        <v>21000</v>
      </c>
      <c r="BC64" s="19">
        <v>21000</v>
      </c>
      <c r="BD64" s="19">
        <v>21000</v>
      </c>
      <c r="BE64" s="19">
        <v>21000</v>
      </c>
      <c r="BF64" s="19">
        <v>21000</v>
      </c>
      <c r="BG64" s="19">
        <v>21000</v>
      </c>
      <c r="BH64" s="19">
        <v>21000</v>
      </c>
      <c r="BI64" s="19">
        <v>21000</v>
      </c>
      <c r="BJ64" s="19">
        <v>21000</v>
      </c>
      <c r="BK64" s="19">
        <v>21000</v>
      </c>
      <c r="BL64" s="19">
        <v>21000</v>
      </c>
      <c r="BM64" s="19">
        <v>21000</v>
      </c>
      <c r="BN64" s="19">
        <v>21000</v>
      </c>
      <c r="BO64" s="19">
        <v>21000</v>
      </c>
      <c r="BP64" s="19">
        <v>21000</v>
      </c>
      <c r="BQ64" s="19">
        <v>21000</v>
      </c>
      <c r="BR64" s="19">
        <v>21000</v>
      </c>
      <c r="BS64" s="19">
        <v>21000</v>
      </c>
      <c r="BT64" s="19">
        <v>21000</v>
      </c>
      <c r="BU64" s="19">
        <v>21000</v>
      </c>
      <c r="BV64" s="19">
        <v>21000</v>
      </c>
      <c r="BW64" s="19">
        <v>21000</v>
      </c>
      <c r="BX64" s="19">
        <v>21000</v>
      </c>
      <c r="BY64" s="19">
        <v>21000</v>
      </c>
      <c r="BZ64" s="19">
        <v>21000</v>
      </c>
      <c r="CA64" s="19">
        <v>21000</v>
      </c>
      <c r="CB64" s="19">
        <v>21000</v>
      </c>
      <c r="CC64" s="19">
        <v>21000</v>
      </c>
      <c r="CD64" s="19">
        <v>0</v>
      </c>
      <c r="CE64" s="19">
        <v>21000</v>
      </c>
      <c r="CF64" s="19">
        <v>21000</v>
      </c>
      <c r="CG64" s="19">
        <v>21000</v>
      </c>
      <c r="CH64" s="19">
        <v>21000</v>
      </c>
      <c r="CI64" s="19">
        <v>21000</v>
      </c>
      <c r="CJ64" s="19">
        <v>21000</v>
      </c>
      <c r="CK64" s="19">
        <v>21000</v>
      </c>
      <c r="CL64" s="19">
        <v>21000</v>
      </c>
      <c r="CM64" s="19">
        <v>21000</v>
      </c>
      <c r="CN64" s="19">
        <v>21000</v>
      </c>
      <c r="CO64" s="19">
        <v>42000</v>
      </c>
      <c r="CP64" s="19">
        <v>21000</v>
      </c>
      <c r="CQ64" s="24">
        <v>21000</v>
      </c>
      <c r="CR64" s="19">
        <v>21000</v>
      </c>
      <c r="CS64" s="19">
        <v>0</v>
      </c>
      <c r="CT64" s="19">
        <v>42000</v>
      </c>
      <c r="CU64" s="19">
        <v>21000</v>
      </c>
      <c r="CV64" s="19">
        <v>21000</v>
      </c>
      <c r="CW64" s="19">
        <v>0</v>
      </c>
      <c r="CX64" s="19">
        <v>0</v>
      </c>
      <c r="CY64" s="19">
        <v>21000</v>
      </c>
      <c r="CZ64" s="19">
        <v>21000</v>
      </c>
      <c r="DA64" s="19">
        <v>21000</v>
      </c>
      <c r="DB64" s="19">
        <v>21000</v>
      </c>
      <c r="DC64" s="19">
        <v>21000</v>
      </c>
      <c r="DD64" s="19">
        <v>21000</v>
      </c>
      <c r="DE64" s="19">
        <v>21000</v>
      </c>
      <c r="DF64" s="19">
        <v>21000</v>
      </c>
      <c r="DG64" s="19">
        <v>21000</v>
      </c>
      <c r="DH64" s="19">
        <v>21000</v>
      </c>
      <c r="DI64" s="19"/>
      <c r="DJ64" s="19"/>
      <c r="DK64" s="19"/>
      <c r="DL64" s="19"/>
      <c r="DM64" s="19"/>
      <c r="DN64" s="19"/>
      <c r="DO64" s="19"/>
      <c r="DP64" s="19"/>
      <c r="DQ64" s="19"/>
      <c r="DR64" s="19"/>
    </row>
    <row r="65" spans="1:122" ht="15.75" customHeight="1" x14ac:dyDescent="0.3">
      <c r="A65" s="15">
        <v>59</v>
      </c>
      <c r="B65" s="16" t="s">
        <v>53</v>
      </c>
      <c r="C65" s="17">
        <v>21000</v>
      </c>
      <c r="D65" s="18">
        <f>Sheet3!C61</f>
        <v>108</v>
      </c>
      <c r="E65" s="19">
        <v>21000</v>
      </c>
      <c r="F65" s="19">
        <v>21000</v>
      </c>
      <c r="G65" s="19">
        <v>21000</v>
      </c>
      <c r="H65" s="19">
        <v>21000</v>
      </c>
      <c r="I65" s="19">
        <v>21000</v>
      </c>
      <c r="J65" s="19">
        <v>21000</v>
      </c>
      <c r="K65" s="19">
        <v>21000</v>
      </c>
      <c r="L65" s="19">
        <v>21000</v>
      </c>
      <c r="M65" s="19">
        <v>21000</v>
      </c>
      <c r="N65" s="19">
        <v>21000</v>
      </c>
      <c r="O65" s="19">
        <v>21000</v>
      </c>
      <c r="P65" s="19">
        <v>21000</v>
      </c>
      <c r="Q65" s="19">
        <v>21000</v>
      </c>
      <c r="R65" s="19">
        <v>21000</v>
      </c>
      <c r="S65" s="19">
        <v>21000</v>
      </c>
      <c r="T65" s="19">
        <v>21000</v>
      </c>
      <c r="U65" s="19">
        <v>21000</v>
      </c>
      <c r="V65" s="19">
        <v>21000</v>
      </c>
      <c r="W65" s="19">
        <v>21000</v>
      </c>
      <c r="X65" s="19">
        <v>21000</v>
      </c>
      <c r="Y65" s="19">
        <v>21000</v>
      </c>
      <c r="Z65" s="19">
        <v>21000</v>
      </c>
      <c r="AA65" s="19">
        <v>21000</v>
      </c>
      <c r="AB65" s="19">
        <v>21000</v>
      </c>
      <c r="AC65" s="19">
        <v>21000</v>
      </c>
      <c r="AD65" s="19">
        <v>21000</v>
      </c>
      <c r="AE65" s="19">
        <v>21000</v>
      </c>
      <c r="AF65" s="19">
        <v>21000</v>
      </c>
      <c r="AG65" s="19">
        <v>21000</v>
      </c>
      <c r="AH65" s="19">
        <v>21000</v>
      </c>
      <c r="AI65" s="19">
        <v>21000</v>
      </c>
      <c r="AJ65" s="19">
        <v>21000</v>
      </c>
      <c r="AK65" s="19">
        <v>21000</v>
      </c>
      <c r="AL65" s="19">
        <v>21000</v>
      </c>
      <c r="AM65" s="19">
        <v>21000</v>
      </c>
      <c r="AN65" s="19">
        <v>21000</v>
      </c>
      <c r="AO65" s="19">
        <v>21000</v>
      </c>
      <c r="AP65" s="19">
        <v>21000</v>
      </c>
      <c r="AQ65" s="19">
        <v>21000</v>
      </c>
      <c r="AR65" s="19">
        <v>21000</v>
      </c>
      <c r="AS65" s="19">
        <v>21000</v>
      </c>
      <c r="AT65" s="19">
        <v>21000</v>
      </c>
      <c r="AU65" s="19">
        <v>21000</v>
      </c>
      <c r="AV65" s="19">
        <v>21000</v>
      </c>
      <c r="AW65" s="19">
        <v>21000</v>
      </c>
      <c r="AX65" s="19">
        <v>21000</v>
      </c>
      <c r="AY65" s="19">
        <v>21000</v>
      </c>
      <c r="AZ65" s="19">
        <v>21000</v>
      </c>
      <c r="BA65" s="19">
        <v>21000</v>
      </c>
      <c r="BB65" s="19">
        <v>21000</v>
      </c>
      <c r="BC65" s="19">
        <v>21000</v>
      </c>
      <c r="BD65" s="19">
        <v>21000</v>
      </c>
      <c r="BE65" s="19">
        <v>21000</v>
      </c>
      <c r="BF65" s="19">
        <v>21000</v>
      </c>
      <c r="BG65" s="19">
        <v>21000</v>
      </c>
      <c r="BH65" s="19">
        <v>21000</v>
      </c>
      <c r="BI65" s="19">
        <v>21000</v>
      </c>
      <c r="BJ65" s="19">
        <v>21000</v>
      </c>
      <c r="BK65" s="19">
        <v>21000</v>
      </c>
      <c r="BL65" s="19">
        <v>21000</v>
      </c>
      <c r="BM65" s="19">
        <v>21000</v>
      </c>
      <c r="BN65" s="19">
        <v>0</v>
      </c>
      <c r="BO65" s="19">
        <v>42000</v>
      </c>
      <c r="BP65" s="19">
        <v>21000</v>
      </c>
      <c r="BQ65" s="19">
        <v>21000</v>
      </c>
      <c r="BR65" s="19">
        <v>21000</v>
      </c>
      <c r="BS65" s="19">
        <v>21000</v>
      </c>
      <c r="BT65" s="19">
        <v>21000</v>
      </c>
      <c r="BU65" s="19">
        <v>21000</v>
      </c>
      <c r="BV65" s="19">
        <v>21000</v>
      </c>
      <c r="BW65" s="19">
        <v>21000</v>
      </c>
      <c r="BX65" s="19">
        <v>21000</v>
      </c>
      <c r="BY65" s="19">
        <v>21000</v>
      </c>
      <c r="BZ65" s="19">
        <v>21000</v>
      </c>
      <c r="CA65" s="19">
        <v>21000</v>
      </c>
      <c r="CB65" s="19">
        <v>21000</v>
      </c>
      <c r="CC65" s="19">
        <v>21000</v>
      </c>
      <c r="CD65" s="19">
        <v>21000</v>
      </c>
      <c r="CE65" s="19">
        <v>21000</v>
      </c>
      <c r="CF65" s="19">
        <v>21000</v>
      </c>
      <c r="CG65" s="19">
        <v>21000</v>
      </c>
      <c r="CH65" s="19">
        <v>21000</v>
      </c>
      <c r="CI65" s="19">
        <v>21000</v>
      </c>
      <c r="CJ65" s="19">
        <v>21000</v>
      </c>
      <c r="CK65" s="19">
        <v>21000</v>
      </c>
      <c r="CL65" s="19">
        <v>21000</v>
      </c>
      <c r="CM65" s="19">
        <v>21000</v>
      </c>
      <c r="CN65" s="19">
        <v>21000</v>
      </c>
      <c r="CO65" s="19">
        <v>21000</v>
      </c>
      <c r="CP65" s="19">
        <v>21000</v>
      </c>
      <c r="CQ65" s="24">
        <v>21000</v>
      </c>
      <c r="CR65" s="19">
        <v>21000</v>
      </c>
      <c r="CS65" s="19">
        <v>21000</v>
      </c>
      <c r="CT65" s="19">
        <v>21000</v>
      </c>
      <c r="CU65" s="19">
        <v>21000</v>
      </c>
      <c r="CV65" s="19">
        <v>21000</v>
      </c>
      <c r="CW65" s="19">
        <v>21000</v>
      </c>
      <c r="CX65" s="19">
        <v>21000</v>
      </c>
      <c r="CY65" s="19">
        <v>21000</v>
      </c>
      <c r="CZ65" s="19">
        <v>21000</v>
      </c>
      <c r="DA65" s="19">
        <v>21000</v>
      </c>
      <c r="DB65" s="19">
        <v>21000</v>
      </c>
      <c r="DC65" s="19">
        <v>21000</v>
      </c>
      <c r="DD65" s="19">
        <v>21000</v>
      </c>
      <c r="DE65" s="19">
        <v>21000</v>
      </c>
      <c r="DF65" s="19">
        <v>21000</v>
      </c>
      <c r="DG65" s="19">
        <v>21000</v>
      </c>
      <c r="DH65" s="19">
        <v>21000</v>
      </c>
      <c r="DI65" s="19"/>
      <c r="DJ65" s="19"/>
      <c r="DK65" s="19"/>
      <c r="DL65" s="19"/>
      <c r="DM65" s="19"/>
      <c r="DN65" s="19"/>
      <c r="DO65" s="19"/>
      <c r="DP65" s="19"/>
      <c r="DQ65" s="19"/>
      <c r="DR65" s="19"/>
    </row>
    <row r="66" spans="1:122" ht="15.75" customHeight="1" x14ac:dyDescent="0.3">
      <c r="A66" s="15">
        <v>60</v>
      </c>
      <c r="B66" s="16" t="s">
        <v>54</v>
      </c>
      <c r="C66" s="17">
        <v>21000</v>
      </c>
      <c r="D66" s="18">
        <f>Sheet3!C62</f>
        <v>108</v>
      </c>
      <c r="E66" s="19">
        <v>21000</v>
      </c>
      <c r="F66" s="19">
        <v>21000</v>
      </c>
      <c r="G66" s="19">
        <v>21000</v>
      </c>
      <c r="H66" s="19">
        <v>21000</v>
      </c>
      <c r="I66" s="19">
        <v>21000</v>
      </c>
      <c r="J66" s="19">
        <v>21000</v>
      </c>
      <c r="K66" s="19">
        <v>21000</v>
      </c>
      <c r="L66" s="19">
        <v>21000</v>
      </c>
      <c r="M66" s="19">
        <v>21000</v>
      </c>
      <c r="N66" s="19">
        <v>21000</v>
      </c>
      <c r="O66" s="19">
        <v>21000</v>
      </c>
      <c r="P66" s="19">
        <v>21000</v>
      </c>
      <c r="Q66" s="19">
        <v>21000</v>
      </c>
      <c r="R66" s="19">
        <v>21000</v>
      </c>
      <c r="S66" s="19">
        <v>21000</v>
      </c>
      <c r="T66" s="19">
        <v>21000</v>
      </c>
      <c r="U66" s="19">
        <v>21000</v>
      </c>
      <c r="V66" s="19">
        <v>21000</v>
      </c>
      <c r="W66" s="19">
        <v>21000</v>
      </c>
      <c r="X66" s="19">
        <v>21000</v>
      </c>
      <c r="Y66" s="19">
        <v>21000</v>
      </c>
      <c r="Z66" s="19">
        <v>21000</v>
      </c>
      <c r="AA66" s="19">
        <v>21000</v>
      </c>
      <c r="AB66" s="19">
        <v>21000</v>
      </c>
      <c r="AC66" s="19">
        <v>21000</v>
      </c>
      <c r="AD66" s="19">
        <v>21000</v>
      </c>
      <c r="AE66" s="19">
        <v>21000</v>
      </c>
      <c r="AF66" s="19">
        <v>21000</v>
      </c>
      <c r="AG66" s="19">
        <v>0</v>
      </c>
      <c r="AH66" s="19">
        <v>42000</v>
      </c>
      <c r="AI66" s="19">
        <v>21000</v>
      </c>
      <c r="AJ66" s="19">
        <v>21000</v>
      </c>
      <c r="AK66" s="19">
        <v>21000</v>
      </c>
      <c r="AL66" s="19">
        <v>21000</v>
      </c>
      <c r="AM66" s="19">
        <v>21000</v>
      </c>
      <c r="AN66" s="19">
        <v>21000</v>
      </c>
      <c r="AO66" s="19">
        <v>21000</v>
      </c>
      <c r="AP66" s="19">
        <v>21000</v>
      </c>
      <c r="AQ66" s="19">
        <v>21000</v>
      </c>
      <c r="AR66" s="19">
        <v>21000</v>
      </c>
      <c r="AS66" s="19">
        <v>21000</v>
      </c>
      <c r="AT66" s="19">
        <v>21000</v>
      </c>
      <c r="AU66" s="19">
        <v>21000</v>
      </c>
      <c r="AV66" s="19">
        <v>21000</v>
      </c>
      <c r="AW66" s="19">
        <v>21000</v>
      </c>
      <c r="AX66" s="19">
        <v>21000</v>
      </c>
      <c r="AY66" s="19">
        <v>21000</v>
      </c>
      <c r="AZ66" s="19">
        <v>21000</v>
      </c>
      <c r="BA66" s="19">
        <v>21000</v>
      </c>
      <c r="BB66" s="19">
        <v>21000</v>
      </c>
      <c r="BC66" s="19">
        <v>21000</v>
      </c>
      <c r="BD66" s="19">
        <v>21000</v>
      </c>
      <c r="BE66" s="19">
        <v>21000</v>
      </c>
      <c r="BF66" s="19">
        <v>21000</v>
      </c>
      <c r="BG66" s="19">
        <v>21000</v>
      </c>
      <c r="BH66" s="19">
        <v>21000</v>
      </c>
      <c r="BI66" s="19">
        <v>21000</v>
      </c>
      <c r="BJ66" s="19">
        <v>21000</v>
      </c>
      <c r="BK66" s="19">
        <v>21000</v>
      </c>
      <c r="BL66" s="19">
        <v>21000</v>
      </c>
      <c r="BM66" s="19">
        <v>21000</v>
      </c>
      <c r="BN66" s="19">
        <v>21000</v>
      </c>
      <c r="BO66" s="19">
        <v>21000</v>
      </c>
      <c r="BP66" s="19">
        <v>0</v>
      </c>
      <c r="BQ66" s="19">
        <v>42000</v>
      </c>
      <c r="BR66" s="19">
        <v>21000</v>
      </c>
      <c r="BS66" s="19">
        <v>21000</v>
      </c>
      <c r="BT66" s="19">
        <v>21000</v>
      </c>
      <c r="BU66" s="19">
        <v>21000</v>
      </c>
      <c r="BV66" s="19">
        <v>21000</v>
      </c>
      <c r="BW66" s="19">
        <v>21000</v>
      </c>
      <c r="BX66" s="19">
        <v>21000</v>
      </c>
      <c r="BY66" s="19">
        <v>21000</v>
      </c>
      <c r="BZ66" s="19">
        <v>21000</v>
      </c>
      <c r="CA66" s="19">
        <v>21000</v>
      </c>
      <c r="CB66" s="19">
        <v>21000</v>
      </c>
      <c r="CC66" s="19">
        <v>21000</v>
      </c>
      <c r="CD66" s="19">
        <v>21000</v>
      </c>
      <c r="CE66" s="19">
        <v>21000</v>
      </c>
      <c r="CF66" s="19">
        <v>21000</v>
      </c>
      <c r="CG66" s="19">
        <v>21000</v>
      </c>
      <c r="CH66" s="19">
        <v>21000</v>
      </c>
      <c r="CI66" s="19">
        <v>21000</v>
      </c>
      <c r="CJ66" s="19">
        <v>21000</v>
      </c>
      <c r="CK66" s="19">
        <v>21000</v>
      </c>
      <c r="CL66" s="19">
        <v>21000</v>
      </c>
      <c r="CM66" s="19">
        <v>21000</v>
      </c>
      <c r="CN66" s="19">
        <v>21000</v>
      </c>
      <c r="CO66" s="19">
        <v>21000</v>
      </c>
      <c r="CP66" s="19">
        <v>21000</v>
      </c>
      <c r="CQ66" s="24">
        <v>21000</v>
      </c>
      <c r="CR66" s="19">
        <v>21000</v>
      </c>
      <c r="CS66" s="19">
        <v>21000</v>
      </c>
      <c r="CT66" s="19">
        <v>21000</v>
      </c>
      <c r="CU66" s="19">
        <v>21000</v>
      </c>
      <c r="CV66" s="19">
        <v>21000</v>
      </c>
      <c r="CW66" s="19">
        <v>21000</v>
      </c>
      <c r="CX66" s="19">
        <v>21000</v>
      </c>
      <c r="CY66" s="19">
        <v>21000</v>
      </c>
      <c r="CZ66" s="19">
        <v>21000</v>
      </c>
      <c r="DA66" s="19">
        <v>21000</v>
      </c>
      <c r="DB66" s="19">
        <v>21000</v>
      </c>
      <c r="DC66" s="19">
        <v>21000</v>
      </c>
      <c r="DD66" s="19">
        <v>21000</v>
      </c>
      <c r="DE66" s="19">
        <v>21000</v>
      </c>
      <c r="DF66" s="19">
        <v>21000</v>
      </c>
      <c r="DG66" s="19">
        <v>21000</v>
      </c>
      <c r="DH66" s="19">
        <v>21000</v>
      </c>
      <c r="DI66" s="19"/>
      <c r="DJ66" s="19"/>
      <c r="DK66" s="19"/>
      <c r="DL66" s="19"/>
      <c r="DM66" s="19"/>
      <c r="DN66" s="19"/>
      <c r="DO66" s="19"/>
      <c r="DP66" s="19"/>
      <c r="DQ66" s="19"/>
      <c r="DR66" s="19"/>
    </row>
    <row r="67" spans="1:122" ht="15.75" customHeight="1" x14ac:dyDescent="0.3">
      <c r="A67" s="15">
        <v>61</v>
      </c>
      <c r="B67" s="16" t="s">
        <v>55</v>
      </c>
      <c r="C67" s="17">
        <v>21000</v>
      </c>
      <c r="D67" s="18">
        <f>Sheet3!C63</f>
        <v>103</v>
      </c>
      <c r="E67" s="19">
        <v>21000</v>
      </c>
      <c r="F67" s="19">
        <v>21000</v>
      </c>
      <c r="G67" s="19">
        <v>21000</v>
      </c>
      <c r="H67" s="19">
        <v>21000</v>
      </c>
      <c r="I67" s="19">
        <v>21000</v>
      </c>
      <c r="J67" s="19">
        <v>21000</v>
      </c>
      <c r="K67" s="19">
        <v>21000</v>
      </c>
      <c r="L67" s="19">
        <v>21000</v>
      </c>
      <c r="M67" s="19">
        <v>21000</v>
      </c>
      <c r="N67" s="19">
        <v>21000</v>
      </c>
      <c r="O67" s="19">
        <v>21000</v>
      </c>
      <c r="P67" s="19">
        <v>21000</v>
      </c>
      <c r="Q67" s="19">
        <v>21000</v>
      </c>
      <c r="R67" s="19">
        <v>21000</v>
      </c>
      <c r="S67" s="19">
        <v>21000</v>
      </c>
      <c r="T67" s="19">
        <v>21000</v>
      </c>
      <c r="U67" s="19">
        <v>21000</v>
      </c>
      <c r="V67" s="19">
        <v>21000</v>
      </c>
      <c r="W67" s="19">
        <v>21000</v>
      </c>
      <c r="X67" s="19">
        <v>0</v>
      </c>
      <c r="Y67" s="19">
        <v>0</v>
      </c>
      <c r="Z67" s="19">
        <v>21000</v>
      </c>
      <c r="AA67" s="19">
        <v>0</v>
      </c>
      <c r="AB67" s="19">
        <v>84000</v>
      </c>
      <c r="AC67" s="19">
        <v>21000</v>
      </c>
      <c r="AD67" s="19">
        <v>21000</v>
      </c>
      <c r="AE67" s="19">
        <v>21000</v>
      </c>
      <c r="AF67" s="19">
        <v>21000</v>
      </c>
      <c r="AG67" s="19">
        <v>21000</v>
      </c>
      <c r="AH67" s="19">
        <v>21000</v>
      </c>
      <c r="AI67" s="19">
        <v>21000</v>
      </c>
      <c r="AJ67" s="19">
        <v>21000</v>
      </c>
      <c r="AK67" s="19">
        <v>21000</v>
      </c>
      <c r="AL67" s="19">
        <v>0</v>
      </c>
      <c r="AM67" s="19">
        <v>42000</v>
      </c>
      <c r="AN67" s="19">
        <v>21000</v>
      </c>
      <c r="AO67" s="19">
        <v>21000</v>
      </c>
      <c r="AP67" s="19">
        <v>21000</v>
      </c>
      <c r="AQ67" s="19">
        <v>21000</v>
      </c>
      <c r="AR67" s="19">
        <v>21000</v>
      </c>
      <c r="AS67" s="19">
        <v>0</v>
      </c>
      <c r="AT67" s="19">
        <v>42000</v>
      </c>
      <c r="AU67" s="19">
        <v>21000</v>
      </c>
      <c r="AV67" s="19">
        <v>21000</v>
      </c>
      <c r="AW67" s="19">
        <v>21000</v>
      </c>
      <c r="AX67" s="19">
        <v>21000</v>
      </c>
      <c r="AY67" s="19">
        <v>21000</v>
      </c>
      <c r="AZ67" s="19">
        <v>21000</v>
      </c>
      <c r="BA67" s="19">
        <v>21000</v>
      </c>
      <c r="BB67" s="19">
        <v>21000</v>
      </c>
      <c r="BC67" s="19">
        <v>21000</v>
      </c>
      <c r="BD67" s="19">
        <v>21000</v>
      </c>
      <c r="BE67" s="19">
        <v>21000</v>
      </c>
      <c r="BF67" s="19">
        <v>21000</v>
      </c>
      <c r="BG67" s="19">
        <v>21000</v>
      </c>
      <c r="BH67" s="19">
        <v>21000</v>
      </c>
      <c r="BI67" s="19">
        <v>21000</v>
      </c>
      <c r="BJ67" s="19">
        <v>21000</v>
      </c>
      <c r="BK67" s="19">
        <v>21000</v>
      </c>
      <c r="BL67" s="19">
        <v>0</v>
      </c>
      <c r="BM67" s="19">
        <v>42000</v>
      </c>
      <c r="BN67" s="19">
        <v>21000</v>
      </c>
      <c r="BO67" s="19">
        <v>0</v>
      </c>
      <c r="BP67" s="19">
        <v>42000</v>
      </c>
      <c r="BQ67" s="19">
        <v>21000</v>
      </c>
      <c r="BR67" s="19">
        <v>21000</v>
      </c>
      <c r="BS67" s="19">
        <v>21000</v>
      </c>
      <c r="BT67" s="19">
        <v>21000</v>
      </c>
      <c r="BU67" s="19">
        <v>21000</v>
      </c>
      <c r="BV67" s="19">
        <v>0</v>
      </c>
      <c r="BW67" s="19">
        <v>21000</v>
      </c>
      <c r="BX67" s="19">
        <v>0</v>
      </c>
      <c r="BY67" s="19">
        <v>21000</v>
      </c>
      <c r="BZ67" s="19">
        <v>21000</v>
      </c>
      <c r="CA67" s="19">
        <v>21000</v>
      </c>
      <c r="CB67" s="19">
        <v>21000</v>
      </c>
      <c r="CC67" s="19">
        <v>21000</v>
      </c>
      <c r="CD67" s="19">
        <v>0</v>
      </c>
      <c r="CE67" s="19">
        <v>42000</v>
      </c>
      <c r="CF67" s="19">
        <v>21000</v>
      </c>
      <c r="CG67" s="19">
        <v>21000</v>
      </c>
      <c r="CH67" s="19">
        <v>21000</v>
      </c>
      <c r="CI67" s="19">
        <v>21000</v>
      </c>
      <c r="CJ67" s="19">
        <v>21000</v>
      </c>
      <c r="CK67" s="19">
        <v>21000</v>
      </c>
      <c r="CL67" s="19">
        <v>21000</v>
      </c>
      <c r="CM67" s="19">
        <v>21000</v>
      </c>
      <c r="CN67" s="19">
        <v>21000</v>
      </c>
      <c r="CO67" s="19">
        <v>42000</v>
      </c>
      <c r="CP67" s="19">
        <v>21000</v>
      </c>
      <c r="CQ67" s="24">
        <v>21000</v>
      </c>
      <c r="CR67" s="19">
        <v>21000</v>
      </c>
      <c r="CS67" s="19">
        <v>0</v>
      </c>
      <c r="CT67" s="19">
        <v>0</v>
      </c>
      <c r="CU67" s="19">
        <v>21000</v>
      </c>
      <c r="CV67" s="19">
        <v>21000</v>
      </c>
      <c r="CW67" s="19">
        <v>0</v>
      </c>
      <c r="CX67" s="19">
        <v>63000</v>
      </c>
      <c r="CY67" s="19">
        <v>21000</v>
      </c>
      <c r="CZ67" s="19">
        <v>21000</v>
      </c>
      <c r="DA67" s="19">
        <v>21000</v>
      </c>
      <c r="DB67" s="19">
        <v>21000</v>
      </c>
      <c r="DC67" s="19">
        <v>0</v>
      </c>
      <c r="DD67" s="19">
        <v>21000</v>
      </c>
      <c r="DE67" s="19">
        <v>21000</v>
      </c>
      <c r="DF67" s="19">
        <v>21000</v>
      </c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</row>
    <row r="68" spans="1:122" ht="15.75" customHeight="1" x14ac:dyDescent="0.3">
      <c r="A68" s="15">
        <v>62</v>
      </c>
      <c r="B68" s="16" t="s">
        <v>32</v>
      </c>
      <c r="C68" s="17">
        <v>21000</v>
      </c>
      <c r="D68" s="18">
        <f>Sheet3!C64</f>
        <v>108</v>
      </c>
      <c r="E68" s="19">
        <v>21000</v>
      </c>
      <c r="F68" s="19">
        <v>21000</v>
      </c>
      <c r="G68" s="19">
        <v>21000</v>
      </c>
      <c r="H68" s="19">
        <v>21000</v>
      </c>
      <c r="I68" s="19">
        <v>21000</v>
      </c>
      <c r="J68" s="19">
        <v>21000</v>
      </c>
      <c r="K68" s="19">
        <v>21000</v>
      </c>
      <c r="L68" s="19">
        <v>21000</v>
      </c>
      <c r="M68" s="19">
        <v>21000</v>
      </c>
      <c r="N68" s="19">
        <v>21000</v>
      </c>
      <c r="O68" s="19">
        <v>21000</v>
      </c>
      <c r="P68" s="19">
        <v>21000</v>
      </c>
      <c r="Q68" s="19">
        <v>21000</v>
      </c>
      <c r="R68" s="19">
        <v>21000</v>
      </c>
      <c r="S68" s="19">
        <v>21000</v>
      </c>
      <c r="T68" s="19">
        <v>21000</v>
      </c>
      <c r="U68" s="19">
        <v>21000</v>
      </c>
      <c r="V68" s="19">
        <v>21000</v>
      </c>
      <c r="W68" s="19">
        <v>21000</v>
      </c>
      <c r="X68" s="19">
        <v>21000</v>
      </c>
      <c r="Y68" s="19">
        <v>21000</v>
      </c>
      <c r="Z68" s="19">
        <v>21000</v>
      </c>
      <c r="AA68" s="19">
        <v>21000</v>
      </c>
      <c r="AB68" s="19">
        <v>21000</v>
      </c>
      <c r="AC68" s="19">
        <v>21000</v>
      </c>
      <c r="AD68" s="19">
        <v>21000</v>
      </c>
      <c r="AE68" s="19">
        <v>21000</v>
      </c>
      <c r="AF68" s="19">
        <v>21000</v>
      </c>
      <c r="AG68" s="19">
        <v>21000</v>
      </c>
      <c r="AH68" s="19">
        <v>21000</v>
      </c>
      <c r="AI68" s="19">
        <v>21000</v>
      </c>
      <c r="AJ68" s="19">
        <v>21000</v>
      </c>
      <c r="AK68" s="19">
        <v>21000</v>
      </c>
      <c r="AL68" s="19">
        <v>21000</v>
      </c>
      <c r="AM68" s="19">
        <v>21000</v>
      </c>
      <c r="AN68" s="19">
        <v>21000</v>
      </c>
      <c r="AO68" s="19">
        <v>21000</v>
      </c>
      <c r="AP68" s="19">
        <v>21000</v>
      </c>
      <c r="AQ68" s="19">
        <v>21000</v>
      </c>
      <c r="AR68" s="19">
        <v>21000</v>
      </c>
      <c r="AS68" s="19">
        <v>21000</v>
      </c>
      <c r="AT68" s="19">
        <v>21000</v>
      </c>
      <c r="AU68" s="19">
        <v>21000</v>
      </c>
      <c r="AV68" s="19">
        <v>21000</v>
      </c>
      <c r="AW68" s="19">
        <v>21000</v>
      </c>
      <c r="AX68" s="19">
        <v>21000</v>
      </c>
      <c r="AY68" s="19">
        <v>21000</v>
      </c>
      <c r="AZ68" s="19">
        <v>21000</v>
      </c>
      <c r="BA68" s="19">
        <v>21000</v>
      </c>
      <c r="BB68" s="19">
        <v>21000</v>
      </c>
      <c r="BC68" s="19">
        <v>21000</v>
      </c>
      <c r="BD68" s="19">
        <v>21000</v>
      </c>
      <c r="BE68" s="19">
        <v>21000</v>
      </c>
      <c r="BF68" s="19">
        <v>21000</v>
      </c>
      <c r="BG68" s="19">
        <v>21000</v>
      </c>
      <c r="BH68" s="19">
        <v>21000</v>
      </c>
      <c r="BI68" s="19">
        <v>21000</v>
      </c>
      <c r="BJ68" s="19">
        <v>21000</v>
      </c>
      <c r="BK68" s="19">
        <v>21000</v>
      </c>
      <c r="BL68" s="19">
        <v>21000</v>
      </c>
      <c r="BM68" s="19">
        <v>21000</v>
      </c>
      <c r="BN68" s="19">
        <v>21000</v>
      </c>
      <c r="BO68" s="19">
        <v>21000</v>
      </c>
      <c r="BP68" s="19">
        <v>21000</v>
      </c>
      <c r="BQ68" s="19">
        <v>21000</v>
      </c>
      <c r="BR68" s="19">
        <v>21000</v>
      </c>
      <c r="BS68" s="19">
        <v>21000</v>
      </c>
      <c r="BT68" s="19">
        <v>21000</v>
      </c>
      <c r="BU68" s="19">
        <v>21000</v>
      </c>
      <c r="BV68" s="19">
        <v>21000</v>
      </c>
      <c r="BW68" s="19">
        <v>21000</v>
      </c>
      <c r="BX68" s="19">
        <v>21000</v>
      </c>
      <c r="BY68" s="19">
        <v>21000</v>
      </c>
      <c r="BZ68" s="19">
        <v>21000</v>
      </c>
      <c r="CA68" s="19">
        <v>21000</v>
      </c>
      <c r="CB68" s="19">
        <v>21000</v>
      </c>
      <c r="CC68" s="19">
        <v>21000</v>
      </c>
      <c r="CD68" s="19">
        <v>21000</v>
      </c>
      <c r="CE68" s="19">
        <v>21000</v>
      </c>
      <c r="CF68" s="19">
        <v>21000</v>
      </c>
      <c r="CG68" s="19">
        <v>21000</v>
      </c>
      <c r="CH68" s="19">
        <v>0</v>
      </c>
      <c r="CI68" s="19">
        <v>42000</v>
      </c>
      <c r="CJ68" s="19">
        <v>21000</v>
      </c>
      <c r="CK68" s="19">
        <v>21000</v>
      </c>
      <c r="CL68" s="19">
        <v>21000</v>
      </c>
      <c r="CM68" s="19">
        <v>21000</v>
      </c>
      <c r="CN68" s="19">
        <v>21000</v>
      </c>
      <c r="CO68" s="19">
        <v>21000</v>
      </c>
      <c r="CP68" s="19">
        <v>21000</v>
      </c>
      <c r="CQ68" s="24">
        <v>21000</v>
      </c>
      <c r="CR68" s="19">
        <v>21000</v>
      </c>
      <c r="CS68" s="19">
        <v>21000</v>
      </c>
      <c r="CT68" s="19">
        <v>21000</v>
      </c>
      <c r="CU68" s="19">
        <v>21000</v>
      </c>
      <c r="CV68" s="19">
        <v>21000</v>
      </c>
      <c r="CW68" s="19">
        <v>21000</v>
      </c>
      <c r="CX68" s="19">
        <v>21000</v>
      </c>
      <c r="CY68" s="19">
        <v>21000</v>
      </c>
      <c r="CZ68" s="19">
        <v>21000</v>
      </c>
      <c r="DA68" s="19">
        <v>21000</v>
      </c>
      <c r="DB68" s="19">
        <v>21000</v>
      </c>
      <c r="DC68" s="19">
        <v>21000</v>
      </c>
      <c r="DD68" s="19">
        <v>21000</v>
      </c>
      <c r="DE68" s="19">
        <v>21000</v>
      </c>
      <c r="DF68" s="19">
        <v>21000</v>
      </c>
      <c r="DG68" s="19">
        <v>21000</v>
      </c>
      <c r="DH68" s="19">
        <v>21000</v>
      </c>
      <c r="DI68" s="19"/>
      <c r="DJ68" s="19"/>
      <c r="DK68" s="19"/>
      <c r="DL68" s="19"/>
      <c r="DM68" s="19"/>
      <c r="DN68" s="19"/>
      <c r="DO68" s="19"/>
      <c r="DP68" s="19"/>
      <c r="DQ68" s="19"/>
      <c r="DR68" s="19"/>
    </row>
    <row r="69" spans="1:122" ht="15.75" customHeight="1" x14ac:dyDescent="0.3">
      <c r="A69" s="15">
        <v>63</v>
      </c>
      <c r="B69" s="16" t="s">
        <v>56</v>
      </c>
      <c r="C69" s="17">
        <v>21000</v>
      </c>
      <c r="D69" s="18">
        <f>Sheet3!C65</f>
        <v>102</v>
      </c>
      <c r="E69" s="19">
        <v>21000</v>
      </c>
      <c r="F69" s="19">
        <v>21000</v>
      </c>
      <c r="G69" s="19">
        <v>21000</v>
      </c>
      <c r="H69" s="19">
        <v>21000</v>
      </c>
      <c r="I69" s="19">
        <v>21000</v>
      </c>
      <c r="J69" s="19">
        <v>21000</v>
      </c>
      <c r="K69" s="19">
        <v>21000</v>
      </c>
      <c r="L69" s="19">
        <v>21000</v>
      </c>
      <c r="M69" s="19">
        <v>21000</v>
      </c>
      <c r="N69" s="19">
        <v>21000</v>
      </c>
      <c r="O69" s="19">
        <v>21000</v>
      </c>
      <c r="P69" s="19">
        <v>21000</v>
      </c>
      <c r="Q69" s="19">
        <v>21000</v>
      </c>
      <c r="R69" s="19">
        <v>21000</v>
      </c>
      <c r="S69" s="19">
        <v>21000</v>
      </c>
      <c r="T69" s="19">
        <v>21000</v>
      </c>
      <c r="U69" s="19">
        <v>21000</v>
      </c>
      <c r="V69" s="19">
        <v>21000</v>
      </c>
      <c r="W69" s="19">
        <v>21000</v>
      </c>
      <c r="X69" s="19">
        <v>21000</v>
      </c>
      <c r="Y69" s="19">
        <v>21000</v>
      </c>
      <c r="Z69" s="19">
        <v>21000</v>
      </c>
      <c r="AA69" s="19">
        <v>21000</v>
      </c>
      <c r="AB69" s="19">
        <v>0</v>
      </c>
      <c r="AC69" s="19">
        <v>42000</v>
      </c>
      <c r="AD69" s="19">
        <v>21000</v>
      </c>
      <c r="AE69" s="19">
        <v>21000</v>
      </c>
      <c r="AF69" s="19">
        <v>21000</v>
      </c>
      <c r="AG69" s="19">
        <v>21000</v>
      </c>
      <c r="AH69" s="19">
        <v>21000</v>
      </c>
      <c r="AI69" s="19">
        <v>21000</v>
      </c>
      <c r="AJ69" s="19">
        <v>21000</v>
      </c>
      <c r="AK69" s="19">
        <v>21000</v>
      </c>
      <c r="AL69" s="19">
        <v>21000</v>
      </c>
      <c r="AM69" s="19">
        <v>21000</v>
      </c>
      <c r="AN69" s="19">
        <v>21000</v>
      </c>
      <c r="AO69" s="19">
        <v>21000</v>
      </c>
      <c r="AP69" s="19">
        <v>21000</v>
      </c>
      <c r="AQ69" s="19">
        <v>21000</v>
      </c>
      <c r="AR69" s="19">
        <v>21000</v>
      </c>
      <c r="AS69" s="19">
        <v>21000</v>
      </c>
      <c r="AT69" s="19">
        <v>21000</v>
      </c>
      <c r="AU69" s="19">
        <v>21000</v>
      </c>
      <c r="AV69" s="19">
        <v>21000</v>
      </c>
      <c r="AW69" s="19">
        <v>21000</v>
      </c>
      <c r="AX69" s="19">
        <v>21000</v>
      </c>
      <c r="AY69" s="19">
        <v>21000</v>
      </c>
      <c r="AZ69" s="19">
        <v>21000</v>
      </c>
      <c r="BA69" s="19">
        <v>21000</v>
      </c>
      <c r="BB69" s="19">
        <v>21000</v>
      </c>
      <c r="BC69" s="19">
        <v>21000</v>
      </c>
      <c r="BD69" s="19">
        <v>21000</v>
      </c>
      <c r="BE69" s="19">
        <v>21000</v>
      </c>
      <c r="BF69" s="19">
        <v>21000</v>
      </c>
      <c r="BG69" s="19">
        <v>21000</v>
      </c>
      <c r="BH69" s="19">
        <v>21000</v>
      </c>
      <c r="BI69" s="19">
        <v>21000</v>
      </c>
      <c r="BJ69" s="19">
        <v>21000</v>
      </c>
      <c r="BK69" s="19">
        <v>21000</v>
      </c>
      <c r="BL69" s="19">
        <v>21000</v>
      </c>
      <c r="BM69" s="19">
        <v>0</v>
      </c>
      <c r="BN69" s="19">
        <v>0</v>
      </c>
      <c r="BO69" s="19">
        <v>42000</v>
      </c>
      <c r="BP69" s="19">
        <v>0</v>
      </c>
      <c r="BQ69" s="19">
        <v>21000</v>
      </c>
      <c r="BR69" s="19">
        <v>21000</v>
      </c>
      <c r="BS69" s="19">
        <v>21000</v>
      </c>
      <c r="BT69" s="19"/>
      <c r="BU69" s="19">
        <v>21000</v>
      </c>
      <c r="BV69" s="19">
        <v>0</v>
      </c>
      <c r="BW69" s="19">
        <v>21000</v>
      </c>
      <c r="BX69" s="19">
        <v>21000</v>
      </c>
      <c r="BY69" s="19">
        <v>21000</v>
      </c>
      <c r="BZ69" s="19">
        <v>21000</v>
      </c>
      <c r="CA69" s="19">
        <v>21000</v>
      </c>
      <c r="CB69" s="19">
        <v>21000</v>
      </c>
      <c r="CC69" s="19">
        <v>21000</v>
      </c>
      <c r="CD69" s="19">
        <v>21000</v>
      </c>
      <c r="CE69" s="19">
        <v>0</v>
      </c>
      <c r="CF69" s="19">
        <v>21000</v>
      </c>
      <c r="CG69" s="19">
        <v>21000</v>
      </c>
      <c r="CH69" s="19">
        <v>21000</v>
      </c>
      <c r="CI69" s="19">
        <v>0</v>
      </c>
      <c r="CJ69" s="19">
        <v>42000</v>
      </c>
      <c r="CK69" s="19">
        <v>0</v>
      </c>
      <c r="CL69" s="19">
        <v>42000</v>
      </c>
      <c r="CM69" s="19">
        <v>0</v>
      </c>
      <c r="CN69" s="19">
        <v>42000</v>
      </c>
      <c r="CO69" s="19">
        <v>0</v>
      </c>
      <c r="CP69" s="19">
        <v>42000</v>
      </c>
      <c r="CQ69" s="24">
        <v>0</v>
      </c>
      <c r="CR69" s="19">
        <v>42000</v>
      </c>
      <c r="CS69" s="19">
        <v>0</v>
      </c>
      <c r="CT69" s="19">
        <v>42000</v>
      </c>
      <c r="CU69" s="19">
        <v>0</v>
      </c>
      <c r="CV69" s="19">
        <v>21000</v>
      </c>
      <c r="CW69" s="19">
        <v>42000</v>
      </c>
      <c r="CX69" s="19">
        <v>0</v>
      </c>
      <c r="CY69" s="19">
        <v>42000</v>
      </c>
      <c r="CZ69" s="19">
        <v>0</v>
      </c>
      <c r="DA69" s="19">
        <v>42000</v>
      </c>
      <c r="DB69" s="19">
        <v>0</v>
      </c>
      <c r="DC69" s="19">
        <v>21000</v>
      </c>
      <c r="DD69" s="19">
        <v>42000</v>
      </c>
      <c r="DE69" s="19">
        <v>0</v>
      </c>
      <c r="DF69" s="19">
        <v>42000</v>
      </c>
      <c r="DG69" s="19"/>
      <c r="DH69" s="19">
        <v>21000</v>
      </c>
      <c r="DI69" s="19"/>
      <c r="DJ69" s="19"/>
      <c r="DK69" s="19"/>
      <c r="DL69" s="19"/>
      <c r="DM69" s="19"/>
      <c r="DN69" s="19"/>
      <c r="DO69" s="19"/>
      <c r="DP69" s="19"/>
      <c r="DQ69" s="19"/>
      <c r="DR69" s="19"/>
    </row>
    <row r="70" spans="1:122" ht="15.75" customHeight="1" x14ac:dyDescent="0.3">
      <c r="A70" s="15">
        <v>64</v>
      </c>
      <c r="B70" s="16" t="s">
        <v>57</v>
      </c>
      <c r="C70" s="17">
        <v>21000</v>
      </c>
      <c r="D70" s="18">
        <f>Sheet3!C66</f>
        <v>108</v>
      </c>
      <c r="E70" s="19">
        <v>21000</v>
      </c>
      <c r="F70" s="19">
        <v>21000</v>
      </c>
      <c r="G70" s="19">
        <v>21000</v>
      </c>
      <c r="H70" s="19">
        <v>21000</v>
      </c>
      <c r="I70" s="19">
        <v>21000</v>
      </c>
      <c r="J70" s="19">
        <v>21000</v>
      </c>
      <c r="K70" s="19">
        <v>21000</v>
      </c>
      <c r="L70" s="19">
        <v>21000</v>
      </c>
      <c r="M70" s="19">
        <v>21000</v>
      </c>
      <c r="N70" s="19">
        <v>21000</v>
      </c>
      <c r="O70" s="19">
        <v>21000</v>
      </c>
      <c r="P70" s="19">
        <v>21000</v>
      </c>
      <c r="Q70" s="19">
        <v>21000</v>
      </c>
      <c r="R70" s="19">
        <v>21000</v>
      </c>
      <c r="S70" s="19">
        <v>21000</v>
      </c>
      <c r="T70" s="19">
        <v>21000</v>
      </c>
      <c r="U70" s="19">
        <v>21000</v>
      </c>
      <c r="V70" s="19">
        <v>21000</v>
      </c>
      <c r="W70" s="19">
        <v>21000</v>
      </c>
      <c r="X70" s="19">
        <v>21000</v>
      </c>
      <c r="Y70" s="19">
        <v>21000</v>
      </c>
      <c r="Z70" s="19">
        <v>21000</v>
      </c>
      <c r="AA70" s="19">
        <v>21000</v>
      </c>
      <c r="AB70" s="19">
        <v>21000</v>
      </c>
      <c r="AC70" s="19">
        <v>21000</v>
      </c>
      <c r="AD70" s="19">
        <v>21000</v>
      </c>
      <c r="AE70" s="19">
        <v>21000</v>
      </c>
      <c r="AF70" s="19">
        <v>21000</v>
      </c>
      <c r="AG70" s="19">
        <v>21000</v>
      </c>
      <c r="AH70" s="19">
        <v>21000</v>
      </c>
      <c r="AI70" s="19">
        <v>21000</v>
      </c>
      <c r="AJ70" s="19">
        <v>21000</v>
      </c>
      <c r="AK70" s="19">
        <v>21000</v>
      </c>
      <c r="AL70" s="19">
        <v>21000</v>
      </c>
      <c r="AM70" s="19">
        <v>21000</v>
      </c>
      <c r="AN70" s="19">
        <v>21000</v>
      </c>
      <c r="AO70" s="19">
        <v>21000</v>
      </c>
      <c r="AP70" s="19">
        <v>21000</v>
      </c>
      <c r="AQ70" s="19">
        <v>21000</v>
      </c>
      <c r="AR70" s="19">
        <v>21000</v>
      </c>
      <c r="AS70" s="19">
        <v>21000</v>
      </c>
      <c r="AT70" s="19">
        <v>21000</v>
      </c>
      <c r="AU70" s="19">
        <v>21000</v>
      </c>
      <c r="AV70" s="19">
        <v>21000</v>
      </c>
      <c r="AW70" s="19">
        <v>21000</v>
      </c>
      <c r="AX70" s="19">
        <v>21000</v>
      </c>
      <c r="AY70" s="19">
        <v>21000</v>
      </c>
      <c r="AZ70" s="19">
        <v>21000</v>
      </c>
      <c r="BA70" s="19">
        <v>21000</v>
      </c>
      <c r="BB70" s="19">
        <v>21000</v>
      </c>
      <c r="BC70" s="19">
        <v>21000</v>
      </c>
      <c r="BD70" s="19">
        <v>21000</v>
      </c>
      <c r="BE70" s="19">
        <v>21000</v>
      </c>
      <c r="BF70" s="19">
        <v>21000</v>
      </c>
      <c r="BG70" s="19">
        <v>21000</v>
      </c>
      <c r="BH70" s="19">
        <v>21000</v>
      </c>
      <c r="BI70" s="19">
        <v>21000</v>
      </c>
      <c r="BJ70" s="19">
        <v>21000</v>
      </c>
      <c r="BK70" s="19">
        <v>0</v>
      </c>
      <c r="BL70" s="19">
        <v>42000</v>
      </c>
      <c r="BM70" s="19">
        <v>21000</v>
      </c>
      <c r="BN70" s="19">
        <v>21000</v>
      </c>
      <c r="BO70" s="19">
        <v>21000</v>
      </c>
      <c r="BP70" s="19">
        <v>21000</v>
      </c>
      <c r="BQ70" s="19">
        <v>21000</v>
      </c>
      <c r="BR70" s="19">
        <v>21000</v>
      </c>
      <c r="BS70" s="19">
        <v>21000</v>
      </c>
      <c r="BT70" s="19">
        <v>21000</v>
      </c>
      <c r="BU70" s="19">
        <v>21000</v>
      </c>
      <c r="BV70" s="19">
        <v>21000</v>
      </c>
      <c r="BW70" s="19">
        <v>21000</v>
      </c>
      <c r="BX70" s="19">
        <v>21000</v>
      </c>
      <c r="BY70" s="19">
        <v>21000</v>
      </c>
      <c r="BZ70" s="19">
        <v>21000</v>
      </c>
      <c r="CA70" s="19">
        <v>21000</v>
      </c>
      <c r="CB70" s="19">
        <v>21000</v>
      </c>
      <c r="CC70" s="19">
        <v>21000</v>
      </c>
      <c r="CD70" s="19">
        <v>21000</v>
      </c>
      <c r="CE70" s="19">
        <v>21000</v>
      </c>
      <c r="CF70" s="19">
        <v>21000</v>
      </c>
      <c r="CG70" s="19">
        <v>21000</v>
      </c>
      <c r="CH70" s="19">
        <v>21000</v>
      </c>
      <c r="CI70" s="19">
        <v>21000</v>
      </c>
      <c r="CJ70" s="19">
        <v>21000</v>
      </c>
      <c r="CK70" s="19">
        <v>21000</v>
      </c>
      <c r="CL70" s="19">
        <v>21000</v>
      </c>
      <c r="CM70" s="19">
        <v>21000</v>
      </c>
      <c r="CN70" s="19">
        <v>21000</v>
      </c>
      <c r="CO70" s="19">
        <v>21000</v>
      </c>
      <c r="CP70" s="19">
        <v>21000</v>
      </c>
      <c r="CQ70" s="24">
        <v>21000</v>
      </c>
      <c r="CR70" s="19">
        <v>21000</v>
      </c>
      <c r="CS70" s="19">
        <v>21000</v>
      </c>
      <c r="CT70" s="19">
        <v>21000</v>
      </c>
      <c r="CU70" s="19">
        <v>21000</v>
      </c>
      <c r="CV70" s="19">
        <v>21000</v>
      </c>
      <c r="CW70" s="19">
        <v>21000</v>
      </c>
      <c r="CX70" s="19">
        <v>21000</v>
      </c>
      <c r="CY70" s="19">
        <v>21000</v>
      </c>
      <c r="CZ70" s="19">
        <v>21000</v>
      </c>
      <c r="DA70" s="19">
        <v>21000</v>
      </c>
      <c r="DB70" s="19">
        <v>21000</v>
      </c>
      <c r="DC70" s="19">
        <v>21000</v>
      </c>
      <c r="DD70" s="19">
        <v>21000</v>
      </c>
      <c r="DE70" s="19">
        <v>21000</v>
      </c>
      <c r="DF70" s="19">
        <v>21000</v>
      </c>
      <c r="DG70" s="19">
        <v>21000</v>
      </c>
      <c r="DH70" s="19">
        <v>21000</v>
      </c>
      <c r="DI70" s="19"/>
      <c r="DJ70" s="19"/>
      <c r="DK70" s="19"/>
      <c r="DL70" s="19"/>
      <c r="DM70" s="19"/>
      <c r="DN70" s="19"/>
      <c r="DO70" s="19"/>
      <c r="DP70" s="19"/>
      <c r="DQ70" s="19"/>
      <c r="DR70" s="19"/>
    </row>
    <row r="71" spans="1:122" ht="15.75" customHeight="1" x14ac:dyDescent="0.3">
      <c r="A71" s="15">
        <v>65</v>
      </c>
      <c r="B71" s="16" t="s">
        <v>58</v>
      </c>
      <c r="C71" s="17">
        <v>21000</v>
      </c>
      <c r="D71" s="18">
        <f>Sheet3!C67</f>
        <v>103</v>
      </c>
      <c r="E71" s="19">
        <v>21000</v>
      </c>
      <c r="F71" s="19">
        <v>21000</v>
      </c>
      <c r="G71" s="19">
        <v>21000</v>
      </c>
      <c r="H71" s="19">
        <v>21000</v>
      </c>
      <c r="I71" s="19">
        <v>21000</v>
      </c>
      <c r="J71" s="19">
        <v>21000</v>
      </c>
      <c r="K71" s="19">
        <v>21000</v>
      </c>
      <c r="L71" s="19">
        <v>21000</v>
      </c>
      <c r="M71" s="19">
        <v>21000</v>
      </c>
      <c r="N71" s="19">
        <v>21000</v>
      </c>
      <c r="O71" s="19">
        <v>21000</v>
      </c>
      <c r="P71" s="19">
        <v>21000</v>
      </c>
      <c r="Q71" s="19">
        <v>21000</v>
      </c>
      <c r="R71" s="19">
        <v>21000</v>
      </c>
      <c r="S71" s="19">
        <v>21000</v>
      </c>
      <c r="T71" s="19">
        <v>21000</v>
      </c>
      <c r="U71" s="19">
        <v>21000</v>
      </c>
      <c r="V71" s="19">
        <v>21000</v>
      </c>
      <c r="W71" s="19">
        <v>21000</v>
      </c>
      <c r="X71" s="19">
        <v>21000</v>
      </c>
      <c r="Y71" s="19">
        <v>21000</v>
      </c>
      <c r="Z71" s="19">
        <v>21000</v>
      </c>
      <c r="AA71" s="19">
        <v>21000</v>
      </c>
      <c r="AB71" s="19">
        <v>21000</v>
      </c>
      <c r="AC71" s="19">
        <v>21000</v>
      </c>
      <c r="AD71" s="19">
        <v>21000</v>
      </c>
      <c r="AE71" s="19">
        <v>21000</v>
      </c>
      <c r="AF71" s="19">
        <v>21000</v>
      </c>
      <c r="AG71" s="19">
        <v>21000</v>
      </c>
      <c r="AH71" s="19">
        <v>21000</v>
      </c>
      <c r="AI71" s="19">
        <v>21000</v>
      </c>
      <c r="AJ71" s="19">
        <v>21000</v>
      </c>
      <c r="AK71" s="19">
        <v>21000</v>
      </c>
      <c r="AL71" s="19">
        <v>0</v>
      </c>
      <c r="AM71" s="19">
        <v>42000</v>
      </c>
      <c r="AN71" s="19">
        <v>21000</v>
      </c>
      <c r="AO71" s="19">
        <v>0</v>
      </c>
      <c r="AP71" s="19">
        <v>21000</v>
      </c>
      <c r="AQ71" s="19">
        <v>21000</v>
      </c>
      <c r="AR71" s="19">
        <v>21000</v>
      </c>
      <c r="AS71" s="19">
        <v>21000</v>
      </c>
      <c r="AT71" s="19">
        <v>21000</v>
      </c>
      <c r="AU71" s="19">
        <v>21000</v>
      </c>
      <c r="AV71" s="19">
        <v>0</v>
      </c>
      <c r="AW71" s="19">
        <v>21000</v>
      </c>
      <c r="AX71" s="19">
        <v>42000</v>
      </c>
      <c r="AY71" s="19">
        <v>0</v>
      </c>
      <c r="AZ71" s="19">
        <v>21000</v>
      </c>
      <c r="BA71" s="19">
        <v>21000</v>
      </c>
      <c r="BB71" s="19">
        <v>21000</v>
      </c>
      <c r="BC71" s="19">
        <v>0</v>
      </c>
      <c r="BD71" s="19">
        <v>42000</v>
      </c>
      <c r="BE71" s="19">
        <v>0</v>
      </c>
      <c r="BF71" s="19">
        <v>21000</v>
      </c>
      <c r="BG71" s="19">
        <v>42000</v>
      </c>
      <c r="BH71" s="19">
        <v>21000</v>
      </c>
      <c r="BI71" s="19">
        <v>0</v>
      </c>
      <c r="BJ71" s="19">
        <v>21000</v>
      </c>
      <c r="BK71" s="19">
        <v>42000</v>
      </c>
      <c r="BL71" s="19">
        <v>21000</v>
      </c>
      <c r="BM71" s="19">
        <v>21000</v>
      </c>
      <c r="BN71" s="19">
        <v>0</v>
      </c>
      <c r="BO71" s="19">
        <v>42000</v>
      </c>
      <c r="BP71" s="19">
        <v>21000</v>
      </c>
      <c r="BQ71" s="19">
        <v>21000</v>
      </c>
      <c r="BR71" s="19"/>
      <c r="BS71" s="19">
        <v>21000</v>
      </c>
      <c r="BT71" s="19">
        <v>42000</v>
      </c>
      <c r="BU71" s="19">
        <v>21000</v>
      </c>
      <c r="BV71" s="19">
        <v>21000</v>
      </c>
      <c r="BW71" s="19">
        <v>0</v>
      </c>
      <c r="BX71" s="19">
        <v>21000</v>
      </c>
      <c r="BY71" s="19">
        <v>21000</v>
      </c>
      <c r="BZ71" s="19">
        <v>21000</v>
      </c>
      <c r="CA71" s="19">
        <v>0</v>
      </c>
      <c r="CB71" s="19">
        <v>0</v>
      </c>
      <c r="CC71" s="19">
        <v>63000</v>
      </c>
      <c r="CD71" s="19">
        <v>0</v>
      </c>
      <c r="CE71" s="19"/>
      <c r="CF71" s="19">
        <v>63000</v>
      </c>
      <c r="CG71" s="19">
        <v>21000</v>
      </c>
      <c r="CH71" s="19">
        <v>21000</v>
      </c>
      <c r="CI71" s="19">
        <v>0</v>
      </c>
      <c r="CJ71" s="19">
        <v>21000</v>
      </c>
      <c r="CK71" s="19">
        <v>21000</v>
      </c>
      <c r="CL71" s="19">
        <v>0</v>
      </c>
      <c r="CM71" s="19">
        <v>42000</v>
      </c>
      <c r="CN71" s="19">
        <v>0</v>
      </c>
      <c r="CO71" s="19">
        <v>42000</v>
      </c>
      <c r="CP71" s="19">
        <v>21000</v>
      </c>
      <c r="CQ71" s="24">
        <v>0</v>
      </c>
      <c r="CR71" s="19">
        <v>21000</v>
      </c>
      <c r="CS71" s="19">
        <v>0</v>
      </c>
      <c r="CT71" s="19">
        <v>42000</v>
      </c>
      <c r="CU71" s="19">
        <v>0</v>
      </c>
      <c r="CV71" s="19">
        <v>63000</v>
      </c>
      <c r="CW71" s="19">
        <v>0</v>
      </c>
      <c r="CX71" s="19">
        <v>42000</v>
      </c>
      <c r="CY71" s="19">
        <v>42000</v>
      </c>
      <c r="CZ71" s="19">
        <v>0</v>
      </c>
      <c r="DA71" s="19">
        <v>0</v>
      </c>
      <c r="DB71" s="19">
        <v>42000</v>
      </c>
      <c r="DC71" s="19">
        <v>42000</v>
      </c>
      <c r="DD71" s="19">
        <v>21000</v>
      </c>
      <c r="DE71" s="19">
        <v>0</v>
      </c>
      <c r="DF71" s="19">
        <v>0</v>
      </c>
      <c r="DG71" s="19">
        <v>42000</v>
      </c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</row>
    <row r="72" spans="1:122" ht="15.75" customHeight="1" x14ac:dyDescent="0.3">
      <c r="A72" s="15">
        <v>66</v>
      </c>
      <c r="B72" s="16" t="s">
        <v>59</v>
      </c>
      <c r="C72" s="17">
        <v>21000</v>
      </c>
      <c r="D72" s="18">
        <f>Sheet3!C68</f>
        <v>53</v>
      </c>
      <c r="E72" s="19">
        <v>21000</v>
      </c>
      <c r="F72" s="19">
        <v>21000</v>
      </c>
      <c r="G72" s="19">
        <v>21000</v>
      </c>
      <c r="H72" s="19">
        <v>21000</v>
      </c>
      <c r="I72" s="19">
        <v>21000</v>
      </c>
      <c r="J72" s="19">
        <v>21000</v>
      </c>
      <c r="K72" s="19">
        <v>21000</v>
      </c>
      <c r="L72" s="19">
        <v>21000</v>
      </c>
      <c r="M72" s="19">
        <v>21000</v>
      </c>
      <c r="N72" s="19">
        <v>21000</v>
      </c>
      <c r="O72" s="19">
        <v>21000</v>
      </c>
      <c r="P72" s="19">
        <v>21000</v>
      </c>
      <c r="Q72" s="19">
        <v>21000</v>
      </c>
      <c r="R72" s="19">
        <v>21000</v>
      </c>
      <c r="S72" s="19">
        <v>21000</v>
      </c>
      <c r="T72" s="19">
        <v>21000</v>
      </c>
      <c r="U72" s="19">
        <v>21000</v>
      </c>
      <c r="V72" s="19">
        <v>21000</v>
      </c>
      <c r="W72" s="19">
        <v>21000</v>
      </c>
      <c r="X72" s="19">
        <v>21000</v>
      </c>
      <c r="Y72" s="19">
        <v>21000</v>
      </c>
      <c r="Z72" s="19">
        <v>21000</v>
      </c>
      <c r="AA72" s="19">
        <v>21000</v>
      </c>
      <c r="AB72" s="19">
        <v>21000</v>
      </c>
      <c r="AC72" s="19">
        <v>21000</v>
      </c>
      <c r="AD72" s="19">
        <v>21000</v>
      </c>
      <c r="AE72" s="19">
        <v>21000</v>
      </c>
      <c r="AF72" s="19">
        <v>21000</v>
      </c>
      <c r="AG72" s="19">
        <v>21000</v>
      </c>
      <c r="AH72" s="19">
        <v>21000</v>
      </c>
      <c r="AI72" s="19">
        <v>21000</v>
      </c>
      <c r="AJ72" s="19">
        <v>21000</v>
      </c>
      <c r="AK72" s="19">
        <v>21000</v>
      </c>
      <c r="AL72" s="19">
        <v>21000</v>
      </c>
      <c r="AM72" s="19">
        <v>21000</v>
      </c>
      <c r="AN72" s="19">
        <v>21000</v>
      </c>
      <c r="AO72" s="19">
        <v>21000</v>
      </c>
      <c r="AP72" s="19">
        <v>21000</v>
      </c>
      <c r="AQ72" s="19">
        <v>21000</v>
      </c>
      <c r="AR72" s="19">
        <v>21000</v>
      </c>
      <c r="AS72" s="19">
        <v>21000</v>
      </c>
      <c r="AT72" s="19">
        <v>21000</v>
      </c>
      <c r="AU72" s="19">
        <v>21000</v>
      </c>
      <c r="AV72" s="19">
        <v>21000</v>
      </c>
      <c r="AW72" s="19">
        <v>21000</v>
      </c>
      <c r="AX72" s="19">
        <v>21000</v>
      </c>
      <c r="AY72" s="19">
        <v>21000</v>
      </c>
      <c r="AZ72" s="19">
        <v>21000</v>
      </c>
      <c r="BA72" s="19">
        <v>21000</v>
      </c>
      <c r="BB72" s="19">
        <v>21000</v>
      </c>
      <c r="BC72" s="19">
        <v>21000</v>
      </c>
      <c r="BD72" s="19">
        <v>21000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>
        <v>0</v>
      </c>
      <c r="BM72" s="19">
        <v>0</v>
      </c>
      <c r="BN72" s="19">
        <v>0</v>
      </c>
      <c r="BO72" s="19">
        <v>0</v>
      </c>
      <c r="BP72" s="19">
        <v>0</v>
      </c>
      <c r="BQ72" s="19"/>
      <c r="BR72" s="19"/>
      <c r="BS72" s="19"/>
      <c r="BT72" s="19"/>
      <c r="BU72" s="19"/>
      <c r="BV72" s="19">
        <v>21000</v>
      </c>
      <c r="BW72" s="19">
        <v>0</v>
      </c>
      <c r="BX72" s="19">
        <v>0</v>
      </c>
      <c r="BY72" s="19">
        <v>0</v>
      </c>
      <c r="BZ72" s="19">
        <v>0</v>
      </c>
      <c r="CA72" s="19">
        <v>0</v>
      </c>
      <c r="CB72" s="19">
        <v>0</v>
      </c>
      <c r="CC72" s="19">
        <v>0</v>
      </c>
      <c r="CD72" s="19">
        <v>0</v>
      </c>
      <c r="CE72" s="19"/>
      <c r="CF72" s="19">
        <v>0</v>
      </c>
      <c r="CG72" s="19">
        <v>0</v>
      </c>
      <c r="CH72" s="19">
        <v>0</v>
      </c>
      <c r="CI72" s="19">
        <v>0</v>
      </c>
      <c r="CJ72" s="19">
        <v>0</v>
      </c>
      <c r="CK72" s="19">
        <v>0</v>
      </c>
      <c r="CL72" s="19">
        <v>0</v>
      </c>
      <c r="CM72" s="19">
        <v>0</v>
      </c>
      <c r="CN72" s="19">
        <v>0</v>
      </c>
      <c r="CO72" s="19">
        <v>0</v>
      </c>
      <c r="CP72" s="19">
        <v>0</v>
      </c>
      <c r="CQ72" s="24">
        <v>0</v>
      </c>
      <c r="CR72" s="19">
        <v>0</v>
      </c>
      <c r="CS72" s="19">
        <v>0</v>
      </c>
      <c r="CT72" s="19">
        <v>0</v>
      </c>
      <c r="CU72" s="19">
        <v>0</v>
      </c>
      <c r="CV72" s="19">
        <v>0</v>
      </c>
      <c r="CW72" s="19">
        <v>0</v>
      </c>
      <c r="CX72" s="19">
        <v>0</v>
      </c>
      <c r="CY72" s="19">
        <v>0</v>
      </c>
      <c r="CZ72" s="19">
        <v>0</v>
      </c>
      <c r="DA72" s="19">
        <v>0</v>
      </c>
      <c r="DB72" s="19">
        <v>0</v>
      </c>
      <c r="DC72" s="19">
        <v>0</v>
      </c>
      <c r="DD72" s="19">
        <v>0</v>
      </c>
      <c r="DE72" s="19">
        <v>0</v>
      </c>
      <c r="DF72" s="19">
        <v>0</v>
      </c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</row>
    <row r="73" spans="1:122" ht="15.75" customHeight="1" x14ac:dyDescent="0.3">
      <c r="A73" s="15">
        <v>67</v>
      </c>
      <c r="B73" s="16" t="s">
        <v>60</v>
      </c>
      <c r="C73" s="17">
        <v>21000</v>
      </c>
      <c r="D73" s="18">
        <f>Sheet3!C69</f>
        <v>108</v>
      </c>
      <c r="E73" s="19">
        <v>21000</v>
      </c>
      <c r="F73" s="19">
        <v>21000</v>
      </c>
      <c r="G73" s="19">
        <v>21000</v>
      </c>
      <c r="H73" s="19">
        <v>21000</v>
      </c>
      <c r="I73" s="19">
        <v>21000</v>
      </c>
      <c r="J73" s="19">
        <v>21000</v>
      </c>
      <c r="K73" s="19">
        <v>21000</v>
      </c>
      <c r="L73" s="19">
        <v>21000</v>
      </c>
      <c r="M73" s="19">
        <v>21000</v>
      </c>
      <c r="N73" s="19">
        <v>21000</v>
      </c>
      <c r="O73" s="19">
        <v>21000</v>
      </c>
      <c r="P73" s="19">
        <v>21000</v>
      </c>
      <c r="Q73" s="19">
        <v>21000</v>
      </c>
      <c r="R73" s="19">
        <v>21000</v>
      </c>
      <c r="S73" s="19">
        <v>21000</v>
      </c>
      <c r="T73" s="19">
        <v>21000</v>
      </c>
      <c r="U73" s="19">
        <v>21000</v>
      </c>
      <c r="V73" s="19">
        <v>21000</v>
      </c>
      <c r="W73" s="19">
        <v>21000</v>
      </c>
      <c r="X73" s="19">
        <v>21000</v>
      </c>
      <c r="Y73" s="19">
        <v>21000</v>
      </c>
      <c r="Z73" s="19">
        <v>21000</v>
      </c>
      <c r="AA73" s="19">
        <v>21000</v>
      </c>
      <c r="AB73" s="19">
        <v>21000</v>
      </c>
      <c r="AC73" s="19">
        <v>21000</v>
      </c>
      <c r="AD73" s="19">
        <v>21000</v>
      </c>
      <c r="AE73" s="19">
        <v>21000</v>
      </c>
      <c r="AF73" s="19">
        <v>21000</v>
      </c>
      <c r="AG73" s="19">
        <v>21000</v>
      </c>
      <c r="AH73" s="19">
        <v>21000</v>
      </c>
      <c r="AI73" s="19">
        <v>21000</v>
      </c>
      <c r="AJ73" s="19">
        <v>21000</v>
      </c>
      <c r="AK73" s="19">
        <v>21000</v>
      </c>
      <c r="AL73" s="19">
        <v>21000</v>
      </c>
      <c r="AM73" s="19">
        <v>0</v>
      </c>
      <c r="AN73" s="19">
        <v>42000</v>
      </c>
      <c r="AO73" s="19">
        <v>21000</v>
      </c>
      <c r="AP73" s="19">
        <v>21000</v>
      </c>
      <c r="AQ73" s="19">
        <v>21000</v>
      </c>
      <c r="AR73" s="19">
        <v>21000</v>
      </c>
      <c r="AS73" s="19">
        <v>0</v>
      </c>
      <c r="AT73" s="19">
        <v>42000</v>
      </c>
      <c r="AU73" s="19">
        <v>21000</v>
      </c>
      <c r="AV73" s="19">
        <v>21000</v>
      </c>
      <c r="AW73" s="19">
        <v>21000</v>
      </c>
      <c r="AX73" s="19">
        <v>21000</v>
      </c>
      <c r="AY73" s="19">
        <v>21000</v>
      </c>
      <c r="AZ73" s="19">
        <v>21000</v>
      </c>
      <c r="BA73" s="19">
        <v>21000</v>
      </c>
      <c r="BB73" s="19">
        <v>21000</v>
      </c>
      <c r="BC73" s="19">
        <v>21000</v>
      </c>
      <c r="BD73" s="19">
        <v>21000</v>
      </c>
      <c r="BE73" s="19">
        <v>21000</v>
      </c>
      <c r="BF73" s="19">
        <v>21000</v>
      </c>
      <c r="BG73" s="19">
        <v>21000</v>
      </c>
      <c r="BH73" s="19">
        <v>21000</v>
      </c>
      <c r="BI73" s="19">
        <v>21000</v>
      </c>
      <c r="BJ73" s="19">
        <v>21000</v>
      </c>
      <c r="BK73" s="19">
        <v>21000</v>
      </c>
      <c r="BL73" s="19">
        <v>21000</v>
      </c>
      <c r="BM73" s="19">
        <v>21000</v>
      </c>
      <c r="BN73" s="19">
        <v>21000</v>
      </c>
      <c r="BO73" s="19">
        <v>21000</v>
      </c>
      <c r="BP73" s="19">
        <v>21000</v>
      </c>
      <c r="BQ73" s="19">
        <v>21000</v>
      </c>
      <c r="BR73" s="19">
        <v>21000</v>
      </c>
      <c r="BS73" s="19">
        <v>21000</v>
      </c>
      <c r="BT73" s="19">
        <v>21000</v>
      </c>
      <c r="BU73" s="19">
        <v>21000</v>
      </c>
      <c r="BV73" s="19">
        <v>21000</v>
      </c>
      <c r="BW73" s="19">
        <v>21000</v>
      </c>
      <c r="BX73" s="19">
        <v>21000</v>
      </c>
      <c r="BY73" s="19">
        <v>21000</v>
      </c>
      <c r="BZ73" s="19">
        <v>21000</v>
      </c>
      <c r="CA73" s="19">
        <v>21000</v>
      </c>
      <c r="CB73" s="19">
        <v>21000</v>
      </c>
      <c r="CC73" s="19">
        <v>21000</v>
      </c>
      <c r="CD73" s="19">
        <v>21000</v>
      </c>
      <c r="CE73" s="19">
        <v>21000</v>
      </c>
      <c r="CF73" s="19">
        <v>21000</v>
      </c>
      <c r="CG73" s="19">
        <v>21000</v>
      </c>
      <c r="CH73" s="19">
        <v>21000</v>
      </c>
      <c r="CI73" s="19">
        <v>21000</v>
      </c>
      <c r="CJ73" s="19">
        <v>21000</v>
      </c>
      <c r="CK73" s="19">
        <v>21000</v>
      </c>
      <c r="CL73" s="19">
        <v>21000</v>
      </c>
      <c r="CM73" s="19">
        <v>0</v>
      </c>
      <c r="CN73" s="19">
        <v>42000</v>
      </c>
      <c r="CO73" s="19">
        <v>21000</v>
      </c>
      <c r="CP73" s="19">
        <v>21000</v>
      </c>
      <c r="CQ73" s="24">
        <v>21000</v>
      </c>
      <c r="CR73" s="19">
        <v>21000</v>
      </c>
      <c r="CS73" s="19">
        <v>21000</v>
      </c>
      <c r="CT73" s="19">
        <v>21000</v>
      </c>
      <c r="CU73" s="19">
        <v>21000</v>
      </c>
      <c r="CV73" s="19">
        <v>21000</v>
      </c>
      <c r="CW73" s="19">
        <v>21000</v>
      </c>
      <c r="CX73" s="19">
        <v>21000</v>
      </c>
      <c r="CY73" s="19">
        <v>21000</v>
      </c>
      <c r="CZ73" s="19">
        <v>21000</v>
      </c>
      <c r="DA73" s="19">
        <v>21000</v>
      </c>
      <c r="DB73" s="19">
        <v>21000</v>
      </c>
      <c r="DC73" s="19">
        <v>21000</v>
      </c>
      <c r="DD73" s="19">
        <v>21000</v>
      </c>
      <c r="DE73" s="19">
        <v>0</v>
      </c>
      <c r="DF73" s="19">
        <v>42000</v>
      </c>
      <c r="DG73" s="19">
        <v>21000</v>
      </c>
      <c r="DH73" s="19">
        <v>21000</v>
      </c>
      <c r="DI73" s="19"/>
      <c r="DJ73" s="19"/>
      <c r="DK73" s="19"/>
      <c r="DL73" s="19"/>
      <c r="DM73" s="19"/>
      <c r="DN73" s="19"/>
      <c r="DO73" s="19"/>
      <c r="DP73" s="19"/>
      <c r="DQ73" s="19"/>
      <c r="DR73" s="19"/>
    </row>
    <row r="74" spans="1:122" ht="15.75" customHeight="1" x14ac:dyDescent="0.3">
      <c r="A74" s="15">
        <v>68</v>
      </c>
      <c r="B74" s="16" t="s">
        <v>61</v>
      </c>
      <c r="C74" s="17">
        <v>21000</v>
      </c>
      <c r="D74" s="18">
        <f>Sheet3!C70</f>
        <v>91</v>
      </c>
      <c r="E74" s="19">
        <v>21000</v>
      </c>
      <c r="F74" s="19">
        <v>21000</v>
      </c>
      <c r="G74" s="19">
        <v>21000</v>
      </c>
      <c r="H74" s="19">
        <v>21000</v>
      </c>
      <c r="I74" s="19">
        <v>21000</v>
      </c>
      <c r="J74" s="19">
        <v>21000</v>
      </c>
      <c r="K74" s="19">
        <v>21000</v>
      </c>
      <c r="L74" s="19">
        <v>21000</v>
      </c>
      <c r="M74" s="19">
        <v>21000</v>
      </c>
      <c r="N74" s="19">
        <v>21000</v>
      </c>
      <c r="O74" s="19">
        <v>21000</v>
      </c>
      <c r="P74" s="19">
        <v>21000</v>
      </c>
      <c r="Q74" s="19">
        <v>21000</v>
      </c>
      <c r="R74" s="19">
        <v>21000</v>
      </c>
      <c r="S74" s="19">
        <v>21000</v>
      </c>
      <c r="T74" s="19">
        <v>21000</v>
      </c>
      <c r="U74" s="19">
        <v>21000</v>
      </c>
      <c r="V74" s="19">
        <v>21000</v>
      </c>
      <c r="W74" s="19">
        <v>21000</v>
      </c>
      <c r="X74" s="19">
        <v>21000</v>
      </c>
      <c r="Y74" s="19">
        <v>21000</v>
      </c>
      <c r="Z74" s="19">
        <v>21000</v>
      </c>
      <c r="AA74" s="19">
        <v>21000</v>
      </c>
      <c r="AB74" s="19">
        <v>21000</v>
      </c>
      <c r="AC74" s="19">
        <v>21000</v>
      </c>
      <c r="AD74" s="19">
        <v>21000</v>
      </c>
      <c r="AE74" s="19">
        <v>21000</v>
      </c>
      <c r="AF74" s="19">
        <v>21000</v>
      </c>
      <c r="AG74" s="19">
        <v>21000</v>
      </c>
      <c r="AH74" s="19">
        <v>21000</v>
      </c>
      <c r="AI74" s="19">
        <v>21000</v>
      </c>
      <c r="AJ74" s="19">
        <v>21000</v>
      </c>
      <c r="AK74" s="19">
        <v>21000</v>
      </c>
      <c r="AL74" s="19">
        <v>21000</v>
      </c>
      <c r="AM74" s="19">
        <v>21000</v>
      </c>
      <c r="AN74" s="19">
        <v>21000</v>
      </c>
      <c r="AO74" s="19">
        <v>21000</v>
      </c>
      <c r="AP74" s="19">
        <v>21000</v>
      </c>
      <c r="AQ74" s="19">
        <v>21000</v>
      </c>
      <c r="AR74" s="19">
        <v>21000</v>
      </c>
      <c r="AS74" s="19">
        <v>21000</v>
      </c>
      <c r="AT74" s="19">
        <v>21000</v>
      </c>
      <c r="AU74" s="19">
        <v>21000</v>
      </c>
      <c r="AV74" s="19">
        <v>21000</v>
      </c>
      <c r="AW74" s="19">
        <v>0</v>
      </c>
      <c r="AX74" s="19">
        <v>0</v>
      </c>
      <c r="AY74" s="19">
        <v>0</v>
      </c>
      <c r="AZ74" s="19">
        <v>21000</v>
      </c>
      <c r="BA74" s="19">
        <v>42000</v>
      </c>
      <c r="BB74" s="19">
        <v>0</v>
      </c>
      <c r="BC74" s="19">
        <v>42000</v>
      </c>
      <c r="BD74" s="19">
        <v>21000</v>
      </c>
      <c r="BE74" s="19">
        <v>21000</v>
      </c>
      <c r="BF74" s="19">
        <v>21000</v>
      </c>
      <c r="BG74" s="19">
        <v>21000</v>
      </c>
      <c r="BH74" s="19">
        <v>0</v>
      </c>
      <c r="BI74" s="19">
        <v>0</v>
      </c>
      <c r="BJ74" s="19">
        <v>0</v>
      </c>
      <c r="BK74" s="19">
        <v>63000</v>
      </c>
      <c r="BL74" s="19">
        <v>0</v>
      </c>
      <c r="BM74" s="19">
        <v>0</v>
      </c>
      <c r="BN74" s="19">
        <v>0</v>
      </c>
      <c r="BO74" s="19">
        <v>0</v>
      </c>
      <c r="BP74" s="19">
        <v>0</v>
      </c>
      <c r="BQ74" s="19">
        <v>42000</v>
      </c>
      <c r="BR74" s="19">
        <v>21000</v>
      </c>
      <c r="BS74" s="19"/>
      <c r="BT74" s="19">
        <v>189000</v>
      </c>
      <c r="BU74" s="19"/>
      <c r="BV74" s="19">
        <v>0</v>
      </c>
      <c r="BW74" s="19">
        <v>0</v>
      </c>
      <c r="BX74" s="19">
        <v>0</v>
      </c>
      <c r="BY74" s="19">
        <v>0</v>
      </c>
      <c r="BZ74" s="19">
        <v>0</v>
      </c>
      <c r="CA74" s="19">
        <v>0</v>
      </c>
      <c r="CB74" s="19">
        <v>0</v>
      </c>
      <c r="CC74" s="19">
        <v>0</v>
      </c>
      <c r="CD74" s="19">
        <v>0</v>
      </c>
      <c r="CE74" s="19">
        <v>0</v>
      </c>
      <c r="CF74" s="19">
        <v>0</v>
      </c>
      <c r="CG74" s="19">
        <v>0</v>
      </c>
      <c r="CH74" s="19">
        <v>0</v>
      </c>
      <c r="CI74" s="19">
        <v>0</v>
      </c>
      <c r="CJ74" s="19">
        <v>0</v>
      </c>
      <c r="CK74" s="19">
        <v>0</v>
      </c>
      <c r="CL74" s="19">
        <v>0</v>
      </c>
      <c r="CM74" s="19">
        <v>336000</v>
      </c>
      <c r="CN74" s="19">
        <v>0</v>
      </c>
      <c r="CO74" s="19">
        <v>0</v>
      </c>
      <c r="CP74" s="19">
        <v>105000</v>
      </c>
      <c r="CQ74" s="24">
        <v>21000</v>
      </c>
      <c r="CR74" s="19">
        <v>0</v>
      </c>
      <c r="CS74" s="19">
        <v>0</v>
      </c>
      <c r="CT74" s="19">
        <v>0</v>
      </c>
      <c r="CU74" s="19">
        <v>0</v>
      </c>
      <c r="CV74" s="19">
        <v>0</v>
      </c>
      <c r="CW74" s="19">
        <v>0</v>
      </c>
      <c r="CX74" s="19">
        <v>0</v>
      </c>
      <c r="CY74" s="19">
        <v>0</v>
      </c>
      <c r="CZ74" s="19">
        <v>0</v>
      </c>
      <c r="DA74" s="19">
        <v>21000</v>
      </c>
      <c r="DB74" s="19">
        <v>0</v>
      </c>
      <c r="DC74" s="19">
        <v>0</v>
      </c>
      <c r="DD74" s="19">
        <v>0</v>
      </c>
      <c r="DE74" s="19">
        <v>0</v>
      </c>
      <c r="DF74" s="19">
        <v>0</v>
      </c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</row>
    <row r="75" spans="1:122" ht="15.75" customHeight="1" x14ac:dyDescent="0.3">
      <c r="A75" s="15">
        <v>69</v>
      </c>
      <c r="B75" s="16" t="s">
        <v>12</v>
      </c>
      <c r="C75" s="17">
        <v>21000</v>
      </c>
      <c r="D75" s="18">
        <f>Sheet3!C71</f>
        <v>101</v>
      </c>
      <c r="E75" s="19">
        <v>21000</v>
      </c>
      <c r="F75" s="19">
        <v>21000</v>
      </c>
      <c r="G75" s="19">
        <v>21000</v>
      </c>
      <c r="H75" s="19">
        <v>21000</v>
      </c>
      <c r="I75" s="19">
        <v>21000</v>
      </c>
      <c r="J75" s="19">
        <v>21000</v>
      </c>
      <c r="K75" s="19">
        <v>21000</v>
      </c>
      <c r="L75" s="19">
        <v>21000</v>
      </c>
      <c r="M75" s="19">
        <v>21000</v>
      </c>
      <c r="N75" s="19">
        <v>21000</v>
      </c>
      <c r="O75" s="19">
        <v>21000</v>
      </c>
      <c r="P75" s="19">
        <v>21000</v>
      </c>
      <c r="Q75" s="19">
        <v>21000</v>
      </c>
      <c r="R75" s="19">
        <v>21000</v>
      </c>
      <c r="S75" s="19">
        <v>21000</v>
      </c>
      <c r="T75" s="19">
        <v>21000</v>
      </c>
      <c r="U75" s="19">
        <v>21000</v>
      </c>
      <c r="V75" s="19">
        <v>21000</v>
      </c>
      <c r="W75" s="19">
        <v>21000</v>
      </c>
      <c r="X75" s="19">
        <v>21000</v>
      </c>
      <c r="Y75" s="19">
        <v>21000</v>
      </c>
      <c r="Z75" s="19">
        <v>21000</v>
      </c>
      <c r="AA75" s="19">
        <v>21000</v>
      </c>
      <c r="AB75" s="19">
        <v>21000</v>
      </c>
      <c r="AC75" s="19">
        <v>21000</v>
      </c>
      <c r="AD75" s="19">
        <v>21000</v>
      </c>
      <c r="AE75" s="19">
        <v>21000</v>
      </c>
      <c r="AF75" s="19">
        <v>21000</v>
      </c>
      <c r="AG75" s="19">
        <v>0</v>
      </c>
      <c r="AH75" s="19">
        <v>42000</v>
      </c>
      <c r="AI75" s="19">
        <v>21000</v>
      </c>
      <c r="AJ75" s="19">
        <v>21000</v>
      </c>
      <c r="AK75" s="19">
        <v>21000</v>
      </c>
      <c r="AL75" s="19">
        <v>21000</v>
      </c>
      <c r="AM75" s="19">
        <v>21000</v>
      </c>
      <c r="AN75" s="19">
        <v>21000</v>
      </c>
      <c r="AO75" s="19">
        <v>21000</v>
      </c>
      <c r="AP75" s="19">
        <v>21000</v>
      </c>
      <c r="AQ75" s="19">
        <v>21000</v>
      </c>
      <c r="AR75" s="19">
        <v>21000</v>
      </c>
      <c r="AS75" s="19">
        <v>21000</v>
      </c>
      <c r="AT75" s="19">
        <v>21000</v>
      </c>
      <c r="AU75" s="19">
        <v>21000</v>
      </c>
      <c r="AV75" s="19">
        <v>0</v>
      </c>
      <c r="AW75" s="19">
        <v>42000</v>
      </c>
      <c r="AX75" s="19">
        <v>21000</v>
      </c>
      <c r="AY75" s="19">
        <v>21000</v>
      </c>
      <c r="AZ75" s="19">
        <v>21000</v>
      </c>
      <c r="BA75" s="19">
        <v>21000</v>
      </c>
      <c r="BB75" s="19">
        <v>21000</v>
      </c>
      <c r="BC75" s="19">
        <v>21000</v>
      </c>
      <c r="BD75" s="19">
        <v>0</v>
      </c>
      <c r="BE75" s="19">
        <v>21000</v>
      </c>
      <c r="BF75" s="19">
        <v>21000</v>
      </c>
      <c r="BG75" s="19">
        <v>42000</v>
      </c>
      <c r="BH75" s="19">
        <v>21000</v>
      </c>
      <c r="BI75" s="19">
        <v>21000</v>
      </c>
      <c r="BJ75" s="19">
        <v>21000</v>
      </c>
      <c r="BK75" s="19">
        <v>21000</v>
      </c>
      <c r="BL75" s="19">
        <v>21000</v>
      </c>
      <c r="BM75" s="19">
        <v>21000</v>
      </c>
      <c r="BN75" s="19">
        <v>0</v>
      </c>
      <c r="BO75" s="19">
        <v>21000</v>
      </c>
      <c r="BP75" s="19">
        <v>21000</v>
      </c>
      <c r="BQ75" s="19">
        <v>21000</v>
      </c>
      <c r="BR75" s="19">
        <v>21000</v>
      </c>
      <c r="BS75" s="19">
        <v>21000</v>
      </c>
      <c r="BT75" s="19">
        <v>21000</v>
      </c>
      <c r="BU75" s="19">
        <v>21000</v>
      </c>
      <c r="BV75" s="19">
        <v>21000</v>
      </c>
      <c r="BW75" s="19">
        <v>21000</v>
      </c>
      <c r="BX75" s="19">
        <v>0</v>
      </c>
      <c r="BY75" s="19">
        <v>21000</v>
      </c>
      <c r="BZ75" s="19">
        <v>0</v>
      </c>
      <c r="CA75" s="19">
        <v>0</v>
      </c>
      <c r="CB75" s="19">
        <v>0</v>
      </c>
      <c r="CC75" s="19">
        <v>0</v>
      </c>
      <c r="CD75" s="19">
        <v>0</v>
      </c>
      <c r="CE75" s="19">
        <v>0</v>
      </c>
      <c r="CF75" s="19">
        <v>21000</v>
      </c>
      <c r="CG75" s="19">
        <v>21000</v>
      </c>
      <c r="CH75" s="19">
        <v>21000</v>
      </c>
      <c r="CI75" s="19">
        <v>21000</v>
      </c>
      <c r="CJ75" s="19">
        <v>42000</v>
      </c>
      <c r="CK75" s="19">
        <v>0</v>
      </c>
      <c r="CL75" s="19">
        <v>0</v>
      </c>
      <c r="CM75" s="19">
        <v>21000</v>
      </c>
      <c r="CN75" s="19">
        <v>21000</v>
      </c>
      <c r="CO75" s="19">
        <v>0</v>
      </c>
      <c r="CP75" s="19">
        <v>0</v>
      </c>
      <c r="CQ75" s="24">
        <v>0</v>
      </c>
      <c r="CR75" s="19">
        <v>21000</v>
      </c>
      <c r="CS75" s="19">
        <v>0</v>
      </c>
      <c r="CT75" s="19">
        <v>84000</v>
      </c>
      <c r="CU75" s="19">
        <v>0</v>
      </c>
      <c r="CV75" s="19">
        <v>63000</v>
      </c>
      <c r="CW75" s="19">
        <v>0</v>
      </c>
      <c r="CX75" s="19">
        <v>63000</v>
      </c>
      <c r="CY75" s="19">
        <v>21000</v>
      </c>
      <c r="CZ75" s="19">
        <v>42000</v>
      </c>
      <c r="DA75" s="19">
        <v>21000</v>
      </c>
      <c r="DB75" s="19">
        <v>21000</v>
      </c>
      <c r="DC75" s="19">
        <v>0</v>
      </c>
      <c r="DD75" s="19">
        <v>21000</v>
      </c>
      <c r="DE75" s="19">
        <v>42000</v>
      </c>
      <c r="DF75" s="19">
        <v>0</v>
      </c>
      <c r="DG75" s="19">
        <v>42000</v>
      </c>
      <c r="DH75" s="19">
        <v>21000</v>
      </c>
      <c r="DI75" s="19"/>
      <c r="DJ75" s="19"/>
      <c r="DK75" s="19"/>
      <c r="DL75" s="19"/>
      <c r="DM75" s="19"/>
      <c r="DN75" s="19"/>
      <c r="DO75" s="19"/>
      <c r="DP75" s="19"/>
      <c r="DQ75" s="19"/>
      <c r="DR75" s="19"/>
    </row>
    <row r="76" spans="1:122" ht="15.75" customHeight="1" x14ac:dyDescent="0.3">
      <c r="A76" s="15">
        <v>70</v>
      </c>
      <c r="B76" s="16" t="s">
        <v>62</v>
      </c>
      <c r="C76" s="17">
        <v>21000</v>
      </c>
      <c r="D76" s="18">
        <f>Sheet3!C72</f>
        <v>102</v>
      </c>
      <c r="E76" s="19">
        <v>21000</v>
      </c>
      <c r="F76" s="19">
        <v>21000</v>
      </c>
      <c r="G76" s="19">
        <v>21000</v>
      </c>
      <c r="H76" s="19">
        <v>21000</v>
      </c>
      <c r="I76" s="19">
        <v>21000</v>
      </c>
      <c r="J76" s="19">
        <v>21000</v>
      </c>
      <c r="K76" s="19">
        <v>21000</v>
      </c>
      <c r="L76" s="19">
        <v>21000</v>
      </c>
      <c r="M76" s="19">
        <v>21000</v>
      </c>
      <c r="N76" s="19">
        <v>21000</v>
      </c>
      <c r="O76" s="19">
        <v>21000</v>
      </c>
      <c r="P76" s="19">
        <v>21000</v>
      </c>
      <c r="Q76" s="19">
        <v>21000</v>
      </c>
      <c r="R76" s="19">
        <v>21000</v>
      </c>
      <c r="S76" s="19">
        <v>21000</v>
      </c>
      <c r="T76" s="19">
        <v>21000</v>
      </c>
      <c r="U76" s="19">
        <v>21000</v>
      </c>
      <c r="V76" s="19">
        <v>21000</v>
      </c>
      <c r="W76" s="19">
        <v>21000</v>
      </c>
      <c r="X76" s="19">
        <v>21000</v>
      </c>
      <c r="Y76" s="19">
        <v>21000</v>
      </c>
      <c r="Z76" s="19">
        <v>21000</v>
      </c>
      <c r="AA76" s="19">
        <v>21000</v>
      </c>
      <c r="AB76" s="19">
        <v>21000</v>
      </c>
      <c r="AC76" s="19">
        <v>21000</v>
      </c>
      <c r="AD76" s="19">
        <v>21000</v>
      </c>
      <c r="AE76" s="19">
        <v>21000</v>
      </c>
      <c r="AF76" s="19">
        <v>21000</v>
      </c>
      <c r="AG76" s="19">
        <v>21000</v>
      </c>
      <c r="AH76" s="19">
        <v>21000</v>
      </c>
      <c r="AI76" s="19">
        <v>21000</v>
      </c>
      <c r="AJ76" s="19">
        <v>21000</v>
      </c>
      <c r="AK76" s="19">
        <v>21000</v>
      </c>
      <c r="AL76" s="19">
        <v>21000</v>
      </c>
      <c r="AM76" s="19">
        <v>21000</v>
      </c>
      <c r="AN76" s="19">
        <v>21000</v>
      </c>
      <c r="AO76" s="19">
        <v>21000</v>
      </c>
      <c r="AP76" s="19">
        <v>21000</v>
      </c>
      <c r="AQ76" s="19">
        <v>21000</v>
      </c>
      <c r="AR76" s="19">
        <v>21000</v>
      </c>
      <c r="AS76" s="19">
        <v>21000</v>
      </c>
      <c r="AT76" s="19">
        <v>21000</v>
      </c>
      <c r="AU76" s="19">
        <v>21000</v>
      </c>
      <c r="AV76" s="19">
        <v>0</v>
      </c>
      <c r="AW76" s="19">
        <v>42000</v>
      </c>
      <c r="AX76" s="19">
        <v>21000</v>
      </c>
      <c r="AY76" s="19">
        <v>21000</v>
      </c>
      <c r="AZ76" s="19">
        <v>21000</v>
      </c>
      <c r="BA76" s="19">
        <v>21000</v>
      </c>
      <c r="BB76" s="19">
        <v>21000</v>
      </c>
      <c r="BC76" s="19">
        <v>21000</v>
      </c>
      <c r="BD76" s="19">
        <v>21000</v>
      </c>
      <c r="BE76" s="19">
        <v>21000</v>
      </c>
      <c r="BF76" s="19">
        <v>21000</v>
      </c>
      <c r="BG76" s="19">
        <v>21000</v>
      </c>
      <c r="BH76" s="19">
        <v>21000</v>
      </c>
      <c r="BI76" s="19">
        <v>21000</v>
      </c>
      <c r="BJ76" s="19">
        <v>0</v>
      </c>
      <c r="BK76" s="19">
        <v>42000</v>
      </c>
      <c r="BL76" s="19">
        <v>21000</v>
      </c>
      <c r="BM76" s="19">
        <v>21000</v>
      </c>
      <c r="BN76" s="19">
        <v>0</v>
      </c>
      <c r="BO76" s="19">
        <v>42000</v>
      </c>
      <c r="BP76" s="19">
        <v>0</v>
      </c>
      <c r="BQ76" s="19">
        <v>42000</v>
      </c>
      <c r="BR76" s="19">
        <v>21000</v>
      </c>
      <c r="BS76" s="19"/>
      <c r="BT76" s="19">
        <v>42000</v>
      </c>
      <c r="BU76" s="19">
        <v>21000</v>
      </c>
      <c r="BV76" s="19">
        <v>21000</v>
      </c>
      <c r="BW76" s="19">
        <v>0</v>
      </c>
      <c r="BX76" s="19">
        <v>42000</v>
      </c>
      <c r="BY76" s="19">
        <v>21000</v>
      </c>
      <c r="BZ76" s="19">
        <v>21000</v>
      </c>
      <c r="CA76" s="19">
        <v>21000</v>
      </c>
      <c r="CB76" s="19">
        <v>21000</v>
      </c>
      <c r="CC76" s="19">
        <v>21000</v>
      </c>
      <c r="CD76" s="19">
        <v>21000</v>
      </c>
      <c r="CE76" s="19">
        <v>0</v>
      </c>
      <c r="CF76" s="19">
        <v>42000</v>
      </c>
      <c r="CG76" s="19">
        <v>21000</v>
      </c>
      <c r="CH76" s="19">
        <v>21000</v>
      </c>
      <c r="CI76" s="19">
        <v>21000</v>
      </c>
      <c r="CJ76" s="19">
        <v>0</v>
      </c>
      <c r="CK76" s="19">
        <v>21000</v>
      </c>
      <c r="CL76" s="19">
        <v>21000</v>
      </c>
      <c r="CM76" s="19">
        <v>21000</v>
      </c>
      <c r="CN76" s="19">
        <v>21000</v>
      </c>
      <c r="CO76" s="19">
        <v>21000</v>
      </c>
      <c r="CP76" s="19">
        <v>21000</v>
      </c>
      <c r="CQ76" s="24">
        <v>21000</v>
      </c>
      <c r="CR76" s="19">
        <v>0</v>
      </c>
      <c r="CS76" s="19">
        <v>0</v>
      </c>
      <c r="CT76" s="19">
        <v>63000</v>
      </c>
      <c r="CU76" s="19">
        <v>0</v>
      </c>
      <c r="CV76" s="19">
        <v>21000</v>
      </c>
      <c r="CW76" s="19">
        <v>21000</v>
      </c>
      <c r="CX76" s="19">
        <v>21000</v>
      </c>
      <c r="CY76" s="19">
        <v>21000</v>
      </c>
      <c r="CZ76" s="19">
        <v>0</v>
      </c>
      <c r="DA76" s="19">
        <v>21000</v>
      </c>
      <c r="DB76" s="19">
        <v>21000</v>
      </c>
      <c r="DC76" s="19">
        <v>21000</v>
      </c>
      <c r="DD76" s="19">
        <v>21000</v>
      </c>
      <c r="DE76" s="19">
        <v>21000</v>
      </c>
      <c r="DF76" s="19">
        <v>0</v>
      </c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</row>
    <row r="77" spans="1:122" ht="15.75" customHeight="1" x14ac:dyDescent="0.3">
      <c r="A77" s="15">
        <v>71</v>
      </c>
      <c r="B77" s="16" t="s">
        <v>63</v>
      </c>
      <c r="C77" s="17">
        <v>21000</v>
      </c>
      <c r="D77" s="18">
        <f>Sheet3!C73</f>
        <v>101</v>
      </c>
      <c r="E77" s="19">
        <v>21000</v>
      </c>
      <c r="F77" s="19">
        <v>21000</v>
      </c>
      <c r="G77" s="19">
        <v>21000</v>
      </c>
      <c r="H77" s="19">
        <v>21000</v>
      </c>
      <c r="I77" s="19">
        <v>21000</v>
      </c>
      <c r="J77" s="19">
        <v>21000</v>
      </c>
      <c r="K77" s="19">
        <v>21000</v>
      </c>
      <c r="L77" s="19">
        <v>21000</v>
      </c>
      <c r="M77" s="19">
        <v>21000</v>
      </c>
      <c r="N77" s="19">
        <v>21000</v>
      </c>
      <c r="O77" s="19">
        <v>21000</v>
      </c>
      <c r="P77" s="19">
        <v>21000</v>
      </c>
      <c r="Q77" s="19">
        <v>21000</v>
      </c>
      <c r="R77" s="19">
        <v>21000</v>
      </c>
      <c r="S77" s="19">
        <v>21000</v>
      </c>
      <c r="T77" s="19">
        <v>21000</v>
      </c>
      <c r="U77" s="19">
        <v>21000</v>
      </c>
      <c r="V77" s="19">
        <v>21000</v>
      </c>
      <c r="W77" s="19">
        <v>21000</v>
      </c>
      <c r="X77" s="19">
        <v>21000</v>
      </c>
      <c r="Y77" s="19">
        <v>0</v>
      </c>
      <c r="Z77" s="19">
        <v>42000</v>
      </c>
      <c r="AA77" s="19">
        <v>21000</v>
      </c>
      <c r="AB77" s="19">
        <v>21000</v>
      </c>
      <c r="AC77" s="19">
        <v>21000</v>
      </c>
      <c r="AD77" s="19">
        <v>21000</v>
      </c>
      <c r="AE77" s="19">
        <v>21000</v>
      </c>
      <c r="AF77" s="19">
        <v>21000</v>
      </c>
      <c r="AG77" s="19">
        <v>21000</v>
      </c>
      <c r="AH77" s="19">
        <v>21000</v>
      </c>
      <c r="AI77" s="19">
        <v>21000</v>
      </c>
      <c r="AJ77" s="19">
        <v>21000</v>
      </c>
      <c r="AK77" s="19">
        <v>21000</v>
      </c>
      <c r="AL77" s="19">
        <v>21000</v>
      </c>
      <c r="AM77" s="19">
        <v>21000</v>
      </c>
      <c r="AN77" s="19">
        <v>21000</v>
      </c>
      <c r="AO77" s="19">
        <v>21000</v>
      </c>
      <c r="AP77" s="19">
        <v>21000</v>
      </c>
      <c r="AQ77" s="19">
        <v>21000</v>
      </c>
      <c r="AR77" s="19">
        <v>21000</v>
      </c>
      <c r="AS77" s="19">
        <v>21000</v>
      </c>
      <c r="AT77" s="19">
        <v>21000</v>
      </c>
      <c r="AU77" s="19">
        <v>21000</v>
      </c>
      <c r="AV77" s="19">
        <v>21000</v>
      </c>
      <c r="AW77" s="19">
        <v>0</v>
      </c>
      <c r="AX77" s="19">
        <v>21000</v>
      </c>
      <c r="AY77" s="19">
        <v>21000</v>
      </c>
      <c r="AZ77" s="19">
        <v>0</v>
      </c>
      <c r="BA77" s="19">
        <v>21000</v>
      </c>
      <c r="BB77" s="19">
        <v>21000</v>
      </c>
      <c r="BC77" s="19">
        <v>21000</v>
      </c>
      <c r="BD77" s="19">
        <v>21000</v>
      </c>
      <c r="BE77" s="19">
        <v>21000</v>
      </c>
      <c r="BF77" s="19">
        <v>21000</v>
      </c>
      <c r="BG77" s="19">
        <v>21000</v>
      </c>
      <c r="BH77" s="19">
        <v>21000</v>
      </c>
      <c r="BI77" s="19">
        <v>21000</v>
      </c>
      <c r="BJ77" s="19">
        <v>21000</v>
      </c>
      <c r="BK77" s="19">
        <v>21000</v>
      </c>
      <c r="BL77" s="19">
        <v>21000</v>
      </c>
      <c r="BM77" s="19">
        <v>21000</v>
      </c>
      <c r="BN77" s="19">
        <v>21000</v>
      </c>
      <c r="BO77" s="19">
        <v>21000</v>
      </c>
      <c r="BP77" s="19">
        <v>0</v>
      </c>
      <c r="BQ77" s="19">
        <v>42000</v>
      </c>
      <c r="BR77" s="19">
        <v>21000</v>
      </c>
      <c r="BS77" s="19">
        <v>21000</v>
      </c>
      <c r="BT77" s="19">
        <v>0</v>
      </c>
      <c r="BU77" s="19">
        <v>21000</v>
      </c>
      <c r="BV77" s="19">
        <v>42000</v>
      </c>
      <c r="BW77" s="19">
        <v>21000</v>
      </c>
      <c r="BX77" s="19">
        <v>0</v>
      </c>
      <c r="BY77" s="19">
        <v>0</v>
      </c>
      <c r="BZ77" s="19">
        <v>0</v>
      </c>
      <c r="CA77" s="19">
        <v>0</v>
      </c>
      <c r="CB77" s="19">
        <v>0</v>
      </c>
      <c r="CC77" s="19">
        <v>126000</v>
      </c>
      <c r="CD77" s="19">
        <v>0</v>
      </c>
      <c r="CE77" s="19">
        <v>0</v>
      </c>
      <c r="CF77" s="19">
        <v>63000</v>
      </c>
      <c r="CG77" s="19">
        <v>0</v>
      </c>
      <c r="CH77" s="19">
        <v>0</v>
      </c>
      <c r="CI77" s="19">
        <v>0</v>
      </c>
      <c r="CJ77" s="19">
        <v>0</v>
      </c>
      <c r="CK77" s="19">
        <v>42000</v>
      </c>
      <c r="CL77" s="19">
        <v>0</v>
      </c>
      <c r="CM77" s="19">
        <v>0</v>
      </c>
      <c r="CN77" s="19">
        <v>42000</v>
      </c>
      <c r="CO77" s="19">
        <v>0</v>
      </c>
      <c r="CP77" s="19">
        <v>105000</v>
      </c>
      <c r="CQ77" s="24">
        <v>0</v>
      </c>
      <c r="CR77" s="19">
        <v>0</v>
      </c>
      <c r="CS77" s="19">
        <v>63000</v>
      </c>
      <c r="CT77" s="19">
        <v>0</v>
      </c>
      <c r="CU77" s="19">
        <v>42000</v>
      </c>
      <c r="CV77" s="19">
        <v>0</v>
      </c>
      <c r="CW77" s="19">
        <v>0</v>
      </c>
      <c r="CX77" s="19">
        <v>63000</v>
      </c>
      <c r="CY77" s="19">
        <v>0</v>
      </c>
      <c r="CZ77" s="19">
        <v>0</v>
      </c>
      <c r="DA77" s="19">
        <v>63000</v>
      </c>
      <c r="DB77" s="19">
        <v>0</v>
      </c>
      <c r="DC77" s="19">
        <v>0</v>
      </c>
      <c r="DD77" s="19">
        <v>0</v>
      </c>
      <c r="DE77" s="19">
        <v>63000</v>
      </c>
      <c r="DF77" s="19">
        <v>0</v>
      </c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</row>
    <row r="78" spans="1:122" ht="15.75" customHeight="1" x14ac:dyDescent="0.3">
      <c r="A78" s="15">
        <v>72</v>
      </c>
      <c r="B78" s="16" t="s">
        <v>18</v>
      </c>
      <c r="C78" s="17">
        <v>21000</v>
      </c>
      <c r="D78" s="18">
        <f>Sheet3!C74</f>
        <v>99</v>
      </c>
      <c r="E78" s="19">
        <v>21000</v>
      </c>
      <c r="F78" s="19">
        <v>21000</v>
      </c>
      <c r="G78" s="19">
        <v>21000</v>
      </c>
      <c r="H78" s="19">
        <v>21000</v>
      </c>
      <c r="I78" s="19">
        <v>21000</v>
      </c>
      <c r="J78" s="19">
        <v>21000</v>
      </c>
      <c r="K78" s="19">
        <v>21000</v>
      </c>
      <c r="L78" s="19">
        <v>21000</v>
      </c>
      <c r="M78" s="19">
        <v>21000</v>
      </c>
      <c r="N78" s="19">
        <v>21000</v>
      </c>
      <c r="O78" s="19">
        <v>21000</v>
      </c>
      <c r="P78" s="19">
        <v>21000</v>
      </c>
      <c r="Q78" s="19">
        <v>21000</v>
      </c>
      <c r="R78" s="19">
        <v>21000</v>
      </c>
      <c r="S78" s="19">
        <v>21000</v>
      </c>
      <c r="T78" s="19">
        <v>21000</v>
      </c>
      <c r="U78" s="19">
        <v>21000</v>
      </c>
      <c r="V78" s="19">
        <v>21000</v>
      </c>
      <c r="W78" s="19">
        <v>21000</v>
      </c>
      <c r="X78" s="19">
        <v>21000</v>
      </c>
      <c r="Y78" s="19">
        <v>21000</v>
      </c>
      <c r="Z78" s="19">
        <v>21000</v>
      </c>
      <c r="AA78" s="19">
        <v>21000</v>
      </c>
      <c r="AB78" s="19">
        <v>0</v>
      </c>
      <c r="AC78" s="19">
        <v>42000</v>
      </c>
      <c r="AD78" s="19">
        <v>21000</v>
      </c>
      <c r="AE78" s="19">
        <v>21000</v>
      </c>
      <c r="AF78" s="19">
        <v>21000</v>
      </c>
      <c r="AG78" s="19">
        <v>21000</v>
      </c>
      <c r="AH78" s="19">
        <v>21000</v>
      </c>
      <c r="AI78" s="19">
        <v>21000</v>
      </c>
      <c r="AJ78" s="19">
        <v>21000</v>
      </c>
      <c r="AK78" s="19">
        <v>21000</v>
      </c>
      <c r="AL78" s="19">
        <v>21000</v>
      </c>
      <c r="AM78" s="19">
        <v>21000</v>
      </c>
      <c r="AN78" s="19">
        <v>21000</v>
      </c>
      <c r="AO78" s="19">
        <v>21000</v>
      </c>
      <c r="AP78" s="19">
        <v>21000</v>
      </c>
      <c r="AQ78" s="19">
        <v>21000</v>
      </c>
      <c r="AR78" s="19">
        <v>21000</v>
      </c>
      <c r="AS78" s="19">
        <v>21000</v>
      </c>
      <c r="AT78" s="19">
        <v>21000</v>
      </c>
      <c r="AU78" s="19">
        <v>21000</v>
      </c>
      <c r="AV78" s="19">
        <v>21000</v>
      </c>
      <c r="AW78" s="19">
        <v>21000</v>
      </c>
      <c r="AX78" s="19">
        <v>21000</v>
      </c>
      <c r="AY78" s="19">
        <v>21000</v>
      </c>
      <c r="AZ78" s="19">
        <v>21000</v>
      </c>
      <c r="BA78" s="19">
        <v>21000</v>
      </c>
      <c r="BB78" s="19">
        <v>21000</v>
      </c>
      <c r="BC78" s="19">
        <v>21000</v>
      </c>
      <c r="BD78" s="19">
        <v>21000</v>
      </c>
      <c r="BE78" s="19">
        <v>21000</v>
      </c>
      <c r="BF78" s="19">
        <v>0</v>
      </c>
      <c r="BG78" s="19">
        <v>21000</v>
      </c>
      <c r="BH78" s="19">
        <v>21000</v>
      </c>
      <c r="BI78" s="19">
        <v>21000</v>
      </c>
      <c r="BJ78" s="19">
        <v>21000</v>
      </c>
      <c r="BK78" s="19">
        <v>21000</v>
      </c>
      <c r="BL78" s="19">
        <v>21000</v>
      </c>
      <c r="BM78" s="19">
        <v>21000</v>
      </c>
      <c r="BN78" s="19">
        <v>0</v>
      </c>
      <c r="BO78" s="19">
        <v>42000</v>
      </c>
      <c r="BP78" s="19">
        <v>21000</v>
      </c>
      <c r="BQ78" s="19">
        <v>21000</v>
      </c>
      <c r="BR78" s="19">
        <v>21000</v>
      </c>
      <c r="BS78" s="19">
        <v>21000</v>
      </c>
      <c r="BT78" s="19">
        <v>21000</v>
      </c>
      <c r="BU78" s="19">
        <v>21000</v>
      </c>
      <c r="BV78" s="19">
        <v>21000</v>
      </c>
      <c r="BW78" s="19">
        <v>21000</v>
      </c>
      <c r="BX78" s="19">
        <v>21000</v>
      </c>
      <c r="BY78" s="19">
        <v>21000</v>
      </c>
      <c r="BZ78" s="19">
        <v>21000</v>
      </c>
      <c r="CA78" s="19">
        <v>21000</v>
      </c>
      <c r="CB78" s="19">
        <v>0</v>
      </c>
      <c r="CC78" s="19">
        <v>42000</v>
      </c>
      <c r="CD78" s="19">
        <v>0</v>
      </c>
      <c r="CE78" s="19">
        <v>0</v>
      </c>
      <c r="CF78" s="19">
        <v>21000</v>
      </c>
      <c r="CG78" s="19">
        <v>0</v>
      </c>
      <c r="CH78" s="19">
        <v>42000</v>
      </c>
      <c r="CI78" s="19">
        <v>21000</v>
      </c>
      <c r="CJ78" s="19">
        <v>21000</v>
      </c>
      <c r="CK78" s="19">
        <v>21000</v>
      </c>
      <c r="CL78" s="19">
        <v>0</v>
      </c>
      <c r="CM78" s="19">
        <v>21000</v>
      </c>
      <c r="CN78" s="19">
        <v>21000</v>
      </c>
      <c r="CO78" s="19">
        <v>21000</v>
      </c>
      <c r="CP78" s="19">
        <v>0</v>
      </c>
      <c r="CQ78" s="24">
        <v>21000</v>
      </c>
      <c r="CR78" s="19">
        <v>21000</v>
      </c>
      <c r="CS78" s="19">
        <v>21000</v>
      </c>
      <c r="CT78" s="19">
        <v>21000</v>
      </c>
      <c r="CU78" s="19">
        <v>21000</v>
      </c>
      <c r="CV78" s="19">
        <v>21000</v>
      </c>
      <c r="CW78" s="19">
        <v>0</v>
      </c>
      <c r="CX78" s="19">
        <v>21000</v>
      </c>
      <c r="CY78" s="19">
        <v>0</v>
      </c>
      <c r="CZ78" s="19">
        <v>0</v>
      </c>
      <c r="DA78" s="19">
        <v>21000</v>
      </c>
      <c r="DB78" s="19">
        <v>21000</v>
      </c>
      <c r="DC78" s="19">
        <v>21000</v>
      </c>
      <c r="DD78" s="19">
        <v>21000</v>
      </c>
      <c r="DE78" s="19">
        <v>21000</v>
      </c>
      <c r="DF78" s="19">
        <v>21000</v>
      </c>
      <c r="DG78" s="19">
        <v>21000</v>
      </c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</row>
    <row r="79" spans="1:122" ht="15.75" customHeight="1" x14ac:dyDescent="0.3">
      <c r="A79" s="15">
        <v>73</v>
      </c>
      <c r="B79" s="16" t="s">
        <v>64</v>
      </c>
      <c r="C79" s="17">
        <v>21000</v>
      </c>
      <c r="D79" s="18">
        <f>Sheet3!C75</f>
        <v>108</v>
      </c>
      <c r="E79" s="19">
        <v>21000</v>
      </c>
      <c r="F79" s="19">
        <v>21000</v>
      </c>
      <c r="G79" s="19">
        <v>21000</v>
      </c>
      <c r="H79" s="19">
        <v>21000</v>
      </c>
      <c r="I79" s="19">
        <v>21000</v>
      </c>
      <c r="J79" s="19">
        <v>21000</v>
      </c>
      <c r="K79" s="19">
        <v>21000</v>
      </c>
      <c r="L79" s="19">
        <v>21000</v>
      </c>
      <c r="M79" s="19">
        <v>21000</v>
      </c>
      <c r="N79" s="19">
        <v>21000</v>
      </c>
      <c r="O79" s="19">
        <v>21000</v>
      </c>
      <c r="P79" s="19">
        <v>21000</v>
      </c>
      <c r="Q79" s="19">
        <v>21000</v>
      </c>
      <c r="R79" s="19">
        <v>21000</v>
      </c>
      <c r="S79" s="19">
        <v>21000</v>
      </c>
      <c r="T79" s="19">
        <v>21000</v>
      </c>
      <c r="U79" s="19">
        <v>21000</v>
      </c>
      <c r="V79" s="19">
        <v>21000</v>
      </c>
      <c r="W79" s="19">
        <v>21000</v>
      </c>
      <c r="X79" s="19">
        <v>21000</v>
      </c>
      <c r="Y79" s="19">
        <v>21000</v>
      </c>
      <c r="Z79" s="19">
        <v>21000</v>
      </c>
      <c r="AA79" s="19">
        <v>21000</v>
      </c>
      <c r="AB79" s="19">
        <v>21000</v>
      </c>
      <c r="AC79" s="19">
        <v>21000</v>
      </c>
      <c r="AD79" s="19">
        <v>21000</v>
      </c>
      <c r="AE79" s="19">
        <v>21000</v>
      </c>
      <c r="AF79" s="19">
        <v>21000</v>
      </c>
      <c r="AG79" s="19">
        <v>21000</v>
      </c>
      <c r="AH79" s="19">
        <v>21000</v>
      </c>
      <c r="AI79" s="19">
        <v>21000</v>
      </c>
      <c r="AJ79" s="19">
        <v>21000</v>
      </c>
      <c r="AK79" s="19">
        <v>21000</v>
      </c>
      <c r="AL79" s="19">
        <v>21000</v>
      </c>
      <c r="AM79" s="19">
        <v>21000</v>
      </c>
      <c r="AN79" s="19">
        <v>21000</v>
      </c>
      <c r="AO79" s="19">
        <v>21000</v>
      </c>
      <c r="AP79" s="19">
        <v>21000</v>
      </c>
      <c r="AQ79" s="19">
        <v>21000</v>
      </c>
      <c r="AR79" s="19">
        <v>21000</v>
      </c>
      <c r="AS79" s="19">
        <v>21000</v>
      </c>
      <c r="AT79" s="19">
        <v>21000</v>
      </c>
      <c r="AU79" s="19">
        <v>21000</v>
      </c>
      <c r="AV79" s="19">
        <v>21000</v>
      </c>
      <c r="AW79" s="19">
        <v>21000</v>
      </c>
      <c r="AX79" s="19">
        <v>21000</v>
      </c>
      <c r="AY79" s="19">
        <v>21000</v>
      </c>
      <c r="AZ79" s="19">
        <v>21000</v>
      </c>
      <c r="BA79" s="19">
        <v>21000</v>
      </c>
      <c r="BB79" s="19">
        <v>21000</v>
      </c>
      <c r="BC79" s="19">
        <v>21000</v>
      </c>
      <c r="BD79" s="19">
        <v>21000</v>
      </c>
      <c r="BE79" s="19">
        <v>21000</v>
      </c>
      <c r="BF79" s="19">
        <v>21000</v>
      </c>
      <c r="BG79" s="19">
        <v>21000</v>
      </c>
      <c r="BH79" s="19">
        <v>21000</v>
      </c>
      <c r="BI79" s="19">
        <v>21000</v>
      </c>
      <c r="BJ79" s="19">
        <v>21000</v>
      </c>
      <c r="BK79" s="19">
        <v>21000</v>
      </c>
      <c r="BL79" s="19">
        <v>21000</v>
      </c>
      <c r="BM79" s="19">
        <v>21000</v>
      </c>
      <c r="BN79" s="19">
        <v>21000</v>
      </c>
      <c r="BO79" s="19">
        <v>21000</v>
      </c>
      <c r="BP79" s="19">
        <v>21000</v>
      </c>
      <c r="BQ79" s="19">
        <v>21000</v>
      </c>
      <c r="BR79" s="19">
        <v>21000</v>
      </c>
      <c r="BS79" s="19">
        <v>21000</v>
      </c>
      <c r="BT79" s="19">
        <v>21000</v>
      </c>
      <c r="BU79" s="19">
        <v>21000</v>
      </c>
      <c r="BV79" s="19">
        <v>21000</v>
      </c>
      <c r="BW79" s="19">
        <v>21000</v>
      </c>
      <c r="BX79" s="19">
        <v>21000</v>
      </c>
      <c r="BY79" s="19">
        <v>21000</v>
      </c>
      <c r="BZ79" s="19">
        <v>21000</v>
      </c>
      <c r="CA79" s="19">
        <v>21000</v>
      </c>
      <c r="CB79" s="19">
        <v>21000</v>
      </c>
      <c r="CC79" s="19">
        <v>21000</v>
      </c>
      <c r="CD79" s="19">
        <v>21000</v>
      </c>
      <c r="CE79" s="19">
        <v>21000</v>
      </c>
      <c r="CF79" s="19">
        <v>21000</v>
      </c>
      <c r="CG79" s="19">
        <v>21000</v>
      </c>
      <c r="CH79" s="19">
        <v>21000</v>
      </c>
      <c r="CI79" s="19">
        <v>21000</v>
      </c>
      <c r="CJ79" s="19">
        <v>21000</v>
      </c>
      <c r="CK79" s="19">
        <v>21000</v>
      </c>
      <c r="CL79" s="19">
        <v>21000</v>
      </c>
      <c r="CM79" s="19">
        <v>21000</v>
      </c>
      <c r="CN79" s="19">
        <v>21000</v>
      </c>
      <c r="CO79" s="19">
        <v>21000</v>
      </c>
      <c r="CP79" s="19">
        <v>21000</v>
      </c>
      <c r="CQ79" s="24">
        <v>21000</v>
      </c>
      <c r="CR79" s="19">
        <v>21000</v>
      </c>
      <c r="CS79" s="19">
        <v>21000</v>
      </c>
      <c r="CT79" s="19">
        <v>21000</v>
      </c>
      <c r="CU79" s="19">
        <v>21000</v>
      </c>
      <c r="CV79" s="19">
        <v>21000</v>
      </c>
      <c r="CW79" s="19">
        <v>21000</v>
      </c>
      <c r="CX79" s="19">
        <v>21000</v>
      </c>
      <c r="CY79" s="19">
        <v>21000</v>
      </c>
      <c r="CZ79" s="19">
        <v>0</v>
      </c>
      <c r="DA79" s="19">
        <v>42000</v>
      </c>
      <c r="DB79" s="19">
        <v>21000</v>
      </c>
      <c r="DC79" s="19">
        <v>21000</v>
      </c>
      <c r="DD79" s="19">
        <v>21000</v>
      </c>
      <c r="DE79" s="19">
        <v>21000</v>
      </c>
      <c r="DF79" s="19">
        <v>21000</v>
      </c>
      <c r="DG79" s="19">
        <v>21000</v>
      </c>
      <c r="DH79" s="19">
        <v>21000</v>
      </c>
      <c r="DI79" s="19"/>
      <c r="DJ79" s="19"/>
      <c r="DK79" s="19"/>
      <c r="DL79" s="19"/>
      <c r="DM79" s="19"/>
      <c r="DN79" s="19"/>
      <c r="DO79" s="19"/>
      <c r="DP79" s="19"/>
      <c r="DQ79" s="19"/>
      <c r="DR79" s="19"/>
    </row>
    <row r="80" spans="1:122" ht="15.75" customHeight="1" x14ac:dyDescent="0.3">
      <c r="A80" s="15">
        <v>74</v>
      </c>
      <c r="B80" s="16" t="s">
        <v>65</v>
      </c>
      <c r="C80" s="17">
        <v>21000</v>
      </c>
      <c r="D80" s="18">
        <f>Sheet3!C76</f>
        <v>91</v>
      </c>
      <c r="E80" s="19">
        <v>21000</v>
      </c>
      <c r="F80" s="19">
        <v>21000</v>
      </c>
      <c r="G80" s="19">
        <v>21000</v>
      </c>
      <c r="H80" s="19">
        <v>21000</v>
      </c>
      <c r="I80" s="19">
        <v>21000</v>
      </c>
      <c r="J80" s="19">
        <v>21000</v>
      </c>
      <c r="K80" s="19">
        <v>21000</v>
      </c>
      <c r="L80" s="19">
        <v>21000</v>
      </c>
      <c r="M80" s="19">
        <v>21000</v>
      </c>
      <c r="N80" s="19">
        <v>21000</v>
      </c>
      <c r="O80" s="19">
        <v>21000</v>
      </c>
      <c r="P80" s="19">
        <v>21000</v>
      </c>
      <c r="Q80" s="19">
        <v>21000</v>
      </c>
      <c r="R80" s="19">
        <v>21000</v>
      </c>
      <c r="S80" s="19">
        <v>21000</v>
      </c>
      <c r="T80" s="19">
        <v>21000</v>
      </c>
      <c r="U80" s="19">
        <v>21000</v>
      </c>
      <c r="V80" s="19">
        <v>21000</v>
      </c>
      <c r="W80" s="19">
        <v>21000</v>
      </c>
      <c r="X80" s="19">
        <v>21000</v>
      </c>
      <c r="Y80" s="19">
        <v>21000</v>
      </c>
      <c r="Z80" s="19">
        <v>21000</v>
      </c>
      <c r="AA80" s="19">
        <v>21000</v>
      </c>
      <c r="AB80" s="19">
        <v>0</v>
      </c>
      <c r="AC80" s="19">
        <v>42000</v>
      </c>
      <c r="AD80" s="19">
        <v>21000</v>
      </c>
      <c r="AE80" s="19">
        <v>0</v>
      </c>
      <c r="AF80" s="19">
        <v>42000</v>
      </c>
      <c r="AG80" s="19">
        <v>0</v>
      </c>
      <c r="AH80" s="19">
        <v>42000</v>
      </c>
      <c r="AI80" s="19">
        <v>0</v>
      </c>
      <c r="AJ80" s="19">
        <v>42000</v>
      </c>
      <c r="AK80" s="19">
        <v>21000</v>
      </c>
      <c r="AL80" s="19">
        <v>21000</v>
      </c>
      <c r="AM80" s="19">
        <v>21000</v>
      </c>
      <c r="AN80" s="19">
        <v>21000</v>
      </c>
      <c r="AO80" s="19">
        <v>21000</v>
      </c>
      <c r="AP80" s="19">
        <v>21000</v>
      </c>
      <c r="AQ80" s="19">
        <v>21000</v>
      </c>
      <c r="AR80" s="19">
        <v>21000</v>
      </c>
      <c r="AS80" s="19">
        <v>0</v>
      </c>
      <c r="AT80" s="19">
        <v>21000</v>
      </c>
      <c r="AU80" s="19">
        <v>21000</v>
      </c>
      <c r="AV80" s="19">
        <v>21000</v>
      </c>
      <c r="AW80" s="19">
        <v>21000</v>
      </c>
      <c r="AX80" s="19">
        <v>0</v>
      </c>
      <c r="AY80" s="19">
        <v>0</v>
      </c>
      <c r="AZ80" s="19">
        <v>21000</v>
      </c>
      <c r="BA80" s="19">
        <v>21000</v>
      </c>
      <c r="BB80" s="19">
        <v>0</v>
      </c>
      <c r="BC80" s="19">
        <v>21000</v>
      </c>
      <c r="BD80" s="19">
        <v>0</v>
      </c>
      <c r="BE80" s="19">
        <v>42000</v>
      </c>
      <c r="BF80" s="19">
        <v>42000</v>
      </c>
      <c r="BG80" s="19">
        <v>21000</v>
      </c>
      <c r="BH80" s="19">
        <v>21000</v>
      </c>
      <c r="BI80" s="19">
        <v>0</v>
      </c>
      <c r="BJ80" s="19">
        <v>42000</v>
      </c>
      <c r="BK80" s="19">
        <v>0</v>
      </c>
      <c r="BL80" s="19">
        <v>21000</v>
      </c>
      <c r="BM80" s="19">
        <v>21000</v>
      </c>
      <c r="BN80" s="19">
        <v>21000</v>
      </c>
      <c r="BO80" s="19">
        <v>21000</v>
      </c>
      <c r="BP80" s="19">
        <v>21000</v>
      </c>
      <c r="BQ80" s="19">
        <v>21000</v>
      </c>
      <c r="BR80" s="19"/>
      <c r="BS80" s="19">
        <v>63000</v>
      </c>
      <c r="BT80" s="19"/>
      <c r="BU80" s="19"/>
      <c r="BV80" s="19">
        <v>21000</v>
      </c>
      <c r="BW80" s="19">
        <v>0</v>
      </c>
      <c r="BX80" s="19">
        <v>42000</v>
      </c>
      <c r="BY80" s="19">
        <v>0</v>
      </c>
      <c r="BZ80" s="19">
        <v>0</v>
      </c>
      <c r="CA80" s="19">
        <v>0</v>
      </c>
      <c r="CB80" s="19">
        <v>0</v>
      </c>
      <c r="CC80" s="19">
        <v>0</v>
      </c>
      <c r="CD80" s="19">
        <v>0</v>
      </c>
      <c r="CE80" s="19">
        <v>0</v>
      </c>
      <c r="CF80" s="19">
        <v>42000</v>
      </c>
      <c r="CG80" s="19">
        <v>42000</v>
      </c>
      <c r="CH80" s="19">
        <v>0</v>
      </c>
      <c r="CI80" s="19">
        <v>42000</v>
      </c>
      <c r="CJ80" s="19">
        <v>42000</v>
      </c>
      <c r="CK80" s="19">
        <v>0</v>
      </c>
      <c r="CL80" s="19">
        <v>21000</v>
      </c>
      <c r="CM80" s="19">
        <v>0</v>
      </c>
      <c r="CN80" s="19">
        <v>21000</v>
      </c>
      <c r="CO80" s="19">
        <v>21000</v>
      </c>
      <c r="CP80" s="19">
        <v>0</v>
      </c>
      <c r="CQ80" s="24">
        <v>21000</v>
      </c>
      <c r="CR80" s="19">
        <v>21000</v>
      </c>
      <c r="CS80" s="19">
        <v>21000</v>
      </c>
      <c r="CT80" s="19">
        <v>0</v>
      </c>
      <c r="CU80" s="19">
        <v>0</v>
      </c>
      <c r="CV80" s="19">
        <v>42000</v>
      </c>
      <c r="CW80" s="19">
        <v>21000</v>
      </c>
      <c r="CX80" s="19">
        <v>21000</v>
      </c>
      <c r="CY80" s="19">
        <v>0</v>
      </c>
      <c r="CZ80" s="19">
        <v>21000</v>
      </c>
      <c r="DA80" s="19">
        <v>0</v>
      </c>
      <c r="DB80" s="19">
        <v>21000</v>
      </c>
      <c r="DC80" s="19">
        <v>0</v>
      </c>
      <c r="DD80" s="19">
        <v>21000</v>
      </c>
      <c r="DE80" s="19">
        <v>0</v>
      </c>
      <c r="DF80" s="19">
        <v>21000</v>
      </c>
      <c r="DG80" s="19"/>
      <c r="DH80" s="19">
        <v>42000</v>
      </c>
      <c r="DI80" s="19"/>
      <c r="DJ80" s="19"/>
      <c r="DK80" s="19"/>
      <c r="DL80" s="19"/>
      <c r="DM80" s="19"/>
      <c r="DN80" s="19"/>
      <c r="DO80" s="19"/>
      <c r="DP80" s="19"/>
      <c r="DQ80" s="19"/>
      <c r="DR80" s="19"/>
    </row>
    <row r="81" spans="1:122" ht="15.75" customHeight="1" x14ac:dyDescent="0.3">
      <c r="A81" s="15">
        <v>75</v>
      </c>
      <c r="B81" s="16" t="s">
        <v>66</v>
      </c>
      <c r="C81" s="17">
        <v>21000</v>
      </c>
      <c r="D81" s="18">
        <f>Sheet3!C77</f>
        <v>101</v>
      </c>
      <c r="E81" s="19">
        <v>21000</v>
      </c>
      <c r="F81" s="19">
        <v>21000</v>
      </c>
      <c r="G81" s="19">
        <v>21000</v>
      </c>
      <c r="H81" s="19">
        <v>21000</v>
      </c>
      <c r="I81" s="19">
        <v>21000</v>
      </c>
      <c r="J81" s="19">
        <v>21000</v>
      </c>
      <c r="K81" s="19">
        <v>21000</v>
      </c>
      <c r="L81" s="19">
        <v>21000</v>
      </c>
      <c r="M81" s="19">
        <v>21000</v>
      </c>
      <c r="N81" s="19">
        <v>21000</v>
      </c>
      <c r="O81" s="19">
        <v>21000</v>
      </c>
      <c r="P81" s="19">
        <v>21000</v>
      </c>
      <c r="Q81" s="19">
        <v>21000</v>
      </c>
      <c r="R81" s="19">
        <v>21000</v>
      </c>
      <c r="S81" s="19">
        <v>21000</v>
      </c>
      <c r="T81" s="19">
        <v>21000</v>
      </c>
      <c r="U81" s="19">
        <v>21000</v>
      </c>
      <c r="V81" s="19">
        <v>21000</v>
      </c>
      <c r="W81" s="19">
        <v>21000</v>
      </c>
      <c r="X81" s="19">
        <v>21000</v>
      </c>
      <c r="Y81" s="19">
        <v>21000</v>
      </c>
      <c r="Z81" s="19">
        <v>21000</v>
      </c>
      <c r="AA81" s="19">
        <v>21000</v>
      </c>
      <c r="AB81" s="19">
        <v>21000</v>
      </c>
      <c r="AC81" s="19">
        <v>21000</v>
      </c>
      <c r="AD81" s="19">
        <v>21000</v>
      </c>
      <c r="AE81" s="19">
        <v>21000</v>
      </c>
      <c r="AF81" s="19">
        <v>21000</v>
      </c>
      <c r="AG81" s="19">
        <v>21000</v>
      </c>
      <c r="AH81" s="19">
        <v>21000</v>
      </c>
      <c r="AI81" s="19">
        <v>21000</v>
      </c>
      <c r="AJ81" s="19">
        <v>21000</v>
      </c>
      <c r="AK81" s="19">
        <v>21000</v>
      </c>
      <c r="AL81" s="19">
        <v>21000</v>
      </c>
      <c r="AM81" s="19">
        <v>21000</v>
      </c>
      <c r="AN81" s="19">
        <v>21000</v>
      </c>
      <c r="AO81" s="19">
        <v>21000</v>
      </c>
      <c r="AP81" s="19">
        <v>21000</v>
      </c>
      <c r="AQ81" s="19">
        <v>21000</v>
      </c>
      <c r="AR81" s="19">
        <v>21000</v>
      </c>
      <c r="AS81" s="19">
        <v>21000</v>
      </c>
      <c r="AT81" s="19">
        <v>21000</v>
      </c>
      <c r="AU81" s="19">
        <v>21000</v>
      </c>
      <c r="AV81" s="19">
        <v>21000</v>
      </c>
      <c r="AW81" s="19">
        <v>21000</v>
      </c>
      <c r="AX81" s="19">
        <v>21000</v>
      </c>
      <c r="AY81" s="19">
        <v>21000</v>
      </c>
      <c r="AZ81" s="19">
        <v>21000</v>
      </c>
      <c r="BA81" s="19">
        <v>21000</v>
      </c>
      <c r="BB81" s="19">
        <v>21000</v>
      </c>
      <c r="BC81" s="19">
        <v>21000</v>
      </c>
      <c r="BD81" s="19">
        <v>21000</v>
      </c>
      <c r="BE81" s="19">
        <v>21000</v>
      </c>
      <c r="BF81" s="19">
        <v>21000</v>
      </c>
      <c r="BG81" s="19">
        <v>21000</v>
      </c>
      <c r="BH81" s="19">
        <v>21000</v>
      </c>
      <c r="BI81" s="19">
        <v>21000</v>
      </c>
      <c r="BJ81" s="19">
        <v>21000</v>
      </c>
      <c r="BK81" s="19">
        <v>21000</v>
      </c>
      <c r="BL81" s="19">
        <v>21000</v>
      </c>
      <c r="BM81" s="19">
        <v>21000</v>
      </c>
      <c r="BN81" s="19">
        <v>0</v>
      </c>
      <c r="BO81" s="19">
        <v>42000</v>
      </c>
      <c r="BP81" s="19">
        <v>21000</v>
      </c>
      <c r="BQ81" s="19">
        <v>21000</v>
      </c>
      <c r="BR81" s="19">
        <v>21000</v>
      </c>
      <c r="BS81" s="19">
        <v>21000</v>
      </c>
      <c r="BT81" s="19">
        <v>21000</v>
      </c>
      <c r="BU81" s="19"/>
      <c r="BV81" s="19">
        <v>21000</v>
      </c>
      <c r="BW81" s="19">
        <v>21000</v>
      </c>
      <c r="BX81" s="19">
        <v>21000</v>
      </c>
      <c r="BY81" s="19">
        <v>21000</v>
      </c>
      <c r="BZ81" s="19">
        <v>21000</v>
      </c>
      <c r="CA81" s="19">
        <v>21000</v>
      </c>
      <c r="CB81" s="19">
        <v>21000</v>
      </c>
      <c r="CC81" s="19">
        <v>21000</v>
      </c>
      <c r="CD81" s="19">
        <v>21000</v>
      </c>
      <c r="CE81" s="19">
        <v>0</v>
      </c>
      <c r="CF81" s="19">
        <v>21000</v>
      </c>
      <c r="CG81" s="19">
        <v>21000</v>
      </c>
      <c r="CH81" s="19">
        <v>21000</v>
      </c>
      <c r="CI81" s="19">
        <v>21000</v>
      </c>
      <c r="CJ81" s="19">
        <v>21000</v>
      </c>
      <c r="CK81" s="19">
        <v>21000</v>
      </c>
      <c r="CL81" s="19">
        <v>0</v>
      </c>
      <c r="CM81" s="19">
        <v>21000</v>
      </c>
      <c r="CN81" s="19">
        <v>0</v>
      </c>
      <c r="CO81" s="19">
        <v>21000</v>
      </c>
      <c r="CP81" s="19">
        <v>21000</v>
      </c>
      <c r="CQ81" s="24">
        <v>21000</v>
      </c>
      <c r="CR81" s="19">
        <v>21000</v>
      </c>
      <c r="CS81" s="19">
        <v>21000</v>
      </c>
      <c r="CT81" s="19">
        <v>21000</v>
      </c>
      <c r="CU81" s="19">
        <v>21000</v>
      </c>
      <c r="CV81" s="19">
        <v>21000</v>
      </c>
      <c r="CW81" s="19">
        <v>21000</v>
      </c>
      <c r="CX81" s="19">
        <v>21000</v>
      </c>
      <c r="CY81" s="19">
        <v>21000</v>
      </c>
      <c r="CZ81" s="19">
        <v>21000</v>
      </c>
      <c r="DA81" s="19">
        <v>21000</v>
      </c>
      <c r="DB81" s="19">
        <v>21000</v>
      </c>
      <c r="DC81" s="19">
        <v>21000</v>
      </c>
      <c r="DD81" s="19">
        <v>0</v>
      </c>
      <c r="DE81" s="19">
        <v>0</v>
      </c>
      <c r="DF81" s="19">
        <v>21000</v>
      </c>
      <c r="DG81" s="19">
        <v>21000</v>
      </c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</row>
    <row r="82" spans="1:122" ht="15.75" customHeight="1" x14ac:dyDescent="0.3">
      <c r="A82" s="15">
        <v>76</v>
      </c>
      <c r="B82" s="16" t="s">
        <v>67</v>
      </c>
      <c r="C82" s="17">
        <v>21000</v>
      </c>
      <c r="D82" s="18">
        <f>Sheet3!C78</f>
        <v>107</v>
      </c>
      <c r="E82" s="19">
        <v>21000</v>
      </c>
      <c r="F82" s="19">
        <v>21000</v>
      </c>
      <c r="G82" s="19">
        <v>21000</v>
      </c>
      <c r="H82" s="19">
        <v>21000</v>
      </c>
      <c r="I82" s="19">
        <v>21000</v>
      </c>
      <c r="J82" s="19">
        <v>21000</v>
      </c>
      <c r="K82" s="19">
        <v>21000</v>
      </c>
      <c r="L82" s="19">
        <v>21000</v>
      </c>
      <c r="M82" s="19">
        <v>21000</v>
      </c>
      <c r="N82" s="19">
        <v>21000</v>
      </c>
      <c r="O82" s="19">
        <v>21000</v>
      </c>
      <c r="P82" s="19">
        <v>21000</v>
      </c>
      <c r="Q82" s="19">
        <v>21000</v>
      </c>
      <c r="R82" s="19">
        <v>21000</v>
      </c>
      <c r="S82" s="19">
        <v>21000</v>
      </c>
      <c r="T82" s="19">
        <v>21000</v>
      </c>
      <c r="U82" s="19">
        <v>21000</v>
      </c>
      <c r="V82" s="19">
        <v>21000</v>
      </c>
      <c r="W82" s="19">
        <v>21000</v>
      </c>
      <c r="X82" s="19">
        <v>21000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>
        <v>0</v>
      </c>
      <c r="AI82" s="19">
        <v>210000</v>
      </c>
      <c r="AJ82" s="19">
        <v>42000</v>
      </c>
      <c r="AK82" s="19">
        <v>21000</v>
      </c>
      <c r="AL82" s="19">
        <v>21000</v>
      </c>
      <c r="AM82" s="19">
        <v>21000</v>
      </c>
      <c r="AN82" s="19">
        <v>21000</v>
      </c>
      <c r="AO82" s="19">
        <v>21000</v>
      </c>
      <c r="AP82" s="19">
        <v>21000</v>
      </c>
      <c r="AQ82" s="19">
        <v>21000</v>
      </c>
      <c r="AR82" s="19">
        <v>21000</v>
      </c>
      <c r="AS82" s="19">
        <v>0</v>
      </c>
      <c r="AT82" s="19">
        <v>0</v>
      </c>
      <c r="AU82" s="19">
        <v>63000</v>
      </c>
      <c r="AV82" s="19">
        <v>21000</v>
      </c>
      <c r="AW82" s="19">
        <v>21000</v>
      </c>
      <c r="AX82" s="19">
        <v>21000</v>
      </c>
      <c r="AY82" s="19">
        <v>0</v>
      </c>
      <c r="AZ82" s="19">
        <v>0</v>
      </c>
      <c r="BA82" s="19">
        <v>0</v>
      </c>
      <c r="BB82" s="19">
        <v>84000</v>
      </c>
      <c r="BC82" s="19">
        <v>21000</v>
      </c>
      <c r="BD82" s="19">
        <v>21000</v>
      </c>
      <c r="BE82" s="19">
        <v>21000</v>
      </c>
      <c r="BF82" s="19">
        <v>21000</v>
      </c>
      <c r="BG82" s="19">
        <v>0</v>
      </c>
      <c r="BH82" s="19">
        <v>42000</v>
      </c>
      <c r="BI82" s="19">
        <v>0</v>
      </c>
      <c r="BJ82" s="19">
        <v>42000</v>
      </c>
      <c r="BK82" s="19">
        <v>21000</v>
      </c>
      <c r="BL82" s="19">
        <v>21000</v>
      </c>
      <c r="BM82" s="19">
        <v>21000</v>
      </c>
      <c r="BN82" s="19">
        <v>0</v>
      </c>
      <c r="BO82" s="19">
        <v>42000</v>
      </c>
      <c r="BP82" s="19">
        <v>21000</v>
      </c>
      <c r="BQ82" s="19"/>
      <c r="BR82" s="19">
        <v>42000</v>
      </c>
      <c r="BS82" s="19">
        <v>21000</v>
      </c>
      <c r="BT82" s="19">
        <v>21000</v>
      </c>
      <c r="BU82" s="19">
        <v>21000</v>
      </c>
      <c r="BV82" s="19">
        <v>21000</v>
      </c>
      <c r="BW82" s="19">
        <v>0</v>
      </c>
      <c r="BX82" s="19">
        <v>42000</v>
      </c>
      <c r="BY82" s="19">
        <v>21000</v>
      </c>
      <c r="BZ82" s="19">
        <v>21000</v>
      </c>
      <c r="CA82" s="19">
        <v>21000</v>
      </c>
      <c r="CB82" s="19">
        <v>0</v>
      </c>
      <c r="CC82" s="19">
        <v>42000</v>
      </c>
      <c r="CD82" s="19">
        <v>21000</v>
      </c>
      <c r="CE82" s="19">
        <v>21000</v>
      </c>
      <c r="CF82" s="19">
        <v>21000</v>
      </c>
      <c r="CG82" s="19">
        <v>21000</v>
      </c>
      <c r="CH82" s="19">
        <v>21000</v>
      </c>
      <c r="CI82" s="19">
        <v>21000</v>
      </c>
      <c r="CJ82" s="19">
        <v>21000</v>
      </c>
      <c r="CK82" s="19">
        <v>21000</v>
      </c>
      <c r="CL82" s="19">
        <v>0</v>
      </c>
      <c r="CM82" s="19">
        <v>42000</v>
      </c>
      <c r="CN82" s="19">
        <v>0</v>
      </c>
      <c r="CO82" s="19">
        <v>42000</v>
      </c>
      <c r="CP82" s="19">
        <v>0</v>
      </c>
      <c r="CQ82" s="24">
        <v>42000</v>
      </c>
      <c r="CR82" s="19">
        <v>0</v>
      </c>
      <c r="CS82" s="19">
        <v>0</v>
      </c>
      <c r="CT82" s="19">
        <v>63000</v>
      </c>
      <c r="CU82" s="19">
        <v>21000</v>
      </c>
      <c r="CV82" s="19">
        <v>0</v>
      </c>
      <c r="CW82" s="19">
        <v>42000</v>
      </c>
      <c r="CX82" s="19">
        <v>0</v>
      </c>
      <c r="CY82" s="19">
        <v>42000</v>
      </c>
      <c r="CZ82" s="19">
        <v>0</v>
      </c>
      <c r="DA82" s="19">
        <v>42000</v>
      </c>
      <c r="DB82" s="19">
        <v>21000</v>
      </c>
      <c r="DC82" s="19">
        <v>0</v>
      </c>
      <c r="DD82" s="19">
        <v>42000</v>
      </c>
      <c r="DE82" s="19">
        <v>21000</v>
      </c>
      <c r="DF82" s="19">
        <v>0</v>
      </c>
      <c r="DG82" s="19">
        <v>42000</v>
      </c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</row>
    <row r="83" spans="1:122" ht="15.75" customHeight="1" x14ac:dyDescent="0.3">
      <c r="A83" s="15">
        <v>77</v>
      </c>
      <c r="B83" s="16" t="s">
        <v>68</v>
      </c>
      <c r="C83" s="17">
        <v>21000</v>
      </c>
      <c r="D83" s="18">
        <f>Sheet3!C79</f>
        <v>108</v>
      </c>
      <c r="E83" s="19">
        <v>21000</v>
      </c>
      <c r="F83" s="19">
        <v>21000</v>
      </c>
      <c r="G83" s="19">
        <v>21000</v>
      </c>
      <c r="H83" s="19">
        <v>21000</v>
      </c>
      <c r="I83" s="19">
        <v>21000</v>
      </c>
      <c r="J83" s="19">
        <v>21000</v>
      </c>
      <c r="K83" s="19">
        <v>21000</v>
      </c>
      <c r="L83" s="19">
        <v>21000</v>
      </c>
      <c r="M83" s="19">
        <v>21000</v>
      </c>
      <c r="N83" s="19">
        <v>21000</v>
      </c>
      <c r="O83" s="19">
        <v>21000</v>
      </c>
      <c r="P83" s="19">
        <v>21000</v>
      </c>
      <c r="Q83" s="19">
        <v>21000</v>
      </c>
      <c r="R83" s="19">
        <v>21000</v>
      </c>
      <c r="S83" s="19">
        <v>21000</v>
      </c>
      <c r="T83" s="19">
        <v>21000</v>
      </c>
      <c r="U83" s="19">
        <v>21000</v>
      </c>
      <c r="V83" s="19">
        <v>21000</v>
      </c>
      <c r="W83" s="19">
        <v>21000</v>
      </c>
      <c r="X83" s="19">
        <v>21000</v>
      </c>
      <c r="Y83" s="19">
        <v>21000</v>
      </c>
      <c r="Z83" s="19">
        <v>21000</v>
      </c>
      <c r="AA83" s="19">
        <v>21000</v>
      </c>
      <c r="AB83" s="19">
        <v>0</v>
      </c>
      <c r="AC83" s="19">
        <v>42000</v>
      </c>
      <c r="AD83" s="19">
        <v>21000</v>
      </c>
      <c r="AE83" s="19">
        <v>21000</v>
      </c>
      <c r="AF83" s="19">
        <v>21000</v>
      </c>
      <c r="AG83" s="19">
        <v>21000</v>
      </c>
      <c r="AH83" s="19">
        <v>21000</v>
      </c>
      <c r="AI83" s="19">
        <v>21000</v>
      </c>
      <c r="AJ83" s="19">
        <v>21000</v>
      </c>
      <c r="AK83" s="19">
        <v>21000</v>
      </c>
      <c r="AL83" s="19">
        <v>21000</v>
      </c>
      <c r="AM83" s="19">
        <v>21000</v>
      </c>
      <c r="AN83" s="19">
        <v>21000</v>
      </c>
      <c r="AO83" s="19">
        <v>21000</v>
      </c>
      <c r="AP83" s="19">
        <v>21000</v>
      </c>
      <c r="AQ83" s="19">
        <v>21000</v>
      </c>
      <c r="AR83" s="19">
        <v>21000</v>
      </c>
      <c r="AS83" s="19">
        <v>21000</v>
      </c>
      <c r="AT83" s="19">
        <v>0</v>
      </c>
      <c r="AU83" s="19">
        <v>21000</v>
      </c>
      <c r="AV83" s="19">
        <v>21000</v>
      </c>
      <c r="AW83" s="19">
        <v>21000</v>
      </c>
      <c r="AX83" s="19">
        <v>21000</v>
      </c>
      <c r="AY83" s="19">
        <v>21000</v>
      </c>
      <c r="AZ83" s="19">
        <v>21000</v>
      </c>
      <c r="BA83" s="19">
        <v>21000</v>
      </c>
      <c r="BB83" s="19">
        <v>21000</v>
      </c>
      <c r="BC83" s="19">
        <v>21000</v>
      </c>
      <c r="BD83" s="19">
        <v>21000</v>
      </c>
      <c r="BE83" s="19">
        <v>21000</v>
      </c>
      <c r="BF83" s="19">
        <v>21000</v>
      </c>
      <c r="BG83" s="19">
        <v>0</v>
      </c>
      <c r="BH83" s="19">
        <v>42000</v>
      </c>
      <c r="BI83" s="19">
        <v>21000</v>
      </c>
      <c r="BJ83" s="19">
        <v>21000</v>
      </c>
      <c r="BK83" s="19">
        <v>21000</v>
      </c>
      <c r="BL83" s="19">
        <v>21000</v>
      </c>
      <c r="BM83" s="19">
        <v>21000</v>
      </c>
      <c r="BN83" s="19">
        <v>0</v>
      </c>
      <c r="BO83" s="19">
        <v>42000</v>
      </c>
      <c r="BP83" s="19">
        <v>21000</v>
      </c>
      <c r="BQ83" s="19">
        <v>21000</v>
      </c>
      <c r="BR83" s="19">
        <v>21000</v>
      </c>
      <c r="BS83" s="19">
        <v>21000</v>
      </c>
      <c r="BT83" s="19">
        <v>42000</v>
      </c>
      <c r="BU83" s="19">
        <v>21000</v>
      </c>
      <c r="BV83" s="19">
        <v>0</v>
      </c>
      <c r="BW83" s="19">
        <v>42000</v>
      </c>
      <c r="BX83" s="19">
        <v>0</v>
      </c>
      <c r="BY83" s="19">
        <v>0</v>
      </c>
      <c r="BZ83" s="19">
        <v>63000</v>
      </c>
      <c r="CA83" s="19">
        <v>21000</v>
      </c>
      <c r="CB83" s="19">
        <v>21000</v>
      </c>
      <c r="CC83" s="19">
        <v>21000</v>
      </c>
      <c r="CD83" s="19">
        <v>21000</v>
      </c>
      <c r="CE83" s="19">
        <v>0</v>
      </c>
      <c r="CF83" s="19">
        <v>21000</v>
      </c>
      <c r="CG83" s="19">
        <v>42000</v>
      </c>
      <c r="CH83" s="19">
        <v>21000</v>
      </c>
      <c r="CI83" s="19">
        <v>21000</v>
      </c>
      <c r="CJ83" s="19">
        <v>0</v>
      </c>
      <c r="CK83" s="19">
        <v>0</v>
      </c>
      <c r="CL83" s="19">
        <v>0</v>
      </c>
      <c r="CM83" s="19">
        <v>84000</v>
      </c>
      <c r="CN83" s="19">
        <v>21000</v>
      </c>
      <c r="CO83" s="19">
        <v>0</v>
      </c>
      <c r="CP83" s="19">
        <v>42000</v>
      </c>
      <c r="CQ83" s="24">
        <v>0</v>
      </c>
      <c r="CR83" s="19">
        <v>42000</v>
      </c>
      <c r="CS83" s="19">
        <v>21000</v>
      </c>
      <c r="CT83" s="19">
        <v>21000</v>
      </c>
      <c r="CU83" s="19">
        <v>21000</v>
      </c>
      <c r="CV83" s="19">
        <v>21000</v>
      </c>
      <c r="CW83" s="19">
        <v>21000</v>
      </c>
      <c r="CX83" s="19">
        <v>0</v>
      </c>
      <c r="CY83" s="19">
        <v>42000</v>
      </c>
      <c r="CZ83" s="19">
        <v>21000</v>
      </c>
      <c r="DA83" s="19">
        <v>21000</v>
      </c>
      <c r="DB83" s="19">
        <v>0</v>
      </c>
      <c r="DC83" s="19">
        <v>42000</v>
      </c>
      <c r="DD83" s="19">
        <v>21000</v>
      </c>
      <c r="DE83" s="19">
        <v>21000</v>
      </c>
      <c r="DF83" s="19">
        <v>21000</v>
      </c>
      <c r="DG83" s="19"/>
      <c r="DH83" s="19">
        <v>42000</v>
      </c>
      <c r="DI83" s="19"/>
      <c r="DJ83" s="19"/>
      <c r="DK83" s="19"/>
      <c r="DL83" s="19"/>
      <c r="DM83" s="19"/>
      <c r="DN83" s="19"/>
      <c r="DO83" s="19"/>
      <c r="DP83" s="19"/>
      <c r="DQ83" s="19"/>
      <c r="DR83" s="19"/>
    </row>
    <row r="84" spans="1:122" ht="15.75" customHeight="1" x14ac:dyDescent="0.3">
      <c r="A84" s="15">
        <v>78</v>
      </c>
      <c r="B84" s="16" t="s">
        <v>69</v>
      </c>
      <c r="C84" s="17">
        <v>21000</v>
      </c>
      <c r="D84" s="18">
        <f>Sheet3!C80</f>
        <v>107</v>
      </c>
      <c r="E84" s="19">
        <v>21000</v>
      </c>
      <c r="F84" s="19">
        <v>21000</v>
      </c>
      <c r="G84" s="19">
        <v>21000</v>
      </c>
      <c r="H84" s="19">
        <v>21000</v>
      </c>
      <c r="I84" s="19">
        <v>21000</v>
      </c>
      <c r="J84" s="19">
        <v>21000</v>
      </c>
      <c r="K84" s="19">
        <v>21000</v>
      </c>
      <c r="L84" s="19">
        <v>21000</v>
      </c>
      <c r="M84" s="19">
        <v>21000</v>
      </c>
      <c r="N84" s="19">
        <v>21000</v>
      </c>
      <c r="O84" s="19">
        <v>21000</v>
      </c>
      <c r="P84" s="19">
        <v>21000</v>
      </c>
      <c r="Q84" s="19">
        <v>21000</v>
      </c>
      <c r="R84" s="19">
        <v>21000</v>
      </c>
      <c r="S84" s="19">
        <v>21000</v>
      </c>
      <c r="T84" s="19">
        <v>21000</v>
      </c>
      <c r="U84" s="19">
        <v>21000</v>
      </c>
      <c r="V84" s="19">
        <v>21000</v>
      </c>
      <c r="W84" s="19">
        <v>21000</v>
      </c>
      <c r="X84" s="19">
        <v>21000</v>
      </c>
      <c r="Y84" s="19">
        <v>21000</v>
      </c>
      <c r="Z84" s="19">
        <v>21000</v>
      </c>
      <c r="AA84" s="19">
        <v>21000</v>
      </c>
      <c r="AB84" s="19">
        <v>21000</v>
      </c>
      <c r="AC84" s="19">
        <v>21000</v>
      </c>
      <c r="AD84" s="19">
        <v>21000</v>
      </c>
      <c r="AE84" s="19">
        <v>21000</v>
      </c>
      <c r="AF84" s="19">
        <v>21000</v>
      </c>
      <c r="AG84" s="19">
        <v>21000</v>
      </c>
      <c r="AH84" s="19">
        <v>21000</v>
      </c>
      <c r="AI84" s="19">
        <v>21000</v>
      </c>
      <c r="AJ84" s="19">
        <v>21000</v>
      </c>
      <c r="AK84" s="19">
        <v>21000</v>
      </c>
      <c r="AL84" s="19">
        <v>21000</v>
      </c>
      <c r="AM84" s="19">
        <v>21000</v>
      </c>
      <c r="AN84" s="19">
        <v>21000</v>
      </c>
      <c r="AO84" s="19">
        <v>21000</v>
      </c>
      <c r="AP84" s="19">
        <v>21000</v>
      </c>
      <c r="AQ84" s="19">
        <v>21000</v>
      </c>
      <c r="AR84" s="19">
        <v>0</v>
      </c>
      <c r="AS84" s="19">
        <v>42000</v>
      </c>
      <c r="AT84" s="19">
        <v>21000</v>
      </c>
      <c r="AU84" s="19">
        <v>21000</v>
      </c>
      <c r="AV84" s="19">
        <v>0</v>
      </c>
      <c r="AW84" s="19">
        <v>42000</v>
      </c>
      <c r="AX84" s="19">
        <v>21000</v>
      </c>
      <c r="AY84" s="19">
        <v>21000</v>
      </c>
      <c r="AZ84" s="19">
        <v>21000</v>
      </c>
      <c r="BA84" s="19">
        <v>0</v>
      </c>
      <c r="BB84" s="19">
        <v>42000</v>
      </c>
      <c r="BC84" s="19">
        <v>0</v>
      </c>
      <c r="BD84" s="19">
        <v>42000</v>
      </c>
      <c r="BE84" s="19">
        <v>21000</v>
      </c>
      <c r="BF84" s="19">
        <v>0</v>
      </c>
      <c r="BG84" s="19">
        <v>42000</v>
      </c>
      <c r="BH84" s="19">
        <v>0</v>
      </c>
      <c r="BI84" s="19">
        <v>42000</v>
      </c>
      <c r="BJ84" s="19">
        <v>0</v>
      </c>
      <c r="BK84" s="19">
        <v>21000</v>
      </c>
      <c r="BL84" s="19">
        <v>42000</v>
      </c>
      <c r="BM84" s="19">
        <v>21000</v>
      </c>
      <c r="BN84" s="19">
        <v>0</v>
      </c>
      <c r="BO84" s="19">
        <v>42000</v>
      </c>
      <c r="BP84" s="19">
        <v>21000</v>
      </c>
      <c r="BQ84" s="19">
        <v>21000</v>
      </c>
      <c r="BR84" s="19">
        <v>21000</v>
      </c>
      <c r="BS84" s="19"/>
      <c r="BT84" s="19"/>
      <c r="BU84" s="19"/>
      <c r="BV84" s="19">
        <v>42000</v>
      </c>
      <c r="BW84" s="19">
        <v>42000</v>
      </c>
      <c r="BX84" s="19">
        <v>42000</v>
      </c>
      <c r="BY84" s="19">
        <v>0</v>
      </c>
      <c r="BZ84" s="19">
        <v>42000</v>
      </c>
      <c r="CA84" s="19">
        <v>21000</v>
      </c>
      <c r="CB84" s="19">
        <v>21000</v>
      </c>
      <c r="CC84" s="19">
        <v>21000</v>
      </c>
      <c r="CD84" s="19">
        <v>21000</v>
      </c>
      <c r="CE84" s="19">
        <v>0</v>
      </c>
      <c r="CF84" s="19">
        <v>42000</v>
      </c>
      <c r="CG84" s="19">
        <v>0</v>
      </c>
      <c r="CH84" s="19">
        <v>42000</v>
      </c>
      <c r="CI84" s="19">
        <v>0</v>
      </c>
      <c r="CJ84" s="19">
        <v>42000</v>
      </c>
      <c r="CK84" s="19">
        <v>0</v>
      </c>
      <c r="CL84" s="19">
        <v>42000</v>
      </c>
      <c r="CM84" s="19">
        <v>21000</v>
      </c>
      <c r="CN84" s="19">
        <v>21000</v>
      </c>
      <c r="CO84" s="19">
        <v>21000</v>
      </c>
      <c r="CP84" s="19">
        <v>0</v>
      </c>
      <c r="CQ84" s="24">
        <v>42000</v>
      </c>
      <c r="CR84" s="19">
        <v>0</v>
      </c>
      <c r="CS84" s="19">
        <v>42000</v>
      </c>
      <c r="CT84" s="19">
        <v>0</v>
      </c>
      <c r="CU84" s="19">
        <v>42000</v>
      </c>
      <c r="CV84" s="19">
        <v>21000</v>
      </c>
      <c r="CW84" s="19">
        <v>21000</v>
      </c>
      <c r="CX84" s="19">
        <v>0</v>
      </c>
      <c r="CY84" s="19">
        <v>21000</v>
      </c>
      <c r="CZ84" s="19">
        <v>21000</v>
      </c>
      <c r="DA84" s="19">
        <v>21000</v>
      </c>
      <c r="DB84" s="19">
        <v>21000</v>
      </c>
      <c r="DC84" s="19">
        <v>21000</v>
      </c>
      <c r="DD84" s="19">
        <v>21000</v>
      </c>
      <c r="DE84" s="19">
        <v>21000</v>
      </c>
      <c r="DF84" s="19">
        <v>21000</v>
      </c>
      <c r="DG84" s="19">
        <v>21000</v>
      </c>
      <c r="DH84" s="19">
        <v>21000</v>
      </c>
      <c r="DI84" s="19"/>
      <c r="DJ84" s="19"/>
      <c r="DK84" s="19"/>
      <c r="DL84" s="19"/>
      <c r="DM84" s="19"/>
      <c r="DN84" s="19"/>
      <c r="DO84" s="19"/>
      <c r="DP84" s="19"/>
      <c r="DQ84" s="19"/>
      <c r="DR84" s="19"/>
    </row>
    <row r="85" spans="1:122" ht="15.75" customHeight="1" x14ac:dyDescent="0.3">
      <c r="A85" s="15">
        <v>79</v>
      </c>
      <c r="B85" s="16" t="s">
        <v>70</v>
      </c>
      <c r="C85" s="17">
        <v>21000</v>
      </c>
      <c r="D85" s="18">
        <f>Sheet3!C81</f>
        <v>106</v>
      </c>
      <c r="E85" s="19">
        <v>21000</v>
      </c>
      <c r="F85" s="19">
        <v>21000</v>
      </c>
      <c r="G85" s="19">
        <v>21000</v>
      </c>
      <c r="H85" s="19">
        <v>21000</v>
      </c>
      <c r="I85" s="19">
        <v>21000</v>
      </c>
      <c r="J85" s="19">
        <v>21000</v>
      </c>
      <c r="K85" s="19">
        <v>21000</v>
      </c>
      <c r="L85" s="19">
        <v>21000</v>
      </c>
      <c r="M85" s="19">
        <v>21000</v>
      </c>
      <c r="N85" s="19">
        <v>21000</v>
      </c>
      <c r="O85" s="19">
        <v>21000</v>
      </c>
      <c r="P85" s="19">
        <v>21000</v>
      </c>
      <c r="Q85" s="19">
        <v>21000</v>
      </c>
      <c r="R85" s="19">
        <v>21000</v>
      </c>
      <c r="S85" s="19">
        <v>21000</v>
      </c>
      <c r="T85" s="19">
        <v>21000</v>
      </c>
      <c r="U85" s="19">
        <v>21000</v>
      </c>
      <c r="V85" s="19">
        <v>21000</v>
      </c>
      <c r="W85" s="19">
        <v>21000</v>
      </c>
      <c r="X85" s="19">
        <v>21000</v>
      </c>
      <c r="Y85" s="19">
        <v>21000</v>
      </c>
      <c r="Z85" s="19">
        <v>21000</v>
      </c>
      <c r="AA85" s="19">
        <v>21000</v>
      </c>
      <c r="AB85" s="19">
        <v>0</v>
      </c>
      <c r="AC85" s="19">
        <v>42000</v>
      </c>
      <c r="AD85" s="19">
        <v>21000</v>
      </c>
      <c r="AE85" s="19">
        <v>21000</v>
      </c>
      <c r="AF85" s="19">
        <v>21000</v>
      </c>
      <c r="AG85" s="19">
        <v>21000</v>
      </c>
      <c r="AH85" s="19">
        <v>0</v>
      </c>
      <c r="AI85" s="19">
        <v>42000</v>
      </c>
      <c r="AJ85" s="19">
        <v>21000</v>
      </c>
      <c r="AK85" s="19">
        <v>21000</v>
      </c>
      <c r="AL85" s="19">
        <v>0</v>
      </c>
      <c r="AM85" s="19">
        <v>42000</v>
      </c>
      <c r="AN85" s="19">
        <v>21000</v>
      </c>
      <c r="AO85" s="19">
        <v>21000</v>
      </c>
      <c r="AP85" s="19">
        <v>21000</v>
      </c>
      <c r="AQ85" s="19">
        <v>21000</v>
      </c>
      <c r="AR85" s="19">
        <v>21000</v>
      </c>
      <c r="AS85" s="19">
        <v>0</v>
      </c>
      <c r="AT85" s="19">
        <v>42000</v>
      </c>
      <c r="AU85" s="19">
        <v>21000</v>
      </c>
      <c r="AV85" s="19">
        <v>0</v>
      </c>
      <c r="AW85" s="19">
        <v>42000</v>
      </c>
      <c r="AX85" s="19">
        <v>21000</v>
      </c>
      <c r="AY85" s="19">
        <v>21000</v>
      </c>
      <c r="AZ85" s="19">
        <v>21000</v>
      </c>
      <c r="BA85" s="19">
        <v>0</v>
      </c>
      <c r="BB85" s="19">
        <v>42000</v>
      </c>
      <c r="BC85" s="19">
        <v>0</v>
      </c>
      <c r="BD85" s="19">
        <v>42000</v>
      </c>
      <c r="BE85" s="19">
        <v>21000</v>
      </c>
      <c r="BF85" s="19">
        <v>0</v>
      </c>
      <c r="BG85" s="19">
        <v>42000</v>
      </c>
      <c r="BH85" s="19">
        <v>0</v>
      </c>
      <c r="BI85" s="19">
        <v>42000</v>
      </c>
      <c r="BJ85" s="19">
        <v>21000</v>
      </c>
      <c r="BK85" s="19">
        <v>0</v>
      </c>
      <c r="BL85" s="19">
        <v>21000</v>
      </c>
      <c r="BM85" s="19">
        <v>42000</v>
      </c>
      <c r="BN85" s="19">
        <v>21000</v>
      </c>
      <c r="BO85" s="19">
        <v>21000</v>
      </c>
      <c r="BP85" s="19">
        <v>21000</v>
      </c>
      <c r="BQ85" s="19">
        <v>21000</v>
      </c>
      <c r="BR85" s="19">
        <v>21000</v>
      </c>
      <c r="BS85" s="19">
        <v>21000</v>
      </c>
      <c r="BT85" s="19">
        <v>21000</v>
      </c>
      <c r="BU85" s="19">
        <v>21000</v>
      </c>
      <c r="BV85" s="19">
        <v>21000</v>
      </c>
      <c r="BW85" s="19">
        <v>21000</v>
      </c>
      <c r="BX85" s="19">
        <v>0</v>
      </c>
      <c r="BY85" s="19">
        <v>42000</v>
      </c>
      <c r="BZ85" s="19">
        <v>21000</v>
      </c>
      <c r="CA85" s="19">
        <v>0</v>
      </c>
      <c r="CB85" s="19">
        <v>42000</v>
      </c>
      <c r="CC85" s="19">
        <v>21000</v>
      </c>
      <c r="CD85" s="19">
        <v>21000</v>
      </c>
      <c r="CE85" s="19">
        <v>0</v>
      </c>
      <c r="CF85" s="19">
        <v>42000</v>
      </c>
      <c r="CG85" s="19">
        <v>21000</v>
      </c>
      <c r="CH85" s="19">
        <v>21000</v>
      </c>
      <c r="CI85" s="19">
        <v>21000</v>
      </c>
      <c r="CJ85" s="19">
        <v>21000</v>
      </c>
      <c r="CK85" s="19">
        <v>21000</v>
      </c>
      <c r="CL85" s="19">
        <v>21000</v>
      </c>
      <c r="CM85" s="19">
        <v>21000</v>
      </c>
      <c r="CN85" s="19">
        <v>21000</v>
      </c>
      <c r="CO85" s="19">
        <v>21000</v>
      </c>
      <c r="CP85" s="19">
        <v>0</v>
      </c>
      <c r="CQ85" s="24">
        <v>42000</v>
      </c>
      <c r="CR85" s="19">
        <v>21000</v>
      </c>
      <c r="CS85" s="19">
        <v>21000</v>
      </c>
      <c r="CT85" s="19">
        <v>21000</v>
      </c>
      <c r="CU85" s="19">
        <v>21000</v>
      </c>
      <c r="CV85" s="19">
        <v>0</v>
      </c>
      <c r="CW85" s="19">
        <v>42000</v>
      </c>
      <c r="CX85" s="19">
        <v>0</v>
      </c>
      <c r="CY85" s="19">
        <v>42000</v>
      </c>
      <c r="CZ85" s="19">
        <v>0</v>
      </c>
      <c r="DA85" s="19">
        <v>42000</v>
      </c>
      <c r="DB85" s="19">
        <v>0</v>
      </c>
      <c r="DC85" s="19">
        <v>21000</v>
      </c>
      <c r="DD85" s="19">
        <v>42000</v>
      </c>
      <c r="DE85" s="19">
        <v>0</v>
      </c>
      <c r="DF85" s="19">
        <v>21000</v>
      </c>
      <c r="DG85" s="19">
        <v>21000</v>
      </c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</row>
    <row r="86" spans="1:122" ht="15.75" customHeight="1" x14ac:dyDescent="0.3">
      <c r="A86" s="15">
        <v>80</v>
      </c>
      <c r="B86" s="16" t="s">
        <v>71</v>
      </c>
      <c r="C86" s="17">
        <v>21000</v>
      </c>
      <c r="D86" s="18">
        <f>Sheet3!C82</f>
        <v>94</v>
      </c>
      <c r="E86" s="19">
        <v>21000</v>
      </c>
      <c r="F86" s="19">
        <v>21000</v>
      </c>
      <c r="G86" s="19">
        <v>21000</v>
      </c>
      <c r="H86" s="19">
        <v>21000</v>
      </c>
      <c r="I86" s="19">
        <v>21000</v>
      </c>
      <c r="J86" s="19">
        <v>21000</v>
      </c>
      <c r="K86" s="19">
        <v>21000</v>
      </c>
      <c r="L86" s="19">
        <v>21000</v>
      </c>
      <c r="M86" s="19">
        <v>21000</v>
      </c>
      <c r="N86" s="19">
        <v>21000</v>
      </c>
      <c r="O86" s="19">
        <v>21000</v>
      </c>
      <c r="P86" s="19">
        <v>21000</v>
      </c>
      <c r="Q86" s="19">
        <v>21000</v>
      </c>
      <c r="R86" s="19">
        <v>21000</v>
      </c>
      <c r="S86" s="19">
        <v>21000</v>
      </c>
      <c r="T86" s="19">
        <v>21000</v>
      </c>
      <c r="U86" s="19">
        <v>21000</v>
      </c>
      <c r="V86" s="19">
        <v>21000</v>
      </c>
      <c r="W86" s="19">
        <v>21000</v>
      </c>
      <c r="X86" s="19">
        <v>21000</v>
      </c>
      <c r="Y86" s="19">
        <v>21000</v>
      </c>
      <c r="Z86" s="19">
        <v>21000</v>
      </c>
      <c r="AA86" s="19">
        <v>21000</v>
      </c>
      <c r="AB86" s="19">
        <v>21000</v>
      </c>
      <c r="AC86" s="19">
        <v>21000</v>
      </c>
      <c r="AD86" s="19">
        <v>21000</v>
      </c>
      <c r="AE86" s="19">
        <v>21000</v>
      </c>
      <c r="AF86" s="19">
        <v>21000</v>
      </c>
      <c r="AG86" s="19">
        <v>21000</v>
      </c>
      <c r="AH86" s="19">
        <v>21000</v>
      </c>
      <c r="AI86" s="19">
        <v>21000</v>
      </c>
      <c r="AJ86" s="19">
        <v>21000</v>
      </c>
      <c r="AK86" s="19">
        <v>21000</v>
      </c>
      <c r="AL86" s="19">
        <v>21000</v>
      </c>
      <c r="AM86" s="19">
        <v>21000</v>
      </c>
      <c r="AN86" s="19">
        <v>0</v>
      </c>
      <c r="AO86" s="19">
        <v>42000</v>
      </c>
      <c r="AP86" s="19">
        <v>21000</v>
      </c>
      <c r="AQ86" s="19">
        <v>21000</v>
      </c>
      <c r="AR86" s="19">
        <v>21000</v>
      </c>
      <c r="AS86" s="19">
        <v>21000</v>
      </c>
      <c r="AT86" s="19">
        <v>0</v>
      </c>
      <c r="AU86" s="19">
        <v>42000</v>
      </c>
      <c r="AV86" s="19">
        <v>21000</v>
      </c>
      <c r="AW86" s="19">
        <v>21000</v>
      </c>
      <c r="AX86" s="19">
        <v>21000</v>
      </c>
      <c r="AY86" s="19">
        <v>0</v>
      </c>
      <c r="AZ86" s="19">
        <v>21000</v>
      </c>
      <c r="BA86" s="19">
        <v>42000</v>
      </c>
      <c r="BB86" s="19">
        <v>0</v>
      </c>
      <c r="BC86" s="19">
        <v>21000</v>
      </c>
      <c r="BD86" s="19">
        <v>21000</v>
      </c>
      <c r="BE86" s="19">
        <v>0</v>
      </c>
      <c r="BF86" s="19">
        <v>42000</v>
      </c>
      <c r="BG86" s="19">
        <v>21000</v>
      </c>
      <c r="BH86" s="19">
        <v>21000</v>
      </c>
      <c r="BI86" s="19">
        <v>21000</v>
      </c>
      <c r="BJ86" s="19">
        <v>0</v>
      </c>
      <c r="BK86" s="19">
        <v>42000</v>
      </c>
      <c r="BL86" s="19">
        <v>21000</v>
      </c>
      <c r="BM86" s="19">
        <v>21000</v>
      </c>
      <c r="BN86" s="19">
        <v>0</v>
      </c>
      <c r="BO86" s="19">
        <v>21000</v>
      </c>
      <c r="BP86" s="19">
        <v>21000</v>
      </c>
      <c r="BQ86" s="19">
        <v>21000</v>
      </c>
      <c r="BR86" s="19"/>
      <c r="BS86" s="19">
        <v>21000</v>
      </c>
      <c r="BT86" s="19">
        <v>21000</v>
      </c>
      <c r="BU86" s="19"/>
      <c r="BV86" s="19">
        <v>21000</v>
      </c>
      <c r="BW86" s="19">
        <v>0</v>
      </c>
      <c r="BX86" s="19">
        <v>0</v>
      </c>
      <c r="BY86" s="19">
        <v>21000</v>
      </c>
      <c r="BZ86" s="19">
        <v>21000</v>
      </c>
      <c r="CA86" s="19">
        <v>0</v>
      </c>
      <c r="CB86" s="19">
        <v>21000</v>
      </c>
      <c r="CC86" s="19">
        <v>21000</v>
      </c>
      <c r="CD86" s="19">
        <v>21000</v>
      </c>
      <c r="CE86" s="19">
        <v>0</v>
      </c>
      <c r="CF86" s="19">
        <v>21000</v>
      </c>
      <c r="CG86" s="19">
        <v>0</v>
      </c>
      <c r="CH86" s="19">
        <v>42000</v>
      </c>
      <c r="CI86" s="19">
        <v>21000</v>
      </c>
      <c r="CJ86" s="19">
        <v>21000</v>
      </c>
      <c r="CK86" s="19">
        <v>21000</v>
      </c>
      <c r="CL86" s="19">
        <v>21000</v>
      </c>
      <c r="CM86" s="19">
        <v>21000</v>
      </c>
      <c r="CN86" s="19">
        <v>0</v>
      </c>
      <c r="CO86" s="19">
        <v>21000</v>
      </c>
      <c r="CP86" s="19">
        <v>21000</v>
      </c>
      <c r="CQ86" s="24">
        <v>21000</v>
      </c>
      <c r="CR86" s="19">
        <v>0</v>
      </c>
      <c r="CS86" s="19">
        <v>0</v>
      </c>
      <c r="CT86" s="19">
        <v>63000</v>
      </c>
      <c r="CU86" s="19">
        <v>21000</v>
      </c>
      <c r="CV86" s="19">
        <v>0</v>
      </c>
      <c r="CW86" s="19">
        <v>21000</v>
      </c>
      <c r="CX86" s="19">
        <v>0</v>
      </c>
      <c r="CY86" s="19">
        <v>0</v>
      </c>
      <c r="CZ86" s="19">
        <v>42000</v>
      </c>
      <c r="DA86" s="19">
        <v>0</v>
      </c>
      <c r="DB86" s="19">
        <v>21000</v>
      </c>
      <c r="DC86" s="19">
        <v>0</v>
      </c>
      <c r="DD86" s="19">
        <v>42000</v>
      </c>
      <c r="DE86" s="19">
        <v>0</v>
      </c>
      <c r="DF86" s="19">
        <v>0</v>
      </c>
      <c r="DG86" s="19">
        <v>21000</v>
      </c>
      <c r="DH86" s="19">
        <v>21000</v>
      </c>
      <c r="DI86" s="19"/>
      <c r="DJ86" s="19"/>
      <c r="DK86" s="19"/>
      <c r="DL86" s="19"/>
      <c r="DM86" s="19"/>
      <c r="DN86" s="19"/>
      <c r="DO86" s="19"/>
      <c r="DP86" s="19"/>
      <c r="DQ86" s="19"/>
      <c r="DR86" s="19"/>
    </row>
    <row r="87" spans="1:122" ht="15.75" customHeight="1" x14ac:dyDescent="0.3">
      <c r="A87" s="15">
        <v>81</v>
      </c>
      <c r="B87" s="16" t="s">
        <v>72</v>
      </c>
      <c r="C87" s="17">
        <v>21000</v>
      </c>
      <c r="D87" s="18">
        <f>Sheet3!C83</f>
        <v>85</v>
      </c>
      <c r="E87" s="19">
        <v>21000</v>
      </c>
      <c r="F87" s="19">
        <v>21000</v>
      </c>
      <c r="G87" s="19">
        <v>21000</v>
      </c>
      <c r="H87" s="19">
        <v>21000</v>
      </c>
      <c r="I87" s="19">
        <v>21000</v>
      </c>
      <c r="J87" s="19">
        <v>21000</v>
      </c>
      <c r="K87" s="19">
        <v>21000</v>
      </c>
      <c r="L87" s="19">
        <v>21000</v>
      </c>
      <c r="M87" s="19">
        <v>21000</v>
      </c>
      <c r="N87" s="19">
        <v>21000</v>
      </c>
      <c r="O87" s="19">
        <v>21000</v>
      </c>
      <c r="P87" s="19">
        <v>21000</v>
      </c>
      <c r="Q87" s="19">
        <v>21000</v>
      </c>
      <c r="R87" s="19">
        <v>21000</v>
      </c>
      <c r="S87" s="19">
        <v>21000</v>
      </c>
      <c r="T87" s="19">
        <v>21000</v>
      </c>
      <c r="U87" s="19">
        <v>21000</v>
      </c>
      <c r="V87" s="19">
        <v>21000</v>
      </c>
      <c r="W87" s="19">
        <v>21000</v>
      </c>
      <c r="X87" s="19">
        <v>21000</v>
      </c>
      <c r="Y87" s="19">
        <v>21000</v>
      </c>
      <c r="Z87" s="19">
        <v>21000</v>
      </c>
      <c r="AA87" s="19">
        <v>21000</v>
      </c>
      <c r="AB87" s="19">
        <v>21000</v>
      </c>
      <c r="AC87" s="19">
        <v>21000</v>
      </c>
      <c r="AD87" s="19">
        <v>21000</v>
      </c>
      <c r="AE87" s="19">
        <v>21000</v>
      </c>
      <c r="AF87" s="19">
        <v>21000</v>
      </c>
      <c r="AG87" s="19">
        <v>21000</v>
      </c>
      <c r="AH87" s="19">
        <v>21000</v>
      </c>
      <c r="AI87" s="19">
        <v>21000</v>
      </c>
      <c r="AJ87" s="19">
        <v>21000</v>
      </c>
      <c r="AK87" s="19">
        <v>21000</v>
      </c>
      <c r="AL87" s="19">
        <v>21000</v>
      </c>
      <c r="AM87" s="19">
        <v>21000</v>
      </c>
      <c r="AN87" s="19">
        <v>21000</v>
      </c>
      <c r="AO87" s="19">
        <v>21000</v>
      </c>
      <c r="AP87" s="19">
        <v>21000</v>
      </c>
      <c r="AQ87" s="19">
        <v>21000</v>
      </c>
      <c r="AR87" s="19">
        <v>21000</v>
      </c>
      <c r="AS87" s="19">
        <v>21000</v>
      </c>
      <c r="AT87" s="19">
        <v>21000</v>
      </c>
      <c r="AU87" s="19">
        <v>21000</v>
      </c>
      <c r="AV87" s="19">
        <v>21000</v>
      </c>
      <c r="AW87" s="19">
        <v>0</v>
      </c>
      <c r="AX87" s="19">
        <v>21000</v>
      </c>
      <c r="AY87" s="19">
        <v>21000</v>
      </c>
      <c r="AZ87" s="19">
        <v>21000</v>
      </c>
      <c r="BA87" s="19">
        <v>21000</v>
      </c>
      <c r="BB87" s="19">
        <v>0</v>
      </c>
      <c r="BC87" s="19">
        <v>21000</v>
      </c>
      <c r="BD87" s="19">
        <v>21000</v>
      </c>
      <c r="BE87" s="19">
        <v>21000</v>
      </c>
      <c r="BF87" s="19">
        <v>21000</v>
      </c>
      <c r="BG87" s="19">
        <v>21000</v>
      </c>
      <c r="BH87" s="19">
        <v>21000</v>
      </c>
      <c r="BI87" s="19">
        <v>0</v>
      </c>
      <c r="BJ87" s="19">
        <v>0</v>
      </c>
      <c r="BK87" s="19">
        <v>0</v>
      </c>
      <c r="BL87" s="19">
        <v>0</v>
      </c>
      <c r="BM87" s="19">
        <v>0</v>
      </c>
      <c r="BN87" s="19">
        <v>0</v>
      </c>
      <c r="BO87" s="19">
        <v>0</v>
      </c>
      <c r="BP87" s="19">
        <v>0</v>
      </c>
      <c r="BQ87" s="19">
        <v>21000</v>
      </c>
      <c r="BR87" s="19"/>
      <c r="BS87" s="19"/>
      <c r="BT87" s="19">
        <v>210000</v>
      </c>
      <c r="BU87" s="19"/>
      <c r="BV87" s="19">
        <v>0</v>
      </c>
      <c r="BW87" s="19">
        <v>0</v>
      </c>
      <c r="BX87" s="19">
        <v>0</v>
      </c>
      <c r="BY87" s="19">
        <v>0</v>
      </c>
      <c r="BZ87" s="19">
        <v>0</v>
      </c>
      <c r="CA87" s="19">
        <v>0</v>
      </c>
      <c r="CB87" s="19">
        <v>21000</v>
      </c>
      <c r="CC87" s="19">
        <v>21000</v>
      </c>
      <c r="CD87" s="19">
        <v>0</v>
      </c>
      <c r="CE87" s="19">
        <v>21000</v>
      </c>
      <c r="CF87" s="19">
        <v>21000</v>
      </c>
      <c r="CG87" s="19">
        <v>21000</v>
      </c>
      <c r="CH87" s="19">
        <v>0</v>
      </c>
      <c r="CI87" s="19">
        <v>0</v>
      </c>
      <c r="CJ87" s="19">
        <v>21000</v>
      </c>
      <c r="CK87" s="19">
        <v>0</v>
      </c>
      <c r="CL87" s="19">
        <v>42000</v>
      </c>
      <c r="CM87" s="19">
        <v>147000</v>
      </c>
      <c r="CN87" s="19">
        <v>21000</v>
      </c>
      <c r="CO87" s="19">
        <v>0</v>
      </c>
      <c r="CP87" s="19">
        <v>21000</v>
      </c>
      <c r="CQ87" s="24">
        <v>21000</v>
      </c>
      <c r="CR87" s="19">
        <v>0</v>
      </c>
      <c r="CS87" s="19">
        <v>0</v>
      </c>
      <c r="CT87" s="19">
        <v>0</v>
      </c>
      <c r="CU87" s="19">
        <v>0</v>
      </c>
      <c r="CV87" s="19">
        <v>21000</v>
      </c>
      <c r="CW87" s="19">
        <v>21000</v>
      </c>
      <c r="CX87" s="19">
        <v>0</v>
      </c>
      <c r="CY87" s="19">
        <v>0</v>
      </c>
      <c r="CZ87" s="19">
        <v>0</v>
      </c>
      <c r="DA87" s="19">
        <v>0</v>
      </c>
      <c r="DB87" s="19">
        <v>0</v>
      </c>
      <c r="DC87" s="19">
        <v>0</v>
      </c>
      <c r="DD87" s="19">
        <v>0</v>
      </c>
      <c r="DE87" s="19">
        <v>0</v>
      </c>
      <c r="DF87" s="19">
        <v>0</v>
      </c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</row>
    <row r="88" spans="1:122" ht="15.75" customHeight="1" x14ac:dyDescent="0.3">
      <c r="A88" s="15">
        <v>82</v>
      </c>
      <c r="B88" s="16" t="s">
        <v>73</v>
      </c>
      <c r="C88" s="17">
        <v>21000</v>
      </c>
      <c r="D88" s="18">
        <f>Sheet3!C84</f>
        <v>106</v>
      </c>
      <c r="E88" s="19">
        <v>21000</v>
      </c>
      <c r="F88" s="19">
        <v>21000</v>
      </c>
      <c r="G88" s="19">
        <v>21000</v>
      </c>
      <c r="H88" s="19">
        <v>21000</v>
      </c>
      <c r="I88" s="19">
        <v>21000</v>
      </c>
      <c r="J88" s="19">
        <v>21000</v>
      </c>
      <c r="K88" s="19">
        <v>21000</v>
      </c>
      <c r="L88" s="19">
        <v>21000</v>
      </c>
      <c r="M88" s="19">
        <v>21000</v>
      </c>
      <c r="N88" s="19">
        <v>21000</v>
      </c>
      <c r="O88" s="19">
        <v>21000</v>
      </c>
      <c r="P88" s="19">
        <v>21000</v>
      </c>
      <c r="Q88" s="19">
        <v>21000</v>
      </c>
      <c r="R88" s="19">
        <v>21000</v>
      </c>
      <c r="S88" s="19">
        <v>21000</v>
      </c>
      <c r="T88" s="19">
        <v>21000</v>
      </c>
      <c r="U88" s="19">
        <v>21000</v>
      </c>
      <c r="V88" s="19">
        <v>21000</v>
      </c>
      <c r="W88" s="19">
        <v>21000</v>
      </c>
      <c r="X88" s="19">
        <v>21000</v>
      </c>
      <c r="Y88" s="19">
        <v>21000</v>
      </c>
      <c r="Z88" s="19">
        <v>21000</v>
      </c>
      <c r="AA88" s="19">
        <v>21000</v>
      </c>
      <c r="AB88" s="19">
        <v>21000</v>
      </c>
      <c r="AC88" s="19">
        <v>21000</v>
      </c>
      <c r="AD88" s="19">
        <v>21000</v>
      </c>
      <c r="AE88" s="19">
        <v>21000</v>
      </c>
      <c r="AF88" s="19">
        <v>21000</v>
      </c>
      <c r="AG88" s="19">
        <v>21000</v>
      </c>
      <c r="AH88" s="19">
        <v>21000</v>
      </c>
      <c r="AI88" s="19">
        <v>21000</v>
      </c>
      <c r="AJ88" s="19">
        <v>21000</v>
      </c>
      <c r="AK88" s="19">
        <v>21000</v>
      </c>
      <c r="AL88" s="19">
        <v>21000</v>
      </c>
      <c r="AM88" s="19">
        <v>21000</v>
      </c>
      <c r="AN88" s="19">
        <v>21000</v>
      </c>
      <c r="AO88" s="19">
        <v>21000</v>
      </c>
      <c r="AP88" s="19">
        <v>21000</v>
      </c>
      <c r="AQ88" s="19">
        <v>21000</v>
      </c>
      <c r="AR88" s="19">
        <v>21000</v>
      </c>
      <c r="AS88" s="19">
        <v>21000</v>
      </c>
      <c r="AT88" s="19">
        <v>21000</v>
      </c>
      <c r="AU88" s="19">
        <v>21000</v>
      </c>
      <c r="AV88" s="19">
        <v>21000</v>
      </c>
      <c r="AW88" s="19">
        <v>21000</v>
      </c>
      <c r="AX88" s="19">
        <v>21000</v>
      </c>
      <c r="AY88" s="19">
        <v>21000</v>
      </c>
      <c r="AZ88" s="19">
        <v>21000</v>
      </c>
      <c r="BA88" s="19">
        <v>21000</v>
      </c>
      <c r="BB88" s="19">
        <v>21000</v>
      </c>
      <c r="BC88" s="19">
        <v>21000</v>
      </c>
      <c r="BD88" s="19">
        <v>21000</v>
      </c>
      <c r="BE88" s="19">
        <v>21000</v>
      </c>
      <c r="BF88" s="19">
        <v>21000</v>
      </c>
      <c r="BG88" s="19">
        <v>21000</v>
      </c>
      <c r="BH88" s="19">
        <v>21000</v>
      </c>
      <c r="BI88" s="19">
        <v>21000</v>
      </c>
      <c r="BJ88" s="19">
        <v>21000</v>
      </c>
      <c r="BK88" s="19">
        <v>21000</v>
      </c>
      <c r="BL88" s="19">
        <v>21000</v>
      </c>
      <c r="BM88" s="19">
        <v>21000</v>
      </c>
      <c r="BN88" s="19">
        <v>21000</v>
      </c>
      <c r="BO88" s="19">
        <v>21000</v>
      </c>
      <c r="BP88" s="19">
        <v>21000</v>
      </c>
      <c r="BQ88" s="19">
        <v>21000</v>
      </c>
      <c r="BR88" s="19">
        <v>21000</v>
      </c>
      <c r="BS88" s="19">
        <v>21000</v>
      </c>
      <c r="BT88" s="19">
        <v>21000</v>
      </c>
      <c r="BU88" s="19">
        <v>21000</v>
      </c>
      <c r="BV88" s="19">
        <v>21000</v>
      </c>
      <c r="BW88" s="19">
        <v>21000</v>
      </c>
      <c r="BX88" s="19">
        <v>21000</v>
      </c>
      <c r="BY88" s="19">
        <v>21000</v>
      </c>
      <c r="BZ88" s="19">
        <v>21000</v>
      </c>
      <c r="CA88" s="19">
        <v>21000</v>
      </c>
      <c r="CB88" s="19">
        <v>21000</v>
      </c>
      <c r="CC88" s="19">
        <v>21000</v>
      </c>
      <c r="CD88" s="19">
        <v>0</v>
      </c>
      <c r="CE88" s="19">
        <v>42000</v>
      </c>
      <c r="CF88" s="19">
        <v>21000</v>
      </c>
      <c r="CG88" s="19">
        <v>21000</v>
      </c>
      <c r="CH88" s="19">
        <v>21000</v>
      </c>
      <c r="CI88" s="19">
        <v>21000</v>
      </c>
      <c r="CJ88" s="19">
        <v>21000</v>
      </c>
      <c r="CK88" s="19">
        <v>21000</v>
      </c>
      <c r="CL88" s="19">
        <v>0</v>
      </c>
      <c r="CM88" s="19">
        <v>42000</v>
      </c>
      <c r="CN88" s="19">
        <v>0</v>
      </c>
      <c r="CO88" s="19">
        <v>42000</v>
      </c>
      <c r="CP88" s="19">
        <v>0</v>
      </c>
      <c r="CQ88" s="24">
        <v>42000</v>
      </c>
      <c r="CR88" s="19">
        <v>0</v>
      </c>
      <c r="CS88" s="19">
        <v>42000</v>
      </c>
      <c r="CT88" s="19">
        <v>0</v>
      </c>
      <c r="CU88" s="19">
        <v>42000</v>
      </c>
      <c r="CV88" s="19">
        <v>0</v>
      </c>
      <c r="CW88" s="19">
        <v>42000</v>
      </c>
      <c r="CX88" s="19">
        <v>0</v>
      </c>
      <c r="CY88" s="19">
        <v>42000</v>
      </c>
      <c r="CZ88" s="19">
        <v>0</v>
      </c>
      <c r="DA88" s="19">
        <v>0</v>
      </c>
      <c r="DB88" s="19">
        <v>42000</v>
      </c>
      <c r="DC88" s="19">
        <v>21000</v>
      </c>
      <c r="DD88" s="19">
        <v>21000</v>
      </c>
      <c r="DE88" s="19">
        <v>21000</v>
      </c>
      <c r="DF88" s="19">
        <v>0</v>
      </c>
      <c r="DG88" s="19">
        <v>42000</v>
      </c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</row>
    <row r="89" spans="1:122" ht="15.75" customHeight="1" x14ac:dyDescent="0.3">
      <c r="A89" s="15">
        <v>83</v>
      </c>
      <c r="B89" s="16" t="s">
        <v>74</v>
      </c>
      <c r="C89" s="17">
        <v>21000</v>
      </c>
      <c r="D89" s="18">
        <f>Sheet3!C85</f>
        <v>104</v>
      </c>
      <c r="E89" s="19">
        <v>21000</v>
      </c>
      <c r="F89" s="19">
        <v>21000</v>
      </c>
      <c r="G89" s="19">
        <v>21000</v>
      </c>
      <c r="H89" s="19">
        <v>21000</v>
      </c>
      <c r="I89" s="19">
        <v>21000</v>
      </c>
      <c r="J89" s="19">
        <v>21000</v>
      </c>
      <c r="K89" s="19">
        <v>21000</v>
      </c>
      <c r="L89" s="19">
        <v>21000</v>
      </c>
      <c r="M89" s="19">
        <v>21000</v>
      </c>
      <c r="N89" s="19">
        <v>21000</v>
      </c>
      <c r="O89" s="19">
        <v>21000</v>
      </c>
      <c r="P89" s="19">
        <v>21000</v>
      </c>
      <c r="Q89" s="19">
        <v>21000</v>
      </c>
      <c r="R89" s="19">
        <v>21000</v>
      </c>
      <c r="S89" s="19">
        <v>21000</v>
      </c>
      <c r="T89" s="19">
        <v>21000</v>
      </c>
      <c r="U89" s="19">
        <v>21000</v>
      </c>
      <c r="V89" s="19">
        <v>21000</v>
      </c>
      <c r="W89" s="19">
        <v>21000</v>
      </c>
      <c r="X89" s="19">
        <v>21000</v>
      </c>
      <c r="Y89" s="19">
        <v>21000</v>
      </c>
      <c r="Z89" s="19">
        <v>21000</v>
      </c>
      <c r="AA89" s="19">
        <v>21000</v>
      </c>
      <c r="AB89" s="19">
        <v>21000</v>
      </c>
      <c r="AC89" s="19">
        <v>21000</v>
      </c>
      <c r="AD89" s="19">
        <v>21000</v>
      </c>
      <c r="AE89" s="19">
        <v>21000</v>
      </c>
      <c r="AF89" s="19">
        <v>0</v>
      </c>
      <c r="AG89" s="19">
        <v>42000</v>
      </c>
      <c r="AH89" s="19">
        <v>21000</v>
      </c>
      <c r="AI89" s="19">
        <v>21000</v>
      </c>
      <c r="AJ89" s="19">
        <v>0</v>
      </c>
      <c r="AK89" s="19">
        <v>42000</v>
      </c>
      <c r="AL89" s="19">
        <v>21000</v>
      </c>
      <c r="AM89" s="19">
        <v>21000</v>
      </c>
      <c r="AN89" s="19">
        <v>0</v>
      </c>
      <c r="AO89" s="19">
        <v>42000</v>
      </c>
      <c r="AP89" s="19">
        <v>21000</v>
      </c>
      <c r="AQ89" s="19">
        <v>21000</v>
      </c>
      <c r="AR89" s="19">
        <v>21000</v>
      </c>
      <c r="AS89" s="19">
        <v>21000</v>
      </c>
      <c r="AT89" s="19">
        <v>21000</v>
      </c>
      <c r="AU89" s="19">
        <v>21000</v>
      </c>
      <c r="AV89" s="19">
        <v>21000</v>
      </c>
      <c r="AW89" s="19">
        <v>0</v>
      </c>
      <c r="AX89" s="19">
        <v>21000</v>
      </c>
      <c r="AY89" s="19">
        <v>42000</v>
      </c>
      <c r="AZ89" s="19">
        <v>21000</v>
      </c>
      <c r="BA89" s="19">
        <v>21000</v>
      </c>
      <c r="BB89" s="19">
        <v>21000</v>
      </c>
      <c r="BC89" s="19">
        <v>21000</v>
      </c>
      <c r="BD89" s="19">
        <v>21000</v>
      </c>
      <c r="BE89" s="19">
        <v>21000</v>
      </c>
      <c r="BF89" s="19">
        <v>21000</v>
      </c>
      <c r="BG89" s="19">
        <v>21000</v>
      </c>
      <c r="BH89" s="19">
        <v>0</v>
      </c>
      <c r="BI89" s="19">
        <v>42000</v>
      </c>
      <c r="BJ89" s="19">
        <v>21000</v>
      </c>
      <c r="BK89" s="19">
        <v>21000</v>
      </c>
      <c r="BL89" s="19">
        <v>0</v>
      </c>
      <c r="BM89" s="19">
        <v>42000</v>
      </c>
      <c r="BN89" s="19">
        <v>21000</v>
      </c>
      <c r="BO89" s="19">
        <v>21000</v>
      </c>
      <c r="BP89" s="19">
        <v>0</v>
      </c>
      <c r="BQ89" s="19">
        <v>42000</v>
      </c>
      <c r="BR89" s="19"/>
      <c r="BS89" s="19">
        <v>21000</v>
      </c>
      <c r="BT89" s="19">
        <v>21000</v>
      </c>
      <c r="BU89" s="19">
        <v>42000</v>
      </c>
      <c r="BV89" s="19">
        <v>21000</v>
      </c>
      <c r="BW89" s="19">
        <v>21000</v>
      </c>
      <c r="BX89" s="19">
        <v>0</v>
      </c>
      <c r="BY89" s="19">
        <v>42000</v>
      </c>
      <c r="BZ89" s="19">
        <v>0</v>
      </c>
      <c r="CA89" s="19">
        <v>42000</v>
      </c>
      <c r="CB89" s="19">
        <v>21000</v>
      </c>
      <c r="CC89" s="19">
        <v>21000</v>
      </c>
      <c r="CD89" s="19">
        <v>21000</v>
      </c>
      <c r="CE89" s="19">
        <v>0</v>
      </c>
      <c r="CF89" s="19">
        <v>42000</v>
      </c>
      <c r="CG89" s="19">
        <v>0</v>
      </c>
      <c r="CH89" s="19">
        <v>42000</v>
      </c>
      <c r="CI89" s="19">
        <v>0</v>
      </c>
      <c r="CJ89" s="19">
        <v>0</v>
      </c>
      <c r="CK89" s="19">
        <v>63000</v>
      </c>
      <c r="CL89" s="19">
        <v>0</v>
      </c>
      <c r="CM89" s="19">
        <v>0</v>
      </c>
      <c r="CN89" s="19">
        <v>63000</v>
      </c>
      <c r="CO89" s="19">
        <v>0</v>
      </c>
      <c r="CP89" s="19">
        <v>0</v>
      </c>
      <c r="CQ89" s="24">
        <v>63000</v>
      </c>
      <c r="CR89" s="19">
        <v>0</v>
      </c>
      <c r="CS89" s="19">
        <v>42000</v>
      </c>
      <c r="CT89" s="19">
        <v>0</v>
      </c>
      <c r="CU89" s="19">
        <v>0</v>
      </c>
      <c r="CV89" s="19">
        <v>0</v>
      </c>
      <c r="CW89" s="19">
        <v>42000</v>
      </c>
      <c r="CX89" s="19">
        <v>0</v>
      </c>
      <c r="CY89" s="19">
        <v>0</v>
      </c>
      <c r="CZ89" s="19">
        <v>0</v>
      </c>
      <c r="DA89" s="19">
        <v>63000</v>
      </c>
      <c r="DB89" s="19">
        <v>0</v>
      </c>
      <c r="DC89" s="19">
        <v>0</v>
      </c>
      <c r="DD89" s="19">
        <v>0</v>
      </c>
      <c r="DE89" s="19">
        <v>105000</v>
      </c>
      <c r="DF89" s="19">
        <v>0</v>
      </c>
      <c r="DG89" s="19">
        <v>21000</v>
      </c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</row>
    <row r="90" spans="1:122" ht="15.75" customHeight="1" x14ac:dyDescent="0.3">
      <c r="A90" s="15">
        <v>84</v>
      </c>
      <c r="B90" s="16" t="s">
        <v>6</v>
      </c>
      <c r="C90" s="17">
        <v>21000</v>
      </c>
      <c r="D90" s="18">
        <f>Sheet3!C86</f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>
        <v>0</v>
      </c>
      <c r="AS90" s="19">
        <v>0</v>
      </c>
      <c r="AT90" s="19">
        <v>0</v>
      </c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>
        <v>0</v>
      </c>
      <c r="BC90" s="19">
        <v>0</v>
      </c>
      <c r="BD90" s="19">
        <v>0</v>
      </c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>
        <v>0</v>
      </c>
      <c r="BM90" s="19">
        <v>0</v>
      </c>
      <c r="BN90" s="19">
        <v>0</v>
      </c>
      <c r="BO90" s="19">
        <v>0</v>
      </c>
      <c r="BP90" s="19">
        <v>0</v>
      </c>
      <c r="BQ90" s="19"/>
      <c r="BR90" s="19"/>
      <c r="BS90" s="19"/>
      <c r="BT90" s="19"/>
      <c r="BU90" s="19"/>
      <c r="BV90" s="19">
        <v>0</v>
      </c>
      <c r="BW90" s="19">
        <v>0</v>
      </c>
      <c r="BX90" s="19">
        <v>0</v>
      </c>
      <c r="BY90" s="19">
        <v>0</v>
      </c>
      <c r="BZ90" s="19">
        <v>0</v>
      </c>
      <c r="CA90" s="19">
        <v>0</v>
      </c>
      <c r="CB90" s="19">
        <v>0</v>
      </c>
      <c r="CC90" s="19">
        <v>0</v>
      </c>
      <c r="CD90" s="19">
        <v>0</v>
      </c>
      <c r="CE90" s="19">
        <v>0</v>
      </c>
      <c r="CF90" s="19">
        <v>0</v>
      </c>
      <c r="CG90" s="19">
        <v>0</v>
      </c>
      <c r="CH90" s="19">
        <v>0</v>
      </c>
      <c r="CI90" s="19">
        <v>0</v>
      </c>
      <c r="CJ90" s="19">
        <v>0</v>
      </c>
      <c r="CK90" s="19">
        <v>0</v>
      </c>
      <c r="CL90" s="19">
        <v>0</v>
      </c>
      <c r="CM90" s="19">
        <v>0</v>
      </c>
      <c r="CN90" s="19">
        <v>0</v>
      </c>
      <c r="CO90" s="19">
        <v>0</v>
      </c>
      <c r="CP90" s="19">
        <v>0</v>
      </c>
      <c r="CQ90" s="24">
        <v>0</v>
      </c>
      <c r="CR90" s="19">
        <v>0</v>
      </c>
      <c r="CS90" s="19">
        <v>0</v>
      </c>
      <c r="CT90" s="19">
        <v>0</v>
      </c>
      <c r="CU90" s="19">
        <v>0</v>
      </c>
      <c r="CV90" s="19">
        <v>0</v>
      </c>
      <c r="CW90" s="19">
        <v>0</v>
      </c>
      <c r="CX90" s="19">
        <v>0</v>
      </c>
      <c r="CY90" s="19">
        <v>0</v>
      </c>
      <c r="CZ90" s="19">
        <v>0</v>
      </c>
      <c r="DA90" s="19">
        <v>0</v>
      </c>
      <c r="DB90" s="19">
        <v>0</v>
      </c>
      <c r="DC90" s="19">
        <v>0</v>
      </c>
      <c r="DD90" s="19">
        <v>0</v>
      </c>
      <c r="DE90" s="19">
        <v>0</v>
      </c>
      <c r="DF90" s="19">
        <v>0</v>
      </c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</row>
    <row r="91" spans="1:122" ht="15.75" customHeight="1" x14ac:dyDescent="0.3">
      <c r="A91" s="15">
        <v>85</v>
      </c>
      <c r="B91" s="16" t="s">
        <v>75</v>
      </c>
      <c r="C91" s="17">
        <v>21000</v>
      </c>
      <c r="D91" s="18">
        <f>Sheet3!C87</f>
        <v>107</v>
      </c>
      <c r="E91" s="19">
        <v>21000</v>
      </c>
      <c r="F91" s="19">
        <v>21000</v>
      </c>
      <c r="G91" s="19">
        <v>21000</v>
      </c>
      <c r="H91" s="19">
        <v>21000</v>
      </c>
      <c r="I91" s="19">
        <v>21000</v>
      </c>
      <c r="J91" s="19">
        <v>21000</v>
      </c>
      <c r="K91" s="19">
        <v>21000</v>
      </c>
      <c r="L91" s="19">
        <v>21000</v>
      </c>
      <c r="M91" s="19">
        <v>21000</v>
      </c>
      <c r="N91" s="19">
        <v>21000</v>
      </c>
      <c r="O91" s="19">
        <v>21000</v>
      </c>
      <c r="P91" s="19">
        <v>21000</v>
      </c>
      <c r="Q91" s="19">
        <v>21000</v>
      </c>
      <c r="R91" s="19">
        <v>21000</v>
      </c>
      <c r="S91" s="19">
        <v>21000</v>
      </c>
      <c r="T91" s="19">
        <v>21000</v>
      </c>
      <c r="U91" s="19">
        <v>21000</v>
      </c>
      <c r="V91" s="19">
        <v>21000</v>
      </c>
      <c r="W91" s="19">
        <v>21000</v>
      </c>
      <c r="X91" s="19">
        <v>21000</v>
      </c>
      <c r="Y91" s="19">
        <v>21000</v>
      </c>
      <c r="Z91" s="19">
        <v>21000</v>
      </c>
      <c r="AA91" s="19">
        <v>21000</v>
      </c>
      <c r="AB91" s="19">
        <v>21000</v>
      </c>
      <c r="AC91" s="19">
        <v>21000</v>
      </c>
      <c r="AD91" s="19">
        <v>21000</v>
      </c>
      <c r="AE91" s="19">
        <v>21000</v>
      </c>
      <c r="AF91" s="19">
        <v>21000</v>
      </c>
      <c r="AG91" s="19">
        <v>21000</v>
      </c>
      <c r="AH91" s="19">
        <v>21000</v>
      </c>
      <c r="AI91" s="19">
        <v>21000</v>
      </c>
      <c r="AJ91" s="19">
        <v>21000</v>
      </c>
      <c r="AK91" s="19">
        <v>21000</v>
      </c>
      <c r="AL91" s="19">
        <v>21000</v>
      </c>
      <c r="AM91" s="19">
        <v>21000</v>
      </c>
      <c r="AN91" s="19">
        <v>21000</v>
      </c>
      <c r="AO91" s="19">
        <v>21000</v>
      </c>
      <c r="AP91" s="19">
        <v>21000</v>
      </c>
      <c r="AQ91" s="19">
        <v>21000</v>
      </c>
      <c r="AR91" s="19">
        <v>21000</v>
      </c>
      <c r="AS91" s="19">
        <v>21000</v>
      </c>
      <c r="AT91" s="19">
        <v>21000</v>
      </c>
      <c r="AU91" s="19">
        <v>21000</v>
      </c>
      <c r="AV91" s="19">
        <v>0</v>
      </c>
      <c r="AW91" s="19">
        <v>42000</v>
      </c>
      <c r="AX91" s="19">
        <v>21000</v>
      </c>
      <c r="AY91" s="19">
        <v>21000</v>
      </c>
      <c r="AZ91" s="19">
        <v>21000</v>
      </c>
      <c r="BA91" s="19">
        <v>21000</v>
      </c>
      <c r="BB91" s="19">
        <v>21000</v>
      </c>
      <c r="BC91" s="19">
        <v>0</v>
      </c>
      <c r="BD91" s="19">
        <v>42000</v>
      </c>
      <c r="BE91" s="19">
        <v>21000</v>
      </c>
      <c r="BF91" s="19">
        <v>21000</v>
      </c>
      <c r="BG91" s="19">
        <v>21000</v>
      </c>
      <c r="BH91" s="19">
        <v>0</v>
      </c>
      <c r="BI91" s="19">
        <v>42000</v>
      </c>
      <c r="BJ91" s="19">
        <v>21000</v>
      </c>
      <c r="BK91" s="19">
        <v>0</v>
      </c>
      <c r="BL91" s="19">
        <v>42000</v>
      </c>
      <c r="BM91" s="19">
        <v>21000</v>
      </c>
      <c r="BN91" s="19">
        <v>21000</v>
      </c>
      <c r="BO91" s="19">
        <v>21000</v>
      </c>
      <c r="BP91" s="19">
        <v>21000</v>
      </c>
      <c r="BQ91" s="19">
        <v>21000</v>
      </c>
      <c r="BR91" s="19">
        <v>21000</v>
      </c>
      <c r="BS91" s="19">
        <v>21000</v>
      </c>
      <c r="BT91" s="19">
        <v>21000</v>
      </c>
      <c r="BU91" s="19">
        <v>21000</v>
      </c>
      <c r="BV91" s="19">
        <v>21000</v>
      </c>
      <c r="BW91" s="19">
        <v>21000</v>
      </c>
      <c r="BX91" s="19">
        <v>21000</v>
      </c>
      <c r="BY91" s="19">
        <v>21000</v>
      </c>
      <c r="BZ91" s="19">
        <v>21000</v>
      </c>
      <c r="CA91" s="19">
        <v>21000</v>
      </c>
      <c r="CB91" s="19">
        <v>21000</v>
      </c>
      <c r="CC91" s="19">
        <v>21000</v>
      </c>
      <c r="CD91" s="19">
        <v>21000</v>
      </c>
      <c r="CE91" s="19">
        <v>21000</v>
      </c>
      <c r="CF91" s="19">
        <v>21000</v>
      </c>
      <c r="CG91" s="19">
        <v>21000</v>
      </c>
      <c r="CH91" s="19">
        <v>21000</v>
      </c>
      <c r="CI91" s="19">
        <v>21000</v>
      </c>
      <c r="CJ91" s="19">
        <v>21000</v>
      </c>
      <c r="CK91" s="19">
        <v>21000</v>
      </c>
      <c r="CL91" s="19">
        <v>21000</v>
      </c>
      <c r="CM91" s="19">
        <v>21000</v>
      </c>
      <c r="CN91" s="19">
        <v>21000</v>
      </c>
      <c r="CO91" s="19">
        <v>21000</v>
      </c>
      <c r="CP91" s="19">
        <v>21000</v>
      </c>
      <c r="CQ91" s="24">
        <v>0</v>
      </c>
      <c r="CR91" s="19">
        <v>21000</v>
      </c>
      <c r="CS91" s="19">
        <v>21000</v>
      </c>
      <c r="CT91" s="19">
        <v>21000</v>
      </c>
      <c r="CU91" s="19">
        <v>21000</v>
      </c>
      <c r="CV91" s="19">
        <v>21000</v>
      </c>
      <c r="CW91" s="19">
        <v>21000</v>
      </c>
      <c r="CX91" s="19">
        <v>21000</v>
      </c>
      <c r="CY91" s="19">
        <v>21000</v>
      </c>
      <c r="CZ91" s="19">
        <v>21000</v>
      </c>
      <c r="DA91" s="19">
        <v>21000</v>
      </c>
      <c r="DB91" s="19">
        <v>21000</v>
      </c>
      <c r="DC91" s="19">
        <v>21000</v>
      </c>
      <c r="DD91" s="19">
        <v>21000</v>
      </c>
      <c r="DE91" s="19">
        <v>21000</v>
      </c>
      <c r="DF91" s="19">
        <v>0</v>
      </c>
      <c r="DG91" s="19">
        <v>42000</v>
      </c>
      <c r="DH91" s="19">
        <v>21000</v>
      </c>
      <c r="DI91" s="19"/>
      <c r="DJ91" s="19"/>
      <c r="DK91" s="19"/>
      <c r="DL91" s="19"/>
      <c r="DM91" s="19"/>
      <c r="DN91" s="19"/>
      <c r="DO91" s="19"/>
      <c r="DP91" s="19"/>
      <c r="DQ91" s="19"/>
      <c r="DR91" s="19"/>
    </row>
    <row r="92" spans="1:122" ht="15.75" customHeight="1" x14ac:dyDescent="0.3">
      <c r="A92" s="15">
        <v>86</v>
      </c>
      <c r="B92" s="16" t="s">
        <v>76</v>
      </c>
      <c r="C92" s="17">
        <v>21000</v>
      </c>
      <c r="D92" s="18">
        <f>Sheet3!C88</f>
        <v>101</v>
      </c>
      <c r="E92" s="19">
        <v>21000</v>
      </c>
      <c r="F92" s="19">
        <v>21000</v>
      </c>
      <c r="G92" s="19">
        <v>21000</v>
      </c>
      <c r="H92" s="19">
        <v>21000</v>
      </c>
      <c r="I92" s="19">
        <v>21000</v>
      </c>
      <c r="J92" s="19">
        <v>21000</v>
      </c>
      <c r="K92" s="19">
        <v>21000</v>
      </c>
      <c r="L92" s="19">
        <v>21000</v>
      </c>
      <c r="M92" s="19">
        <v>21000</v>
      </c>
      <c r="N92" s="19">
        <v>21000</v>
      </c>
      <c r="O92" s="19">
        <v>21000</v>
      </c>
      <c r="P92" s="19">
        <v>21000</v>
      </c>
      <c r="Q92" s="19">
        <v>21000</v>
      </c>
      <c r="R92" s="19">
        <v>21000</v>
      </c>
      <c r="S92" s="19">
        <v>21000</v>
      </c>
      <c r="T92" s="19">
        <v>21000</v>
      </c>
      <c r="U92" s="19">
        <v>21000</v>
      </c>
      <c r="V92" s="19">
        <v>21000</v>
      </c>
      <c r="W92" s="19">
        <v>21000</v>
      </c>
      <c r="X92" s="19">
        <v>21000</v>
      </c>
      <c r="Y92" s="19">
        <v>21000</v>
      </c>
      <c r="Z92" s="19">
        <v>21000</v>
      </c>
      <c r="AA92" s="19">
        <v>21000</v>
      </c>
      <c r="AB92" s="19">
        <v>21000</v>
      </c>
      <c r="AC92" s="19">
        <v>21000</v>
      </c>
      <c r="AD92" s="19">
        <v>21000</v>
      </c>
      <c r="AE92" s="19">
        <v>21000</v>
      </c>
      <c r="AF92" s="19">
        <v>21000</v>
      </c>
      <c r="AG92" s="19">
        <v>21000</v>
      </c>
      <c r="AH92" s="19">
        <v>21000</v>
      </c>
      <c r="AI92" s="19">
        <v>21000</v>
      </c>
      <c r="AJ92" s="19">
        <v>21000</v>
      </c>
      <c r="AK92" s="19">
        <v>21000</v>
      </c>
      <c r="AL92" s="19">
        <v>21000</v>
      </c>
      <c r="AM92" s="19">
        <v>21000</v>
      </c>
      <c r="AN92" s="19">
        <v>21000</v>
      </c>
      <c r="AO92" s="19">
        <v>21000</v>
      </c>
      <c r="AP92" s="19">
        <v>21000</v>
      </c>
      <c r="AQ92" s="19">
        <v>21000</v>
      </c>
      <c r="AR92" s="19">
        <v>21000</v>
      </c>
      <c r="AS92" s="19">
        <v>21000</v>
      </c>
      <c r="AT92" s="19">
        <v>21000</v>
      </c>
      <c r="AU92" s="19">
        <v>21000</v>
      </c>
      <c r="AV92" s="19">
        <v>21000</v>
      </c>
      <c r="AW92" s="19">
        <v>21000</v>
      </c>
      <c r="AX92" s="19">
        <v>21000</v>
      </c>
      <c r="AY92" s="19">
        <v>21000</v>
      </c>
      <c r="AZ92" s="19">
        <v>21000</v>
      </c>
      <c r="BA92" s="19">
        <v>21000</v>
      </c>
      <c r="BB92" s="19">
        <v>21000</v>
      </c>
      <c r="BC92" s="19">
        <v>21000</v>
      </c>
      <c r="BD92" s="19">
        <v>21000</v>
      </c>
      <c r="BE92" s="19">
        <v>21000</v>
      </c>
      <c r="BF92" s="19">
        <v>21000</v>
      </c>
      <c r="BG92" s="19">
        <v>21000</v>
      </c>
      <c r="BH92" s="19">
        <v>21000</v>
      </c>
      <c r="BI92" s="19">
        <v>21000</v>
      </c>
      <c r="BJ92" s="19">
        <v>21000</v>
      </c>
      <c r="BK92" s="19">
        <v>21000</v>
      </c>
      <c r="BL92" s="19">
        <v>21000</v>
      </c>
      <c r="BM92" s="19">
        <v>21000</v>
      </c>
      <c r="BN92" s="19">
        <v>21000</v>
      </c>
      <c r="BO92" s="19">
        <v>21000</v>
      </c>
      <c r="BP92" s="19">
        <v>0</v>
      </c>
      <c r="BQ92" s="19">
        <v>42000</v>
      </c>
      <c r="BR92" s="19">
        <v>21000</v>
      </c>
      <c r="BS92" s="19"/>
      <c r="BT92" s="19">
        <v>42000</v>
      </c>
      <c r="BU92" s="19">
        <v>21000</v>
      </c>
      <c r="BV92" s="19">
        <v>0</v>
      </c>
      <c r="BW92" s="19">
        <v>42000</v>
      </c>
      <c r="BX92" s="19">
        <v>0</v>
      </c>
      <c r="BY92" s="19">
        <v>42000</v>
      </c>
      <c r="BZ92" s="19">
        <v>0</v>
      </c>
      <c r="CA92" s="19">
        <v>42000</v>
      </c>
      <c r="CB92" s="19">
        <v>0</v>
      </c>
      <c r="CC92" s="19">
        <v>42000</v>
      </c>
      <c r="CD92" s="19">
        <v>0</v>
      </c>
      <c r="CE92" s="19">
        <v>0</v>
      </c>
      <c r="CF92" s="19">
        <v>63000</v>
      </c>
      <c r="CG92" s="19">
        <v>0</v>
      </c>
      <c r="CH92" s="19">
        <v>0</v>
      </c>
      <c r="CI92" s="19">
        <v>63000</v>
      </c>
      <c r="CJ92" s="19">
        <v>0</v>
      </c>
      <c r="CK92" s="19">
        <v>0</v>
      </c>
      <c r="CL92" s="19">
        <v>63000</v>
      </c>
      <c r="CM92" s="19">
        <v>0</v>
      </c>
      <c r="CN92" s="19">
        <v>0</v>
      </c>
      <c r="CO92" s="19">
        <v>63000</v>
      </c>
      <c r="CP92" s="19">
        <v>0</v>
      </c>
      <c r="CQ92" s="24">
        <v>0</v>
      </c>
      <c r="CR92" s="19">
        <v>0</v>
      </c>
      <c r="CS92" s="19">
        <v>42000</v>
      </c>
      <c r="CT92" s="19">
        <v>0</v>
      </c>
      <c r="CU92" s="19">
        <v>0</v>
      </c>
      <c r="CV92" s="19">
        <v>42000</v>
      </c>
      <c r="CW92" s="19">
        <v>0</v>
      </c>
      <c r="CX92" s="19">
        <v>0</v>
      </c>
      <c r="CY92" s="19">
        <v>42000</v>
      </c>
      <c r="CZ92" s="19">
        <v>0</v>
      </c>
      <c r="DA92" s="19">
        <v>0</v>
      </c>
      <c r="DB92" s="19">
        <v>63000</v>
      </c>
      <c r="DC92" s="19">
        <v>0</v>
      </c>
      <c r="DD92" s="19">
        <v>0</v>
      </c>
      <c r="DE92" s="19">
        <v>63000</v>
      </c>
      <c r="DF92" s="19">
        <v>0</v>
      </c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</row>
    <row r="93" spans="1:122" ht="15.75" customHeight="1" x14ac:dyDescent="0.3">
      <c r="A93" s="15">
        <v>87</v>
      </c>
      <c r="B93" s="16" t="s">
        <v>77</v>
      </c>
      <c r="C93" s="17">
        <v>21000</v>
      </c>
      <c r="D93" s="18">
        <f>Sheet3!C89</f>
        <v>101</v>
      </c>
      <c r="E93" s="19">
        <v>21000</v>
      </c>
      <c r="F93" s="19">
        <v>21000</v>
      </c>
      <c r="G93" s="19">
        <v>21000</v>
      </c>
      <c r="H93" s="19">
        <v>21000</v>
      </c>
      <c r="I93" s="19">
        <v>21000</v>
      </c>
      <c r="J93" s="19">
        <v>21000</v>
      </c>
      <c r="K93" s="19">
        <v>21000</v>
      </c>
      <c r="L93" s="19">
        <v>21000</v>
      </c>
      <c r="M93" s="19">
        <v>21000</v>
      </c>
      <c r="N93" s="19">
        <v>21000</v>
      </c>
      <c r="O93" s="19">
        <v>21000</v>
      </c>
      <c r="P93" s="19">
        <v>21000</v>
      </c>
      <c r="Q93" s="19">
        <v>21000</v>
      </c>
      <c r="R93" s="19">
        <v>21000</v>
      </c>
      <c r="S93" s="19">
        <v>21000</v>
      </c>
      <c r="T93" s="19">
        <v>21000</v>
      </c>
      <c r="U93" s="19">
        <v>21000</v>
      </c>
      <c r="V93" s="19">
        <v>21000</v>
      </c>
      <c r="W93" s="19">
        <v>21000</v>
      </c>
      <c r="X93" s="19">
        <v>21000</v>
      </c>
      <c r="Y93" s="19">
        <v>21000</v>
      </c>
      <c r="Z93" s="19">
        <v>21000</v>
      </c>
      <c r="AA93" s="19">
        <v>21000</v>
      </c>
      <c r="AB93" s="19">
        <v>21000</v>
      </c>
      <c r="AC93" s="19">
        <v>21000</v>
      </c>
      <c r="AD93" s="19">
        <v>21000</v>
      </c>
      <c r="AE93" s="19">
        <v>21000</v>
      </c>
      <c r="AF93" s="19">
        <v>21000</v>
      </c>
      <c r="AG93" s="19">
        <v>21000</v>
      </c>
      <c r="AH93" s="19">
        <v>21000</v>
      </c>
      <c r="AI93" s="19">
        <v>21000</v>
      </c>
      <c r="AJ93" s="19">
        <v>21000</v>
      </c>
      <c r="AK93" s="19">
        <v>21000</v>
      </c>
      <c r="AL93" s="19">
        <v>21000</v>
      </c>
      <c r="AM93" s="19">
        <v>21000</v>
      </c>
      <c r="AN93" s="19">
        <v>21000</v>
      </c>
      <c r="AO93" s="19">
        <v>21000</v>
      </c>
      <c r="AP93" s="19">
        <v>21000</v>
      </c>
      <c r="AQ93" s="19">
        <v>21000</v>
      </c>
      <c r="AR93" s="19">
        <v>21000</v>
      </c>
      <c r="AS93" s="19">
        <v>21000</v>
      </c>
      <c r="AT93" s="19">
        <v>21000</v>
      </c>
      <c r="AU93" s="19">
        <v>21000</v>
      </c>
      <c r="AV93" s="19">
        <v>21000</v>
      </c>
      <c r="AW93" s="19">
        <v>21000</v>
      </c>
      <c r="AX93" s="19">
        <v>21000</v>
      </c>
      <c r="AY93" s="19">
        <v>21000</v>
      </c>
      <c r="AZ93" s="19">
        <v>21000</v>
      </c>
      <c r="BA93" s="19">
        <v>21000</v>
      </c>
      <c r="BB93" s="19">
        <v>21000</v>
      </c>
      <c r="BC93" s="19">
        <v>21000</v>
      </c>
      <c r="BD93" s="19">
        <v>21000</v>
      </c>
      <c r="BE93" s="19">
        <v>21000</v>
      </c>
      <c r="BF93" s="19">
        <v>21000</v>
      </c>
      <c r="BG93" s="19">
        <v>21000</v>
      </c>
      <c r="BH93" s="19">
        <v>21000</v>
      </c>
      <c r="BI93" s="19">
        <v>21000</v>
      </c>
      <c r="BJ93" s="19">
        <v>21000</v>
      </c>
      <c r="BK93" s="19">
        <v>21000</v>
      </c>
      <c r="BL93" s="19">
        <v>21000</v>
      </c>
      <c r="BM93" s="19">
        <v>21000</v>
      </c>
      <c r="BN93" s="19">
        <v>21000</v>
      </c>
      <c r="BO93" s="19">
        <v>21000</v>
      </c>
      <c r="BP93" s="19">
        <v>0</v>
      </c>
      <c r="BQ93" s="19">
        <v>42000</v>
      </c>
      <c r="BR93" s="19">
        <v>21000</v>
      </c>
      <c r="BS93" s="19"/>
      <c r="BT93" s="19">
        <v>42000</v>
      </c>
      <c r="BU93" s="19">
        <v>21000</v>
      </c>
      <c r="BV93" s="19">
        <v>0</v>
      </c>
      <c r="BW93" s="19">
        <v>42000</v>
      </c>
      <c r="BX93" s="19">
        <v>0</v>
      </c>
      <c r="BY93" s="19">
        <v>42000</v>
      </c>
      <c r="BZ93" s="19">
        <v>0</v>
      </c>
      <c r="CA93" s="19">
        <v>42000</v>
      </c>
      <c r="CB93" s="19">
        <v>0</v>
      </c>
      <c r="CC93" s="19">
        <v>42000</v>
      </c>
      <c r="CD93" s="19">
        <v>0</v>
      </c>
      <c r="CE93" s="19">
        <v>0</v>
      </c>
      <c r="CF93" s="19">
        <v>63000</v>
      </c>
      <c r="CG93" s="19">
        <v>0</v>
      </c>
      <c r="CH93" s="19">
        <v>0</v>
      </c>
      <c r="CI93" s="19">
        <v>63000</v>
      </c>
      <c r="CJ93" s="19">
        <v>0</v>
      </c>
      <c r="CK93" s="19">
        <v>0</v>
      </c>
      <c r="CL93" s="19">
        <v>63000</v>
      </c>
      <c r="CM93" s="19">
        <v>0</v>
      </c>
      <c r="CN93" s="19">
        <v>0</v>
      </c>
      <c r="CO93" s="19">
        <v>63000</v>
      </c>
      <c r="CP93" s="19">
        <v>0</v>
      </c>
      <c r="CQ93" s="24">
        <v>0</v>
      </c>
      <c r="CR93" s="19">
        <v>0</v>
      </c>
      <c r="CS93" s="19">
        <v>42000</v>
      </c>
      <c r="CT93" s="19">
        <v>0</v>
      </c>
      <c r="CU93" s="19">
        <v>0</v>
      </c>
      <c r="CV93" s="19">
        <v>42000</v>
      </c>
      <c r="CW93" s="19">
        <v>0</v>
      </c>
      <c r="CX93" s="19">
        <v>0</v>
      </c>
      <c r="CY93" s="19">
        <v>42000</v>
      </c>
      <c r="CZ93" s="19">
        <v>0</v>
      </c>
      <c r="DA93" s="19">
        <v>0</v>
      </c>
      <c r="DB93" s="19">
        <v>63000</v>
      </c>
      <c r="DC93" s="19">
        <v>0</v>
      </c>
      <c r="DD93" s="19">
        <v>0</v>
      </c>
      <c r="DE93" s="19">
        <v>63000</v>
      </c>
      <c r="DF93" s="19">
        <v>0</v>
      </c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</row>
    <row r="94" spans="1:122" ht="15.75" customHeight="1" x14ac:dyDescent="0.3">
      <c r="A94" s="15">
        <v>88</v>
      </c>
      <c r="B94" s="16" t="s">
        <v>78</v>
      </c>
      <c r="C94" s="17">
        <v>21000</v>
      </c>
      <c r="D94" s="18">
        <f>Sheet3!C90</f>
        <v>103</v>
      </c>
      <c r="E94" s="19">
        <v>21000</v>
      </c>
      <c r="F94" s="19">
        <v>21000</v>
      </c>
      <c r="G94" s="19">
        <v>21000</v>
      </c>
      <c r="H94" s="19">
        <v>21000</v>
      </c>
      <c r="I94" s="19">
        <v>21000</v>
      </c>
      <c r="J94" s="19">
        <v>21000</v>
      </c>
      <c r="K94" s="19">
        <v>21000</v>
      </c>
      <c r="L94" s="19">
        <v>21000</v>
      </c>
      <c r="M94" s="19">
        <v>21000</v>
      </c>
      <c r="N94" s="19">
        <v>21000</v>
      </c>
      <c r="O94" s="19">
        <v>21000</v>
      </c>
      <c r="P94" s="19">
        <v>21000</v>
      </c>
      <c r="Q94" s="19">
        <v>21000</v>
      </c>
      <c r="R94" s="19">
        <v>21000</v>
      </c>
      <c r="S94" s="19">
        <v>21000</v>
      </c>
      <c r="T94" s="19">
        <v>21000</v>
      </c>
      <c r="U94" s="19">
        <v>21000</v>
      </c>
      <c r="V94" s="19">
        <v>21000</v>
      </c>
      <c r="W94" s="19">
        <v>21000</v>
      </c>
      <c r="X94" s="19">
        <v>21000</v>
      </c>
      <c r="Y94" s="19">
        <v>21000</v>
      </c>
      <c r="Z94" s="19">
        <v>21000</v>
      </c>
      <c r="AA94" s="19">
        <v>21000</v>
      </c>
      <c r="AB94" s="19">
        <v>0</v>
      </c>
      <c r="AC94" s="19">
        <v>42000</v>
      </c>
      <c r="AD94" s="19">
        <v>21000</v>
      </c>
      <c r="AE94" s="19">
        <v>0</v>
      </c>
      <c r="AF94" s="19">
        <v>42000</v>
      </c>
      <c r="AG94" s="19">
        <v>0</v>
      </c>
      <c r="AH94" s="19">
        <v>42000</v>
      </c>
      <c r="AI94" s="19">
        <v>0</v>
      </c>
      <c r="AJ94" s="19">
        <v>42000</v>
      </c>
      <c r="AK94" s="19">
        <v>0</v>
      </c>
      <c r="AL94" s="19">
        <v>42000</v>
      </c>
      <c r="AM94" s="19">
        <v>21000</v>
      </c>
      <c r="AN94" s="19">
        <v>21000</v>
      </c>
      <c r="AO94" s="19">
        <v>0</v>
      </c>
      <c r="AP94" s="19">
        <v>42000</v>
      </c>
      <c r="AQ94" s="19">
        <v>21000</v>
      </c>
      <c r="AR94" s="19">
        <v>0</v>
      </c>
      <c r="AS94" s="19">
        <v>21000</v>
      </c>
      <c r="AT94" s="19">
        <v>42000</v>
      </c>
      <c r="AU94" s="19">
        <v>0</v>
      </c>
      <c r="AV94" s="19">
        <v>42000</v>
      </c>
      <c r="AW94" s="19">
        <v>0</v>
      </c>
      <c r="AX94" s="19">
        <v>42000</v>
      </c>
      <c r="AY94" s="19">
        <v>21000</v>
      </c>
      <c r="AZ94" s="19">
        <v>21000</v>
      </c>
      <c r="BA94" s="19">
        <v>21000</v>
      </c>
      <c r="BB94" s="19">
        <v>21000</v>
      </c>
      <c r="BC94" s="19">
        <v>21000</v>
      </c>
      <c r="BD94" s="19">
        <v>21000</v>
      </c>
      <c r="BE94" s="19">
        <v>0</v>
      </c>
      <c r="BF94" s="19">
        <v>21000</v>
      </c>
      <c r="BG94" s="19">
        <v>21000</v>
      </c>
      <c r="BH94" s="19">
        <v>0</v>
      </c>
      <c r="BI94" s="19">
        <v>63000</v>
      </c>
      <c r="BJ94" s="19">
        <v>0</v>
      </c>
      <c r="BK94" s="19">
        <v>21000</v>
      </c>
      <c r="BL94" s="19">
        <v>21000</v>
      </c>
      <c r="BM94" s="19">
        <v>21000</v>
      </c>
      <c r="BN94" s="19">
        <v>0</v>
      </c>
      <c r="BO94" s="19">
        <v>21000</v>
      </c>
      <c r="BP94" s="19">
        <v>0</v>
      </c>
      <c r="BQ94" s="19">
        <v>42000</v>
      </c>
      <c r="BR94" s="19">
        <v>21000</v>
      </c>
      <c r="BS94" s="19">
        <v>21000</v>
      </c>
      <c r="BT94" s="19">
        <v>42000</v>
      </c>
      <c r="BU94" s="19">
        <v>21000</v>
      </c>
      <c r="BV94" s="19">
        <v>0</v>
      </c>
      <c r="BW94" s="19">
        <v>0</v>
      </c>
      <c r="BX94" s="19">
        <v>63000</v>
      </c>
      <c r="BY94" s="19">
        <v>0</v>
      </c>
      <c r="BZ94" s="19">
        <v>0</v>
      </c>
      <c r="CA94" s="19">
        <v>42000</v>
      </c>
      <c r="CB94" s="19">
        <v>21000</v>
      </c>
      <c r="CC94" s="19">
        <v>0</v>
      </c>
      <c r="CD94" s="19">
        <v>42000</v>
      </c>
      <c r="CE94" s="19">
        <v>0</v>
      </c>
      <c r="CF94" s="19">
        <v>0</v>
      </c>
      <c r="CG94" s="19">
        <v>0</v>
      </c>
      <c r="CH94" s="19">
        <v>84000</v>
      </c>
      <c r="CI94" s="19">
        <v>63000</v>
      </c>
      <c r="CJ94" s="19">
        <v>0</v>
      </c>
      <c r="CK94" s="19">
        <v>42000</v>
      </c>
      <c r="CL94" s="19">
        <v>0</v>
      </c>
      <c r="CM94" s="19">
        <v>0</v>
      </c>
      <c r="CN94" s="19">
        <v>63000</v>
      </c>
      <c r="CO94" s="19">
        <v>21000</v>
      </c>
      <c r="CP94" s="19">
        <v>21000</v>
      </c>
      <c r="CQ94" s="24">
        <v>21000</v>
      </c>
      <c r="CR94" s="19">
        <v>0</v>
      </c>
      <c r="CS94" s="19">
        <v>42000</v>
      </c>
      <c r="CT94" s="19">
        <v>21000</v>
      </c>
      <c r="CU94" s="19">
        <v>0</v>
      </c>
      <c r="CV94" s="19">
        <v>0</v>
      </c>
      <c r="CW94" s="19">
        <v>0</v>
      </c>
      <c r="CX94" s="19">
        <v>0</v>
      </c>
      <c r="CY94" s="19">
        <v>0</v>
      </c>
      <c r="CZ94" s="19">
        <v>0</v>
      </c>
      <c r="DA94" s="19">
        <v>63000</v>
      </c>
      <c r="DB94" s="19">
        <v>84000</v>
      </c>
      <c r="DC94" s="19">
        <v>0</v>
      </c>
      <c r="DD94" s="19">
        <v>0</v>
      </c>
      <c r="DE94" s="19">
        <v>0</v>
      </c>
      <c r="DF94" s="19">
        <v>0</v>
      </c>
      <c r="DG94" s="19">
        <v>42000</v>
      </c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</row>
    <row r="95" spans="1:122" ht="15.75" customHeight="1" x14ac:dyDescent="0.3">
      <c r="A95" s="15">
        <v>89</v>
      </c>
      <c r="B95" s="16" t="s">
        <v>79</v>
      </c>
      <c r="C95" s="17">
        <v>21000</v>
      </c>
      <c r="D95" s="18">
        <f>Sheet3!C91</f>
        <v>108</v>
      </c>
      <c r="E95" s="19">
        <v>21000</v>
      </c>
      <c r="F95" s="19">
        <v>21000</v>
      </c>
      <c r="G95" s="19">
        <v>21000</v>
      </c>
      <c r="H95" s="19">
        <v>21000</v>
      </c>
      <c r="I95" s="19">
        <v>21000</v>
      </c>
      <c r="J95" s="19">
        <v>21000</v>
      </c>
      <c r="K95" s="19">
        <v>21000</v>
      </c>
      <c r="L95" s="19">
        <v>21000</v>
      </c>
      <c r="M95" s="19">
        <v>21000</v>
      </c>
      <c r="N95" s="19">
        <v>21000</v>
      </c>
      <c r="O95" s="19">
        <v>21000</v>
      </c>
      <c r="P95" s="19">
        <v>21000</v>
      </c>
      <c r="Q95" s="19">
        <v>21000</v>
      </c>
      <c r="R95" s="19">
        <v>21000</v>
      </c>
      <c r="S95" s="19">
        <v>21000</v>
      </c>
      <c r="T95" s="19">
        <v>21000</v>
      </c>
      <c r="U95" s="19">
        <v>21000</v>
      </c>
      <c r="V95" s="19">
        <v>21000</v>
      </c>
      <c r="W95" s="19">
        <v>21000</v>
      </c>
      <c r="X95" s="19">
        <v>21000</v>
      </c>
      <c r="Y95" s="19">
        <v>21000</v>
      </c>
      <c r="Z95" s="19">
        <v>21000</v>
      </c>
      <c r="AA95" s="19">
        <v>21000</v>
      </c>
      <c r="AB95" s="19">
        <v>21000</v>
      </c>
      <c r="AC95" s="19">
        <v>21000</v>
      </c>
      <c r="AD95" s="19">
        <v>21000</v>
      </c>
      <c r="AE95" s="19">
        <v>21000</v>
      </c>
      <c r="AF95" s="19">
        <v>21000</v>
      </c>
      <c r="AG95" s="19">
        <v>21000</v>
      </c>
      <c r="AH95" s="19">
        <v>21000</v>
      </c>
      <c r="AI95" s="19">
        <v>21000</v>
      </c>
      <c r="AJ95" s="19">
        <v>21000</v>
      </c>
      <c r="AK95" s="19">
        <v>21000</v>
      </c>
      <c r="AL95" s="19">
        <v>21000</v>
      </c>
      <c r="AM95" s="19">
        <v>21000</v>
      </c>
      <c r="AN95" s="19">
        <v>21000</v>
      </c>
      <c r="AO95" s="19">
        <v>21000</v>
      </c>
      <c r="AP95" s="19">
        <v>21000</v>
      </c>
      <c r="AQ95" s="19">
        <v>21000</v>
      </c>
      <c r="AR95" s="19">
        <v>21000</v>
      </c>
      <c r="AS95" s="19">
        <v>21000</v>
      </c>
      <c r="AT95" s="19">
        <v>21000</v>
      </c>
      <c r="AU95" s="19">
        <v>21000</v>
      </c>
      <c r="AV95" s="19">
        <v>21000</v>
      </c>
      <c r="AW95" s="19">
        <v>21000</v>
      </c>
      <c r="AX95" s="19">
        <v>21000</v>
      </c>
      <c r="AY95" s="19">
        <v>21000</v>
      </c>
      <c r="AZ95" s="19">
        <v>21000</v>
      </c>
      <c r="BA95" s="19">
        <v>21000</v>
      </c>
      <c r="BB95" s="19">
        <v>21000</v>
      </c>
      <c r="BC95" s="19">
        <v>21000</v>
      </c>
      <c r="BD95" s="19">
        <v>21000</v>
      </c>
      <c r="BE95" s="19">
        <v>21000</v>
      </c>
      <c r="BF95" s="19">
        <v>21000</v>
      </c>
      <c r="BG95" s="19">
        <v>21000</v>
      </c>
      <c r="BH95" s="19">
        <v>21000</v>
      </c>
      <c r="BI95" s="19">
        <v>21000</v>
      </c>
      <c r="BJ95" s="19">
        <v>21000</v>
      </c>
      <c r="BK95" s="19">
        <v>21000</v>
      </c>
      <c r="BL95" s="19">
        <v>21000</v>
      </c>
      <c r="BM95" s="19">
        <v>21000</v>
      </c>
      <c r="BN95" s="19">
        <v>0</v>
      </c>
      <c r="BO95" s="19">
        <v>42000</v>
      </c>
      <c r="BP95" s="19">
        <v>21000</v>
      </c>
      <c r="BQ95" s="19">
        <v>21000</v>
      </c>
      <c r="BR95" s="19">
        <v>21000</v>
      </c>
      <c r="BS95" s="19">
        <v>21000</v>
      </c>
      <c r="BT95" s="19">
        <v>21000</v>
      </c>
      <c r="BU95" s="19">
        <v>21000</v>
      </c>
      <c r="BV95" s="19">
        <v>21000</v>
      </c>
      <c r="BW95" s="19">
        <v>21000</v>
      </c>
      <c r="BX95" s="19">
        <v>21000</v>
      </c>
      <c r="BY95" s="19">
        <v>21000</v>
      </c>
      <c r="BZ95" s="19">
        <v>21000</v>
      </c>
      <c r="CA95" s="19">
        <v>21000</v>
      </c>
      <c r="CB95" s="19">
        <v>21000</v>
      </c>
      <c r="CC95" s="19">
        <v>21000</v>
      </c>
      <c r="CD95" s="19">
        <v>21000</v>
      </c>
      <c r="CE95" s="19">
        <v>0</v>
      </c>
      <c r="CF95" s="19">
        <v>42000</v>
      </c>
      <c r="CG95" s="19">
        <v>21000</v>
      </c>
      <c r="CH95" s="19">
        <v>0</v>
      </c>
      <c r="CI95" s="19">
        <v>42000</v>
      </c>
      <c r="CJ95" s="19">
        <v>0</v>
      </c>
      <c r="CK95" s="19">
        <v>42000</v>
      </c>
      <c r="CL95" s="19">
        <v>21000</v>
      </c>
      <c r="CM95" s="19">
        <v>0</v>
      </c>
      <c r="CN95" s="19">
        <v>42000</v>
      </c>
      <c r="CO95" s="19">
        <v>21000</v>
      </c>
      <c r="CP95" s="19">
        <v>21000</v>
      </c>
      <c r="CQ95" s="24">
        <v>0</v>
      </c>
      <c r="CR95" s="19">
        <v>0</v>
      </c>
      <c r="CS95" s="19">
        <v>63000</v>
      </c>
      <c r="CT95" s="19">
        <v>21000</v>
      </c>
      <c r="CU95" s="19">
        <v>0</v>
      </c>
      <c r="CV95" s="19">
        <v>42000</v>
      </c>
      <c r="CW95" s="19">
        <v>21000</v>
      </c>
      <c r="CX95" s="19">
        <v>21000</v>
      </c>
      <c r="CY95" s="19">
        <v>0</v>
      </c>
      <c r="CZ95" s="19">
        <v>42000</v>
      </c>
      <c r="DA95" s="19">
        <v>0</v>
      </c>
      <c r="DB95" s="19">
        <v>42000</v>
      </c>
      <c r="DC95" s="19">
        <v>21000</v>
      </c>
      <c r="DD95" s="19">
        <v>21000</v>
      </c>
      <c r="DE95" s="19">
        <v>21000</v>
      </c>
      <c r="DF95" s="19">
        <v>21000</v>
      </c>
      <c r="DG95" s="19">
        <v>21000</v>
      </c>
      <c r="DH95" s="19">
        <v>21000</v>
      </c>
      <c r="DI95" s="19"/>
      <c r="DJ95" s="19"/>
      <c r="DK95" s="19"/>
      <c r="DL95" s="19"/>
      <c r="DM95" s="19"/>
      <c r="DN95" s="19"/>
      <c r="DO95" s="19"/>
      <c r="DP95" s="19"/>
      <c r="DQ95" s="19"/>
      <c r="DR95" s="19"/>
    </row>
    <row r="96" spans="1:122" ht="15.75" customHeight="1" x14ac:dyDescent="0.3">
      <c r="A96" s="15">
        <v>90</v>
      </c>
      <c r="B96" s="16" t="s">
        <v>80</v>
      </c>
      <c r="C96" s="17">
        <v>21000</v>
      </c>
      <c r="D96" s="18">
        <f>Sheet3!C92</f>
        <v>104</v>
      </c>
      <c r="E96" s="19">
        <v>21000</v>
      </c>
      <c r="F96" s="19">
        <v>21000</v>
      </c>
      <c r="G96" s="19">
        <v>21000</v>
      </c>
      <c r="H96" s="19">
        <v>21000</v>
      </c>
      <c r="I96" s="19">
        <v>21000</v>
      </c>
      <c r="J96" s="19">
        <v>21000</v>
      </c>
      <c r="K96" s="19">
        <v>21000</v>
      </c>
      <c r="L96" s="19">
        <v>21000</v>
      </c>
      <c r="M96" s="19">
        <v>21000</v>
      </c>
      <c r="N96" s="19">
        <v>21000</v>
      </c>
      <c r="O96" s="19">
        <v>21000</v>
      </c>
      <c r="P96" s="19">
        <v>21000</v>
      </c>
      <c r="Q96" s="19">
        <v>21000</v>
      </c>
      <c r="R96" s="19">
        <v>21000</v>
      </c>
      <c r="S96" s="19">
        <v>21000</v>
      </c>
      <c r="T96" s="19">
        <v>21000</v>
      </c>
      <c r="U96" s="19">
        <v>21000</v>
      </c>
      <c r="V96" s="19">
        <v>21000</v>
      </c>
      <c r="W96" s="19">
        <v>21000</v>
      </c>
      <c r="X96" s="19">
        <v>21000</v>
      </c>
      <c r="Y96" s="19">
        <v>21000</v>
      </c>
      <c r="Z96" s="19">
        <v>21000</v>
      </c>
      <c r="AA96" s="19">
        <v>21000</v>
      </c>
      <c r="AB96" s="19">
        <v>0</v>
      </c>
      <c r="AC96" s="19">
        <v>42000</v>
      </c>
      <c r="AD96" s="19">
        <v>21000</v>
      </c>
      <c r="AE96" s="19">
        <v>21000</v>
      </c>
      <c r="AF96" s="19">
        <v>21000</v>
      </c>
      <c r="AG96" s="19">
        <v>21000</v>
      </c>
      <c r="AH96" s="19">
        <v>21000</v>
      </c>
      <c r="AI96" s="19">
        <v>21000</v>
      </c>
      <c r="AJ96" s="19">
        <v>21000</v>
      </c>
      <c r="AK96" s="19">
        <v>21000</v>
      </c>
      <c r="AL96" s="19">
        <v>21000</v>
      </c>
      <c r="AM96" s="19">
        <v>21000</v>
      </c>
      <c r="AN96" s="19">
        <v>21000</v>
      </c>
      <c r="AO96" s="19">
        <v>21000</v>
      </c>
      <c r="AP96" s="19">
        <v>21000</v>
      </c>
      <c r="AQ96" s="19">
        <v>21000</v>
      </c>
      <c r="AR96" s="19">
        <v>21000</v>
      </c>
      <c r="AS96" s="19">
        <v>21000</v>
      </c>
      <c r="AT96" s="19">
        <v>21000</v>
      </c>
      <c r="AU96" s="19">
        <v>21000</v>
      </c>
      <c r="AV96" s="19">
        <v>21000</v>
      </c>
      <c r="AW96" s="19">
        <v>21000</v>
      </c>
      <c r="AX96" s="19">
        <v>21000</v>
      </c>
      <c r="AY96" s="19">
        <v>21000</v>
      </c>
      <c r="AZ96" s="19">
        <v>0</v>
      </c>
      <c r="BA96" s="19">
        <v>42000</v>
      </c>
      <c r="BB96" s="19">
        <v>21000</v>
      </c>
      <c r="BC96" s="19">
        <v>21000</v>
      </c>
      <c r="BD96" s="19">
        <v>0</v>
      </c>
      <c r="BE96" s="19">
        <v>42000</v>
      </c>
      <c r="BF96" s="19">
        <v>21000</v>
      </c>
      <c r="BG96" s="19">
        <v>21000</v>
      </c>
      <c r="BH96" s="19">
        <v>21000</v>
      </c>
      <c r="BI96" s="19">
        <v>21000</v>
      </c>
      <c r="BJ96" s="19">
        <v>0</v>
      </c>
      <c r="BK96" s="19">
        <v>42000</v>
      </c>
      <c r="BL96" s="19">
        <v>21000</v>
      </c>
      <c r="BM96" s="19">
        <v>21000</v>
      </c>
      <c r="BN96" s="19">
        <v>0</v>
      </c>
      <c r="BO96" s="19">
        <v>21000</v>
      </c>
      <c r="BP96" s="19">
        <v>42000</v>
      </c>
      <c r="BQ96" s="19">
        <v>0</v>
      </c>
      <c r="BR96" s="19">
        <v>42000</v>
      </c>
      <c r="BS96" s="19">
        <v>0</v>
      </c>
      <c r="BT96" s="19">
        <v>42000</v>
      </c>
      <c r="BU96" s="19">
        <v>21000</v>
      </c>
      <c r="BV96" s="19">
        <v>0</v>
      </c>
      <c r="BW96" s="19">
        <v>21000</v>
      </c>
      <c r="BX96" s="19">
        <v>21000</v>
      </c>
      <c r="BY96" s="19">
        <v>21000</v>
      </c>
      <c r="BZ96" s="19">
        <v>0</v>
      </c>
      <c r="CA96" s="19">
        <v>42000</v>
      </c>
      <c r="CB96" s="19">
        <v>0</v>
      </c>
      <c r="CC96" s="19">
        <v>21000</v>
      </c>
      <c r="CD96" s="19">
        <v>21000</v>
      </c>
      <c r="CE96" s="19">
        <v>21000</v>
      </c>
      <c r="CF96" s="19">
        <v>42000</v>
      </c>
      <c r="CG96" s="19">
        <v>21000</v>
      </c>
      <c r="CH96" s="19">
        <v>21000</v>
      </c>
      <c r="CI96" s="19">
        <v>21000</v>
      </c>
      <c r="CJ96" s="19">
        <v>0</v>
      </c>
      <c r="CK96" s="19">
        <v>0</v>
      </c>
      <c r="CL96" s="19">
        <v>42000</v>
      </c>
      <c r="CM96" s="19">
        <v>0</v>
      </c>
      <c r="CN96" s="19">
        <v>42000</v>
      </c>
      <c r="CO96" s="19">
        <v>42000</v>
      </c>
      <c r="CP96" s="19">
        <v>21000</v>
      </c>
      <c r="CQ96" s="24">
        <v>0</v>
      </c>
      <c r="CR96" s="19">
        <v>0</v>
      </c>
      <c r="CS96" s="19">
        <v>42000</v>
      </c>
      <c r="CT96" s="19">
        <v>21000</v>
      </c>
      <c r="CU96" s="19">
        <v>0</v>
      </c>
      <c r="CV96" s="19">
        <v>42000</v>
      </c>
      <c r="CW96" s="19">
        <v>0</v>
      </c>
      <c r="CX96" s="19">
        <v>21000</v>
      </c>
      <c r="CY96" s="19">
        <v>21000</v>
      </c>
      <c r="CZ96" s="19">
        <v>0</v>
      </c>
      <c r="DA96" s="19">
        <v>0</v>
      </c>
      <c r="DB96" s="19">
        <v>42000</v>
      </c>
      <c r="DC96" s="19">
        <v>0</v>
      </c>
      <c r="DD96" s="19">
        <v>21000</v>
      </c>
      <c r="DE96" s="19">
        <v>42000</v>
      </c>
      <c r="DF96" s="19">
        <v>0</v>
      </c>
      <c r="DG96" s="19">
        <v>42000</v>
      </c>
      <c r="DH96" s="19">
        <v>21000</v>
      </c>
      <c r="DI96" s="19"/>
      <c r="DJ96" s="19"/>
      <c r="DK96" s="19"/>
      <c r="DL96" s="19"/>
      <c r="DM96" s="19"/>
      <c r="DN96" s="19"/>
      <c r="DO96" s="19"/>
      <c r="DP96" s="19"/>
      <c r="DQ96" s="19"/>
      <c r="DR96" s="19"/>
    </row>
    <row r="97" spans="1:122" ht="15.75" customHeight="1" x14ac:dyDescent="0.3">
      <c r="A97" s="15">
        <v>91</v>
      </c>
      <c r="B97" s="16" t="s">
        <v>81</v>
      </c>
      <c r="C97" s="17">
        <v>21000</v>
      </c>
      <c r="D97" s="18">
        <f>Sheet3!C93</f>
        <v>104</v>
      </c>
      <c r="E97" s="19">
        <v>21000</v>
      </c>
      <c r="F97" s="19">
        <v>21000</v>
      </c>
      <c r="G97" s="19">
        <v>21000</v>
      </c>
      <c r="H97" s="19">
        <v>21000</v>
      </c>
      <c r="I97" s="19">
        <v>21000</v>
      </c>
      <c r="J97" s="19">
        <v>21000</v>
      </c>
      <c r="K97" s="19">
        <v>21000</v>
      </c>
      <c r="L97" s="19">
        <v>21000</v>
      </c>
      <c r="M97" s="19">
        <v>21000</v>
      </c>
      <c r="N97" s="19">
        <v>21000</v>
      </c>
      <c r="O97" s="19">
        <v>21000</v>
      </c>
      <c r="P97" s="19">
        <v>21000</v>
      </c>
      <c r="Q97" s="19">
        <v>21000</v>
      </c>
      <c r="R97" s="19">
        <v>21000</v>
      </c>
      <c r="S97" s="19">
        <v>21000</v>
      </c>
      <c r="T97" s="19">
        <v>21000</v>
      </c>
      <c r="U97" s="19">
        <v>21000</v>
      </c>
      <c r="V97" s="19">
        <v>21000</v>
      </c>
      <c r="W97" s="19">
        <v>21000</v>
      </c>
      <c r="X97" s="19">
        <v>0</v>
      </c>
      <c r="Y97" s="19">
        <v>21000</v>
      </c>
      <c r="Z97" s="19">
        <v>21000</v>
      </c>
      <c r="AA97" s="19">
        <v>21000</v>
      </c>
      <c r="AB97" s="19">
        <v>0</v>
      </c>
      <c r="AC97" s="19">
        <v>42000</v>
      </c>
      <c r="AD97" s="19">
        <v>21000</v>
      </c>
      <c r="AE97" s="19">
        <v>21000</v>
      </c>
      <c r="AF97" s="19">
        <v>42000</v>
      </c>
      <c r="AG97" s="19">
        <v>21000</v>
      </c>
      <c r="AH97" s="19">
        <v>21000</v>
      </c>
      <c r="AI97" s="19">
        <v>21000</v>
      </c>
      <c r="AJ97" s="19">
        <v>21000</v>
      </c>
      <c r="AK97" s="19">
        <v>21000</v>
      </c>
      <c r="AL97" s="19">
        <v>21000</v>
      </c>
      <c r="AM97" s="19">
        <v>21000</v>
      </c>
      <c r="AN97" s="19">
        <v>0</v>
      </c>
      <c r="AO97" s="19">
        <v>42000</v>
      </c>
      <c r="AP97" s="19">
        <v>21000</v>
      </c>
      <c r="AQ97" s="19">
        <v>21000</v>
      </c>
      <c r="AR97" s="19">
        <v>21000</v>
      </c>
      <c r="AS97" s="19">
        <v>21000</v>
      </c>
      <c r="AT97" s="19">
        <v>21000</v>
      </c>
      <c r="AU97" s="19">
        <v>21000</v>
      </c>
      <c r="AV97" s="19">
        <v>21000</v>
      </c>
      <c r="AW97" s="19">
        <v>21000</v>
      </c>
      <c r="AX97" s="19">
        <v>0</v>
      </c>
      <c r="AY97" s="19">
        <v>42000</v>
      </c>
      <c r="AZ97" s="19">
        <v>21000</v>
      </c>
      <c r="BA97" s="19">
        <v>21000</v>
      </c>
      <c r="BB97" s="19">
        <v>21000</v>
      </c>
      <c r="BC97" s="19">
        <v>21000</v>
      </c>
      <c r="BD97" s="19">
        <v>21000</v>
      </c>
      <c r="BE97" s="19">
        <v>21000</v>
      </c>
      <c r="BF97" s="19">
        <v>21000</v>
      </c>
      <c r="BG97" s="19">
        <v>0</v>
      </c>
      <c r="BH97" s="19">
        <v>0</v>
      </c>
      <c r="BI97" s="19">
        <v>63000</v>
      </c>
      <c r="BJ97" s="19">
        <v>21000</v>
      </c>
      <c r="BK97" s="19">
        <v>21000</v>
      </c>
      <c r="BL97" s="19">
        <v>0</v>
      </c>
      <c r="BM97" s="19">
        <v>42000</v>
      </c>
      <c r="BN97" s="19">
        <v>0</v>
      </c>
      <c r="BO97" s="19">
        <v>42000</v>
      </c>
      <c r="BP97" s="19">
        <v>21000</v>
      </c>
      <c r="BQ97" s="19">
        <v>21000</v>
      </c>
      <c r="BR97" s="19">
        <v>0</v>
      </c>
      <c r="BS97" s="19">
        <v>42000</v>
      </c>
      <c r="BT97" s="19">
        <v>21000</v>
      </c>
      <c r="BU97" s="19">
        <v>21000</v>
      </c>
      <c r="BV97" s="19">
        <v>0</v>
      </c>
      <c r="BW97" s="19">
        <v>42000</v>
      </c>
      <c r="BX97" s="19">
        <v>0</v>
      </c>
      <c r="BY97" s="19">
        <v>42000</v>
      </c>
      <c r="BZ97" s="19">
        <v>0</v>
      </c>
      <c r="CA97" s="19">
        <v>21000</v>
      </c>
      <c r="CB97" s="19">
        <v>42000</v>
      </c>
      <c r="CC97" s="19">
        <v>21000</v>
      </c>
      <c r="CD97" s="19">
        <v>21000</v>
      </c>
      <c r="CE97" s="19">
        <v>0</v>
      </c>
      <c r="CF97" s="19">
        <v>42000</v>
      </c>
      <c r="CG97" s="19">
        <v>21000</v>
      </c>
      <c r="CH97" s="19">
        <v>0</v>
      </c>
      <c r="CI97" s="19">
        <v>21000</v>
      </c>
      <c r="CJ97" s="19">
        <v>0</v>
      </c>
      <c r="CK97" s="19">
        <v>42000</v>
      </c>
      <c r="CL97" s="19">
        <v>21000</v>
      </c>
      <c r="CM97" s="19">
        <v>0</v>
      </c>
      <c r="CN97" s="19">
        <v>42000</v>
      </c>
      <c r="CO97" s="19">
        <v>0</v>
      </c>
      <c r="CP97" s="19">
        <v>42000</v>
      </c>
      <c r="CQ97" s="24">
        <v>0</v>
      </c>
      <c r="CR97" s="19">
        <v>0</v>
      </c>
      <c r="CS97" s="19">
        <v>63000</v>
      </c>
      <c r="CT97" s="19">
        <v>0</v>
      </c>
      <c r="CU97" s="19">
        <v>0</v>
      </c>
      <c r="CV97" s="19">
        <v>21000</v>
      </c>
      <c r="CW97" s="19">
        <v>42000</v>
      </c>
      <c r="CX97" s="19">
        <v>0</v>
      </c>
      <c r="CY97" s="19">
        <v>0</v>
      </c>
      <c r="CZ97" s="19">
        <v>42000</v>
      </c>
      <c r="DA97" s="19">
        <v>21000</v>
      </c>
      <c r="DB97" s="19">
        <v>21000</v>
      </c>
      <c r="DC97" s="19">
        <v>0</v>
      </c>
      <c r="DD97" s="19">
        <v>42000</v>
      </c>
      <c r="DE97" s="19">
        <v>0</v>
      </c>
      <c r="DF97" s="19">
        <v>0</v>
      </c>
      <c r="DG97" s="19">
        <v>42000</v>
      </c>
      <c r="DH97" s="19">
        <v>21000</v>
      </c>
      <c r="DI97" s="19"/>
      <c r="DJ97" s="19"/>
      <c r="DK97" s="19"/>
      <c r="DL97" s="19"/>
      <c r="DM97" s="19"/>
      <c r="DN97" s="19"/>
      <c r="DO97" s="19"/>
      <c r="DP97" s="19"/>
      <c r="DQ97" s="19"/>
      <c r="DR97" s="19"/>
    </row>
    <row r="98" spans="1:122" ht="15.75" customHeight="1" x14ac:dyDescent="0.3">
      <c r="A98" s="15">
        <v>92</v>
      </c>
      <c r="B98" s="16" t="s">
        <v>82</v>
      </c>
      <c r="C98" s="17">
        <v>21000</v>
      </c>
      <c r="D98" s="18">
        <f>Sheet3!C94</f>
        <v>102</v>
      </c>
      <c r="E98" s="19">
        <v>21000</v>
      </c>
      <c r="F98" s="19">
        <v>21000</v>
      </c>
      <c r="G98" s="19">
        <v>21000</v>
      </c>
      <c r="H98" s="19">
        <v>21000</v>
      </c>
      <c r="I98" s="19">
        <v>21000</v>
      </c>
      <c r="J98" s="19">
        <v>21000</v>
      </c>
      <c r="K98" s="19">
        <v>21000</v>
      </c>
      <c r="L98" s="19">
        <v>21000</v>
      </c>
      <c r="M98" s="19">
        <v>21000</v>
      </c>
      <c r="N98" s="19">
        <v>21000</v>
      </c>
      <c r="O98" s="19">
        <v>21000</v>
      </c>
      <c r="P98" s="19">
        <v>21000</v>
      </c>
      <c r="Q98" s="19">
        <v>21000</v>
      </c>
      <c r="R98" s="19">
        <v>21000</v>
      </c>
      <c r="S98" s="19">
        <v>21000</v>
      </c>
      <c r="T98" s="19">
        <v>21000</v>
      </c>
      <c r="U98" s="19">
        <v>21000</v>
      </c>
      <c r="V98" s="19">
        <v>21000</v>
      </c>
      <c r="W98" s="19">
        <v>21000</v>
      </c>
      <c r="X98" s="19">
        <v>21000</v>
      </c>
      <c r="Y98" s="19">
        <v>21000</v>
      </c>
      <c r="Z98" s="19">
        <v>21000</v>
      </c>
      <c r="AA98" s="19">
        <v>21000</v>
      </c>
      <c r="AB98" s="19">
        <v>0</v>
      </c>
      <c r="AC98" s="19">
        <v>42000</v>
      </c>
      <c r="AD98" s="19">
        <v>21000</v>
      </c>
      <c r="AE98" s="19">
        <v>21000</v>
      </c>
      <c r="AF98" s="19">
        <v>0</v>
      </c>
      <c r="AG98" s="19">
        <v>42000</v>
      </c>
      <c r="AH98" s="19">
        <v>21000</v>
      </c>
      <c r="AI98" s="19">
        <v>0</v>
      </c>
      <c r="AJ98" s="19">
        <v>0</v>
      </c>
      <c r="AK98" s="19">
        <v>42000</v>
      </c>
      <c r="AL98" s="19">
        <v>42000</v>
      </c>
      <c r="AM98" s="19">
        <v>0</v>
      </c>
      <c r="AN98" s="19">
        <v>21000</v>
      </c>
      <c r="AO98" s="19">
        <v>21000</v>
      </c>
      <c r="AP98" s="19">
        <v>21000</v>
      </c>
      <c r="AQ98" s="19">
        <v>21000</v>
      </c>
      <c r="AR98" s="19">
        <v>21000</v>
      </c>
      <c r="AS98" s="19">
        <v>21000</v>
      </c>
      <c r="AT98" s="19">
        <v>21000</v>
      </c>
      <c r="AU98" s="19">
        <v>21000</v>
      </c>
      <c r="AV98" s="19">
        <v>21000</v>
      </c>
      <c r="AW98" s="19">
        <v>21000</v>
      </c>
      <c r="AX98" s="19">
        <v>21000</v>
      </c>
      <c r="AY98" s="19">
        <v>21000</v>
      </c>
      <c r="AZ98" s="19">
        <v>0</v>
      </c>
      <c r="BA98" s="19">
        <v>42000</v>
      </c>
      <c r="BB98" s="19">
        <v>21000</v>
      </c>
      <c r="BC98" s="19">
        <v>21000</v>
      </c>
      <c r="BD98" s="19">
        <v>0</v>
      </c>
      <c r="BE98" s="19">
        <v>21000</v>
      </c>
      <c r="BF98" s="19">
        <v>42000</v>
      </c>
      <c r="BG98" s="19">
        <v>21000</v>
      </c>
      <c r="BH98" s="19">
        <v>0</v>
      </c>
      <c r="BI98" s="19">
        <v>21000</v>
      </c>
      <c r="BJ98" s="19">
        <v>42000</v>
      </c>
      <c r="BK98" s="19">
        <v>21000</v>
      </c>
      <c r="BL98" s="19">
        <v>0</v>
      </c>
      <c r="BM98" s="19">
        <v>21000</v>
      </c>
      <c r="BN98" s="19">
        <v>0</v>
      </c>
      <c r="BO98" s="19">
        <v>42000</v>
      </c>
      <c r="BP98" s="19">
        <v>0</v>
      </c>
      <c r="BQ98" s="19">
        <v>42000</v>
      </c>
      <c r="BR98" s="19">
        <v>21000</v>
      </c>
      <c r="BS98" s="19">
        <v>0</v>
      </c>
      <c r="BT98" s="19">
        <v>42000</v>
      </c>
      <c r="BU98" s="19">
        <v>21000</v>
      </c>
      <c r="BV98" s="19">
        <v>0</v>
      </c>
      <c r="BW98" s="19">
        <v>0</v>
      </c>
      <c r="BX98" s="19">
        <v>21000</v>
      </c>
      <c r="BY98" s="19">
        <v>21000</v>
      </c>
      <c r="BZ98" s="19">
        <v>0</v>
      </c>
      <c r="CA98" s="19">
        <v>84000</v>
      </c>
      <c r="CB98" s="19">
        <v>21000</v>
      </c>
      <c r="CC98" s="19">
        <v>21000</v>
      </c>
      <c r="CD98" s="19">
        <v>0</v>
      </c>
      <c r="CE98" s="19">
        <v>0</v>
      </c>
      <c r="CF98" s="19">
        <v>42000</v>
      </c>
      <c r="CG98" s="19">
        <v>21000</v>
      </c>
      <c r="CH98" s="19">
        <v>21000</v>
      </c>
      <c r="CI98" s="19">
        <v>21000</v>
      </c>
      <c r="CJ98" s="19">
        <v>0</v>
      </c>
      <c r="CK98" s="19">
        <v>42000</v>
      </c>
      <c r="CL98" s="19">
        <v>21000</v>
      </c>
      <c r="CM98" s="19">
        <v>21000</v>
      </c>
      <c r="CN98" s="19">
        <v>21000</v>
      </c>
      <c r="CO98" s="19">
        <v>0</v>
      </c>
      <c r="CP98" s="19">
        <v>21000</v>
      </c>
      <c r="CQ98" s="24">
        <v>0</v>
      </c>
      <c r="CR98" s="19">
        <v>0</v>
      </c>
      <c r="CS98" s="19">
        <v>42000</v>
      </c>
      <c r="CT98" s="19">
        <v>21000</v>
      </c>
      <c r="CU98" s="19">
        <v>21000</v>
      </c>
      <c r="CV98" s="19">
        <v>21000</v>
      </c>
      <c r="CW98" s="19">
        <v>21000</v>
      </c>
      <c r="CX98" s="19">
        <v>21000</v>
      </c>
      <c r="CY98" s="19">
        <v>21000</v>
      </c>
      <c r="CZ98" s="19">
        <v>0</v>
      </c>
      <c r="DA98" s="19">
        <v>42000</v>
      </c>
      <c r="DB98" s="19">
        <v>21000</v>
      </c>
      <c r="DC98" s="19">
        <v>21000</v>
      </c>
      <c r="DD98" s="19">
        <v>0</v>
      </c>
      <c r="DE98" s="19">
        <v>42000</v>
      </c>
      <c r="DF98" s="19">
        <v>0</v>
      </c>
      <c r="DG98" s="19">
        <v>21000</v>
      </c>
      <c r="DH98" s="19">
        <v>21000</v>
      </c>
      <c r="DI98" s="19"/>
      <c r="DJ98" s="19"/>
      <c r="DK98" s="19"/>
      <c r="DL98" s="19"/>
      <c r="DM98" s="19"/>
      <c r="DN98" s="19"/>
      <c r="DO98" s="19"/>
      <c r="DP98" s="19"/>
      <c r="DQ98" s="19"/>
      <c r="DR98" s="19"/>
    </row>
    <row r="99" spans="1:122" ht="15.75" customHeight="1" x14ac:dyDescent="0.3">
      <c r="A99" s="15">
        <v>93</v>
      </c>
      <c r="B99" s="16" t="s">
        <v>18</v>
      </c>
      <c r="C99" s="17">
        <v>21000</v>
      </c>
      <c r="D99" s="18">
        <f>Sheet3!C95</f>
        <v>99</v>
      </c>
      <c r="E99" s="19">
        <v>21000</v>
      </c>
      <c r="F99" s="19">
        <v>21000</v>
      </c>
      <c r="G99" s="19">
        <v>21000</v>
      </c>
      <c r="H99" s="19">
        <v>21000</v>
      </c>
      <c r="I99" s="19">
        <v>21000</v>
      </c>
      <c r="J99" s="19">
        <v>21000</v>
      </c>
      <c r="K99" s="19">
        <v>21000</v>
      </c>
      <c r="L99" s="19">
        <v>21000</v>
      </c>
      <c r="M99" s="19">
        <v>21000</v>
      </c>
      <c r="N99" s="19">
        <v>21000</v>
      </c>
      <c r="O99" s="19">
        <v>21000</v>
      </c>
      <c r="P99" s="19">
        <v>21000</v>
      </c>
      <c r="Q99" s="19">
        <v>21000</v>
      </c>
      <c r="R99" s="19">
        <v>21000</v>
      </c>
      <c r="S99" s="19">
        <v>21000</v>
      </c>
      <c r="T99" s="19">
        <v>21000</v>
      </c>
      <c r="U99" s="19">
        <v>21000</v>
      </c>
      <c r="V99" s="19">
        <v>21000</v>
      </c>
      <c r="W99" s="19">
        <v>21000</v>
      </c>
      <c r="X99" s="19">
        <v>21000</v>
      </c>
      <c r="Y99" s="19">
        <v>21000</v>
      </c>
      <c r="Z99" s="19">
        <v>21000</v>
      </c>
      <c r="AA99" s="19">
        <v>21000</v>
      </c>
      <c r="AB99" s="19">
        <v>0</v>
      </c>
      <c r="AC99" s="19">
        <v>42000</v>
      </c>
      <c r="AD99" s="19">
        <v>21000</v>
      </c>
      <c r="AE99" s="19">
        <v>21000</v>
      </c>
      <c r="AF99" s="19">
        <v>21000</v>
      </c>
      <c r="AG99" s="19">
        <v>21000</v>
      </c>
      <c r="AH99" s="19">
        <v>21000</v>
      </c>
      <c r="AI99" s="19">
        <v>21000</v>
      </c>
      <c r="AJ99" s="19">
        <v>21000</v>
      </c>
      <c r="AK99" s="19">
        <v>21000</v>
      </c>
      <c r="AL99" s="19">
        <v>21000</v>
      </c>
      <c r="AM99" s="19">
        <v>21000</v>
      </c>
      <c r="AN99" s="19">
        <v>21000</v>
      </c>
      <c r="AO99" s="19">
        <v>21000</v>
      </c>
      <c r="AP99" s="19">
        <v>21000</v>
      </c>
      <c r="AQ99" s="19">
        <v>21000</v>
      </c>
      <c r="AR99" s="19">
        <v>21000</v>
      </c>
      <c r="AS99" s="19">
        <v>21000</v>
      </c>
      <c r="AT99" s="19">
        <v>21000</v>
      </c>
      <c r="AU99" s="19">
        <v>21000</v>
      </c>
      <c r="AV99" s="19">
        <v>21000</v>
      </c>
      <c r="AW99" s="19">
        <v>21000</v>
      </c>
      <c r="AX99" s="19">
        <v>21000</v>
      </c>
      <c r="AY99" s="19">
        <v>21000</v>
      </c>
      <c r="AZ99" s="19">
        <v>21000</v>
      </c>
      <c r="BA99" s="19">
        <v>21000</v>
      </c>
      <c r="BB99" s="19">
        <v>21000</v>
      </c>
      <c r="BC99" s="19">
        <v>21000</v>
      </c>
      <c r="BD99" s="19">
        <v>21000</v>
      </c>
      <c r="BE99" s="19">
        <v>21000</v>
      </c>
      <c r="BF99" s="19">
        <v>0</v>
      </c>
      <c r="BG99" s="19">
        <v>21000</v>
      </c>
      <c r="BH99" s="19">
        <v>21000</v>
      </c>
      <c r="BI99" s="19">
        <v>21000</v>
      </c>
      <c r="BJ99" s="19">
        <v>21000</v>
      </c>
      <c r="BK99" s="19">
        <v>21000</v>
      </c>
      <c r="BL99" s="19">
        <v>21000</v>
      </c>
      <c r="BM99" s="19">
        <v>21000</v>
      </c>
      <c r="BN99" s="19">
        <v>0</v>
      </c>
      <c r="BO99" s="19">
        <v>42000</v>
      </c>
      <c r="BP99" s="19">
        <v>21000</v>
      </c>
      <c r="BQ99" s="19">
        <v>21000</v>
      </c>
      <c r="BR99" s="19">
        <v>21000</v>
      </c>
      <c r="BS99" s="19">
        <v>21000</v>
      </c>
      <c r="BT99" s="19">
        <v>21000</v>
      </c>
      <c r="BU99" s="19">
        <v>21000</v>
      </c>
      <c r="BV99" s="19">
        <v>21000</v>
      </c>
      <c r="BW99" s="19">
        <v>21000</v>
      </c>
      <c r="BX99" s="19">
        <v>21000</v>
      </c>
      <c r="BY99" s="19">
        <v>21000</v>
      </c>
      <c r="BZ99" s="19">
        <v>21000</v>
      </c>
      <c r="CA99" s="19">
        <v>21000</v>
      </c>
      <c r="CB99" s="19">
        <v>0</v>
      </c>
      <c r="CC99" s="19">
        <v>42000</v>
      </c>
      <c r="CD99" s="19">
        <v>0</v>
      </c>
      <c r="CE99" s="19">
        <v>0</v>
      </c>
      <c r="CF99" s="19">
        <v>21000</v>
      </c>
      <c r="CG99" s="19">
        <v>0</v>
      </c>
      <c r="CH99" s="19">
        <v>42000</v>
      </c>
      <c r="CI99" s="19">
        <v>21000</v>
      </c>
      <c r="CJ99" s="19">
        <v>21000</v>
      </c>
      <c r="CK99" s="19">
        <v>21000</v>
      </c>
      <c r="CL99" s="19">
        <v>0</v>
      </c>
      <c r="CM99" s="19">
        <v>42000</v>
      </c>
      <c r="CN99" s="19">
        <v>21000</v>
      </c>
      <c r="CO99" s="19">
        <v>21000</v>
      </c>
      <c r="CP99" s="19">
        <v>0</v>
      </c>
      <c r="CQ99" s="19">
        <v>21000</v>
      </c>
      <c r="CR99" s="19">
        <v>21000</v>
      </c>
      <c r="CS99" s="19">
        <v>21000</v>
      </c>
      <c r="CT99" s="19">
        <v>21000</v>
      </c>
      <c r="CU99" s="19">
        <v>21000</v>
      </c>
      <c r="CV99" s="19">
        <v>21000</v>
      </c>
      <c r="CW99" s="19">
        <v>0</v>
      </c>
      <c r="CX99" s="19">
        <v>21000</v>
      </c>
      <c r="CY99" s="19">
        <v>0</v>
      </c>
      <c r="CZ99" s="19">
        <v>0</v>
      </c>
      <c r="DA99" s="19">
        <v>21000</v>
      </c>
      <c r="DB99" s="19">
        <v>21000</v>
      </c>
      <c r="DC99" s="19">
        <v>0</v>
      </c>
      <c r="DD99" s="19">
        <v>21000</v>
      </c>
      <c r="DE99" s="19">
        <v>21000</v>
      </c>
      <c r="DF99" s="19">
        <v>0</v>
      </c>
      <c r="DG99" s="19">
        <v>21000</v>
      </c>
      <c r="DH99" s="19">
        <v>21000</v>
      </c>
      <c r="DI99" s="19"/>
      <c r="DJ99" s="19"/>
      <c r="DK99" s="19"/>
      <c r="DL99" s="19"/>
      <c r="DM99" s="19"/>
      <c r="DN99" s="19"/>
      <c r="DO99" s="19"/>
      <c r="DP99" s="19"/>
      <c r="DQ99" s="19"/>
      <c r="DR99" s="19"/>
    </row>
    <row r="100" spans="1:122" ht="15.75" customHeight="1" x14ac:dyDescent="0.3">
      <c r="A100" s="15">
        <v>94</v>
      </c>
      <c r="B100" s="16" t="s">
        <v>83</v>
      </c>
      <c r="C100" s="17">
        <v>10500</v>
      </c>
      <c r="D100" s="18">
        <f>Sheet3!C96</f>
        <v>107</v>
      </c>
      <c r="E100" s="19">
        <v>10500</v>
      </c>
      <c r="F100" s="19">
        <v>10500</v>
      </c>
      <c r="G100" s="19">
        <v>10500</v>
      </c>
      <c r="H100" s="19">
        <v>10500</v>
      </c>
      <c r="I100" s="19">
        <v>10500</v>
      </c>
      <c r="J100" s="19">
        <v>10500</v>
      </c>
      <c r="K100" s="19">
        <v>10500</v>
      </c>
      <c r="L100" s="19">
        <v>10500</v>
      </c>
      <c r="M100" s="19">
        <v>10500</v>
      </c>
      <c r="N100" s="19">
        <v>10500</v>
      </c>
      <c r="O100" s="19">
        <v>10500</v>
      </c>
      <c r="P100" s="19">
        <v>10500</v>
      </c>
      <c r="Q100" s="19">
        <v>10500</v>
      </c>
      <c r="R100" s="19">
        <v>10500</v>
      </c>
      <c r="S100" s="19">
        <v>10500</v>
      </c>
      <c r="T100" s="19">
        <v>10500</v>
      </c>
      <c r="U100" s="19">
        <v>10500</v>
      </c>
      <c r="V100" s="19">
        <v>10500</v>
      </c>
      <c r="W100" s="19">
        <v>10500</v>
      </c>
      <c r="X100" s="19">
        <v>10500</v>
      </c>
      <c r="Y100" s="19">
        <v>0</v>
      </c>
      <c r="Z100" s="19">
        <v>21000</v>
      </c>
      <c r="AA100" s="19">
        <v>0</v>
      </c>
      <c r="AB100" s="19">
        <v>21000</v>
      </c>
      <c r="AC100" s="19">
        <v>10500</v>
      </c>
      <c r="AD100" s="19">
        <v>10500</v>
      </c>
      <c r="AE100" s="19">
        <v>0</v>
      </c>
      <c r="AF100" s="19">
        <v>10500</v>
      </c>
      <c r="AG100" s="19">
        <v>10500</v>
      </c>
      <c r="AH100" s="19">
        <v>10500</v>
      </c>
      <c r="AI100" s="19">
        <v>10500</v>
      </c>
      <c r="AJ100" s="19">
        <v>10500</v>
      </c>
      <c r="AK100" s="19">
        <v>10500</v>
      </c>
      <c r="AL100" s="19">
        <v>10500</v>
      </c>
      <c r="AM100" s="19">
        <v>10500</v>
      </c>
      <c r="AN100" s="19">
        <v>10500</v>
      </c>
      <c r="AO100" s="19">
        <v>10500</v>
      </c>
      <c r="AP100" s="19">
        <v>0</v>
      </c>
      <c r="AQ100" s="19">
        <v>31500</v>
      </c>
      <c r="AR100" s="19">
        <v>10500</v>
      </c>
      <c r="AS100" s="19">
        <v>0</v>
      </c>
      <c r="AT100" s="19">
        <v>21000</v>
      </c>
      <c r="AU100" s="19">
        <v>10500</v>
      </c>
      <c r="AV100" s="19">
        <v>10500</v>
      </c>
      <c r="AW100" s="19">
        <v>10500</v>
      </c>
      <c r="AX100" s="19">
        <v>0</v>
      </c>
      <c r="AY100" s="19">
        <v>10500</v>
      </c>
      <c r="AZ100" s="19">
        <v>21000</v>
      </c>
      <c r="BA100" s="19">
        <v>0</v>
      </c>
      <c r="BB100" s="19">
        <v>10500</v>
      </c>
      <c r="BC100" s="19">
        <v>10500</v>
      </c>
      <c r="BD100" s="19">
        <v>10500</v>
      </c>
      <c r="BE100" s="19">
        <v>21000</v>
      </c>
      <c r="BF100" s="19">
        <v>0</v>
      </c>
      <c r="BG100" s="19">
        <v>10500</v>
      </c>
      <c r="BH100" s="19">
        <v>0</v>
      </c>
      <c r="BI100" s="19">
        <v>21000</v>
      </c>
      <c r="BJ100" s="19">
        <v>10500</v>
      </c>
      <c r="BK100" s="19">
        <v>0</v>
      </c>
      <c r="BL100" s="19">
        <v>21000</v>
      </c>
      <c r="BM100" s="19">
        <v>10500</v>
      </c>
      <c r="BN100" s="19">
        <v>10500</v>
      </c>
      <c r="BO100" s="19">
        <v>0</v>
      </c>
      <c r="BP100" s="19">
        <v>10500</v>
      </c>
      <c r="BQ100" s="19">
        <v>10500</v>
      </c>
      <c r="BR100" s="19">
        <v>0</v>
      </c>
      <c r="BS100" s="19">
        <v>21000</v>
      </c>
      <c r="BT100" s="19">
        <v>31500</v>
      </c>
      <c r="BU100" s="19"/>
      <c r="BV100" s="19">
        <v>10500</v>
      </c>
      <c r="BW100" s="19">
        <v>0</v>
      </c>
      <c r="BX100" s="19">
        <v>0</v>
      </c>
      <c r="BY100" s="19">
        <v>0</v>
      </c>
      <c r="BZ100" s="19">
        <v>31500</v>
      </c>
      <c r="CA100" s="19">
        <v>0</v>
      </c>
      <c r="CB100" s="19">
        <v>0</v>
      </c>
      <c r="CC100" s="19">
        <v>0</v>
      </c>
      <c r="CD100" s="19">
        <v>31500</v>
      </c>
      <c r="CE100" s="19">
        <v>0</v>
      </c>
      <c r="CF100" s="19">
        <v>31500</v>
      </c>
      <c r="CG100" s="19">
        <v>0</v>
      </c>
      <c r="CH100" s="19">
        <v>0</v>
      </c>
      <c r="CI100" s="19">
        <v>31500</v>
      </c>
      <c r="CJ100" s="19">
        <v>0</v>
      </c>
      <c r="CK100" s="19">
        <v>10500</v>
      </c>
      <c r="CL100" s="19">
        <v>0</v>
      </c>
      <c r="CM100" s="19">
        <v>0</v>
      </c>
      <c r="CN100" s="19">
        <v>21000</v>
      </c>
      <c r="CO100" s="19">
        <v>0</v>
      </c>
      <c r="CP100" s="19">
        <v>0</v>
      </c>
      <c r="CQ100" s="24">
        <v>0</v>
      </c>
      <c r="CR100" s="19">
        <v>0</v>
      </c>
      <c r="CS100" s="19">
        <v>31500</v>
      </c>
      <c r="CT100" s="19">
        <v>10500</v>
      </c>
      <c r="CU100" s="19">
        <v>0</v>
      </c>
      <c r="CV100" s="19">
        <v>31500</v>
      </c>
      <c r="CW100" s="19">
        <v>21000</v>
      </c>
      <c r="CX100" s="19">
        <v>0</v>
      </c>
      <c r="CY100" s="19">
        <v>0</v>
      </c>
      <c r="CZ100" s="19">
        <v>0</v>
      </c>
      <c r="DA100" s="19">
        <v>31500</v>
      </c>
      <c r="DB100" s="19">
        <v>21000</v>
      </c>
      <c r="DC100" s="19">
        <v>10500</v>
      </c>
      <c r="DD100" s="19">
        <v>21000</v>
      </c>
      <c r="DE100" s="19">
        <v>21000</v>
      </c>
      <c r="DF100" s="19">
        <v>0</v>
      </c>
      <c r="DG100" s="19"/>
      <c r="DH100" s="19">
        <v>42000</v>
      </c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</row>
    <row r="101" spans="1:122" ht="15.75" customHeight="1" x14ac:dyDescent="0.3">
      <c r="A101" s="15">
        <v>94</v>
      </c>
      <c r="B101" s="16" t="s">
        <v>84</v>
      </c>
      <c r="C101" s="17">
        <v>10500</v>
      </c>
      <c r="D101" s="18">
        <f>Sheet3!C97</f>
        <v>103</v>
      </c>
      <c r="E101" s="19">
        <v>10500</v>
      </c>
      <c r="F101" s="19">
        <v>10500</v>
      </c>
      <c r="G101" s="19">
        <v>10500</v>
      </c>
      <c r="H101" s="19">
        <v>10500</v>
      </c>
      <c r="I101" s="19">
        <v>10500</v>
      </c>
      <c r="J101" s="19">
        <v>10500</v>
      </c>
      <c r="K101" s="19">
        <v>10500</v>
      </c>
      <c r="L101" s="19">
        <v>10500</v>
      </c>
      <c r="M101" s="19">
        <v>10500</v>
      </c>
      <c r="N101" s="19">
        <v>10500</v>
      </c>
      <c r="O101" s="19">
        <v>10500</v>
      </c>
      <c r="P101" s="19">
        <v>10500</v>
      </c>
      <c r="Q101" s="19">
        <v>10500</v>
      </c>
      <c r="R101" s="19">
        <v>10500</v>
      </c>
      <c r="S101" s="19">
        <v>10500</v>
      </c>
      <c r="T101" s="19">
        <v>10500</v>
      </c>
      <c r="U101" s="19">
        <v>10500</v>
      </c>
      <c r="V101" s="19">
        <v>10500</v>
      </c>
      <c r="W101" s="19">
        <v>10500</v>
      </c>
      <c r="X101" s="19">
        <v>10500</v>
      </c>
      <c r="Y101" s="19">
        <v>10500</v>
      </c>
      <c r="Z101" s="19">
        <v>10500</v>
      </c>
      <c r="AA101" s="19">
        <v>10500</v>
      </c>
      <c r="AB101" s="19">
        <v>0</v>
      </c>
      <c r="AC101" s="19">
        <v>21000</v>
      </c>
      <c r="AD101" s="19">
        <v>10500</v>
      </c>
      <c r="AE101" s="19">
        <v>10500</v>
      </c>
      <c r="AF101" s="19">
        <v>0</v>
      </c>
      <c r="AG101" s="19">
        <v>21000</v>
      </c>
      <c r="AH101" s="19">
        <v>10500</v>
      </c>
      <c r="AI101" s="19">
        <v>10500</v>
      </c>
      <c r="AJ101" s="19">
        <v>0</v>
      </c>
      <c r="AK101" s="19">
        <v>21000</v>
      </c>
      <c r="AL101" s="19">
        <v>10500</v>
      </c>
      <c r="AM101" s="19">
        <v>10500</v>
      </c>
      <c r="AN101" s="19">
        <v>10500</v>
      </c>
      <c r="AO101" s="19">
        <v>10500</v>
      </c>
      <c r="AP101" s="19">
        <v>10500</v>
      </c>
      <c r="AQ101" s="19">
        <v>10500</v>
      </c>
      <c r="AR101" s="19">
        <v>10500</v>
      </c>
      <c r="AS101" s="19">
        <v>10500</v>
      </c>
      <c r="AT101" s="19">
        <v>10500</v>
      </c>
      <c r="AU101" s="19">
        <v>10500</v>
      </c>
      <c r="AV101" s="19">
        <v>10500</v>
      </c>
      <c r="AW101" s="19">
        <v>10500</v>
      </c>
      <c r="AX101" s="19">
        <v>10500</v>
      </c>
      <c r="AY101" s="19">
        <v>10500</v>
      </c>
      <c r="AZ101" s="19">
        <v>0</v>
      </c>
      <c r="BA101" s="19">
        <v>21000</v>
      </c>
      <c r="BB101" s="19">
        <v>10500</v>
      </c>
      <c r="BC101" s="19">
        <v>10500</v>
      </c>
      <c r="BD101" s="19">
        <v>0</v>
      </c>
      <c r="BE101" s="19">
        <v>21000</v>
      </c>
      <c r="BF101" s="19">
        <v>10500</v>
      </c>
      <c r="BG101" s="19">
        <v>10500</v>
      </c>
      <c r="BH101" s="19">
        <v>0</v>
      </c>
      <c r="BI101" s="19">
        <v>10500</v>
      </c>
      <c r="BJ101" s="19">
        <v>10500</v>
      </c>
      <c r="BK101" s="19">
        <v>10500</v>
      </c>
      <c r="BL101" s="19">
        <v>0</v>
      </c>
      <c r="BM101" s="19">
        <v>21000</v>
      </c>
      <c r="BN101" s="19">
        <v>21000</v>
      </c>
      <c r="BO101" s="19">
        <v>10500</v>
      </c>
      <c r="BP101" s="19">
        <v>0</v>
      </c>
      <c r="BQ101" s="19">
        <v>10500</v>
      </c>
      <c r="BR101" s="19">
        <v>0</v>
      </c>
      <c r="BS101" s="19">
        <v>10500</v>
      </c>
      <c r="BT101" s="19">
        <v>10500</v>
      </c>
      <c r="BU101" s="19">
        <v>10500</v>
      </c>
      <c r="BV101" s="19">
        <v>10500</v>
      </c>
      <c r="BW101" s="19">
        <v>10500</v>
      </c>
      <c r="BX101" s="19">
        <v>10500</v>
      </c>
      <c r="BY101" s="19">
        <v>10500</v>
      </c>
      <c r="BZ101" s="19">
        <v>10500</v>
      </c>
      <c r="CA101" s="19">
        <v>10500</v>
      </c>
      <c r="CB101" s="19">
        <v>10500</v>
      </c>
      <c r="CC101" s="19">
        <v>0</v>
      </c>
      <c r="CD101" s="19">
        <v>10500</v>
      </c>
      <c r="CE101" s="19">
        <v>0</v>
      </c>
      <c r="CF101" s="19">
        <v>21000</v>
      </c>
      <c r="CG101" s="19">
        <v>0</v>
      </c>
      <c r="CH101" s="19">
        <v>21000</v>
      </c>
      <c r="CI101" s="19">
        <v>10500</v>
      </c>
      <c r="CJ101" s="19">
        <v>10500</v>
      </c>
      <c r="CK101" s="19">
        <v>10500</v>
      </c>
      <c r="CL101" s="19">
        <v>0</v>
      </c>
      <c r="CM101" s="19">
        <v>0</v>
      </c>
      <c r="CN101" s="19">
        <v>31500</v>
      </c>
      <c r="CO101" s="19">
        <v>10500</v>
      </c>
      <c r="CP101" s="19">
        <v>10500</v>
      </c>
      <c r="CQ101" s="19">
        <v>10500</v>
      </c>
      <c r="CR101" s="19">
        <v>0</v>
      </c>
      <c r="CS101" s="19">
        <v>0</v>
      </c>
      <c r="CT101" s="19">
        <v>21000</v>
      </c>
      <c r="CU101" s="19">
        <v>0</v>
      </c>
      <c r="CV101" s="19">
        <v>21000</v>
      </c>
      <c r="CW101" s="19">
        <v>10500</v>
      </c>
      <c r="CX101" s="19">
        <v>10500</v>
      </c>
      <c r="CY101" s="19">
        <v>10500</v>
      </c>
      <c r="CZ101" s="19">
        <v>0</v>
      </c>
      <c r="DA101" s="19">
        <v>10500</v>
      </c>
      <c r="DB101" s="19">
        <v>21000</v>
      </c>
      <c r="DC101" s="19">
        <v>0</v>
      </c>
      <c r="DD101" s="19">
        <v>0</v>
      </c>
      <c r="DE101" s="19">
        <v>21000</v>
      </c>
      <c r="DF101" s="19">
        <v>10500</v>
      </c>
      <c r="DG101" s="19">
        <v>10500</v>
      </c>
      <c r="DH101" s="19">
        <v>10500</v>
      </c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</row>
    <row r="102" spans="1:122" ht="15.75" customHeight="1" x14ac:dyDescent="0.3">
      <c r="A102" s="15">
        <v>95</v>
      </c>
      <c r="B102" s="16" t="s">
        <v>85</v>
      </c>
      <c r="C102" s="17">
        <v>10500</v>
      </c>
      <c r="D102" s="18">
        <f>Sheet3!C98</f>
        <v>77</v>
      </c>
      <c r="E102" s="19">
        <v>10500</v>
      </c>
      <c r="F102" s="19">
        <v>10500</v>
      </c>
      <c r="G102" s="19">
        <v>10500</v>
      </c>
      <c r="H102" s="19">
        <v>10500</v>
      </c>
      <c r="I102" s="19">
        <v>10500</v>
      </c>
      <c r="J102" s="19">
        <v>10500</v>
      </c>
      <c r="K102" s="19">
        <v>10500</v>
      </c>
      <c r="L102" s="19">
        <v>10500</v>
      </c>
      <c r="M102" s="19">
        <v>10500</v>
      </c>
      <c r="N102" s="19">
        <v>10500</v>
      </c>
      <c r="O102" s="19">
        <v>10500</v>
      </c>
      <c r="P102" s="19">
        <v>10500</v>
      </c>
      <c r="Q102" s="19">
        <v>10500</v>
      </c>
      <c r="R102" s="19">
        <v>10500</v>
      </c>
      <c r="S102" s="19">
        <v>10500</v>
      </c>
      <c r="T102" s="19">
        <v>10500</v>
      </c>
      <c r="U102" s="19">
        <v>10500</v>
      </c>
      <c r="V102" s="19">
        <v>10500</v>
      </c>
      <c r="W102" s="19">
        <v>10500</v>
      </c>
      <c r="X102" s="19">
        <v>10500</v>
      </c>
      <c r="Y102" s="19">
        <v>10500</v>
      </c>
      <c r="Z102" s="19">
        <v>10500</v>
      </c>
      <c r="AA102" s="19">
        <v>10500</v>
      </c>
      <c r="AB102" s="19">
        <v>10500</v>
      </c>
      <c r="AC102" s="19">
        <v>10500</v>
      </c>
      <c r="AD102" s="19">
        <v>10500</v>
      </c>
      <c r="AE102" s="19">
        <v>10500</v>
      </c>
      <c r="AF102" s="19">
        <v>10500</v>
      </c>
      <c r="AG102" s="19">
        <v>10500</v>
      </c>
      <c r="AH102" s="19">
        <v>10500</v>
      </c>
      <c r="AI102" s="19">
        <v>10500</v>
      </c>
      <c r="AJ102" s="19">
        <v>10500</v>
      </c>
      <c r="AK102" s="19">
        <v>10500</v>
      </c>
      <c r="AL102" s="19">
        <v>10500</v>
      </c>
      <c r="AM102" s="19">
        <v>10500</v>
      </c>
      <c r="AN102" s="19">
        <v>10500</v>
      </c>
      <c r="AO102" s="19">
        <v>10500</v>
      </c>
      <c r="AP102" s="19">
        <v>10500</v>
      </c>
      <c r="AQ102" s="19">
        <v>10500</v>
      </c>
      <c r="AR102" s="19">
        <v>10500</v>
      </c>
      <c r="AS102" s="19">
        <v>10500</v>
      </c>
      <c r="AT102" s="19">
        <v>10500</v>
      </c>
      <c r="AU102" s="19">
        <v>10500</v>
      </c>
      <c r="AV102" s="19">
        <v>0</v>
      </c>
      <c r="AW102" s="19">
        <v>10500</v>
      </c>
      <c r="AX102" s="19">
        <v>10500</v>
      </c>
      <c r="AY102" s="19">
        <v>10500</v>
      </c>
      <c r="AZ102" s="19">
        <v>10500</v>
      </c>
      <c r="BA102" s="19">
        <v>10500</v>
      </c>
      <c r="BB102" s="19">
        <v>10500</v>
      </c>
      <c r="BC102" s="19">
        <v>10500</v>
      </c>
      <c r="BD102" s="19">
        <v>10500</v>
      </c>
      <c r="BE102" s="19">
        <v>10500</v>
      </c>
      <c r="BF102" s="19">
        <v>10500</v>
      </c>
      <c r="BG102" s="19">
        <v>10500</v>
      </c>
      <c r="BH102" s="19">
        <v>10500</v>
      </c>
      <c r="BI102" s="19">
        <v>21000</v>
      </c>
      <c r="BJ102" s="19">
        <v>10500</v>
      </c>
      <c r="BK102" s="19">
        <v>10500</v>
      </c>
      <c r="BL102" s="19">
        <v>10500</v>
      </c>
      <c r="BM102" s="19">
        <v>10500</v>
      </c>
      <c r="BN102" s="19">
        <v>10500</v>
      </c>
      <c r="BO102" s="19">
        <v>10500</v>
      </c>
      <c r="BP102" s="19">
        <v>10500</v>
      </c>
      <c r="BQ102" s="19">
        <v>10500</v>
      </c>
      <c r="BR102" s="19">
        <v>10500</v>
      </c>
      <c r="BS102" s="19">
        <v>10500</v>
      </c>
      <c r="BT102" s="19">
        <v>10500</v>
      </c>
      <c r="BU102" s="19">
        <v>10500</v>
      </c>
      <c r="BV102" s="19">
        <v>10500</v>
      </c>
      <c r="BW102" s="19">
        <v>0</v>
      </c>
      <c r="BX102" s="19">
        <v>0</v>
      </c>
      <c r="BY102" s="19">
        <v>0</v>
      </c>
      <c r="BZ102" s="19">
        <v>0</v>
      </c>
      <c r="CA102" s="19">
        <v>0</v>
      </c>
      <c r="CB102" s="19">
        <v>0</v>
      </c>
      <c r="CC102" s="19">
        <v>52500</v>
      </c>
      <c r="CD102" s="19">
        <v>0</v>
      </c>
      <c r="CE102" s="19">
        <v>0</v>
      </c>
      <c r="CF102" s="19">
        <v>21000</v>
      </c>
      <c r="CG102" s="19">
        <v>0</v>
      </c>
      <c r="CH102" s="19">
        <v>0</v>
      </c>
      <c r="CI102" s="19">
        <v>0</v>
      </c>
      <c r="CJ102" s="19">
        <v>0</v>
      </c>
      <c r="CK102" s="19">
        <v>0</v>
      </c>
      <c r="CL102" s="19">
        <v>0</v>
      </c>
      <c r="CM102" s="19">
        <v>0</v>
      </c>
      <c r="CN102" s="19">
        <v>0</v>
      </c>
      <c r="CO102" s="19">
        <v>0</v>
      </c>
      <c r="CP102" s="19">
        <v>0</v>
      </c>
      <c r="CQ102" s="24">
        <v>0</v>
      </c>
      <c r="CR102" s="19">
        <v>0</v>
      </c>
      <c r="CS102" s="19">
        <v>0</v>
      </c>
      <c r="CT102" s="19">
        <v>0</v>
      </c>
      <c r="CU102" s="19">
        <v>0</v>
      </c>
      <c r="CV102" s="19">
        <v>0</v>
      </c>
      <c r="CW102" s="19">
        <v>0</v>
      </c>
      <c r="CX102" s="19">
        <v>0</v>
      </c>
      <c r="CY102" s="19">
        <v>0</v>
      </c>
      <c r="CZ102" s="19">
        <v>0</v>
      </c>
      <c r="DA102" s="19">
        <v>0</v>
      </c>
      <c r="DB102" s="19">
        <v>0</v>
      </c>
      <c r="DC102" s="19">
        <v>0</v>
      </c>
      <c r="DD102" s="19">
        <v>0</v>
      </c>
      <c r="DE102" s="19">
        <v>0</v>
      </c>
      <c r="DF102" s="19">
        <v>0</v>
      </c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</row>
    <row r="103" spans="1:122" ht="15.75" customHeight="1" x14ac:dyDescent="0.3">
      <c r="A103" s="15">
        <v>95</v>
      </c>
      <c r="B103" s="16" t="s">
        <v>86</v>
      </c>
      <c r="C103" s="17">
        <v>10500</v>
      </c>
      <c r="D103" s="18">
        <f>Sheet3!C99</f>
        <v>98</v>
      </c>
      <c r="E103" s="19">
        <v>10500</v>
      </c>
      <c r="F103" s="19">
        <v>10500</v>
      </c>
      <c r="G103" s="19">
        <v>10500</v>
      </c>
      <c r="H103" s="19">
        <v>10500</v>
      </c>
      <c r="I103" s="19">
        <v>10500</v>
      </c>
      <c r="J103" s="19">
        <v>10500</v>
      </c>
      <c r="K103" s="19">
        <v>10500</v>
      </c>
      <c r="L103" s="19">
        <v>10500</v>
      </c>
      <c r="M103" s="19">
        <v>10500</v>
      </c>
      <c r="N103" s="19">
        <v>10500</v>
      </c>
      <c r="O103" s="19">
        <v>10500</v>
      </c>
      <c r="P103" s="19">
        <v>10500</v>
      </c>
      <c r="Q103" s="19">
        <v>10500</v>
      </c>
      <c r="R103" s="19">
        <v>10500</v>
      </c>
      <c r="S103" s="19">
        <v>10500</v>
      </c>
      <c r="T103" s="19">
        <v>10500</v>
      </c>
      <c r="U103" s="19">
        <v>10500</v>
      </c>
      <c r="V103" s="19">
        <v>10500</v>
      </c>
      <c r="W103" s="19">
        <v>10500</v>
      </c>
      <c r="X103" s="19">
        <v>10500</v>
      </c>
      <c r="Y103" s="19">
        <v>10500</v>
      </c>
      <c r="Z103" s="19">
        <v>10500</v>
      </c>
      <c r="AA103" s="19">
        <v>10500</v>
      </c>
      <c r="AB103" s="19">
        <v>10500</v>
      </c>
      <c r="AC103" s="19">
        <v>10500</v>
      </c>
      <c r="AD103" s="19">
        <v>10500</v>
      </c>
      <c r="AE103" s="19">
        <v>10500</v>
      </c>
      <c r="AF103" s="19">
        <v>10500</v>
      </c>
      <c r="AG103" s="19">
        <v>10500</v>
      </c>
      <c r="AH103" s="19">
        <v>10500</v>
      </c>
      <c r="AI103" s="19">
        <v>10500</v>
      </c>
      <c r="AJ103" s="19">
        <v>10500</v>
      </c>
      <c r="AK103" s="19">
        <v>10500</v>
      </c>
      <c r="AL103" s="19">
        <v>10500</v>
      </c>
      <c r="AM103" s="19">
        <v>10500</v>
      </c>
      <c r="AN103" s="19">
        <v>10500</v>
      </c>
      <c r="AO103" s="19">
        <v>10500</v>
      </c>
      <c r="AP103" s="19">
        <v>10500</v>
      </c>
      <c r="AQ103" s="19">
        <v>10500</v>
      </c>
      <c r="AR103" s="19">
        <v>10500</v>
      </c>
      <c r="AS103" s="19">
        <v>10500</v>
      </c>
      <c r="AT103" s="19">
        <v>10500</v>
      </c>
      <c r="AU103" s="19">
        <v>10500</v>
      </c>
      <c r="AV103" s="19">
        <v>0</v>
      </c>
      <c r="AW103" s="19">
        <v>10500</v>
      </c>
      <c r="AX103" s="19">
        <v>10500</v>
      </c>
      <c r="AY103" s="19">
        <v>10500</v>
      </c>
      <c r="AZ103" s="19">
        <v>10500</v>
      </c>
      <c r="BA103" s="19">
        <v>10500</v>
      </c>
      <c r="BB103" s="19">
        <v>10500</v>
      </c>
      <c r="BC103" s="19">
        <v>10500</v>
      </c>
      <c r="BD103" s="19">
        <v>10500</v>
      </c>
      <c r="BE103" s="19">
        <v>10500</v>
      </c>
      <c r="BF103" s="19">
        <v>10500</v>
      </c>
      <c r="BG103" s="19">
        <v>10500</v>
      </c>
      <c r="BH103" s="19">
        <v>10500</v>
      </c>
      <c r="BI103" s="19">
        <v>21000</v>
      </c>
      <c r="BJ103" s="19">
        <v>10500</v>
      </c>
      <c r="BK103" s="19">
        <v>10500</v>
      </c>
      <c r="BL103" s="19">
        <v>10500</v>
      </c>
      <c r="BM103" s="19">
        <v>10500</v>
      </c>
      <c r="BN103" s="19">
        <v>10500</v>
      </c>
      <c r="BO103" s="19">
        <v>10500</v>
      </c>
      <c r="BP103" s="19">
        <v>10500</v>
      </c>
      <c r="BQ103" s="19">
        <v>10500</v>
      </c>
      <c r="BR103" s="19">
        <v>10500</v>
      </c>
      <c r="BS103" s="19">
        <v>10500</v>
      </c>
      <c r="BT103" s="19">
        <v>10500</v>
      </c>
      <c r="BU103" s="19">
        <v>10500</v>
      </c>
      <c r="BV103" s="19">
        <v>10500</v>
      </c>
      <c r="BW103" s="19">
        <v>0</v>
      </c>
      <c r="BX103" s="19">
        <v>0</v>
      </c>
      <c r="BY103" s="19">
        <v>0</v>
      </c>
      <c r="BZ103" s="19">
        <v>42000</v>
      </c>
      <c r="CA103" s="19">
        <v>10500</v>
      </c>
      <c r="CB103" s="19">
        <v>10500</v>
      </c>
      <c r="CC103" s="19">
        <v>10500</v>
      </c>
      <c r="CD103" s="19">
        <v>10500</v>
      </c>
      <c r="CE103" s="19">
        <v>10500</v>
      </c>
      <c r="CF103" s="19">
        <v>10500</v>
      </c>
      <c r="CG103" s="19">
        <v>0</v>
      </c>
      <c r="CH103" s="19">
        <v>21000</v>
      </c>
      <c r="CI103" s="19">
        <v>0</v>
      </c>
      <c r="CJ103" s="19">
        <v>0</v>
      </c>
      <c r="CK103" s="19">
        <v>0</v>
      </c>
      <c r="CL103" s="19">
        <v>21000</v>
      </c>
      <c r="CM103" s="19">
        <v>21000</v>
      </c>
      <c r="CN103" s="19">
        <v>0</v>
      </c>
      <c r="CO103" s="19">
        <v>31500</v>
      </c>
      <c r="CP103" s="19">
        <v>0</v>
      </c>
      <c r="CQ103" s="24">
        <v>0</v>
      </c>
      <c r="CR103" s="19">
        <v>0</v>
      </c>
      <c r="CS103" s="19">
        <v>42000</v>
      </c>
      <c r="CT103" s="19">
        <v>0</v>
      </c>
      <c r="CU103" s="19">
        <v>21000</v>
      </c>
      <c r="CV103" s="19">
        <v>0</v>
      </c>
      <c r="CW103" s="19">
        <v>0</v>
      </c>
      <c r="CX103" s="19">
        <v>31500</v>
      </c>
      <c r="CY103" s="19">
        <v>0</v>
      </c>
      <c r="CZ103" s="19">
        <v>0</v>
      </c>
      <c r="DA103" s="19">
        <v>0</v>
      </c>
      <c r="DB103" s="19">
        <v>0</v>
      </c>
      <c r="DC103" s="19">
        <v>0</v>
      </c>
      <c r="DD103" s="19">
        <v>0</v>
      </c>
      <c r="DE103" s="19">
        <v>0</v>
      </c>
      <c r="DF103" s="19">
        <v>0</v>
      </c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</row>
    <row r="104" spans="1:122" ht="15.75" customHeight="1" x14ac:dyDescent="0.3">
      <c r="A104" s="15">
        <v>96</v>
      </c>
      <c r="B104" s="16" t="s">
        <v>87</v>
      </c>
      <c r="C104" s="17">
        <v>10500</v>
      </c>
      <c r="D104" s="18">
        <f>Sheet3!C100</f>
        <v>106</v>
      </c>
      <c r="E104" s="19">
        <v>10500</v>
      </c>
      <c r="F104" s="19">
        <v>10500</v>
      </c>
      <c r="G104" s="19">
        <v>10500</v>
      </c>
      <c r="H104" s="19">
        <v>10500</v>
      </c>
      <c r="I104" s="19">
        <v>10500</v>
      </c>
      <c r="J104" s="19">
        <v>10500</v>
      </c>
      <c r="K104" s="19">
        <v>10500</v>
      </c>
      <c r="L104" s="19">
        <v>10500</v>
      </c>
      <c r="M104" s="19">
        <v>10500</v>
      </c>
      <c r="N104" s="19">
        <v>10500</v>
      </c>
      <c r="O104" s="19">
        <v>10500</v>
      </c>
      <c r="P104" s="19">
        <v>10500</v>
      </c>
      <c r="Q104" s="19">
        <v>10500</v>
      </c>
      <c r="R104" s="19">
        <v>10500</v>
      </c>
      <c r="S104" s="19">
        <v>10500</v>
      </c>
      <c r="T104" s="19">
        <v>10500</v>
      </c>
      <c r="U104" s="19">
        <v>10500</v>
      </c>
      <c r="V104" s="19">
        <v>10500</v>
      </c>
      <c r="W104" s="19">
        <v>10500</v>
      </c>
      <c r="X104" s="19">
        <v>10500</v>
      </c>
      <c r="Y104" s="19">
        <v>0</v>
      </c>
      <c r="Z104" s="19">
        <v>21000</v>
      </c>
      <c r="AA104" s="19">
        <v>10500</v>
      </c>
      <c r="AB104" s="19">
        <v>0</v>
      </c>
      <c r="AC104" s="19">
        <v>21000</v>
      </c>
      <c r="AD104" s="19">
        <v>10500</v>
      </c>
      <c r="AE104" s="19">
        <v>10500</v>
      </c>
      <c r="AF104" s="19">
        <v>0</v>
      </c>
      <c r="AG104" s="19">
        <v>21000</v>
      </c>
      <c r="AH104" s="19">
        <v>10500</v>
      </c>
      <c r="AI104" s="19">
        <v>10500</v>
      </c>
      <c r="AJ104" s="19">
        <v>10500</v>
      </c>
      <c r="AK104" s="19">
        <v>10500</v>
      </c>
      <c r="AL104" s="19">
        <v>10500</v>
      </c>
      <c r="AM104" s="19">
        <v>0</v>
      </c>
      <c r="AN104" s="19">
        <v>21000</v>
      </c>
      <c r="AO104" s="19">
        <v>10500</v>
      </c>
      <c r="AP104" s="19">
        <v>10500</v>
      </c>
      <c r="AQ104" s="19">
        <v>10500</v>
      </c>
      <c r="AR104" s="19">
        <v>10500</v>
      </c>
      <c r="AS104" s="19">
        <v>10500</v>
      </c>
      <c r="AT104" s="19">
        <v>10500</v>
      </c>
      <c r="AU104" s="19">
        <v>10500</v>
      </c>
      <c r="AV104" s="19">
        <v>10500</v>
      </c>
      <c r="AW104" s="19">
        <v>0</v>
      </c>
      <c r="AX104" s="19">
        <v>21000</v>
      </c>
      <c r="AY104" s="19">
        <v>0</v>
      </c>
      <c r="AZ104" s="19">
        <v>21000</v>
      </c>
      <c r="BA104" s="19">
        <v>10500</v>
      </c>
      <c r="BB104" s="19">
        <v>10500</v>
      </c>
      <c r="BC104" s="19">
        <v>0</v>
      </c>
      <c r="BD104" s="19">
        <v>21000</v>
      </c>
      <c r="BE104" s="19">
        <v>10500</v>
      </c>
      <c r="BF104" s="19">
        <v>10500</v>
      </c>
      <c r="BG104" s="19">
        <v>10500</v>
      </c>
      <c r="BH104" s="19">
        <v>0</v>
      </c>
      <c r="BI104" s="19">
        <v>0</v>
      </c>
      <c r="BJ104" s="19">
        <v>21000</v>
      </c>
      <c r="BK104" s="19">
        <v>21000</v>
      </c>
      <c r="BL104" s="19">
        <v>0</v>
      </c>
      <c r="BM104" s="19">
        <v>21000</v>
      </c>
      <c r="BN104" s="19">
        <v>0</v>
      </c>
      <c r="BO104" s="19">
        <v>21000</v>
      </c>
      <c r="BP104" s="19">
        <v>0</v>
      </c>
      <c r="BQ104" s="19">
        <v>0</v>
      </c>
      <c r="BR104" s="19">
        <v>0</v>
      </c>
      <c r="BS104" s="19">
        <v>42000</v>
      </c>
      <c r="BT104" s="19">
        <v>0</v>
      </c>
      <c r="BU104" s="19">
        <v>0</v>
      </c>
      <c r="BV104" s="19">
        <v>0</v>
      </c>
      <c r="BW104" s="19">
        <v>21000</v>
      </c>
      <c r="BX104" s="19">
        <v>0</v>
      </c>
      <c r="BY104" s="19">
        <v>21000</v>
      </c>
      <c r="BZ104" s="19">
        <v>0</v>
      </c>
      <c r="CA104" s="19">
        <v>0</v>
      </c>
      <c r="CB104" s="19">
        <v>0</v>
      </c>
      <c r="CC104" s="19">
        <v>42000</v>
      </c>
      <c r="CD104" s="19">
        <v>0</v>
      </c>
      <c r="CE104" s="19">
        <v>0</v>
      </c>
      <c r="CF104" s="19">
        <v>42000</v>
      </c>
      <c r="CG104" s="19">
        <v>10500</v>
      </c>
      <c r="CH104" s="19">
        <v>0</v>
      </c>
      <c r="CI104" s="19">
        <v>21000</v>
      </c>
      <c r="CJ104" s="19">
        <v>10500</v>
      </c>
      <c r="CK104" s="19">
        <v>10500</v>
      </c>
      <c r="CL104" s="19">
        <v>0</v>
      </c>
      <c r="CM104" s="19">
        <v>21000</v>
      </c>
      <c r="CN104" s="19">
        <v>0</v>
      </c>
      <c r="CO104" s="19">
        <v>0</v>
      </c>
      <c r="CP104" s="19">
        <v>31500</v>
      </c>
      <c r="CQ104" s="19">
        <v>10500</v>
      </c>
      <c r="CR104" s="19">
        <v>10500</v>
      </c>
      <c r="CS104" s="19">
        <v>10500</v>
      </c>
      <c r="CT104" s="19">
        <v>10500</v>
      </c>
      <c r="CU104" s="19">
        <v>10500</v>
      </c>
      <c r="CV104" s="19">
        <v>10500</v>
      </c>
      <c r="CW104" s="19">
        <v>10500</v>
      </c>
      <c r="CX104" s="19">
        <v>10500</v>
      </c>
      <c r="CY104" s="19">
        <v>10500</v>
      </c>
      <c r="CZ104" s="19">
        <v>10500</v>
      </c>
      <c r="DA104" s="19">
        <v>10500</v>
      </c>
      <c r="DB104" s="19">
        <v>10500</v>
      </c>
      <c r="DC104" s="19">
        <v>10500</v>
      </c>
      <c r="DD104" s="19">
        <v>10500</v>
      </c>
      <c r="DE104" s="19">
        <v>10500</v>
      </c>
      <c r="DF104" s="19">
        <v>10500</v>
      </c>
      <c r="DG104" s="19">
        <v>10500</v>
      </c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</row>
    <row r="105" spans="1:122" ht="15.75" customHeight="1" x14ac:dyDescent="0.3">
      <c r="A105" s="15">
        <v>96</v>
      </c>
      <c r="B105" s="16" t="s">
        <v>18</v>
      </c>
      <c r="C105" s="17">
        <v>10500</v>
      </c>
      <c r="D105" s="18">
        <f>Sheet3!C101</f>
        <v>97</v>
      </c>
      <c r="E105" s="19">
        <v>10500</v>
      </c>
      <c r="F105" s="19">
        <v>10500</v>
      </c>
      <c r="G105" s="19">
        <v>10500</v>
      </c>
      <c r="H105" s="19">
        <v>10500</v>
      </c>
      <c r="I105" s="19">
        <v>10500</v>
      </c>
      <c r="J105" s="19">
        <v>10500</v>
      </c>
      <c r="K105" s="19">
        <v>10500</v>
      </c>
      <c r="L105" s="19">
        <v>10500</v>
      </c>
      <c r="M105" s="19">
        <v>10500</v>
      </c>
      <c r="N105" s="19">
        <v>10500</v>
      </c>
      <c r="O105" s="19">
        <v>10500</v>
      </c>
      <c r="P105" s="19">
        <v>10500</v>
      </c>
      <c r="Q105" s="19">
        <v>10500</v>
      </c>
      <c r="R105" s="19">
        <v>10500</v>
      </c>
      <c r="S105" s="19">
        <v>10500</v>
      </c>
      <c r="T105" s="19">
        <v>10500</v>
      </c>
      <c r="U105" s="19">
        <v>10500</v>
      </c>
      <c r="V105" s="19">
        <v>10500</v>
      </c>
      <c r="W105" s="19">
        <v>10500</v>
      </c>
      <c r="X105" s="19">
        <v>10500</v>
      </c>
      <c r="Y105" s="19">
        <v>10500</v>
      </c>
      <c r="Z105" s="19">
        <v>10500</v>
      </c>
      <c r="AA105" s="19">
        <v>10500</v>
      </c>
      <c r="AB105" s="19">
        <v>0</v>
      </c>
      <c r="AC105" s="19">
        <v>21000</v>
      </c>
      <c r="AD105" s="19">
        <v>10500</v>
      </c>
      <c r="AE105" s="19">
        <v>10500</v>
      </c>
      <c r="AF105" s="19">
        <v>10500</v>
      </c>
      <c r="AG105" s="19">
        <v>10500</v>
      </c>
      <c r="AH105" s="19">
        <v>10500</v>
      </c>
      <c r="AI105" s="19">
        <v>10500</v>
      </c>
      <c r="AJ105" s="19">
        <v>10500</v>
      </c>
      <c r="AK105" s="19">
        <v>10500</v>
      </c>
      <c r="AL105" s="19">
        <v>10500</v>
      </c>
      <c r="AM105" s="19">
        <v>10500</v>
      </c>
      <c r="AN105" s="19">
        <v>10500</v>
      </c>
      <c r="AO105" s="19">
        <v>10500</v>
      </c>
      <c r="AP105" s="19">
        <v>10500</v>
      </c>
      <c r="AQ105" s="19">
        <v>10500</v>
      </c>
      <c r="AR105" s="19">
        <v>10500</v>
      </c>
      <c r="AS105" s="19">
        <v>10500</v>
      </c>
      <c r="AT105" s="19">
        <v>10500</v>
      </c>
      <c r="AU105" s="19">
        <v>10500</v>
      </c>
      <c r="AV105" s="19">
        <v>10500</v>
      </c>
      <c r="AW105" s="19">
        <v>10500</v>
      </c>
      <c r="AX105" s="19">
        <v>10500</v>
      </c>
      <c r="AY105" s="19">
        <v>10500</v>
      </c>
      <c r="AZ105" s="19">
        <v>10500</v>
      </c>
      <c r="BA105" s="19">
        <v>10500</v>
      </c>
      <c r="BB105" s="19">
        <v>0</v>
      </c>
      <c r="BC105" s="19">
        <v>0</v>
      </c>
      <c r="BD105" s="19">
        <v>10500</v>
      </c>
      <c r="BE105" s="19">
        <v>10500</v>
      </c>
      <c r="BF105" s="19">
        <v>0</v>
      </c>
      <c r="BG105" s="19">
        <v>10500</v>
      </c>
      <c r="BH105" s="19">
        <v>10500</v>
      </c>
      <c r="BI105" s="19">
        <v>10500</v>
      </c>
      <c r="BJ105" s="19">
        <v>10500</v>
      </c>
      <c r="BK105" s="19">
        <v>10500</v>
      </c>
      <c r="BL105" s="19">
        <v>10500</v>
      </c>
      <c r="BM105" s="19">
        <v>10500</v>
      </c>
      <c r="BN105" s="19">
        <v>0</v>
      </c>
      <c r="BO105" s="19">
        <v>21000</v>
      </c>
      <c r="BP105" s="19">
        <v>10500</v>
      </c>
      <c r="BQ105" s="19">
        <v>10500</v>
      </c>
      <c r="BR105" s="19">
        <v>10500</v>
      </c>
      <c r="BS105" s="19">
        <v>10500</v>
      </c>
      <c r="BT105" s="19">
        <v>10500</v>
      </c>
      <c r="BU105" s="19">
        <v>10500</v>
      </c>
      <c r="BV105" s="19">
        <v>10500</v>
      </c>
      <c r="BW105" s="19">
        <v>10500</v>
      </c>
      <c r="BX105" s="19">
        <v>10500</v>
      </c>
      <c r="BY105" s="19">
        <v>10500</v>
      </c>
      <c r="BZ105" s="19">
        <v>10500</v>
      </c>
      <c r="CA105" s="19">
        <v>10500</v>
      </c>
      <c r="CB105" s="19">
        <v>0</v>
      </c>
      <c r="CC105" s="19">
        <v>21000</v>
      </c>
      <c r="CD105" s="19">
        <v>0</v>
      </c>
      <c r="CE105" s="19">
        <v>0</v>
      </c>
      <c r="CF105" s="19">
        <v>10500</v>
      </c>
      <c r="CG105" s="19">
        <v>0</v>
      </c>
      <c r="CH105" s="19">
        <v>42000</v>
      </c>
      <c r="CI105" s="19">
        <v>10500</v>
      </c>
      <c r="CJ105" s="19">
        <v>10500</v>
      </c>
      <c r="CK105" s="19">
        <v>10500</v>
      </c>
      <c r="CL105" s="19">
        <v>0</v>
      </c>
      <c r="CM105" s="19">
        <v>10500</v>
      </c>
      <c r="CN105" s="19">
        <v>10500</v>
      </c>
      <c r="CO105" s="19">
        <v>10500</v>
      </c>
      <c r="CP105" s="19">
        <v>0</v>
      </c>
      <c r="CQ105" s="19">
        <v>10500</v>
      </c>
      <c r="CR105" s="19">
        <v>10500</v>
      </c>
      <c r="CS105" s="19">
        <v>10500</v>
      </c>
      <c r="CT105" s="19">
        <v>10500</v>
      </c>
      <c r="CU105" s="19">
        <v>10500</v>
      </c>
      <c r="CV105" s="19">
        <v>10500</v>
      </c>
      <c r="CW105" s="19">
        <v>0</v>
      </c>
      <c r="CX105" s="19">
        <v>10500</v>
      </c>
      <c r="CY105" s="19">
        <v>0</v>
      </c>
      <c r="CZ105" s="19">
        <v>0</v>
      </c>
      <c r="DA105" s="19">
        <v>10500</v>
      </c>
      <c r="DB105" s="19">
        <v>10500</v>
      </c>
      <c r="DC105" s="19">
        <v>0</v>
      </c>
      <c r="DD105" s="19">
        <v>10500</v>
      </c>
      <c r="DE105" s="19">
        <v>10500</v>
      </c>
      <c r="DF105" s="19">
        <v>0</v>
      </c>
      <c r="DG105" s="19"/>
      <c r="DH105" s="19">
        <v>10500</v>
      </c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</row>
    <row r="106" spans="1:122" ht="15.75" customHeight="1" x14ac:dyDescent="0.3">
      <c r="A106" s="15">
        <v>97</v>
      </c>
      <c r="B106" s="16" t="s">
        <v>88</v>
      </c>
      <c r="C106" s="17">
        <v>10500</v>
      </c>
      <c r="D106" s="18">
        <f>Sheet3!C102</f>
        <v>91</v>
      </c>
      <c r="E106" s="19">
        <v>10500</v>
      </c>
      <c r="F106" s="19">
        <v>10500</v>
      </c>
      <c r="G106" s="19">
        <v>10500</v>
      </c>
      <c r="H106" s="19">
        <v>10500</v>
      </c>
      <c r="I106" s="19">
        <v>10500</v>
      </c>
      <c r="J106" s="19">
        <v>10500</v>
      </c>
      <c r="K106" s="19">
        <v>10500</v>
      </c>
      <c r="L106" s="19">
        <v>10500</v>
      </c>
      <c r="M106" s="19">
        <v>10500</v>
      </c>
      <c r="N106" s="19">
        <v>10500</v>
      </c>
      <c r="O106" s="19">
        <v>10500</v>
      </c>
      <c r="P106" s="19">
        <v>10500</v>
      </c>
      <c r="Q106" s="19">
        <v>10500</v>
      </c>
      <c r="R106" s="19">
        <v>10500</v>
      </c>
      <c r="S106" s="19">
        <v>10500</v>
      </c>
      <c r="T106" s="19">
        <v>10500</v>
      </c>
      <c r="U106" s="19">
        <v>10500</v>
      </c>
      <c r="V106" s="19">
        <v>10500</v>
      </c>
      <c r="W106" s="19">
        <v>10500</v>
      </c>
      <c r="X106" s="19">
        <v>10500</v>
      </c>
      <c r="Y106" s="19">
        <v>10500</v>
      </c>
      <c r="Z106" s="19">
        <v>10500</v>
      </c>
      <c r="AA106" s="19">
        <v>10500</v>
      </c>
      <c r="AB106" s="19">
        <v>10500</v>
      </c>
      <c r="AC106" s="19">
        <v>10500</v>
      </c>
      <c r="AD106" s="19">
        <v>10500</v>
      </c>
      <c r="AE106" s="19">
        <v>10500</v>
      </c>
      <c r="AF106" s="19">
        <v>10500</v>
      </c>
      <c r="AG106" s="19">
        <v>10500</v>
      </c>
      <c r="AH106" s="19">
        <v>10500</v>
      </c>
      <c r="AI106" s="19">
        <v>0</v>
      </c>
      <c r="AJ106" s="19">
        <v>21000</v>
      </c>
      <c r="AK106" s="19">
        <v>10500</v>
      </c>
      <c r="AL106" s="19">
        <v>10500</v>
      </c>
      <c r="AM106" s="19">
        <v>10500</v>
      </c>
      <c r="AN106" s="19">
        <v>10500</v>
      </c>
      <c r="AO106" s="19">
        <v>10500</v>
      </c>
      <c r="AP106" s="19">
        <v>10500</v>
      </c>
      <c r="AQ106" s="19">
        <v>10500</v>
      </c>
      <c r="AR106" s="19">
        <v>10500</v>
      </c>
      <c r="AS106" s="19">
        <v>10500</v>
      </c>
      <c r="AT106" s="19">
        <v>0</v>
      </c>
      <c r="AU106" s="19">
        <v>0</v>
      </c>
      <c r="AV106" s="19">
        <v>10500</v>
      </c>
      <c r="AW106" s="19">
        <v>0</v>
      </c>
      <c r="AX106" s="19">
        <v>0</v>
      </c>
      <c r="AY106" s="19">
        <v>0</v>
      </c>
      <c r="AZ106" s="19">
        <v>0</v>
      </c>
      <c r="BA106" s="19">
        <v>10500</v>
      </c>
      <c r="BB106" s="19">
        <v>0</v>
      </c>
      <c r="BC106" s="19">
        <v>0</v>
      </c>
      <c r="BD106" s="19">
        <v>10500</v>
      </c>
      <c r="BE106" s="19">
        <v>10500</v>
      </c>
      <c r="BF106" s="19">
        <v>0</v>
      </c>
      <c r="BG106" s="19">
        <v>10500</v>
      </c>
      <c r="BH106" s="19">
        <v>0</v>
      </c>
      <c r="BI106" s="19">
        <v>0</v>
      </c>
      <c r="BJ106" s="19">
        <v>0</v>
      </c>
      <c r="BK106" s="19">
        <v>0</v>
      </c>
      <c r="BL106" s="19">
        <v>0</v>
      </c>
      <c r="BM106" s="19">
        <v>10500</v>
      </c>
      <c r="BN106" s="19">
        <v>0</v>
      </c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147000</v>
      </c>
      <c r="BU106" s="19"/>
      <c r="BV106" s="19">
        <v>0</v>
      </c>
      <c r="BW106" s="19">
        <v>0</v>
      </c>
      <c r="BX106" s="19">
        <v>0</v>
      </c>
      <c r="BY106" s="19">
        <v>42000</v>
      </c>
      <c r="BZ106" s="19">
        <v>0</v>
      </c>
      <c r="CA106" s="19">
        <v>10500</v>
      </c>
      <c r="CB106" s="19">
        <v>0</v>
      </c>
      <c r="CC106" s="19">
        <v>0</v>
      </c>
      <c r="CD106" s="19">
        <v>0</v>
      </c>
      <c r="CE106" s="19">
        <v>0</v>
      </c>
      <c r="CF106" s="19">
        <v>0</v>
      </c>
      <c r="CG106" s="19">
        <v>0</v>
      </c>
      <c r="CH106" s="19">
        <v>0</v>
      </c>
      <c r="CI106" s="19">
        <v>0</v>
      </c>
      <c r="CJ106" s="19">
        <v>0</v>
      </c>
      <c r="CK106" s="19">
        <v>0</v>
      </c>
      <c r="CL106" s="19">
        <v>115500</v>
      </c>
      <c r="CM106" s="19">
        <v>31500</v>
      </c>
      <c r="CN106" s="19">
        <v>0</v>
      </c>
      <c r="CO106" s="19">
        <v>0</v>
      </c>
      <c r="CP106" s="19">
        <v>52500</v>
      </c>
      <c r="CQ106" s="19">
        <v>63000</v>
      </c>
      <c r="CR106" s="19">
        <v>0</v>
      </c>
      <c r="CS106" s="19">
        <v>0</v>
      </c>
      <c r="CT106" s="19">
        <v>0</v>
      </c>
      <c r="CU106" s="19">
        <v>0</v>
      </c>
      <c r="CV106" s="19">
        <v>0</v>
      </c>
      <c r="CW106" s="19">
        <v>0</v>
      </c>
      <c r="CX106" s="19">
        <v>0</v>
      </c>
      <c r="CY106" s="19">
        <v>0</v>
      </c>
      <c r="CZ106" s="19">
        <v>0</v>
      </c>
      <c r="DA106" s="19">
        <v>0</v>
      </c>
      <c r="DB106" s="19">
        <v>0</v>
      </c>
      <c r="DC106" s="19">
        <v>0</v>
      </c>
      <c r="DD106" s="19">
        <v>0</v>
      </c>
      <c r="DE106" s="19">
        <v>0</v>
      </c>
      <c r="DF106" s="19">
        <v>0</v>
      </c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</row>
    <row r="107" spans="1:122" ht="15.75" customHeight="1" x14ac:dyDescent="0.3">
      <c r="A107" s="15">
        <v>97</v>
      </c>
      <c r="B107" s="16" t="s">
        <v>89</v>
      </c>
      <c r="C107" s="17">
        <v>10500</v>
      </c>
      <c r="D107" s="18">
        <f>Sheet3!C103</f>
        <v>89</v>
      </c>
      <c r="E107" s="19">
        <v>10500</v>
      </c>
      <c r="F107" s="19">
        <v>10500</v>
      </c>
      <c r="G107" s="19">
        <v>10500</v>
      </c>
      <c r="H107" s="19">
        <v>10500</v>
      </c>
      <c r="I107" s="19">
        <v>10500</v>
      </c>
      <c r="J107" s="19">
        <v>10500</v>
      </c>
      <c r="K107" s="19">
        <v>10500</v>
      </c>
      <c r="L107" s="19">
        <v>10500</v>
      </c>
      <c r="M107" s="19">
        <v>10500</v>
      </c>
      <c r="N107" s="19">
        <v>10500</v>
      </c>
      <c r="O107" s="19">
        <v>10500</v>
      </c>
      <c r="P107" s="19">
        <v>10500</v>
      </c>
      <c r="Q107" s="19">
        <v>10500</v>
      </c>
      <c r="R107" s="19">
        <v>10500</v>
      </c>
      <c r="S107" s="19">
        <v>10500</v>
      </c>
      <c r="T107" s="19">
        <v>10500</v>
      </c>
      <c r="U107" s="19">
        <v>10500</v>
      </c>
      <c r="V107" s="19">
        <v>10500</v>
      </c>
      <c r="W107" s="19">
        <v>10500</v>
      </c>
      <c r="X107" s="19">
        <v>10500</v>
      </c>
      <c r="Y107" s="19">
        <v>10500</v>
      </c>
      <c r="Z107" s="19">
        <v>10500</v>
      </c>
      <c r="AA107" s="19">
        <v>10500</v>
      </c>
      <c r="AB107" s="19">
        <v>10500</v>
      </c>
      <c r="AC107" s="19">
        <v>10500</v>
      </c>
      <c r="AD107" s="19">
        <v>10500</v>
      </c>
      <c r="AE107" s="19">
        <v>10500</v>
      </c>
      <c r="AF107" s="19">
        <v>10500</v>
      </c>
      <c r="AG107" s="19">
        <v>10500</v>
      </c>
      <c r="AH107" s="19">
        <v>10500</v>
      </c>
      <c r="AI107" s="19">
        <v>10500</v>
      </c>
      <c r="AJ107" s="19">
        <v>10500</v>
      </c>
      <c r="AK107" s="19">
        <v>10500</v>
      </c>
      <c r="AL107" s="19">
        <v>10500</v>
      </c>
      <c r="AM107" s="19">
        <v>10500</v>
      </c>
      <c r="AN107" s="19">
        <v>10500</v>
      </c>
      <c r="AO107" s="19">
        <v>10500</v>
      </c>
      <c r="AP107" s="19">
        <v>0</v>
      </c>
      <c r="AQ107" s="19">
        <v>21000</v>
      </c>
      <c r="AR107" s="19">
        <v>10500</v>
      </c>
      <c r="AS107" s="19">
        <v>10500</v>
      </c>
      <c r="AT107" s="19">
        <v>10500</v>
      </c>
      <c r="AU107" s="19">
        <v>10500</v>
      </c>
      <c r="AV107" s="19">
        <v>10500</v>
      </c>
      <c r="AW107" s="19">
        <v>10500</v>
      </c>
      <c r="AX107" s="19">
        <v>10500</v>
      </c>
      <c r="AY107" s="19">
        <v>10500</v>
      </c>
      <c r="AZ107" s="19">
        <v>10500</v>
      </c>
      <c r="BA107" s="19">
        <v>10500</v>
      </c>
      <c r="BB107" s="19">
        <v>10500</v>
      </c>
      <c r="BC107" s="19">
        <v>10500</v>
      </c>
      <c r="BD107" s="19">
        <v>10500</v>
      </c>
      <c r="BE107" s="19">
        <v>10500</v>
      </c>
      <c r="BF107" s="19">
        <v>0</v>
      </c>
      <c r="BG107" s="19">
        <v>21000</v>
      </c>
      <c r="BH107" s="19">
        <v>0</v>
      </c>
      <c r="BI107" s="19">
        <v>10500</v>
      </c>
      <c r="BJ107" s="19">
        <v>21000</v>
      </c>
      <c r="BK107" s="19">
        <v>10500</v>
      </c>
      <c r="BL107" s="19">
        <v>10500</v>
      </c>
      <c r="BM107" s="19">
        <v>10500</v>
      </c>
      <c r="BN107" s="19">
        <v>10500</v>
      </c>
      <c r="BO107" s="19">
        <v>10500</v>
      </c>
      <c r="BP107" s="19">
        <v>10500</v>
      </c>
      <c r="BQ107" s="19">
        <v>10500</v>
      </c>
      <c r="BR107" s="19">
        <v>10500</v>
      </c>
      <c r="BS107" s="19">
        <v>10500</v>
      </c>
      <c r="BT107" s="19">
        <v>10500</v>
      </c>
      <c r="BU107" s="19">
        <v>10500</v>
      </c>
      <c r="BV107" s="19">
        <v>10500</v>
      </c>
      <c r="BW107" s="19">
        <v>0</v>
      </c>
      <c r="BX107" s="19">
        <v>10500</v>
      </c>
      <c r="BY107" s="19">
        <v>10500</v>
      </c>
      <c r="BZ107" s="19">
        <v>10500</v>
      </c>
      <c r="CA107" s="19">
        <v>10500</v>
      </c>
      <c r="CB107" s="19">
        <v>10500</v>
      </c>
      <c r="CC107" s="19">
        <v>10500</v>
      </c>
      <c r="CD107" s="19">
        <v>0</v>
      </c>
      <c r="CE107" s="19">
        <v>10500</v>
      </c>
      <c r="CF107" s="19">
        <v>10500</v>
      </c>
      <c r="CG107" s="19">
        <v>10500</v>
      </c>
      <c r="CH107" s="19">
        <v>10500</v>
      </c>
      <c r="CI107" s="19">
        <v>10500</v>
      </c>
      <c r="CJ107" s="19">
        <v>0</v>
      </c>
      <c r="CK107" s="19">
        <v>10500</v>
      </c>
      <c r="CL107" s="19">
        <v>0</v>
      </c>
      <c r="CM107" s="19">
        <v>42000</v>
      </c>
      <c r="CN107" s="19">
        <v>0</v>
      </c>
      <c r="CO107" s="19">
        <v>0</v>
      </c>
      <c r="CP107" s="19">
        <v>0</v>
      </c>
      <c r="CQ107" s="24">
        <v>0</v>
      </c>
      <c r="CR107" s="19">
        <v>0</v>
      </c>
      <c r="CS107" s="19">
        <v>31500</v>
      </c>
      <c r="CT107" s="19">
        <v>0</v>
      </c>
      <c r="CU107" s="19">
        <v>0</v>
      </c>
      <c r="CV107" s="19">
        <v>0</v>
      </c>
      <c r="CW107" s="19">
        <v>0</v>
      </c>
      <c r="CX107" s="19">
        <v>0</v>
      </c>
      <c r="CY107" s="19">
        <v>0</v>
      </c>
      <c r="CZ107" s="19">
        <v>0</v>
      </c>
      <c r="DA107" s="19">
        <v>0</v>
      </c>
      <c r="DB107" s="19">
        <v>0</v>
      </c>
      <c r="DC107" s="19">
        <v>0</v>
      </c>
      <c r="DD107" s="19">
        <v>0</v>
      </c>
      <c r="DE107" s="19">
        <v>0</v>
      </c>
      <c r="DF107" s="19">
        <v>0</v>
      </c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</row>
    <row r="108" spans="1:122" ht="15.75" customHeight="1" x14ac:dyDescent="0.3">
      <c r="A108" s="15">
        <v>98</v>
      </c>
      <c r="B108" s="16" t="s">
        <v>90</v>
      </c>
      <c r="C108" s="17">
        <v>10500</v>
      </c>
      <c r="D108" s="18">
        <f>Sheet3!C104</f>
        <v>102</v>
      </c>
      <c r="E108" s="19">
        <v>10500</v>
      </c>
      <c r="F108" s="19">
        <v>10500</v>
      </c>
      <c r="G108" s="19">
        <v>10500</v>
      </c>
      <c r="H108" s="19">
        <v>10500</v>
      </c>
      <c r="I108" s="19">
        <v>10500</v>
      </c>
      <c r="J108" s="19">
        <v>10500</v>
      </c>
      <c r="K108" s="19">
        <v>10500</v>
      </c>
      <c r="L108" s="19">
        <v>10500</v>
      </c>
      <c r="M108" s="19">
        <v>10500</v>
      </c>
      <c r="N108" s="19">
        <v>10500</v>
      </c>
      <c r="O108" s="19">
        <v>10500</v>
      </c>
      <c r="P108" s="19">
        <v>10500</v>
      </c>
      <c r="Q108" s="19">
        <v>10500</v>
      </c>
      <c r="R108" s="19">
        <v>10500</v>
      </c>
      <c r="S108" s="19">
        <v>10500</v>
      </c>
      <c r="T108" s="19">
        <v>10500</v>
      </c>
      <c r="U108" s="19">
        <v>10500</v>
      </c>
      <c r="V108" s="19">
        <v>10500</v>
      </c>
      <c r="W108" s="19">
        <v>10500</v>
      </c>
      <c r="X108" s="19">
        <v>10500</v>
      </c>
      <c r="Y108" s="19">
        <v>10500</v>
      </c>
      <c r="Z108" s="19">
        <v>10500</v>
      </c>
      <c r="AA108" s="19">
        <v>10500</v>
      </c>
      <c r="AB108" s="19">
        <v>10500</v>
      </c>
      <c r="AC108" s="19">
        <v>0</v>
      </c>
      <c r="AD108" s="19">
        <v>21000</v>
      </c>
      <c r="AE108" s="19">
        <v>10500</v>
      </c>
      <c r="AF108" s="19">
        <v>10500</v>
      </c>
      <c r="AG108" s="19">
        <v>10500</v>
      </c>
      <c r="AH108" s="19">
        <v>0</v>
      </c>
      <c r="AI108" s="19">
        <v>21000</v>
      </c>
      <c r="AJ108" s="19">
        <v>10500</v>
      </c>
      <c r="AK108" s="19">
        <v>0</v>
      </c>
      <c r="AL108" s="19">
        <v>21000</v>
      </c>
      <c r="AM108" s="19">
        <v>0</v>
      </c>
      <c r="AN108" s="19">
        <v>10500</v>
      </c>
      <c r="AO108" s="19">
        <v>0</v>
      </c>
      <c r="AP108" s="19">
        <v>10500</v>
      </c>
      <c r="AQ108" s="19">
        <v>31500</v>
      </c>
      <c r="AR108" s="19">
        <v>10500</v>
      </c>
      <c r="AS108" s="19">
        <v>10500</v>
      </c>
      <c r="AT108" s="19">
        <v>10500</v>
      </c>
      <c r="AU108" s="19">
        <v>10500</v>
      </c>
      <c r="AV108" s="19">
        <v>0</v>
      </c>
      <c r="AW108" s="19">
        <v>21000</v>
      </c>
      <c r="AX108" s="19">
        <v>10500</v>
      </c>
      <c r="AY108" s="19">
        <v>10500</v>
      </c>
      <c r="AZ108" s="19">
        <v>10500</v>
      </c>
      <c r="BA108" s="19">
        <v>0</v>
      </c>
      <c r="BB108" s="19">
        <v>21000</v>
      </c>
      <c r="BC108" s="19">
        <v>10500</v>
      </c>
      <c r="BD108" s="19">
        <v>10500</v>
      </c>
      <c r="BE108" s="19">
        <v>0</v>
      </c>
      <c r="BF108" s="19">
        <v>21000</v>
      </c>
      <c r="BG108" s="19">
        <v>10500</v>
      </c>
      <c r="BH108" s="19">
        <v>10500</v>
      </c>
      <c r="BI108" s="19">
        <v>10500</v>
      </c>
      <c r="BJ108" s="19">
        <v>10500</v>
      </c>
      <c r="BK108" s="19">
        <v>10500</v>
      </c>
      <c r="BL108" s="19">
        <v>10500</v>
      </c>
      <c r="BM108" s="19">
        <v>10500</v>
      </c>
      <c r="BN108" s="19">
        <v>0</v>
      </c>
      <c r="BO108" s="19">
        <v>10500</v>
      </c>
      <c r="BP108" s="19">
        <v>0</v>
      </c>
      <c r="BQ108" s="19">
        <v>21000</v>
      </c>
      <c r="BR108" s="19">
        <v>10500</v>
      </c>
      <c r="BS108" s="19">
        <v>0</v>
      </c>
      <c r="BT108" s="19">
        <v>21000</v>
      </c>
      <c r="BU108" s="19">
        <v>10500</v>
      </c>
      <c r="BV108" s="19">
        <v>10500</v>
      </c>
      <c r="BW108" s="19">
        <v>0</v>
      </c>
      <c r="BX108" s="19">
        <v>21000</v>
      </c>
      <c r="BY108" s="19">
        <v>0</v>
      </c>
      <c r="BZ108" s="19">
        <v>21000</v>
      </c>
      <c r="CA108" s="19">
        <v>10500</v>
      </c>
      <c r="CB108" s="19">
        <v>0</v>
      </c>
      <c r="CC108" s="19">
        <v>0</v>
      </c>
      <c r="CD108" s="19">
        <v>21000</v>
      </c>
      <c r="CE108" s="19">
        <v>0</v>
      </c>
      <c r="CF108" s="19">
        <v>21000</v>
      </c>
      <c r="CG108" s="19">
        <v>10500</v>
      </c>
      <c r="CH108" s="19">
        <v>10500</v>
      </c>
      <c r="CI108" s="19">
        <v>31500</v>
      </c>
      <c r="CJ108" s="19">
        <v>0</v>
      </c>
      <c r="CK108" s="19">
        <v>21000</v>
      </c>
      <c r="CL108" s="19">
        <v>0</v>
      </c>
      <c r="CM108" s="19">
        <v>0</v>
      </c>
      <c r="CN108" s="19">
        <v>31500</v>
      </c>
      <c r="CO108" s="19">
        <v>0</v>
      </c>
      <c r="CP108" s="19">
        <v>0</v>
      </c>
      <c r="CQ108" s="19">
        <v>31500</v>
      </c>
      <c r="CR108" s="19">
        <v>0</v>
      </c>
      <c r="CS108" s="19">
        <v>0</v>
      </c>
      <c r="CT108" s="19">
        <v>21000</v>
      </c>
      <c r="CU108" s="19">
        <v>0</v>
      </c>
      <c r="CV108" s="19">
        <v>0</v>
      </c>
      <c r="CW108" s="19">
        <v>21000</v>
      </c>
      <c r="CX108" s="19">
        <v>10500</v>
      </c>
      <c r="CY108" s="19">
        <v>10500</v>
      </c>
      <c r="CZ108" s="19">
        <v>0</v>
      </c>
      <c r="DA108" s="19">
        <v>21000</v>
      </c>
      <c r="DB108" s="19">
        <v>0</v>
      </c>
      <c r="DC108" s="19">
        <v>10500</v>
      </c>
      <c r="DD108" s="19">
        <v>10500</v>
      </c>
      <c r="DE108" s="19">
        <v>10500</v>
      </c>
      <c r="DF108" s="19">
        <v>0</v>
      </c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</row>
    <row r="109" spans="1:122" ht="15.75" customHeight="1" x14ac:dyDescent="0.3">
      <c r="A109" s="15">
        <v>98</v>
      </c>
      <c r="B109" s="16" t="s">
        <v>91</v>
      </c>
      <c r="C109" s="17">
        <v>10500</v>
      </c>
      <c r="D109" s="18">
        <f>Sheet3!C105</f>
        <v>105</v>
      </c>
      <c r="E109" s="19">
        <v>10500</v>
      </c>
      <c r="F109" s="19">
        <v>10500</v>
      </c>
      <c r="G109" s="19">
        <v>10500</v>
      </c>
      <c r="H109" s="19">
        <v>10500</v>
      </c>
      <c r="I109" s="19">
        <v>10500</v>
      </c>
      <c r="J109" s="19">
        <v>10500</v>
      </c>
      <c r="K109" s="19">
        <v>10500</v>
      </c>
      <c r="L109" s="19">
        <v>10500</v>
      </c>
      <c r="M109" s="19">
        <v>10500</v>
      </c>
      <c r="N109" s="19">
        <v>10500</v>
      </c>
      <c r="O109" s="19">
        <v>10500</v>
      </c>
      <c r="P109" s="19">
        <v>10500</v>
      </c>
      <c r="Q109" s="19">
        <v>10500</v>
      </c>
      <c r="R109" s="19">
        <v>10500</v>
      </c>
      <c r="S109" s="19">
        <v>10500</v>
      </c>
      <c r="T109" s="19">
        <v>10500</v>
      </c>
      <c r="U109" s="19">
        <v>10500</v>
      </c>
      <c r="V109" s="19">
        <v>10500</v>
      </c>
      <c r="W109" s="19">
        <v>10500</v>
      </c>
      <c r="X109" s="19">
        <v>10500</v>
      </c>
      <c r="Y109" s="19">
        <v>10500</v>
      </c>
      <c r="Z109" s="19">
        <v>10500</v>
      </c>
      <c r="AA109" s="19">
        <v>10500</v>
      </c>
      <c r="AB109" s="19">
        <v>10500</v>
      </c>
      <c r="AC109" s="19">
        <v>10500</v>
      </c>
      <c r="AD109" s="19">
        <v>10500</v>
      </c>
      <c r="AE109" s="19">
        <v>10500</v>
      </c>
      <c r="AF109" s="19">
        <v>10500</v>
      </c>
      <c r="AG109" s="19">
        <v>10500</v>
      </c>
      <c r="AH109" s="19">
        <v>10500</v>
      </c>
      <c r="AI109" s="19">
        <v>10500</v>
      </c>
      <c r="AJ109" s="19">
        <v>10500</v>
      </c>
      <c r="AK109" s="19">
        <v>10500</v>
      </c>
      <c r="AL109" s="19">
        <v>10500</v>
      </c>
      <c r="AM109" s="19">
        <v>10500</v>
      </c>
      <c r="AN109" s="19">
        <v>10500</v>
      </c>
      <c r="AO109" s="19">
        <v>10500</v>
      </c>
      <c r="AP109" s="19">
        <v>10500</v>
      </c>
      <c r="AQ109" s="19">
        <v>10500</v>
      </c>
      <c r="AR109" s="19">
        <v>10500</v>
      </c>
      <c r="AS109" s="19">
        <v>10500</v>
      </c>
      <c r="AT109" s="19">
        <v>10500</v>
      </c>
      <c r="AU109" s="19">
        <v>10500</v>
      </c>
      <c r="AV109" s="19">
        <v>10500</v>
      </c>
      <c r="AW109" s="19">
        <v>10500</v>
      </c>
      <c r="AX109" s="19">
        <v>10500</v>
      </c>
      <c r="AY109" s="19">
        <v>10500</v>
      </c>
      <c r="AZ109" s="19">
        <v>10500</v>
      </c>
      <c r="BA109" s="19">
        <v>10500</v>
      </c>
      <c r="BB109" s="19">
        <v>10500</v>
      </c>
      <c r="BC109" s="19">
        <v>10500</v>
      </c>
      <c r="BD109" s="19">
        <v>10500</v>
      </c>
      <c r="BE109" s="19">
        <v>10500</v>
      </c>
      <c r="BF109" s="19">
        <v>10500</v>
      </c>
      <c r="BG109" s="19">
        <v>10500</v>
      </c>
      <c r="BH109" s="19">
        <v>10500</v>
      </c>
      <c r="BI109" s="19">
        <v>10500</v>
      </c>
      <c r="BJ109" s="19">
        <v>10500</v>
      </c>
      <c r="BK109" s="19">
        <v>10500</v>
      </c>
      <c r="BL109" s="19">
        <v>10500</v>
      </c>
      <c r="BM109" s="19">
        <v>10500</v>
      </c>
      <c r="BN109" s="19">
        <v>0</v>
      </c>
      <c r="BO109" s="19">
        <v>21000</v>
      </c>
      <c r="BP109" s="19">
        <v>10500</v>
      </c>
      <c r="BQ109" s="19">
        <v>10500</v>
      </c>
      <c r="BR109" s="19">
        <v>0</v>
      </c>
      <c r="BS109" s="19">
        <v>21000</v>
      </c>
      <c r="BT109" s="19">
        <v>10500</v>
      </c>
      <c r="BU109" s="19">
        <v>10500</v>
      </c>
      <c r="BV109" s="19">
        <v>10500</v>
      </c>
      <c r="BW109" s="19">
        <v>0</v>
      </c>
      <c r="BX109" s="19">
        <v>21000</v>
      </c>
      <c r="BY109" s="19">
        <v>10500</v>
      </c>
      <c r="BZ109" s="19">
        <v>10500</v>
      </c>
      <c r="CA109" s="19">
        <v>10500</v>
      </c>
      <c r="CB109" s="19">
        <v>10500</v>
      </c>
      <c r="CC109" s="19">
        <v>10500</v>
      </c>
      <c r="CD109" s="19">
        <v>0</v>
      </c>
      <c r="CE109" s="19">
        <v>0</v>
      </c>
      <c r="CF109" s="19">
        <v>21000</v>
      </c>
      <c r="CG109" s="19">
        <v>10500</v>
      </c>
      <c r="CH109" s="19">
        <v>10500</v>
      </c>
      <c r="CI109" s="19">
        <v>10500</v>
      </c>
      <c r="CJ109" s="19">
        <v>21000</v>
      </c>
      <c r="CK109" s="19">
        <v>10500</v>
      </c>
      <c r="CL109" s="19">
        <v>10500</v>
      </c>
      <c r="CM109" s="19">
        <v>0</v>
      </c>
      <c r="CN109" s="19">
        <v>10500</v>
      </c>
      <c r="CO109" s="19">
        <v>10500</v>
      </c>
      <c r="CP109" s="19">
        <v>10500</v>
      </c>
      <c r="CQ109" s="24">
        <v>0</v>
      </c>
      <c r="CR109" s="19">
        <v>21000</v>
      </c>
      <c r="CS109" s="19">
        <v>10500</v>
      </c>
      <c r="CT109" s="19">
        <v>0</v>
      </c>
      <c r="CU109" s="19">
        <v>21000</v>
      </c>
      <c r="CV109" s="19">
        <v>0</v>
      </c>
      <c r="CW109" s="19">
        <v>21000</v>
      </c>
      <c r="CX109" s="19">
        <v>0</v>
      </c>
      <c r="CY109" s="19">
        <v>21000</v>
      </c>
      <c r="CZ109" s="19">
        <v>0</v>
      </c>
      <c r="DA109" s="19">
        <v>21000</v>
      </c>
      <c r="DB109" s="19">
        <v>0</v>
      </c>
      <c r="DC109" s="19">
        <v>0</v>
      </c>
      <c r="DD109" s="19">
        <v>21000</v>
      </c>
      <c r="DE109" s="19">
        <v>0</v>
      </c>
      <c r="DF109" s="19">
        <v>0</v>
      </c>
      <c r="DG109" s="19">
        <v>31500</v>
      </c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</row>
    <row r="110" spans="1:122" ht="15.75" customHeight="1" x14ac:dyDescent="0.3">
      <c r="A110" s="15">
        <v>99</v>
      </c>
      <c r="B110" s="16" t="s">
        <v>92</v>
      </c>
      <c r="C110" s="17">
        <v>10500</v>
      </c>
      <c r="D110" s="18">
        <f>Sheet3!C106</f>
        <v>104</v>
      </c>
      <c r="E110" s="19">
        <v>10500</v>
      </c>
      <c r="F110" s="19">
        <v>10500</v>
      </c>
      <c r="G110" s="19">
        <v>10500</v>
      </c>
      <c r="H110" s="19">
        <v>10500</v>
      </c>
      <c r="I110" s="19">
        <v>10500</v>
      </c>
      <c r="J110" s="19">
        <v>10500</v>
      </c>
      <c r="K110" s="19">
        <v>10500</v>
      </c>
      <c r="L110" s="19">
        <v>10500</v>
      </c>
      <c r="M110" s="19">
        <v>10500</v>
      </c>
      <c r="N110" s="19">
        <v>10500</v>
      </c>
      <c r="O110" s="19">
        <v>10500</v>
      </c>
      <c r="P110" s="19">
        <v>10500</v>
      </c>
      <c r="Q110" s="19">
        <v>10500</v>
      </c>
      <c r="R110" s="19">
        <v>10500</v>
      </c>
      <c r="S110" s="19">
        <v>10500</v>
      </c>
      <c r="T110" s="19">
        <v>10500</v>
      </c>
      <c r="U110" s="19">
        <v>10500</v>
      </c>
      <c r="V110" s="19">
        <v>10500</v>
      </c>
      <c r="W110" s="19">
        <v>10500</v>
      </c>
      <c r="X110" s="19">
        <v>10500</v>
      </c>
      <c r="Y110" s="19">
        <v>10500</v>
      </c>
      <c r="Z110" s="19">
        <v>10500</v>
      </c>
      <c r="AA110" s="19">
        <v>10500</v>
      </c>
      <c r="AB110" s="19">
        <v>10500</v>
      </c>
      <c r="AC110" s="19">
        <v>10500</v>
      </c>
      <c r="AD110" s="19">
        <v>10500</v>
      </c>
      <c r="AE110" s="19">
        <v>10500</v>
      </c>
      <c r="AF110" s="19">
        <v>0</v>
      </c>
      <c r="AG110" s="19">
        <v>21000</v>
      </c>
      <c r="AH110" s="19">
        <v>10500</v>
      </c>
      <c r="AI110" s="19">
        <v>10500</v>
      </c>
      <c r="AJ110" s="19">
        <v>0</v>
      </c>
      <c r="AK110" s="19">
        <v>21000</v>
      </c>
      <c r="AL110" s="19">
        <v>10500</v>
      </c>
      <c r="AM110" s="19">
        <v>10500</v>
      </c>
      <c r="AN110" s="19">
        <v>10500</v>
      </c>
      <c r="AO110" s="19">
        <v>10500</v>
      </c>
      <c r="AP110" s="19">
        <v>10500</v>
      </c>
      <c r="AQ110" s="19">
        <v>10500</v>
      </c>
      <c r="AR110" s="19">
        <v>10500</v>
      </c>
      <c r="AS110" s="19">
        <v>10500</v>
      </c>
      <c r="AT110" s="19">
        <v>10500</v>
      </c>
      <c r="AU110" s="19">
        <v>10500</v>
      </c>
      <c r="AV110" s="19">
        <v>10500</v>
      </c>
      <c r="AW110" s="19">
        <v>10500</v>
      </c>
      <c r="AX110" s="19">
        <v>10500</v>
      </c>
      <c r="AY110" s="19">
        <v>10500</v>
      </c>
      <c r="AZ110" s="19">
        <v>10500</v>
      </c>
      <c r="BA110" s="19">
        <v>10500</v>
      </c>
      <c r="BB110" s="19">
        <v>10500</v>
      </c>
      <c r="BC110" s="19">
        <v>10500</v>
      </c>
      <c r="BD110" s="19">
        <v>10500</v>
      </c>
      <c r="BE110" s="19">
        <v>10500</v>
      </c>
      <c r="BF110" s="19">
        <v>10500</v>
      </c>
      <c r="BG110" s="19">
        <v>10500</v>
      </c>
      <c r="BH110" s="19">
        <v>0</v>
      </c>
      <c r="BI110" s="19">
        <v>21000</v>
      </c>
      <c r="BJ110" s="19">
        <v>0</v>
      </c>
      <c r="BK110" s="19">
        <v>21000</v>
      </c>
      <c r="BL110" s="19">
        <v>10500</v>
      </c>
      <c r="BM110" s="19">
        <v>10500</v>
      </c>
      <c r="BN110" s="19">
        <v>10500</v>
      </c>
      <c r="BO110" s="19">
        <v>10500</v>
      </c>
      <c r="BP110" s="19">
        <v>0</v>
      </c>
      <c r="BQ110" s="19">
        <v>10500</v>
      </c>
      <c r="BR110" s="19">
        <v>10500</v>
      </c>
      <c r="BS110" s="19">
        <v>10500</v>
      </c>
      <c r="BT110" s="19">
        <v>0</v>
      </c>
      <c r="BU110" s="19">
        <v>21000</v>
      </c>
      <c r="BV110" s="19">
        <v>10500</v>
      </c>
      <c r="BW110" s="19">
        <v>10500</v>
      </c>
      <c r="BX110" s="19">
        <v>0</v>
      </c>
      <c r="BY110" s="19">
        <v>21000</v>
      </c>
      <c r="BZ110" s="19">
        <v>10500</v>
      </c>
      <c r="CA110" s="19">
        <v>10500</v>
      </c>
      <c r="CB110" s="19">
        <v>10500</v>
      </c>
      <c r="CC110" s="19">
        <v>10500</v>
      </c>
      <c r="CD110" s="19">
        <v>10500</v>
      </c>
      <c r="CE110" s="19">
        <v>0</v>
      </c>
      <c r="CF110" s="19">
        <v>10500</v>
      </c>
      <c r="CG110" s="19">
        <v>21000</v>
      </c>
      <c r="CH110" s="19">
        <v>10500</v>
      </c>
      <c r="CI110" s="19">
        <v>0</v>
      </c>
      <c r="CJ110" s="19">
        <v>0</v>
      </c>
      <c r="CK110" s="19">
        <v>21000</v>
      </c>
      <c r="CL110" s="19">
        <v>10500</v>
      </c>
      <c r="CM110" s="19">
        <v>10500</v>
      </c>
      <c r="CN110" s="19">
        <v>10500</v>
      </c>
      <c r="CO110" s="19">
        <v>10500</v>
      </c>
      <c r="CP110" s="19">
        <v>10500</v>
      </c>
      <c r="CQ110" s="19">
        <v>10500</v>
      </c>
      <c r="CR110" s="19">
        <v>10500</v>
      </c>
      <c r="CS110" s="19">
        <v>10500</v>
      </c>
      <c r="CT110" s="19">
        <v>10500</v>
      </c>
      <c r="CU110" s="19">
        <v>10500</v>
      </c>
      <c r="CV110" s="19">
        <v>10500</v>
      </c>
      <c r="CW110" s="19">
        <v>31500</v>
      </c>
      <c r="CX110" s="19">
        <v>0</v>
      </c>
      <c r="CY110" s="19">
        <v>10500</v>
      </c>
      <c r="CZ110" s="19">
        <v>10500</v>
      </c>
      <c r="DA110" s="19">
        <v>10500</v>
      </c>
      <c r="DB110" s="19">
        <v>0</v>
      </c>
      <c r="DC110" s="19">
        <v>0</v>
      </c>
      <c r="DD110" s="19">
        <v>21000</v>
      </c>
      <c r="DE110" s="19">
        <v>0</v>
      </c>
      <c r="DF110" s="19">
        <v>10500</v>
      </c>
      <c r="DG110" s="19">
        <v>10500</v>
      </c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</row>
    <row r="111" spans="1:122" ht="15.75" customHeight="1" x14ac:dyDescent="0.3">
      <c r="A111" s="15">
        <v>99</v>
      </c>
      <c r="B111" s="16" t="s">
        <v>93</v>
      </c>
      <c r="C111" s="17">
        <v>10500</v>
      </c>
      <c r="D111" s="18">
        <f>Sheet3!C107</f>
        <v>7</v>
      </c>
      <c r="E111" s="19">
        <v>10500</v>
      </c>
      <c r="F111" s="19">
        <v>0</v>
      </c>
      <c r="G111" s="19">
        <v>0</v>
      </c>
      <c r="H111" s="19">
        <v>0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>
        <v>0</v>
      </c>
      <c r="AI111" s="19">
        <v>0</v>
      </c>
      <c r="AJ111" s="19">
        <v>0</v>
      </c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>
        <v>0</v>
      </c>
      <c r="AS111" s="19">
        <v>0</v>
      </c>
      <c r="AT111" s="19">
        <v>0</v>
      </c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>
        <v>0</v>
      </c>
      <c r="BC111" s="19">
        <v>0</v>
      </c>
      <c r="BD111" s="19">
        <v>0</v>
      </c>
      <c r="BE111" s="19">
        <v>0</v>
      </c>
      <c r="BF111" s="19">
        <v>0</v>
      </c>
      <c r="BG111" s="19">
        <v>0</v>
      </c>
      <c r="BH111" s="19">
        <v>0</v>
      </c>
      <c r="BI111" s="19">
        <v>0</v>
      </c>
      <c r="BJ111" s="19">
        <v>0</v>
      </c>
      <c r="BK111" s="19">
        <v>0</v>
      </c>
      <c r="BL111" s="19">
        <v>0</v>
      </c>
      <c r="BM111" s="19">
        <v>0</v>
      </c>
      <c r="BN111" s="19">
        <v>0</v>
      </c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/>
      <c r="BV111" s="19">
        <v>0</v>
      </c>
      <c r="BW111" s="19">
        <v>0</v>
      </c>
      <c r="BX111" s="19">
        <v>0</v>
      </c>
      <c r="BY111" s="19">
        <v>0</v>
      </c>
      <c r="BZ111" s="19">
        <v>0</v>
      </c>
      <c r="CA111" s="19">
        <v>0</v>
      </c>
      <c r="CB111" s="19">
        <v>0</v>
      </c>
      <c r="CC111" s="19">
        <v>0</v>
      </c>
      <c r="CD111" s="19">
        <v>0</v>
      </c>
      <c r="CE111" s="19">
        <v>0</v>
      </c>
      <c r="CF111" s="19">
        <v>0</v>
      </c>
      <c r="CG111" s="19">
        <v>0</v>
      </c>
      <c r="CH111" s="19">
        <v>0</v>
      </c>
      <c r="CI111" s="19">
        <v>0</v>
      </c>
      <c r="CJ111" s="19">
        <v>0</v>
      </c>
      <c r="CK111" s="19">
        <v>0</v>
      </c>
      <c r="CL111" s="19">
        <v>0</v>
      </c>
      <c r="CM111" s="19">
        <v>0</v>
      </c>
      <c r="CN111" s="19">
        <v>0</v>
      </c>
      <c r="CO111" s="19">
        <v>0</v>
      </c>
      <c r="CP111" s="19">
        <v>0</v>
      </c>
      <c r="CQ111" s="24">
        <v>0</v>
      </c>
      <c r="CR111" s="19">
        <v>0</v>
      </c>
      <c r="CS111" s="19">
        <v>0</v>
      </c>
      <c r="CT111" s="19">
        <v>0</v>
      </c>
      <c r="CU111" s="19">
        <v>0</v>
      </c>
      <c r="CV111" s="19">
        <v>0</v>
      </c>
      <c r="CW111" s="19">
        <v>0</v>
      </c>
      <c r="CX111" s="19">
        <v>0</v>
      </c>
      <c r="CY111" s="19">
        <v>0</v>
      </c>
      <c r="CZ111" s="19">
        <v>0</v>
      </c>
      <c r="DA111" s="19">
        <v>0</v>
      </c>
      <c r="DB111" s="19">
        <v>10500</v>
      </c>
      <c r="DC111" s="19">
        <v>0</v>
      </c>
      <c r="DD111" s="19">
        <v>0</v>
      </c>
      <c r="DE111" s="19">
        <v>0</v>
      </c>
      <c r="DF111" s="19">
        <v>0</v>
      </c>
      <c r="DG111" s="19"/>
      <c r="DH111" s="19">
        <v>52500</v>
      </c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</row>
    <row r="112" spans="1:122" ht="15.75" customHeight="1" x14ac:dyDescent="0.3">
      <c r="A112" s="25">
        <v>100</v>
      </c>
      <c r="B112" s="16" t="s">
        <v>94</v>
      </c>
      <c r="C112" s="17">
        <v>10500</v>
      </c>
      <c r="D112" s="18">
        <f>Sheet3!C108</f>
        <v>66</v>
      </c>
      <c r="E112" s="19">
        <v>10500</v>
      </c>
      <c r="F112" s="19">
        <v>10500</v>
      </c>
      <c r="G112" s="19">
        <v>10500</v>
      </c>
      <c r="H112" s="19">
        <v>10500</v>
      </c>
      <c r="I112" s="19">
        <v>10500</v>
      </c>
      <c r="J112" s="19">
        <v>10500</v>
      </c>
      <c r="K112" s="19">
        <v>10500</v>
      </c>
      <c r="L112" s="19">
        <v>10500</v>
      </c>
      <c r="M112" s="19">
        <v>10500</v>
      </c>
      <c r="N112" s="19">
        <v>10500</v>
      </c>
      <c r="O112" s="19">
        <v>10500</v>
      </c>
      <c r="P112" s="19">
        <v>10500</v>
      </c>
      <c r="Q112" s="19">
        <v>10500</v>
      </c>
      <c r="R112" s="19">
        <v>10500</v>
      </c>
      <c r="S112" s="19">
        <v>10500</v>
      </c>
      <c r="T112" s="19">
        <v>10500</v>
      </c>
      <c r="U112" s="19">
        <v>10500</v>
      </c>
      <c r="V112" s="19">
        <v>10500</v>
      </c>
      <c r="W112" s="19">
        <v>10500</v>
      </c>
      <c r="X112" s="19">
        <v>10500</v>
      </c>
      <c r="Y112" s="19">
        <v>10500</v>
      </c>
      <c r="Z112" s="19">
        <v>10500</v>
      </c>
      <c r="AA112" s="19">
        <v>10500</v>
      </c>
      <c r="AB112" s="19">
        <v>0</v>
      </c>
      <c r="AC112" s="19">
        <v>21000</v>
      </c>
      <c r="AD112" s="19">
        <v>10500</v>
      </c>
      <c r="AE112" s="19">
        <v>10500</v>
      </c>
      <c r="AF112" s="19">
        <v>10500</v>
      </c>
      <c r="AG112" s="19">
        <v>10500</v>
      </c>
      <c r="AH112" s="19">
        <v>10500</v>
      </c>
      <c r="AI112" s="19">
        <v>10500</v>
      </c>
      <c r="AJ112" s="19">
        <v>10500</v>
      </c>
      <c r="AK112" s="19">
        <v>10500</v>
      </c>
      <c r="AL112" s="19">
        <v>10500</v>
      </c>
      <c r="AM112" s="19">
        <v>10500</v>
      </c>
      <c r="AN112" s="19">
        <v>10500</v>
      </c>
      <c r="AO112" s="19">
        <v>10500</v>
      </c>
      <c r="AP112" s="19">
        <v>10500</v>
      </c>
      <c r="AQ112" s="19">
        <v>10500</v>
      </c>
      <c r="AR112" s="19">
        <v>10500</v>
      </c>
      <c r="AS112" s="19">
        <v>10500</v>
      </c>
      <c r="AT112" s="19">
        <v>10500</v>
      </c>
      <c r="AU112" s="19">
        <v>10500</v>
      </c>
      <c r="AV112" s="19">
        <v>10500</v>
      </c>
      <c r="AW112" s="19">
        <v>0</v>
      </c>
      <c r="AX112" s="19">
        <v>21000</v>
      </c>
      <c r="AY112" s="19">
        <v>10500</v>
      </c>
      <c r="AZ112" s="19">
        <v>0</v>
      </c>
      <c r="BA112" s="19">
        <v>10500</v>
      </c>
      <c r="BB112" s="19">
        <v>10500</v>
      </c>
      <c r="BC112" s="19">
        <v>10500</v>
      </c>
      <c r="BD112" s="19">
        <v>10500</v>
      </c>
      <c r="BE112" s="19">
        <v>10500</v>
      </c>
      <c r="BF112" s="19">
        <v>0</v>
      </c>
      <c r="BG112" s="19">
        <v>0</v>
      </c>
      <c r="BH112" s="19">
        <v>21000</v>
      </c>
      <c r="BI112" s="19">
        <v>10500</v>
      </c>
      <c r="BJ112" s="19">
        <v>10500</v>
      </c>
      <c r="BK112" s="19">
        <v>0</v>
      </c>
      <c r="BL112" s="19">
        <v>0</v>
      </c>
      <c r="BM112" s="19">
        <v>10500</v>
      </c>
      <c r="BN112" s="19">
        <v>0</v>
      </c>
      <c r="BO112" s="19">
        <v>0</v>
      </c>
      <c r="BP112" s="19">
        <v>10500</v>
      </c>
      <c r="BQ112" s="19">
        <v>0</v>
      </c>
      <c r="BR112" s="19">
        <v>10500</v>
      </c>
      <c r="BS112" s="19">
        <v>10500</v>
      </c>
      <c r="BT112" s="19">
        <v>0</v>
      </c>
      <c r="BU112" s="19"/>
      <c r="BV112" s="19">
        <v>10500</v>
      </c>
      <c r="BW112" s="19">
        <v>0</v>
      </c>
      <c r="BX112" s="19">
        <v>0</v>
      </c>
      <c r="BY112" s="19">
        <v>0</v>
      </c>
      <c r="BZ112" s="19">
        <v>0</v>
      </c>
      <c r="CA112" s="19">
        <v>0</v>
      </c>
      <c r="CB112" s="19">
        <v>10500</v>
      </c>
      <c r="CC112" s="19">
        <v>0</v>
      </c>
      <c r="CD112" s="19">
        <v>0</v>
      </c>
      <c r="CE112" s="19">
        <v>0</v>
      </c>
      <c r="CF112" s="19">
        <v>0</v>
      </c>
      <c r="CG112" s="19">
        <v>10500</v>
      </c>
      <c r="CH112" s="19">
        <v>0</v>
      </c>
      <c r="CI112" s="19">
        <v>0</v>
      </c>
      <c r="CJ112" s="19">
        <v>0</v>
      </c>
      <c r="CK112" s="19">
        <v>0</v>
      </c>
      <c r="CL112" s="19">
        <v>0</v>
      </c>
      <c r="CM112" s="19">
        <v>0</v>
      </c>
      <c r="CN112" s="19">
        <v>0</v>
      </c>
      <c r="CO112" s="19">
        <v>0</v>
      </c>
      <c r="CP112" s="19">
        <v>0</v>
      </c>
      <c r="CQ112" s="24">
        <v>0</v>
      </c>
      <c r="CR112" s="19">
        <v>0</v>
      </c>
      <c r="CS112" s="19">
        <v>0</v>
      </c>
      <c r="CT112" s="19">
        <v>0</v>
      </c>
      <c r="CU112" s="19">
        <v>0</v>
      </c>
      <c r="CV112" s="19">
        <v>0</v>
      </c>
      <c r="CW112" s="19">
        <v>0</v>
      </c>
      <c r="CX112" s="19">
        <v>0</v>
      </c>
      <c r="CY112" s="19">
        <v>0</v>
      </c>
      <c r="CZ112" s="19">
        <v>0</v>
      </c>
      <c r="DA112" s="19">
        <v>0</v>
      </c>
      <c r="DB112" s="19">
        <v>10500</v>
      </c>
      <c r="DC112" s="19">
        <v>0</v>
      </c>
      <c r="DD112" s="19">
        <v>0</v>
      </c>
      <c r="DE112" s="19">
        <v>0</v>
      </c>
      <c r="DF112" s="19">
        <v>21000</v>
      </c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</row>
    <row r="113" spans="1:122" ht="15.75" customHeight="1" x14ac:dyDescent="0.3">
      <c r="A113" s="15">
        <v>100</v>
      </c>
      <c r="B113" s="16" t="s">
        <v>95</v>
      </c>
      <c r="C113" s="17">
        <v>10500</v>
      </c>
      <c r="D113" s="18">
        <f>Sheet3!C109</f>
        <v>107</v>
      </c>
      <c r="E113" s="19">
        <v>10500</v>
      </c>
      <c r="F113" s="19">
        <v>10500</v>
      </c>
      <c r="G113" s="19">
        <v>10500</v>
      </c>
      <c r="H113" s="19">
        <v>10500</v>
      </c>
      <c r="I113" s="19">
        <v>10500</v>
      </c>
      <c r="J113" s="19">
        <v>10500</v>
      </c>
      <c r="K113" s="19">
        <v>10500</v>
      </c>
      <c r="L113" s="19">
        <v>10500</v>
      </c>
      <c r="M113" s="19">
        <v>10500</v>
      </c>
      <c r="N113" s="19">
        <v>10500</v>
      </c>
      <c r="O113" s="19">
        <v>10500</v>
      </c>
      <c r="P113" s="19">
        <v>10500</v>
      </c>
      <c r="Q113" s="19">
        <v>10500</v>
      </c>
      <c r="R113" s="19">
        <v>10500</v>
      </c>
      <c r="S113" s="19">
        <v>10500</v>
      </c>
      <c r="T113" s="19">
        <v>10500</v>
      </c>
      <c r="U113" s="19">
        <v>10500</v>
      </c>
      <c r="V113" s="19">
        <v>10500</v>
      </c>
      <c r="W113" s="19">
        <v>10500</v>
      </c>
      <c r="X113" s="19">
        <v>10500</v>
      </c>
      <c r="Y113" s="19">
        <v>10500</v>
      </c>
      <c r="Z113" s="19">
        <v>10500</v>
      </c>
      <c r="AA113" s="19">
        <v>10500</v>
      </c>
      <c r="AB113" s="19">
        <v>0</v>
      </c>
      <c r="AC113" s="19">
        <v>21000</v>
      </c>
      <c r="AD113" s="19">
        <v>10500</v>
      </c>
      <c r="AE113" s="19">
        <v>10500</v>
      </c>
      <c r="AF113" s="19">
        <v>10500</v>
      </c>
      <c r="AG113" s="19">
        <v>10500</v>
      </c>
      <c r="AH113" s="19">
        <v>10500</v>
      </c>
      <c r="AI113" s="19">
        <v>0</v>
      </c>
      <c r="AJ113" s="19">
        <v>21000</v>
      </c>
      <c r="AK113" s="19">
        <v>0</v>
      </c>
      <c r="AL113" s="19">
        <v>21000</v>
      </c>
      <c r="AM113" s="19">
        <v>0</v>
      </c>
      <c r="AN113" s="19">
        <v>21000</v>
      </c>
      <c r="AO113" s="19">
        <v>10500</v>
      </c>
      <c r="AP113" s="19">
        <v>10500</v>
      </c>
      <c r="AQ113" s="19">
        <v>10500</v>
      </c>
      <c r="AR113" s="19">
        <v>10500</v>
      </c>
      <c r="AS113" s="19">
        <v>10500</v>
      </c>
      <c r="AT113" s="19">
        <v>10500</v>
      </c>
      <c r="AU113" s="19">
        <v>10500</v>
      </c>
      <c r="AV113" s="19">
        <v>0</v>
      </c>
      <c r="AW113" s="19">
        <v>21000</v>
      </c>
      <c r="AX113" s="19">
        <v>10500</v>
      </c>
      <c r="AY113" s="19">
        <v>0</v>
      </c>
      <c r="AZ113" s="19">
        <v>21000</v>
      </c>
      <c r="BA113" s="19">
        <v>0</v>
      </c>
      <c r="BB113" s="19">
        <v>21000</v>
      </c>
      <c r="BC113" s="19">
        <v>10500</v>
      </c>
      <c r="BD113" s="19">
        <v>10500</v>
      </c>
      <c r="BE113" s="19">
        <v>0</v>
      </c>
      <c r="BF113" s="19">
        <v>21000</v>
      </c>
      <c r="BG113" s="19">
        <v>10500</v>
      </c>
      <c r="BH113" s="19">
        <v>10500</v>
      </c>
      <c r="BI113" s="19">
        <v>0</v>
      </c>
      <c r="BJ113" s="19">
        <v>21000</v>
      </c>
      <c r="BK113" s="19">
        <v>10500</v>
      </c>
      <c r="BL113" s="19">
        <v>10500</v>
      </c>
      <c r="BM113" s="19">
        <v>10500</v>
      </c>
      <c r="BN113" s="19">
        <v>0</v>
      </c>
      <c r="BO113" s="19">
        <v>10500</v>
      </c>
      <c r="BP113" s="19">
        <v>21000</v>
      </c>
      <c r="BQ113" s="19">
        <v>10500</v>
      </c>
      <c r="BR113" s="19">
        <v>0</v>
      </c>
      <c r="BS113" s="19">
        <v>21000</v>
      </c>
      <c r="BT113" s="19">
        <v>0</v>
      </c>
      <c r="BU113" s="19">
        <v>21000</v>
      </c>
      <c r="BV113" s="19">
        <v>0</v>
      </c>
      <c r="BW113" s="19">
        <v>21000</v>
      </c>
      <c r="BX113" s="19">
        <v>10500</v>
      </c>
      <c r="BY113" s="19">
        <v>0</v>
      </c>
      <c r="BZ113" s="19">
        <v>21000</v>
      </c>
      <c r="CA113" s="19">
        <v>0</v>
      </c>
      <c r="CB113" s="19">
        <v>21000</v>
      </c>
      <c r="CC113" s="19">
        <v>10500</v>
      </c>
      <c r="CD113" s="19">
        <v>10500</v>
      </c>
      <c r="CE113" s="19">
        <v>0</v>
      </c>
      <c r="CF113" s="19">
        <v>21000</v>
      </c>
      <c r="CG113" s="19">
        <v>0</v>
      </c>
      <c r="CH113" s="19">
        <v>10500</v>
      </c>
      <c r="CI113" s="19">
        <v>10500</v>
      </c>
      <c r="CJ113" s="19">
        <v>10500</v>
      </c>
      <c r="CK113" s="19">
        <v>10500</v>
      </c>
      <c r="CL113" s="19">
        <v>10500</v>
      </c>
      <c r="CM113" s="19">
        <v>10500</v>
      </c>
      <c r="CN113" s="19">
        <v>10500</v>
      </c>
      <c r="CO113" s="19">
        <v>10500</v>
      </c>
      <c r="CP113" s="19">
        <v>10500</v>
      </c>
      <c r="CQ113" s="19">
        <v>10500</v>
      </c>
      <c r="CR113" s="19">
        <v>10500</v>
      </c>
      <c r="CS113" s="19">
        <v>10500</v>
      </c>
      <c r="CT113" s="19">
        <v>10500</v>
      </c>
      <c r="CU113" s="19">
        <v>10500</v>
      </c>
      <c r="CV113" s="19">
        <v>10500</v>
      </c>
      <c r="CW113" s="19">
        <v>10500</v>
      </c>
      <c r="CX113" s="19">
        <v>10500</v>
      </c>
      <c r="CY113" s="19">
        <v>10500</v>
      </c>
      <c r="CZ113" s="19">
        <v>10500</v>
      </c>
      <c r="DA113" s="19">
        <v>10500</v>
      </c>
      <c r="DB113" s="19">
        <v>10500</v>
      </c>
      <c r="DC113" s="19">
        <v>10500</v>
      </c>
      <c r="DD113" s="19">
        <v>10500</v>
      </c>
      <c r="DE113" s="19">
        <v>10500</v>
      </c>
      <c r="DF113" s="19">
        <v>10500</v>
      </c>
      <c r="DG113" s="19">
        <v>10500</v>
      </c>
      <c r="DH113" s="19">
        <v>10500</v>
      </c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</row>
    <row r="114" spans="1:122" ht="15.75" customHeight="1" x14ac:dyDescent="0.3">
      <c r="A114" s="25">
        <v>101</v>
      </c>
      <c r="B114" s="16" t="s">
        <v>96</v>
      </c>
      <c r="C114" s="17">
        <v>10500</v>
      </c>
      <c r="D114" s="18">
        <f>Sheet3!C110</f>
        <v>102</v>
      </c>
      <c r="E114" s="19">
        <v>10500</v>
      </c>
      <c r="F114" s="19">
        <v>10500</v>
      </c>
      <c r="G114" s="19">
        <v>10500</v>
      </c>
      <c r="H114" s="19">
        <v>10500</v>
      </c>
      <c r="I114" s="19">
        <v>10500</v>
      </c>
      <c r="J114" s="19">
        <v>10500</v>
      </c>
      <c r="K114" s="19">
        <v>10500</v>
      </c>
      <c r="L114" s="19">
        <v>10500</v>
      </c>
      <c r="M114" s="19">
        <v>10500</v>
      </c>
      <c r="N114" s="19">
        <v>10500</v>
      </c>
      <c r="O114" s="19">
        <v>10500</v>
      </c>
      <c r="P114" s="19">
        <v>10500</v>
      </c>
      <c r="Q114" s="19">
        <v>10500</v>
      </c>
      <c r="R114" s="19">
        <v>10500</v>
      </c>
      <c r="S114" s="19">
        <v>10500</v>
      </c>
      <c r="T114" s="19">
        <v>10500</v>
      </c>
      <c r="U114" s="19">
        <v>10500</v>
      </c>
      <c r="V114" s="19">
        <v>10500</v>
      </c>
      <c r="W114" s="19">
        <v>10500</v>
      </c>
      <c r="X114" s="19">
        <v>0</v>
      </c>
      <c r="Y114" s="19">
        <v>10500</v>
      </c>
      <c r="Z114" s="19">
        <v>10500</v>
      </c>
      <c r="AA114" s="19">
        <v>10500</v>
      </c>
      <c r="AB114" s="19">
        <v>0</v>
      </c>
      <c r="AC114" s="19">
        <v>21000</v>
      </c>
      <c r="AD114" s="19">
        <v>10500</v>
      </c>
      <c r="AE114" s="19">
        <v>10500</v>
      </c>
      <c r="AF114" s="19">
        <v>10500</v>
      </c>
      <c r="AG114" s="19">
        <v>10500</v>
      </c>
      <c r="AH114" s="19">
        <v>10500</v>
      </c>
      <c r="AI114" s="19">
        <v>10500</v>
      </c>
      <c r="AJ114" s="19">
        <v>10500</v>
      </c>
      <c r="AK114" s="19">
        <v>10500</v>
      </c>
      <c r="AL114" s="19">
        <v>10500</v>
      </c>
      <c r="AM114" s="19">
        <v>10500</v>
      </c>
      <c r="AN114" s="19">
        <v>10500</v>
      </c>
      <c r="AO114" s="19">
        <v>10500</v>
      </c>
      <c r="AP114" s="19">
        <v>10500</v>
      </c>
      <c r="AQ114" s="19">
        <v>10500</v>
      </c>
      <c r="AR114" s="19">
        <v>10500</v>
      </c>
      <c r="AS114" s="19">
        <v>10500</v>
      </c>
      <c r="AT114" s="19">
        <v>10500</v>
      </c>
      <c r="AU114" s="19">
        <v>0</v>
      </c>
      <c r="AV114" s="19">
        <v>10500</v>
      </c>
      <c r="AW114" s="19">
        <v>10500</v>
      </c>
      <c r="AX114" s="19">
        <v>10500</v>
      </c>
      <c r="AY114" s="19">
        <v>10500</v>
      </c>
      <c r="AZ114" s="19">
        <v>10500</v>
      </c>
      <c r="BA114" s="19">
        <v>0</v>
      </c>
      <c r="BB114" s="19">
        <v>21000</v>
      </c>
      <c r="BC114" s="19">
        <v>10500</v>
      </c>
      <c r="BD114" s="19">
        <v>10500</v>
      </c>
      <c r="BE114" s="19">
        <v>0</v>
      </c>
      <c r="BF114" s="19">
        <v>21000</v>
      </c>
      <c r="BG114" s="19">
        <v>10500</v>
      </c>
      <c r="BH114" s="19">
        <v>10500</v>
      </c>
      <c r="BI114" s="19">
        <v>10500</v>
      </c>
      <c r="BJ114" s="19">
        <v>10500</v>
      </c>
      <c r="BK114" s="19">
        <v>0</v>
      </c>
      <c r="BL114" s="19">
        <v>21000</v>
      </c>
      <c r="BM114" s="19">
        <v>10500</v>
      </c>
      <c r="BN114" s="19">
        <v>0</v>
      </c>
      <c r="BO114" s="19">
        <v>21000</v>
      </c>
      <c r="BP114" s="19">
        <v>10500</v>
      </c>
      <c r="BQ114" s="19">
        <v>10500</v>
      </c>
      <c r="BR114" s="19">
        <v>0</v>
      </c>
      <c r="BS114" s="19">
        <v>21000</v>
      </c>
      <c r="BT114" s="19">
        <v>0</v>
      </c>
      <c r="BU114" s="19">
        <v>21000</v>
      </c>
      <c r="BV114" s="19">
        <v>0</v>
      </c>
      <c r="BW114" s="19">
        <v>21000</v>
      </c>
      <c r="BX114" s="19">
        <v>0</v>
      </c>
      <c r="BY114" s="19">
        <v>21000</v>
      </c>
      <c r="BZ114" s="19">
        <v>0</v>
      </c>
      <c r="CA114" s="19">
        <v>21000</v>
      </c>
      <c r="CB114" s="19">
        <v>0</v>
      </c>
      <c r="CC114" s="19">
        <v>21000</v>
      </c>
      <c r="CD114" s="19">
        <v>0</v>
      </c>
      <c r="CE114" s="19">
        <v>0</v>
      </c>
      <c r="CF114" s="19">
        <v>21000</v>
      </c>
      <c r="CG114" s="19">
        <v>10500</v>
      </c>
      <c r="CH114" s="19">
        <v>10500</v>
      </c>
      <c r="CI114" s="19">
        <v>10500</v>
      </c>
      <c r="CJ114" s="19">
        <v>10500</v>
      </c>
      <c r="CK114" s="19">
        <v>10500</v>
      </c>
      <c r="CL114" s="19">
        <v>10500</v>
      </c>
      <c r="CM114" s="19">
        <v>10500</v>
      </c>
      <c r="CN114" s="19">
        <v>10500</v>
      </c>
      <c r="CO114" s="19">
        <v>10500</v>
      </c>
      <c r="CP114" s="19">
        <v>0</v>
      </c>
      <c r="CQ114" s="19">
        <v>21000</v>
      </c>
      <c r="CR114" s="19">
        <v>0</v>
      </c>
      <c r="CS114" s="19">
        <v>10500</v>
      </c>
      <c r="CT114" s="19">
        <v>10500</v>
      </c>
      <c r="CU114" s="19">
        <v>10500</v>
      </c>
      <c r="CV114" s="19">
        <v>10500</v>
      </c>
      <c r="CW114" s="19">
        <v>10500</v>
      </c>
      <c r="CX114" s="19">
        <v>10500</v>
      </c>
      <c r="CY114" s="19">
        <v>10500</v>
      </c>
      <c r="CZ114" s="19">
        <v>10500</v>
      </c>
      <c r="DA114" s="19">
        <v>10500</v>
      </c>
      <c r="DB114" s="19">
        <v>10500</v>
      </c>
      <c r="DC114" s="19">
        <v>10500</v>
      </c>
      <c r="DD114" s="19">
        <v>10500</v>
      </c>
      <c r="DE114" s="19">
        <v>0</v>
      </c>
      <c r="DF114" s="19">
        <v>10500</v>
      </c>
      <c r="DG114" s="19">
        <v>10500</v>
      </c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</row>
    <row r="115" spans="1:122" ht="15.75" customHeight="1" x14ac:dyDescent="0.3">
      <c r="A115" s="15">
        <v>101</v>
      </c>
      <c r="B115" s="16" t="s">
        <v>97</v>
      </c>
      <c r="C115" s="17">
        <v>10500</v>
      </c>
      <c r="D115" s="18">
        <f>Sheet3!C111</f>
        <v>108</v>
      </c>
      <c r="E115" s="19">
        <v>10500</v>
      </c>
      <c r="F115" s="19">
        <v>10500</v>
      </c>
      <c r="G115" s="19">
        <v>10500</v>
      </c>
      <c r="H115" s="19">
        <v>10500</v>
      </c>
      <c r="I115" s="19">
        <v>10500</v>
      </c>
      <c r="J115" s="19">
        <v>10500</v>
      </c>
      <c r="K115" s="19">
        <v>10500</v>
      </c>
      <c r="L115" s="19">
        <v>10500</v>
      </c>
      <c r="M115" s="19">
        <v>10500</v>
      </c>
      <c r="N115" s="19">
        <v>10500</v>
      </c>
      <c r="O115" s="19">
        <v>10500</v>
      </c>
      <c r="P115" s="19">
        <v>10500</v>
      </c>
      <c r="Q115" s="19">
        <v>10500</v>
      </c>
      <c r="R115" s="19">
        <v>10500</v>
      </c>
      <c r="S115" s="19">
        <v>10500</v>
      </c>
      <c r="T115" s="19">
        <v>10500</v>
      </c>
      <c r="U115" s="19">
        <v>10500</v>
      </c>
      <c r="V115" s="19">
        <v>10500</v>
      </c>
      <c r="W115" s="19">
        <v>10500</v>
      </c>
      <c r="X115" s="19">
        <v>10500</v>
      </c>
      <c r="Y115" s="19">
        <v>10500</v>
      </c>
      <c r="Z115" s="19">
        <v>10500</v>
      </c>
      <c r="AA115" s="19">
        <v>10500</v>
      </c>
      <c r="AB115" s="19">
        <v>10500</v>
      </c>
      <c r="AC115" s="19">
        <v>10500</v>
      </c>
      <c r="AD115" s="19">
        <v>10500</v>
      </c>
      <c r="AE115" s="19">
        <v>10500</v>
      </c>
      <c r="AF115" s="19">
        <v>10500</v>
      </c>
      <c r="AG115" s="19">
        <v>10500</v>
      </c>
      <c r="AH115" s="19">
        <v>10500</v>
      </c>
      <c r="AI115" s="19">
        <v>10500</v>
      </c>
      <c r="AJ115" s="19">
        <v>10500</v>
      </c>
      <c r="AK115" s="19">
        <v>10500</v>
      </c>
      <c r="AL115" s="19">
        <v>10500</v>
      </c>
      <c r="AM115" s="19">
        <v>10500</v>
      </c>
      <c r="AN115" s="19">
        <v>10500</v>
      </c>
      <c r="AO115" s="19">
        <v>10500</v>
      </c>
      <c r="AP115" s="19">
        <v>10500</v>
      </c>
      <c r="AQ115" s="19">
        <v>10500</v>
      </c>
      <c r="AR115" s="19">
        <v>10500</v>
      </c>
      <c r="AS115" s="19">
        <v>10500</v>
      </c>
      <c r="AT115" s="19">
        <v>10500</v>
      </c>
      <c r="AU115" s="19">
        <v>10500</v>
      </c>
      <c r="AV115" s="19">
        <v>10500</v>
      </c>
      <c r="AW115" s="19">
        <v>10500</v>
      </c>
      <c r="AX115" s="19">
        <v>10500</v>
      </c>
      <c r="AY115" s="19">
        <v>10500</v>
      </c>
      <c r="AZ115" s="19">
        <v>10500</v>
      </c>
      <c r="BA115" s="19">
        <v>10500</v>
      </c>
      <c r="BB115" s="19">
        <v>10500</v>
      </c>
      <c r="BC115" s="19">
        <v>10500</v>
      </c>
      <c r="BD115" s="19">
        <v>10500</v>
      </c>
      <c r="BE115" s="19">
        <v>10500</v>
      </c>
      <c r="BF115" s="19">
        <v>10500</v>
      </c>
      <c r="BG115" s="19">
        <v>10500</v>
      </c>
      <c r="BH115" s="19">
        <v>10500</v>
      </c>
      <c r="BI115" s="19">
        <v>10500</v>
      </c>
      <c r="BJ115" s="19">
        <v>10500</v>
      </c>
      <c r="BK115" s="19">
        <v>10500</v>
      </c>
      <c r="BL115" s="19">
        <v>10500</v>
      </c>
      <c r="BM115" s="19">
        <v>10500</v>
      </c>
      <c r="BN115" s="19">
        <v>0</v>
      </c>
      <c r="BO115" s="19">
        <v>21000</v>
      </c>
      <c r="BP115" s="19">
        <v>10500</v>
      </c>
      <c r="BQ115" s="19">
        <v>10500</v>
      </c>
      <c r="BR115" s="19">
        <v>10500</v>
      </c>
      <c r="BS115" s="19">
        <v>10500</v>
      </c>
      <c r="BT115" s="19">
        <v>10500</v>
      </c>
      <c r="BU115" s="19">
        <v>10500</v>
      </c>
      <c r="BV115" s="19">
        <v>10500</v>
      </c>
      <c r="BW115" s="19">
        <v>10500</v>
      </c>
      <c r="BX115" s="19">
        <v>10500</v>
      </c>
      <c r="BY115" s="19">
        <v>10500</v>
      </c>
      <c r="BZ115" s="19">
        <v>10500</v>
      </c>
      <c r="CA115" s="19">
        <v>10500</v>
      </c>
      <c r="CB115" s="19">
        <v>10500</v>
      </c>
      <c r="CC115" s="19">
        <v>10500</v>
      </c>
      <c r="CD115" s="19">
        <v>10500</v>
      </c>
      <c r="CE115" s="19">
        <v>10500</v>
      </c>
      <c r="CF115" s="19">
        <v>10500</v>
      </c>
      <c r="CG115" s="19">
        <v>10500</v>
      </c>
      <c r="CH115" s="19">
        <v>10500</v>
      </c>
      <c r="CI115" s="19">
        <v>10500</v>
      </c>
      <c r="CJ115" s="19">
        <v>10500</v>
      </c>
      <c r="CK115" s="19">
        <v>10500</v>
      </c>
      <c r="CL115" s="19">
        <v>10500</v>
      </c>
      <c r="CM115" s="19">
        <v>10500</v>
      </c>
      <c r="CN115" s="19">
        <v>10500</v>
      </c>
      <c r="CO115" s="19">
        <v>10500</v>
      </c>
      <c r="CP115" s="19">
        <v>10500</v>
      </c>
      <c r="CQ115" s="19">
        <v>10500</v>
      </c>
      <c r="CR115" s="19">
        <v>10500</v>
      </c>
      <c r="CS115" s="19">
        <v>10500</v>
      </c>
      <c r="CT115" s="19">
        <v>10500</v>
      </c>
      <c r="CU115" s="19">
        <v>10500</v>
      </c>
      <c r="CV115" s="19">
        <v>10500</v>
      </c>
      <c r="CW115" s="19">
        <v>10500</v>
      </c>
      <c r="CX115" s="19">
        <v>10500</v>
      </c>
      <c r="CY115" s="19">
        <v>10500</v>
      </c>
      <c r="CZ115" s="19">
        <v>10500</v>
      </c>
      <c r="DA115" s="19">
        <v>10500</v>
      </c>
      <c r="DB115" s="19">
        <v>10500</v>
      </c>
      <c r="DC115" s="19">
        <v>10500</v>
      </c>
      <c r="DD115" s="19">
        <v>10500</v>
      </c>
      <c r="DE115" s="19">
        <v>10500</v>
      </c>
      <c r="DF115" s="19">
        <v>10500</v>
      </c>
      <c r="DG115" s="19">
        <v>10500</v>
      </c>
      <c r="DH115" s="19">
        <v>10500</v>
      </c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</row>
    <row r="116" spans="1:122" ht="15.75" customHeight="1" x14ac:dyDescent="0.3">
      <c r="A116" s="15">
        <v>102</v>
      </c>
      <c r="B116" s="16" t="s">
        <v>32</v>
      </c>
      <c r="C116" s="17">
        <v>21000</v>
      </c>
      <c r="D116" s="18">
        <f>Sheet3!C112</f>
        <v>107</v>
      </c>
      <c r="E116" s="19">
        <v>21000</v>
      </c>
      <c r="F116" s="19">
        <v>21000</v>
      </c>
      <c r="G116" s="19">
        <v>21000</v>
      </c>
      <c r="H116" s="19">
        <v>21000</v>
      </c>
      <c r="I116" s="19">
        <v>21000</v>
      </c>
      <c r="J116" s="19">
        <v>21000</v>
      </c>
      <c r="K116" s="19">
        <v>21000</v>
      </c>
      <c r="L116" s="19">
        <v>21000</v>
      </c>
      <c r="M116" s="19">
        <v>21000</v>
      </c>
      <c r="N116" s="19">
        <v>21000</v>
      </c>
      <c r="O116" s="19">
        <v>21000</v>
      </c>
      <c r="P116" s="19">
        <v>21000</v>
      </c>
      <c r="Q116" s="19">
        <v>21000</v>
      </c>
      <c r="R116" s="19">
        <v>21000</v>
      </c>
      <c r="S116" s="19">
        <v>21000</v>
      </c>
      <c r="T116" s="19">
        <v>21000</v>
      </c>
      <c r="U116" s="19">
        <v>21000</v>
      </c>
      <c r="V116" s="19">
        <v>21000</v>
      </c>
      <c r="W116" s="19">
        <v>21000</v>
      </c>
      <c r="X116" s="19">
        <v>21000</v>
      </c>
      <c r="Y116" s="19">
        <v>21000</v>
      </c>
      <c r="Z116" s="19">
        <v>21000</v>
      </c>
      <c r="AA116" s="19">
        <v>21000</v>
      </c>
      <c r="AB116" s="19">
        <v>21000</v>
      </c>
      <c r="AC116" s="19">
        <v>21000</v>
      </c>
      <c r="AD116" s="19">
        <v>21000</v>
      </c>
      <c r="AE116" s="19">
        <v>21000</v>
      </c>
      <c r="AF116" s="19">
        <v>21000</v>
      </c>
      <c r="AG116" s="19">
        <v>21000</v>
      </c>
      <c r="AH116" s="19">
        <v>21000</v>
      </c>
      <c r="AI116" s="19">
        <v>21000</v>
      </c>
      <c r="AJ116" s="19">
        <v>21000</v>
      </c>
      <c r="AK116" s="19">
        <v>21000</v>
      </c>
      <c r="AL116" s="19">
        <v>21000</v>
      </c>
      <c r="AM116" s="19">
        <v>21000</v>
      </c>
      <c r="AN116" s="19">
        <v>21000</v>
      </c>
      <c r="AO116" s="19">
        <v>21000</v>
      </c>
      <c r="AP116" s="19">
        <v>21000</v>
      </c>
      <c r="AQ116" s="19">
        <v>21000</v>
      </c>
      <c r="AR116" s="19">
        <v>21000</v>
      </c>
      <c r="AS116" s="19">
        <v>21000</v>
      </c>
      <c r="AT116" s="19">
        <v>21000</v>
      </c>
      <c r="AU116" s="19">
        <v>21000</v>
      </c>
      <c r="AV116" s="19">
        <v>21000</v>
      </c>
      <c r="AW116" s="19">
        <v>21000</v>
      </c>
      <c r="AX116" s="19">
        <v>21000</v>
      </c>
      <c r="AY116" s="19">
        <v>21000</v>
      </c>
      <c r="AZ116" s="19">
        <v>21000</v>
      </c>
      <c r="BA116" s="19">
        <v>21000</v>
      </c>
      <c r="BB116" s="19">
        <v>21000</v>
      </c>
      <c r="BC116" s="19">
        <v>21000</v>
      </c>
      <c r="BD116" s="19">
        <v>21000</v>
      </c>
      <c r="BE116" s="19">
        <v>21000</v>
      </c>
      <c r="BF116" s="19">
        <v>21000</v>
      </c>
      <c r="BG116" s="19">
        <v>21000</v>
      </c>
      <c r="BH116" s="19">
        <v>21000</v>
      </c>
      <c r="BI116" s="19">
        <v>21000</v>
      </c>
      <c r="BJ116" s="19">
        <v>21000</v>
      </c>
      <c r="BK116" s="19">
        <v>21000</v>
      </c>
      <c r="BL116" s="19">
        <v>21000</v>
      </c>
      <c r="BM116" s="19">
        <v>21000</v>
      </c>
      <c r="BN116" s="19">
        <v>21000</v>
      </c>
      <c r="BO116" s="19">
        <v>21000</v>
      </c>
      <c r="BP116" s="19">
        <v>21000</v>
      </c>
      <c r="BQ116" s="19">
        <v>21000</v>
      </c>
      <c r="BR116" s="19">
        <v>21000</v>
      </c>
      <c r="BS116" s="19">
        <v>21000</v>
      </c>
      <c r="BT116" s="19">
        <v>21000</v>
      </c>
      <c r="BU116" s="19"/>
      <c r="BV116" s="19">
        <v>21000</v>
      </c>
      <c r="BW116" s="19">
        <v>21000</v>
      </c>
      <c r="BX116" s="19">
        <v>21000</v>
      </c>
      <c r="BY116" s="19">
        <v>21000</v>
      </c>
      <c r="BZ116" s="19">
        <v>21000</v>
      </c>
      <c r="CA116" s="19">
        <v>21000</v>
      </c>
      <c r="CB116" s="19">
        <v>21000</v>
      </c>
      <c r="CC116" s="19">
        <v>21000</v>
      </c>
      <c r="CD116" s="19">
        <v>21000</v>
      </c>
      <c r="CE116" s="19">
        <v>21000</v>
      </c>
      <c r="CF116" s="19">
        <v>21000</v>
      </c>
      <c r="CG116" s="19">
        <v>21000</v>
      </c>
      <c r="CH116" s="19">
        <v>0</v>
      </c>
      <c r="CI116" s="19">
        <v>42000</v>
      </c>
      <c r="CJ116" s="19">
        <v>21000</v>
      </c>
      <c r="CK116" s="19">
        <v>21000</v>
      </c>
      <c r="CL116" s="19">
        <v>21000</v>
      </c>
      <c r="CM116" s="19">
        <v>21000</v>
      </c>
      <c r="CN116" s="19">
        <v>21000</v>
      </c>
      <c r="CO116" s="19">
        <v>21000</v>
      </c>
      <c r="CP116" s="19">
        <v>21000</v>
      </c>
      <c r="CQ116" s="19">
        <v>21000</v>
      </c>
      <c r="CR116" s="19">
        <v>21000</v>
      </c>
      <c r="CS116" s="19">
        <v>21000</v>
      </c>
      <c r="CT116" s="19">
        <v>21000</v>
      </c>
      <c r="CU116" s="19">
        <v>21000</v>
      </c>
      <c r="CV116" s="19">
        <v>21000</v>
      </c>
      <c r="CW116" s="19">
        <v>21000</v>
      </c>
      <c r="CX116" s="19">
        <v>21000</v>
      </c>
      <c r="CY116" s="19">
        <v>21000</v>
      </c>
      <c r="CZ116" s="19">
        <v>21000</v>
      </c>
      <c r="DA116" s="19">
        <v>21000</v>
      </c>
      <c r="DB116" s="19">
        <v>21000</v>
      </c>
      <c r="DC116" s="19">
        <v>21000</v>
      </c>
      <c r="DD116" s="19">
        <v>21000</v>
      </c>
      <c r="DE116" s="19">
        <v>21000</v>
      </c>
      <c r="DF116" s="19">
        <v>21000</v>
      </c>
      <c r="DG116" s="19">
        <v>21000</v>
      </c>
      <c r="DH116" s="19">
        <v>21000</v>
      </c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</row>
    <row r="117" spans="1:122" ht="15.75" customHeight="1" x14ac:dyDescent="0.3">
      <c r="A117" s="15">
        <v>103</v>
      </c>
      <c r="B117" s="16" t="s">
        <v>98</v>
      </c>
      <c r="C117" s="17">
        <v>10500</v>
      </c>
      <c r="D117" s="18">
        <f>Sheet3!C113</f>
        <v>99</v>
      </c>
      <c r="E117" s="19">
        <v>10500</v>
      </c>
      <c r="F117" s="19">
        <v>10500</v>
      </c>
      <c r="G117" s="19">
        <v>10500</v>
      </c>
      <c r="H117" s="19">
        <v>10500</v>
      </c>
      <c r="I117" s="19">
        <v>10500</v>
      </c>
      <c r="J117" s="19">
        <v>10500</v>
      </c>
      <c r="K117" s="19">
        <v>10500</v>
      </c>
      <c r="L117" s="19">
        <v>10500</v>
      </c>
      <c r="M117" s="19">
        <v>10500</v>
      </c>
      <c r="N117" s="19">
        <v>10500</v>
      </c>
      <c r="O117" s="19">
        <v>10500</v>
      </c>
      <c r="P117" s="19">
        <v>10500</v>
      </c>
      <c r="Q117" s="19">
        <v>10500</v>
      </c>
      <c r="R117" s="19">
        <v>10500</v>
      </c>
      <c r="S117" s="19">
        <v>10500</v>
      </c>
      <c r="T117" s="19">
        <v>10500</v>
      </c>
      <c r="U117" s="19">
        <v>10500</v>
      </c>
      <c r="V117" s="19">
        <v>10500</v>
      </c>
      <c r="W117" s="19">
        <v>10500</v>
      </c>
      <c r="X117" s="19">
        <v>10500</v>
      </c>
      <c r="Y117" s="19">
        <v>10500</v>
      </c>
      <c r="Z117" s="19">
        <v>10500</v>
      </c>
      <c r="AA117" s="19">
        <v>10500</v>
      </c>
      <c r="AB117" s="19">
        <v>0</v>
      </c>
      <c r="AC117" s="19">
        <v>21000</v>
      </c>
      <c r="AD117" s="19">
        <v>10500</v>
      </c>
      <c r="AE117" s="19">
        <v>10500</v>
      </c>
      <c r="AF117" s="19">
        <v>0</v>
      </c>
      <c r="AG117" s="19">
        <v>21000</v>
      </c>
      <c r="AH117" s="19">
        <v>10500</v>
      </c>
      <c r="AI117" s="19">
        <v>10500</v>
      </c>
      <c r="AJ117" s="19">
        <v>10500</v>
      </c>
      <c r="AK117" s="19">
        <v>10500</v>
      </c>
      <c r="AL117" s="19">
        <v>0</v>
      </c>
      <c r="AM117" s="19">
        <v>21000</v>
      </c>
      <c r="AN117" s="19">
        <v>10500</v>
      </c>
      <c r="AO117" s="19">
        <v>10500</v>
      </c>
      <c r="AP117" s="19">
        <v>10500</v>
      </c>
      <c r="AQ117" s="19">
        <v>10500</v>
      </c>
      <c r="AR117" s="19">
        <v>10500</v>
      </c>
      <c r="AS117" s="19">
        <v>10500</v>
      </c>
      <c r="AT117" s="19">
        <v>10500</v>
      </c>
      <c r="AU117" s="19">
        <v>10500</v>
      </c>
      <c r="AV117" s="19">
        <v>10500</v>
      </c>
      <c r="AW117" s="19">
        <v>10500</v>
      </c>
      <c r="AX117" s="19">
        <v>0</v>
      </c>
      <c r="AY117" s="19">
        <v>21000</v>
      </c>
      <c r="AZ117" s="19">
        <v>10500</v>
      </c>
      <c r="BA117" s="19">
        <v>10500</v>
      </c>
      <c r="BB117" s="19">
        <v>10500</v>
      </c>
      <c r="BC117" s="19">
        <v>10500</v>
      </c>
      <c r="BD117" s="19">
        <v>10500</v>
      </c>
      <c r="BE117" s="19">
        <v>0</v>
      </c>
      <c r="BF117" s="19">
        <v>21000</v>
      </c>
      <c r="BG117" s="19">
        <v>10500</v>
      </c>
      <c r="BH117" s="19">
        <v>0</v>
      </c>
      <c r="BI117" s="19">
        <v>21000</v>
      </c>
      <c r="BJ117" s="19">
        <v>0</v>
      </c>
      <c r="BK117" s="19">
        <v>21000</v>
      </c>
      <c r="BL117" s="19">
        <v>0</v>
      </c>
      <c r="BM117" s="19">
        <v>21000</v>
      </c>
      <c r="BN117" s="19">
        <v>10500</v>
      </c>
      <c r="BO117" s="19">
        <v>10500</v>
      </c>
      <c r="BP117" s="19">
        <v>0</v>
      </c>
      <c r="BQ117" s="19">
        <v>10500</v>
      </c>
      <c r="BR117" s="19">
        <v>21000</v>
      </c>
      <c r="BS117" s="19">
        <v>10500</v>
      </c>
      <c r="BT117" s="19">
        <v>10500</v>
      </c>
      <c r="BU117" s="19">
        <v>10500</v>
      </c>
      <c r="BV117" s="19">
        <v>10500</v>
      </c>
      <c r="BW117" s="19">
        <v>10500</v>
      </c>
      <c r="BX117" s="19">
        <v>10500</v>
      </c>
      <c r="BY117" s="19">
        <v>0</v>
      </c>
      <c r="BZ117" s="19">
        <v>21000</v>
      </c>
      <c r="CA117" s="19">
        <v>0</v>
      </c>
      <c r="CB117" s="19">
        <v>10500</v>
      </c>
      <c r="CC117" s="19">
        <v>0</v>
      </c>
      <c r="CD117" s="19">
        <v>21000</v>
      </c>
      <c r="CE117" s="19">
        <v>10500</v>
      </c>
      <c r="CF117" s="19">
        <v>0</v>
      </c>
      <c r="CG117" s="19">
        <v>10500</v>
      </c>
      <c r="CH117" s="19">
        <v>0</v>
      </c>
      <c r="CI117" s="19">
        <v>21000</v>
      </c>
      <c r="CJ117" s="19">
        <v>0</v>
      </c>
      <c r="CK117" s="19">
        <v>10500</v>
      </c>
      <c r="CL117" s="19">
        <v>10500</v>
      </c>
      <c r="CM117" s="19">
        <v>10500</v>
      </c>
      <c r="CN117" s="19">
        <v>0</v>
      </c>
      <c r="CO117" s="19">
        <v>10500</v>
      </c>
      <c r="CP117" s="19">
        <v>10500</v>
      </c>
      <c r="CQ117" s="19">
        <v>10500</v>
      </c>
      <c r="CR117" s="19">
        <v>0</v>
      </c>
      <c r="CS117" s="19">
        <v>10500</v>
      </c>
      <c r="CT117" s="19">
        <v>0</v>
      </c>
      <c r="CU117" s="19">
        <v>10500</v>
      </c>
      <c r="CV117" s="19">
        <v>0</v>
      </c>
      <c r="CW117" s="19">
        <v>0</v>
      </c>
      <c r="CX117" s="19">
        <v>0</v>
      </c>
      <c r="CY117" s="19">
        <v>0</v>
      </c>
      <c r="CZ117" s="19">
        <v>63000</v>
      </c>
      <c r="DA117" s="19">
        <v>0</v>
      </c>
      <c r="DB117" s="19">
        <v>0</v>
      </c>
      <c r="DC117" s="19">
        <v>0</v>
      </c>
      <c r="DD117" s="19">
        <v>0</v>
      </c>
      <c r="DE117" s="19">
        <v>0</v>
      </c>
      <c r="DF117" s="19">
        <v>31500</v>
      </c>
      <c r="DG117" s="19"/>
      <c r="DH117" s="19">
        <v>10500</v>
      </c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</row>
    <row r="118" spans="1:122" ht="15.75" customHeight="1" x14ac:dyDescent="0.3">
      <c r="A118" s="15">
        <v>103</v>
      </c>
      <c r="B118" s="16" t="s">
        <v>99</v>
      </c>
      <c r="C118" s="17">
        <v>10500</v>
      </c>
      <c r="D118" s="18">
        <f>Sheet3!C114</f>
        <v>93</v>
      </c>
      <c r="E118" s="19">
        <v>10500</v>
      </c>
      <c r="F118" s="19">
        <v>10500</v>
      </c>
      <c r="G118" s="19">
        <v>10500</v>
      </c>
      <c r="H118" s="19">
        <v>10500</v>
      </c>
      <c r="I118" s="19">
        <v>10500</v>
      </c>
      <c r="J118" s="19">
        <v>10500</v>
      </c>
      <c r="K118" s="19">
        <v>10500</v>
      </c>
      <c r="L118" s="19">
        <v>10500</v>
      </c>
      <c r="M118" s="19">
        <v>10500</v>
      </c>
      <c r="N118" s="19">
        <v>10500</v>
      </c>
      <c r="O118" s="19">
        <v>10500</v>
      </c>
      <c r="P118" s="19">
        <v>10500</v>
      </c>
      <c r="Q118" s="19">
        <v>10500</v>
      </c>
      <c r="R118" s="19">
        <v>10500</v>
      </c>
      <c r="S118" s="19">
        <v>10500</v>
      </c>
      <c r="T118" s="19">
        <v>10500</v>
      </c>
      <c r="U118" s="19">
        <v>10500</v>
      </c>
      <c r="V118" s="19">
        <v>10500</v>
      </c>
      <c r="W118" s="19">
        <v>10500</v>
      </c>
      <c r="X118" s="19">
        <v>10500</v>
      </c>
      <c r="Y118" s="19">
        <v>10500</v>
      </c>
      <c r="Z118" s="19">
        <v>10500</v>
      </c>
      <c r="AA118" s="19">
        <v>10500</v>
      </c>
      <c r="AB118" s="19">
        <v>10500</v>
      </c>
      <c r="AC118" s="19">
        <v>0</v>
      </c>
      <c r="AD118" s="19">
        <v>10500</v>
      </c>
      <c r="AE118" s="19">
        <v>10500</v>
      </c>
      <c r="AF118" s="19">
        <v>0</v>
      </c>
      <c r="AG118" s="19">
        <v>21000</v>
      </c>
      <c r="AH118" s="19">
        <v>21000</v>
      </c>
      <c r="AI118" s="19">
        <v>10500</v>
      </c>
      <c r="AJ118" s="19">
        <v>10500</v>
      </c>
      <c r="AK118" s="19">
        <v>0</v>
      </c>
      <c r="AL118" s="19">
        <v>10500</v>
      </c>
      <c r="AM118" s="19">
        <v>10500</v>
      </c>
      <c r="AN118" s="19">
        <v>10500</v>
      </c>
      <c r="AO118" s="19">
        <v>10500</v>
      </c>
      <c r="AP118" s="19">
        <v>0</v>
      </c>
      <c r="AQ118" s="19">
        <v>10500</v>
      </c>
      <c r="AR118" s="19">
        <v>10500</v>
      </c>
      <c r="AS118" s="19">
        <v>10500</v>
      </c>
      <c r="AT118" s="19">
        <v>10500</v>
      </c>
      <c r="AU118" s="19">
        <v>10500</v>
      </c>
      <c r="AV118" s="19">
        <v>10500</v>
      </c>
      <c r="AW118" s="19">
        <v>10500</v>
      </c>
      <c r="AX118" s="19">
        <v>10500</v>
      </c>
      <c r="AY118" s="19">
        <v>10500</v>
      </c>
      <c r="AZ118" s="19">
        <v>10500</v>
      </c>
      <c r="BA118" s="19">
        <v>10500</v>
      </c>
      <c r="BB118" s="19">
        <v>10500</v>
      </c>
      <c r="BC118" s="19">
        <v>10500</v>
      </c>
      <c r="BD118" s="19">
        <v>10500</v>
      </c>
      <c r="BE118" s="19">
        <v>10500</v>
      </c>
      <c r="BF118" s="19">
        <v>10500</v>
      </c>
      <c r="BG118" s="19">
        <v>10500</v>
      </c>
      <c r="BH118" s="19">
        <v>10500</v>
      </c>
      <c r="BI118" s="19">
        <v>10500</v>
      </c>
      <c r="BJ118" s="19">
        <v>10500</v>
      </c>
      <c r="BK118" s="19">
        <v>10500</v>
      </c>
      <c r="BL118" s="19">
        <v>0</v>
      </c>
      <c r="BM118" s="19">
        <v>10500</v>
      </c>
      <c r="BN118" s="19">
        <v>0</v>
      </c>
      <c r="BO118" s="19">
        <v>21000</v>
      </c>
      <c r="BP118" s="19">
        <v>21000</v>
      </c>
      <c r="BQ118" s="19">
        <v>10500</v>
      </c>
      <c r="BR118" s="19">
        <v>10500</v>
      </c>
      <c r="BS118" s="19">
        <v>10500</v>
      </c>
      <c r="BT118" s="19">
        <v>10500</v>
      </c>
      <c r="BU118" s="19">
        <v>10500</v>
      </c>
      <c r="BV118" s="19">
        <v>10500</v>
      </c>
      <c r="BW118" s="19">
        <v>10500</v>
      </c>
      <c r="BX118" s="19">
        <v>10500</v>
      </c>
      <c r="BY118" s="19">
        <v>10500</v>
      </c>
      <c r="BZ118" s="19">
        <v>10500</v>
      </c>
      <c r="CA118" s="19">
        <v>10500</v>
      </c>
      <c r="CB118" s="19">
        <v>0</v>
      </c>
      <c r="CC118" s="19">
        <v>10500</v>
      </c>
      <c r="CD118" s="19">
        <v>10500</v>
      </c>
      <c r="CE118" s="19">
        <v>10500</v>
      </c>
      <c r="CF118" s="19">
        <v>10500</v>
      </c>
      <c r="CG118" s="19">
        <v>0</v>
      </c>
      <c r="CH118" s="19">
        <v>0</v>
      </c>
      <c r="CI118" s="19">
        <v>0</v>
      </c>
      <c r="CJ118" s="19">
        <v>10500</v>
      </c>
      <c r="CK118" s="19">
        <v>10500</v>
      </c>
      <c r="CL118" s="19">
        <v>10500</v>
      </c>
      <c r="CM118" s="19">
        <v>0</v>
      </c>
      <c r="CN118" s="19">
        <v>10500</v>
      </c>
      <c r="CO118" s="19">
        <v>10500</v>
      </c>
      <c r="CP118" s="19">
        <v>0</v>
      </c>
      <c r="CQ118" s="19">
        <v>10500</v>
      </c>
      <c r="CR118" s="19">
        <v>0</v>
      </c>
      <c r="CS118" s="19">
        <v>0</v>
      </c>
      <c r="CT118" s="19">
        <v>10500</v>
      </c>
      <c r="CU118" s="19">
        <v>0</v>
      </c>
      <c r="CV118" s="19">
        <v>10500</v>
      </c>
      <c r="CW118" s="19">
        <v>0</v>
      </c>
      <c r="CX118" s="19">
        <v>10500</v>
      </c>
      <c r="CY118" s="19">
        <v>10500</v>
      </c>
      <c r="CZ118" s="19">
        <v>0</v>
      </c>
      <c r="DA118" s="19">
        <v>10500</v>
      </c>
      <c r="DB118" s="19">
        <v>0</v>
      </c>
      <c r="DC118" s="19">
        <v>10500</v>
      </c>
      <c r="DD118" s="19">
        <v>10500</v>
      </c>
      <c r="DE118" s="19">
        <v>10500</v>
      </c>
      <c r="DF118" s="19">
        <v>0</v>
      </c>
      <c r="DG118" s="19">
        <v>10500</v>
      </c>
      <c r="DH118" s="19">
        <v>10500</v>
      </c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</row>
    <row r="119" spans="1:122" ht="15.75" customHeight="1" x14ac:dyDescent="0.3">
      <c r="A119" s="15">
        <v>104</v>
      </c>
      <c r="B119" s="16" t="s">
        <v>100</v>
      </c>
      <c r="C119" s="17">
        <v>10500</v>
      </c>
      <c r="D119" s="18">
        <f>Sheet3!C115</f>
        <v>108</v>
      </c>
      <c r="E119" s="19">
        <v>10500</v>
      </c>
      <c r="F119" s="19">
        <v>10500</v>
      </c>
      <c r="G119" s="19">
        <v>10500</v>
      </c>
      <c r="H119" s="19">
        <v>10500</v>
      </c>
      <c r="I119" s="19">
        <v>10500</v>
      </c>
      <c r="J119" s="19">
        <v>10500</v>
      </c>
      <c r="K119" s="19">
        <v>10500</v>
      </c>
      <c r="L119" s="19">
        <v>10500</v>
      </c>
      <c r="M119" s="19">
        <v>10500</v>
      </c>
      <c r="N119" s="19">
        <v>10500</v>
      </c>
      <c r="O119" s="19">
        <v>10500</v>
      </c>
      <c r="P119" s="19">
        <v>10500</v>
      </c>
      <c r="Q119" s="19">
        <v>10500</v>
      </c>
      <c r="R119" s="19">
        <v>10500</v>
      </c>
      <c r="S119" s="19">
        <v>10500</v>
      </c>
      <c r="T119" s="19">
        <v>10500</v>
      </c>
      <c r="U119" s="19">
        <v>10500</v>
      </c>
      <c r="V119" s="19">
        <v>10500</v>
      </c>
      <c r="W119" s="19">
        <v>10500</v>
      </c>
      <c r="X119" s="19">
        <v>10500</v>
      </c>
      <c r="Y119" s="19">
        <v>10500</v>
      </c>
      <c r="Z119" s="19">
        <v>10500</v>
      </c>
      <c r="AA119" s="19">
        <v>10500</v>
      </c>
      <c r="AB119" s="19">
        <v>10500</v>
      </c>
      <c r="AC119" s="19">
        <v>10500</v>
      </c>
      <c r="AD119" s="19">
        <v>10500</v>
      </c>
      <c r="AE119" s="19">
        <v>10500</v>
      </c>
      <c r="AF119" s="19">
        <v>10500</v>
      </c>
      <c r="AG119" s="19">
        <v>10500</v>
      </c>
      <c r="AH119" s="19">
        <v>10500</v>
      </c>
      <c r="AI119" s="19">
        <v>10500</v>
      </c>
      <c r="AJ119" s="19">
        <v>10500</v>
      </c>
      <c r="AK119" s="19">
        <v>10500</v>
      </c>
      <c r="AL119" s="19">
        <v>10500</v>
      </c>
      <c r="AM119" s="19">
        <v>10500</v>
      </c>
      <c r="AN119" s="19">
        <v>10500</v>
      </c>
      <c r="AO119" s="19">
        <v>10500</v>
      </c>
      <c r="AP119" s="19">
        <v>10500</v>
      </c>
      <c r="AQ119" s="19">
        <v>10500</v>
      </c>
      <c r="AR119" s="19">
        <v>10500</v>
      </c>
      <c r="AS119" s="19">
        <v>10500</v>
      </c>
      <c r="AT119" s="19">
        <v>10500</v>
      </c>
      <c r="AU119" s="19">
        <v>10500</v>
      </c>
      <c r="AV119" s="19">
        <v>10500</v>
      </c>
      <c r="AW119" s="19">
        <v>10500</v>
      </c>
      <c r="AX119" s="19">
        <v>10500</v>
      </c>
      <c r="AY119" s="19">
        <v>10500</v>
      </c>
      <c r="AZ119" s="19">
        <v>10500</v>
      </c>
      <c r="BA119" s="19">
        <v>10500</v>
      </c>
      <c r="BB119" s="19">
        <v>10500</v>
      </c>
      <c r="BC119" s="19">
        <v>10500</v>
      </c>
      <c r="BD119" s="19">
        <v>10500</v>
      </c>
      <c r="BE119" s="19">
        <v>10500</v>
      </c>
      <c r="BF119" s="19">
        <v>10500</v>
      </c>
      <c r="BG119" s="19">
        <v>10500</v>
      </c>
      <c r="BH119" s="19">
        <v>10500</v>
      </c>
      <c r="BI119" s="19">
        <v>10500</v>
      </c>
      <c r="BJ119" s="19">
        <v>10500</v>
      </c>
      <c r="BK119" s="19">
        <v>10500</v>
      </c>
      <c r="BL119" s="19">
        <v>10500</v>
      </c>
      <c r="BM119" s="19">
        <v>10500</v>
      </c>
      <c r="BN119" s="19">
        <v>10500</v>
      </c>
      <c r="BO119" s="19">
        <v>10500</v>
      </c>
      <c r="BP119" s="19">
        <v>10500</v>
      </c>
      <c r="BQ119" s="19">
        <v>10500</v>
      </c>
      <c r="BR119" s="19">
        <v>10500</v>
      </c>
      <c r="BS119" s="19">
        <v>10500</v>
      </c>
      <c r="BT119" s="19">
        <v>0</v>
      </c>
      <c r="BU119" s="19">
        <v>21000</v>
      </c>
      <c r="BV119" s="19">
        <v>10500</v>
      </c>
      <c r="BW119" s="19">
        <v>10500</v>
      </c>
      <c r="BX119" s="19">
        <v>10500</v>
      </c>
      <c r="BY119" s="19">
        <v>10500</v>
      </c>
      <c r="BZ119" s="19">
        <v>10500</v>
      </c>
      <c r="CA119" s="19">
        <v>10500</v>
      </c>
      <c r="CB119" s="19">
        <v>10500</v>
      </c>
      <c r="CC119" s="19">
        <v>10500</v>
      </c>
      <c r="CD119" s="19">
        <v>10500</v>
      </c>
      <c r="CE119" s="19">
        <v>10500</v>
      </c>
      <c r="CF119" s="19">
        <v>10500</v>
      </c>
      <c r="CG119" s="19">
        <v>10500</v>
      </c>
      <c r="CH119" s="19">
        <v>10500</v>
      </c>
      <c r="CI119" s="19">
        <v>10500</v>
      </c>
      <c r="CJ119" s="19">
        <v>10500</v>
      </c>
      <c r="CK119" s="19">
        <v>10500</v>
      </c>
      <c r="CL119" s="19">
        <v>10500</v>
      </c>
      <c r="CM119" s="19">
        <v>10500</v>
      </c>
      <c r="CN119" s="19">
        <v>10500</v>
      </c>
      <c r="CO119" s="19">
        <v>10500</v>
      </c>
      <c r="CP119" s="19">
        <v>10500</v>
      </c>
      <c r="CQ119" s="19">
        <v>10500</v>
      </c>
      <c r="CR119" s="19">
        <v>10500</v>
      </c>
      <c r="CS119" s="19">
        <v>10500</v>
      </c>
      <c r="CT119" s="19">
        <v>10500</v>
      </c>
      <c r="CU119" s="19">
        <v>10500</v>
      </c>
      <c r="CV119" s="19">
        <v>10500</v>
      </c>
      <c r="CW119" s="19">
        <v>10500</v>
      </c>
      <c r="CX119" s="19">
        <v>10500</v>
      </c>
      <c r="CY119" s="19">
        <v>10500</v>
      </c>
      <c r="CZ119" s="19">
        <v>10500</v>
      </c>
      <c r="DA119" s="19">
        <v>10500</v>
      </c>
      <c r="DB119" s="19">
        <v>10500</v>
      </c>
      <c r="DC119" s="19">
        <v>10500</v>
      </c>
      <c r="DD119" s="19">
        <v>10500</v>
      </c>
      <c r="DE119" s="19">
        <v>10500</v>
      </c>
      <c r="DF119" s="19">
        <v>10500</v>
      </c>
      <c r="DG119" s="19">
        <v>10500</v>
      </c>
      <c r="DH119" s="19">
        <v>10500</v>
      </c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</row>
    <row r="120" spans="1:122" ht="15.75" customHeight="1" x14ac:dyDescent="0.3">
      <c r="A120" s="15">
        <v>104</v>
      </c>
      <c r="B120" s="16" t="s">
        <v>101</v>
      </c>
      <c r="C120" s="17">
        <v>10500</v>
      </c>
      <c r="D120" s="18">
        <f>Sheet3!C116</f>
        <v>107</v>
      </c>
      <c r="E120" s="19">
        <v>10500</v>
      </c>
      <c r="F120" s="19">
        <v>10500</v>
      </c>
      <c r="G120" s="19">
        <v>10500</v>
      </c>
      <c r="H120" s="19">
        <v>10500</v>
      </c>
      <c r="I120" s="19">
        <v>10500</v>
      </c>
      <c r="J120" s="19">
        <v>10500</v>
      </c>
      <c r="K120" s="19">
        <v>10500</v>
      </c>
      <c r="L120" s="19">
        <v>10500</v>
      </c>
      <c r="M120" s="19">
        <v>10500</v>
      </c>
      <c r="N120" s="19">
        <v>10500</v>
      </c>
      <c r="O120" s="19">
        <v>10500</v>
      </c>
      <c r="P120" s="19">
        <v>10500</v>
      </c>
      <c r="Q120" s="19">
        <v>10500</v>
      </c>
      <c r="R120" s="19">
        <v>10500</v>
      </c>
      <c r="S120" s="19">
        <v>10500</v>
      </c>
      <c r="T120" s="19">
        <v>10500</v>
      </c>
      <c r="U120" s="19">
        <v>10500</v>
      </c>
      <c r="V120" s="19">
        <v>10500</v>
      </c>
      <c r="W120" s="19">
        <v>10500</v>
      </c>
      <c r="X120" s="19">
        <v>10500</v>
      </c>
      <c r="Y120" s="19">
        <v>10500</v>
      </c>
      <c r="Z120" s="19">
        <v>10500</v>
      </c>
      <c r="AA120" s="19">
        <v>10500</v>
      </c>
      <c r="AB120" s="19">
        <v>10500</v>
      </c>
      <c r="AC120" s="19">
        <v>10500</v>
      </c>
      <c r="AD120" s="19">
        <v>10500</v>
      </c>
      <c r="AE120" s="19">
        <v>10500</v>
      </c>
      <c r="AF120" s="19">
        <v>10500</v>
      </c>
      <c r="AG120" s="19">
        <v>10500</v>
      </c>
      <c r="AH120" s="19">
        <v>10500</v>
      </c>
      <c r="AI120" s="19">
        <v>10500</v>
      </c>
      <c r="AJ120" s="19">
        <v>10500</v>
      </c>
      <c r="AK120" s="19">
        <v>10500</v>
      </c>
      <c r="AL120" s="19">
        <v>10500</v>
      </c>
      <c r="AM120" s="19">
        <v>10500</v>
      </c>
      <c r="AN120" s="19">
        <v>10500</v>
      </c>
      <c r="AO120" s="19">
        <v>10500</v>
      </c>
      <c r="AP120" s="19">
        <v>10500</v>
      </c>
      <c r="AQ120" s="19">
        <v>10500</v>
      </c>
      <c r="AR120" s="19">
        <v>10500</v>
      </c>
      <c r="AS120" s="19">
        <v>10500</v>
      </c>
      <c r="AT120" s="19">
        <v>10500</v>
      </c>
      <c r="AU120" s="19">
        <v>10500</v>
      </c>
      <c r="AV120" s="19">
        <v>10500</v>
      </c>
      <c r="AW120" s="19">
        <v>10500</v>
      </c>
      <c r="AX120" s="19">
        <v>10500</v>
      </c>
      <c r="AY120" s="19">
        <v>10500</v>
      </c>
      <c r="AZ120" s="19">
        <v>10500</v>
      </c>
      <c r="BA120" s="19">
        <v>10500</v>
      </c>
      <c r="BB120" s="19">
        <v>10500</v>
      </c>
      <c r="BC120" s="19">
        <v>10500</v>
      </c>
      <c r="BD120" s="19">
        <v>10500</v>
      </c>
      <c r="BE120" s="19">
        <v>10500</v>
      </c>
      <c r="BF120" s="19">
        <v>10500</v>
      </c>
      <c r="BG120" s="19">
        <v>10500</v>
      </c>
      <c r="BH120" s="19">
        <v>10500</v>
      </c>
      <c r="BI120" s="19">
        <v>10500</v>
      </c>
      <c r="BJ120" s="19">
        <v>10500</v>
      </c>
      <c r="BK120" s="19">
        <v>10500</v>
      </c>
      <c r="BL120" s="19">
        <v>10500</v>
      </c>
      <c r="BM120" s="19">
        <v>10500</v>
      </c>
      <c r="BN120" s="19">
        <v>10500</v>
      </c>
      <c r="BO120" s="19">
        <v>10500</v>
      </c>
      <c r="BP120" s="19">
        <v>0</v>
      </c>
      <c r="BQ120" s="19">
        <v>10500</v>
      </c>
      <c r="BR120" s="19">
        <v>10500</v>
      </c>
      <c r="BS120" s="19">
        <v>10500</v>
      </c>
      <c r="BT120" s="19">
        <v>10500</v>
      </c>
      <c r="BU120" s="19">
        <v>10500</v>
      </c>
      <c r="BV120" s="19">
        <v>10500</v>
      </c>
      <c r="BW120" s="19">
        <v>10500</v>
      </c>
      <c r="BX120" s="19">
        <v>10500</v>
      </c>
      <c r="BY120" s="19">
        <v>10500</v>
      </c>
      <c r="BZ120" s="19">
        <v>10500</v>
      </c>
      <c r="CA120" s="19">
        <v>10500</v>
      </c>
      <c r="CB120" s="19">
        <v>10500</v>
      </c>
      <c r="CC120" s="19">
        <v>10500</v>
      </c>
      <c r="CD120" s="19">
        <v>10500</v>
      </c>
      <c r="CE120" s="19">
        <v>10500</v>
      </c>
      <c r="CF120" s="19">
        <v>10500</v>
      </c>
      <c r="CG120" s="19">
        <v>10500</v>
      </c>
      <c r="CH120" s="19">
        <v>10500</v>
      </c>
      <c r="CI120" s="19">
        <v>10500</v>
      </c>
      <c r="CJ120" s="19">
        <v>10500</v>
      </c>
      <c r="CK120" s="19">
        <v>10500</v>
      </c>
      <c r="CL120" s="19">
        <v>10500</v>
      </c>
      <c r="CM120" s="19">
        <v>10500</v>
      </c>
      <c r="CN120" s="19">
        <v>10500</v>
      </c>
      <c r="CO120" s="19">
        <v>10500</v>
      </c>
      <c r="CP120" s="19">
        <v>10500</v>
      </c>
      <c r="CQ120" s="19">
        <v>10500</v>
      </c>
      <c r="CR120" s="19">
        <v>10500</v>
      </c>
      <c r="CS120" s="19">
        <v>10500</v>
      </c>
      <c r="CT120" s="19">
        <v>10500</v>
      </c>
      <c r="CU120" s="19">
        <v>10500</v>
      </c>
      <c r="CV120" s="19">
        <v>10500</v>
      </c>
      <c r="CW120" s="19">
        <v>0</v>
      </c>
      <c r="CX120" s="19">
        <v>21000</v>
      </c>
      <c r="CY120" s="19">
        <v>0</v>
      </c>
      <c r="CZ120" s="19">
        <v>21000</v>
      </c>
      <c r="DA120" s="19">
        <v>10500</v>
      </c>
      <c r="DB120" s="19">
        <v>10500</v>
      </c>
      <c r="DC120" s="19">
        <v>10500</v>
      </c>
      <c r="DD120" s="19">
        <v>10500</v>
      </c>
      <c r="DE120" s="19">
        <v>10500</v>
      </c>
      <c r="DF120" s="19">
        <v>10500</v>
      </c>
      <c r="DG120" s="19"/>
      <c r="DH120" s="19">
        <v>21000</v>
      </c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</row>
    <row r="121" spans="1:122" ht="15.75" customHeight="1" x14ac:dyDescent="0.3">
      <c r="A121" s="15">
        <v>105</v>
      </c>
      <c r="B121" s="16" t="s">
        <v>102</v>
      </c>
      <c r="C121" s="17">
        <v>10500</v>
      </c>
      <c r="D121" s="18">
        <f>Sheet3!C117</f>
        <v>101</v>
      </c>
      <c r="E121" s="19">
        <v>10500</v>
      </c>
      <c r="F121" s="19">
        <v>10500</v>
      </c>
      <c r="G121" s="19">
        <v>10500</v>
      </c>
      <c r="H121" s="19">
        <v>10500</v>
      </c>
      <c r="I121" s="19">
        <v>10500</v>
      </c>
      <c r="J121" s="19">
        <v>10500</v>
      </c>
      <c r="K121" s="19">
        <v>10500</v>
      </c>
      <c r="L121" s="19">
        <v>10500</v>
      </c>
      <c r="M121" s="19">
        <v>10500</v>
      </c>
      <c r="N121" s="19">
        <v>10500</v>
      </c>
      <c r="O121" s="19">
        <v>10500</v>
      </c>
      <c r="P121" s="19">
        <v>10500</v>
      </c>
      <c r="Q121" s="19">
        <v>10500</v>
      </c>
      <c r="R121" s="19">
        <v>10500</v>
      </c>
      <c r="S121" s="19">
        <v>10500</v>
      </c>
      <c r="T121" s="19">
        <v>10500</v>
      </c>
      <c r="U121" s="19">
        <v>10500</v>
      </c>
      <c r="V121" s="19">
        <v>10500</v>
      </c>
      <c r="W121" s="19">
        <v>10500</v>
      </c>
      <c r="X121" s="19">
        <v>10500</v>
      </c>
      <c r="Y121" s="19">
        <v>10500</v>
      </c>
      <c r="Z121" s="19">
        <v>10500</v>
      </c>
      <c r="AA121" s="19">
        <v>10500</v>
      </c>
      <c r="AB121" s="19">
        <v>10500</v>
      </c>
      <c r="AC121" s="19">
        <v>10500</v>
      </c>
      <c r="AD121" s="19">
        <v>10500</v>
      </c>
      <c r="AE121" s="19">
        <v>10500</v>
      </c>
      <c r="AF121" s="19">
        <v>10500</v>
      </c>
      <c r="AG121" s="19">
        <v>10500</v>
      </c>
      <c r="AH121" s="19">
        <v>10500</v>
      </c>
      <c r="AI121" s="19">
        <v>10500</v>
      </c>
      <c r="AJ121" s="19">
        <v>10500</v>
      </c>
      <c r="AK121" s="19">
        <v>10500</v>
      </c>
      <c r="AL121" s="19">
        <v>10500</v>
      </c>
      <c r="AM121" s="19">
        <v>10500</v>
      </c>
      <c r="AN121" s="19">
        <v>10500</v>
      </c>
      <c r="AO121" s="19">
        <v>10500</v>
      </c>
      <c r="AP121" s="19">
        <v>10500</v>
      </c>
      <c r="AQ121" s="19">
        <v>10500</v>
      </c>
      <c r="AR121" s="19">
        <v>10500</v>
      </c>
      <c r="AS121" s="19">
        <v>10500</v>
      </c>
      <c r="AT121" s="19">
        <v>10500</v>
      </c>
      <c r="AU121" s="19">
        <v>10500</v>
      </c>
      <c r="AV121" s="19">
        <v>10500</v>
      </c>
      <c r="AW121" s="19">
        <v>10500</v>
      </c>
      <c r="AX121" s="19">
        <v>10500</v>
      </c>
      <c r="AY121" s="19">
        <v>10500</v>
      </c>
      <c r="AZ121" s="19">
        <v>10500</v>
      </c>
      <c r="BA121" s="19">
        <v>10500</v>
      </c>
      <c r="BB121" s="19">
        <v>10500</v>
      </c>
      <c r="BC121" s="19">
        <v>10500</v>
      </c>
      <c r="BD121" s="19">
        <v>10500</v>
      </c>
      <c r="BE121" s="19">
        <v>10500</v>
      </c>
      <c r="BF121" s="19">
        <v>10500</v>
      </c>
      <c r="BG121" s="19">
        <v>10500</v>
      </c>
      <c r="BH121" s="19">
        <v>10500</v>
      </c>
      <c r="BI121" s="19">
        <v>10500</v>
      </c>
      <c r="BJ121" s="19">
        <v>0</v>
      </c>
      <c r="BK121" s="19">
        <v>21000</v>
      </c>
      <c r="BL121" s="19">
        <v>0</v>
      </c>
      <c r="BM121" s="19">
        <v>21000</v>
      </c>
      <c r="BN121" s="19">
        <v>0</v>
      </c>
      <c r="BO121" s="19">
        <v>0</v>
      </c>
      <c r="BP121" s="19">
        <v>10500</v>
      </c>
      <c r="BQ121" s="19">
        <v>10500</v>
      </c>
      <c r="BR121" s="19">
        <v>10500</v>
      </c>
      <c r="BS121" s="19">
        <v>10500</v>
      </c>
      <c r="BT121" s="19">
        <v>10500</v>
      </c>
      <c r="BU121" s="19">
        <v>10500</v>
      </c>
      <c r="BV121" s="19">
        <v>10500</v>
      </c>
      <c r="BW121" s="19">
        <v>0</v>
      </c>
      <c r="BX121" s="19">
        <v>21000</v>
      </c>
      <c r="BY121" s="19">
        <v>0</v>
      </c>
      <c r="BZ121" s="19">
        <v>21000</v>
      </c>
      <c r="CA121" s="19">
        <v>0</v>
      </c>
      <c r="CB121" s="19">
        <v>21000</v>
      </c>
      <c r="CC121" s="19">
        <v>0</v>
      </c>
      <c r="CD121" s="19">
        <v>21000</v>
      </c>
      <c r="CE121" s="19">
        <v>0</v>
      </c>
      <c r="CF121" s="19">
        <v>21000</v>
      </c>
      <c r="CG121" s="19">
        <v>0</v>
      </c>
      <c r="CH121" s="19">
        <v>21000</v>
      </c>
      <c r="CI121" s="19">
        <v>0</v>
      </c>
      <c r="CJ121" s="19">
        <v>0</v>
      </c>
      <c r="CK121" s="19">
        <v>31500</v>
      </c>
      <c r="CL121" s="19">
        <v>0</v>
      </c>
      <c r="CM121" s="19">
        <v>21000</v>
      </c>
      <c r="CN121" s="19">
        <v>0</v>
      </c>
      <c r="CO121" s="19">
        <v>21000</v>
      </c>
      <c r="CP121" s="19">
        <v>0</v>
      </c>
      <c r="CQ121" s="19">
        <v>21000</v>
      </c>
      <c r="CR121" s="19">
        <v>0</v>
      </c>
      <c r="CS121" s="19">
        <v>21000</v>
      </c>
      <c r="CT121" s="19">
        <v>0</v>
      </c>
      <c r="CU121" s="19">
        <v>21000</v>
      </c>
      <c r="CV121" s="19">
        <v>0</v>
      </c>
      <c r="CW121" s="19">
        <v>0</v>
      </c>
      <c r="CX121" s="19">
        <v>21000</v>
      </c>
      <c r="CY121" s="19">
        <v>0</v>
      </c>
      <c r="CZ121" s="19">
        <v>0</v>
      </c>
      <c r="DA121" s="19">
        <v>0</v>
      </c>
      <c r="DB121" s="19">
        <v>21000</v>
      </c>
      <c r="DC121" s="19">
        <v>0</v>
      </c>
      <c r="DD121" s="19">
        <v>21000</v>
      </c>
      <c r="DE121" s="19">
        <v>0</v>
      </c>
      <c r="DF121" s="19">
        <v>0</v>
      </c>
      <c r="DG121" s="19">
        <v>21000</v>
      </c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</row>
    <row r="122" spans="1:122" ht="15.75" customHeight="1" x14ac:dyDescent="0.3">
      <c r="A122" s="15">
        <v>105</v>
      </c>
      <c r="B122" s="16" t="s">
        <v>103</v>
      </c>
      <c r="C122" s="17">
        <v>10500</v>
      </c>
      <c r="D122" s="18">
        <f>Sheet3!C118</f>
        <v>107</v>
      </c>
      <c r="E122" s="19">
        <v>10500</v>
      </c>
      <c r="F122" s="19">
        <v>10500</v>
      </c>
      <c r="G122" s="19">
        <v>10500</v>
      </c>
      <c r="H122" s="19">
        <v>10500</v>
      </c>
      <c r="I122" s="19">
        <v>10500</v>
      </c>
      <c r="J122" s="19">
        <v>10500</v>
      </c>
      <c r="K122" s="19">
        <v>10500</v>
      </c>
      <c r="L122" s="19">
        <v>10500</v>
      </c>
      <c r="M122" s="19">
        <v>10500</v>
      </c>
      <c r="N122" s="19">
        <v>10500</v>
      </c>
      <c r="O122" s="19">
        <v>10500</v>
      </c>
      <c r="P122" s="19">
        <v>10500</v>
      </c>
      <c r="Q122" s="19">
        <v>10500</v>
      </c>
      <c r="R122" s="19">
        <v>10500</v>
      </c>
      <c r="S122" s="19">
        <v>10500</v>
      </c>
      <c r="T122" s="19">
        <v>10500</v>
      </c>
      <c r="U122" s="19">
        <v>10500</v>
      </c>
      <c r="V122" s="19">
        <v>10500</v>
      </c>
      <c r="W122" s="19">
        <v>10500</v>
      </c>
      <c r="X122" s="19">
        <v>10500</v>
      </c>
      <c r="Y122" s="19">
        <v>10500</v>
      </c>
      <c r="Z122" s="19">
        <v>10500</v>
      </c>
      <c r="AA122" s="19">
        <v>10500</v>
      </c>
      <c r="AB122" s="19">
        <v>10500</v>
      </c>
      <c r="AC122" s="19">
        <v>10500</v>
      </c>
      <c r="AD122" s="19">
        <v>10500</v>
      </c>
      <c r="AE122" s="19">
        <v>10500</v>
      </c>
      <c r="AF122" s="19">
        <v>10500</v>
      </c>
      <c r="AG122" s="19">
        <v>10500</v>
      </c>
      <c r="AH122" s="19">
        <v>10500</v>
      </c>
      <c r="AI122" s="19">
        <v>10500</v>
      </c>
      <c r="AJ122" s="19">
        <v>10500</v>
      </c>
      <c r="AK122" s="19">
        <v>10500</v>
      </c>
      <c r="AL122" s="19">
        <v>10500</v>
      </c>
      <c r="AM122" s="19">
        <v>10500</v>
      </c>
      <c r="AN122" s="19">
        <v>10500</v>
      </c>
      <c r="AO122" s="19">
        <v>10500</v>
      </c>
      <c r="AP122" s="19">
        <v>10500</v>
      </c>
      <c r="AQ122" s="19">
        <v>10500</v>
      </c>
      <c r="AR122" s="19">
        <v>10500</v>
      </c>
      <c r="AS122" s="19">
        <v>10500</v>
      </c>
      <c r="AT122" s="19">
        <v>10500</v>
      </c>
      <c r="AU122" s="19">
        <v>10500</v>
      </c>
      <c r="AV122" s="19">
        <v>10500</v>
      </c>
      <c r="AW122" s="19">
        <v>10500</v>
      </c>
      <c r="AX122" s="19">
        <v>10500</v>
      </c>
      <c r="AY122" s="19">
        <v>10500</v>
      </c>
      <c r="AZ122" s="19">
        <v>10500</v>
      </c>
      <c r="BA122" s="19">
        <v>10500</v>
      </c>
      <c r="BB122" s="19">
        <v>10500</v>
      </c>
      <c r="BC122" s="19">
        <v>10500</v>
      </c>
      <c r="BD122" s="19">
        <v>10500</v>
      </c>
      <c r="BE122" s="19">
        <v>10500</v>
      </c>
      <c r="BF122" s="19">
        <v>10500</v>
      </c>
      <c r="BG122" s="19">
        <v>10500</v>
      </c>
      <c r="BH122" s="19">
        <v>10500</v>
      </c>
      <c r="BI122" s="19">
        <v>10500</v>
      </c>
      <c r="BJ122" s="19">
        <v>0</v>
      </c>
      <c r="BK122" s="19">
        <v>21000</v>
      </c>
      <c r="BL122" s="19">
        <v>10500</v>
      </c>
      <c r="BM122" s="19">
        <v>10500</v>
      </c>
      <c r="BN122" s="19">
        <v>0</v>
      </c>
      <c r="BO122" s="19">
        <v>21000</v>
      </c>
      <c r="BP122" s="19">
        <v>0</v>
      </c>
      <c r="BQ122" s="19">
        <v>21000</v>
      </c>
      <c r="BR122" s="19">
        <v>10500</v>
      </c>
      <c r="BS122" s="19">
        <v>10500</v>
      </c>
      <c r="BT122" s="19">
        <v>10500</v>
      </c>
      <c r="BU122" s="19">
        <v>10500</v>
      </c>
      <c r="BV122" s="19">
        <v>10500</v>
      </c>
      <c r="BW122" s="19">
        <v>10500</v>
      </c>
      <c r="BX122" s="19">
        <v>0</v>
      </c>
      <c r="BY122" s="19">
        <v>21000</v>
      </c>
      <c r="BZ122" s="19">
        <v>10500</v>
      </c>
      <c r="CA122" s="19">
        <v>10500</v>
      </c>
      <c r="CB122" s="19">
        <v>10500</v>
      </c>
      <c r="CC122" s="19">
        <v>10500</v>
      </c>
      <c r="CD122" s="19">
        <v>10500</v>
      </c>
      <c r="CE122" s="19"/>
      <c r="CF122" s="19">
        <v>21000</v>
      </c>
      <c r="CG122" s="19">
        <v>10500</v>
      </c>
      <c r="CH122" s="19">
        <v>0</v>
      </c>
      <c r="CI122" s="19">
        <v>10500</v>
      </c>
      <c r="CJ122" s="19">
        <v>0</v>
      </c>
      <c r="CK122" s="19">
        <v>21000</v>
      </c>
      <c r="CL122" s="19">
        <v>10500</v>
      </c>
      <c r="CM122" s="19">
        <v>10500</v>
      </c>
      <c r="CN122" s="19">
        <v>10500</v>
      </c>
      <c r="CO122" s="19">
        <v>21000</v>
      </c>
      <c r="CP122" s="19">
        <v>10500</v>
      </c>
      <c r="CQ122" s="19">
        <v>10500</v>
      </c>
      <c r="CR122" s="19">
        <v>0</v>
      </c>
      <c r="CS122" s="19">
        <v>21000</v>
      </c>
      <c r="CT122" s="19">
        <v>10500</v>
      </c>
      <c r="CU122" s="19">
        <v>0</v>
      </c>
      <c r="CV122" s="19">
        <v>0</v>
      </c>
      <c r="CW122" s="19">
        <v>10500</v>
      </c>
      <c r="CX122" s="19">
        <v>10500</v>
      </c>
      <c r="CY122" s="19">
        <v>21000</v>
      </c>
      <c r="CZ122" s="19">
        <v>10500</v>
      </c>
      <c r="DA122" s="19">
        <v>0</v>
      </c>
      <c r="DB122" s="19">
        <v>21000</v>
      </c>
      <c r="DC122" s="19">
        <v>10500</v>
      </c>
      <c r="DD122" s="19">
        <v>10500</v>
      </c>
      <c r="DE122" s="19">
        <v>10500</v>
      </c>
      <c r="DF122" s="19">
        <v>10500</v>
      </c>
      <c r="DG122" s="19">
        <v>10500</v>
      </c>
      <c r="DH122" s="19">
        <v>10500</v>
      </c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</row>
    <row r="123" spans="1:122" ht="15.75" customHeight="1" x14ac:dyDescent="0.3">
      <c r="A123" s="15">
        <v>106</v>
      </c>
      <c r="B123" s="16" t="s">
        <v>104</v>
      </c>
      <c r="C123" s="17">
        <v>10500</v>
      </c>
      <c r="D123" s="18">
        <f>Sheet3!C119</f>
        <v>77</v>
      </c>
      <c r="E123" s="19">
        <v>10500</v>
      </c>
      <c r="F123" s="19">
        <v>10500</v>
      </c>
      <c r="G123" s="19">
        <v>10500</v>
      </c>
      <c r="H123" s="19">
        <v>10500</v>
      </c>
      <c r="I123" s="19">
        <v>10500</v>
      </c>
      <c r="J123" s="19">
        <v>10500</v>
      </c>
      <c r="K123" s="19">
        <v>10500</v>
      </c>
      <c r="L123" s="19">
        <v>10500</v>
      </c>
      <c r="M123" s="19">
        <v>10500</v>
      </c>
      <c r="N123" s="19">
        <v>10500</v>
      </c>
      <c r="O123" s="19">
        <v>10500</v>
      </c>
      <c r="P123" s="19">
        <v>10500</v>
      </c>
      <c r="Q123" s="19">
        <v>10500</v>
      </c>
      <c r="R123" s="19">
        <v>10500</v>
      </c>
      <c r="S123" s="19">
        <v>10500</v>
      </c>
      <c r="T123" s="19">
        <v>10500</v>
      </c>
      <c r="U123" s="19">
        <v>10500</v>
      </c>
      <c r="V123" s="19">
        <v>10500</v>
      </c>
      <c r="W123" s="19">
        <v>10500</v>
      </c>
      <c r="X123" s="19">
        <v>10500</v>
      </c>
      <c r="Y123" s="19">
        <v>10500</v>
      </c>
      <c r="Z123" s="19">
        <v>10500</v>
      </c>
      <c r="AA123" s="19">
        <v>10500</v>
      </c>
      <c r="AB123" s="19">
        <v>10500</v>
      </c>
      <c r="AC123" s="19">
        <v>10500</v>
      </c>
      <c r="AD123" s="19">
        <v>10500</v>
      </c>
      <c r="AE123" s="19">
        <v>10500</v>
      </c>
      <c r="AF123" s="19">
        <v>0</v>
      </c>
      <c r="AG123" s="19">
        <v>10500</v>
      </c>
      <c r="AH123" s="19">
        <v>0</v>
      </c>
      <c r="AI123" s="19">
        <v>10500</v>
      </c>
      <c r="AJ123" s="19">
        <v>10500</v>
      </c>
      <c r="AK123" s="19">
        <v>10500</v>
      </c>
      <c r="AL123" s="19">
        <v>10500</v>
      </c>
      <c r="AM123" s="19">
        <v>10500</v>
      </c>
      <c r="AN123" s="19">
        <v>0</v>
      </c>
      <c r="AO123" s="19">
        <v>31500</v>
      </c>
      <c r="AP123" s="19">
        <v>10500</v>
      </c>
      <c r="AQ123" s="19">
        <v>0</v>
      </c>
      <c r="AR123" s="19">
        <v>21000</v>
      </c>
      <c r="AS123" s="19">
        <v>0</v>
      </c>
      <c r="AT123" s="19">
        <v>21000</v>
      </c>
      <c r="AU123" s="19">
        <v>0</v>
      </c>
      <c r="AV123" s="19">
        <v>21000</v>
      </c>
      <c r="AW123" s="19">
        <v>10500</v>
      </c>
      <c r="AX123" s="19">
        <v>0</v>
      </c>
      <c r="AY123" s="19">
        <v>0</v>
      </c>
      <c r="AZ123" s="19">
        <v>21000</v>
      </c>
      <c r="BA123" s="19">
        <v>21000</v>
      </c>
      <c r="BB123" s="19">
        <v>0</v>
      </c>
      <c r="BC123" s="19">
        <v>21000</v>
      </c>
      <c r="BD123" s="19">
        <v>10500</v>
      </c>
      <c r="BE123" s="19">
        <v>0</v>
      </c>
      <c r="BF123" s="19">
        <v>10500</v>
      </c>
      <c r="BG123" s="19">
        <v>0</v>
      </c>
      <c r="BH123" s="19">
        <v>0</v>
      </c>
      <c r="BI123" s="19">
        <v>0</v>
      </c>
      <c r="BJ123" s="19">
        <v>31500</v>
      </c>
      <c r="BK123" s="19">
        <v>0</v>
      </c>
      <c r="BL123" s="19">
        <v>0</v>
      </c>
      <c r="BM123" s="19">
        <v>21000</v>
      </c>
      <c r="BN123" s="19">
        <v>0</v>
      </c>
      <c r="BO123" s="19">
        <v>0</v>
      </c>
      <c r="BP123" s="19">
        <v>0</v>
      </c>
      <c r="BQ123" s="19">
        <v>0</v>
      </c>
      <c r="BR123" s="19">
        <v>31500</v>
      </c>
      <c r="BS123" s="19">
        <v>0</v>
      </c>
      <c r="BT123" s="19">
        <v>0</v>
      </c>
      <c r="BU123" s="19"/>
      <c r="BV123" s="19">
        <v>0</v>
      </c>
      <c r="BW123" s="19">
        <v>0</v>
      </c>
      <c r="BX123" s="19">
        <v>0</v>
      </c>
      <c r="BY123" s="19">
        <v>0</v>
      </c>
      <c r="BZ123" s="19">
        <v>0</v>
      </c>
      <c r="CA123" s="19">
        <v>0</v>
      </c>
      <c r="CB123" s="19">
        <v>0</v>
      </c>
      <c r="CC123" s="19">
        <v>0</v>
      </c>
      <c r="CD123" s="19">
        <v>0</v>
      </c>
      <c r="CE123" s="19"/>
      <c r="CF123" s="19">
        <v>0</v>
      </c>
      <c r="CG123" s="19">
        <v>0</v>
      </c>
      <c r="CH123" s="19">
        <v>0</v>
      </c>
      <c r="CI123" s="19">
        <v>0</v>
      </c>
      <c r="CJ123" s="19">
        <v>0</v>
      </c>
      <c r="CK123" s="19">
        <v>0</v>
      </c>
      <c r="CL123" s="19">
        <v>0</v>
      </c>
      <c r="CM123" s="19">
        <v>42000</v>
      </c>
      <c r="CN123" s="19">
        <v>0</v>
      </c>
      <c r="CO123" s="19">
        <v>0</v>
      </c>
      <c r="CP123" s="19">
        <v>105000</v>
      </c>
      <c r="CQ123" s="24">
        <v>0</v>
      </c>
      <c r="CR123" s="19">
        <v>0</v>
      </c>
      <c r="CS123" s="19">
        <v>0</v>
      </c>
      <c r="CT123" s="19">
        <v>31500</v>
      </c>
      <c r="CU123" s="19">
        <v>0</v>
      </c>
      <c r="CV123" s="19">
        <v>0</v>
      </c>
      <c r="CW123" s="19">
        <v>0</v>
      </c>
      <c r="CX123" s="19">
        <v>0</v>
      </c>
      <c r="CY123" s="19">
        <v>0</v>
      </c>
      <c r="CZ123" s="19">
        <v>0</v>
      </c>
      <c r="DA123" s="19">
        <v>0</v>
      </c>
      <c r="DB123" s="19">
        <v>0</v>
      </c>
      <c r="DC123" s="19">
        <v>0</v>
      </c>
      <c r="DD123" s="19">
        <v>0</v>
      </c>
      <c r="DE123" s="19">
        <v>0</v>
      </c>
      <c r="DF123" s="19">
        <v>0</v>
      </c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</row>
    <row r="124" spans="1:122" ht="15.75" customHeight="1" x14ac:dyDescent="0.3">
      <c r="A124" s="15">
        <v>106</v>
      </c>
      <c r="B124" s="16" t="s">
        <v>105</v>
      </c>
      <c r="C124" s="17">
        <v>10500</v>
      </c>
      <c r="D124" s="18">
        <f>Sheet3!C120</f>
        <v>106</v>
      </c>
      <c r="E124" s="19">
        <v>10500</v>
      </c>
      <c r="F124" s="19">
        <v>10500</v>
      </c>
      <c r="G124" s="19">
        <v>10500</v>
      </c>
      <c r="H124" s="19">
        <v>10500</v>
      </c>
      <c r="I124" s="19">
        <v>10500</v>
      </c>
      <c r="J124" s="19">
        <v>10500</v>
      </c>
      <c r="K124" s="19">
        <v>10500</v>
      </c>
      <c r="L124" s="19">
        <v>10500</v>
      </c>
      <c r="M124" s="19">
        <v>10500</v>
      </c>
      <c r="N124" s="19">
        <v>10500</v>
      </c>
      <c r="O124" s="19">
        <v>10500</v>
      </c>
      <c r="P124" s="19">
        <v>10500</v>
      </c>
      <c r="Q124" s="19">
        <v>10500</v>
      </c>
      <c r="R124" s="19">
        <v>10500</v>
      </c>
      <c r="S124" s="19">
        <v>10500</v>
      </c>
      <c r="T124" s="19">
        <v>10500</v>
      </c>
      <c r="U124" s="19">
        <v>10500</v>
      </c>
      <c r="V124" s="19">
        <v>10500</v>
      </c>
      <c r="W124" s="19">
        <v>10500</v>
      </c>
      <c r="X124" s="19">
        <v>10500</v>
      </c>
      <c r="Y124" s="19">
        <v>10500</v>
      </c>
      <c r="Z124" s="19">
        <v>10500</v>
      </c>
      <c r="AA124" s="19">
        <v>10500</v>
      </c>
      <c r="AB124" s="19">
        <v>10500</v>
      </c>
      <c r="AC124" s="19">
        <v>10500</v>
      </c>
      <c r="AD124" s="19">
        <v>10500</v>
      </c>
      <c r="AE124" s="19">
        <v>10500</v>
      </c>
      <c r="AF124" s="19">
        <v>10500</v>
      </c>
      <c r="AG124" s="19">
        <v>10500</v>
      </c>
      <c r="AH124" s="19">
        <v>10500</v>
      </c>
      <c r="AI124" s="19">
        <v>10500</v>
      </c>
      <c r="AJ124" s="19">
        <v>10500</v>
      </c>
      <c r="AK124" s="19">
        <v>10500</v>
      </c>
      <c r="AL124" s="19">
        <v>10500</v>
      </c>
      <c r="AM124" s="19">
        <v>10500</v>
      </c>
      <c r="AN124" s="19">
        <v>0</v>
      </c>
      <c r="AO124" s="19">
        <v>10500</v>
      </c>
      <c r="AP124" s="19">
        <v>10500</v>
      </c>
      <c r="AQ124" s="19">
        <v>10500</v>
      </c>
      <c r="AR124" s="19">
        <v>10500</v>
      </c>
      <c r="AS124" s="19">
        <v>10500</v>
      </c>
      <c r="AT124" s="19">
        <v>10500</v>
      </c>
      <c r="AU124" s="19">
        <v>10500</v>
      </c>
      <c r="AV124" s="19">
        <v>10500</v>
      </c>
      <c r="AW124" s="19">
        <v>10500</v>
      </c>
      <c r="AX124" s="19">
        <v>10500</v>
      </c>
      <c r="AY124" s="19">
        <v>10500</v>
      </c>
      <c r="AZ124" s="19">
        <v>10500</v>
      </c>
      <c r="BA124" s="19">
        <v>10500</v>
      </c>
      <c r="BB124" s="19">
        <v>21000</v>
      </c>
      <c r="BC124" s="19">
        <v>10500</v>
      </c>
      <c r="BD124" s="19">
        <v>10500</v>
      </c>
      <c r="BE124" s="19">
        <v>10500</v>
      </c>
      <c r="BF124" s="19">
        <v>10500</v>
      </c>
      <c r="BG124" s="19">
        <v>10500</v>
      </c>
      <c r="BH124" s="19">
        <v>10500</v>
      </c>
      <c r="BI124" s="19">
        <v>10500</v>
      </c>
      <c r="BJ124" s="19">
        <v>0</v>
      </c>
      <c r="BK124" s="19">
        <v>21000</v>
      </c>
      <c r="BL124" s="19">
        <v>0</v>
      </c>
      <c r="BM124" s="19">
        <v>21000</v>
      </c>
      <c r="BN124" s="19">
        <v>10500</v>
      </c>
      <c r="BO124" s="19">
        <v>10500</v>
      </c>
      <c r="BP124" s="19">
        <v>0</v>
      </c>
      <c r="BQ124" s="19">
        <v>21000</v>
      </c>
      <c r="BR124" s="19">
        <v>10500</v>
      </c>
      <c r="BS124" s="19">
        <v>10500</v>
      </c>
      <c r="BT124" s="19">
        <v>0</v>
      </c>
      <c r="BU124" s="19">
        <v>10500</v>
      </c>
      <c r="BV124" s="19">
        <v>10500</v>
      </c>
      <c r="BW124" s="19">
        <v>10500</v>
      </c>
      <c r="BX124" s="19">
        <v>0</v>
      </c>
      <c r="BY124" s="19">
        <v>21000</v>
      </c>
      <c r="BZ124" s="19">
        <v>10500</v>
      </c>
      <c r="CA124" s="19">
        <v>0</v>
      </c>
      <c r="CB124" s="19">
        <v>10500</v>
      </c>
      <c r="CC124" s="19">
        <v>10500</v>
      </c>
      <c r="CD124" s="19">
        <v>10500</v>
      </c>
      <c r="CE124" s="19"/>
      <c r="CF124" s="19">
        <v>21000</v>
      </c>
      <c r="CG124" s="19">
        <v>10500</v>
      </c>
      <c r="CH124" s="19">
        <v>10500</v>
      </c>
      <c r="CI124" s="19">
        <v>10500</v>
      </c>
      <c r="CJ124" s="19">
        <v>0</v>
      </c>
      <c r="CK124" s="19">
        <v>21000</v>
      </c>
      <c r="CL124" s="19">
        <v>10500</v>
      </c>
      <c r="CM124" s="19">
        <v>10500</v>
      </c>
      <c r="CN124" s="19">
        <v>0</v>
      </c>
      <c r="CO124" s="19">
        <v>21000</v>
      </c>
      <c r="CP124" s="19">
        <v>10500</v>
      </c>
      <c r="CQ124" s="19">
        <v>10500</v>
      </c>
      <c r="CR124" s="19">
        <v>10500</v>
      </c>
      <c r="CS124" s="19">
        <v>0</v>
      </c>
      <c r="CT124" s="19">
        <v>21000</v>
      </c>
      <c r="CU124" s="19">
        <v>0</v>
      </c>
      <c r="CV124" s="19">
        <v>21000</v>
      </c>
      <c r="CW124" s="19">
        <v>10500</v>
      </c>
      <c r="CX124" s="19">
        <v>0</v>
      </c>
      <c r="CY124" s="19">
        <v>21000</v>
      </c>
      <c r="CZ124" s="19">
        <v>10500</v>
      </c>
      <c r="DA124" s="19">
        <v>0</v>
      </c>
      <c r="DB124" s="19">
        <v>21000</v>
      </c>
      <c r="DC124" s="19">
        <v>0</v>
      </c>
      <c r="DD124" s="19">
        <v>21000</v>
      </c>
      <c r="DE124" s="19">
        <v>0</v>
      </c>
      <c r="DF124" s="19">
        <v>21000</v>
      </c>
      <c r="DG124" s="19"/>
      <c r="DH124" s="19">
        <v>21000</v>
      </c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</row>
    <row r="125" spans="1:122" ht="15.75" customHeight="1" x14ac:dyDescent="0.3">
      <c r="A125" s="15">
        <v>107</v>
      </c>
      <c r="B125" s="16" t="s">
        <v>106</v>
      </c>
      <c r="C125" s="17">
        <v>10500</v>
      </c>
      <c r="D125" s="18">
        <f>Sheet3!C121</f>
        <v>104</v>
      </c>
      <c r="E125" s="19">
        <v>10500</v>
      </c>
      <c r="F125" s="19">
        <v>10500</v>
      </c>
      <c r="G125" s="19">
        <v>10500</v>
      </c>
      <c r="H125" s="19">
        <v>10500</v>
      </c>
      <c r="I125" s="19">
        <v>10500</v>
      </c>
      <c r="J125" s="19">
        <v>10500</v>
      </c>
      <c r="K125" s="19">
        <v>10500</v>
      </c>
      <c r="L125" s="19">
        <v>10500</v>
      </c>
      <c r="M125" s="19">
        <v>10500</v>
      </c>
      <c r="N125" s="19">
        <v>10500</v>
      </c>
      <c r="O125" s="19">
        <v>10500</v>
      </c>
      <c r="P125" s="19">
        <v>10500</v>
      </c>
      <c r="Q125" s="19">
        <v>10500</v>
      </c>
      <c r="R125" s="19">
        <v>10500</v>
      </c>
      <c r="S125" s="19">
        <v>10500</v>
      </c>
      <c r="T125" s="19">
        <v>10500</v>
      </c>
      <c r="U125" s="19">
        <v>10500</v>
      </c>
      <c r="V125" s="19">
        <v>10500</v>
      </c>
      <c r="W125" s="19">
        <v>10500</v>
      </c>
      <c r="X125" s="19">
        <v>10500</v>
      </c>
      <c r="Y125" s="19">
        <v>10500</v>
      </c>
      <c r="Z125" s="19">
        <v>10500</v>
      </c>
      <c r="AA125" s="19">
        <v>10500</v>
      </c>
      <c r="AB125" s="19">
        <v>10500</v>
      </c>
      <c r="AC125" s="19">
        <v>10500</v>
      </c>
      <c r="AD125" s="19">
        <v>10500</v>
      </c>
      <c r="AE125" s="19">
        <v>10500</v>
      </c>
      <c r="AF125" s="19">
        <v>10500</v>
      </c>
      <c r="AG125" s="19">
        <v>10500</v>
      </c>
      <c r="AH125" s="19">
        <v>10500</v>
      </c>
      <c r="AI125" s="19">
        <v>10500</v>
      </c>
      <c r="AJ125" s="19">
        <v>10500</v>
      </c>
      <c r="AK125" s="19">
        <v>10500</v>
      </c>
      <c r="AL125" s="19">
        <v>10500</v>
      </c>
      <c r="AM125" s="19">
        <v>0</v>
      </c>
      <c r="AN125" s="19">
        <v>21000</v>
      </c>
      <c r="AO125" s="19">
        <v>10500</v>
      </c>
      <c r="AP125" s="19">
        <v>10500</v>
      </c>
      <c r="AQ125" s="19">
        <v>10500</v>
      </c>
      <c r="AR125" s="19">
        <v>10500</v>
      </c>
      <c r="AS125" s="19">
        <v>0</v>
      </c>
      <c r="AT125" s="19">
        <v>21000</v>
      </c>
      <c r="AU125" s="19">
        <v>10500</v>
      </c>
      <c r="AV125" s="19">
        <v>10500</v>
      </c>
      <c r="AW125" s="19">
        <v>10500</v>
      </c>
      <c r="AX125" s="19">
        <v>10500</v>
      </c>
      <c r="AY125" s="19">
        <v>10500</v>
      </c>
      <c r="AZ125" s="19">
        <v>10500</v>
      </c>
      <c r="BA125" s="19">
        <v>10500</v>
      </c>
      <c r="BB125" s="19">
        <v>10500</v>
      </c>
      <c r="BC125" s="19">
        <v>10500</v>
      </c>
      <c r="BD125" s="19">
        <v>10500</v>
      </c>
      <c r="BE125" s="19">
        <v>10500</v>
      </c>
      <c r="BF125" s="19">
        <v>10500</v>
      </c>
      <c r="BG125" s="19">
        <v>10500</v>
      </c>
      <c r="BH125" s="19">
        <v>10500</v>
      </c>
      <c r="BI125" s="19">
        <v>10500</v>
      </c>
      <c r="BJ125" s="19">
        <v>10500</v>
      </c>
      <c r="BK125" s="19">
        <v>10500</v>
      </c>
      <c r="BL125" s="19">
        <v>10500</v>
      </c>
      <c r="BM125" s="19">
        <v>10500</v>
      </c>
      <c r="BN125" s="19">
        <v>10500</v>
      </c>
      <c r="BO125" s="19">
        <v>10500</v>
      </c>
      <c r="BP125" s="19">
        <v>10500</v>
      </c>
      <c r="BQ125" s="19">
        <v>10500</v>
      </c>
      <c r="BR125" s="19">
        <v>10500</v>
      </c>
      <c r="BS125" s="19">
        <v>10500</v>
      </c>
      <c r="BT125" s="19">
        <v>0</v>
      </c>
      <c r="BU125" s="19">
        <v>21000</v>
      </c>
      <c r="BV125" s="19">
        <v>10500</v>
      </c>
      <c r="BW125" s="19">
        <v>10500</v>
      </c>
      <c r="BX125" s="19">
        <v>10500</v>
      </c>
      <c r="BY125" s="19">
        <v>10500</v>
      </c>
      <c r="BZ125" s="19">
        <v>10500</v>
      </c>
      <c r="CA125" s="19">
        <v>10500</v>
      </c>
      <c r="CB125" s="19">
        <v>10500</v>
      </c>
      <c r="CC125" s="19">
        <v>10500</v>
      </c>
      <c r="CD125" s="19">
        <v>10500</v>
      </c>
      <c r="CE125" s="19">
        <v>10500</v>
      </c>
      <c r="CF125" s="19">
        <v>10500</v>
      </c>
      <c r="CG125" s="19">
        <v>10500</v>
      </c>
      <c r="CH125" s="19">
        <v>10500</v>
      </c>
      <c r="CI125" s="19">
        <v>10500</v>
      </c>
      <c r="CJ125" s="19">
        <v>10500</v>
      </c>
      <c r="CK125" s="19">
        <v>10500</v>
      </c>
      <c r="CL125" s="19">
        <v>10500</v>
      </c>
      <c r="CM125" s="19">
        <v>0</v>
      </c>
      <c r="CN125" s="19">
        <v>21000</v>
      </c>
      <c r="CO125" s="19">
        <v>10500</v>
      </c>
      <c r="CP125" s="19">
        <v>10500</v>
      </c>
      <c r="CQ125" s="19">
        <v>10500</v>
      </c>
      <c r="CR125" s="19">
        <v>0</v>
      </c>
      <c r="CS125" s="19">
        <v>21000</v>
      </c>
      <c r="CT125" s="19">
        <v>10500</v>
      </c>
      <c r="CU125" s="19">
        <v>10500</v>
      </c>
      <c r="CV125" s="19">
        <v>10500</v>
      </c>
      <c r="CW125" s="19">
        <v>10500</v>
      </c>
      <c r="CX125" s="19">
        <v>10500</v>
      </c>
      <c r="CY125" s="19">
        <v>10500</v>
      </c>
      <c r="CZ125" s="19">
        <v>0</v>
      </c>
      <c r="DA125" s="19">
        <v>21000</v>
      </c>
      <c r="DB125" s="19">
        <v>10500</v>
      </c>
      <c r="DC125" s="19"/>
      <c r="DD125" s="19">
        <v>0</v>
      </c>
      <c r="DE125" s="19">
        <v>0</v>
      </c>
      <c r="DF125" s="19">
        <v>0</v>
      </c>
      <c r="DG125" s="19">
        <v>21000</v>
      </c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</row>
    <row r="126" spans="1:122" ht="15.75" customHeight="1" x14ac:dyDescent="0.3">
      <c r="A126" s="15">
        <v>107</v>
      </c>
      <c r="B126" s="16" t="s">
        <v>107</v>
      </c>
      <c r="C126" s="17">
        <v>10500</v>
      </c>
      <c r="D126" s="18">
        <f>Sheet3!C122</f>
        <v>108</v>
      </c>
      <c r="E126" s="19">
        <v>10500</v>
      </c>
      <c r="F126" s="19">
        <v>10500</v>
      </c>
      <c r="G126" s="19">
        <v>10500</v>
      </c>
      <c r="H126" s="19">
        <v>10500</v>
      </c>
      <c r="I126" s="19">
        <v>10500</v>
      </c>
      <c r="J126" s="19">
        <v>10500</v>
      </c>
      <c r="K126" s="19">
        <v>10500</v>
      </c>
      <c r="L126" s="19">
        <v>10500</v>
      </c>
      <c r="M126" s="19">
        <v>10500</v>
      </c>
      <c r="N126" s="19">
        <v>10500</v>
      </c>
      <c r="O126" s="19">
        <v>10500</v>
      </c>
      <c r="P126" s="19">
        <v>10500</v>
      </c>
      <c r="Q126" s="19">
        <v>10500</v>
      </c>
      <c r="R126" s="19">
        <v>10500</v>
      </c>
      <c r="S126" s="19">
        <v>10500</v>
      </c>
      <c r="T126" s="19">
        <v>10500</v>
      </c>
      <c r="U126" s="19">
        <v>10500</v>
      </c>
      <c r="V126" s="19">
        <v>10500</v>
      </c>
      <c r="W126" s="19">
        <v>10500</v>
      </c>
      <c r="X126" s="19">
        <v>10500</v>
      </c>
      <c r="Y126" s="19">
        <v>10500</v>
      </c>
      <c r="Z126" s="19">
        <v>10500</v>
      </c>
      <c r="AA126" s="19">
        <v>10500</v>
      </c>
      <c r="AB126" s="19">
        <v>0</v>
      </c>
      <c r="AC126" s="19">
        <v>21000</v>
      </c>
      <c r="AD126" s="19">
        <v>10500</v>
      </c>
      <c r="AE126" s="19">
        <v>10500</v>
      </c>
      <c r="AF126" s="19">
        <v>10500</v>
      </c>
      <c r="AG126" s="19">
        <v>10500</v>
      </c>
      <c r="AH126" s="19">
        <v>10500</v>
      </c>
      <c r="AI126" s="19">
        <v>10500</v>
      </c>
      <c r="AJ126" s="19">
        <v>0</v>
      </c>
      <c r="AK126" s="19">
        <v>21000</v>
      </c>
      <c r="AL126" s="19">
        <v>10500</v>
      </c>
      <c r="AM126" s="19">
        <v>10500</v>
      </c>
      <c r="AN126" s="19">
        <v>10500</v>
      </c>
      <c r="AO126" s="19">
        <v>10500</v>
      </c>
      <c r="AP126" s="19">
        <v>10500</v>
      </c>
      <c r="AQ126" s="19">
        <v>0</v>
      </c>
      <c r="AR126" s="19">
        <v>21000</v>
      </c>
      <c r="AS126" s="19">
        <v>10500</v>
      </c>
      <c r="AT126" s="19">
        <v>10500</v>
      </c>
      <c r="AU126" s="19">
        <v>10500</v>
      </c>
      <c r="AV126" s="19">
        <v>10500</v>
      </c>
      <c r="AW126" s="19">
        <v>10500</v>
      </c>
      <c r="AX126" s="19">
        <v>10500</v>
      </c>
      <c r="AY126" s="19">
        <v>0</v>
      </c>
      <c r="AZ126" s="19">
        <v>21000</v>
      </c>
      <c r="BA126" s="19">
        <v>10500</v>
      </c>
      <c r="BB126" s="19">
        <v>10500</v>
      </c>
      <c r="BC126" s="19">
        <v>10500</v>
      </c>
      <c r="BD126" s="19">
        <v>0</v>
      </c>
      <c r="BE126" s="19">
        <v>21000</v>
      </c>
      <c r="BF126" s="19">
        <v>10500</v>
      </c>
      <c r="BG126" s="19">
        <v>10500</v>
      </c>
      <c r="BH126" s="19">
        <v>0</v>
      </c>
      <c r="BI126" s="19">
        <v>21000</v>
      </c>
      <c r="BJ126" s="19">
        <v>10500</v>
      </c>
      <c r="BK126" s="19">
        <v>10500</v>
      </c>
      <c r="BL126" s="19">
        <v>0</v>
      </c>
      <c r="BM126" s="19">
        <v>21000</v>
      </c>
      <c r="BN126" s="19">
        <v>0</v>
      </c>
      <c r="BO126" s="19">
        <v>21000</v>
      </c>
      <c r="BP126" s="19">
        <v>10500</v>
      </c>
      <c r="BQ126" s="19">
        <v>0</v>
      </c>
      <c r="BR126" s="19">
        <v>21000</v>
      </c>
      <c r="BS126" s="19">
        <v>10500</v>
      </c>
      <c r="BT126" s="19">
        <v>0</v>
      </c>
      <c r="BU126" s="19">
        <v>21000</v>
      </c>
      <c r="BV126" s="19">
        <v>10500</v>
      </c>
      <c r="BW126" s="19">
        <v>10500</v>
      </c>
      <c r="BX126" s="19">
        <v>10500</v>
      </c>
      <c r="BY126" s="19">
        <v>0</v>
      </c>
      <c r="BZ126" s="19">
        <v>21000</v>
      </c>
      <c r="CA126" s="19">
        <v>10500</v>
      </c>
      <c r="CB126" s="19">
        <v>0</v>
      </c>
      <c r="CC126" s="19">
        <v>21000</v>
      </c>
      <c r="CD126" s="19">
        <v>0</v>
      </c>
      <c r="CE126" s="19"/>
      <c r="CF126" s="19">
        <v>31500</v>
      </c>
      <c r="CG126" s="19">
        <v>0</v>
      </c>
      <c r="CH126" s="19">
        <v>0</v>
      </c>
      <c r="CI126" s="19">
        <v>31500</v>
      </c>
      <c r="CJ126" s="19">
        <v>0</v>
      </c>
      <c r="CK126" s="19">
        <v>21000</v>
      </c>
      <c r="CL126" s="19">
        <v>0</v>
      </c>
      <c r="CM126" s="19">
        <v>0</v>
      </c>
      <c r="CN126" s="19">
        <v>21000</v>
      </c>
      <c r="CO126" s="19">
        <v>10500</v>
      </c>
      <c r="CP126" s="19">
        <v>0</v>
      </c>
      <c r="CQ126" s="19">
        <v>21000</v>
      </c>
      <c r="CR126" s="19">
        <v>10500</v>
      </c>
      <c r="CS126" s="19">
        <v>0</v>
      </c>
      <c r="CT126" s="19">
        <v>0</v>
      </c>
      <c r="CU126" s="19">
        <v>21000</v>
      </c>
      <c r="CV126" s="19">
        <v>31500</v>
      </c>
      <c r="CW126" s="19">
        <v>0</v>
      </c>
      <c r="CX126" s="19">
        <v>21000</v>
      </c>
      <c r="CY126" s="19">
        <v>10500</v>
      </c>
      <c r="CZ126" s="19">
        <v>0</v>
      </c>
      <c r="DA126" s="19">
        <v>21000</v>
      </c>
      <c r="DB126" s="19">
        <v>10500</v>
      </c>
      <c r="DC126" s="19">
        <v>10500</v>
      </c>
      <c r="DD126" s="19">
        <v>0</v>
      </c>
      <c r="DE126" s="19">
        <v>0</v>
      </c>
      <c r="DF126" s="19">
        <v>31500</v>
      </c>
      <c r="DG126" s="19">
        <v>10500</v>
      </c>
      <c r="DH126" s="19">
        <v>10500</v>
      </c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</row>
    <row r="127" spans="1:122" ht="15.75" customHeight="1" x14ac:dyDescent="0.3">
      <c r="A127" s="15">
        <v>108</v>
      </c>
      <c r="B127" s="16" t="s">
        <v>108</v>
      </c>
      <c r="C127" s="17">
        <v>10500</v>
      </c>
      <c r="D127" s="18">
        <f>Sheet3!C123</f>
        <v>103</v>
      </c>
      <c r="E127" s="19">
        <v>10500</v>
      </c>
      <c r="F127" s="19">
        <v>10500</v>
      </c>
      <c r="G127" s="19">
        <v>10500</v>
      </c>
      <c r="H127" s="19">
        <v>10500</v>
      </c>
      <c r="I127" s="19">
        <v>10500</v>
      </c>
      <c r="J127" s="19">
        <v>10500</v>
      </c>
      <c r="K127" s="19">
        <v>10500</v>
      </c>
      <c r="L127" s="19">
        <v>10500</v>
      </c>
      <c r="M127" s="19">
        <v>10500</v>
      </c>
      <c r="N127" s="19">
        <v>10500</v>
      </c>
      <c r="O127" s="19">
        <v>10500</v>
      </c>
      <c r="P127" s="19">
        <v>10500</v>
      </c>
      <c r="Q127" s="19">
        <v>10500</v>
      </c>
      <c r="R127" s="19">
        <v>10500</v>
      </c>
      <c r="S127" s="19">
        <v>10500</v>
      </c>
      <c r="T127" s="19">
        <v>10500</v>
      </c>
      <c r="U127" s="19">
        <v>10500</v>
      </c>
      <c r="V127" s="19">
        <v>10500</v>
      </c>
      <c r="W127" s="19">
        <v>10500</v>
      </c>
      <c r="X127" s="19">
        <v>10500</v>
      </c>
      <c r="Y127" s="19">
        <v>10500</v>
      </c>
      <c r="Z127" s="19">
        <v>10500</v>
      </c>
      <c r="AA127" s="19">
        <v>10500</v>
      </c>
      <c r="AB127" s="19">
        <v>10500</v>
      </c>
      <c r="AC127" s="19">
        <v>10500</v>
      </c>
      <c r="AD127" s="19">
        <v>10500</v>
      </c>
      <c r="AE127" s="19">
        <v>10500</v>
      </c>
      <c r="AF127" s="19">
        <v>0</v>
      </c>
      <c r="AG127" s="19">
        <v>21000</v>
      </c>
      <c r="AH127" s="19">
        <v>10500</v>
      </c>
      <c r="AI127" s="19">
        <v>10500</v>
      </c>
      <c r="AJ127" s="19">
        <v>10500</v>
      </c>
      <c r="AK127" s="19">
        <v>0</v>
      </c>
      <c r="AL127" s="19">
        <v>10500</v>
      </c>
      <c r="AM127" s="19">
        <v>10500</v>
      </c>
      <c r="AN127" s="19">
        <v>10500</v>
      </c>
      <c r="AO127" s="19">
        <v>10500</v>
      </c>
      <c r="AP127" s="19">
        <v>10500</v>
      </c>
      <c r="AQ127" s="19">
        <v>10500</v>
      </c>
      <c r="AR127" s="19">
        <v>0</v>
      </c>
      <c r="AS127" s="19">
        <v>21000</v>
      </c>
      <c r="AT127" s="19">
        <v>10500</v>
      </c>
      <c r="AU127" s="19">
        <v>10500</v>
      </c>
      <c r="AV127" s="19">
        <v>10500</v>
      </c>
      <c r="AW127" s="19">
        <v>10500</v>
      </c>
      <c r="AX127" s="19">
        <v>10500</v>
      </c>
      <c r="AY127" s="19">
        <v>10500</v>
      </c>
      <c r="AZ127" s="19">
        <v>10500</v>
      </c>
      <c r="BA127" s="19">
        <v>10500</v>
      </c>
      <c r="BB127" s="19">
        <v>10500</v>
      </c>
      <c r="BC127" s="19">
        <v>10500</v>
      </c>
      <c r="BD127" s="19">
        <v>10500</v>
      </c>
      <c r="BE127" s="19">
        <v>10500</v>
      </c>
      <c r="BF127" s="19">
        <v>10500</v>
      </c>
      <c r="BG127" s="19">
        <v>10500</v>
      </c>
      <c r="BH127" s="19">
        <v>0</v>
      </c>
      <c r="BI127" s="19">
        <v>0</v>
      </c>
      <c r="BJ127" s="19">
        <v>0</v>
      </c>
      <c r="BK127" s="19">
        <v>21000</v>
      </c>
      <c r="BL127" s="19">
        <v>10500</v>
      </c>
      <c r="BM127" s="19">
        <v>10500</v>
      </c>
      <c r="BN127" s="19">
        <v>10500</v>
      </c>
      <c r="BO127" s="19">
        <v>10500</v>
      </c>
      <c r="BP127" s="19">
        <v>0</v>
      </c>
      <c r="BQ127" s="19">
        <v>21000</v>
      </c>
      <c r="BR127" s="19">
        <v>10500</v>
      </c>
      <c r="BS127" s="19">
        <v>10500</v>
      </c>
      <c r="BT127" s="19">
        <v>10500</v>
      </c>
      <c r="BU127" s="19">
        <v>10500</v>
      </c>
      <c r="BV127" s="19">
        <v>10500</v>
      </c>
      <c r="BW127" s="19">
        <v>10500</v>
      </c>
      <c r="BX127" s="19">
        <v>0</v>
      </c>
      <c r="BY127" s="19">
        <v>21000</v>
      </c>
      <c r="BZ127" s="19">
        <v>10500</v>
      </c>
      <c r="CA127" s="19">
        <v>0</v>
      </c>
      <c r="CB127" s="19">
        <v>21000</v>
      </c>
      <c r="CC127" s="19">
        <v>10500</v>
      </c>
      <c r="CD127" s="19">
        <v>10500</v>
      </c>
      <c r="CE127" s="19"/>
      <c r="CF127" s="19">
        <v>21000</v>
      </c>
      <c r="CG127" s="19">
        <v>10500</v>
      </c>
      <c r="CH127" s="19">
        <v>10500</v>
      </c>
      <c r="CI127" s="19">
        <v>10500</v>
      </c>
      <c r="CJ127" s="19">
        <v>0</v>
      </c>
      <c r="CK127" s="19">
        <v>21000</v>
      </c>
      <c r="CL127" s="19">
        <v>10500</v>
      </c>
      <c r="CM127" s="19">
        <v>10500</v>
      </c>
      <c r="CN127" s="19">
        <v>10500</v>
      </c>
      <c r="CO127" s="19">
        <v>10500</v>
      </c>
      <c r="CP127" s="19">
        <v>10500</v>
      </c>
      <c r="CQ127" s="19">
        <v>10500</v>
      </c>
      <c r="CR127" s="19">
        <v>10500</v>
      </c>
      <c r="CS127" s="19">
        <v>0</v>
      </c>
      <c r="CT127" s="19">
        <v>21000</v>
      </c>
      <c r="CU127" s="19">
        <v>10500</v>
      </c>
      <c r="CV127" s="19">
        <v>10500</v>
      </c>
      <c r="CW127" s="19">
        <v>10500</v>
      </c>
      <c r="CX127" s="19">
        <v>0</v>
      </c>
      <c r="CY127" s="19">
        <v>21000</v>
      </c>
      <c r="CZ127" s="19">
        <v>0</v>
      </c>
      <c r="DA127" s="19">
        <v>10500</v>
      </c>
      <c r="DB127" s="19">
        <v>0</v>
      </c>
      <c r="DC127" s="19">
        <v>0</v>
      </c>
      <c r="DD127" s="19">
        <v>31500</v>
      </c>
      <c r="DE127" s="19">
        <v>0</v>
      </c>
      <c r="DF127" s="19">
        <v>21000</v>
      </c>
      <c r="DG127" s="19">
        <v>10500</v>
      </c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</row>
    <row r="128" spans="1:122" ht="15.75" customHeight="1" x14ac:dyDescent="0.3">
      <c r="A128" s="15">
        <v>108</v>
      </c>
      <c r="B128" s="16" t="s">
        <v>109</v>
      </c>
      <c r="C128" s="17">
        <v>10500</v>
      </c>
      <c r="D128" s="18">
        <f>Sheet3!C124</f>
        <v>102</v>
      </c>
      <c r="E128" s="19">
        <v>10500</v>
      </c>
      <c r="F128" s="19">
        <v>10500</v>
      </c>
      <c r="G128" s="19">
        <v>10500</v>
      </c>
      <c r="H128" s="19">
        <v>10500</v>
      </c>
      <c r="I128" s="19">
        <v>10500</v>
      </c>
      <c r="J128" s="19">
        <v>10500</v>
      </c>
      <c r="K128" s="19">
        <v>10500</v>
      </c>
      <c r="L128" s="19">
        <v>10500</v>
      </c>
      <c r="M128" s="19">
        <v>10500</v>
      </c>
      <c r="N128" s="19">
        <v>10500</v>
      </c>
      <c r="O128" s="19">
        <v>10500</v>
      </c>
      <c r="P128" s="19">
        <v>10500</v>
      </c>
      <c r="Q128" s="19">
        <v>10500</v>
      </c>
      <c r="R128" s="19">
        <v>10500</v>
      </c>
      <c r="S128" s="19">
        <v>10500</v>
      </c>
      <c r="T128" s="19">
        <v>10500</v>
      </c>
      <c r="U128" s="19">
        <v>10500</v>
      </c>
      <c r="V128" s="19">
        <v>10500</v>
      </c>
      <c r="W128" s="19">
        <v>10500</v>
      </c>
      <c r="X128" s="19">
        <v>10500</v>
      </c>
      <c r="Y128" s="19">
        <v>10500</v>
      </c>
      <c r="Z128" s="19">
        <v>10500</v>
      </c>
      <c r="AA128" s="19">
        <v>10500</v>
      </c>
      <c r="AB128" s="19">
        <v>0</v>
      </c>
      <c r="AC128" s="19">
        <v>21000</v>
      </c>
      <c r="AD128" s="19">
        <v>10500</v>
      </c>
      <c r="AE128" s="19">
        <v>10500</v>
      </c>
      <c r="AF128" s="19">
        <v>10500</v>
      </c>
      <c r="AG128" s="19">
        <v>10500</v>
      </c>
      <c r="AH128" s="19">
        <v>10500</v>
      </c>
      <c r="AI128" s="19">
        <v>10500</v>
      </c>
      <c r="AJ128" s="19">
        <v>10500</v>
      </c>
      <c r="AK128" s="19">
        <v>0</v>
      </c>
      <c r="AL128" s="19">
        <v>10500</v>
      </c>
      <c r="AM128" s="19">
        <v>10500</v>
      </c>
      <c r="AN128" s="19">
        <v>21000</v>
      </c>
      <c r="AO128" s="19">
        <v>10500</v>
      </c>
      <c r="AP128" s="19">
        <v>0</v>
      </c>
      <c r="AQ128" s="19">
        <v>21000</v>
      </c>
      <c r="AR128" s="19">
        <v>10500</v>
      </c>
      <c r="AS128" s="19">
        <v>10500</v>
      </c>
      <c r="AT128" s="19">
        <v>10500</v>
      </c>
      <c r="AU128" s="19">
        <v>10500</v>
      </c>
      <c r="AV128" s="19">
        <v>10500</v>
      </c>
      <c r="AW128" s="19">
        <v>10500</v>
      </c>
      <c r="AX128" s="19">
        <v>10500</v>
      </c>
      <c r="AY128" s="19">
        <v>10500</v>
      </c>
      <c r="AZ128" s="19">
        <v>10500</v>
      </c>
      <c r="BA128" s="19">
        <v>10500</v>
      </c>
      <c r="BB128" s="19">
        <v>10500</v>
      </c>
      <c r="BC128" s="19">
        <v>10500</v>
      </c>
      <c r="BD128" s="19">
        <v>10500</v>
      </c>
      <c r="BE128" s="19">
        <v>10500</v>
      </c>
      <c r="BF128" s="19">
        <v>10500</v>
      </c>
      <c r="BG128" s="19">
        <v>10500</v>
      </c>
      <c r="BH128" s="19">
        <v>0</v>
      </c>
      <c r="BI128" s="19">
        <v>21000</v>
      </c>
      <c r="BJ128" s="19">
        <v>0</v>
      </c>
      <c r="BK128" s="19">
        <v>21000</v>
      </c>
      <c r="BL128" s="19">
        <v>10500</v>
      </c>
      <c r="BM128" s="19">
        <v>10500</v>
      </c>
      <c r="BN128" s="19">
        <v>10500</v>
      </c>
      <c r="BO128" s="19">
        <v>10500</v>
      </c>
      <c r="BP128" s="19">
        <v>0</v>
      </c>
      <c r="BQ128" s="19">
        <v>21000</v>
      </c>
      <c r="BR128" s="19">
        <v>10500</v>
      </c>
      <c r="BS128" s="19">
        <v>10500</v>
      </c>
      <c r="BT128" s="19">
        <v>0</v>
      </c>
      <c r="BU128" s="19">
        <v>21000</v>
      </c>
      <c r="BV128" s="19">
        <v>10500</v>
      </c>
      <c r="BW128" s="19">
        <v>10500</v>
      </c>
      <c r="BX128" s="19">
        <v>0</v>
      </c>
      <c r="BY128" s="19">
        <v>21000</v>
      </c>
      <c r="BZ128" s="19">
        <v>10500</v>
      </c>
      <c r="CA128" s="19">
        <v>0</v>
      </c>
      <c r="CB128" s="19">
        <v>10500</v>
      </c>
      <c r="CC128" s="19">
        <v>10500</v>
      </c>
      <c r="CD128" s="19">
        <v>0</v>
      </c>
      <c r="CE128" s="19"/>
      <c r="CF128" s="19">
        <v>21000</v>
      </c>
      <c r="CG128" s="19">
        <v>10500</v>
      </c>
      <c r="CH128" s="19">
        <v>10500</v>
      </c>
      <c r="CI128" s="19">
        <v>10500</v>
      </c>
      <c r="CJ128" s="19">
        <v>0</v>
      </c>
      <c r="CK128" s="19">
        <v>10500</v>
      </c>
      <c r="CL128" s="19">
        <v>10500</v>
      </c>
      <c r="CM128" s="19">
        <v>10500</v>
      </c>
      <c r="CN128" s="19">
        <v>10500</v>
      </c>
      <c r="CO128" s="19">
        <v>10500</v>
      </c>
      <c r="CP128" s="19">
        <v>10500</v>
      </c>
      <c r="CQ128" s="19">
        <v>10500</v>
      </c>
      <c r="CR128" s="19">
        <v>10500</v>
      </c>
      <c r="CS128" s="19">
        <v>0</v>
      </c>
      <c r="CT128" s="19">
        <v>21000</v>
      </c>
      <c r="CU128" s="19">
        <v>10500</v>
      </c>
      <c r="CV128" s="19">
        <v>10500</v>
      </c>
      <c r="CW128" s="19">
        <v>0</v>
      </c>
      <c r="CX128" s="19">
        <v>10500</v>
      </c>
      <c r="CY128" s="19">
        <v>10500</v>
      </c>
      <c r="CZ128" s="19">
        <v>10500</v>
      </c>
      <c r="DA128" s="19">
        <v>10500</v>
      </c>
      <c r="DB128" s="19">
        <v>10500</v>
      </c>
      <c r="DC128" s="19">
        <v>0</v>
      </c>
      <c r="DD128" s="19">
        <v>0</v>
      </c>
      <c r="DE128" s="19">
        <v>21000</v>
      </c>
      <c r="DF128" s="19">
        <v>21000</v>
      </c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</row>
    <row r="129" spans="1:123" ht="15.75" customHeight="1" x14ac:dyDescent="0.3">
      <c r="A129" s="15">
        <v>109</v>
      </c>
      <c r="B129" s="16" t="s">
        <v>110</v>
      </c>
      <c r="C129" s="17">
        <v>10500</v>
      </c>
      <c r="D129" s="18">
        <f>Sheet3!C125</f>
        <v>54</v>
      </c>
      <c r="E129" s="19">
        <v>10500</v>
      </c>
      <c r="F129" s="19">
        <v>10500</v>
      </c>
      <c r="G129" s="19">
        <v>10500</v>
      </c>
      <c r="H129" s="19">
        <v>10500</v>
      </c>
      <c r="I129" s="19">
        <v>10500</v>
      </c>
      <c r="J129" s="19">
        <v>10500</v>
      </c>
      <c r="K129" s="19">
        <v>10500</v>
      </c>
      <c r="L129" s="19">
        <v>10500</v>
      </c>
      <c r="M129" s="19">
        <v>10500</v>
      </c>
      <c r="N129" s="19">
        <v>10500</v>
      </c>
      <c r="O129" s="19">
        <v>10500</v>
      </c>
      <c r="P129" s="19">
        <v>10500</v>
      </c>
      <c r="Q129" s="19">
        <v>10500</v>
      </c>
      <c r="R129" s="19">
        <v>10500</v>
      </c>
      <c r="S129" s="19">
        <v>10500</v>
      </c>
      <c r="T129" s="19">
        <v>10500</v>
      </c>
      <c r="U129" s="19">
        <v>10500</v>
      </c>
      <c r="V129" s="19">
        <v>0</v>
      </c>
      <c r="W129" s="19">
        <v>0</v>
      </c>
      <c r="X129" s="19">
        <v>0</v>
      </c>
      <c r="Y129" s="19">
        <v>42000</v>
      </c>
      <c r="Z129" s="19">
        <v>10500</v>
      </c>
      <c r="AA129" s="19">
        <v>10500</v>
      </c>
      <c r="AB129" s="19">
        <v>10500</v>
      </c>
      <c r="AC129" s="19">
        <v>10500</v>
      </c>
      <c r="AD129" s="19">
        <v>10500</v>
      </c>
      <c r="AE129" s="19">
        <v>0</v>
      </c>
      <c r="AF129" s="19">
        <v>21000</v>
      </c>
      <c r="AG129" s="19">
        <v>10500</v>
      </c>
      <c r="AH129" s="19">
        <v>0</v>
      </c>
      <c r="AI129" s="19">
        <v>21000</v>
      </c>
      <c r="AJ129" s="19">
        <v>10500</v>
      </c>
      <c r="AK129" s="19">
        <v>0</v>
      </c>
      <c r="AL129" s="19">
        <v>10500</v>
      </c>
      <c r="AM129" s="19">
        <v>21000</v>
      </c>
      <c r="AN129" s="19">
        <v>10500</v>
      </c>
      <c r="AO129" s="19">
        <v>10500</v>
      </c>
      <c r="AP129" s="19">
        <v>10500</v>
      </c>
      <c r="AQ129" s="19">
        <v>10500</v>
      </c>
      <c r="AR129" s="19">
        <v>10500</v>
      </c>
      <c r="AS129" s="19">
        <v>10500</v>
      </c>
      <c r="AT129" s="19">
        <v>0</v>
      </c>
      <c r="AU129" s="19">
        <v>21000</v>
      </c>
      <c r="AV129" s="19">
        <v>10500</v>
      </c>
      <c r="AW129" s="19">
        <v>0</v>
      </c>
      <c r="AX129" s="19">
        <v>21000</v>
      </c>
      <c r="AY129" s="19">
        <v>0</v>
      </c>
      <c r="AZ129" s="19">
        <v>10500</v>
      </c>
      <c r="BA129" s="19">
        <v>10500</v>
      </c>
      <c r="BB129" s="19">
        <v>0</v>
      </c>
      <c r="BC129" s="19">
        <v>21000</v>
      </c>
      <c r="BD129" s="19">
        <v>0</v>
      </c>
      <c r="BE129" s="19">
        <v>21000</v>
      </c>
      <c r="BF129" s="19">
        <v>0</v>
      </c>
      <c r="BG129" s="19">
        <v>0</v>
      </c>
      <c r="BH129" s="19">
        <v>0</v>
      </c>
      <c r="BI129" s="19">
        <v>21000</v>
      </c>
      <c r="BJ129" s="19">
        <v>0</v>
      </c>
      <c r="BK129" s="19">
        <v>0</v>
      </c>
      <c r="BL129" s="19">
        <v>0</v>
      </c>
      <c r="BM129" s="19">
        <v>0</v>
      </c>
      <c r="BN129" s="19">
        <v>0</v>
      </c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/>
      <c r="BV129" s="19">
        <v>0</v>
      </c>
      <c r="BW129" s="19">
        <v>0</v>
      </c>
      <c r="BX129" s="19">
        <v>0</v>
      </c>
      <c r="BY129" s="19">
        <v>0</v>
      </c>
      <c r="BZ129" s="19">
        <v>0</v>
      </c>
      <c r="CA129" s="19">
        <v>0</v>
      </c>
      <c r="CB129" s="19">
        <v>0</v>
      </c>
      <c r="CC129" s="19">
        <v>0</v>
      </c>
      <c r="CD129" s="19">
        <v>0</v>
      </c>
      <c r="CE129" s="19"/>
      <c r="CF129" s="19">
        <v>0</v>
      </c>
      <c r="CG129" s="19">
        <v>0</v>
      </c>
      <c r="CH129" s="19">
        <v>0</v>
      </c>
      <c r="CI129" s="19">
        <v>0</v>
      </c>
      <c r="CJ129" s="19">
        <v>0</v>
      </c>
      <c r="CK129" s="19">
        <v>0</v>
      </c>
      <c r="CL129" s="19">
        <v>0</v>
      </c>
      <c r="CM129" s="19">
        <v>0</v>
      </c>
      <c r="CN129" s="19">
        <v>0</v>
      </c>
      <c r="CO129" s="19">
        <v>0</v>
      </c>
      <c r="CP129" s="19">
        <v>0</v>
      </c>
      <c r="CQ129" s="24">
        <v>0</v>
      </c>
      <c r="CR129" s="19">
        <v>0</v>
      </c>
      <c r="CS129" s="19">
        <v>0</v>
      </c>
      <c r="CT129" s="19">
        <v>0</v>
      </c>
      <c r="CU129" s="19">
        <v>0</v>
      </c>
      <c r="CV129" s="19">
        <v>0</v>
      </c>
      <c r="CW129" s="19">
        <v>0</v>
      </c>
      <c r="CX129" s="19">
        <v>0</v>
      </c>
      <c r="CY129" s="19">
        <v>0</v>
      </c>
      <c r="CZ129" s="19">
        <v>0</v>
      </c>
      <c r="DA129" s="19">
        <v>0</v>
      </c>
      <c r="DB129" s="19">
        <v>0</v>
      </c>
      <c r="DC129" s="19">
        <v>0</v>
      </c>
      <c r="DD129" s="19">
        <v>0</v>
      </c>
      <c r="DE129" s="19">
        <v>0</v>
      </c>
      <c r="DF129" s="19">
        <v>0</v>
      </c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</row>
    <row r="130" spans="1:123" ht="15.75" customHeight="1" x14ac:dyDescent="0.3">
      <c r="A130" s="15">
        <v>109</v>
      </c>
      <c r="B130" s="16" t="s">
        <v>111</v>
      </c>
      <c r="C130" s="17">
        <v>10500</v>
      </c>
      <c r="D130" s="18">
        <f>Sheet3!C126</f>
        <v>108</v>
      </c>
      <c r="E130" s="19">
        <v>10500</v>
      </c>
      <c r="F130" s="19">
        <v>10500</v>
      </c>
      <c r="G130" s="19">
        <v>10500</v>
      </c>
      <c r="H130" s="19">
        <v>10500</v>
      </c>
      <c r="I130" s="19">
        <v>10500</v>
      </c>
      <c r="J130" s="19">
        <v>10500</v>
      </c>
      <c r="K130" s="19">
        <v>10500</v>
      </c>
      <c r="L130" s="19">
        <v>10500</v>
      </c>
      <c r="M130" s="19">
        <v>10500</v>
      </c>
      <c r="N130" s="19">
        <v>10500</v>
      </c>
      <c r="O130" s="19">
        <v>10500</v>
      </c>
      <c r="P130" s="19">
        <v>10500</v>
      </c>
      <c r="Q130" s="19">
        <v>10500</v>
      </c>
      <c r="R130" s="19">
        <v>10500</v>
      </c>
      <c r="S130" s="19">
        <v>10500</v>
      </c>
      <c r="T130" s="19">
        <v>10500</v>
      </c>
      <c r="U130" s="19">
        <v>10500</v>
      </c>
      <c r="V130" s="19">
        <v>10500</v>
      </c>
      <c r="W130" s="19">
        <v>10500</v>
      </c>
      <c r="X130" s="19">
        <v>10500</v>
      </c>
      <c r="Y130" s="19">
        <v>10500</v>
      </c>
      <c r="Z130" s="19">
        <v>10500</v>
      </c>
      <c r="AA130" s="19">
        <v>10500</v>
      </c>
      <c r="AB130" s="19">
        <v>10500</v>
      </c>
      <c r="AC130" s="19">
        <v>10500</v>
      </c>
      <c r="AD130" s="19">
        <v>10500</v>
      </c>
      <c r="AE130" s="19">
        <v>10500</v>
      </c>
      <c r="AF130" s="19">
        <v>10500</v>
      </c>
      <c r="AG130" s="19">
        <v>10500</v>
      </c>
      <c r="AH130" s="19">
        <v>10500</v>
      </c>
      <c r="AI130" s="19">
        <v>10500</v>
      </c>
      <c r="AJ130" s="19">
        <v>10500</v>
      </c>
      <c r="AK130" s="19">
        <v>10500</v>
      </c>
      <c r="AL130" s="19">
        <v>10500</v>
      </c>
      <c r="AM130" s="19">
        <v>10500</v>
      </c>
      <c r="AN130" s="19">
        <v>10500</v>
      </c>
      <c r="AO130" s="19">
        <v>10500</v>
      </c>
      <c r="AP130" s="19">
        <v>10500</v>
      </c>
      <c r="AQ130" s="19">
        <v>10500</v>
      </c>
      <c r="AR130" s="19">
        <v>10500</v>
      </c>
      <c r="AS130" s="19">
        <v>10500</v>
      </c>
      <c r="AT130" s="19">
        <v>10500</v>
      </c>
      <c r="AU130" s="19">
        <v>10500</v>
      </c>
      <c r="AV130" s="19">
        <v>10500</v>
      </c>
      <c r="AW130" s="19">
        <v>10500</v>
      </c>
      <c r="AX130" s="19">
        <v>10500</v>
      </c>
      <c r="AY130" s="19">
        <v>10500</v>
      </c>
      <c r="AZ130" s="19">
        <v>10500</v>
      </c>
      <c r="BA130" s="19">
        <v>10500</v>
      </c>
      <c r="BB130" s="19">
        <v>10500</v>
      </c>
      <c r="BC130" s="19">
        <v>10500</v>
      </c>
      <c r="BD130" s="19">
        <v>10500</v>
      </c>
      <c r="BE130" s="19">
        <v>10500</v>
      </c>
      <c r="BF130" s="19">
        <v>10500</v>
      </c>
      <c r="BG130" s="19">
        <v>10500</v>
      </c>
      <c r="BH130" s="19">
        <v>10500</v>
      </c>
      <c r="BI130" s="19">
        <v>10500</v>
      </c>
      <c r="BJ130" s="19">
        <v>10500</v>
      </c>
      <c r="BK130" s="19">
        <v>10500</v>
      </c>
      <c r="BL130" s="19">
        <v>10500</v>
      </c>
      <c r="BM130" s="19">
        <v>10500</v>
      </c>
      <c r="BN130" s="19">
        <v>0</v>
      </c>
      <c r="BO130" s="19">
        <v>21000</v>
      </c>
      <c r="BP130" s="19">
        <v>10500</v>
      </c>
      <c r="BQ130" s="19">
        <v>10500</v>
      </c>
      <c r="BR130" s="19">
        <v>10500</v>
      </c>
      <c r="BS130" s="19">
        <v>10500</v>
      </c>
      <c r="BT130" s="19">
        <v>10500</v>
      </c>
      <c r="BU130" s="19">
        <v>10500</v>
      </c>
      <c r="BV130" s="19">
        <v>10500</v>
      </c>
      <c r="BW130" s="19">
        <v>10500</v>
      </c>
      <c r="BX130" s="19">
        <v>10500</v>
      </c>
      <c r="BY130" s="19">
        <v>10500</v>
      </c>
      <c r="BZ130" s="19">
        <v>10500</v>
      </c>
      <c r="CA130" s="19">
        <v>10500</v>
      </c>
      <c r="CB130" s="19">
        <v>10500</v>
      </c>
      <c r="CC130" s="19">
        <v>10500</v>
      </c>
      <c r="CD130" s="19">
        <v>10500</v>
      </c>
      <c r="CE130" s="19">
        <v>10500</v>
      </c>
      <c r="CF130" s="19">
        <v>10500</v>
      </c>
      <c r="CG130" s="19">
        <v>10500</v>
      </c>
      <c r="CH130" s="19">
        <v>10500</v>
      </c>
      <c r="CI130" s="19">
        <v>10500</v>
      </c>
      <c r="CJ130" s="19">
        <v>10500</v>
      </c>
      <c r="CK130" s="19">
        <v>10500</v>
      </c>
      <c r="CL130" s="19">
        <v>10500</v>
      </c>
      <c r="CM130" s="19">
        <v>0</v>
      </c>
      <c r="CN130" s="19">
        <v>10500</v>
      </c>
      <c r="CO130" s="19">
        <v>10500</v>
      </c>
      <c r="CP130" s="19">
        <v>10500</v>
      </c>
      <c r="CQ130" s="19">
        <v>10500</v>
      </c>
      <c r="CR130" s="19">
        <v>10500</v>
      </c>
      <c r="CS130" s="19">
        <v>10500</v>
      </c>
      <c r="CT130" s="19">
        <v>10500</v>
      </c>
      <c r="CU130" s="19">
        <v>10500</v>
      </c>
      <c r="CV130" s="19">
        <v>10500</v>
      </c>
      <c r="CW130" s="19">
        <v>10500</v>
      </c>
      <c r="CX130" s="19">
        <v>10500</v>
      </c>
      <c r="CY130" s="19">
        <v>10500</v>
      </c>
      <c r="CZ130" s="19">
        <v>10500</v>
      </c>
      <c r="DA130" s="19">
        <v>10500</v>
      </c>
      <c r="DB130" s="19">
        <v>21000</v>
      </c>
      <c r="DC130" s="19">
        <v>10500</v>
      </c>
      <c r="DD130" s="19">
        <v>10500</v>
      </c>
      <c r="DE130" s="19">
        <v>10500</v>
      </c>
      <c r="DF130" s="19">
        <v>10500</v>
      </c>
      <c r="DG130" s="19">
        <v>10500</v>
      </c>
      <c r="DH130" s="19">
        <v>10500</v>
      </c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</row>
    <row r="131" spans="1:123" ht="15.75" customHeight="1" x14ac:dyDescent="0.3">
      <c r="A131" s="15">
        <v>110</v>
      </c>
      <c r="B131" s="16" t="s">
        <v>112</v>
      </c>
      <c r="C131" s="17">
        <v>10500</v>
      </c>
      <c r="D131" s="18">
        <f>Sheet3!C127</f>
        <v>108</v>
      </c>
      <c r="E131" s="19">
        <v>10500</v>
      </c>
      <c r="F131" s="19">
        <v>10500</v>
      </c>
      <c r="G131" s="19">
        <v>10500</v>
      </c>
      <c r="H131" s="19">
        <v>10500</v>
      </c>
      <c r="I131" s="19">
        <v>10500</v>
      </c>
      <c r="J131" s="19">
        <v>10500</v>
      </c>
      <c r="K131" s="19">
        <v>10500</v>
      </c>
      <c r="L131" s="19">
        <v>10500</v>
      </c>
      <c r="M131" s="19">
        <v>10500</v>
      </c>
      <c r="N131" s="19">
        <v>10500</v>
      </c>
      <c r="O131" s="19">
        <v>10500</v>
      </c>
      <c r="P131" s="19">
        <v>10500</v>
      </c>
      <c r="Q131" s="19">
        <v>10500</v>
      </c>
      <c r="R131" s="19">
        <v>10500</v>
      </c>
      <c r="S131" s="19">
        <v>10500</v>
      </c>
      <c r="T131" s="19">
        <v>10500</v>
      </c>
      <c r="U131" s="19">
        <v>10500</v>
      </c>
      <c r="V131" s="19">
        <v>10500</v>
      </c>
      <c r="W131" s="19">
        <v>10500</v>
      </c>
      <c r="X131" s="19">
        <v>10500</v>
      </c>
      <c r="Y131" s="19">
        <v>10500</v>
      </c>
      <c r="Z131" s="19">
        <v>10500</v>
      </c>
      <c r="AA131" s="19">
        <v>10500</v>
      </c>
      <c r="AB131" s="19">
        <v>10500</v>
      </c>
      <c r="AC131" s="19">
        <v>10500</v>
      </c>
      <c r="AD131" s="19">
        <v>10500</v>
      </c>
      <c r="AE131" s="19">
        <v>10500</v>
      </c>
      <c r="AF131" s="19">
        <v>10500</v>
      </c>
      <c r="AG131" s="19">
        <v>10500</v>
      </c>
      <c r="AH131" s="19">
        <v>10500</v>
      </c>
      <c r="AI131" s="19">
        <v>10500</v>
      </c>
      <c r="AJ131" s="19">
        <v>10500</v>
      </c>
      <c r="AK131" s="19">
        <v>10500</v>
      </c>
      <c r="AL131" s="19">
        <v>10500</v>
      </c>
      <c r="AM131" s="19">
        <v>10500</v>
      </c>
      <c r="AN131" s="19">
        <v>10500</v>
      </c>
      <c r="AO131" s="19">
        <v>10500</v>
      </c>
      <c r="AP131" s="19">
        <v>10500</v>
      </c>
      <c r="AQ131" s="19">
        <v>10500</v>
      </c>
      <c r="AR131" s="19">
        <v>10500</v>
      </c>
      <c r="AS131" s="19">
        <v>10500</v>
      </c>
      <c r="AT131" s="19">
        <v>10500</v>
      </c>
      <c r="AU131" s="19">
        <v>10500</v>
      </c>
      <c r="AV131" s="19">
        <v>10500</v>
      </c>
      <c r="AW131" s="19">
        <v>10500</v>
      </c>
      <c r="AX131" s="19">
        <v>10500</v>
      </c>
      <c r="AY131" s="19">
        <v>10500</v>
      </c>
      <c r="AZ131" s="19">
        <v>10500</v>
      </c>
      <c r="BA131" s="19">
        <v>10500</v>
      </c>
      <c r="BB131" s="19">
        <v>10500</v>
      </c>
      <c r="BC131" s="19">
        <v>10500</v>
      </c>
      <c r="BD131" s="19">
        <v>10500</v>
      </c>
      <c r="BE131" s="19">
        <v>10500</v>
      </c>
      <c r="BF131" s="19">
        <v>10500</v>
      </c>
      <c r="BG131" s="19">
        <v>10500</v>
      </c>
      <c r="BH131" s="19">
        <v>10500</v>
      </c>
      <c r="BI131" s="19">
        <v>10500</v>
      </c>
      <c r="BJ131" s="19">
        <v>10500</v>
      </c>
      <c r="BK131" s="19">
        <v>10500</v>
      </c>
      <c r="BL131" s="19">
        <v>10500</v>
      </c>
      <c r="BM131" s="19">
        <v>10500</v>
      </c>
      <c r="BN131" s="19">
        <v>0</v>
      </c>
      <c r="BO131" s="19">
        <v>21000</v>
      </c>
      <c r="BP131" s="19">
        <v>10500</v>
      </c>
      <c r="BQ131" s="19">
        <v>10500</v>
      </c>
      <c r="BR131" s="19">
        <v>10500</v>
      </c>
      <c r="BS131" s="19">
        <v>10500</v>
      </c>
      <c r="BT131" s="19">
        <v>10500</v>
      </c>
      <c r="BU131" s="19">
        <v>10500</v>
      </c>
      <c r="BV131" s="19">
        <v>10500</v>
      </c>
      <c r="BW131" s="19">
        <v>10500</v>
      </c>
      <c r="BX131" s="19">
        <v>10500</v>
      </c>
      <c r="BY131" s="19">
        <v>10500</v>
      </c>
      <c r="BZ131" s="19">
        <v>10500</v>
      </c>
      <c r="CA131" s="19">
        <v>10500</v>
      </c>
      <c r="CB131" s="19">
        <v>10500</v>
      </c>
      <c r="CC131" s="19">
        <v>10500</v>
      </c>
      <c r="CD131" s="19">
        <v>10500</v>
      </c>
      <c r="CE131" s="19">
        <v>10500</v>
      </c>
      <c r="CF131" s="19">
        <v>10500</v>
      </c>
      <c r="CG131" s="19">
        <v>10500</v>
      </c>
      <c r="CH131" s="19">
        <v>10500</v>
      </c>
      <c r="CI131" s="19">
        <v>10500</v>
      </c>
      <c r="CJ131" s="19">
        <v>10500</v>
      </c>
      <c r="CK131" s="19">
        <v>10500</v>
      </c>
      <c r="CL131" s="19">
        <v>10500</v>
      </c>
      <c r="CM131" s="19">
        <v>10500</v>
      </c>
      <c r="CN131" s="19">
        <v>10500</v>
      </c>
      <c r="CO131" s="19">
        <v>10500</v>
      </c>
      <c r="CP131" s="19">
        <v>10500</v>
      </c>
      <c r="CQ131" s="19">
        <v>10500</v>
      </c>
      <c r="CR131" s="19">
        <v>10500</v>
      </c>
      <c r="CS131" s="19">
        <v>0</v>
      </c>
      <c r="CT131" s="19">
        <v>21000</v>
      </c>
      <c r="CU131" s="19">
        <v>10500</v>
      </c>
      <c r="CV131" s="19">
        <v>10500</v>
      </c>
      <c r="CW131" s="19">
        <v>10500</v>
      </c>
      <c r="CX131" s="19">
        <v>10500</v>
      </c>
      <c r="CY131" s="19">
        <v>0</v>
      </c>
      <c r="CZ131" s="19">
        <v>21000</v>
      </c>
      <c r="DA131" s="19">
        <v>10500</v>
      </c>
      <c r="DB131" s="19">
        <v>10500</v>
      </c>
      <c r="DC131" s="19">
        <v>10500</v>
      </c>
      <c r="DD131" s="19">
        <v>10500</v>
      </c>
      <c r="DE131" s="19">
        <v>10500</v>
      </c>
      <c r="DF131" s="19">
        <v>10500</v>
      </c>
      <c r="DG131" s="19">
        <v>10500</v>
      </c>
      <c r="DH131" s="19">
        <v>10500</v>
      </c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</row>
    <row r="132" spans="1:123" ht="15.75" customHeight="1" x14ac:dyDescent="0.3">
      <c r="A132" s="25">
        <v>110</v>
      </c>
      <c r="B132" s="16" t="s">
        <v>113</v>
      </c>
      <c r="C132" s="17">
        <v>10500</v>
      </c>
      <c r="D132" s="18">
        <f>Sheet3!C128</f>
        <v>103</v>
      </c>
      <c r="E132" s="19">
        <v>10500</v>
      </c>
      <c r="F132" s="19">
        <v>10500</v>
      </c>
      <c r="G132" s="19">
        <v>10500</v>
      </c>
      <c r="H132" s="19">
        <v>10500</v>
      </c>
      <c r="I132" s="19">
        <v>10500</v>
      </c>
      <c r="J132" s="19">
        <v>10500</v>
      </c>
      <c r="K132" s="19">
        <v>10500</v>
      </c>
      <c r="L132" s="19">
        <v>10500</v>
      </c>
      <c r="M132" s="19">
        <v>10500</v>
      </c>
      <c r="N132" s="19">
        <v>10500</v>
      </c>
      <c r="O132" s="19">
        <v>10500</v>
      </c>
      <c r="P132" s="19">
        <v>10500</v>
      </c>
      <c r="Q132" s="19">
        <v>10500</v>
      </c>
      <c r="R132" s="19">
        <v>10500</v>
      </c>
      <c r="S132" s="19">
        <v>10500</v>
      </c>
      <c r="T132" s="19">
        <v>10500</v>
      </c>
      <c r="U132" s="19">
        <v>10500</v>
      </c>
      <c r="V132" s="19">
        <v>0</v>
      </c>
      <c r="W132" s="19">
        <v>0</v>
      </c>
      <c r="X132" s="19">
        <v>0</v>
      </c>
      <c r="Y132" s="19">
        <v>21000</v>
      </c>
      <c r="Z132" s="19">
        <v>10500</v>
      </c>
      <c r="AA132" s="19">
        <v>21000</v>
      </c>
      <c r="AB132" s="19">
        <v>0</v>
      </c>
      <c r="AC132" s="19">
        <v>21000</v>
      </c>
      <c r="AD132" s="19">
        <v>10500</v>
      </c>
      <c r="AE132" s="19">
        <v>10500</v>
      </c>
      <c r="AF132" s="19">
        <v>0</v>
      </c>
      <c r="AG132" s="19">
        <v>21000</v>
      </c>
      <c r="AH132" s="19">
        <v>10500</v>
      </c>
      <c r="AI132" s="19">
        <v>10500</v>
      </c>
      <c r="AJ132" s="19">
        <v>10500</v>
      </c>
      <c r="AK132" s="19">
        <v>10500</v>
      </c>
      <c r="AL132" s="19">
        <v>10500</v>
      </c>
      <c r="AM132" s="19">
        <v>10500</v>
      </c>
      <c r="AN132" s="19">
        <v>0</v>
      </c>
      <c r="AO132" s="19">
        <v>10500</v>
      </c>
      <c r="AP132" s="19">
        <v>21000</v>
      </c>
      <c r="AQ132" s="19">
        <v>10500</v>
      </c>
      <c r="AR132" s="19">
        <v>0</v>
      </c>
      <c r="AS132" s="19">
        <v>0</v>
      </c>
      <c r="AT132" s="19">
        <v>21000</v>
      </c>
      <c r="AU132" s="19">
        <v>21000</v>
      </c>
      <c r="AV132" s="19">
        <v>0</v>
      </c>
      <c r="AW132" s="19">
        <v>21000</v>
      </c>
      <c r="AX132" s="19">
        <v>0</v>
      </c>
      <c r="AY132" s="19">
        <v>21000</v>
      </c>
      <c r="AZ132" s="19">
        <v>0</v>
      </c>
      <c r="BA132" s="19">
        <v>0</v>
      </c>
      <c r="BB132" s="19">
        <v>0</v>
      </c>
      <c r="BC132" s="19">
        <v>42000</v>
      </c>
      <c r="BD132" s="19">
        <v>0</v>
      </c>
      <c r="BE132" s="19">
        <v>0</v>
      </c>
      <c r="BF132" s="19">
        <v>21000</v>
      </c>
      <c r="BG132" s="19">
        <v>10500</v>
      </c>
      <c r="BH132" s="19">
        <v>0</v>
      </c>
      <c r="BI132" s="19">
        <v>0</v>
      </c>
      <c r="BJ132" s="19">
        <v>42000</v>
      </c>
      <c r="BK132" s="19">
        <v>0</v>
      </c>
      <c r="BL132" s="19">
        <v>21000</v>
      </c>
      <c r="BM132" s="19">
        <v>0</v>
      </c>
      <c r="BN132" s="19">
        <v>0</v>
      </c>
      <c r="BO132" s="19">
        <v>31500</v>
      </c>
      <c r="BP132" s="19">
        <v>0</v>
      </c>
      <c r="BQ132" s="19">
        <v>0</v>
      </c>
      <c r="BR132" s="19">
        <v>31500</v>
      </c>
      <c r="BS132" s="19">
        <v>0</v>
      </c>
      <c r="BT132" s="19">
        <v>0</v>
      </c>
      <c r="BU132" s="19">
        <v>21000</v>
      </c>
      <c r="BV132" s="19">
        <v>0</v>
      </c>
      <c r="BW132" s="19">
        <v>31500</v>
      </c>
      <c r="BX132" s="19">
        <v>0</v>
      </c>
      <c r="BY132" s="19">
        <v>21000</v>
      </c>
      <c r="BZ132" s="19">
        <v>0</v>
      </c>
      <c r="CA132" s="19">
        <v>0</v>
      </c>
      <c r="CB132" s="19">
        <v>21000</v>
      </c>
      <c r="CC132" s="19">
        <v>21000</v>
      </c>
      <c r="CD132" s="19">
        <v>0</v>
      </c>
      <c r="CE132" s="19"/>
      <c r="CF132" s="19">
        <v>0</v>
      </c>
      <c r="CG132" s="19">
        <v>21000</v>
      </c>
      <c r="CH132" s="19">
        <v>21000</v>
      </c>
      <c r="CI132" s="19">
        <v>0</v>
      </c>
      <c r="CJ132" s="19">
        <v>21000</v>
      </c>
      <c r="CK132" s="19">
        <v>0</v>
      </c>
      <c r="CL132" s="19">
        <v>0</v>
      </c>
      <c r="CM132" s="19">
        <v>63000</v>
      </c>
      <c r="CN132" s="19">
        <v>0</v>
      </c>
      <c r="CO132" s="19">
        <v>0</v>
      </c>
      <c r="CP132" s="19">
        <v>0</v>
      </c>
      <c r="CQ132" s="24">
        <v>0</v>
      </c>
      <c r="CR132" s="19">
        <v>0</v>
      </c>
      <c r="CS132" s="19">
        <v>0</v>
      </c>
      <c r="CT132" s="19">
        <v>0</v>
      </c>
      <c r="CU132" s="19">
        <v>10500</v>
      </c>
      <c r="CV132" s="19">
        <v>0</v>
      </c>
      <c r="CW132" s="19">
        <v>0</v>
      </c>
      <c r="CX132" s="19">
        <v>0</v>
      </c>
      <c r="CY132" s="19">
        <v>31500</v>
      </c>
      <c r="CZ132" s="19">
        <v>42000</v>
      </c>
      <c r="DA132" s="19">
        <v>0</v>
      </c>
      <c r="DB132" s="19">
        <v>21000</v>
      </c>
      <c r="DC132" s="19">
        <v>0</v>
      </c>
      <c r="DD132" s="19">
        <v>0</v>
      </c>
      <c r="DE132" s="19">
        <v>31500</v>
      </c>
      <c r="DF132" s="19">
        <v>0</v>
      </c>
      <c r="DG132" s="19">
        <v>21000</v>
      </c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</row>
    <row r="133" spans="1:123" ht="15.75" customHeight="1" x14ac:dyDescent="0.3">
      <c r="A133" s="15">
        <v>111</v>
      </c>
      <c r="B133" s="16" t="s">
        <v>114</v>
      </c>
      <c r="C133" s="17">
        <v>10500</v>
      </c>
      <c r="D133" s="18">
        <f>Sheet3!C129</f>
        <v>102</v>
      </c>
      <c r="E133" s="19">
        <v>10500</v>
      </c>
      <c r="F133" s="19">
        <v>10500</v>
      </c>
      <c r="G133" s="19">
        <v>10500</v>
      </c>
      <c r="H133" s="19">
        <v>10500</v>
      </c>
      <c r="I133" s="19">
        <v>10500</v>
      </c>
      <c r="J133" s="19">
        <v>10500</v>
      </c>
      <c r="K133" s="19">
        <v>10500</v>
      </c>
      <c r="L133" s="19">
        <v>10500</v>
      </c>
      <c r="M133" s="19">
        <v>10500</v>
      </c>
      <c r="N133" s="19">
        <v>10500</v>
      </c>
      <c r="O133" s="19">
        <v>10500</v>
      </c>
      <c r="P133" s="19">
        <v>10500</v>
      </c>
      <c r="Q133" s="19">
        <v>10500</v>
      </c>
      <c r="R133" s="19">
        <v>10500</v>
      </c>
      <c r="S133" s="19">
        <v>10500</v>
      </c>
      <c r="T133" s="19">
        <v>10500</v>
      </c>
      <c r="U133" s="19">
        <v>10500</v>
      </c>
      <c r="V133" s="19">
        <v>10500</v>
      </c>
      <c r="W133" s="19">
        <v>10500</v>
      </c>
      <c r="X133" s="19">
        <v>10500</v>
      </c>
      <c r="Y133" s="19">
        <v>10500</v>
      </c>
      <c r="Z133" s="19">
        <v>10500</v>
      </c>
      <c r="AA133" s="19">
        <v>10500</v>
      </c>
      <c r="AB133" s="19">
        <v>0</v>
      </c>
      <c r="AC133" s="19">
        <v>21000</v>
      </c>
      <c r="AD133" s="19">
        <v>10500</v>
      </c>
      <c r="AE133" s="19">
        <v>10500</v>
      </c>
      <c r="AF133" s="19">
        <v>0</v>
      </c>
      <c r="AG133" s="19">
        <v>21000</v>
      </c>
      <c r="AH133" s="19">
        <v>10500</v>
      </c>
      <c r="AI133" s="19">
        <v>10500</v>
      </c>
      <c r="AJ133" s="19">
        <v>10500</v>
      </c>
      <c r="AK133" s="19">
        <v>10500</v>
      </c>
      <c r="AL133" s="19">
        <v>10500</v>
      </c>
      <c r="AM133" s="19">
        <v>10500</v>
      </c>
      <c r="AN133" s="19">
        <v>10500</v>
      </c>
      <c r="AO133" s="19">
        <v>10500</v>
      </c>
      <c r="AP133" s="19">
        <v>10500</v>
      </c>
      <c r="AQ133" s="19">
        <v>10500</v>
      </c>
      <c r="AR133" s="19">
        <v>10500</v>
      </c>
      <c r="AS133" s="19">
        <v>10500</v>
      </c>
      <c r="AT133" s="19">
        <v>10500</v>
      </c>
      <c r="AU133" s="19">
        <v>10500</v>
      </c>
      <c r="AV133" s="19">
        <v>10500</v>
      </c>
      <c r="AW133" s="19">
        <v>10500</v>
      </c>
      <c r="AX133" s="19">
        <v>10500</v>
      </c>
      <c r="AY133" s="19">
        <v>10500</v>
      </c>
      <c r="AZ133" s="19">
        <v>0</v>
      </c>
      <c r="BA133" s="19">
        <v>21000</v>
      </c>
      <c r="BB133" s="19">
        <v>0</v>
      </c>
      <c r="BC133" s="19">
        <v>21000</v>
      </c>
      <c r="BD133" s="19">
        <v>10500</v>
      </c>
      <c r="BE133" s="19">
        <v>10500</v>
      </c>
      <c r="BF133" s="19">
        <v>0</v>
      </c>
      <c r="BG133" s="19">
        <v>21000</v>
      </c>
      <c r="BH133" s="19">
        <v>0</v>
      </c>
      <c r="BI133" s="19">
        <v>21000</v>
      </c>
      <c r="BJ133" s="19">
        <v>0</v>
      </c>
      <c r="BK133" s="19">
        <v>21000</v>
      </c>
      <c r="BL133" s="19">
        <v>0</v>
      </c>
      <c r="BM133" s="19">
        <v>0</v>
      </c>
      <c r="BN133" s="19">
        <v>21000</v>
      </c>
      <c r="BO133" s="19">
        <v>10500</v>
      </c>
      <c r="BP133" s="19">
        <v>21000</v>
      </c>
      <c r="BQ133" s="19">
        <v>0</v>
      </c>
      <c r="BR133" s="19">
        <v>0</v>
      </c>
      <c r="BS133" s="19">
        <v>21000</v>
      </c>
      <c r="BT133" s="19">
        <v>0</v>
      </c>
      <c r="BU133" s="19"/>
      <c r="BV133" s="19">
        <v>21000</v>
      </c>
      <c r="BW133" s="19">
        <v>0</v>
      </c>
      <c r="BX133" s="19">
        <v>21000</v>
      </c>
      <c r="BY133" s="19">
        <v>0</v>
      </c>
      <c r="BZ133" s="19">
        <v>21000</v>
      </c>
      <c r="CA133" s="19">
        <v>0</v>
      </c>
      <c r="CB133" s="19">
        <v>0</v>
      </c>
      <c r="CC133" s="19">
        <v>21000</v>
      </c>
      <c r="CD133" s="19">
        <v>0</v>
      </c>
      <c r="CE133" s="19">
        <v>21000</v>
      </c>
      <c r="CF133" s="19">
        <v>0</v>
      </c>
      <c r="CG133" s="19">
        <v>21000</v>
      </c>
      <c r="CH133" s="19">
        <v>0</v>
      </c>
      <c r="CI133" s="19">
        <v>21000</v>
      </c>
      <c r="CJ133" s="19">
        <v>10500</v>
      </c>
      <c r="CK133" s="19">
        <v>0</v>
      </c>
      <c r="CL133" s="19">
        <v>21000</v>
      </c>
      <c r="CM133" s="19">
        <v>0</v>
      </c>
      <c r="CN133" s="19">
        <v>21000</v>
      </c>
      <c r="CO133" s="19">
        <v>0</v>
      </c>
      <c r="CP133" s="19">
        <v>21000</v>
      </c>
      <c r="CQ133" s="24">
        <v>0</v>
      </c>
      <c r="CR133" s="19">
        <v>21000</v>
      </c>
      <c r="CS133" s="19">
        <v>0</v>
      </c>
      <c r="CT133" s="19">
        <v>21000</v>
      </c>
      <c r="CU133" s="19">
        <v>0</v>
      </c>
      <c r="CV133" s="19">
        <v>31500</v>
      </c>
      <c r="CW133" s="19">
        <v>0</v>
      </c>
      <c r="CX133" s="19">
        <v>0</v>
      </c>
      <c r="CY133" s="19">
        <v>21000</v>
      </c>
      <c r="CZ133" s="19">
        <v>0</v>
      </c>
      <c r="DA133" s="19">
        <v>21000</v>
      </c>
      <c r="DB133" s="19">
        <v>0</v>
      </c>
      <c r="DC133" s="19">
        <v>0</v>
      </c>
      <c r="DD133" s="19">
        <v>21000</v>
      </c>
      <c r="DE133" s="19">
        <v>0</v>
      </c>
      <c r="DF133" s="19">
        <v>0</v>
      </c>
      <c r="DG133" s="19">
        <v>21000</v>
      </c>
      <c r="DH133" s="19"/>
      <c r="DI133" s="19"/>
      <c r="DJ133" s="19"/>
      <c r="DK133" s="19"/>
      <c r="DL133" s="19"/>
      <c r="DM133" s="19"/>
      <c r="DN133" s="19"/>
      <c r="DO133" s="19"/>
      <c r="DP133" s="19"/>
      <c r="DQ133" s="19"/>
      <c r="DR133" s="19"/>
    </row>
    <row r="134" spans="1:123" ht="15.75" customHeight="1" x14ac:dyDescent="0.3">
      <c r="A134" s="15">
        <v>111</v>
      </c>
      <c r="B134" s="16" t="s">
        <v>115</v>
      </c>
      <c r="C134" s="17">
        <v>10500</v>
      </c>
      <c r="D134" s="18">
        <f>Sheet3!C130</f>
        <v>101</v>
      </c>
      <c r="E134" s="19">
        <v>10500</v>
      </c>
      <c r="F134" s="19">
        <v>10500</v>
      </c>
      <c r="G134" s="19">
        <v>10500</v>
      </c>
      <c r="H134" s="19">
        <v>10500</v>
      </c>
      <c r="I134" s="19">
        <v>10500</v>
      </c>
      <c r="J134" s="19">
        <v>10500</v>
      </c>
      <c r="K134" s="19">
        <v>10500</v>
      </c>
      <c r="L134" s="19">
        <v>10500</v>
      </c>
      <c r="M134" s="19">
        <v>10500</v>
      </c>
      <c r="N134" s="19">
        <v>10500</v>
      </c>
      <c r="O134" s="19">
        <v>10500</v>
      </c>
      <c r="P134" s="19">
        <v>10500</v>
      </c>
      <c r="Q134" s="19">
        <v>10500</v>
      </c>
      <c r="R134" s="19">
        <v>10500</v>
      </c>
      <c r="S134" s="19">
        <v>10500</v>
      </c>
      <c r="T134" s="19">
        <v>10500</v>
      </c>
      <c r="U134" s="19">
        <v>10500</v>
      </c>
      <c r="V134" s="19">
        <v>10500</v>
      </c>
      <c r="W134" s="19">
        <v>10500</v>
      </c>
      <c r="X134" s="19">
        <v>10500</v>
      </c>
      <c r="Y134" s="19">
        <v>10500</v>
      </c>
      <c r="Z134" s="19">
        <v>10500</v>
      </c>
      <c r="AA134" s="19">
        <v>10500</v>
      </c>
      <c r="AB134" s="19">
        <v>0</v>
      </c>
      <c r="AC134" s="19">
        <v>21000</v>
      </c>
      <c r="AD134" s="19">
        <v>10500</v>
      </c>
      <c r="AE134" s="19">
        <v>10500</v>
      </c>
      <c r="AF134" s="19">
        <v>10500</v>
      </c>
      <c r="AG134" s="19">
        <v>10500</v>
      </c>
      <c r="AH134" s="19">
        <v>10500</v>
      </c>
      <c r="AI134" s="19">
        <v>10500</v>
      </c>
      <c r="AJ134" s="19">
        <v>10500</v>
      </c>
      <c r="AK134" s="19">
        <v>10500</v>
      </c>
      <c r="AL134" s="19">
        <v>10500</v>
      </c>
      <c r="AM134" s="19">
        <v>10500</v>
      </c>
      <c r="AN134" s="19">
        <v>10500</v>
      </c>
      <c r="AO134" s="19">
        <v>10500</v>
      </c>
      <c r="AP134" s="19">
        <v>10500</v>
      </c>
      <c r="AQ134" s="19">
        <v>10500</v>
      </c>
      <c r="AR134" s="19">
        <v>10500</v>
      </c>
      <c r="AS134" s="19">
        <v>10500</v>
      </c>
      <c r="AT134" s="19">
        <v>10500</v>
      </c>
      <c r="AU134" s="19">
        <v>0</v>
      </c>
      <c r="AV134" s="19">
        <v>10500</v>
      </c>
      <c r="AW134" s="19">
        <v>10500</v>
      </c>
      <c r="AX134" s="19">
        <v>10500</v>
      </c>
      <c r="AY134" s="19">
        <v>10500</v>
      </c>
      <c r="AZ134" s="19">
        <v>10500</v>
      </c>
      <c r="BA134" s="19">
        <v>0</v>
      </c>
      <c r="BB134" s="19">
        <v>21000</v>
      </c>
      <c r="BC134" s="19">
        <v>0</v>
      </c>
      <c r="BD134" s="19">
        <v>21000</v>
      </c>
      <c r="BE134" s="19">
        <v>10500</v>
      </c>
      <c r="BF134" s="19">
        <v>10500</v>
      </c>
      <c r="BG134" s="19">
        <v>10500</v>
      </c>
      <c r="BH134" s="19">
        <v>10500</v>
      </c>
      <c r="BI134" s="19">
        <v>10500</v>
      </c>
      <c r="BJ134" s="19">
        <v>10500</v>
      </c>
      <c r="BK134" s="19">
        <v>10500</v>
      </c>
      <c r="BL134" s="19">
        <v>10500</v>
      </c>
      <c r="BM134" s="19">
        <v>0</v>
      </c>
      <c r="BN134" s="19">
        <v>0</v>
      </c>
      <c r="BO134" s="19">
        <v>31500</v>
      </c>
      <c r="BP134" s="19">
        <v>10500</v>
      </c>
      <c r="BQ134" s="19">
        <v>21000</v>
      </c>
      <c r="BR134" s="19">
        <v>10500</v>
      </c>
      <c r="BS134" s="19">
        <v>10500</v>
      </c>
      <c r="BT134" s="19">
        <v>0</v>
      </c>
      <c r="BU134" s="19"/>
      <c r="BV134" s="19">
        <v>21000</v>
      </c>
      <c r="BW134" s="19">
        <v>10500</v>
      </c>
      <c r="BX134" s="19">
        <v>10500</v>
      </c>
      <c r="BY134" s="19">
        <v>10500</v>
      </c>
      <c r="BZ134" s="19">
        <v>10500</v>
      </c>
      <c r="CA134" s="19">
        <v>10500</v>
      </c>
      <c r="CB134" s="19">
        <v>0</v>
      </c>
      <c r="CC134" s="19">
        <v>10500</v>
      </c>
      <c r="CD134" s="19">
        <v>10500</v>
      </c>
      <c r="CE134" s="19"/>
      <c r="CF134" s="19">
        <v>21000</v>
      </c>
      <c r="CG134" s="19">
        <v>0</v>
      </c>
      <c r="CH134" s="19">
        <v>21000</v>
      </c>
      <c r="CI134" s="19">
        <v>0</v>
      </c>
      <c r="CJ134" s="19">
        <v>21000</v>
      </c>
      <c r="CK134" s="19">
        <v>0</v>
      </c>
      <c r="CL134" s="19">
        <v>21000</v>
      </c>
      <c r="CM134" s="19">
        <v>0</v>
      </c>
      <c r="CN134" s="19">
        <v>21000</v>
      </c>
      <c r="CO134" s="19">
        <v>0</v>
      </c>
      <c r="CP134" s="19">
        <v>21000</v>
      </c>
      <c r="CQ134" s="24">
        <v>0</v>
      </c>
      <c r="CR134" s="19">
        <v>21000</v>
      </c>
      <c r="CS134" s="19">
        <v>0</v>
      </c>
      <c r="CT134" s="19">
        <v>10500</v>
      </c>
      <c r="CU134" s="19">
        <v>0</v>
      </c>
      <c r="CV134" s="19">
        <v>10500</v>
      </c>
      <c r="CW134" s="19">
        <v>10500</v>
      </c>
      <c r="CX134" s="19">
        <v>10500</v>
      </c>
      <c r="CY134" s="19">
        <v>10500</v>
      </c>
      <c r="CZ134" s="19">
        <v>0</v>
      </c>
      <c r="DA134" s="19">
        <v>21000</v>
      </c>
      <c r="DB134" s="19">
        <v>0</v>
      </c>
      <c r="DC134" s="19">
        <v>0</v>
      </c>
      <c r="DD134" s="19">
        <v>21000</v>
      </c>
      <c r="DE134" s="19">
        <v>0</v>
      </c>
      <c r="DF134" s="19">
        <v>21000</v>
      </c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</row>
    <row r="135" spans="1:123" ht="15.75" customHeight="1" x14ac:dyDescent="0.3">
      <c r="A135" s="15">
        <v>112</v>
      </c>
      <c r="B135" s="16" t="s">
        <v>22</v>
      </c>
      <c r="C135" s="17">
        <v>10500</v>
      </c>
      <c r="D135" s="18">
        <f>Sheet3!C131</f>
        <v>106</v>
      </c>
      <c r="E135" s="19">
        <v>10500</v>
      </c>
      <c r="F135" s="19">
        <v>10500</v>
      </c>
      <c r="G135" s="19">
        <v>10500</v>
      </c>
      <c r="H135" s="19">
        <v>10500</v>
      </c>
      <c r="I135" s="19">
        <v>10500</v>
      </c>
      <c r="J135" s="19">
        <v>10500</v>
      </c>
      <c r="K135" s="19">
        <v>10500</v>
      </c>
      <c r="L135" s="19">
        <v>10500</v>
      </c>
      <c r="M135" s="19">
        <v>10500</v>
      </c>
      <c r="N135" s="19">
        <v>10500</v>
      </c>
      <c r="O135" s="19">
        <v>10500</v>
      </c>
      <c r="P135" s="19">
        <v>10500</v>
      </c>
      <c r="Q135" s="19">
        <v>10500</v>
      </c>
      <c r="R135" s="19">
        <v>10500</v>
      </c>
      <c r="S135" s="19">
        <v>10500</v>
      </c>
      <c r="T135" s="19">
        <v>10500</v>
      </c>
      <c r="U135" s="19">
        <v>10500</v>
      </c>
      <c r="V135" s="19">
        <v>10500</v>
      </c>
      <c r="W135" s="19">
        <v>10500</v>
      </c>
      <c r="X135" s="19">
        <v>10500</v>
      </c>
      <c r="Y135" s="19">
        <v>10500</v>
      </c>
      <c r="Z135" s="19">
        <v>10500</v>
      </c>
      <c r="AA135" s="19">
        <v>10500</v>
      </c>
      <c r="AB135" s="19">
        <v>0</v>
      </c>
      <c r="AC135" s="19">
        <v>21000</v>
      </c>
      <c r="AD135" s="19">
        <v>10500</v>
      </c>
      <c r="AE135" s="19">
        <v>10500</v>
      </c>
      <c r="AF135" s="19">
        <v>0</v>
      </c>
      <c r="AG135" s="19">
        <v>21000</v>
      </c>
      <c r="AH135" s="19">
        <v>0</v>
      </c>
      <c r="AI135" s="19">
        <v>21000</v>
      </c>
      <c r="AJ135" s="19">
        <v>0</v>
      </c>
      <c r="AK135" s="19">
        <v>21000</v>
      </c>
      <c r="AL135" s="19">
        <v>10500</v>
      </c>
      <c r="AM135" s="19">
        <v>10500</v>
      </c>
      <c r="AN135" s="19">
        <v>10500</v>
      </c>
      <c r="AO135" s="19">
        <v>10500</v>
      </c>
      <c r="AP135" s="19">
        <v>10500</v>
      </c>
      <c r="AQ135" s="19">
        <v>10500</v>
      </c>
      <c r="AR135" s="19">
        <v>10500</v>
      </c>
      <c r="AS135" s="19">
        <v>10500</v>
      </c>
      <c r="AT135" s="19">
        <v>10500</v>
      </c>
      <c r="AU135" s="19">
        <v>10500</v>
      </c>
      <c r="AV135" s="19">
        <v>10500</v>
      </c>
      <c r="AW135" s="19">
        <v>10500</v>
      </c>
      <c r="AX135" s="19">
        <v>10500</v>
      </c>
      <c r="AY135" s="19">
        <v>10500</v>
      </c>
      <c r="AZ135" s="19">
        <v>0</v>
      </c>
      <c r="BA135" s="19">
        <v>21000</v>
      </c>
      <c r="BB135" s="19">
        <v>10500</v>
      </c>
      <c r="BC135" s="19">
        <v>10500</v>
      </c>
      <c r="BD135" s="19">
        <v>0</v>
      </c>
      <c r="BE135" s="19">
        <v>21000</v>
      </c>
      <c r="BF135" s="19">
        <v>10500</v>
      </c>
      <c r="BG135" s="19">
        <v>10500</v>
      </c>
      <c r="BH135" s="19">
        <v>0</v>
      </c>
      <c r="BI135" s="19">
        <v>21000</v>
      </c>
      <c r="BJ135" s="19">
        <v>10500</v>
      </c>
      <c r="BK135" s="19">
        <v>10500</v>
      </c>
      <c r="BL135" s="19">
        <v>0</v>
      </c>
      <c r="BM135" s="19">
        <v>21000</v>
      </c>
      <c r="BN135" s="19">
        <v>10500</v>
      </c>
      <c r="BO135" s="19">
        <v>10500</v>
      </c>
      <c r="BP135" s="19">
        <v>0</v>
      </c>
      <c r="BQ135" s="19">
        <v>21000</v>
      </c>
      <c r="BR135" s="19">
        <v>10500</v>
      </c>
      <c r="BS135" s="19">
        <v>10500</v>
      </c>
      <c r="BT135" s="19">
        <v>0</v>
      </c>
      <c r="BU135" s="19">
        <v>10500</v>
      </c>
      <c r="BV135" s="19">
        <v>10500</v>
      </c>
      <c r="BW135" s="19">
        <v>21000</v>
      </c>
      <c r="BX135" s="19">
        <v>10500</v>
      </c>
      <c r="BY135" s="19">
        <v>10500</v>
      </c>
      <c r="BZ135" s="19">
        <v>10500</v>
      </c>
      <c r="CA135" s="19">
        <v>10500</v>
      </c>
      <c r="CB135" s="19">
        <v>10500</v>
      </c>
      <c r="CC135" s="19">
        <v>10500</v>
      </c>
      <c r="CD135" s="19">
        <v>10500</v>
      </c>
      <c r="CE135" s="19"/>
      <c r="CF135" s="19">
        <v>10500</v>
      </c>
      <c r="CG135" s="19">
        <v>10500</v>
      </c>
      <c r="CH135" s="19">
        <v>10500</v>
      </c>
      <c r="CI135" s="19">
        <v>10500</v>
      </c>
      <c r="CJ135" s="19">
        <v>10500</v>
      </c>
      <c r="CK135" s="19">
        <v>10500</v>
      </c>
      <c r="CL135" s="19">
        <v>10500</v>
      </c>
      <c r="CM135" s="19">
        <v>10500</v>
      </c>
      <c r="CN135" s="19">
        <v>10500</v>
      </c>
      <c r="CO135" s="19">
        <v>10500</v>
      </c>
      <c r="CP135" s="19">
        <v>10500</v>
      </c>
      <c r="CQ135" s="19">
        <v>21000</v>
      </c>
      <c r="CR135" s="19">
        <v>0</v>
      </c>
      <c r="CS135" s="19">
        <v>10500</v>
      </c>
      <c r="CT135" s="19">
        <v>10500</v>
      </c>
      <c r="CU135" s="19">
        <v>10500</v>
      </c>
      <c r="CV135" s="19">
        <v>10500</v>
      </c>
      <c r="CW135" s="19">
        <v>10500</v>
      </c>
      <c r="CX135" s="19">
        <v>10500</v>
      </c>
      <c r="CY135" s="19">
        <v>10500</v>
      </c>
      <c r="CZ135" s="19">
        <v>0</v>
      </c>
      <c r="DA135" s="19">
        <v>10500</v>
      </c>
      <c r="DB135" s="19">
        <v>10500</v>
      </c>
      <c r="DC135" s="19">
        <v>10500</v>
      </c>
      <c r="DD135" s="19">
        <v>0</v>
      </c>
      <c r="DE135" s="19">
        <v>21000</v>
      </c>
      <c r="DF135" s="19">
        <v>10500</v>
      </c>
      <c r="DG135" s="19">
        <v>10500</v>
      </c>
      <c r="DH135" s="19">
        <v>10500</v>
      </c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</row>
    <row r="136" spans="1:123" ht="15.75" customHeight="1" x14ac:dyDescent="0.3">
      <c r="A136" s="15">
        <v>112</v>
      </c>
      <c r="B136" s="16" t="s">
        <v>116</v>
      </c>
      <c r="C136" s="17">
        <v>10500</v>
      </c>
      <c r="D136" s="18">
        <f>Sheet3!C132</f>
        <v>104</v>
      </c>
      <c r="E136" s="19">
        <v>10500</v>
      </c>
      <c r="F136" s="19">
        <v>10500</v>
      </c>
      <c r="G136" s="19">
        <v>10500</v>
      </c>
      <c r="H136" s="19">
        <v>10500</v>
      </c>
      <c r="I136" s="19">
        <v>10500</v>
      </c>
      <c r="J136" s="19">
        <v>10500</v>
      </c>
      <c r="K136" s="19">
        <v>10500</v>
      </c>
      <c r="L136" s="19">
        <v>10500</v>
      </c>
      <c r="M136" s="19">
        <v>10500</v>
      </c>
      <c r="N136" s="19">
        <v>10500</v>
      </c>
      <c r="O136" s="19">
        <v>10500</v>
      </c>
      <c r="P136" s="19">
        <v>10500</v>
      </c>
      <c r="Q136" s="19">
        <v>10500</v>
      </c>
      <c r="R136" s="19">
        <v>10500</v>
      </c>
      <c r="S136" s="19">
        <v>10500</v>
      </c>
      <c r="T136" s="19">
        <v>10500</v>
      </c>
      <c r="U136" s="19">
        <v>10500</v>
      </c>
      <c r="V136" s="19">
        <v>10500</v>
      </c>
      <c r="W136" s="19">
        <v>10500</v>
      </c>
      <c r="X136" s="19">
        <v>10500</v>
      </c>
      <c r="Y136" s="19">
        <v>10500</v>
      </c>
      <c r="Z136" s="19">
        <v>10500</v>
      </c>
      <c r="AA136" s="19">
        <v>10500</v>
      </c>
      <c r="AB136" s="19">
        <v>0</v>
      </c>
      <c r="AC136" s="19">
        <v>21000</v>
      </c>
      <c r="AD136" s="19">
        <v>10500</v>
      </c>
      <c r="AE136" s="19">
        <v>10500</v>
      </c>
      <c r="AF136" s="19">
        <v>0</v>
      </c>
      <c r="AG136" s="19">
        <v>21000</v>
      </c>
      <c r="AH136" s="19">
        <v>10500</v>
      </c>
      <c r="AI136" s="19">
        <v>10500</v>
      </c>
      <c r="AJ136" s="19">
        <v>0</v>
      </c>
      <c r="AK136" s="19">
        <v>21000</v>
      </c>
      <c r="AL136" s="19">
        <v>10500</v>
      </c>
      <c r="AM136" s="19">
        <v>10500</v>
      </c>
      <c r="AN136" s="19">
        <v>10500</v>
      </c>
      <c r="AO136" s="19">
        <v>10500</v>
      </c>
      <c r="AP136" s="19">
        <v>10500</v>
      </c>
      <c r="AQ136" s="19">
        <v>10500</v>
      </c>
      <c r="AR136" s="19">
        <v>10500</v>
      </c>
      <c r="AS136" s="19">
        <v>10500</v>
      </c>
      <c r="AT136" s="19">
        <v>10500</v>
      </c>
      <c r="AU136" s="19">
        <v>10500</v>
      </c>
      <c r="AV136" s="19">
        <v>10500</v>
      </c>
      <c r="AW136" s="19">
        <v>10500</v>
      </c>
      <c r="AX136" s="19">
        <v>10500</v>
      </c>
      <c r="AY136" s="19">
        <v>10500</v>
      </c>
      <c r="AZ136" s="19">
        <v>0</v>
      </c>
      <c r="BA136" s="19">
        <v>21000</v>
      </c>
      <c r="BB136" s="19">
        <v>10500</v>
      </c>
      <c r="BC136" s="19">
        <v>10500</v>
      </c>
      <c r="BD136" s="19">
        <v>0</v>
      </c>
      <c r="BE136" s="19">
        <v>21000</v>
      </c>
      <c r="BF136" s="19">
        <v>10500</v>
      </c>
      <c r="BG136" s="19">
        <v>10500</v>
      </c>
      <c r="BH136" s="19">
        <v>0</v>
      </c>
      <c r="BI136" s="19">
        <v>21000</v>
      </c>
      <c r="BJ136" s="19">
        <v>10500</v>
      </c>
      <c r="BK136" s="19">
        <v>10500</v>
      </c>
      <c r="BL136" s="19">
        <v>0</v>
      </c>
      <c r="BM136" s="19">
        <v>21000</v>
      </c>
      <c r="BN136" s="19">
        <v>10500</v>
      </c>
      <c r="BO136" s="19">
        <v>10500</v>
      </c>
      <c r="BP136" s="19">
        <v>0</v>
      </c>
      <c r="BQ136" s="19">
        <v>0</v>
      </c>
      <c r="BR136" s="19">
        <v>31500</v>
      </c>
      <c r="BS136" s="19">
        <v>10500</v>
      </c>
      <c r="BT136" s="19">
        <v>0</v>
      </c>
      <c r="BU136" s="19">
        <v>10500</v>
      </c>
      <c r="BV136" s="19">
        <v>10500</v>
      </c>
      <c r="BW136" s="19">
        <v>21000</v>
      </c>
      <c r="BX136" s="19">
        <v>10500</v>
      </c>
      <c r="BY136" s="19">
        <v>10500</v>
      </c>
      <c r="BZ136" s="19">
        <v>10500</v>
      </c>
      <c r="CA136" s="19">
        <v>10500</v>
      </c>
      <c r="CB136" s="19">
        <v>10500</v>
      </c>
      <c r="CC136" s="19">
        <v>10500</v>
      </c>
      <c r="CD136" s="19">
        <v>10500</v>
      </c>
      <c r="CE136" s="19"/>
      <c r="CF136" s="19">
        <v>21000</v>
      </c>
      <c r="CG136" s="19">
        <v>10500</v>
      </c>
      <c r="CH136" s="19">
        <v>10500</v>
      </c>
      <c r="CI136" s="19">
        <v>10500</v>
      </c>
      <c r="CJ136" s="19">
        <v>10500</v>
      </c>
      <c r="CK136" s="19">
        <v>10500</v>
      </c>
      <c r="CL136" s="19">
        <v>10500</v>
      </c>
      <c r="CM136" s="19">
        <v>10500</v>
      </c>
      <c r="CN136" s="19">
        <v>10500</v>
      </c>
      <c r="CO136" s="19">
        <v>0</v>
      </c>
      <c r="CP136" s="19">
        <v>10500</v>
      </c>
      <c r="CQ136" s="19">
        <v>10500</v>
      </c>
      <c r="CR136" s="19">
        <v>0</v>
      </c>
      <c r="CS136" s="19">
        <v>21000</v>
      </c>
      <c r="CT136" s="19">
        <v>10500</v>
      </c>
      <c r="CU136" s="19">
        <v>0</v>
      </c>
      <c r="CV136" s="19">
        <v>21000</v>
      </c>
      <c r="CW136" s="19">
        <v>10500</v>
      </c>
      <c r="CX136" s="19">
        <v>10500</v>
      </c>
      <c r="CY136" s="19">
        <v>10500</v>
      </c>
      <c r="CZ136" s="19">
        <v>0</v>
      </c>
      <c r="DA136" s="19">
        <v>10500</v>
      </c>
      <c r="DB136" s="19">
        <v>10500</v>
      </c>
      <c r="DC136" s="19">
        <v>10500</v>
      </c>
      <c r="DD136" s="19">
        <v>0</v>
      </c>
      <c r="DE136" s="19">
        <v>0</v>
      </c>
      <c r="DF136" s="19">
        <v>10500</v>
      </c>
      <c r="DG136" s="19">
        <v>10500</v>
      </c>
      <c r="DH136" s="19">
        <v>10500</v>
      </c>
      <c r="DI136" s="19"/>
      <c r="DJ136" s="19"/>
      <c r="DK136" s="19"/>
      <c r="DL136" s="19"/>
      <c r="DM136" s="19"/>
      <c r="DN136" s="19"/>
      <c r="DO136" s="19"/>
      <c r="DP136" s="19"/>
      <c r="DQ136" s="19"/>
      <c r="DR136" s="19"/>
    </row>
    <row r="137" spans="1:123" ht="15.75" customHeight="1" x14ac:dyDescent="0.3">
      <c r="A137" s="15">
        <v>113</v>
      </c>
      <c r="B137" s="16" t="s">
        <v>117</v>
      </c>
      <c r="C137" s="17">
        <v>10500</v>
      </c>
      <c r="D137" s="18">
        <f>Sheet3!C133</f>
        <v>108</v>
      </c>
      <c r="E137" s="19">
        <v>10500</v>
      </c>
      <c r="F137" s="19">
        <v>10500</v>
      </c>
      <c r="G137" s="19">
        <v>10500</v>
      </c>
      <c r="H137" s="19">
        <v>10500</v>
      </c>
      <c r="I137" s="19">
        <v>10500</v>
      </c>
      <c r="J137" s="19">
        <v>10500</v>
      </c>
      <c r="K137" s="19">
        <v>10500</v>
      </c>
      <c r="L137" s="19">
        <v>10500</v>
      </c>
      <c r="M137" s="19">
        <v>10500</v>
      </c>
      <c r="N137" s="19">
        <v>10500</v>
      </c>
      <c r="O137" s="19">
        <v>10500</v>
      </c>
      <c r="P137" s="19">
        <v>10500</v>
      </c>
      <c r="Q137" s="19">
        <v>10500</v>
      </c>
      <c r="R137" s="19">
        <v>10500</v>
      </c>
      <c r="S137" s="19">
        <v>10500</v>
      </c>
      <c r="T137" s="19">
        <v>10500</v>
      </c>
      <c r="U137" s="19">
        <v>10500</v>
      </c>
      <c r="V137" s="19">
        <v>10500</v>
      </c>
      <c r="W137" s="19">
        <v>10500</v>
      </c>
      <c r="X137" s="19">
        <v>10500</v>
      </c>
      <c r="Y137" s="19">
        <v>10500</v>
      </c>
      <c r="Z137" s="19">
        <v>10500</v>
      </c>
      <c r="AA137" s="19">
        <v>10500</v>
      </c>
      <c r="AB137" s="19">
        <v>10500</v>
      </c>
      <c r="AC137" s="19">
        <v>10500</v>
      </c>
      <c r="AD137" s="19">
        <v>10500</v>
      </c>
      <c r="AE137" s="19">
        <v>10500</v>
      </c>
      <c r="AF137" s="19">
        <v>10500</v>
      </c>
      <c r="AG137" s="19">
        <v>10500</v>
      </c>
      <c r="AH137" s="19">
        <v>10500</v>
      </c>
      <c r="AI137" s="19">
        <v>10500</v>
      </c>
      <c r="AJ137" s="19">
        <v>10500</v>
      </c>
      <c r="AK137" s="19">
        <v>10500</v>
      </c>
      <c r="AL137" s="19">
        <v>10500</v>
      </c>
      <c r="AM137" s="19">
        <v>10500</v>
      </c>
      <c r="AN137" s="19">
        <v>10500</v>
      </c>
      <c r="AO137" s="19">
        <v>10500</v>
      </c>
      <c r="AP137" s="19">
        <v>10500</v>
      </c>
      <c r="AQ137" s="19">
        <v>0</v>
      </c>
      <c r="AR137" s="19">
        <v>21000</v>
      </c>
      <c r="AS137" s="19">
        <v>10500</v>
      </c>
      <c r="AT137" s="19">
        <v>10500</v>
      </c>
      <c r="AU137" s="19">
        <v>10500</v>
      </c>
      <c r="AV137" s="19">
        <v>0</v>
      </c>
      <c r="AW137" s="19">
        <v>10500</v>
      </c>
      <c r="AX137" s="19">
        <v>10500</v>
      </c>
      <c r="AY137" s="19">
        <v>10500</v>
      </c>
      <c r="AZ137" s="19">
        <v>10500</v>
      </c>
      <c r="BA137" s="19">
        <v>10500</v>
      </c>
      <c r="BB137" s="19">
        <v>10500</v>
      </c>
      <c r="BC137" s="19">
        <v>10500</v>
      </c>
      <c r="BD137" s="19">
        <v>10500</v>
      </c>
      <c r="BE137" s="19">
        <v>10500</v>
      </c>
      <c r="BF137" s="19">
        <v>10500</v>
      </c>
      <c r="BG137" s="19">
        <v>10500</v>
      </c>
      <c r="BH137" s="19">
        <v>10500</v>
      </c>
      <c r="BI137" s="19">
        <v>10500</v>
      </c>
      <c r="BJ137" s="19">
        <v>10500</v>
      </c>
      <c r="BK137" s="19">
        <v>10500</v>
      </c>
      <c r="BL137" s="19">
        <v>10500</v>
      </c>
      <c r="BM137" s="19">
        <v>10500</v>
      </c>
      <c r="BN137" s="19">
        <v>10500</v>
      </c>
      <c r="BO137" s="19">
        <v>10500</v>
      </c>
      <c r="BP137" s="19">
        <v>21000</v>
      </c>
      <c r="BQ137" s="19">
        <v>10500</v>
      </c>
      <c r="BR137" s="19">
        <v>10500</v>
      </c>
      <c r="BS137" s="19">
        <v>10500</v>
      </c>
      <c r="BT137" s="19">
        <v>10500</v>
      </c>
      <c r="BU137" s="19">
        <v>10500</v>
      </c>
      <c r="BV137" s="19">
        <v>10500</v>
      </c>
      <c r="BW137" s="19">
        <v>10500</v>
      </c>
      <c r="BX137" s="19">
        <v>10500</v>
      </c>
      <c r="BY137" s="19">
        <v>10500</v>
      </c>
      <c r="BZ137" s="19">
        <v>10500</v>
      </c>
      <c r="CA137" s="19">
        <v>10500</v>
      </c>
      <c r="CB137" s="19">
        <v>10500</v>
      </c>
      <c r="CC137" s="19">
        <v>10500</v>
      </c>
      <c r="CD137" s="19">
        <v>10500</v>
      </c>
      <c r="CE137" s="19">
        <v>10500</v>
      </c>
      <c r="CF137" s="19">
        <v>10500</v>
      </c>
      <c r="CG137" s="19">
        <v>10500</v>
      </c>
      <c r="CH137" s="19">
        <v>10500</v>
      </c>
      <c r="CI137" s="19">
        <v>10500</v>
      </c>
      <c r="CJ137" s="19">
        <v>10500</v>
      </c>
      <c r="CK137" s="19">
        <v>10500</v>
      </c>
      <c r="CL137" s="19">
        <v>10500</v>
      </c>
      <c r="CM137" s="19">
        <v>0</v>
      </c>
      <c r="CN137" s="19">
        <v>21000</v>
      </c>
      <c r="CO137" s="19">
        <v>10500</v>
      </c>
      <c r="CP137" s="19">
        <v>10500</v>
      </c>
      <c r="CQ137" s="19">
        <v>10500</v>
      </c>
      <c r="CR137" s="19">
        <v>10500</v>
      </c>
      <c r="CS137" s="19">
        <v>10500</v>
      </c>
      <c r="CT137" s="19">
        <v>10500</v>
      </c>
      <c r="CU137" s="19">
        <v>10500</v>
      </c>
      <c r="CV137" s="19">
        <v>10500</v>
      </c>
      <c r="CW137" s="19">
        <v>10500</v>
      </c>
      <c r="CX137" s="19">
        <v>10500</v>
      </c>
      <c r="CY137" s="19">
        <v>10500</v>
      </c>
      <c r="CZ137" s="19">
        <v>10500</v>
      </c>
      <c r="DA137" s="19">
        <v>10500</v>
      </c>
      <c r="DB137" s="19">
        <v>10500</v>
      </c>
      <c r="DC137" s="19">
        <v>10500</v>
      </c>
      <c r="DD137" s="19">
        <v>10500</v>
      </c>
      <c r="DE137" s="19">
        <v>10500</v>
      </c>
      <c r="DF137" s="19">
        <v>10500</v>
      </c>
      <c r="DG137" s="19">
        <v>10500</v>
      </c>
      <c r="DH137" s="19">
        <v>10500</v>
      </c>
      <c r="DI137" s="19"/>
      <c r="DJ137" s="19"/>
      <c r="DK137" s="19"/>
      <c r="DL137" s="19"/>
      <c r="DM137" s="19"/>
      <c r="DN137" s="19"/>
      <c r="DO137" s="19"/>
      <c r="DP137" s="19"/>
      <c r="DQ137" s="19"/>
      <c r="DR137" s="19"/>
    </row>
    <row r="138" spans="1:123" ht="15.75" customHeight="1" x14ac:dyDescent="0.3">
      <c r="A138" s="25">
        <v>113</v>
      </c>
      <c r="B138" s="16" t="s">
        <v>118</v>
      </c>
      <c r="C138" s="17">
        <v>10500</v>
      </c>
      <c r="D138" s="18">
        <f>Sheet3!C134</f>
        <v>96</v>
      </c>
      <c r="E138" s="19">
        <v>10500</v>
      </c>
      <c r="F138" s="19">
        <v>10500</v>
      </c>
      <c r="G138" s="19">
        <v>10500</v>
      </c>
      <c r="H138" s="19">
        <v>10500</v>
      </c>
      <c r="I138" s="19">
        <v>10500</v>
      </c>
      <c r="J138" s="19">
        <v>10500</v>
      </c>
      <c r="K138" s="19">
        <v>10500</v>
      </c>
      <c r="L138" s="19">
        <v>10500</v>
      </c>
      <c r="M138" s="19">
        <v>10500</v>
      </c>
      <c r="N138" s="19">
        <v>10500</v>
      </c>
      <c r="O138" s="19">
        <v>10500</v>
      </c>
      <c r="P138" s="19">
        <v>10500</v>
      </c>
      <c r="Q138" s="19">
        <v>10500</v>
      </c>
      <c r="R138" s="19">
        <v>10500</v>
      </c>
      <c r="S138" s="19">
        <v>10500</v>
      </c>
      <c r="T138" s="19">
        <v>10500</v>
      </c>
      <c r="U138" s="19">
        <v>10500</v>
      </c>
      <c r="V138" s="19">
        <v>10500</v>
      </c>
      <c r="W138" s="19">
        <v>10500</v>
      </c>
      <c r="X138" s="19">
        <v>10500</v>
      </c>
      <c r="Y138" s="19">
        <v>10500</v>
      </c>
      <c r="Z138" s="19">
        <v>10500</v>
      </c>
      <c r="AA138" s="19">
        <v>10500</v>
      </c>
      <c r="AB138" s="19">
        <v>0</v>
      </c>
      <c r="AC138" s="19">
        <v>21000</v>
      </c>
      <c r="AD138" s="19">
        <v>10500</v>
      </c>
      <c r="AE138" s="19">
        <v>10500</v>
      </c>
      <c r="AF138" s="19">
        <v>10500</v>
      </c>
      <c r="AG138" s="19">
        <v>0</v>
      </c>
      <c r="AH138" s="19">
        <v>21000</v>
      </c>
      <c r="AI138" s="19">
        <v>10500</v>
      </c>
      <c r="AJ138" s="19">
        <v>10500</v>
      </c>
      <c r="AK138" s="19">
        <v>10500</v>
      </c>
      <c r="AL138" s="19">
        <v>0</v>
      </c>
      <c r="AM138" s="19">
        <v>21000</v>
      </c>
      <c r="AN138" s="19">
        <v>10500</v>
      </c>
      <c r="AO138" s="19">
        <v>0</v>
      </c>
      <c r="AP138" s="19">
        <v>0</v>
      </c>
      <c r="AQ138" s="19">
        <v>21000</v>
      </c>
      <c r="AR138" s="19">
        <v>0</v>
      </c>
      <c r="AS138" s="19">
        <v>21000</v>
      </c>
      <c r="AT138" s="19">
        <v>10500</v>
      </c>
      <c r="AU138" s="19">
        <v>0</v>
      </c>
      <c r="AV138" s="19">
        <v>21000</v>
      </c>
      <c r="AW138" s="19">
        <v>10500</v>
      </c>
      <c r="AX138" s="19">
        <v>10500</v>
      </c>
      <c r="AY138" s="19">
        <v>0</v>
      </c>
      <c r="AZ138" s="19">
        <v>10500</v>
      </c>
      <c r="BA138" s="19">
        <v>10500</v>
      </c>
      <c r="BB138" s="19">
        <v>0</v>
      </c>
      <c r="BC138" s="19">
        <v>21000</v>
      </c>
      <c r="BD138" s="19">
        <v>10500</v>
      </c>
      <c r="BE138" s="19">
        <v>10500</v>
      </c>
      <c r="BF138" s="19">
        <v>0</v>
      </c>
      <c r="BG138" s="19">
        <v>21000</v>
      </c>
      <c r="BH138" s="19">
        <v>0</v>
      </c>
      <c r="BI138" s="19">
        <v>21000</v>
      </c>
      <c r="BJ138" s="19">
        <v>0</v>
      </c>
      <c r="BK138" s="19">
        <v>21000</v>
      </c>
      <c r="BL138" s="19">
        <v>0</v>
      </c>
      <c r="BM138" s="19">
        <v>21000</v>
      </c>
      <c r="BN138" s="19">
        <v>10500</v>
      </c>
      <c r="BO138" s="19">
        <v>0</v>
      </c>
      <c r="BP138" s="19">
        <v>21000</v>
      </c>
      <c r="BQ138" s="19">
        <v>0</v>
      </c>
      <c r="BR138" s="19">
        <v>21000</v>
      </c>
      <c r="BS138" s="19">
        <v>0</v>
      </c>
      <c r="BT138" s="19">
        <v>0</v>
      </c>
      <c r="BU138" s="19">
        <v>31500</v>
      </c>
      <c r="BV138" s="19">
        <v>0</v>
      </c>
      <c r="BW138" s="19">
        <v>0</v>
      </c>
      <c r="BX138" s="19">
        <v>0</v>
      </c>
      <c r="BY138" s="19">
        <v>42000</v>
      </c>
      <c r="BZ138" s="19">
        <v>0</v>
      </c>
      <c r="CA138" s="19">
        <v>21000</v>
      </c>
      <c r="CB138" s="19">
        <v>0</v>
      </c>
      <c r="CC138" s="19">
        <v>21000</v>
      </c>
      <c r="CD138" s="19">
        <v>0</v>
      </c>
      <c r="CE138" s="19">
        <v>21000</v>
      </c>
      <c r="CF138" s="19">
        <v>0</v>
      </c>
      <c r="CG138" s="19">
        <v>21000</v>
      </c>
      <c r="CH138" s="19">
        <v>0</v>
      </c>
      <c r="CI138" s="19">
        <v>0</v>
      </c>
      <c r="CJ138" s="19">
        <v>0</v>
      </c>
      <c r="CK138" s="19">
        <v>21000</v>
      </c>
      <c r="CL138" s="19">
        <v>0</v>
      </c>
      <c r="CM138" s="19">
        <v>0</v>
      </c>
      <c r="CN138" s="19">
        <v>21000</v>
      </c>
      <c r="CO138" s="19">
        <v>0</v>
      </c>
      <c r="CP138" s="19">
        <v>0</v>
      </c>
      <c r="CQ138" s="19">
        <v>21000</v>
      </c>
      <c r="CR138" s="19">
        <v>0</v>
      </c>
      <c r="CS138" s="19">
        <v>0</v>
      </c>
      <c r="CT138" s="19">
        <v>31500</v>
      </c>
      <c r="CU138" s="19">
        <v>0</v>
      </c>
      <c r="CV138" s="19">
        <v>0</v>
      </c>
      <c r="CW138" s="19">
        <v>0</v>
      </c>
      <c r="CX138" s="19">
        <v>0</v>
      </c>
      <c r="CY138" s="19">
        <v>0</v>
      </c>
      <c r="CZ138" s="19">
        <v>0</v>
      </c>
      <c r="DA138" s="19">
        <v>63000</v>
      </c>
      <c r="DB138" s="19">
        <v>0</v>
      </c>
      <c r="DC138" s="19">
        <v>0</v>
      </c>
      <c r="DD138" s="19">
        <v>0</v>
      </c>
      <c r="DE138" s="19">
        <v>21000</v>
      </c>
      <c r="DF138" s="19">
        <v>0</v>
      </c>
      <c r="DG138" s="19"/>
      <c r="DH138" s="19"/>
      <c r="DI138" s="19"/>
      <c r="DJ138" s="19"/>
      <c r="DK138" s="19"/>
      <c r="DL138" s="19"/>
      <c r="DM138" s="19"/>
      <c r="DN138" s="19"/>
      <c r="DO138" s="19"/>
      <c r="DP138" s="19"/>
      <c r="DQ138" s="19"/>
      <c r="DR138" s="19"/>
      <c r="DS138" s="26"/>
    </row>
    <row r="139" spans="1:123" ht="15.75" customHeight="1" x14ac:dyDescent="0.3">
      <c r="A139" s="27"/>
      <c r="B139" s="28"/>
      <c r="C139" s="29"/>
      <c r="D139" s="29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CZ139" s="28"/>
      <c r="DA139" s="28"/>
      <c r="DB139" s="28"/>
      <c r="DC139" s="28"/>
      <c r="DD139" s="28"/>
      <c r="DE139" s="28"/>
      <c r="DF139" s="28"/>
      <c r="DG139" s="28"/>
      <c r="DH139" s="28"/>
      <c r="DI139" s="28"/>
      <c r="DJ139" s="28"/>
      <c r="DK139" s="28"/>
      <c r="DL139" s="28"/>
      <c r="DM139" s="28"/>
      <c r="DN139" s="28"/>
      <c r="DO139" s="28"/>
      <c r="DP139" s="28"/>
      <c r="DQ139" s="28"/>
      <c r="DR139" s="28"/>
      <c r="DS139" s="30"/>
    </row>
    <row r="140" spans="1:123" ht="15.75" customHeight="1" x14ac:dyDescent="0.3">
      <c r="A140" s="27"/>
      <c r="B140" s="28"/>
      <c r="C140" s="29"/>
      <c r="D140" s="31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9"/>
      <c r="AC140" s="29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  <c r="DM140" s="28"/>
      <c r="DN140" s="28"/>
      <c r="DO140" s="28"/>
      <c r="DP140" s="28"/>
      <c r="DQ140" s="28"/>
      <c r="DR140" s="28"/>
    </row>
    <row r="141" spans="1:123" ht="15.75" customHeight="1" x14ac:dyDescent="0.3">
      <c r="A141" s="32"/>
      <c r="C141" s="30"/>
      <c r="D141" s="30"/>
    </row>
    <row r="142" spans="1:123" ht="15.75" customHeight="1" x14ac:dyDescent="0.3">
      <c r="A142" s="32"/>
      <c r="C142" s="30"/>
      <c r="D142" s="30"/>
    </row>
    <row r="143" spans="1:123" ht="15.75" customHeight="1" x14ac:dyDescent="0.3">
      <c r="A143" s="32"/>
      <c r="C143" s="30"/>
      <c r="D143" s="30"/>
    </row>
    <row r="144" spans="1:123" ht="15.75" customHeight="1" x14ac:dyDescent="0.3">
      <c r="A144" s="32"/>
      <c r="C144" s="30"/>
      <c r="D144" s="30"/>
    </row>
    <row r="145" spans="1:4" ht="15.75" customHeight="1" x14ac:dyDescent="0.3">
      <c r="A145" s="32"/>
      <c r="C145" s="30"/>
      <c r="D145" s="30"/>
    </row>
    <row r="146" spans="1:4" ht="15.75" customHeight="1" x14ac:dyDescent="0.3">
      <c r="A146" s="32"/>
      <c r="C146" s="30"/>
      <c r="D146" s="30"/>
    </row>
    <row r="147" spans="1:4" ht="15.75" customHeight="1" x14ac:dyDescent="0.3">
      <c r="A147" s="32"/>
      <c r="C147" s="30"/>
      <c r="D147" s="30"/>
    </row>
    <row r="148" spans="1:4" ht="15.75" customHeight="1" x14ac:dyDescent="0.3">
      <c r="A148" s="32"/>
      <c r="C148" s="30"/>
      <c r="D148" s="30"/>
    </row>
    <row r="149" spans="1:4" ht="15.75" customHeight="1" x14ac:dyDescent="0.3">
      <c r="A149" s="32"/>
      <c r="C149" s="30"/>
      <c r="D149" s="30"/>
    </row>
    <row r="150" spans="1:4" ht="15.75" customHeight="1" x14ac:dyDescent="0.3">
      <c r="A150" s="32"/>
      <c r="C150" s="30"/>
      <c r="D150" s="30"/>
    </row>
    <row r="151" spans="1:4" ht="15.75" customHeight="1" x14ac:dyDescent="0.3">
      <c r="A151" s="32"/>
      <c r="C151" s="30"/>
      <c r="D151" s="30"/>
    </row>
    <row r="152" spans="1:4" ht="15.75" customHeight="1" x14ac:dyDescent="0.3">
      <c r="A152" s="32"/>
      <c r="C152" s="30"/>
      <c r="D152" s="30"/>
    </row>
    <row r="153" spans="1:4" ht="15.75" customHeight="1" x14ac:dyDescent="0.3">
      <c r="A153" s="32"/>
      <c r="C153" s="30"/>
      <c r="D153" s="30"/>
    </row>
    <row r="154" spans="1:4" ht="15.75" customHeight="1" x14ac:dyDescent="0.3">
      <c r="A154" s="32"/>
      <c r="C154" s="30"/>
      <c r="D154" s="30"/>
    </row>
    <row r="155" spans="1:4" ht="15.75" customHeight="1" x14ac:dyDescent="0.3">
      <c r="A155" s="32"/>
      <c r="C155" s="30"/>
      <c r="D155" s="30"/>
    </row>
    <row r="156" spans="1:4" ht="15.75" customHeight="1" x14ac:dyDescent="0.3">
      <c r="A156" s="32"/>
      <c r="C156" s="30"/>
      <c r="D156" s="30"/>
    </row>
    <row r="157" spans="1:4" ht="15.75" customHeight="1" x14ac:dyDescent="0.3">
      <c r="A157" s="32"/>
      <c r="C157" s="30"/>
      <c r="D157" s="30"/>
    </row>
    <row r="158" spans="1:4" ht="15.75" customHeight="1" x14ac:dyDescent="0.3">
      <c r="A158" s="32"/>
      <c r="C158" s="30"/>
      <c r="D158" s="30"/>
    </row>
    <row r="159" spans="1:4" ht="15.75" customHeight="1" x14ac:dyDescent="0.3">
      <c r="A159" s="32"/>
      <c r="C159" s="30"/>
      <c r="D159" s="30"/>
    </row>
    <row r="160" spans="1:4" ht="15.75" customHeight="1" x14ac:dyDescent="0.3">
      <c r="A160" s="32"/>
      <c r="C160" s="30"/>
      <c r="D160" s="30"/>
    </row>
    <row r="161" spans="1:4" ht="15.75" customHeight="1" x14ac:dyDescent="0.3">
      <c r="A161" s="32"/>
      <c r="C161" s="30"/>
      <c r="D161" s="30"/>
    </row>
    <row r="162" spans="1:4" ht="15.75" customHeight="1" x14ac:dyDescent="0.3">
      <c r="A162" s="32"/>
      <c r="C162" s="30"/>
      <c r="D162" s="30"/>
    </row>
    <row r="163" spans="1:4" ht="15.75" customHeight="1" x14ac:dyDescent="0.3">
      <c r="A163" s="32"/>
      <c r="C163" s="30"/>
      <c r="D163" s="30"/>
    </row>
    <row r="164" spans="1:4" ht="15.75" customHeight="1" x14ac:dyDescent="0.3">
      <c r="A164" s="32"/>
      <c r="C164" s="30"/>
      <c r="D164" s="30"/>
    </row>
    <row r="165" spans="1:4" ht="15.75" customHeight="1" x14ac:dyDescent="0.3">
      <c r="A165" s="32"/>
      <c r="C165" s="30"/>
      <c r="D165" s="30"/>
    </row>
    <row r="166" spans="1:4" ht="15.75" customHeight="1" x14ac:dyDescent="0.3">
      <c r="A166" s="32"/>
      <c r="C166" s="30"/>
      <c r="D166" s="30"/>
    </row>
    <row r="167" spans="1:4" ht="15.75" customHeight="1" x14ac:dyDescent="0.3">
      <c r="A167" s="32"/>
      <c r="C167" s="30"/>
      <c r="D167" s="30"/>
    </row>
    <row r="168" spans="1:4" ht="15.75" customHeight="1" x14ac:dyDescent="0.3">
      <c r="A168" s="32"/>
      <c r="C168" s="30"/>
      <c r="D168" s="30"/>
    </row>
    <row r="169" spans="1:4" ht="15.75" customHeight="1" x14ac:dyDescent="0.3">
      <c r="A169" s="32"/>
      <c r="C169" s="30"/>
      <c r="D169" s="30"/>
    </row>
    <row r="170" spans="1:4" ht="15.75" customHeight="1" x14ac:dyDescent="0.3">
      <c r="A170" s="32"/>
      <c r="C170" s="30"/>
      <c r="D170" s="30"/>
    </row>
    <row r="171" spans="1:4" ht="15.75" customHeight="1" x14ac:dyDescent="0.3">
      <c r="A171" s="32"/>
      <c r="C171" s="30"/>
      <c r="D171" s="30"/>
    </row>
    <row r="172" spans="1:4" ht="15.75" customHeight="1" x14ac:dyDescent="0.3">
      <c r="A172" s="32"/>
      <c r="C172" s="30"/>
      <c r="D172" s="30"/>
    </row>
    <row r="173" spans="1:4" ht="15.75" customHeight="1" x14ac:dyDescent="0.3">
      <c r="A173" s="32"/>
      <c r="C173" s="30"/>
      <c r="D173" s="30"/>
    </row>
    <row r="174" spans="1:4" ht="15.75" customHeight="1" x14ac:dyDescent="0.3">
      <c r="A174" s="32"/>
      <c r="C174" s="30"/>
      <c r="D174" s="30"/>
    </row>
    <row r="175" spans="1:4" ht="15.75" customHeight="1" x14ac:dyDescent="0.3">
      <c r="A175" s="32"/>
      <c r="C175" s="30"/>
      <c r="D175" s="30"/>
    </row>
    <row r="176" spans="1:4" ht="15.75" customHeight="1" x14ac:dyDescent="0.3">
      <c r="A176" s="32"/>
      <c r="C176" s="30"/>
      <c r="D176" s="30"/>
    </row>
    <row r="177" spans="1:4" ht="15.75" customHeight="1" x14ac:dyDescent="0.3">
      <c r="A177" s="32"/>
      <c r="C177" s="30"/>
      <c r="D177" s="30"/>
    </row>
    <row r="178" spans="1:4" ht="15.75" customHeight="1" x14ac:dyDescent="0.3">
      <c r="A178" s="32"/>
      <c r="C178" s="30"/>
      <c r="D178" s="30"/>
    </row>
    <row r="179" spans="1:4" ht="15.75" customHeight="1" x14ac:dyDescent="0.3">
      <c r="A179" s="32"/>
      <c r="C179" s="30"/>
      <c r="D179" s="30"/>
    </row>
    <row r="180" spans="1:4" ht="15.75" customHeight="1" x14ac:dyDescent="0.3">
      <c r="A180" s="32"/>
      <c r="C180" s="30"/>
      <c r="D180" s="30"/>
    </row>
    <row r="181" spans="1:4" ht="15.75" customHeight="1" x14ac:dyDescent="0.3">
      <c r="A181" s="32"/>
      <c r="C181" s="30"/>
      <c r="D181" s="30"/>
    </row>
    <row r="182" spans="1:4" ht="15.75" customHeight="1" x14ac:dyDescent="0.3">
      <c r="A182" s="32"/>
      <c r="C182" s="30"/>
      <c r="D182" s="30"/>
    </row>
    <row r="183" spans="1:4" ht="15.75" customHeight="1" x14ac:dyDescent="0.3">
      <c r="A183" s="32"/>
      <c r="C183" s="30"/>
      <c r="D183" s="30"/>
    </row>
    <row r="184" spans="1:4" ht="15.75" customHeight="1" x14ac:dyDescent="0.3">
      <c r="A184" s="32"/>
      <c r="C184" s="30"/>
      <c r="D184" s="30"/>
    </row>
    <row r="185" spans="1:4" ht="15.75" customHeight="1" x14ac:dyDescent="0.3">
      <c r="A185" s="32"/>
      <c r="C185" s="30"/>
      <c r="D185" s="30"/>
    </row>
    <row r="186" spans="1:4" ht="15.75" customHeight="1" x14ac:dyDescent="0.3">
      <c r="A186" s="32"/>
      <c r="C186" s="30"/>
      <c r="D186" s="30"/>
    </row>
    <row r="187" spans="1:4" ht="15.75" customHeight="1" x14ac:dyDescent="0.3">
      <c r="A187" s="32"/>
      <c r="C187" s="30"/>
      <c r="D187" s="30"/>
    </row>
    <row r="188" spans="1:4" ht="15.75" customHeight="1" x14ac:dyDescent="0.3">
      <c r="A188" s="32"/>
      <c r="C188" s="30"/>
      <c r="D188" s="30"/>
    </row>
    <row r="189" spans="1:4" ht="15.75" customHeight="1" x14ac:dyDescent="0.3">
      <c r="A189" s="32"/>
      <c r="C189" s="30"/>
      <c r="D189" s="30"/>
    </row>
    <row r="190" spans="1:4" ht="15.75" customHeight="1" x14ac:dyDescent="0.3">
      <c r="A190" s="32"/>
      <c r="C190" s="30"/>
      <c r="D190" s="30"/>
    </row>
    <row r="191" spans="1:4" ht="15.75" customHeight="1" x14ac:dyDescent="0.3">
      <c r="A191" s="32"/>
      <c r="C191" s="30"/>
      <c r="D191" s="30"/>
    </row>
    <row r="192" spans="1:4" ht="15.75" customHeight="1" x14ac:dyDescent="0.3">
      <c r="A192" s="32"/>
      <c r="C192" s="30"/>
      <c r="D192" s="30"/>
    </row>
    <row r="193" spans="1:4" ht="15.75" customHeight="1" x14ac:dyDescent="0.3">
      <c r="A193" s="32"/>
      <c r="C193" s="30"/>
      <c r="D193" s="30"/>
    </row>
    <row r="194" spans="1:4" ht="15.75" customHeight="1" x14ac:dyDescent="0.3">
      <c r="A194" s="32"/>
      <c r="C194" s="30"/>
      <c r="D194" s="30"/>
    </row>
    <row r="195" spans="1:4" ht="15.75" customHeight="1" x14ac:dyDescent="0.3">
      <c r="A195" s="32"/>
      <c r="C195" s="30"/>
      <c r="D195" s="30"/>
    </row>
    <row r="196" spans="1:4" ht="15.75" customHeight="1" x14ac:dyDescent="0.3">
      <c r="A196" s="32"/>
      <c r="C196" s="30"/>
      <c r="D196" s="30"/>
    </row>
    <row r="197" spans="1:4" ht="15.75" customHeight="1" x14ac:dyDescent="0.3">
      <c r="A197" s="32"/>
      <c r="C197" s="30"/>
      <c r="D197" s="30"/>
    </row>
    <row r="198" spans="1:4" ht="15.75" customHeight="1" x14ac:dyDescent="0.3">
      <c r="A198" s="32"/>
      <c r="C198" s="30"/>
      <c r="D198" s="30"/>
    </row>
    <row r="199" spans="1:4" ht="15.75" customHeight="1" x14ac:dyDescent="0.3">
      <c r="A199" s="32"/>
      <c r="C199" s="30"/>
      <c r="D199" s="30"/>
    </row>
    <row r="200" spans="1:4" ht="15.75" customHeight="1" x14ac:dyDescent="0.3">
      <c r="A200" s="32"/>
      <c r="C200" s="30"/>
      <c r="D200" s="30"/>
    </row>
    <row r="201" spans="1:4" ht="15.75" customHeight="1" x14ac:dyDescent="0.3">
      <c r="A201" s="32"/>
      <c r="C201" s="30"/>
      <c r="D201" s="30"/>
    </row>
    <row r="202" spans="1:4" ht="15.75" customHeight="1" x14ac:dyDescent="0.3">
      <c r="A202" s="32"/>
      <c r="C202" s="30"/>
      <c r="D202" s="30"/>
    </row>
    <row r="203" spans="1:4" ht="15.75" customHeight="1" x14ac:dyDescent="0.3">
      <c r="A203" s="32"/>
      <c r="C203" s="30"/>
      <c r="D203" s="30"/>
    </row>
    <row r="204" spans="1:4" ht="15.75" customHeight="1" x14ac:dyDescent="0.3">
      <c r="A204" s="32"/>
      <c r="C204" s="30"/>
      <c r="D204" s="30"/>
    </row>
    <row r="205" spans="1:4" ht="15.75" customHeight="1" x14ac:dyDescent="0.3">
      <c r="A205" s="32"/>
      <c r="C205" s="30"/>
      <c r="D205" s="30"/>
    </row>
    <row r="206" spans="1:4" ht="15.75" customHeight="1" x14ac:dyDescent="0.3">
      <c r="A206" s="32"/>
      <c r="C206" s="30"/>
      <c r="D206" s="30"/>
    </row>
    <row r="207" spans="1:4" ht="15.75" customHeight="1" x14ac:dyDescent="0.3">
      <c r="A207" s="32"/>
      <c r="C207" s="30"/>
      <c r="D207" s="30"/>
    </row>
    <row r="208" spans="1:4" ht="15.75" customHeight="1" x14ac:dyDescent="0.3">
      <c r="A208" s="32"/>
      <c r="C208" s="30"/>
      <c r="D208" s="30"/>
    </row>
    <row r="209" spans="1:4" ht="15.75" customHeight="1" x14ac:dyDescent="0.3">
      <c r="A209" s="32"/>
      <c r="C209" s="30"/>
      <c r="D209" s="30"/>
    </row>
    <row r="210" spans="1:4" ht="15.75" customHeight="1" x14ac:dyDescent="0.3">
      <c r="A210" s="32"/>
      <c r="C210" s="30"/>
      <c r="D210" s="30"/>
    </row>
    <row r="211" spans="1:4" ht="15.75" customHeight="1" x14ac:dyDescent="0.3">
      <c r="A211" s="32"/>
      <c r="C211" s="30"/>
      <c r="D211" s="30"/>
    </row>
    <row r="212" spans="1:4" ht="15.75" customHeight="1" x14ac:dyDescent="0.3">
      <c r="A212" s="32"/>
      <c r="C212" s="30"/>
      <c r="D212" s="30"/>
    </row>
    <row r="213" spans="1:4" ht="15.75" customHeight="1" x14ac:dyDescent="0.3">
      <c r="A213" s="32"/>
      <c r="C213" s="30"/>
      <c r="D213" s="30"/>
    </row>
    <row r="214" spans="1:4" ht="15.75" customHeight="1" x14ac:dyDescent="0.3">
      <c r="A214" s="32"/>
      <c r="C214" s="30"/>
      <c r="D214" s="30"/>
    </row>
    <row r="215" spans="1:4" ht="15.75" customHeight="1" x14ac:dyDescent="0.3">
      <c r="A215" s="32"/>
      <c r="C215" s="30"/>
      <c r="D215" s="30"/>
    </row>
    <row r="216" spans="1:4" ht="15.75" customHeight="1" x14ac:dyDescent="0.3">
      <c r="A216" s="32"/>
      <c r="C216" s="30"/>
      <c r="D216" s="30"/>
    </row>
    <row r="217" spans="1:4" ht="15.75" customHeight="1" x14ac:dyDescent="0.3">
      <c r="A217" s="32"/>
      <c r="C217" s="30"/>
      <c r="D217" s="30"/>
    </row>
    <row r="218" spans="1:4" ht="15.75" customHeight="1" x14ac:dyDescent="0.3">
      <c r="A218" s="32"/>
      <c r="C218" s="30"/>
      <c r="D218" s="30"/>
    </row>
    <row r="219" spans="1:4" ht="15.75" customHeight="1" x14ac:dyDescent="0.3">
      <c r="A219" s="32"/>
      <c r="C219" s="30"/>
      <c r="D219" s="30"/>
    </row>
    <row r="220" spans="1:4" ht="15.75" customHeight="1" x14ac:dyDescent="0.3">
      <c r="A220" s="32"/>
      <c r="C220" s="30"/>
      <c r="D220" s="30"/>
    </row>
    <row r="221" spans="1:4" ht="15.75" customHeight="1" x14ac:dyDescent="0.3">
      <c r="A221" s="32"/>
      <c r="C221" s="30"/>
      <c r="D221" s="30"/>
    </row>
    <row r="222" spans="1:4" ht="15.75" customHeight="1" x14ac:dyDescent="0.3">
      <c r="A222" s="32"/>
      <c r="C222" s="30"/>
      <c r="D222" s="30"/>
    </row>
    <row r="223" spans="1:4" ht="15.75" customHeight="1" x14ac:dyDescent="0.3">
      <c r="A223" s="32"/>
      <c r="C223" s="30"/>
      <c r="D223" s="30"/>
    </row>
    <row r="224" spans="1:4" ht="15.75" customHeight="1" x14ac:dyDescent="0.3">
      <c r="A224" s="32"/>
      <c r="C224" s="30"/>
      <c r="D224" s="30"/>
    </row>
    <row r="225" spans="1:4" ht="15.75" customHeight="1" x14ac:dyDescent="0.3">
      <c r="A225" s="32"/>
      <c r="C225" s="30"/>
      <c r="D225" s="30"/>
    </row>
    <row r="226" spans="1:4" ht="15.75" customHeight="1" x14ac:dyDescent="0.3">
      <c r="A226" s="32"/>
      <c r="C226" s="30"/>
      <c r="D226" s="30"/>
    </row>
    <row r="227" spans="1:4" ht="15.75" customHeight="1" x14ac:dyDescent="0.3">
      <c r="A227" s="32"/>
      <c r="C227" s="30"/>
      <c r="D227" s="30"/>
    </row>
    <row r="228" spans="1:4" ht="15.75" customHeight="1" x14ac:dyDescent="0.3">
      <c r="A228" s="32"/>
      <c r="C228" s="30"/>
      <c r="D228" s="30"/>
    </row>
    <row r="229" spans="1:4" ht="15.75" customHeight="1" x14ac:dyDescent="0.3">
      <c r="A229" s="32"/>
      <c r="C229" s="30"/>
      <c r="D229" s="30"/>
    </row>
    <row r="230" spans="1:4" ht="15.75" customHeight="1" x14ac:dyDescent="0.3">
      <c r="A230" s="32"/>
      <c r="C230" s="30"/>
      <c r="D230" s="30"/>
    </row>
    <row r="231" spans="1:4" ht="15.75" customHeight="1" x14ac:dyDescent="0.3">
      <c r="A231" s="32"/>
      <c r="C231" s="30"/>
      <c r="D231" s="30"/>
    </row>
    <row r="232" spans="1:4" ht="15.75" customHeight="1" x14ac:dyDescent="0.3">
      <c r="A232" s="32"/>
      <c r="C232" s="30"/>
      <c r="D232" s="30"/>
    </row>
    <row r="233" spans="1:4" ht="15.75" customHeight="1" x14ac:dyDescent="0.3">
      <c r="A233" s="32"/>
      <c r="C233" s="30"/>
      <c r="D233" s="30"/>
    </row>
    <row r="234" spans="1:4" ht="15.75" customHeight="1" x14ac:dyDescent="0.3">
      <c r="A234" s="32"/>
      <c r="C234" s="30"/>
      <c r="D234" s="30"/>
    </row>
    <row r="235" spans="1:4" ht="15.75" customHeight="1" x14ac:dyDescent="0.3">
      <c r="A235" s="32"/>
      <c r="C235" s="30"/>
      <c r="D235" s="30"/>
    </row>
    <row r="236" spans="1:4" ht="15.75" customHeight="1" x14ac:dyDescent="0.3">
      <c r="A236" s="32"/>
      <c r="C236" s="30"/>
      <c r="D236" s="30"/>
    </row>
    <row r="237" spans="1:4" ht="15.75" customHeight="1" x14ac:dyDescent="0.3">
      <c r="A237" s="32"/>
      <c r="C237" s="30"/>
      <c r="D237" s="30"/>
    </row>
    <row r="238" spans="1:4" ht="15.75" customHeight="1" x14ac:dyDescent="0.3">
      <c r="A238" s="32"/>
      <c r="C238" s="30"/>
      <c r="D238" s="30"/>
    </row>
    <row r="239" spans="1:4" ht="15.75" customHeight="1" x14ac:dyDescent="0.3">
      <c r="A239" s="32"/>
      <c r="C239" s="30"/>
      <c r="D239" s="30"/>
    </row>
    <row r="240" spans="1:4" ht="15.75" customHeight="1" x14ac:dyDescent="0.3">
      <c r="A240" s="32"/>
      <c r="C240" s="30"/>
      <c r="D240" s="30"/>
    </row>
    <row r="241" spans="1:4" ht="15.75" customHeight="1" x14ac:dyDescent="0.3">
      <c r="A241" s="32"/>
      <c r="C241" s="30"/>
      <c r="D241" s="30"/>
    </row>
    <row r="242" spans="1:4" ht="15.75" customHeight="1" x14ac:dyDescent="0.3">
      <c r="A242" s="32"/>
      <c r="C242" s="30"/>
      <c r="D242" s="30"/>
    </row>
    <row r="243" spans="1:4" ht="15.75" customHeight="1" x14ac:dyDescent="0.3">
      <c r="A243" s="32"/>
      <c r="C243" s="30"/>
      <c r="D243" s="30"/>
    </row>
    <row r="244" spans="1:4" ht="15.75" customHeight="1" x14ac:dyDescent="0.3">
      <c r="A244" s="32"/>
      <c r="C244" s="30"/>
      <c r="D244" s="30"/>
    </row>
    <row r="245" spans="1:4" ht="15.75" customHeight="1" x14ac:dyDescent="0.3">
      <c r="A245" s="32"/>
      <c r="C245" s="30"/>
      <c r="D245" s="30"/>
    </row>
    <row r="246" spans="1:4" ht="15.75" customHeight="1" x14ac:dyDescent="0.3">
      <c r="A246" s="32"/>
      <c r="C246" s="30"/>
      <c r="D246" s="30"/>
    </row>
    <row r="247" spans="1:4" ht="15.75" customHeight="1" x14ac:dyDescent="0.3">
      <c r="A247" s="32"/>
      <c r="C247" s="30"/>
      <c r="D247" s="30"/>
    </row>
    <row r="248" spans="1:4" ht="15.75" customHeight="1" x14ac:dyDescent="0.3">
      <c r="A248" s="32"/>
      <c r="C248" s="30"/>
      <c r="D248" s="30"/>
    </row>
    <row r="249" spans="1:4" ht="15.75" customHeight="1" x14ac:dyDescent="0.3">
      <c r="A249" s="32"/>
      <c r="C249" s="30"/>
      <c r="D249" s="30"/>
    </row>
    <row r="250" spans="1:4" ht="15.75" customHeight="1" x14ac:dyDescent="0.3">
      <c r="A250" s="32"/>
      <c r="C250" s="30"/>
      <c r="D250" s="30"/>
    </row>
    <row r="251" spans="1:4" ht="15.75" customHeight="1" x14ac:dyDescent="0.3">
      <c r="A251" s="32"/>
      <c r="C251" s="30"/>
      <c r="D251" s="30"/>
    </row>
    <row r="252" spans="1:4" ht="15.75" customHeight="1" x14ac:dyDescent="0.3">
      <c r="A252" s="32"/>
      <c r="C252" s="30"/>
      <c r="D252" s="30"/>
    </row>
    <row r="253" spans="1:4" ht="15.75" customHeight="1" x14ac:dyDescent="0.3">
      <c r="A253" s="32"/>
      <c r="C253" s="30"/>
      <c r="D253" s="30"/>
    </row>
    <row r="254" spans="1:4" ht="15.75" customHeight="1" x14ac:dyDescent="0.3">
      <c r="A254" s="32"/>
      <c r="C254" s="30"/>
      <c r="D254" s="30"/>
    </row>
    <row r="255" spans="1:4" ht="15.75" customHeight="1" x14ac:dyDescent="0.3">
      <c r="A255" s="32"/>
      <c r="C255" s="30"/>
      <c r="D255" s="30"/>
    </row>
    <row r="256" spans="1:4" ht="15.75" customHeight="1" x14ac:dyDescent="0.3">
      <c r="A256" s="32"/>
      <c r="C256" s="30"/>
      <c r="D256" s="30"/>
    </row>
    <row r="257" spans="1:4" ht="15.75" customHeight="1" x14ac:dyDescent="0.3">
      <c r="A257" s="32"/>
      <c r="C257" s="30"/>
      <c r="D257" s="30"/>
    </row>
    <row r="258" spans="1:4" ht="15.75" customHeight="1" x14ac:dyDescent="0.3">
      <c r="A258" s="32"/>
      <c r="C258" s="30"/>
      <c r="D258" s="30"/>
    </row>
    <row r="259" spans="1:4" ht="15.75" customHeight="1" x14ac:dyDescent="0.3">
      <c r="A259" s="32"/>
      <c r="C259" s="30"/>
      <c r="D259" s="30"/>
    </row>
    <row r="260" spans="1:4" ht="15.75" customHeight="1" x14ac:dyDescent="0.3">
      <c r="A260" s="32"/>
      <c r="C260" s="30"/>
      <c r="D260" s="30"/>
    </row>
    <row r="261" spans="1:4" ht="15.75" customHeight="1" x14ac:dyDescent="0.3">
      <c r="A261" s="32"/>
      <c r="C261" s="30"/>
      <c r="D261" s="30"/>
    </row>
    <row r="262" spans="1:4" ht="15.75" customHeight="1" x14ac:dyDescent="0.3">
      <c r="A262" s="32"/>
      <c r="C262" s="30"/>
      <c r="D262" s="30"/>
    </row>
    <row r="263" spans="1:4" ht="15.75" customHeight="1" x14ac:dyDescent="0.3">
      <c r="A263" s="32"/>
      <c r="C263" s="30"/>
      <c r="D263" s="30"/>
    </row>
    <row r="264" spans="1:4" ht="15.75" customHeight="1" x14ac:dyDescent="0.3">
      <c r="A264" s="32"/>
      <c r="C264" s="30"/>
      <c r="D264" s="30"/>
    </row>
    <row r="265" spans="1:4" ht="15.75" customHeight="1" x14ac:dyDescent="0.3">
      <c r="A265" s="32"/>
      <c r="C265" s="30"/>
      <c r="D265" s="30"/>
    </row>
    <row r="266" spans="1:4" ht="15.75" customHeight="1" x14ac:dyDescent="0.3">
      <c r="A266" s="32"/>
      <c r="C266" s="30"/>
      <c r="D266" s="30"/>
    </row>
    <row r="267" spans="1:4" ht="15.75" customHeight="1" x14ac:dyDescent="0.3">
      <c r="A267" s="32"/>
      <c r="C267" s="30"/>
      <c r="D267" s="30"/>
    </row>
    <row r="268" spans="1:4" ht="15.75" customHeight="1" x14ac:dyDescent="0.3">
      <c r="A268" s="32"/>
      <c r="C268" s="30"/>
      <c r="D268" s="30"/>
    </row>
    <row r="269" spans="1:4" ht="15.75" customHeight="1" x14ac:dyDescent="0.3">
      <c r="A269" s="32"/>
      <c r="C269" s="30"/>
      <c r="D269" s="30"/>
    </row>
    <row r="270" spans="1:4" ht="15.75" customHeight="1" x14ac:dyDescent="0.3">
      <c r="A270" s="32"/>
      <c r="C270" s="30"/>
      <c r="D270" s="30"/>
    </row>
    <row r="271" spans="1:4" ht="15.75" customHeight="1" x14ac:dyDescent="0.3">
      <c r="A271" s="32"/>
      <c r="C271" s="30"/>
      <c r="D271" s="30"/>
    </row>
    <row r="272" spans="1:4" ht="15.75" customHeight="1" x14ac:dyDescent="0.3">
      <c r="A272" s="32"/>
      <c r="C272" s="30"/>
      <c r="D272" s="30"/>
    </row>
    <row r="273" spans="1:4" ht="15.75" customHeight="1" x14ac:dyDescent="0.3">
      <c r="A273" s="32"/>
      <c r="C273" s="30"/>
      <c r="D273" s="30"/>
    </row>
    <row r="274" spans="1:4" ht="15.75" customHeight="1" x14ac:dyDescent="0.3">
      <c r="A274" s="32"/>
      <c r="C274" s="30"/>
      <c r="D274" s="30"/>
    </row>
    <row r="275" spans="1:4" ht="15.75" customHeight="1" x14ac:dyDescent="0.3">
      <c r="A275" s="32"/>
      <c r="C275" s="30"/>
      <c r="D275" s="30"/>
    </row>
    <row r="276" spans="1:4" ht="15.75" customHeight="1" x14ac:dyDescent="0.3">
      <c r="A276" s="32"/>
      <c r="C276" s="30"/>
      <c r="D276" s="30"/>
    </row>
    <row r="277" spans="1:4" ht="15.75" customHeight="1" x14ac:dyDescent="0.3">
      <c r="A277" s="32"/>
      <c r="C277" s="30"/>
      <c r="D277" s="30"/>
    </row>
    <row r="278" spans="1:4" ht="15.75" customHeight="1" x14ac:dyDescent="0.3">
      <c r="A278" s="32"/>
      <c r="C278" s="30"/>
      <c r="D278" s="30"/>
    </row>
    <row r="279" spans="1:4" ht="15.75" customHeight="1" x14ac:dyDescent="0.3">
      <c r="A279" s="32"/>
      <c r="C279" s="30"/>
      <c r="D279" s="30"/>
    </row>
    <row r="280" spans="1:4" ht="15.75" customHeight="1" x14ac:dyDescent="0.3">
      <c r="A280" s="32"/>
      <c r="C280" s="30"/>
      <c r="D280" s="30"/>
    </row>
    <row r="281" spans="1:4" ht="15.75" customHeight="1" x14ac:dyDescent="0.3">
      <c r="A281" s="32"/>
      <c r="C281" s="30"/>
      <c r="D281" s="30"/>
    </row>
    <row r="282" spans="1:4" ht="15.75" customHeight="1" x14ac:dyDescent="0.3">
      <c r="A282" s="32"/>
      <c r="C282" s="30"/>
      <c r="D282" s="30"/>
    </row>
    <row r="283" spans="1:4" ht="15.75" customHeight="1" x14ac:dyDescent="0.3">
      <c r="A283" s="32"/>
      <c r="C283" s="30"/>
      <c r="D283" s="30"/>
    </row>
    <row r="284" spans="1:4" ht="15.75" customHeight="1" x14ac:dyDescent="0.3">
      <c r="A284" s="32"/>
      <c r="C284" s="30"/>
      <c r="D284" s="30"/>
    </row>
    <row r="285" spans="1:4" ht="15.75" customHeight="1" x14ac:dyDescent="0.3">
      <c r="A285" s="32"/>
      <c r="C285" s="30"/>
      <c r="D285" s="30"/>
    </row>
    <row r="286" spans="1:4" ht="15.75" customHeight="1" x14ac:dyDescent="0.3">
      <c r="A286" s="32"/>
      <c r="C286" s="30"/>
      <c r="D286" s="30"/>
    </row>
    <row r="287" spans="1:4" ht="15.75" customHeight="1" x14ac:dyDescent="0.3">
      <c r="A287" s="32"/>
      <c r="C287" s="30"/>
      <c r="D287" s="30"/>
    </row>
    <row r="288" spans="1:4" ht="15.75" customHeight="1" x14ac:dyDescent="0.3">
      <c r="A288" s="32"/>
      <c r="C288" s="30"/>
      <c r="D288" s="30"/>
    </row>
    <row r="289" spans="1:4" ht="15.75" customHeight="1" x14ac:dyDescent="0.3">
      <c r="A289" s="32"/>
      <c r="C289" s="30"/>
      <c r="D289" s="30"/>
    </row>
    <row r="290" spans="1:4" ht="15.75" customHeight="1" x14ac:dyDescent="0.3">
      <c r="A290" s="32"/>
      <c r="C290" s="30"/>
      <c r="D290" s="30"/>
    </row>
    <row r="291" spans="1:4" ht="15.75" customHeight="1" x14ac:dyDescent="0.3">
      <c r="A291" s="32"/>
      <c r="C291" s="30"/>
      <c r="D291" s="30"/>
    </row>
    <row r="292" spans="1:4" ht="15.75" customHeight="1" x14ac:dyDescent="0.3">
      <c r="A292" s="32"/>
      <c r="C292" s="30"/>
      <c r="D292" s="30"/>
    </row>
    <row r="293" spans="1:4" ht="15.75" customHeight="1" x14ac:dyDescent="0.3">
      <c r="A293" s="32"/>
      <c r="C293" s="30"/>
      <c r="D293" s="30"/>
    </row>
    <row r="294" spans="1:4" ht="15.75" customHeight="1" x14ac:dyDescent="0.3">
      <c r="A294" s="32"/>
      <c r="C294" s="30"/>
      <c r="D294" s="30"/>
    </row>
    <row r="295" spans="1:4" ht="15.75" customHeight="1" x14ac:dyDescent="0.3">
      <c r="A295" s="32"/>
      <c r="C295" s="30"/>
      <c r="D295" s="30"/>
    </row>
    <row r="296" spans="1:4" ht="15.75" customHeight="1" x14ac:dyDescent="0.3">
      <c r="A296" s="32"/>
      <c r="C296" s="30"/>
      <c r="D296" s="30"/>
    </row>
    <row r="297" spans="1:4" ht="15.75" customHeight="1" x14ac:dyDescent="0.3">
      <c r="A297" s="32"/>
      <c r="C297" s="30"/>
      <c r="D297" s="30"/>
    </row>
    <row r="298" spans="1:4" ht="15.75" customHeight="1" x14ac:dyDescent="0.3">
      <c r="A298" s="32"/>
      <c r="C298" s="30"/>
      <c r="D298" s="30"/>
    </row>
    <row r="299" spans="1:4" ht="15.75" customHeight="1" x14ac:dyDescent="0.3">
      <c r="A299" s="32"/>
      <c r="C299" s="30"/>
      <c r="D299" s="30"/>
    </row>
    <row r="300" spans="1:4" ht="15.75" customHeight="1" x14ac:dyDescent="0.3">
      <c r="A300" s="32"/>
      <c r="C300" s="30"/>
      <c r="D300" s="30"/>
    </row>
    <row r="301" spans="1:4" ht="15.75" customHeight="1" x14ac:dyDescent="0.3">
      <c r="A301" s="32"/>
      <c r="C301" s="30"/>
      <c r="D301" s="30"/>
    </row>
    <row r="302" spans="1:4" ht="15.75" customHeight="1" x14ac:dyDescent="0.3">
      <c r="A302" s="32"/>
      <c r="C302" s="30"/>
      <c r="D302" s="30"/>
    </row>
    <row r="303" spans="1:4" ht="15.75" customHeight="1" x14ac:dyDescent="0.3">
      <c r="A303" s="32"/>
      <c r="C303" s="30"/>
      <c r="D303" s="30"/>
    </row>
    <row r="304" spans="1:4" ht="15.75" customHeight="1" x14ac:dyDescent="0.3">
      <c r="A304" s="32"/>
      <c r="C304" s="30"/>
      <c r="D304" s="30"/>
    </row>
    <row r="305" spans="1:4" ht="15.75" customHeight="1" x14ac:dyDescent="0.3">
      <c r="A305" s="32"/>
      <c r="C305" s="30"/>
      <c r="D305" s="30"/>
    </row>
    <row r="306" spans="1:4" ht="15.75" customHeight="1" x14ac:dyDescent="0.3">
      <c r="A306" s="32"/>
      <c r="C306" s="30"/>
      <c r="D306" s="30"/>
    </row>
    <row r="307" spans="1:4" ht="15.75" customHeight="1" x14ac:dyDescent="0.3">
      <c r="A307" s="32"/>
      <c r="C307" s="30"/>
      <c r="D307" s="30"/>
    </row>
    <row r="308" spans="1:4" ht="15.75" customHeight="1" x14ac:dyDescent="0.3">
      <c r="A308" s="32"/>
      <c r="C308" s="30"/>
      <c r="D308" s="30"/>
    </row>
    <row r="309" spans="1:4" ht="15.75" customHeight="1" x14ac:dyDescent="0.3">
      <c r="A309" s="32"/>
      <c r="C309" s="30"/>
      <c r="D309" s="30"/>
    </row>
    <row r="310" spans="1:4" ht="15.75" customHeight="1" x14ac:dyDescent="0.3">
      <c r="A310" s="32"/>
      <c r="C310" s="30"/>
      <c r="D310" s="30"/>
    </row>
    <row r="311" spans="1:4" ht="15.75" customHeight="1" x14ac:dyDescent="0.3">
      <c r="A311" s="32"/>
      <c r="C311" s="30"/>
      <c r="D311" s="30"/>
    </row>
    <row r="312" spans="1:4" ht="15.75" customHeight="1" x14ac:dyDescent="0.3">
      <c r="A312" s="32"/>
      <c r="C312" s="30"/>
      <c r="D312" s="30"/>
    </row>
    <row r="313" spans="1:4" ht="15.75" customHeight="1" x14ac:dyDescent="0.3">
      <c r="A313" s="32"/>
      <c r="C313" s="30"/>
      <c r="D313" s="30"/>
    </row>
    <row r="314" spans="1:4" ht="15.75" customHeight="1" x14ac:dyDescent="0.3">
      <c r="A314" s="32"/>
      <c r="C314" s="30"/>
      <c r="D314" s="30"/>
    </row>
    <row r="315" spans="1:4" ht="15.75" customHeight="1" x14ac:dyDescent="0.3">
      <c r="A315" s="32"/>
      <c r="C315" s="30"/>
      <c r="D315" s="30"/>
    </row>
    <row r="316" spans="1:4" ht="15.75" customHeight="1" x14ac:dyDescent="0.3">
      <c r="A316" s="32"/>
      <c r="C316" s="30"/>
      <c r="D316" s="30"/>
    </row>
    <row r="317" spans="1:4" ht="15.75" customHeight="1" x14ac:dyDescent="0.3">
      <c r="A317" s="32"/>
      <c r="C317" s="30"/>
      <c r="D317" s="30"/>
    </row>
    <row r="318" spans="1:4" ht="15.75" customHeight="1" x14ac:dyDescent="0.3">
      <c r="A318" s="32"/>
      <c r="C318" s="30"/>
      <c r="D318" s="30"/>
    </row>
    <row r="319" spans="1:4" ht="15.75" customHeight="1" x14ac:dyDescent="0.3">
      <c r="A319" s="32"/>
      <c r="C319" s="30"/>
      <c r="D319" s="30"/>
    </row>
    <row r="320" spans="1:4" ht="15.75" customHeight="1" x14ac:dyDescent="0.3">
      <c r="A320" s="32"/>
      <c r="C320" s="30"/>
      <c r="D320" s="30"/>
    </row>
    <row r="321" spans="1:4" ht="15.75" customHeight="1" x14ac:dyDescent="0.3">
      <c r="A321" s="32"/>
      <c r="C321" s="30"/>
      <c r="D321" s="30"/>
    </row>
    <row r="322" spans="1:4" ht="15.75" customHeight="1" x14ac:dyDescent="0.3">
      <c r="A322" s="32"/>
      <c r="C322" s="30"/>
      <c r="D322" s="30"/>
    </row>
    <row r="323" spans="1:4" ht="15.75" customHeight="1" x14ac:dyDescent="0.3">
      <c r="A323" s="32"/>
      <c r="C323" s="30"/>
      <c r="D323" s="30"/>
    </row>
    <row r="324" spans="1:4" ht="15.75" customHeight="1" x14ac:dyDescent="0.3">
      <c r="A324" s="32"/>
      <c r="C324" s="30"/>
      <c r="D324" s="30"/>
    </row>
    <row r="325" spans="1:4" ht="15.75" customHeight="1" x14ac:dyDescent="0.3">
      <c r="A325" s="32"/>
      <c r="C325" s="30"/>
      <c r="D325" s="30"/>
    </row>
    <row r="326" spans="1:4" ht="15.75" customHeight="1" x14ac:dyDescent="0.3">
      <c r="A326" s="32"/>
      <c r="C326" s="30"/>
      <c r="D326" s="30"/>
    </row>
    <row r="327" spans="1:4" ht="15.75" customHeight="1" x14ac:dyDescent="0.3">
      <c r="A327" s="32"/>
      <c r="C327" s="30"/>
      <c r="D327" s="30"/>
    </row>
    <row r="328" spans="1:4" ht="15.75" customHeight="1" x14ac:dyDescent="0.3">
      <c r="A328" s="32"/>
      <c r="C328" s="30"/>
      <c r="D328" s="30"/>
    </row>
    <row r="329" spans="1:4" ht="15.75" customHeight="1" x14ac:dyDescent="0.3">
      <c r="A329" s="32"/>
      <c r="C329" s="30"/>
      <c r="D329" s="30"/>
    </row>
    <row r="330" spans="1:4" ht="15.75" customHeight="1" x14ac:dyDescent="0.3">
      <c r="A330" s="32"/>
      <c r="C330" s="30"/>
      <c r="D330" s="30"/>
    </row>
    <row r="331" spans="1:4" ht="15.75" customHeight="1" x14ac:dyDescent="0.3">
      <c r="A331" s="32"/>
      <c r="C331" s="30"/>
      <c r="D331" s="30"/>
    </row>
    <row r="332" spans="1:4" ht="15.75" customHeight="1" x14ac:dyDescent="0.3">
      <c r="A332" s="32"/>
      <c r="C332" s="30"/>
      <c r="D332" s="30"/>
    </row>
    <row r="333" spans="1:4" ht="15.75" customHeight="1" x14ac:dyDescent="0.3">
      <c r="A333" s="32"/>
      <c r="C333" s="30"/>
      <c r="D333" s="30"/>
    </row>
    <row r="334" spans="1:4" ht="15.75" customHeight="1" x14ac:dyDescent="0.3">
      <c r="A334" s="32"/>
      <c r="C334" s="30"/>
      <c r="D334" s="30"/>
    </row>
    <row r="335" spans="1:4" ht="15.75" customHeight="1" x14ac:dyDescent="0.3">
      <c r="A335" s="32"/>
      <c r="C335" s="30"/>
      <c r="D335" s="30"/>
    </row>
    <row r="336" spans="1:4" ht="15.75" customHeight="1" x14ac:dyDescent="0.3">
      <c r="A336" s="32"/>
      <c r="C336" s="30"/>
      <c r="D336" s="30"/>
    </row>
    <row r="337" spans="1:4" ht="15.75" customHeight="1" x14ac:dyDescent="0.3">
      <c r="A337" s="32"/>
      <c r="C337" s="30"/>
      <c r="D337" s="30"/>
    </row>
    <row r="338" spans="1:4" ht="15.75" customHeight="1" x14ac:dyDescent="0.3">
      <c r="A338" s="32"/>
      <c r="C338" s="30"/>
      <c r="D338" s="30"/>
    </row>
    <row r="339" spans="1:4" ht="15.75" customHeight="1" x14ac:dyDescent="0.3">
      <c r="A339" s="32"/>
      <c r="C339" s="30"/>
      <c r="D339" s="30"/>
    </row>
    <row r="340" spans="1:4" ht="15.75" customHeight="1" x14ac:dyDescent="0.3">
      <c r="A340" s="32"/>
      <c r="C340" s="30"/>
      <c r="D340" s="30"/>
    </row>
    <row r="341" spans="1:4" ht="15.75" customHeight="1" x14ac:dyDescent="0.3">
      <c r="A341" s="32"/>
      <c r="C341" s="30"/>
      <c r="D341" s="30"/>
    </row>
    <row r="342" spans="1:4" ht="15.75" customHeight="1" x14ac:dyDescent="0.3">
      <c r="A342" s="32"/>
      <c r="C342" s="30"/>
      <c r="D342" s="30"/>
    </row>
    <row r="343" spans="1:4" ht="15.75" customHeight="1" x14ac:dyDescent="0.3">
      <c r="A343" s="32"/>
      <c r="C343" s="30"/>
      <c r="D343" s="30"/>
    </row>
    <row r="344" spans="1:4" ht="15.75" customHeight="1" x14ac:dyDescent="0.3">
      <c r="A344" s="32"/>
      <c r="C344" s="30"/>
      <c r="D344" s="30"/>
    </row>
    <row r="345" spans="1:4" ht="15.75" customHeight="1" x14ac:dyDescent="0.3">
      <c r="A345" s="32"/>
      <c r="C345" s="30"/>
      <c r="D345" s="30"/>
    </row>
    <row r="346" spans="1:4" ht="15.75" customHeight="1" x14ac:dyDescent="0.3">
      <c r="A346" s="32"/>
      <c r="C346" s="30"/>
      <c r="D346" s="30"/>
    </row>
    <row r="347" spans="1:4" ht="15.75" customHeight="1" x14ac:dyDescent="0.3">
      <c r="A347" s="32"/>
      <c r="C347" s="30"/>
      <c r="D347" s="30"/>
    </row>
    <row r="348" spans="1:4" ht="15.75" customHeight="1" x14ac:dyDescent="0.3">
      <c r="A348" s="32"/>
      <c r="C348" s="30"/>
      <c r="D348" s="30"/>
    </row>
    <row r="349" spans="1:4" ht="15.75" customHeight="1" x14ac:dyDescent="0.3">
      <c r="A349" s="32"/>
      <c r="C349" s="30"/>
      <c r="D349" s="30"/>
    </row>
    <row r="350" spans="1:4" ht="15.75" customHeight="1" x14ac:dyDescent="0.3">
      <c r="A350" s="32"/>
      <c r="C350" s="30"/>
      <c r="D350" s="30"/>
    </row>
    <row r="351" spans="1:4" ht="15.75" customHeight="1" x14ac:dyDescent="0.3">
      <c r="A351" s="32"/>
      <c r="C351" s="30"/>
      <c r="D351" s="30"/>
    </row>
    <row r="352" spans="1:4" ht="15.75" customHeight="1" x14ac:dyDescent="0.3">
      <c r="A352" s="32"/>
      <c r="C352" s="30"/>
      <c r="D352" s="30"/>
    </row>
    <row r="353" spans="1:4" ht="15.75" customHeight="1" x14ac:dyDescent="0.3">
      <c r="A353" s="32"/>
      <c r="C353" s="30"/>
      <c r="D353" s="30"/>
    </row>
    <row r="354" spans="1:4" ht="15.75" customHeight="1" x14ac:dyDescent="0.3">
      <c r="A354" s="32"/>
      <c r="C354" s="30"/>
      <c r="D354" s="30"/>
    </row>
    <row r="355" spans="1:4" ht="15.75" customHeight="1" x14ac:dyDescent="0.3">
      <c r="A355" s="32"/>
      <c r="C355" s="30"/>
      <c r="D355" s="30"/>
    </row>
    <row r="356" spans="1:4" ht="15.75" customHeight="1" x14ac:dyDescent="0.3">
      <c r="A356" s="32"/>
      <c r="C356" s="30"/>
      <c r="D356" s="30"/>
    </row>
    <row r="357" spans="1:4" ht="15.75" customHeight="1" x14ac:dyDescent="0.3">
      <c r="A357" s="32"/>
      <c r="C357" s="30"/>
      <c r="D357" s="30"/>
    </row>
    <row r="358" spans="1:4" ht="15.75" customHeight="1" x14ac:dyDescent="0.3">
      <c r="A358" s="32"/>
      <c r="C358" s="30"/>
      <c r="D358" s="30"/>
    </row>
    <row r="359" spans="1:4" ht="15.75" customHeight="1" x14ac:dyDescent="0.3">
      <c r="A359" s="32"/>
      <c r="C359" s="30"/>
      <c r="D359" s="30"/>
    </row>
    <row r="360" spans="1:4" ht="15.75" customHeight="1" x14ac:dyDescent="0.3">
      <c r="A360" s="32"/>
      <c r="C360" s="30"/>
      <c r="D360" s="30"/>
    </row>
    <row r="361" spans="1:4" ht="15.75" customHeight="1" x14ac:dyDescent="0.3">
      <c r="A361" s="32"/>
      <c r="C361" s="30"/>
      <c r="D361" s="30"/>
    </row>
    <row r="362" spans="1:4" ht="15.75" customHeight="1" x14ac:dyDescent="0.3">
      <c r="A362" s="32"/>
      <c r="C362" s="30"/>
      <c r="D362" s="30"/>
    </row>
    <row r="363" spans="1:4" ht="15.75" customHeight="1" x14ac:dyDescent="0.3">
      <c r="A363" s="32"/>
      <c r="C363" s="30"/>
      <c r="D363" s="30"/>
    </row>
    <row r="364" spans="1:4" ht="15.75" customHeight="1" x14ac:dyDescent="0.3">
      <c r="A364" s="32"/>
      <c r="C364" s="30"/>
      <c r="D364" s="30"/>
    </row>
    <row r="365" spans="1:4" ht="15.75" customHeight="1" x14ac:dyDescent="0.3">
      <c r="A365" s="32"/>
      <c r="C365" s="30"/>
      <c r="D365" s="30"/>
    </row>
    <row r="366" spans="1:4" ht="15.75" customHeight="1" x14ac:dyDescent="0.3">
      <c r="A366" s="32"/>
      <c r="C366" s="30"/>
      <c r="D366" s="30"/>
    </row>
    <row r="367" spans="1:4" ht="15.75" customHeight="1" x14ac:dyDescent="0.3">
      <c r="A367" s="32"/>
      <c r="C367" s="30"/>
      <c r="D367" s="30"/>
    </row>
    <row r="368" spans="1:4" ht="15.75" customHeight="1" x14ac:dyDescent="0.3">
      <c r="A368" s="32"/>
      <c r="C368" s="30"/>
      <c r="D368" s="30"/>
    </row>
    <row r="369" spans="1:4" ht="15.75" customHeight="1" x14ac:dyDescent="0.3">
      <c r="A369" s="32"/>
      <c r="C369" s="30"/>
      <c r="D369" s="30"/>
    </row>
    <row r="370" spans="1:4" ht="15.75" customHeight="1" x14ac:dyDescent="0.3">
      <c r="A370" s="32"/>
      <c r="C370" s="30"/>
      <c r="D370" s="30"/>
    </row>
    <row r="371" spans="1:4" ht="15.75" customHeight="1" x14ac:dyDescent="0.3">
      <c r="A371" s="32"/>
      <c r="C371" s="30"/>
      <c r="D371" s="30"/>
    </row>
    <row r="372" spans="1:4" ht="15.75" customHeight="1" x14ac:dyDescent="0.3">
      <c r="A372" s="32"/>
      <c r="C372" s="30"/>
      <c r="D372" s="30"/>
    </row>
    <row r="373" spans="1:4" ht="15.75" customHeight="1" x14ac:dyDescent="0.3">
      <c r="A373" s="32"/>
      <c r="C373" s="30"/>
      <c r="D373" s="30"/>
    </row>
    <row r="374" spans="1:4" ht="15.75" customHeight="1" x14ac:dyDescent="0.3">
      <c r="A374" s="32"/>
      <c r="C374" s="30"/>
      <c r="D374" s="30"/>
    </row>
    <row r="375" spans="1:4" ht="15.75" customHeight="1" x14ac:dyDescent="0.3">
      <c r="A375" s="32"/>
      <c r="C375" s="30"/>
      <c r="D375" s="30"/>
    </row>
    <row r="376" spans="1:4" ht="15.75" customHeight="1" x14ac:dyDescent="0.3">
      <c r="A376" s="32"/>
      <c r="C376" s="30"/>
      <c r="D376" s="30"/>
    </row>
    <row r="377" spans="1:4" ht="15.75" customHeight="1" x14ac:dyDescent="0.3">
      <c r="A377" s="32"/>
      <c r="C377" s="30"/>
      <c r="D377" s="30"/>
    </row>
    <row r="378" spans="1:4" ht="15.75" customHeight="1" x14ac:dyDescent="0.3">
      <c r="A378" s="32"/>
      <c r="C378" s="30"/>
      <c r="D378" s="30"/>
    </row>
    <row r="379" spans="1:4" ht="15.75" customHeight="1" x14ac:dyDescent="0.3">
      <c r="A379" s="32"/>
      <c r="C379" s="30"/>
      <c r="D379" s="30"/>
    </row>
    <row r="380" spans="1:4" ht="15.75" customHeight="1" x14ac:dyDescent="0.3">
      <c r="A380" s="32"/>
      <c r="C380" s="30"/>
      <c r="D380" s="30"/>
    </row>
    <row r="381" spans="1:4" ht="15.75" customHeight="1" x14ac:dyDescent="0.3">
      <c r="A381" s="32"/>
      <c r="C381" s="30"/>
      <c r="D381" s="30"/>
    </row>
    <row r="382" spans="1:4" ht="15.75" customHeight="1" x14ac:dyDescent="0.3">
      <c r="A382" s="32"/>
      <c r="C382" s="30"/>
      <c r="D382" s="30"/>
    </row>
    <row r="383" spans="1:4" ht="15.75" customHeight="1" x14ac:dyDescent="0.3">
      <c r="A383" s="32"/>
      <c r="C383" s="30"/>
      <c r="D383" s="30"/>
    </row>
    <row r="384" spans="1:4" ht="15.75" customHeight="1" x14ac:dyDescent="0.3">
      <c r="A384" s="32"/>
      <c r="C384" s="30"/>
      <c r="D384" s="30"/>
    </row>
    <row r="385" spans="1:4" ht="15.75" customHeight="1" x14ac:dyDescent="0.3">
      <c r="A385" s="32"/>
      <c r="C385" s="30"/>
      <c r="D385" s="30"/>
    </row>
    <row r="386" spans="1:4" ht="15.75" customHeight="1" x14ac:dyDescent="0.3">
      <c r="A386" s="32"/>
      <c r="C386" s="30"/>
      <c r="D386" s="30"/>
    </row>
    <row r="387" spans="1:4" ht="15.75" customHeight="1" x14ac:dyDescent="0.3">
      <c r="A387" s="32"/>
      <c r="C387" s="30"/>
      <c r="D387" s="30"/>
    </row>
    <row r="388" spans="1:4" ht="15.75" customHeight="1" x14ac:dyDescent="0.3">
      <c r="A388" s="32"/>
      <c r="C388" s="30"/>
      <c r="D388" s="30"/>
    </row>
    <row r="389" spans="1:4" ht="15.75" customHeight="1" x14ac:dyDescent="0.3">
      <c r="A389" s="32"/>
      <c r="C389" s="30"/>
      <c r="D389" s="30"/>
    </row>
    <row r="390" spans="1:4" ht="15.75" customHeight="1" x14ac:dyDescent="0.3">
      <c r="A390" s="32"/>
      <c r="C390" s="30"/>
      <c r="D390" s="30"/>
    </row>
    <row r="391" spans="1:4" ht="15.75" customHeight="1" x14ac:dyDescent="0.3">
      <c r="A391" s="32"/>
      <c r="C391" s="30"/>
      <c r="D391" s="30"/>
    </row>
    <row r="392" spans="1:4" ht="15.75" customHeight="1" x14ac:dyDescent="0.3">
      <c r="A392" s="32"/>
      <c r="C392" s="30"/>
      <c r="D392" s="30"/>
    </row>
    <row r="393" spans="1:4" ht="15.75" customHeight="1" x14ac:dyDescent="0.3">
      <c r="A393" s="32"/>
      <c r="C393" s="30"/>
      <c r="D393" s="30"/>
    </row>
    <row r="394" spans="1:4" ht="15.75" customHeight="1" x14ac:dyDescent="0.3">
      <c r="A394" s="32"/>
      <c r="C394" s="30"/>
      <c r="D394" s="30"/>
    </row>
    <row r="395" spans="1:4" ht="15.75" customHeight="1" x14ac:dyDescent="0.3">
      <c r="A395" s="32"/>
      <c r="C395" s="30"/>
      <c r="D395" s="30"/>
    </row>
    <row r="396" spans="1:4" ht="15.75" customHeight="1" x14ac:dyDescent="0.3">
      <c r="A396" s="32"/>
      <c r="C396" s="30"/>
      <c r="D396" s="30"/>
    </row>
    <row r="397" spans="1:4" ht="15.75" customHeight="1" x14ac:dyDescent="0.3">
      <c r="A397" s="32"/>
      <c r="C397" s="30"/>
      <c r="D397" s="30"/>
    </row>
    <row r="398" spans="1:4" ht="15.75" customHeight="1" x14ac:dyDescent="0.3">
      <c r="A398" s="32"/>
      <c r="C398" s="30"/>
      <c r="D398" s="30"/>
    </row>
    <row r="399" spans="1:4" ht="15.75" customHeight="1" x14ac:dyDescent="0.3">
      <c r="A399" s="32"/>
      <c r="C399" s="30"/>
      <c r="D399" s="30"/>
    </row>
    <row r="400" spans="1:4" ht="15.75" customHeight="1" x14ac:dyDescent="0.3">
      <c r="A400" s="32"/>
      <c r="C400" s="30"/>
      <c r="D400" s="30"/>
    </row>
    <row r="401" spans="1:4" ht="15.75" customHeight="1" x14ac:dyDescent="0.3">
      <c r="A401" s="32"/>
      <c r="C401" s="30"/>
      <c r="D401" s="30"/>
    </row>
    <row r="402" spans="1:4" ht="15.75" customHeight="1" x14ac:dyDescent="0.3">
      <c r="A402" s="32"/>
      <c r="C402" s="30"/>
      <c r="D402" s="30"/>
    </row>
    <row r="403" spans="1:4" ht="15.75" customHeight="1" x14ac:dyDescent="0.3">
      <c r="A403" s="32"/>
      <c r="C403" s="30"/>
      <c r="D403" s="30"/>
    </row>
    <row r="404" spans="1:4" ht="15.75" customHeight="1" x14ac:dyDescent="0.3">
      <c r="A404" s="32"/>
      <c r="C404" s="30"/>
      <c r="D404" s="30"/>
    </row>
    <row r="405" spans="1:4" ht="15.75" customHeight="1" x14ac:dyDescent="0.3">
      <c r="A405" s="32"/>
      <c r="C405" s="30"/>
      <c r="D405" s="30"/>
    </row>
    <row r="406" spans="1:4" ht="15.75" customHeight="1" x14ac:dyDescent="0.3">
      <c r="A406" s="32"/>
      <c r="C406" s="30"/>
      <c r="D406" s="30"/>
    </row>
    <row r="407" spans="1:4" ht="15.75" customHeight="1" x14ac:dyDescent="0.3">
      <c r="A407" s="32"/>
      <c r="C407" s="30"/>
      <c r="D407" s="30"/>
    </row>
    <row r="408" spans="1:4" ht="15.75" customHeight="1" x14ac:dyDescent="0.3">
      <c r="A408" s="32"/>
      <c r="C408" s="30"/>
      <c r="D408" s="30"/>
    </row>
    <row r="409" spans="1:4" ht="15.75" customHeight="1" x14ac:dyDescent="0.3">
      <c r="A409" s="32"/>
      <c r="C409" s="30"/>
      <c r="D409" s="30"/>
    </row>
    <row r="410" spans="1:4" ht="15.75" customHeight="1" x14ac:dyDescent="0.3">
      <c r="A410" s="32"/>
      <c r="C410" s="30"/>
      <c r="D410" s="30"/>
    </row>
    <row r="411" spans="1:4" ht="15.75" customHeight="1" x14ac:dyDescent="0.3">
      <c r="A411" s="32"/>
      <c r="C411" s="30"/>
      <c r="D411" s="30"/>
    </row>
    <row r="412" spans="1:4" ht="15.75" customHeight="1" x14ac:dyDescent="0.3">
      <c r="A412" s="32"/>
      <c r="C412" s="30"/>
      <c r="D412" s="30"/>
    </row>
    <row r="413" spans="1:4" ht="15.75" customHeight="1" x14ac:dyDescent="0.3">
      <c r="A413" s="32"/>
      <c r="C413" s="30"/>
      <c r="D413" s="30"/>
    </row>
    <row r="414" spans="1:4" ht="15.75" customHeight="1" x14ac:dyDescent="0.3">
      <c r="A414" s="32"/>
      <c r="C414" s="30"/>
      <c r="D414" s="30"/>
    </row>
    <row r="415" spans="1:4" ht="15.75" customHeight="1" x14ac:dyDescent="0.3">
      <c r="A415" s="32"/>
      <c r="C415" s="30"/>
      <c r="D415" s="30"/>
    </row>
    <row r="416" spans="1:4" ht="15.75" customHeight="1" x14ac:dyDescent="0.3">
      <c r="A416" s="32"/>
      <c r="C416" s="30"/>
      <c r="D416" s="30"/>
    </row>
    <row r="417" spans="1:4" ht="15.75" customHeight="1" x14ac:dyDescent="0.3">
      <c r="A417" s="32"/>
      <c r="C417" s="30"/>
      <c r="D417" s="30"/>
    </row>
    <row r="418" spans="1:4" ht="15.75" customHeight="1" x14ac:dyDescent="0.3">
      <c r="A418" s="32"/>
      <c r="C418" s="30"/>
      <c r="D418" s="30"/>
    </row>
    <row r="419" spans="1:4" ht="15.75" customHeight="1" x14ac:dyDescent="0.3">
      <c r="A419" s="32"/>
      <c r="C419" s="30"/>
      <c r="D419" s="30"/>
    </row>
    <row r="420" spans="1:4" ht="15.75" customHeight="1" x14ac:dyDescent="0.3">
      <c r="A420" s="32"/>
      <c r="C420" s="30"/>
      <c r="D420" s="30"/>
    </row>
    <row r="421" spans="1:4" ht="15.75" customHeight="1" x14ac:dyDescent="0.3">
      <c r="A421" s="32"/>
      <c r="C421" s="30"/>
      <c r="D421" s="30"/>
    </row>
    <row r="422" spans="1:4" ht="15.75" customHeight="1" x14ac:dyDescent="0.3">
      <c r="A422" s="32"/>
      <c r="C422" s="30"/>
      <c r="D422" s="30"/>
    </row>
    <row r="423" spans="1:4" ht="15.75" customHeight="1" x14ac:dyDescent="0.3">
      <c r="A423" s="32"/>
      <c r="C423" s="30"/>
      <c r="D423" s="30"/>
    </row>
    <row r="424" spans="1:4" ht="15.75" customHeight="1" x14ac:dyDescent="0.3">
      <c r="A424" s="32"/>
      <c r="C424" s="30"/>
      <c r="D424" s="30"/>
    </row>
    <row r="425" spans="1:4" ht="15.75" customHeight="1" x14ac:dyDescent="0.3">
      <c r="A425" s="32"/>
      <c r="C425" s="30"/>
      <c r="D425" s="30"/>
    </row>
    <row r="426" spans="1:4" ht="15.75" customHeight="1" x14ac:dyDescent="0.3">
      <c r="A426" s="32"/>
      <c r="C426" s="30"/>
      <c r="D426" s="30"/>
    </row>
    <row r="427" spans="1:4" ht="15.75" customHeight="1" x14ac:dyDescent="0.3">
      <c r="A427" s="32"/>
      <c r="C427" s="30"/>
      <c r="D427" s="30"/>
    </row>
    <row r="428" spans="1:4" ht="15.75" customHeight="1" x14ac:dyDescent="0.3">
      <c r="A428" s="32"/>
      <c r="C428" s="30"/>
      <c r="D428" s="30"/>
    </row>
    <row r="429" spans="1:4" ht="15.75" customHeight="1" x14ac:dyDescent="0.3">
      <c r="A429" s="32"/>
      <c r="C429" s="30"/>
      <c r="D429" s="30"/>
    </row>
    <row r="430" spans="1:4" ht="15.75" customHeight="1" x14ac:dyDescent="0.3">
      <c r="A430" s="32"/>
      <c r="C430" s="30"/>
      <c r="D430" s="30"/>
    </row>
    <row r="431" spans="1:4" ht="15.75" customHeight="1" x14ac:dyDescent="0.3">
      <c r="A431" s="32"/>
      <c r="C431" s="30"/>
      <c r="D431" s="30"/>
    </row>
    <row r="432" spans="1:4" ht="15.75" customHeight="1" x14ac:dyDescent="0.3">
      <c r="A432" s="32"/>
      <c r="C432" s="30"/>
      <c r="D432" s="30"/>
    </row>
    <row r="433" spans="1:4" ht="15.75" customHeight="1" x14ac:dyDescent="0.3">
      <c r="A433" s="32"/>
      <c r="C433" s="30"/>
      <c r="D433" s="30"/>
    </row>
    <row r="434" spans="1:4" ht="15.75" customHeight="1" x14ac:dyDescent="0.3">
      <c r="A434" s="32"/>
      <c r="C434" s="30"/>
      <c r="D434" s="30"/>
    </row>
    <row r="435" spans="1:4" ht="15.75" customHeight="1" x14ac:dyDescent="0.3">
      <c r="A435" s="32"/>
      <c r="C435" s="30"/>
      <c r="D435" s="30"/>
    </row>
    <row r="436" spans="1:4" ht="15.75" customHeight="1" x14ac:dyDescent="0.3">
      <c r="A436" s="32"/>
      <c r="C436" s="30"/>
      <c r="D436" s="30"/>
    </row>
    <row r="437" spans="1:4" ht="15.75" customHeight="1" x14ac:dyDescent="0.3">
      <c r="A437" s="32"/>
      <c r="C437" s="30"/>
      <c r="D437" s="30"/>
    </row>
    <row r="438" spans="1:4" ht="15.75" customHeight="1" x14ac:dyDescent="0.3">
      <c r="A438" s="32"/>
      <c r="C438" s="30"/>
      <c r="D438" s="30"/>
    </row>
    <row r="439" spans="1:4" ht="15.75" customHeight="1" x14ac:dyDescent="0.3">
      <c r="A439" s="32"/>
      <c r="C439" s="30"/>
      <c r="D439" s="30"/>
    </row>
    <row r="440" spans="1:4" ht="15.75" customHeight="1" x14ac:dyDescent="0.3">
      <c r="A440" s="32"/>
      <c r="C440" s="30"/>
      <c r="D440" s="30"/>
    </row>
    <row r="441" spans="1:4" ht="15.75" customHeight="1" x14ac:dyDescent="0.3">
      <c r="A441" s="32"/>
      <c r="C441" s="30"/>
      <c r="D441" s="30"/>
    </row>
    <row r="442" spans="1:4" ht="15.75" customHeight="1" x14ac:dyDescent="0.3">
      <c r="A442" s="32"/>
      <c r="C442" s="30"/>
      <c r="D442" s="30"/>
    </row>
    <row r="443" spans="1:4" ht="15.75" customHeight="1" x14ac:dyDescent="0.3">
      <c r="A443" s="32"/>
      <c r="C443" s="30"/>
      <c r="D443" s="30"/>
    </row>
    <row r="444" spans="1:4" ht="15.75" customHeight="1" x14ac:dyDescent="0.3">
      <c r="A444" s="32"/>
      <c r="C444" s="30"/>
      <c r="D444" s="30"/>
    </row>
    <row r="445" spans="1:4" ht="15.75" customHeight="1" x14ac:dyDescent="0.3">
      <c r="A445" s="32"/>
      <c r="C445" s="30"/>
      <c r="D445" s="30"/>
    </row>
    <row r="446" spans="1:4" ht="15.75" customHeight="1" x14ac:dyDescent="0.3">
      <c r="A446" s="32"/>
      <c r="C446" s="30"/>
      <c r="D446" s="30"/>
    </row>
    <row r="447" spans="1:4" ht="15.75" customHeight="1" x14ac:dyDescent="0.3">
      <c r="A447" s="32"/>
      <c r="C447" s="30"/>
      <c r="D447" s="30"/>
    </row>
    <row r="448" spans="1:4" ht="15.75" customHeight="1" x14ac:dyDescent="0.3">
      <c r="A448" s="32"/>
      <c r="C448" s="30"/>
      <c r="D448" s="30"/>
    </row>
    <row r="449" spans="1:4" ht="15.75" customHeight="1" x14ac:dyDescent="0.3">
      <c r="A449" s="32"/>
      <c r="C449" s="30"/>
      <c r="D449" s="30"/>
    </row>
    <row r="450" spans="1:4" ht="15.75" customHeight="1" x14ac:dyDescent="0.3">
      <c r="A450" s="32"/>
      <c r="C450" s="30"/>
      <c r="D450" s="30"/>
    </row>
    <row r="451" spans="1:4" ht="15.75" customHeight="1" x14ac:dyDescent="0.3">
      <c r="A451" s="32"/>
      <c r="C451" s="30"/>
      <c r="D451" s="30"/>
    </row>
    <row r="452" spans="1:4" ht="15.75" customHeight="1" x14ac:dyDescent="0.3">
      <c r="A452" s="32"/>
      <c r="C452" s="30"/>
      <c r="D452" s="30"/>
    </row>
    <row r="453" spans="1:4" ht="15.75" customHeight="1" x14ac:dyDescent="0.3">
      <c r="A453" s="32"/>
      <c r="C453" s="30"/>
      <c r="D453" s="30"/>
    </row>
    <row r="454" spans="1:4" ht="15.75" customHeight="1" x14ac:dyDescent="0.3">
      <c r="A454" s="32"/>
      <c r="C454" s="30"/>
      <c r="D454" s="30"/>
    </row>
    <row r="455" spans="1:4" ht="15.75" customHeight="1" x14ac:dyDescent="0.3">
      <c r="A455" s="32"/>
      <c r="C455" s="30"/>
      <c r="D455" s="30"/>
    </row>
    <row r="456" spans="1:4" ht="15.75" customHeight="1" x14ac:dyDescent="0.3">
      <c r="A456" s="32"/>
      <c r="C456" s="30"/>
      <c r="D456" s="30"/>
    </row>
    <row r="457" spans="1:4" ht="15.75" customHeight="1" x14ac:dyDescent="0.3">
      <c r="A457" s="32"/>
      <c r="C457" s="30"/>
      <c r="D457" s="30"/>
    </row>
    <row r="458" spans="1:4" ht="15.75" customHeight="1" x14ac:dyDescent="0.3">
      <c r="A458" s="32"/>
      <c r="C458" s="30"/>
      <c r="D458" s="30"/>
    </row>
    <row r="459" spans="1:4" ht="15.75" customHeight="1" x14ac:dyDescent="0.3">
      <c r="A459" s="32"/>
      <c r="C459" s="30"/>
      <c r="D459" s="30"/>
    </row>
    <row r="460" spans="1:4" ht="15.75" customHeight="1" x14ac:dyDescent="0.3">
      <c r="A460" s="32"/>
      <c r="C460" s="30"/>
      <c r="D460" s="30"/>
    </row>
    <row r="461" spans="1:4" ht="15.75" customHeight="1" x14ac:dyDescent="0.3">
      <c r="A461" s="32"/>
      <c r="C461" s="30"/>
      <c r="D461" s="30"/>
    </row>
    <row r="462" spans="1:4" ht="15.75" customHeight="1" x14ac:dyDescent="0.3">
      <c r="A462" s="32"/>
      <c r="C462" s="30"/>
      <c r="D462" s="30"/>
    </row>
    <row r="463" spans="1:4" ht="15.75" customHeight="1" x14ac:dyDescent="0.3">
      <c r="A463" s="32"/>
      <c r="C463" s="30"/>
      <c r="D463" s="30"/>
    </row>
    <row r="464" spans="1:4" ht="15.75" customHeight="1" x14ac:dyDescent="0.3">
      <c r="A464" s="32"/>
      <c r="C464" s="30"/>
      <c r="D464" s="30"/>
    </row>
    <row r="465" spans="1:4" ht="15.75" customHeight="1" x14ac:dyDescent="0.3">
      <c r="A465" s="32"/>
      <c r="C465" s="30"/>
      <c r="D465" s="30"/>
    </row>
    <row r="466" spans="1:4" ht="15.75" customHeight="1" x14ac:dyDescent="0.3">
      <c r="A466" s="32"/>
      <c r="C466" s="30"/>
      <c r="D466" s="30"/>
    </row>
    <row r="467" spans="1:4" ht="15.75" customHeight="1" x14ac:dyDescent="0.3">
      <c r="A467" s="32"/>
      <c r="C467" s="30"/>
      <c r="D467" s="30"/>
    </row>
    <row r="468" spans="1:4" ht="15.75" customHeight="1" x14ac:dyDescent="0.3">
      <c r="A468" s="32"/>
      <c r="C468" s="30"/>
      <c r="D468" s="30"/>
    </row>
    <row r="469" spans="1:4" ht="15.75" customHeight="1" x14ac:dyDescent="0.3">
      <c r="A469" s="32"/>
      <c r="C469" s="30"/>
      <c r="D469" s="30"/>
    </row>
    <row r="470" spans="1:4" ht="15.75" customHeight="1" x14ac:dyDescent="0.3">
      <c r="A470" s="32"/>
      <c r="C470" s="30"/>
      <c r="D470" s="30"/>
    </row>
    <row r="471" spans="1:4" ht="15.75" customHeight="1" x14ac:dyDescent="0.3">
      <c r="A471" s="32"/>
      <c r="C471" s="30"/>
      <c r="D471" s="30"/>
    </row>
    <row r="472" spans="1:4" ht="15.75" customHeight="1" x14ac:dyDescent="0.3">
      <c r="A472" s="32"/>
      <c r="C472" s="30"/>
      <c r="D472" s="30"/>
    </row>
    <row r="473" spans="1:4" ht="15.75" customHeight="1" x14ac:dyDescent="0.3">
      <c r="A473" s="32"/>
      <c r="C473" s="30"/>
      <c r="D473" s="30"/>
    </row>
    <row r="474" spans="1:4" ht="15.75" customHeight="1" x14ac:dyDescent="0.3">
      <c r="A474" s="32"/>
      <c r="C474" s="30"/>
      <c r="D474" s="30"/>
    </row>
    <row r="475" spans="1:4" ht="15.75" customHeight="1" x14ac:dyDescent="0.3">
      <c r="A475" s="32"/>
      <c r="C475" s="30"/>
      <c r="D475" s="30"/>
    </row>
    <row r="476" spans="1:4" ht="15.75" customHeight="1" x14ac:dyDescent="0.3">
      <c r="A476" s="32"/>
      <c r="C476" s="30"/>
      <c r="D476" s="30"/>
    </row>
    <row r="477" spans="1:4" ht="15.75" customHeight="1" x14ac:dyDescent="0.3">
      <c r="A477" s="32"/>
      <c r="C477" s="30"/>
      <c r="D477" s="30"/>
    </row>
    <row r="478" spans="1:4" ht="15.75" customHeight="1" x14ac:dyDescent="0.3">
      <c r="A478" s="32"/>
      <c r="C478" s="30"/>
      <c r="D478" s="30"/>
    </row>
    <row r="479" spans="1:4" ht="15.75" customHeight="1" x14ac:dyDescent="0.3">
      <c r="A479" s="32"/>
      <c r="C479" s="30"/>
      <c r="D479" s="30"/>
    </row>
    <row r="480" spans="1:4" ht="15.75" customHeight="1" x14ac:dyDescent="0.3">
      <c r="A480" s="32"/>
      <c r="C480" s="30"/>
      <c r="D480" s="30"/>
    </row>
    <row r="481" spans="1:4" ht="15.75" customHeight="1" x14ac:dyDescent="0.3">
      <c r="A481" s="32"/>
      <c r="C481" s="30"/>
      <c r="D481" s="30"/>
    </row>
    <row r="482" spans="1:4" ht="15.75" customHeight="1" x14ac:dyDescent="0.3">
      <c r="A482" s="32"/>
      <c r="C482" s="30"/>
      <c r="D482" s="30"/>
    </row>
    <row r="483" spans="1:4" ht="15.75" customHeight="1" x14ac:dyDescent="0.3">
      <c r="A483" s="32"/>
      <c r="C483" s="30"/>
      <c r="D483" s="30"/>
    </row>
    <row r="484" spans="1:4" ht="15.75" customHeight="1" x14ac:dyDescent="0.3">
      <c r="A484" s="32"/>
      <c r="C484" s="30"/>
      <c r="D484" s="30"/>
    </row>
    <row r="485" spans="1:4" ht="15.75" customHeight="1" x14ac:dyDescent="0.3">
      <c r="A485" s="32"/>
      <c r="C485" s="30"/>
      <c r="D485" s="30"/>
    </row>
    <row r="486" spans="1:4" ht="15.75" customHeight="1" x14ac:dyDescent="0.3">
      <c r="A486" s="32"/>
      <c r="C486" s="30"/>
      <c r="D486" s="30"/>
    </row>
    <row r="487" spans="1:4" ht="15.75" customHeight="1" x14ac:dyDescent="0.3">
      <c r="A487" s="32"/>
      <c r="C487" s="30"/>
      <c r="D487" s="30"/>
    </row>
    <row r="488" spans="1:4" ht="15.75" customHeight="1" x14ac:dyDescent="0.3">
      <c r="A488" s="32"/>
      <c r="C488" s="30"/>
      <c r="D488" s="30"/>
    </row>
    <row r="489" spans="1:4" ht="15.75" customHeight="1" x14ac:dyDescent="0.3">
      <c r="A489" s="32"/>
      <c r="C489" s="30"/>
      <c r="D489" s="30"/>
    </row>
    <row r="490" spans="1:4" ht="15.75" customHeight="1" x14ac:dyDescent="0.3">
      <c r="A490" s="32"/>
      <c r="C490" s="30"/>
      <c r="D490" s="30"/>
    </row>
    <row r="491" spans="1:4" ht="15.75" customHeight="1" x14ac:dyDescent="0.3">
      <c r="A491" s="32"/>
      <c r="C491" s="30"/>
      <c r="D491" s="30"/>
    </row>
    <row r="492" spans="1:4" ht="15.75" customHeight="1" x14ac:dyDescent="0.3">
      <c r="A492" s="32"/>
      <c r="C492" s="30"/>
      <c r="D492" s="30"/>
    </row>
    <row r="493" spans="1:4" ht="15.75" customHeight="1" x14ac:dyDescent="0.3">
      <c r="A493" s="32"/>
      <c r="C493" s="30"/>
      <c r="D493" s="30"/>
    </row>
    <row r="494" spans="1:4" ht="15.75" customHeight="1" x14ac:dyDescent="0.3">
      <c r="A494" s="32"/>
      <c r="C494" s="30"/>
      <c r="D494" s="30"/>
    </row>
    <row r="495" spans="1:4" ht="15.75" customHeight="1" x14ac:dyDescent="0.3">
      <c r="A495" s="32"/>
      <c r="C495" s="30"/>
      <c r="D495" s="30"/>
    </row>
    <row r="496" spans="1:4" ht="15.75" customHeight="1" x14ac:dyDescent="0.3">
      <c r="A496" s="32"/>
      <c r="C496" s="30"/>
      <c r="D496" s="30"/>
    </row>
    <row r="497" spans="1:4" ht="15.75" customHeight="1" x14ac:dyDescent="0.3">
      <c r="A497" s="32"/>
      <c r="C497" s="30"/>
      <c r="D497" s="30"/>
    </row>
    <row r="498" spans="1:4" ht="15.75" customHeight="1" x14ac:dyDescent="0.3">
      <c r="A498" s="32"/>
      <c r="C498" s="30"/>
      <c r="D498" s="30"/>
    </row>
    <row r="499" spans="1:4" ht="15.75" customHeight="1" x14ac:dyDescent="0.3">
      <c r="A499" s="32"/>
      <c r="C499" s="30"/>
      <c r="D499" s="30"/>
    </row>
    <row r="500" spans="1:4" ht="15.75" customHeight="1" x14ac:dyDescent="0.3">
      <c r="A500" s="32"/>
      <c r="C500" s="30"/>
      <c r="D500" s="30"/>
    </row>
    <row r="501" spans="1:4" ht="15.75" customHeight="1" x14ac:dyDescent="0.3">
      <c r="A501" s="32"/>
      <c r="C501" s="30"/>
      <c r="D501" s="30"/>
    </row>
    <row r="502" spans="1:4" ht="15.75" customHeight="1" x14ac:dyDescent="0.3">
      <c r="A502" s="32"/>
      <c r="C502" s="30"/>
      <c r="D502" s="30"/>
    </row>
    <row r="503" spans="1:4" ht="15.75" customHeight="1" x14ac:dyDescent="0.3">
      <c r="A503" s="32"/>
      <c r="C503" s="30"/>
      <c r="D503" s="30"/>
    </row>
    <row r="504" spans="1:4" ht="15.75" customHeight="1" x14ac:dyDescent="0.3">
      <c r="A504" s="32"/>
      <c r="C504" s="30"/>
      <c r="D504" s="30"/>
    </row>
    <row r="505" spans="1:4" ht="15.75" customHeight="1" x14ac:dyDescent="0.3">
      <c r="A505" s="32"/>
      <c r="C505" s="30"/>
      <c r="D505" s="30"/>
    </row>
    <row r="506" spans="1:4" ht="15.75" customHeight="1" x14ac:dyDescent="0.3">
      <c r="A506" s="32"/>
      <c r="C506" s="30"/>
      <c r="D506" s="30"/>
    </row>
    <row r="507" spans="1:4" ht="15.75" customHeight="1" x14ac:dyDescent="0.3">
      <c r="A507" s="32"/>
      <c r="C507" s="30"/>
      <c r="D507" s="30"/>
    </row>
    <row r="508" spans="1:4" ht="15.75" customHeight="1" x14ac:dyDescent="0.3">
      <c r="A508" s="32"/>
      <c r="C508" s="30"/>
      <c r="D508" s="30"/>
    </row>
    <row r="509" spans="1:4" ht="15.75" customHeight="1" x14ac:dyDescent="0.3">
      <c r="A509" s="32"/>
      <c r="C509" s="30"/>
      <c r="D509" s="30"/>
    </row>
    <row r="510" spans="1:4" ht="15.75" customHeight="1" x14ac:dyDescent="0.3">
      <c r="A510" s="32"/>
      <c r="C510" s="30"/>
      <c r="D510" s="30"/>
    </row>
    <row r="511" spans="1:4" ht="15.75" customHeight="1" x14ac:dyDescent="0.3">
      <c r="A511" s="32"/>
      <c r="C511" s="30"/>
      <c r="D511" s="30"/>
    </row>
    <row r="512" spans="1:4" ht="15.75" customHeight="1" x14ac:dyDescent="0.3">
      <c r="A512" s="32"/>
      <c r="C512" s="30"/>
      <c r="D512" s="30"/>
    </row>
    <row r="513" spans="1:4" ht="15.75" customHeight="1" x14ac:dyDescent="0.3">
      <c r="A513" s="32"/>
      <c r="C513" s="30"/>
      <c r="D513" s="30"/>
    </row>
    <row r="514" spans="1:4" ht="15.75" customHeight="1" x14ac:dyDescent="0.3">
      <c r="A514" s="32"/>
      <c r="C514" s="30"/>
      <c r="D514" s="30"/>
    </row>
    <row r="515" spans="1:4" ht="15.75" customHeight="1" x14ac:dyDescent="0.3">
      <c r="A515" s="32"/>
      <c r="C515" s="30"/>
      <c r="D515" s="30"/>
    </row>
    <row r="516" spans="1:4" ht="15.75" customHeight="1" x14ac:dyDescent="0.3">
      <c r="A516" s="32"/>
      <c r="C516" s="30"/>
      <c r="D516" s="30"/>
    </row>
    <row r="517" spans="1:4" ht="15.75" customHeight="1" x14ac:dyDescent="0.3">
      <c r="A517" s="32"/>
      <c r="C517" s="30"/>
      <c r="D517" s="30"/>
    </row>
    <row r="518" spans="1:4" ht="15.75" customHeight="1" x14ac:dyDescent="0.3">
      <c r="A518" s="32"/>
      <c r="C518" s="30"/>
      <c r="D518" s="30"/>
    </row>
    <row r="519" spans="1:4" ht="15.75" customHeight="1" x14ac:dyDescent="0.3">
      <c r="A519" s="32"/>
      <c r="C519" s="30"/>
      <c r="D519" s="30"/>
    </row>
    <row r="520" spans="1:4" ht="15.75" customHeight="1" x14ac:dyDescent="0.3">
      <c r="A520" s="32"/>
      <c r="C520" s="30"/>
      <c r="D520" s="30"/>
    </row>
    <row r="521" spans="1:4" ht="15.75" customHeight="1" x14ac:dyDescent="0.3">
      <c r="A521" s="32"/>
      <c r="C521" s="30"/>
      <c r="D521" s="30"/>
    </row>
    <row r="522" spans="1:4" ht="15.75" customHeight="1" x14ac:dyDescent="0.3">
      <c r="A522" s="32"/>
      <c r="C522" s="30"/>
      <c r="D522" s="30"/>
    </row>
    <row r="523" spans="1:4" ht="15.75" customHeight="1" x14ac:dyDescent="0.3">
      <c r="A523" s="32"/>
      <c r="C523" s="30"/>
      <c r="D523" s="30"/>
    </row>
    <row r="524" spans="1:4" ht="15.75" customHeight="1" x14ac:dyDescent="0.3">
      <c r="A524" s="32"/>
      <c r="C524" s="30"/>
      <c r="D524" s="30"/>
    </row>
    <row r="525" spans="1:4" ht="15.75" customHeight="1" x14ac:dyDescent="0.3">
      <c r="A525" s="32"/>
      <c r="C525" s="30"/>
      <c r="D525" s="30"/>
    </row>
    <row r="526" spans="1:4" ht="15.75" customHeight="1" x14ac:dyDescent="0.3">
      <c r="A526" s="32"/>
      <c r="C526" s="30"/>
      <c r="D526" s="30"/>
    </row>
    <row r="527" spans="1:4" ht="15.75" customHeight="1" x14ac:dyDescent="0.3">
      <c r="A527" s="32"/>
      <c r="C527" s="30"/>
      <c r="D527" s="30"/>
    </row>
    <row r="528" spans="1:4" ht="15.75" customHeight="1" x14ac:dyDescent="0.3">
      <c r="A528" s="32"/>
      <c r="C528" s="30"/>
      <c r="D528" s="30"/>
    </row>
    <row r="529" spans="1:4" ht="15.75" customHeight="1" x14ac:dyDescent="0.3">
      <c r="A529" s="32"/>
      <c r="C529" s="30"/>
      <c r="D529" s="30"/>
    </row>
    <row r="530" spans="1:4" ht="15.75" customHeight="1" x14ac:dyDescent="0.3">
      <c r="A530" s="32"/>
      <c r="C530" s="30"/>
      <c r="D530" s="30"/>
    </row>
    <row r="531" spans="1:4" ht="15.75" customHeight="1" x14ac:dyDescent="0.3">
      <c r="A531" s="32"/>
      <c r="C531" s="30"/>
      <c r="D531" s="30"/>
    </row>
    <row r="532" spans="1:4" ht="15.75" customHeight="1" x14ac:dyDescent="0.3">
      <c r="A532" s="32"/>
      <c r="C532" s="30"/>
      <c r="D532" s="30"/>
    </row>
    <row r="533" spans="1:4" ht="15.75" customHeight="1" x14ac:dyDescent="0.3">
      <c r="A533" s="32"/>
      <c r="C533" s="30"/>
      <c r="D533" s="30"/>
    </row>
    <row r="534" spans="1:4" ht="15.75" customHeight="1" x14ac:dyDescent="0.3">
      <c r="A534" s="32"/>
      <c r="C534" s="30"/>
      <c r="D534" s="30"/>
    </row>
    <row r="535" spans="1:4" ht="15.75" customHeight="1" x14ac:dyDescent="0.3">
      <c r="A535" s="32"/>
      <c r="C535" s="30"/>
      <c r="D535" s="30"/>
    </row>
    <row r="536" spans="1:4" ht="15.75" customHeight="1" x14ac:dyDescent="0.3">
      <c r="A536" s="32"/>
      <c r="C536" s="30"/>
      <c r="D536" s="30"/>
    </row>
    <row r="537" spans="1:4" ht="15.75" customHeight="1" x14ac:dyDescent="0.3">
      <c r="A537" s="32"/>
      <c r="C537" s="30"/>
      <c r="D537" s="30"/>
    </row>
    <row r="538" spans="1:4" ht="15.75" customHeight="1" x14ac:dyDescent="0.3">
      <c r="A538" s="32"/>
      <c r="C538" s="30"/>
      <c r="D538" s="30"/>
    </row>
    <row r="539" spans="1:4" ht="15.75" customHeight="1" x14ac:dyDescent="0.3">
      <c r="A539" s="32"/>
      <c r="C539" s="30"/>
      <c r="D539" s="30"/>
    </row>
    <row r="540" spans="1:4" ht="15.75" customHeight="1" x14ac:dyDescent="0.3">
      <c r="A540" s="32"/>
      <c r="C540" s="30"/>
      <c r="D540" s="30"/>
    </row>
    <row r="541" spans="1:4" ht="15.75" customHeight="1" x14ac:dyDescent="0.3">
      <c r="A541" s="32"/>
      <c r="C541" s="30"/>
      <c r="D541" s="30"/>
    </row>
    <row r="542" spans="1:4" ht="15.75" customHeight="1" x14ac:dyDescent="0.3">
      <c r="A542" s="32"/>
      <c r="C542" s="30"/>
      <c r="D542" s="30"/>
    </row>
    <row r="543" spans="1:4" ht="15.75" customHeight="1" x14ac:dyDescent="0.3">
      <c r="A543" s="32"/>
      <c r="C543" s="30"/>
      <c r="D543" s="30"/>
    </row>
    <row r="544" spans="1:4" ht="15.75" customHeight="1" x14ac:dyDescent="0.3">
      <c r="A544" s="32"/>
      <c r="C544" s="30"/>
      <c r="D544" s="30"/>
    </row>
    <row r="545" spans="1:4" ht="15.75" customHeight="1" x14ac:dyDescent="0.3">
      <c r="A545" s="32"/>
      <c r="C545" s="30"/>
      <c r="D545" s="30"/>
    </row>
    <row r="546" spans="1:4" ht="15.75" customHeight="1" x14ac:dyDescent="0.3">
      <c r="A546" s="32"/>
      <c r="C546" s="30"/>
      <c r="D546" s="30"/>
    </row>
    <row r="547" spans="1:4" ht="15.75" customHeight="1" x14ac:dyDescent="0.3">
      <c r="A547" s="32"/>
      <c r="C547" s="30"/>
      <c r="D547" s="30"/>
    </row>
    <row r="548" spans="1:4" ht="15.75" customHeight="1" x14ac:dyDescent="0.3">
      <c r="A548" s="32"/>
      <c r="C548" s="30"/>
      <c r="D548" s="30"/>
    </row>
    <row r="549" spans="1:4" ht="15.75" customHeight="1" x14ac:dyDescent="0.3">
      <c r="A549" s="32"/>
      <c r="C549" s="30"/>
      <c r="D549" s="30"/>
    </row>
    <row r="550" spans="1:4" ht="15.75" customHeight="1" x14ac:dyDescent="0.3">
      <c r="A550" s="32"/>
      <c r="C550" s="30"/>
      <c r="D550" s="30"/>
    </row>
    <row r="551" spans="1:4" ht="15.75" customHeight="1" x14ac:dyDescent="0.3">
      <c r="A551" s="32"/>
      <c r="C551" s="30"/>
      <c r="D551" s="30"/>
    </row>
    <row r="552" spans="1:4" ht="15.75" customHeight="1" x14ac:dyDescent="0.3">
      <c r="A552" s="32"/>
      <c r="C552" s="30"/>
      <c r="D552" s="30"/>
    </row>
    <row r="553" spans="1:4" ht="15.75" customHeight="1" x14ac:dyDescent="0.3">
      <c r="A553" s="32"/>
      <c r="C553" s="30"/>
      <c r="D553" s="30"/>
    </row>
    <row r="554" spans="1:4" ht="15.75" customHeight="1" x14ac:dyDescent="0.3">
      <c r="A554" s="32"/>
      <c r="C554" s="30"/>
      <c r="D554" s="30"/>
    </row>
    <row r="555" spans="1:4" ht="15.75" customHeight="1" x14ac:dyDescent="0.3">
      <c r="A555" s="32"/>
      <c r="C555" s="30"/>
      <c r="D555" s="30"/>
    </row>
    <row r="556" spans="1:4" ht="15.75" customHeight="1" x14ac:dyDescent="0.3">
      <c r="A556" s="32"/>
      <c r="C556" s="30"/>
      <c r="D556" s="30"/>
    </row>
    <row r="557" spans="1:4" ht="15.75" customHeight="1" x14ac:dyDescent="0.3">
      <c r="A557" s="32"/>
      <c r="C557" s="30"/>
      <c r="D557" s="30"/>
    </row>
    <row r="558" spans="1:4" ht="15.75" customHeight="1" x14ac:dyDescent="0.3">
      <c r="A558" s="32"/>
      <c r="C558" s="30"/>
      <c r="D558" s="30"/>
    </row>
    <row r="559" spans="1:4" ht="15.75" customHeight="1" x14ac:dyDescent="0.3">
      <c r="A559" s="32"/>
      <c r="C559" s="30"/>
      <c r="D559" s="30"/>
    </row>
    <row r="560" spans="1:4" ht="15.75" customHeight="1" x14ac:dyDescent="0.3">
      <c r="A560" s="32"/>
      <c r="C560" s="30"/>
      <c r="D560" s="30"/>
    </row>
    <row r="561" spans="1:4" ht="15.75" customHeight="1" x14ac:dyDescent="0.3">
      <c r="A561" s="32"/>
      <c r="C561" s="30"/>
      <c r="D561" s="30"/>
    </row>
    <row r="562" spans="1:4" ht="15.75" customHeight="1" x14ac:dyDescent="0.3">
      <c r="A562" s="32"/>
      <c r="C562" s="30"/>
      <c r="D562" s="30"/>
    </row>
    <row r="563" spans="1:4" ht="15.75" customHeight="1" x14ac:dyDescent="0.3">
      <c r="A563" s="32"/>
      <c r="C563" s="30"/>
      <c r="D563" s="30"/>
    </row>
    <row r="564" spans="1:4" ht="15.75" customHeight="1" x14ac:dyDescent="0.3">
      <c r="A564" s="32"/>
      <c r="C564" s="30"/>
      <c r="D564" s="30"/>
    </row>
    <row r="565" spans="1:4" ht="15.75" customHeight="1" x14ac:dyDescent="0.3">
      <c r="A565" s="32"/>
      <c r="C565" s="30"/>
      <c r="D565" s="30"/>
    </row>
    <row r="566" spans="1:4" ht="15.75" customHeight="1" x14ac:dyDescent="0.3">
      <c r="A566" s="32"/>
      <c r="C566" s="30"/>
      <c r="D566" s="30"/>
    </row>
    <row r="567" spans="1:4" ht="15.75" customHeight="1" x14ac:dyDescent="0.3">
      <c r="A567" s="32"/>
      <c r="C567" s="30"/>
      <c r="D567" s="30"/>
    </row>
    <row r="568" spans="1:4" ht="15.75" customHeight="1" x14ac:dyDescent="0.3">
      <c r="A568" s="32"/>
      <c r="C568" s="30"/>
      <c r="D568" s="30"/>
    </row>
    <row r="569" spans="1:4" ht="15.75" customHeight="1" x14ac:dyDescent="0.3">
      <c r="A569" s="32"/>
      <c r="C569" s="30"/>
      <c r="D569" s="30"/>
    </row>
    <row r="570" spans="1:4" ht="15.75" customHeight="1" x14ac:dyDescent="0.3">
      <c r="A570" s="32"/>
      <c r="C570" s="30"/>
      <c r="D570" s="30"/>
    </row>
    <row r="571" spans="1:4" ht="15.75" customHeight="1" x14ac:dyDescent="0.3">
      <c r="A571" s="32"/>
      <c r="C571" s="30"/>
      <c r="D571" s="30"/>
    </row>
    <row r="572" spans="1:4" ht="15.75" customHeight="1" x14ac:dyDescent="0.3">
      <c r="A572" s="32"/>
      <c r="C572" s="30"/>
      <c r="D572" s="30"/>
    </row>
    <row r="573" spans="1:4" ht="15.75" customHeight="1" x14ac:dyDescent="0.3">
      <c r="A573" s="32"/>
      <c r="C573" s="30"/>
      <c r="D573" s="30"/>
    </row>
    <row r="574" spans="1:4" ht="15.75" customHeight="1" x14ac:dyDescent="0.3">
      <c r="A574" s="32"/>
      <c r="C574" s="30"/>
      <c r="D574" s="30"/>
    </row>
    <row r="575" spans="1:4" ht="15.75" customHeight="1" x14ac:dyDescent="0.3">
      <c r="A575" s="32"/>
      <c r="C575" s="30"/>
      <c r="D575" s="30"/>
    </row>
    <row r="576" spans="1:4" ht="15.75" customHeight="1" x14ac:dyDescent="0.3">
      <c r="A576" s="32"/>
      <c r="C576" s="30"/>
      <c r="D576" s="30"/>
    </row>
    <row r="577" spans="1:4" ht="15.75" customHeight="1" x14ac:dyDescent="0.3">
      <c r="A577" s="32"/>
      <c r="C577" s="30"/>
      <c r="D577" s="30"/>
    </row>
    <row r="578" spans="1:4" ht="15.75" customHeight="1" x14ac:dyDescent="0.3">
      <c r="A578" s="32"/>
      <c r="C578" s="30"/>
      <c r="D578" s="30"/>
    </row>
    <row r="579" spans="1:4" ht="15.75" customHeight="1" x14ac:dyDescent="0.3">
      <c r="A579" s="32"/>
      <c r="C579" s="30"/>
      <c r="D579" s="30"/>
    </row>
    <row r="580" spans="1:4" ht="15.75" customHeight="1" x14ac:dyDescent="0.3">
      <c r="A580" s="32"/>
      <c r="C580" s="30"/>
      <c r="D580" s="30"/>
    </row>
    <row r="581" spans="1:4" ht="15.75" customHeight="1" x14ac:dyDescent="0.3">
      <c r="A581" s="32"/>
      <c r="C581" s="30"/>
      <c r="D581" s="30"/>
    </row>
    <row r="582" spans="1:4" ht="15.75" customHeight="1" x14ac:dyDescent="0.3">
      <c r="A582" s="32"/>
      <c r="C582" s="30"/>
      <c r="D582" s="30"/>
    </row>
    <row r="583" spans="1:4" ht="15.75" customHeight="1" x14ac:dyDescent="0.3">
      <c r="A583" s="32"/>
      <c r="C583" s="30"/>
      <c r="D583" s="30"/>
    </row>
    <row r="584" spans="1:4" ht="15.75" customHeight="1" x14ac:dyDescent="0.3">
      <c r="A584" s="32"/>
      <c r="C584" s="30"/>
      <c r="D584" s="30"/>
    </row>
    <row r="585" spans="1:4" ht="15.75" customHeight="1" x14ac:dyDescent="0.3">
      <c r="A585" s="32"/>
      <c r="C585" s="30"/>
      <c r="D585" s="30"/>
    </row>
    <row r="586" spans="1:4" ht="15.75" customHeight="1" x14ac:dyDescent="0.3">
      <c r="A586" s="32"/>
      <c r="C586" s="30"/>
      <c r="D586" s="30"/>
    </row>
    <row r="587" spans="1:4" ht="15.75" customHeight="1" x14ac:dyDescent="0.3">
      <c r="A587" s="32"/>
      <c r="C587" s="30"/>
      <c r="D587" s="30"/>
    </row>
    <row r="588" spans="1:4" ht="15.75" customHeight="1" x14ac:dyDescent="0.3">
      <c r="A588" s="32"/>
      <c r="C588" s="30"/>
      <c r="D588" s="30"/>
    </row>
    <row r="589" spans="1:4" ht="15.75" customHeight="1" x14ac:dyDescent="0.3">
      <c r="A589" s="32"/>
      <c r="C589" s="30"/>
      <c r="D589" s="30"/>
    </row>
    <row r="590" spans="1:4" ht="15.75" customHeight="1" x14ac:dyDescent="0.3">
      <c r="A590" s="32"/>
      <c r="C590" s="30"/>
      <c r="D590" s="30"/>
    </row>
    <row r="591" spans="1:4" ht="15.75" customHeight="1" x14ac:dyDescent="0.3">
      <c r="A591" s="32"/>
      <c r="C591" s="30"/>
      <c r="D591" s="30"/>
    </row>
    <row r="592" spans="1:4" ht="15.75" customHeight="1" x14ac:dyDescent="0.3">
      <c r="A592" s="32"/>
      <c r="C592" s="30"/>
      <c r="D592" s="30"/>
    </row>
    <row r="593" spans="1:4" ht="15.75" customHeight="1" x14ac:dyDescent="0.3">
      <c r="A593" s="32"/>
      <c r="C593" s="30"/>
      <c r="D593" s="30"/>
    </row>
    <row r="594" spans="1:4" ht="15.75" customHeight="1" x14ac:dyDescent="0.3">
      <c r="A594" s="32"/>
      <c r="C594" s="30"/>
      <c r="D594" s="30"/>
    </row>
    <row r="595" spans="1:4" ht="15.75" customHeight="1" x14ac:dyDescent="0.3">
      <c r="A595" s="32"/>
      <c r="C595" s="30"/>
      <c r="D595" s="30"/>
    </row>
    <row r="596" spans="1:4" ht="15.75" customHeight="1" x14ac:dyDescent="0.3">
      <c r="A596" s="32"/>
      <c r="C596" s="30"/>
      <c r="D596" s="30"/>
    </row>
    <row r="597" spans="1:4" ht="15.75" customHeight="1" x14ac:dyDescent="0.3">
      <c r="A597" s="32"/>
      <c r="C597" s="30"/>
      <c r="D597" s="30"/>
    </row>
    <row r="598" spans="1:4" ht="15.75" customHeight="1" x14ac:dyDescent="0.3">
      <c r="A598" s="32"/>
      <c r="C598" s="30"/>
      <c r="D598" s="30"/>
    </row>
    <row r="599" spans="1:4" ht="15.75" customHeight="1" x14ac:dyDescent="0.3">
      <c r="A599" s="32"/>
      <c r="C599" s="30"/>
      <c r="D599" s="30"/>
    </row>
    <row r="600" spans="1:4" ht="15.75" customHeight="1" x14ac:dyDescent="0.3">
      <c r="A600" s="32"/>
      <c r="C600" s="30"/>
      <c r="D600" s="30"/>
    </row>
    <row r="601" spans="1:4" ht="15.75" customHeight="1" x14ac:dyDescent="0.3">
      <c r="A601" s="32"/>
      <c r="C601" s="30"/>
      <c r="D601" s="30"/>
    </row>
    <row r="602" spans="1:4" ht="15.75" customHeight="1" x14ac:dyDescent="0.3">
      <c r="A602" s="32"/>
      <c r="C602" s="30"/>
      <c r="D602" s="30"/>
    </row>
    <row r="603" spans="1:4" ht="15.75" customHeight="1" x14ac:dyDescent="0.3">
      <c r="A603" s="32"/>
      <c r="C603" s="30"/>
      <c r="D603" s="30"/>
    </row>
    <row r="604" spans="1:4" ht="15.75" customHeight="1" x14ac:dyDescent="0.3">
      <c r="A604" s="32"/>
      <c r="C604" s="30"/>
      <c r="D604" s="30"/>
    </row>
    <row r="605" spans="1:4" ht="15.75" customHeight="1" x14ac:dyDescent="0.3">
      <c r="A605" s="32"/>
      <c r="C605" s="30"/>
      <c r="D605" s="30"/>
    </row>
    <row r="606" spans="1:4" ht="15.75" customHeight="1" x14ac:dyDescent="0.3">
      <c r="A606" s="32"/>
      <c r="C606" s="30"/>
      <c r="D606" s="30"/>
    </row>
    <row r="607" spans="1:4" ht="15.75" customHeight="1" x14ac:dyDescent="0.3">
      <c r="A607" s="32"/>
      <c r="C607" s="30"/>
      <c r="D607" s="30"/>
    </row>
    <row r="608" spans="1:4" ht="15.75" customHeight="1" x14ac:dyDescent="0.3">
      <c r="A608" s="32"/>
      <c r="C608" s="30"/>
      <c r="D608" s="30"/>
    </row>
    <row r="609" spans="1:4" ht="15.75" customHeight="1" x14ac:dyDescent="0.3">
      <c r="A609" s="32"/>
      <c r="C609" s="30"/>
      <c r="D609" s="30"/>
    </row>
    <row r="610" spans="1:4" ht="15.75" customHeight="1" x14ac:dyDescent="0.3">
      <c r="A610" s="32"/>
      <c r="C610" s="30"/>
      <c r="D610" s="30"/>
    </row>
    <row r="611" spans="1:4" ht="15.75" customHeight="1" x14ac:dyDescent="0.3">
      <c r="A611" s="32"/>
      <c r="C611" s="30"/>
      <c r="D611" s="30"/>
    </row>
    <row r="612" spans="1:4" ht="15.75" customHeight="1" x14ac:dyDescent="0.3">
      <c r="A612" s="32"/>
      <c r="C612" s="30"/>
      <c r="D612" s="30"/>
    </row>
    <row r="613" spans="1:4" ht="15.75" customHeight="1" x14ac:dyDescent="0.3">
      <c r="A613" s="32"/>
      <c r="C613" s="30"/>
      <c r="D613" s="30"/>
    </row>
    <row r="614" spans="1:4" ht="15.75" customHeight="1" x14ac:dyDescent="0.3">
      <c r="A614" s="32"/>
      <c r="C614" s="30"/>
      <c r="D614" s="30"/>
    </row>
    <row r="615" spans="1:4" ht="15.75" customHeight="1" x14ac:dyDescent="0.3">
      <c r="A615" s="32"/>
      <c r="C615" s="30"/>
      <c r="D615" s="30"/>
    </row>
    <row r="616" spans="1:4" ht="15.75" customHeight="1" x14ac:dyDescent="0.3">
      <c r="A616" s="32"/>
      <c r="C616" s="30"/>
      <c r="D616" s="30"/>
    </row>
    <row r="617" spans="1:4" ht="15.75" customHeight="1" x14ac:dyDescent="0.3">
      <c r="A617" s="32"/>
      <c r="C617" s="30"/>
      <c r="D617" s="30"/>
    </row>
    <row r="618" spans="1:4" ht="15.75" customHeight="1" x14ac:dyDescent="0.3">
      <c r="A618" s="32"/>
      <c r="C618" s="30"/>
      <c r="D618" s="30"/>
    </row>
    <row r="619" spans="1:4" ht="15.75" customHeight="1" x14ac:dyDescent="0.3">
      <c r="A619" s="32"/>
      <c r="C619" s="30"/>
      <c r="D619" s="30"/>
    </row>
    <row r="620" spans="1:4" ht="15.75" customHeight="1" x14ac:dyDescent="0.3">
      <c r="A620" s="32"/>
      <c r="C620" s="30"/>
      <c r="D620" s="30"/>
    </row>
    <row r="621" spans="1:4" ht="15.75" customHeight="1" x14ac:dyDescent="0.3">
      <c r="A621" s="32"/>
      <c r="C621" s="30"/>
      <c r="D621" s="30"/>
    </row>
    <row r="622" spans="1:4" ht="15.75" customHeight="1" x14ac:dyDescent="0.3">
      <c r="A622" s="32"/>
      <c r="C622" s="30"/>
      <c r="D622" s="30"/>
    </row>
    <row r="623" spans="1:4" ht="15.75" customHeight="1" x14ac:dyDescent="0.3">
      <c r="A623" s="32"/>
      <c r="C623" s="30"/>
      <c r="D623" s="30"/>
    </row>
    <row r="624" spans="1:4" ht="15.75" customHeight="1" x14ac:dyDescent="0.3">
      <c r="A624" s="32"/>
      <c r="C624" s="30"/>
      <c r="D624" s="30"/>
    </row>
    <row r="625" spans="1:4" ht="15.75" customHeight="1" x14ac:dyDescent="0.3">
      <c r="A625" s="32"/>
      <c r="C625" s="30"/>
      <c r="D625" s="30"/>
    </row>
    <row r="626" spans="1:4" ht="15.75" customHeight="1" x14ac:dyDescent="0.3">
      <c r="A626" s="32"/>
      <c r="C626" s="30"/>
      <c r="D626" s="30"/>
    </row>
    <row r="627" spans="1:4" ht="15.75" customHeight="1" x14ac:dyDescent="0.3">
      <c r="A627" s="32"/>
      <c r="C627" s="30"/>
      <c r="D627" s="30"/>
    </row>
    <row r="628" spans="1:4" ht="15.75" customHeight="1" x14ac:dyDescent="0.3">
      <c r="A628" s="32"/>
      <c r="C628" s="30"/>
      <c r="D628" s="30"/>
    </row>
    <row r="629" spans="1:4" ht="15.75" customHeight="1" x14ac:dyDescent="0.3">
      <c r="A629" s="32"/>
      <c r="C629" s="30"/>
      <c r="D629" s="30"/>
    </row>
    <row r="630" spans="1:4" ht="15.75" customHeight="1" x14ac:dyDescent="0.3">
      <c r="A630" s="32"/>
      <c r="C630" s="30"/>
      <c r="D630" s="30"/>
    </row>
    <row r="631" spans="1:4" ht="15.75" customHeight="1" x14ac:dyDescent="0.3">
      <c r="A631" s="32"/>
      <c r="C631" s="30"/>
      <c r="D631" s="30"/>
    </row>
    <row r="632" spans="1:4" ht="15.75" customHeight="1" x14ac:dyDescent="0.3">
      <c r="A632" s="32"/>
      <c r="C632" s="30"/>
      <c r="D632" s="30"/>
    </row>
    <row r="633" spans="1:4" ht="15.75" customHeight="1" x14ac:dyDescent="0.3">
      <c r="A633" s="32"/>
      <c r="C633" s="30"/>
      <c r="D633" s="30"/>
    </row>
    <row r="634" spans="1:4" ht="15.75" customHeight="1" x14ac:dyDescent="0.3">
      <c r="A634" s="32"/>
      <c r="C634" s="30"/>
      <c r="D634" s="30"/>
    </row>
    <row r="635" spans="1:4" ht="15.75" customHeight="1" x14ac:dyDescent="0.3">
      <c r="A635" s="32"/>
      <c r="C635" s="30"/>
      <c r="D635" s="30"/>
    </row>
    <row r="636" spans="1:4" ht="15.75" customHeight="1" x14ac:dyDescent="0.3">
      <c r="A636" s="32"/>
      <c r="C636" s="30"/>
      <c r="D636" s="30"/>
    </row>
    <row r="637" spans="1:4" ht="15.75" customHeight="1" x14ac:dyDescent="0.3">
      <c r="A637" s="32"/>
      <c r="C637" s="30"/>
      <c r="D637" s="30"/>
    </row>
    <row r="638" spans="1:4" ht="15.75" customHeight="1" x14ac:dyDescent="0.3">
      <c r="A638" s="32"/>
      <c r="C638" s="30"/>
      <c r="D638" s="30"/>
    </row>
    <row r="639" spans="1:4" ht="15.75" customHeight="1" x14ac:dyDescent="0.3">
      <c r="A639" s="32"/>
      <c r="C639" s="30"/>
      <c r="D639" s="30"/>
    </row>
    <row r="640" spans="1:4" ht="15.75" customHeight="1" x14ac:dyDescent="0.3">
      <c r="A640" s="32"/>
      <c r="C640" s="30"/>
      <c r="D640" s="30"/>
    </row>
    <row r="641" spans="1:4" ht="15.75" customHeight="1" x14ac:dyDescent="0.3">
      <c r="A641" s="32"/>
      <c r="C641" s="30"/>
      <c r="D641" s="30"/>
    </row>
    <row r="642" spans="1:4" ht="15.75" customHeight="1" x14ac:dyDescent="0.3">
      <c r="A642" s="32"/>
      <c r="C642" s="30"/>
      <c r="D642" s="30"/>
    </row>
    <row r="643" spans="1:4" ht="15.75" customHeight="1" x14ac:dyDescent="0.3">
      <c r="A643" s="32"/>
      <c r="C643" s="30"/>
      <c r="D643" s="30"/>
    </row>
    <row r="644" spans="1:4" ht="15.75" customHeight="1" x14ac:dyDescent="0.3">
      <c r="A644" s="32"/>
      <c r="C644" s="30"/>
      <c r="D644" s="30"/>
    </row>
    <row r="645" spans="1:4" ht="15.75" customHeight="1" x14ac:dyDescent="0.3">
      <c r="A645" s="32"/>
      <c r="C645" s="30"/>
      <c r="D645" s="30"/>
    </row>
    <row r="646" spans="1:4" ht="15.75" customHeight="1" x14ac:dyDescent="0.3">
      <c r="A646" s="32"/>
      <c r="C646" s="30"/>
      <c r="D646" s="30"/>
    </row>
    <row r="647" spans="1:4" ht="15.75" customHeight="1" x14ac:dyDescent="0.3">
      <c r="A647" s="32"/>
      <c r="C647" s="30"/>
      <c r="D647" s="30"/>
    </row>
    <row r="648" spans="1:4" ht="15.75" customHeight="1" x14ac:dyDescent="0.3">
      <c r="A648" s="32"/>
      <c r="C648" s="30"/>
      <c r="D648" s="30"/>
    </row>
    <row r="649" spans="1:4" ht="15.75" customHeight="1" x14ac:dyDescent="0.3">
      <c r="A649" s="32"/>
      <c r="C649" s="30"/>
      <c r="D649" s="30"/>
    </row>
    <row r="650" spans="1:4" ht="15.75" customHeight="1" x14ac:dyDescent="0.3">
      <c r="A650" s="32"/>
      <c r="C650" s="30"/>
      <c r="D650" s="30"/>
    </row>
    <row r="651" spans="1:4" ht="15.75" customHeight="1" x14ac:dyDescent="0.3">
      <c r="A651" s="32"/>
      <c r="C651" s="30"/>
      <c r="D651" s="30"/>
    </row>
    <row r="652" spans="1:4" ht="15.75" customHeight="1" x14ac:dyDescent="0.3">
      <c r="A652" s="32"/>
      <c r="C652" s="30"/>
      <c r="D652" s="30"/>
    </row>
    <row r="653" spans="1:4" ht="15.75" customHeight="1" x14ac:dyDescent="0.3">
      <c r="A653" s="32"/>
      <c r="C653" s="30"/>
      <c r="D653" s="30"/>
    </row>
    <row r="654" spans="1:4" ht="15.75" customHeight="1" x14ac:dyDescent="0.3">
      <c r="A654" s="32"/>
      <c r="C654" s="30"/>
      <c r="D654" s="30"/>
    </row>
    <row r="655" spans="1:4" ht="15.75" customHeight="1" x14ac:dyDescent="0.3">
      <c r="A655" s="32"/>
      <c r="C655" s="30"/>
      <c r="D655" s="30"/>
    </row>
    <row r="656" spans="1:4" ht="15.75" customHeight="1" x14ac:dyDescent="0.3">
      <c r="A656" s="32"/>
      <c r="C656" s="30"/>
      <c r="D656" s="30"/>
    </row>
    <row r="657" spans="1:4" ht="15.75" customHeight="1" x14ac:dyDescent="0.3">
      <c r="A657" s="32"/>
      <c r="C657" s="30"/>
      <c r="D657" s="30"/>
    </row>
    <row r="658" spans="1:4" ht="15.75" customHeight="1" x14ac:dyDescent="0.3">
      <c r="A658" s="32"/>
      <c r="C658" s="30"/>
      <c r="D658" s="30"/>
    </row>
    <row r="659" spans="1:4" ht="15.75" customHeight="1" x14ac:dyDescent="0.3">
      <c r="A659" s="32"/>
      <c r="C659" s="30"/>
      <c r="D659" s="30"/>
    </row>
    <row r="660" spans="1:4" ht="15.75" customHeight="1" x14ac:dyDescent="0.3">
      <c r="A660" s="32"/>
      <c r="C660" s="30"/>
      <c r="D660" s="30"/>
    </row>
    <row r="661" spans="1:4" ht="15.75" customHeight="1" x14ac:dyDescent="0.3">
      <c r="A661" s="32"/>
      <c r="C661" s="30"/>
      <c r="D661" s="30"/>
    </row>
    <row r="662" spans="1:4" ht="15.75" customHeight="1" x14ac:dyDescent="0.3">
      <c r="A662" s="32"/>
      <c r="C662" s="30"/>
      <c r="D662" s="30"/>
    </row>
    <row r="663" spans="1:4" ht="15.75" customHeight="1" x14ac:dyDescent="0.3">
      <c r="A663" s="32"/>
      <c r="C663" s="30"/>
      <c r="D663" s="30"/>
    </row>
    <row r="664" spans="1:4" ht="15.75" customHeight="1" x14ac:dyDescent="0.3">
      <c r="A664" s="32"/>
      <c r="C664" s="30"/>
      <c r="D664" s="30"/>
    </row>
    <row r="665" spans="1:4" ht="15.75" customHeight="1" x14ac:dyDescent="0.3">
      <c r="A665" s="32"/>
      <c r="C665" s="30"/>
      <c r="D665" s="30"/>
    </row>
    <row r="666" spans="1:4" ht="15.75" customHeight="1" x14ac:dyDescent="0.3">
      <c r="A666" s="32"/>
      <c r="C666" s="30"/>
      <c r="D666" s="30"/>
    </row>
    <row r="667" spans="1:4" ht="15.75" customHeight="1" x14ac:dyDescent="0.3">
      <c r="A667" s="32"/>
      <c r="C667" s="30"/>
      <c r="D667" s="30"/>
    </row>
    <row r="668" spans="1:4" ht="15.75" customHeight="1" x14ac:dyDescent="0.3">
      <c r="A668" s="32"/>
      <c r="C668" s="30"/>
      <c r="D668" s="30"/>
    </row>
    <row r="669" spans="1:4" ht="15.75" customHeight="1" x14ac:dyDescent="0.3">
      <c r="A669" s="32"/>
      <c r="C669" s="30"/>
      <c r="D669" s="30"/>
    </row>
    <row r="670" spans="1:4" ht="15.75" customHeight="1" x14ac:dyDescent="0.3">
      <c r="A670" s="32"/>
      <c r="C670" s="30"/>
      <c r="D670" s="30"/>
    </row>
    <row r="671" spans="1:4" ht="15.75" customHeight="1" x14ac:dyDescent="0.3">
      <c r="A671" s="32"/>
      <c r="C671" s="30"/>
      <c r="D671" s="30"/>
    </row>
    <row r="672" spans="1:4" ht="15.75" customHeight="1" x14ac:dyDescent="0.3">
      <c r="A672" s="32"/>
      <c r="C672" s="30"/>
      <c r="D672" s="30"/>
    </row>
    <row r="673" spans="1:4" ht="15.75" customHeight="1" x14ac:dyDescent="0.3">
      <c r="A673" s="32"/>
      <c r="C673" s="30"/>
      <c r="D673" s="30"/>
    </row>
    <row r="674" spans="1:4" ht="15.75" customHeight="1" x14ac:dyDescent="0.3">
      <c r="A674" s="32"/>
      <c r="C674" s="30"/>
      <c r="D674" s="30"/>
    </row>
    <row r="675" spans="1:4" ht="15.75" customHeight="1" x14ac:dyDescent="0.3">
      <c r="A675" s="32"/>
      <c r="C675" s="30"/>
      <c r="D675" s="30"/>
    </row>
    <row r="676" spans="1:4" ht="15.75" customHeight="1" x14ac:dyDescent="0.3">
      <c r="A676" s="32"/>
      <c r="C676" s="30"/>
      <c r="D676" s="30"/>
    </row>
    <row r="677" spans="1:4" ht="15.75" customHeight="1" x14ac:dyDescent="0.3">
      <c r="A677" s="32"/>
      <c r="C677" s="30"/>
      <c r="D677" s="30"/>
    </row>
    <row r="678" spans="1:4" ht="15.75" customHeight="1" x14ac:dyDescent="0.3">
      <c r="A678" s="32"/>
      <c r="C678" s="30"/>
      <c r="D678" s="30"/>
    </row>
    <row r="679" spans="1:4" ht="15.75" customHeight="1" x14ac:dyDescent="0.3">
      <c r="A679" s="32"/>
      <c r="C679" s="30"/>
      <c r="D679" s="30"/>
    </row>
    <row r="680" spans="1:4" ht="15.75" customHeight="1" x14ac:dyDescent="0.3">
      <c r="A680" s="32"/>
      <c r="C680" s="30"/>
      <c r="D680" s="30"/>
    </row>
    <row r="681" spans="1:4" ht="15.75" customHeight="1" x14ac:dyDescent="0.3">
      <c r="A681" s="32"/>
      <c r="C681" s="30"/>
      <c r="D681" s="30"/>
    </row>
    <row r="682" spans="1:4" ht="15.75" customHeight="1" x14ac:dyDescent="0.3">
      <c r="A682" s="32"/>
      <c r="C682" s="30"/>
      <c r="D682" s="30"/>
    </row>
    <row r="683" spans="1:4" ht="15.75" customHeight="1" x14ac:dyDescent="0.3">
      <c r="A683" s="32"/>
      <c r="C683" s="30"/>
      <c r="D683" s="30"/>
    </row>
    <row r="684" spans="1:4" ht="15.75" customHeight="1" x14ac:dyDescent="0.3">
      <c r="A684" s="32"/>
      <c r="C684" s="30"/>
      <c r="D684" s="30"/>
    </row>
    <row r="685" spans="1:4" ht="15.75" customHeight="1" x14ac:dyDescent="0.3">
      <c r="A685" s="32"/>
      <c r="C685" s="30"/>
      <c r="D685" s="30"/>
    </row>
    <row r="686" spans="1:4" ht="15.75" customHeight="1" x14ac:dyDescent="0.3">
      <c r="A686" s="32"/>
      <c r="C686" s="30"/>
      <c r="D686" s="30"/>
    </row>
    <row r="687" spans="1:4" ht="15.75" customHeight="1" x14ac:dyDescent="0.3">
      <c r="A687" s="32"/>
      <c r="C687" s="30"/>
      <c r="D687" s="30"/>
    </row>
    <row r="688" spans="1:4" ht="15.75" customHeight="1" x14ac:dyDescent="0.3">
      <c r="A688" s="32"/>
      <c r="C688" s="30"/>
      <c r="D688" s="30"/>
    </row>
    <row r="689" spans="1:4" ht="15.75" customHeight="1" x14ac:dyDescent="0.3">
      <c r="A689" s="32"/>
      <c r="C689" s="30"/>
      <c r="D689" s="30"/>
    </row>
    <row r="690" spans="1:4" ht="15.75" customHeight="1" x14ac:dyDescent="0.3">
      <c r="A690" s="32"/>
      <c r="C690" s="30"/>
      <c r="D690" s="30"/>
    </row>
    <row r="691" spans="1:4" ht="15.75" customHeight="1" x14ac:dyDescent="0.3">
      <c r="A691" s="32"/>
      <c r="C691" s="30"/>
      <c r="D691" s="30"/>
    </row>
    <row r="692" spans="1:4" ht="15.75" customHeight="1" x14ac:dyDescent="0.3">
      <c r="A692" s="32"/>
      <c r="C692" s="30"/>
      <c r="D692" s="30"/>
    </row>
    <row r="693" spans="1:4" ht="15.75" customHeight="1" x14ac:dyDescent="0.3">
      <c r="A693" s="32"/>
      <c r="C693" s="30"/>
      <c r="D693" s="30"/>
    </row>
    <row r="694" spans="1:4" ht="15.75" customHeight="1" x14ac:dyDescent="0.3">
      <c r="A694" s="32"/>
      <c r="C694" s="30"/>
      <c r="D694" s="30"/>
    </row>
    <row r="695" spans="1:4" ht="15.75" customHeight="1" x14ac:dyDescent="0.3">
      <c r="A695" s="32"/>
      <c r="C695" s="30"/>
      <c r="D695" s="30"/>
    </row>
    <row r="696" spans="1:4" ht="15.75" customHeight="1" x14ac:dyDescent="0.3">
      <c r="A696" s="32"/>
      <c r="C696" s="30"/>
      <c r="D696" s="30"/>
    </row>
    <row r="697" spans="1:4" ht="15.75" customHeight="1" x14ac:dyDescent="0.3">
      <c r="A697" s="32"/>
      <c r="C697" s="30"/>
      <c r="D697" s="30"/>
    </row>
    <row r="698" spans="1:4" ht="15.75" customHeight="1" x14ac:dyDescent="0.3">
      <c r="A698" s="32"/>
      <c r="C698" s="30"/>
      <c r="D698" s="30"/>
    </row>
    <row r="699" spans="1:4" ht="15.75" customHeight="1" x14ac:dyDescent="0.3">
      <c r="A699" s="32"/>
      <c r="C699" s="30"/>
      <c r="D699" s="30"/>
    </row>
    <row r="700" spans="1:4" ht="15.75" customHeight="1" x14ac:dyDescent="0.3">
      <c r="A700" s="32"/>
      <c r="C700" s="30"/>
      <c r="D700" s="30"/>
    </row>
    <row r="701" spans="1:4" ht="15.75" customHeight="1" x14ac:dyDescent="0.3">
      <c r="A701" s="32"/>
      <c r="C701" s="30"/>
      <c r="D701" s="30"/>
    </row>
    <row r="702" spans="1:4" ht="15.75" customHeight="1" x14ac:dyDescent="0.3">
      <c r="A702" s="32"/>
      <c r="C702" s="30"/>
      <c r="D702" s="30"/>
    </row>
    <row r="703" spans="1:4" ht="15.75" customHeight="1" x14ac:dyDescent="0.3">
      <c r="A703" s="32"/>
      <c r="C703" s="30"/>
      <c r="D703" s="30"/>
    </row>
    <row r="704" spans="1:4" ht="15.75" customHeight="1" x14ac:dyDescent="0.3">
      <c r="A704" s="32"/>
      <c r="C704" s="30"/>
      <c r="D704" s="30"/>
    </row>
    <row r="705" spans="1:4" ht="15.75" customHeight="1" x14ac:dyDescent="0.3">
      <c r="A705" s="32"/>
      <c r="C705" s="30"/>
      <c r="D705" s="30"/>
    </row>
    <row r="706" spans="1:4" ht="15.75" customHeight="1" x14ac:dyDescent="0.3">
      <c r="A706" s="32"/>
      <c r="C706" s="30"/>
      <c r="D706" s="30"/>
    </row>
    <row r="707" spans="1:4" ht="15.75" customHeight="1" x14ac:dyDescent="0.3">
      <c r="A707" s="32"/>
      <c r="C707" s="30"/>
      <c r="D707" s="30"/>
    </row>
    <row r="708" spans="1:4" ht="15.75" customHeight="1" x14ac:dyDescent="0.3">
      <c r="A708" s="32"/>
      <c r="C708" s="30"/>
      <c r="D708" s="30"/>
    </row>
    <row r="709" spans="1:4" ht="15.75" customHeight="1" x14ac:dyDescent="0.3">
      <c r="A709" s="32"/>
      <c r="C709" s="30"/>
      <c r="D709" s="30"/>
    </row>
    <row r="710" spans="1:4" ht="15.75" customHeight="1" x14ac:dyDescent="0.3">
      <c r="A710" s="32"/>
      <c r="C710" s="30"/>
      <c r="D710" s="30"/>
    </row>
    <row r="711" spans="1:4" ht="15.75" customHeight="1" x14ac:dyDescent="0.3">
      <c r="A711" s="32"/>
      <c r="C711" s="30"/>
      <c r="D711" s="30"/>
    </row>
    <row r="712" spans="1:4" ht="15.75" customHeight="1" x14ac:dyDescent="0.3">
      <c r="A712" s="32"/>
      <c r="C712" s="30"/>
      <c r="D712" s="30"/>
    </row>
    <row r="713" spans="1:4" ht="15.75" customHeight="1" x14ac:dyDescent="0.3">
      <c r="A713" s="32"/>
      <c r="C713" s="30"/>
      <c r="D713" s="30"/>
    </row>
    <row r="714" spans="1:4" ht="15.75" customHeight="1" x14ac:dyDescent="0.3">
      <c r="A714" s="32"/>
      <c r="C714" s="30"/>
      <c r="D714" s="30"/>
    </row>
    <row r="715" spans="1:4" ht="15.75" customHeight="1" x14ac:dyDescent="0.3">
      <c r="A715" s="32"/>
      <c r="C715" s="30"/>
      <c r="D715" s="30"/>
    </row>
    <row r="716" spans="1:4" ht="15.75" customHeight="1" x14ac:dyDescent="0.3">
      <c r="A716" s="32"/>
      <c r="C716" s="30"/>
      <c r="D716" s="30"/>
    </row>
    <row r="717" spans="1:4" ht="15.75" customHeight="1" x14ac:dyDescent="0.3">
      <c r="A717" s="32"/>
      <c r="C717" s="30"/>
      <c r="D717" s="30"/>
    </row>
    <row r="718" spans="1:4" ht="15.75" customHeight="1" x14ac:dyDescent="0.3">
      <c r="A718" s="32"/>
      <c r="C718" s="30"/>
      <c r="D718" s="30"/>
    </row>
    <row r="719" spans="1:4" ht="15.75" customHeight="1" x14ac:dyDescent="0.3">
      <c r="A719" s="32"/>
      <c r="C719" s="30"/>
      <c r="D719" s="30"/>
    </row>
    <row r="720" spans="1:4" ht="15.75" customHeight="1" x14ac:dyDescent="0.3">
      <c r="A720" s="32"/>
      <c r="C720" s="30"/>
      <c r="D720" s="30"/>
    </row>
    <row r="721" spans="1:4" ht="15.75" customHeight="1" x14ac:dyDescent="0.3">
      <c r="A721" s="32"/>
      <c r="C721" s="30"/>
      <c r="D721" s="30"/>
    </row>
    <row r="722" spans="1:4" ht="15.75" customHeight="1" x14ac:dyDescent="0.3">
      <c r="A722" s="32"/>
      <c r="C722" s="30"/>
      <c r="D722" s="30"/>
    </row>
    <row r="723" spans="1:4" ht="15.75" customHeight="1" x14ac:dyDescent="0.3">
      <c r="A723" s="32"/>
      <c r="C723" s="30"/>
      <c r="D723" s="30"/>
    </row>
    <row r="724" spans="1:4" ht="15.75" customHeight="1" x14ac:dyDescent="0.3">
      <c r="A724" s="32"/>
      <c r="C724" s="30"/>
      <c r="D724" s="30"/>
    </row>
    <row r="725" spans="1:4" ht="15.75" customHeight="1" x14ac:dyDescent="0.3">
      <c r="A725" s="32"/>
      <c r="C725" s="30"/>
      <c r="D725" s="30"/>
    </row>
    <row r="726" spans="1:4" ht="15.75" customHeight="1" x14ac:dyDescent="0.3">
      <c r="A726" s="32"/>
      <c r="C726" s="30"/>
      <c r="D726" s="30"/>
    </row>
    <row r="727" spans="1:4" ht="15.75" customHeight="1" x14ac:dyDescent="0.3">
      <c r="A727" s="32"/>
      <c r="C727" s="30"/>
      <c r="D727" s="30"/>
    </row>
    <row r="728" spans="1:4" ht="15.75" customHeight="1" x14ac:dyDescent="0.3">
      <c r="A728" s="32"/>
      <c r="C728" s="30"/>
      <c r="D728" s="30"/>
    </row>
    <row r="729" spans="1:4" ht="15.75" customHeight="1" x14ac:dyDescent="0.3">
      <c r="A729" s="32"/>
      <c r="C729" s="30"/>
      <c r="D729" s="30"/>
    </row>
    <row r="730" spans="1:4" ht="15.75" customHeight="1" x14ac:dyDescent="0.3">
      <c r="A730" s="32"/>
      <c r="C730" s="30"/>
      <c r="D730" s="30"/>
    </row>
    <row r="731" spans="1:4" ht="15.75" customHeight="1" x14ac:dyDescent="0.3">
      <c r="A731" s="32"/>
      <c r="C731" s="30"/>
      <c r="D731" s="30"/>
    </row>
    <row r="732" spans="1:4" ht="15.75" customHeight="1" x14ac:dyDescent="0.3">
      <c r="A732" s="32"/>
      <c r="C732" s="30"/>
      <c r="D732" s="30"/>
    </row>
    <row r="733" spans="1:4" ht="15.75" customHeight="1" x14ac:dyDescent="0.3">
      <c r="A733" s="32"/>
      <c r="C733" s="30"/>
      <c r="D733" s="30"/>
    </row>
    <row r="734" spans="1:4" ht="15.75" customHeight="1" x14ac:dyDescent="0.3">
      <c r="A734" s="32"/>
      <c r="C734" s="30"/>
      <c r="D734" s="30"/>
    </row>
    <row r="735" spans="1:4" ht="15.75" customHeight="1" x14ac:dyDescent="0.3">
      <c r="A735" s="32"/>
      <c r="C735" s="30"/>
      <c r="D735" s="30"/>
    </row>
    <row r="736" spans="1:4" ht="15.75" customHeight="1" x14ac:dyDescent="0.3">
      <c r="A736" s="32"/>
      <c r="C736" s="30"/>
      <c r="D736" s="30"/>
    </row>
    <row r="737" spans="1:4" ht="15.75" customHeight="1" x14ac:dyDescent="0.3">
      <c r="A737" s="32"/>
      <c r="C737" s="30"/>
      <c r="D737" s="30"/>
    </row>
    <row r="738" spans="1:4" ht="15.75" customHeight="1" x14ac:dyDescent="0.3">
      <c r="A738" s="32"/>
      <c r="C738" s="30"/>
      <c r="D738" s="30"/>
    </row>
    <row r="739" spans="1:4" ht="15.75" customHeight="1" x14ac:dyDescent="0.3">
      <c r="A739" s="32"/>
      <c r="C739" s="30"/>
      <c r="D739" s="30"/>
    </row>
    <row r="740" spans="1:4" ht="15.75" customHeight="1" x14ac:dyDescent="0.3">
      <c r="A740" s="32"/>
      <c r="C740" s="30"/>
      <c r="D740" s="30"/>
    </row>
    <row r="741" spans="1:4" ht="15.75" customHeight="1" x14ac:dyDescent="0.3">
      <c r="A741" s="32"/>
      <c r="C741" s="30"/>
      <c r="D741" s="30"/>
    </row>
    <row r="742" spans="1:4" ht="15.75" customHeight="1" x14ac:dyDescent="0.3">
      <c r="A742" s="32"/>
      <c r="C742" s="30"/>
      <c r="D742" s="30"/>
    </row>
    <row r="743" spans="1:4" ht="15.75" customHeight="1" x14ac:dyDescent="0.3">
      <c r="A743" s="32"/>
      <c r="C743" s="30"/>
      <c r="D743" s="30"/>
    </row>
    <row r="744" spans="1:4" ht="15.75" customHeight="1" x14ac:dyDescent="0.3">
      <c r="A744" s="32"/>
      <c r="C744" s="30"/>
      <c r="D744" s="30"/>
    </row>
    <row r="745" spans="1:4" ht="15.75" customHeight="1" x14ac:dyDescent="0.3">
      <c r="A745" s="32"/>
      <c r="C745" s="30"/>
      <c r="D745" s="30"/>
    </row>
    <row r="746" spans="1:4" ht="15.75" customHeight="1" x14ac:dyDescent="0.3">
      <c r="A746" s="32"/>
      <c r="C746" s="30"/>
      <c r="D746" s="30"/>
    </row>
    <row r="747" spans="1:4" ht="15.75" customHeight="1" x14ac:dyDescent="0.3">
      <c r="A747" s="32"/>
      <c r="C747" s="30"/>
      <c r="D747" s="30"/>
    </row>
    <row r="748" spans="1:4" ht="15.75" customHeight="1" x14ac:dyDescent="0.3">
      <c r="A748" s="32"/>
      <c r="C748" s="30"/>
      <c r="D748" s="30"/>
    </row>
    <row r="749" spans="1:4" ht="15.75" customHeight="1" x14ac:dyDescent="0.3">
      <c r="A749" s="32"/>
      <c r="C749" s="30"/>
      <c r="D749" s="30"/>
    </row>
    <row r="750" spans="1:4" ht="15.75" customHeight="1" x14ac:dyDescent="0.3">
      <c r="A750" s="32"/>
      <c r="C750" s="30"/>
      <c r="D750" s="30"/>
    </row>
    <row r="751" spans="1:4" ht="15.75" customHeight="1" x14ac:dyDescent="0.3">
      <c r="A751" s="32"/>
      <c r="C751" s="30"/>
      <c r="D751" s="30"/>
    </row>
    <row r="752" spans="1:4" ht="15.75" customHeight="1" x14ac:dyDescent="0.3">
      <c r="A752" s="32"/>
      <c r="C752" s="30"/>
      <c r="D752" s="30"/>
    </row>
    <row r="753" spans="1:4" ht="15.75" customHeight="1" x14ac:dyDescent="0.3">
      <c r="A753" s="32"/>
      <c r="C753" s="30"/>
      <c r="D753" s="30"/>
    </row>
    <row r="754" spans="1:4" ht="15.75" customHeight="1" x14ac:dyDescent="0.3">
      <c r="A754" s="32"/>
      <c r="C754" s="30"/>
      <c r="D754" s="30"/>
    </row>
    <row r="755" spans="1:4" ht="15.75" customHeight="1" x14ac:dyDescent="0.3">
      <c r="A755" s="32"/>
      <c r="C755" s="30"/>
      <c r="D755" s="30"/>
    </row>
    <row r="756" spans="1:4" ht="15.75" customHeight="1" x14ac:dyDescent="0.3">
      <c r="A756" s="32"/>
      <c r="C756" s="30"/>
      <c r="D756" s="30"/>
    </row>
    <row r="757" spans="1:4" ht="15.75" customHeight="1" x14ac:dyDescent="0.3">
      <c r="A757" s="32"/>
      <c r="C757" s="30"/>
      <c r="D757" s="30"/>
    </row>
    <row r="758" spans="1:4" ht="15.75" customHeight="1" x14ac:dyDescent="0.3">
      <c r="A758" s="32"/>
      <c r="C758" s="30"/>
      <c r="D758" s="30"/>
    </row>
    <row r="759" spans="1:4" ht="15.75" customHeight="1" x14ac:dyDescent="0.3">
      <c r="A759" s="32"/>
      <c r="C759" s="30"/>
      <c r="D759" s="30"/>
    </row>
    <row r="760" spans="1:4" ht="15.75" customHeight="1" x14ac:dyDescent="0.3">
      <c r="A760" s="32"/>
      <c r="C760" s="30"/>
      <c r="D760" s="30"/>
    </row>
    <row r="761" spans="1:4" ht="15.75" customHeight="1" x14ac:dyDescent="0.3">
      <c r="A761" s="32"/>
      <c r="C761" s="30"/>
      <c r="D761" s="30"/>
    </row>
    <row r="762" spans="1:4" ht="15.75" customHeight="1" x14ac:dyDescent="0.3">
      <c r="A762" s="32"/>
      <c r="C762" s="30"/>
      <c r="D762" s="30"/>
    </row>
    <row r="763" spans="1:4" ht="15.75" customHeight="1" x14ac:dyDescent="0.3">
      <c r="A763" s="32"/>
      <c r="C763" s="30"/>
      <c r="D763" s="30"/>
    </row>
    <row r="764" spans="1:4" ht="15.75" customHeight="1" x14ac:dyDescent="0.3">
      <c r="A764" s="32"/>
      <c r="C764" s="30"/>
      <c r="D764" s="30"/>
    </row>
    <row r="765" spans="1:4" ht="15.75" customHeight="1" x14ac:dyDescent="0.3">
      <c r="A765" s="32"/>
      <c r="C765" s="30"/>
      <c r="D765" s="30"/>
    </row>
    <row r="766" spans="1:4" ht="15.75" customHeight="1" x14ac:dyDescent="0.3">
      <c r="A766" s="32"/>
      <c r="C766" s="30"/>
      <c r="D766" s="30"/>
    </row>
    <row r="767" spans="1:4" ht="15.75" customHeight="1" x14ac:dyDescent="0.3">
      <c r="A767" s="32"/>
      <c r="C767" s="30"/>
      <c r="D767" s="30"/>
    </row>
    <row r="768" spans="1:4" ht="15.75" customHeight="1" x14ac:dyDescent="0.3">
      <c r="A768" s="32"/>
      <c r="C768" s="30"/>
      <c r="D768" s="30"/>
    </row>
    <row r="769" spans="1:4" ht="15.75" customHeight="1" x14ac:dyDescent="0.3">
      <c r="A769" s="32"/>
      <c r="C769" s="30"/>
      <c r="D769" s="30"/>
    </row>
    <row r="770" spans="1:4" ht="15.75" customHeight="1" x14ac:dyDescent="0.3">
      <c r="A770" s="32"/>
      <c r="C770" s="30"/>
      <c r="D770" s="30"/>
    </row>
    <row r="771" spans="1:4" ht="15.75" customHeight="1" x14ac:dyDescent="0.3">
      <c r="A771" s="32"/>
      <c r="C771" s="30"/>
      <c r="D771" s="30"/>
    </row>
    <row r="772" spans="1:4" ht="15.75" customHeight="1" x14ac:dyDescent="0.3">
      <c r="A772" s="32"/>
      <c r="C772" s="30"/>
      <c r="D772" s="30"/>
    </row>
    <row r="773" spans="1:4" ht="15.75" customHeight="1" x14ac:dyDescent="0.3">
      <c r="A773" s="32"/>
      <c r="C773" s="30"/>
      <c r="D773" s="30"/>
    </row>
    <row r="774" spans="1:4" ht="15.75" customHeight="1" x14ac:dyDescent="0.3">
      <c r="A774" s="32"/>
      <c r="C774" s="30"/>
      <c r="D774" s="30"/>
    </row>
    <row r="775" spans="1:4" ht="15.75" customHeight="1" x14ac:dyDescent="0.3">
      <c r="A775" s="32"/>
      <c r="C775" s="30"/>
      <c r="D775" s="30"/>
    </row>
    <row r="776" spans="1:4" ht="15.75" customHeight="1" x14ac:dyDescent="0.3">
      <c r="A776" s="32"/>
      <c r="C776" s="30"/>
      <c r="D776" s="30"/>
    </row>
    <row r="777" spans="1:4" ht="15.75" customHeight="1" x14ac:dyDescent="0.3">
      <c r="A777" s="32"/>
      <c r="C777" s="30"/>
      <c r="D777" s="30"/>
    </row>
    <row r="778" spans="1:4" ht="15.75" customHeight="1" x14ac:dyDescent="0.3">
      <c r="A778" s="32"/>
      <c r="C778" s="30"/>
      <c r="D778" s="30"/>
    </row>
    <row r="779" spans="1:4" ht="15.75" customHeight="1" x14ac:dyDescent="0.3">
      <c r="A779" s="32"/>
      <c r="C779" s="30"/>
      <c r="D779" s="30"/>
    </row>
    <row r="780" spans="1:4" ht="15.75" customHeight="1" x14ac:dyDescent="0.3">
      <c r="A780" s="32"/>
      <c r="C780" s="30"/>
      <c r="D780" s="30"/>
    </row>
    <row r="781" spans="1:4" ht="15.75" customHeight="1" x14ac:dyDescent="0.3">
      <c r="A781" s="32"/>
      <c r="C781" s="30"/>
      <c r="D781" s="30"/>
    </row>
    <row r="782" spans="1:4" ht="15.75" customHeight="1" x14ac:dyDescent="0.3">
      <c r="A782" s="32"/>
      <c r="C782" s="30"/>
      <c r="D782" s="30"/>
    </row>
    <row r="783" spans="1:4" ht="15.75" customHeight="1" x14ac:dyDescent="0.3">
      <c r="A783" s="32"/>
      <c r="C783" s="30"/>
      <c r="D783" s="30"/>
    </row>
    <row r="784" spans="1:4" ht="15.75" customHeight="1" x14ac:dyDescent="0.3">
      <c r="A784" s="32"/>
      <c r="C784" s="30"/>
      <c r="D784" s="30"/>
    </row>
    <row r="785" spans="1:4" ht="15.75" customHeight="1" x14ac:dyDescent="0.3">
      <c r="A785" s="32"/>
      <c r="C785" s="30"/>
      <c r="D785" s="30"/>
    </row>
    <row r="786" spans="1:4" ht="15.75" customHeight="1" x14ac:dyDescent="0.3">
      <c r="A786" s="32"/>
      <c r="C786" s="30"/>
      <c r="D786" s="30"/>
    </row>
    <row r="787" spans="1:4" ht="15.75" customHeight="1" x14ac:dyDescent="0.3">
      <c r="A787" s="32"/>
      <c r="C787" s="30"/>
      <c r="D787" s="30"/>
    </row>
    <row r="788" spans="1:4" ht="15.75" customHeight="1" x14ac:dyDescent="0.3">
      <c r="A788" s="32"/>
      <c r="C788" s="30"/>
      <c r="D788" s="30"/>
    </row>
    <row r="789" spans="1:4" ht="15.75" customHeight="1" x14ac:dyDescent="0.3">
      <c r="A789" s="32"/>
      <c r="C789" s="30"/>
      <c r="D789" s="30"/>
    </row>
    <row r="790" spans="1:4" ht="15.75" customHeight="1" x14ac:dyDescent="0.3">
      <c r="A790" s="32"/>
      <c r="C790" s="30"/>
      <c r="D790" s="30"/>
    </row>
    <row r="791" spans="1:4" ht="15.75" customHeight="1" x14ac:dyDescent="0.3">
      <c r="A791" s="32"/>
      <c r="C791" s="30"/>
      <c r="D791" s="30"/>
    </row>
    <row r="792" spans="1:4" ht="15.75" customHeight="1" x14ac:dyDescent="0.3">
      <c r="A792" s="32"/>
      <c r="C792" s="30"/>
      <c r="D792" s="30"/>
    </row>
    <row r="793" spans="1:4" ht="15.75" customHeight="1" x14ac:dyDescent="0.3">
      <c r="A793" s="32"/>
      <c r="C793" s="30"/>
      <c r="D793" s="30"/>
    </row>
    <row r="794" spans="1:4" ht="15.75" customHeight="1" x14ac:dyDescent="0.3">
      <c r="A794" s="32"/>
      <c r="C794" s="30"/>
      <c r="D794" s="30"/>
    </row>
    <row r="795" spans="1:4" ht="15.75" customHeight="1" x14ac:dyDescent="0.3">
      <c r="A795" s="32"/>
      <c r="C795" s="30"/>
      <c r="D795" s="30"/>
    </row>
    <row r="796" spans="1:4" ht="15.75" customHeight="1" x14ac:dyDescent="0.3">
      <c r="A796" s="32"/>
      <c r="C796" s="30"/>
      <c r="D796" s="30"/>
    </row>
    <row r="797" spans="1:4" ht="15.75" customHeight="1" x14ac:dyDescent="0.3">
      <c r="A797" s="32"/>
      <c r="C797" s="30"/>
      <c r="D797" s="30"/>
    </row>
    <row r="798" spans="1:4" ht="15.75" customHeight="1" x14ac:dyDescent="0.3">
      <c r="A798" s="32"/>
      <c r="C798" s="30"/>
      <c r="D798" s="30"/>
    </row>
    <row r="799" spans="1:4" ht="15.75" customHeight="1" x14ac:dyDescent="0.3">
      <c r="A799" s="32"/>
      <c r="C799" s="30"/>
      <c r="D799" s="30"/>
    </row>
    <row r="800" spans="1:4" ht="15.75" customHeight="1" x14ac:dyDescent="0.3">
      <c r="A800" s="32"/>
      <c r="C800" s="30"/>
      <c r="D800" s="30"/>
    </row>
    <row r="801" spans="1:4" ht="15.75" customHeight="1" x14ac:dyDescent="0.3">
      <c r="A801" s="32"/>
      <c r="C801" s="30"/>
      <c r="D801" s="30"/>
    </row>
    <row r="802" spans="1:4" ht="15.75" customHeight="1" x14ac:dyDescent="0.3">
      <c r="A802" s="32"/>
      <c r="C802" s="30"/>
      <c r="D802" s="30"/>
    </row>
    <row r="803" spans="1:4" ht="15.75" customHeight="1" x14ac:dyDescent="0.3">
      <c r="A803" s="32"/>
      <c r="C803" s="30"/>
      <c r="D803" s="30"/>
    </row>
    <row r="804" spans="1:4" ht="15.75" customHeight="1" x14ac:dyDescent="0.3">
      <c r="A804" s="32"/>
      <c r="C804" s="30"/>
      <c r="D804" s="30"/>
    </row>
    <row r="805" spans="1:4" ht="15.75" customHeight="1" x14ac:dyDescent="0.3">
      <c r="A805" s="32"/>
      <c r="C805" s="30"/>
      <c r="D805" s="30"/>
    </row>
    <row r="806" spans="1:4" ht="15.75" customHeight="1" x14ac:dyDescent="0.3">
      <c r="A806" s="32"/>
      <c r="C806" s="30"/>
      <c r="D806" s="30"/>
    </row>
    <row r="807" spans="1:4" ht="15.75" customHeight="1" x14ac:dyDescent="0.3">
      <c r="A807" s="32"/>
      <c r="C807" s="30"/>
      <c r="D807" s="30"/>
    </row>
    <row r="808" spans="1:4" ht="15.75" customHeight="1" x14ac:dyDescent="0.3">
      <c r="A808" s="32"/>
      <c r="C808" s="30"/>
      <c r="D808" s="30"/>
    </row>
    <row r="809" spans="1:4" ht="15.75" customHeight="1" x14ac:dyDescent="0.3">
      <c r="A809" s="32"/>
      <c r="C809" s="30"/>
      <c r="D809" s="30"/>
    </row>
    <row r="810" spans="1:4" ht="15.75" customHeight="1" x14ac:dyDescent="0.3">
      <c r="A810" s="32"/>
      <c r="C810" s="30"/>
      <c r="D810" s="30"/>
    </row>
    <row r="811" spans="1:4" ht="15.75" customHeight="1" x14ac:dyDescent="0.3">
      <c r="A811" s="32"/>
      <c r="C811" s="30"/>
      <c r="D811" s="30"/>
    </row>
    <row r="812" spans="1:4" ht="15.75" customHeight="1" x14ac:dyDescent="0.3">
      <c r="A812" s="32"/>
      <c r="C812" s="30"/>
      <c r="D812" s="30"/>
    </row>
    <row r="813" spans="1:4" ht="15.75" customHeight="1" x14ac:dyDescent="0.3">
      <c r="A813" s="32"/>
      <c r="C813" s="30"/>
      <c r="D813" s="30"/>
    </row>
    <row r="814" spans="1:4" ht="15.75" customHeight="1" x14ac:dyDescent="0.3">
      <c r="A814" s="32"/>
      <c r="C814" s="30"/>
      <c r="D814" s="30"/>
    </row>
    <row r="815" spans="1:4" ht="15.75" customHeight="1" x14ac:dyDescent="0.3">
      <c r="A815" s="32"/>
      <c r="C815" s="30"/>
      <c r="D815" s="30"/>
    </row>
    <row r="816" spans="1:4" ht="15.75" customHeight="1" x14ac:dyDescent="0.3">
      <c r="A816" s="32"/>
      <c r="C816" s="30"/>
      <c r="D816" s="30"/>
    </row>
    <row r="817" spans="1:4" ht="15.75" customHeight="1" x14ac:dyDescent="0.3">
      <c r="A817" s="32"/>
      <c r="C817" s="30"/>
      <c r="D817" s="30"/>
    </row>
    <row r="818" spans="1:4" ht="15.75" customHeight="1" x14ac:dyDescent="0.3">
      <c r="A818" s="32"/>
      <c r="C818" s="30"/>
      <c r="D818" s="30"/>
    </row>
    <row r="819" spans="1:4" ht="15.75" customHeight="1" x14ac:dyDescent="0.3">
      <c r="A819" s="32"/>
      <c r="C819" s="30"/>
      <c r="D819" s="30"/>
    </row>
    <row r="820" spans="1:4" ht="15.75" customHeight="1" x14ac:dyDescent="0.3">
      <c r="A820" s="32"/>
      <c r="C820" s="30"/>
      <c r="D820" s="30"/>
    </row>
    <row r="821" spans="1:4" ht="15.75" customHeight="1" x14ac:dyDescent="0.3">
      <c r="A821" s="32"/>
      <c r="C821" s="30"/>
      <c r="D821" s="30"/>
    </row>
    <row r="822" spans="1:4" ht="15.75" customHeight="1" x14ac:dyDescent="0.3">
      <c r="A822" s="32"/>
      <c r="C822" s="30"/>
      <c r="D822" s="30"/>
    </row>
    <row r="823" spans="1:4" ht="15.75" customHeight="1" x14ac:dyDescent="0.3">
      <c r="A823" s="32"/>
      <c r="C823" s="30"/>
      <c r="D823" s="30"/>
    </row>
    <row r="824" spans="1:4" ht="15.75" customHeight="1" x14ac:dyDescent="0.3">
      <c r="A824" s="32"/>
      <c r="C824" s="30"/>
      <c r="D824" s="30"/>
    </row>
    <row r="825" spans="1:4" ht="15.75" customHeight="1" x14ac:dyDescent="0.3">
      <c r="A825" s="32"/>
      <c r="C825" s="30"/>
      <c r="D825" s="30"/>
    </row>
    <row r="826" spans="1:4" ht="15.75" customHeight="1" x14ac:dyDescent="0.3">
      <c r="A826" s="32"/>
      <c r="C826" s="30"/>
      <c r="D826" s="30"/>
    </row>
    <row r="827" spans="1:4" ht="15.75" customHeight="1" x14ac:dyDescent="0.3">
      <c r="A827" s="32"/>
      <c r="C827" s="30"/>
      <c r="D827" s="30"/>
    </row>
    <row r="828" spans="1:4" ht="15.75" customHeight="1" x14ac:dyDescent="0.3">
      <c r="A828" s="32"/>
      <c r="C828" s="30"/>
      <c r="D828" s="30"/>
    </row>
    <row r="829" spans="1:4" ht="15.75" customHeight="1" x14ac:dyDescent="0.3">
      <c r="A829" s="32"/>
      <c r="C829" s="30"/>
      <c r="D829" s="30"/>
    </row>
    <row r="830" spans="1:4" ht="15.75" customHeight="1" x14ac:dyDescent="0.3">
      <c r="A830" s="32"/>
      <c r="C830" s="30"/>
      <c r="D830" s="30"/>
    </row>
    <row r="831" spans="1:4" ht="15.75" customHeight="1" x14ac:dyDescent="0.3">
      <c r="A831" s="32"/>
      <c r="C831" s="30"/>
      <c r="D831" s="30"/>
    </row>
    <row r="832" spans="1:4" ht="15.75" customHeight="1" x14ac:dyDescent="0.3">
      <c r="A832" s="32"/>
      <c r="C832" s="30"/>
      <c r="D832" s="30"/>
    </row>
    <row r="833" spans="1:4" ht="15.75" customHeight="1" x14ac:dyDescent="0.3">
      <c r="A833" s="32"/>
      <c r="C833" s="30"/>
      <c r="D833" s="30"/>
    </row>
    <row r="834" spans="1:4" ht="15.75" customHeight="1" x14ac:dyDescent="0.3">
      <c r="A834" s="32"/>
      <c r="C834" s="30"/>
      <c r="D834" s="30"/>
    </row>
    <row r="835" spans="1:4" ht="15.75" customHeight="1" x14ac:dyDescent="0.3">
      <c r="A835" s="32"/>
      <c r="C835" s="30"/>
      <c r="D835" s="30"/>
    </row>
    <row r="836" spans="1:4" ht="15.75" customHeight="1" x14ac:dyDescent="0.3">
      <c r="A836" s="32"/>
      <c r="C836" s="30"/>
      <c r="D836" s="30"/>
    </row>
    <row r="837" spans="1:4" ht="15.75" customHeight="1" x14ac:dyDescent="0.3">
      <c r="A837" s="32"/>
      <c r="C837" s="30"/>
      <c r="D837" s="30"/>
    </row>
    <row r="838" spans="1:4" ht="15.75" customHeight="1" x14ac:dyDescent="0.3">
      <c r="A838" s="32"/>
      <c r="C838" s="30"/>
      <c r="D838" s="30"/>
    </row>
    <row r="839" spans="1:4" ht="15.75" customHeight="1" x14ac:dyDescent="0.3">
      <c r="A839" s="32"/>
      <c r="C839" s="30"/>
      <c r="D839" s="30"/>
    </row>
    <row r="840" spans="1:4" ht="15.75" customHeight="1" x14ac:dyDescent="0.3">
      <c r="A840" s="32"/>
      <c r="C840" s="30"/>
      <c r="D840" s="30"/>
    </row>
    <row r="841" spans="1:4" ht="15.75" customHeight="1" x14ac:dyDescent="0.3">
      <c r="A841" s="32"/>
      <c r="C841" s="30"/>
      <c r="D841" s="30"/>
    </row>
    <row r="842" spans="1:4" ht="15.75" customHeight="1" x14ac:dyDescent="0.3">
      <c r="A842" s="32"/>
      <c r="C842" s="30"/>
      <c r="D842" s="30"/>
    </row>
    <row r="843" spans="1:4" ht="15.75" customHeight="1" x14ac:dyDescent="0.3">
      <c r="A843" s="32"/>
      <c r="C843" s="30"/>
      <c r="D843" s="30"/>
    </row>
    <row r="844" spans="1:4" ht="15.75" customHeight="1" x14ac:dyDescent="0.3">
      <c r="A844" s="32"/>
      <c r="C844" s="30"/>
      <c r="D844" s="30"/>
    </row>
    <row r="845" spans="1:4" ht="15.75" customHeight="1" x14ac:dyDescent="0.3">
      <c r="A845" s="32"/>
      <c r="C845" s="30"/>
      <c r="D845" s="30"/>
    </row>
    <row r="846" spans="1:4" ht="15.75" customHeight="1" x14ac:dyDescent="0.3">
      <c r="A846" s="32"/>
      <c r="C846" s="30"/>
      <c r="D846" s="30"/>
    </row>
    <row r="847" spans="1:4" ht="15.75" customHeight="1" x14ac:dyDescent="0.3">
      <c r="A847" s="32"/>
      <c r="C847" s="30"/>
      <c r="D847" s="30"/>
    </row>
    <row r="848" spans="1:4" ht="15.75" customHeight="1" x14ac:dyDescent="0.3">
      <c r="A848" s="32"/>
      <c r="C848" s="30"/>
      <c r="D848" s="30"/>
    </row>
    <row r="849" spans="1:4" ht="15.75" customHeight="1" x14ac:dyDescent="0.3">
      <c r="A849" s="32"/>
      <c r="C849" s="30"/>
      <c r="D849" s="30"/>
    </row>
    <row r="850" spans="1:4" ht="15.75" customHeight="1" x14ac:dyDescent="0.3">
      <c r="A850" s="32"/>
      <c r="C850" s="30"/>
      <c r="D850" s="30"/>
    </row>
    <row r="851" spans="1:4" ht="15.75" customHeight="1" x14ac:dyDescent="0.3">
      <c r="A851" s="32"/>
      <c r="C851" s="30"/>
      <c r="D851" s="30"/>
    </row>
    <row r="852" spans="1:4" ht="15.75" customHeight="1" x14ac:dyDescent="0.3">
      <c r="A852" s="32"/>
      <c r="C852" s="30"/>
      <c r="D852" s="30"/>
    </row>
    <row r="853" spans="1:4" ht="15.75" customHeight="1" x14ac:dyDescent="0.3">
      <c r="A853" s="32"/>
      <c r="C853" s="30"/>
      <c r="D853" s="30"/>
    </row>
    <row r="854" spans="1:4" ht="15.75" customHeight="1" x14ac:dyDescent="0.3">
      <c r="A854" s="32"/>
      <c r="C854" s="30"/>
      <c r="D854" s="30"/>
    </row>
    <row r="855" spans="1:4" ht="15.75" customHeight="1" x14ac:dyDescent="0.3">
      <c r="A855" s="32"/>
      <c r="C855" s="30"/>
      <c r="D855" s="30"/>
    </row>
    <row r="856" spans="1:4" ht="15.75" customHeight="1" x14ac:dyDescent="0.3">
      <c r="A856" s="32"/>
      <c r="C856" s="30"/>
      <c r="D856" s="30"/>
    </row>
    <row r="857" spans="1:4" ht="15.75" customHeight="1" x14ac:dyDescent="0.3">
      <c r="A857" s="32"/>
      <c r="C857" s="30"/>
      <c r="D857" s="30"/>
    </row>
    <row r="858" spans="1:4" ht="15.75" customHeight="1" x14ac:dyDescent="0.3">
      <c r="A858" s="32"/>
      <c r="C858" s="30"/>
      <c r="D858" s="30"/>
    </row>
    <row r="859" spans="1:4" ht="15.75" customHeight="1" x14ac:dyDescent="0.3">
      <c r="A859" s="32"/>
      <c r="C859" s="30"/>
      <c r="D859" s="30"/>
    </row>
    <row r="860" spans="1:4" ht="15.75" customHeight="1" x14ac:dyDescent="0.3">
      <c r="A860" s="32"/>
      <c r="C860" s="30"/>
      <c r="D860" s="30"/>
    </row>
    <row r="861" spans="1:4" ht="15.75" customHeight="1" x14ac:dyDescent="0.3">
      <c r="A861" s="32"/>
      <c r="C861" s="30"/>
      <c r="D861" s="30"/>
    </row>
    <row r="862" spans="1:4" ht="15.75" customHeight="1" x14ac:dyDescent="0.3">
      <c r="A862" s="32"/>
      <c r="C862" s="30"/>
      <c r="D862" s="30"/>
    </row>
    <row r="863" spans="1:4" ht="15.75" customHeight="1" x14ac:dyDescent="0.3">
      <c r="A863" s="32"/>
      <c r="C863" s="30"/>
      <c r="D863" s="30"/>
    </row>
    <row r="864" spans="1:4" ht="15.75" customHeight="1" x14ac:dyDescent="0.3">
      <c r="A864" s="32"/>
      <c r="C864" s="30"/>
      <c r="D864" s="30"/>
    </row>
    <row r="865" spans="1:4" ht="15.75" customHeight="1" x14ac:dyDescent="0.3">
      <c r="A865" s="32"/>
      <c r="C865" s="30"/>
      <c r="D865" s="30"/>
    </row>
    <row r="866" spans="1:4" ht="15.75" customHeight="1" x14ac:dyDescent="0.3">
      <c r="A866" s="32"/>
      <c r="C866" s="30"/>
      <c r="D866" s="30"/>
    </row>
    <row r="867" spans="1:4" ht="15.75" customHeight="1" x14ac:dyDescent="0.3">
      <c r="A867" s="32"/>
      <c r="C867" s="30"/>
      <c r="D867" s="30"/>
    </row>
    <row r="868" spans="1:4" ht="15.75" customHeight="1" x14ac:dyDescent="0.3">
      <c r="A868" s="32"/>
      <c r="C868" s="30"/>
      <c r="D868" s="30"/>
    </row>
    <row r="869" spans="1:4" ht="15.75" customHeight="1" x14ac:dyDescent="0.3">
      <c r="A869" s="32"/>
      <c r="C869" s="30"/>
      <c r="D869" s="30"/>
    </row>
    <row r="870" spans="1:4" ht="15.75" customHeight="1" x14ac:dyDescent="0.3">
      <c r="A870" s="32"/>
      <c r="C870" s="30"/>
      <c r="D870" s="30"/>
    </row>
    <row r="871" spans="1:4" ht="15.75" customHeight="1" x14ac:dyDescent="0.3">
      <c r="A871" s="32"/>
      <c r="C871" s="30"/>
      <c r="D871" s="30"/>
    </row>
    <row r="872" spans="1:4" ht="15.75" customHeight="1" x14ac:dyDescent="0.3">
      <c r="A872" s="32"/>
      <c r="C872" s="30"/>
      <c r="D872" s="30"/>
    </row>
    <row r="873" spans="1:4" ht="15.75" customHeight="1" x14ac:dyDescent="0.3">
      <c r="A873" s="32"/>
      <c r="C873" s="30"/>
      <c r="D873" s="30"/>
    </row>
    <row r="874" spans="1:4" ht="15.75" customHeight="1" x14ac:dyDescent="0.3">
      <c r="A874" s="32"/>
      <c r="C874" s="30"/>
      <c r="D874" s="30"/>
    </row>
    <row r="875" spans="1:4" ht="15.75" customHeight="1" x14ac:dyDescent="0.3">
      <c r="A875" s="32"/>
      <c r="C875" s="30"/>
      <c r="D875" s="30"/>
    </row>
    <row r="876" spans="1:4" ht="15.75" customHeight="1" x14ac:dyDescent="0.3">
      <c r="A876" s="32"/>
      <c r="C876" s="30"/>
      <c r="D876" s="30"/>
    </row>
    <row r="877" spans="1:4" ht="15.75" customHeight="1" x14ac:dyDescent="0.3">
      <c r="A877" s="32"/>
      <c r="C877" s="30"/>
      <c r="D877" s="30"/>
    </row>
    <row r="878" spans="1:4" ht="15.75" customHeight="1" x14ac:dyDescent="0.3">
      <c r="A878" s="32"/>
      <c r="C878" s="30"/>
      <c r="D878" s="30"/>
    </row>
    <row r="879" spans="1:4" ht="15.75" customHeight="1" x14ac:dyDescent="0.3">
      <c r="A879" s="32"/>
      <c r="C879" s="30"/>
      <c r="D879" s="30"/>
    </row>
    <row r="880" spans="1:4" ht="15.75" customHeight="1" x14ac:dyDescent="0.3">
      <c r="A880" s="32"/>
      <c r="C880" s="30"/>
      <c r="D880" s="30"/>
    </row>
    <row r="881" spans="1:4" ht="15.75" customHeight="1" x14ac:dyDescent="0.3">
      <c r="A881" s="32"/>
      <c r="C881" s="30"/>
      <c r="D881" s="30"/>
    </row>
    <row r="882" spans="1:4" ht="15.75" customHeight="1" x14ac:dyDescent="0.3">
      <c r="A882" s="32"/>
      <c r="C882" s="30"/>
      <c r="D882" s="30"/>
    </row>
    <row r="883" spans="1:4" ht="15.75" customHeight="1" x14ac:dyDescent="0.3">
      <c r="A883" s="32"/>
      <c r="C883" s="30"/>
      <c r="D883" s="30"/>
    </row>
    <row r="884" spans="1:4" ht="15.75" customHeight="1" x14ac:dyDescent="0.3">
      <c r="A884" s="32"/>
      <c r="C884" s="30"/>
      <c r="D884" s="30"/>
    </row>
    <row r="885" spans="1:4" ht="15.75" customHeight="1" x14ac:dyDescent="0.3">
      <c r="A885" s="32"/>
      <c r="C885" s="30"/>
      <c r="D885" s="30"/>
    </row>
    <row r="886" spans="1:4" ht="15.75" customHeight="1" x14ac:dyDescent="0.3">
      <c r="A886" s="32"/>
      <c r="C886" s="30"/>
      <c r="D886" s="30"/>
    </row>
    <row r="887" spans="1:4" ht="15.75" customHeight="1" x14ac:dyDescent="0.3">
      <c r="A887" s="32"/>
      <c r="C887" s="30"/>
      <c r="D887" s="30"/>
    </row>
    <row r="888" spans="1:4" ht="15.75" customHeight="1" x14ac:dyDescent="0.3">
      <c r="A888" s="32"/>
      <c r="C888" s="30"/>
      <c r="D888" s="30"/>
    </row>
    <row r="889" spans="1:4" ht="15.75" customHeight="1" x14ac:dyDescent="0.3">
      <c r="A889" s="32"/>
      <c r="C889" s="30"/>
      <c r="D889" s="30"/>
    </row>
    <row r="890" spans="1:4" ht="15.75" customHeight="1" x14ac:dyDescent="0.3">
      <c r="A890" s="32"/>
      <c r="C890" s="30"/>
      <c r="D890" s="30"/>
    </row>
    <row r="891" spans="1:4" ht="15.75" customHeight="1" x14ac:dyDescent="0.3">
      <c r="A891" s="32"/>
      <c r="C891" s="30"/>
      <c r="D891" s="30"/>
    </row>
    <row r="892" spans="1:4" ht="15.75" customHeight="1" x14ac:dyDescent="0.3">
      <c r="A892" s="32"/>
      <c r="C892" s="30"/>
      <c r="D892" s="30"/>
    </row>
    <row r="893" spans="1:4" ht="15.75" customHeight="1" x14ac:dyDescent="0.3">
      <c r="A893" s="32"/>
      <c r="C893" s="30"/>
      <c r="D893" s="30"/>
    </row>
    <row r="894" spans="1:4" ht="15.75" customHeight="1" x14ac:dyDescent="0.3">
      <c r="A894" s="32"/>
      <c r="C894" s="30"/>
      <c r="D894" s="30"/>
    </row>
    <row r="895" spans="1:4" ht="15.75" customHeight="1" x14ac:dyDescent="0.3">
      <c r="A895" s="32"/>
      <c r="C895" s="30"/>
      <c r="D895" s="30"/>
    </row>
    <row r="896" spans="1:4" ht="15.75" customHeight="1" x14ac:dyDescent="0.3">
      <c r="A896" s="32"/>
      <c r="C896" s="30"/>
      <c r="D896" s="30"/>
    </row>
    <row r="897" spans="1:4" ht="15.75" customHeight="1" x14ac:dyDescent="0.3">
      <c r="A897" s="32"/>
      <c r="C897" s="30"/>
      <c r="D897" s="30"/>
    </row>
    <row r="898" spans="1:4" ht="15.75" customHeight="1" x14ac:dyDescent="0.3">
      <c r="A898" s="32"/>
      <c r="C898" s="30"/>
      <c r="D898" s="30"/>
    </row>
    <row r="899" spans="1:4" ht="15.75" customHeight="1" x14ac:dyDescent="0.3">
      <c r="A899" s="32"/>
      <c r="C899" s="30"/>
      <c r="D899" s="30"/>
    </row>
    <row r="900" spans="1:4" ht="15.75" customHeight="1" x14ac:dyDescent="0.3">
      <c r="A900" s="32"/>
      <c r="C900" s="30"/>
      <c r="D900" s="30"/>
    </row>
    <row r="901" spans="1:4" ht="15.75" customHeight="1" x14ac:dyDescent="0.3">
      <c r="A901" s="32"/>
      <c r="C901" s="30"/>
      <c r="D901" s="30"/>
    </row>
    <row r="902" spans="1:4" ht="15.75" customHeight="1" x14ac:dyDescent="0.3">
      <c r="A902" s="32"/>
      <c r="C902" s="30"/>
      <c r="D902" s="30"/>
    </row>
    <row r="903" spans="1:4" ht="15.75" customHeight="1" x14ac:dyDescent="0.3">
      <c r="A903" s="32"/>
      <c r="C903" s="30"/>
      <c r="D903" s="30"/>
    </row>
    <row r="904" spans="1:4" ht="15.75" customHeight="1" x14ac:dyDescent="0.3">
      <c r="A904" s="32"/>
      <c r="C904" s="30"/>
      <c r="D904" s="30"/>
    </row>
    <row r="905" spans="1:4" ht="15.75" customHeight="1" x14ac:dyDescent="0.3">
      <c r="A905" s="32"/>
      <c r="C905" s="30"/>
      <c r="D905" s="30"/>
    </row>
    <row r="906" spans="1:4" ht="15.75" customHeight="1" x14ac:dyDescent="0.3">
      <c r="A906" s="32"/>
      <c r="C906" s="30"/>
      <c r="D906" s="30"/>
    </row>
    <row r="907" spans="1:4" ht="15.75" customHeight="1" x14ac:dyDescent="0.3">
      <c r="A907" s="32"/>
      <c r="C907" s="30"/>
      <c r="D907" s="30"/>
    </row>
    <row r="908" spans="1:4" ht="15.75" customHeight="1" x14ac:dyDescent="0.3">
      <c r="A908" s="32"/>
      <c r="C908" s="30"/>
      <c r="D908" s="30"/>
    </row>
    <row r="909" spans="1:4" ht="15.75" customHeight="1" x14ac:dyDescent="0.3">
      <c r="A909" s="32"/>
      <c r="C909" s="30"/>
      <c r="D909" s="30"/>
    </row>
    <row r="910" spans="1:4" ht="15.75" customHeight="1" x14ac:dyDescent="0.3">
      <c r="A910" s="32"/>
      <c r="C910" s="30"/>
      <c r="D910" s="30"/>
    </row>
    <row r="911" spans="1:4" ht="15.75" customHeight="1" x14ac:dyDescent="0.3">
      <c r="A911" s="32"/>
      <c r="C911" s="30"/>
      <c r="D911" s="30"/>
    </row>
    <row r="912" spans="1:4" ht="15.75" customHeight="1" x14ac:dyDescent="0.3">
      <c r="A912" s="32"/>
      <c r="C912" s="30"/>
      <c r="D912" s="30"/>
    </row>
    <row r="913" spans="1:4" ht="15.75" customHeight="1" x14ac:dyDescent="0.3">
      <c r="A913" s="32"/>
      <c r="C913" s="30"/>
      <c r="D913" s="30"/>
    </row>
    <row r="914" spans="1:4" ht="15.75" customHeight="1" x14ac:dyDescent="0.3">
      <c r="A914" s="32"/>
      <c r="C914" s="30"/>
      <c r="D914" s="30"/>
    </row>
    <row r="915" spans="1:4" ht="15.75" customHeight="1" x14ac:dyDescent="0.3">
      <c r="A915" s="32"/>
      <c r="C915" s="30"/>
      <c r="D915" s="30"/>
    </row>
    <row r="916" spans="1:4" ht="15.75" customHeight="1" x14ac:dyDescent="0.3">
      <c r="A916" s="32"/>
      <c r="C916" s="30"/>
      <c r="D916" s="30"/>
    </row>
    <row r="917" spans="1:4" ht="15.75" customHeight="1" x14ac:dyDescent="0.3">
      <c r="A917" s="32"/>
      <c r="C917" s="30"/>
      <c r="D917" s="30"/>
    </row>
    <row r="918" spans="1:4" ht="15.75" customHeight="1" x14ac:dyDescent="0.3">
      <c r="A918" s="32"/>
      <c r="C918" s="30"/>
      <c r="D918" s="30"/>
    </row>
    <row r="919" spans="1:4" ht="15.75" customHeight="1" x14ac:dyDescent="0.3">
      <c r="A919" s="32"/>
      <c r="C919" s="30"/>
      <c r="D919" s="30"/>
    </row>
    <row r="920" spans="1:4" ht="15.75" customHeight="1" x14ac:dyDescent="0.3">
      <c r="A920" s="32"/>
      <c r="C920" s="30"/>
      <c r="D920" s="30"/>
    </row>
    <row r="921" spans="1:4" ht="15.75" customHeight="1" x14ac:dyDescent="0.3">
      <c r="A921" s="32"/>
      <c r="C921" s="30"/>
      <c r="D921" s="30"/>
    </row>
    <row r="922" spans="1:4" ht="15.75" customHeight="1" x14ac:dyDescent="0.3">
      <c r="A922" s="32"/>
      <c r="C922" s="30"/>
      <c r="D922" s="30"/>
    </row>
    <row r="923" spans="1:4" ht="15.75" customHeight="1" x14ac:dyDescent="0.3">
      <c r="A923" s="32"/>
      <c r="C923" s="30"/>
      <c r="D923" s="30"/>
    </row>
    <row r="924" spans="1:4" ht="15.75" customHeight="1" x14ac:dyDescent="0.3">
      <c r="A924" s="32"/>
      <c r="C924" s="30"/>
      <c r="D924" s="30"/>
    </row>
    <row r="925" spans="1:4" ht="15.75" customHeight="1" x14ac:dyDescent="0.3">
      <c r="A925" s="32"/>
      <c r="C925" s="30"/>
      <c r="D925" s="30"/>
    </row>
    <row r="926" spans="1:4" ht="15.75" customHeight="1" x14ac:dyDescent="0.3">
      <c r="A926" s="32"/>
      <c r="C926" s="30"/>
      <c r="D926" s="30"/>
    </row>
    <row r="927" spans="1:4" ht="15.75" customHeight="1" x14ac:dyDescent="0.3">
      <c r="A927" s="32"/>
      <c r="C927" s="30"/>
      <c r="D927" s="30"/>
    </row>
    <row r="928" spans="1:4" ht="15.75" customHeight="1" x14ac:dyDescent="0.3">
      <c r="A928" s="32"/>
      <c r="C928" s="30"/>
      <c r="D928" s="30"/>
    </row>
    <row r="929" spans="1:4" ht="15.75" customHeight="1" x14ac:dyDescent="0.3">
      <c r="A929" s="32"/>
      <c r="C929" s="30"/>
      <c r="D929" s="30"/>
    </row>
    <row r="930" spans="1:4" ht="15.75" customHeight="1" x14ac:dyDescent="0.3">
      <c r="A930" s="32"/>
      <c r="C930" s="30"/>
      <c r="D930" s="30"/>
    </row>
    <row r="931" spans="1:4" ht="15.75" customHeight="1" x14ac:dyDescent="0.3">
      <c r="A931" s="32"/>
      <c r="C931" s="30"/>
      <c r="D931" s="30"/>
    </row>
    <row r="932" spans="1:4" ht="15.75" customHeight="1" x14ac:dyDescent="0.3">
      <c r="A932" s="32"/>
      <c r="C932" s="30"/>
      <c r="D932" s="30"/>
    </row>
    <row r="933" spans="1:4" ht="15.75" customHeight="1" x14ac:dyDescent="0.3">
      <c r="A933" s="32"/>
      <c r="C933" s="30"/>
      <c r="D933" s="30"/>
    </row>
    <row r="934" spans="1:4" ht="15.75" customHeight="1" x14ac:dyDescent="0.3">
      <c r="A934" s="32"/>
      <c r="C934" s="30"/>
      <c r="D934" s="30"/>
    </row>
    <row r="935" spans="1:4" ht="15.75" customHeight="1" x14ac:dyDescent="0.3">
      <c r="A935" s="32"/>
      <c r="C935" s="30"/>
      <c r="D935" s="30"/>
    </row>
    <row r="936" spans="1:4" ht="15.75" customHeight="1" x14ac:dyDescent="0.3">
      <c r="A936" s="32"/>
      <c r="C936" s="30"/>
      <c r="D936" s="30"/>
    </row>
    <row r="937" spans="1:4" ht="15.75" customHeight="1" x14ac:dyDescent="0.3">
      <c r="A937" s="32"/>
      <c r="C937" s="30"/>
      <c r="D937" s="30"/>
    </row>
    <row r="938" spans="1:4" ht="15.75" customHeight="1" x14ac:dyDescent="0.3">
      <c r="A938" s="32"/>
      <c r="C938" s="30"/>
      <c r="D938" s="30"/>
    </row>
    <row r="939" spans="1:4" ht="15.75" customHeight="1" x14ac:dyDescent="0.3">
      <c r="A939" s="32"/>
      <c r="C939" s="30"/>
      <c r="D939" s="30"/>
    </row>
    <row r="940" spans="1:4" ht="15.75" customHeight="1" x14ac:dyDescent="0.3">
      <c r="A940" s="32"/>
      <c r="C940" s="30"/>
      <c r="D940" s="30"/>
    </row>
    <row r="941" spans="1:4" ht="15.75" customHeight="1" x14ac:dyDescent="0.3">
      <c r="A941" s="32"/>
      <c r="C941" s="30"/>
      <c r="D941" s="30"/>
    </row>
    <row r="942" spans="1:4" ht="15.75" customHeight="1" x14ac:dyDescent="0.3">
      <c r="A942" s="32"/>
      <c r="C942" s="30"/>
      <c r="D942" s="30"/>
    </row>
    <row r="943" spans="1:4" ht="15.75" customHeight="1" x14ac:dyDescent="0.3">
      <c r="A943" s="32"/>
      <c r="C943" s="30"/>
      <c r="D943" s="30"/>
    </row>
    <row r="944" spans="1:4" ht="15.75" customHeight="1" x14ac:dyDescent="0.3">
      <c r="A944" s="32"/>
      <c r="C944" s="30"/>
      <c r="D944" s="30"/>
    </row>
    <row r="945" spans="1:4" ht="15.75" customHeight="1" x14ac:dyDescent="0.3">
      <c r="A945" s="32"/>
      <c r="C945" s="30"/>
      <c r="D945" s="30"/>
    </row>
    <row r="946" spans="1:4" ht="15.75" customHeight="1" x14ac:dyDescent="0.3">
      <c r="A946" s="32"/>
      <c r="C946" s="30"/>
      <c r="D946" s="30"/>
    </row>
    <row r="947" spans="1:4" ht="15.75" customHeight="1" x14ac:dyDescent="0.3">
      <c r="A947" s="32"/>
      <c r="C947" s="30"/>
      <c r="D947" s="30"/>
    </row>
    <row r="948" spans="1:4" ht="15.75" customHeight="1" x14ac:dyDescent="0.3">
      <c r="A948" s="32"/>
      <c r="C948" s="30"/>
      <c r="D948" s="30"/>
    </row>
    <row r="949" spans="1:4" ht="15.75" customHeight="1" x14ac:dyDescent="0.3">
      <c r="A949" s="32"/>
      <c r="C949" s="30"/>
      <c r="D949" s="30"/>
    </row>
    <row r="950" spans="1:4" ht="15.75" customHeight="1" x14ac:dyDescent="0.3">
      <c r="A950" s="32"/>
      <c r="C950" s="30"/>
      <c r="D950" s="30"/>
    </row>
    <row r="951" spans="1:4" ht="15.75" customHeight="1" x14ac:dyDescent="0.3">
      <c r="A951" s="32"/>
      <c r="C951" s="30"/>
      <c r="D951" s="30"/>
    </row>
    <row r="952" spans="1:4" ht="15.75" customHeight="1" x14ac:dyDescent="0.3">
      <c r="A952" s="32"/>
      <c r="C952" s="30"/>
      <c r="D952" s="30"/>
    </row>
    <row r="953" spans="1:4" ht="15.75" customHeight="1" x14ac:dyDescent="0.3">
      <c r="A953" s="32"/>
      <c r="C953" s="30"/>
      <c r="D953" s="30"/>
    </row>
    <row r="954" spans="1:4" ht="15.75" customHeight="1" x14ac:dyDescent="0.3">
      <c r="A954" s="32"/>
      <c r="C954" s="30"/>
      <c r="D954" s="30"/>
    </row>
    <row r="955" spans="1:4" ht="15.75" customHeight="1" x14ac:dyDescent="0.3">
      <c r="A955" s="32"/>
      <c r="C955" s="30"/>
      <c r="D955" s="30"/>
    </row>
    <row r="956" spans="1:4" ht="15.75" customHeight="1" x14ac:dyDescent="0.3">
      <c r="A956" s="32"/>
      <c r="C956" s="30"/>
      <c r="D956" s="30"/>
    </row>
    <row r="957" spans="1:4" ht="15.75" customHeight="1" x14ac:dyDescent="0.3">
      <c r="A957" s="32"/>
      <c r="C957" s="30"/>
      <c r="D957" s="30"/>
    </row>
    <row r="958" spans="1:4" ht="15.75" customHeight="1" x14ac:dyDescent="0.3">
      <c r="A958" s="32"/>
      <c r="C958" s="30"/>
      <c r="D958" s="30"/>
    </row>
    <row r="959" spans="1:4" ht="15.75" customHeight="1" x14ac:dyDescent="0.3">
      <c r="A959" s="32"/>
      <c r="C959" s="30"/>
      <c r="D959" s="30"/>
    </row>
    <row r="960" spans="1:4" ht="15.75" customHeight="1" x14ac:dyDescent="0.3">
      <c r="A960" s="32"/>
      <c r="C960" s="30"/>
      <c r="D960" s="30"/>
    </row>
    <row r="961" spans="1:4" ht="15.75" customHeight="1" x14ac:dyDescent="0.3">
      <c r="A961" s="32"/>
      <c r="C961" s="30"/>
      <c r="D961" s="30"/>
    </row>
    <row r="962" spans="1:4" ht="15.75" customHeight="1" x14ac:dyDescent="0.3">
      <c r="A962" s="32"/>
      <c r="C962" s="30"/>
      <c r="D962" s="30"/>
    </row>
    <row r="963" spans="1:4" ht="15.75" customHeight="1" x14ac:dyDescent="0.3">
      <c r="A963" s="32"/>
      <c r="C963" s="30"/>
      <c r="D963" s="30"/>
    </row>
    <row r="964" spans="1:4" ht="15.75" customHeight="1" x14ac:dyDescent="0.3">
      <c r="A964" s="32"/>
      <c r="C964" s="30"/>
      <c r="D964" s="30"/>
    </row>
    <row r="965" spans="1:4" ht="15.75" customHeight="1" x14ac:dyDescent="0.3">
      <c r="A965" s="32"/>
      <c r="C965" s="30"/>
      <c r="D965" s="30"/>
    </row>
    <row r="966" spans="1:4" ht="15.75" customHeight="1" x14ac:dyDescent="0.3">
      <c r="A966" s="32"/>
      <c r="C966" s="30"/>
      <c r="D966" s="30"/>
    </row>
    <row r="967" spans="1:4" ht="15.75" customHeight="1" x14ac:dyDescent="0.3">
      <c r="A967" s="32"/>
      <c r="C967" s="30"/>
      <c r="D967" s="30"/>
    </row>
    <row r="968" spans="1:4" ht="15.75" customHeight="1" x14ac:dyDescent="0.3">
      <c r="A968" s="32"/>
      <c r="C968" s="30"/>
      <c r="D968" s="30"/>
    </row>
    <row r="969" spans="1:4" ht="15.75" customHeight="1" x14ac:dyDescent="0.3">
      <c r="A969" s="32"/>
      <c r="C969" s="30"/>
      <c r="D969" s="30"/>
    </row>
    <row r="970" spans="1:4" ht="15.75" customHeight="1" x14ac:dyDescent="0.3">
      <c r="A970" s="32"/>
      <c r="C970" s="30"/>
      <c r="D970" s="30"/>
    </row>
    <row r="971" spans="1:4" ht="15.75" customHeight="1" x14ac:dyDescent="0.3">
      <c r="A971" s="32"/>
      <c r="C971" s="30"/>
      <c r="D971" s="30"/>
    </row>
    <row r="972" spans="1:4" ht="15.75" customHeight="1" x14ac:dyDescent="0.3">
      <c r="A972" s="32"/>
      <c r="C972" s="30"/>
      <c r="D972" s="30"/>
    </row>
    <row r="973" spans="1:4" ht="15.75" customHeight="1" x14ac:dyDescent="0.3">
      <c r="A973" s="32"/>
      <c r="C973" s="30"/>
      <c r="D973" s="30"/>
    </row>
    <row r="974" spans="1:4" ht="15.75" customHeight="1" x14ac:dyDescent="0.3">
      <c r="A974" s="32"/>
      <c r="C974" s="30"/>
      <c r="D974" s="30"/>
    </row>
    <row r="975" spans="1:4" ht="15.75" customHeight="1" x14ac:dyDescent="0.3">
      <c r="A975" s="32"/>
      <c r="C975" s="30"/>
      <c r="D975" s="30"/>
    </row>
    <row r="976" spans="1:4" ht="15.75" customHeight="1" x14ac:dyDescent="0.3">
      <c r="A976" s="32"/>
      <c r="C976" s="30"/>
      <c r="D976" s="30"/>
    </row>
    <row r="977" spans="1:4" ht="15.75" customHeight="1" x14ac:dyDescent="0.3">
      <c r="A977" s="32"/>
      <c r="C977" s="30"/>
      <c r="D977" s="30"/>
    </row>
    <row r="978" spans="1:4" ht="15.75" customHeight="1" x14ac:dyDescent="0.3">
      <c r="A978" s="32"/>
      <c r="C978" s="30"/>
      <c r="D978" s="30"/>
    </row>
    <row r="979" spans="1:4" ht="15.75" customHeight="1" x14ac:dyDescent="0.3">
      <c r="A979" s="32"/>
      <c r="C979" s="30"/>
      <c r="D979" s="30"/>
    </row>
    <row r="980" spans="1:4" ht="15.75" customHeight="1" x14ac:dyDescent="0.3">
      <c r="A980" s="32"/>
      <c r="C980" s="30"/>
      <c r="D980" s="30"/>
    </row>
    <row r="981" spans="1:4" ht="15.75" customHeight="1" x14ac:dyDescent="0.3">
      <c r="A981" s="32"/>
      <c r="C981" s="30"/>
      <c r="D981" s="30"/>
    </row>
    <row r="982" spans="1:4" ht="15.75" customHeight="1" x14ac:dyDescent="0.3">
      <c r="A982" s="32"/>
      <c r="C982" s="30"/>
      <c r="D982" s="30"/>
    </row>
    <row r="983" spans="1:4" ht="15.75" customHeight="1" x14ac:dyDescent="0.3">
      <c r="A983" s="32"/>
      <c r="C983" s="30"/>
      <c r="D983" s="30"/>
    </row>
    <row r="984" spans="1:4" ht="15.75" customHeight="1" x14ac:dyDescent="0.3">
      <c r="A984" s="32"/>
      <c r="C984" s="30"/>
      <c r="D984" s="30"/>
    </row>
    <row r="985" spans="1:4" ht="15.75" customHeight="1" x14ac:dyDescent="0.3">
      <c r="A985" s="32"/>
      <c r="C985" s="30"/>
      <c r="D985" s="30"/>
    </row>
    <row r="986" spans="1:4" ht="15.75" customHeight="1" x14ac:dyDescent="0.3">
      <c r="A986" s="32"/>
      <c r="C986" s="30"/>
      <c r="D986" s="30"/>
    </row>
    <row r="987" spans="1:4" ht="15.75" customHeight="1" x14ac:dyDescent="0.3">
      <c r="A987" s="32"/>
      <c r="C987" s="30"/>
      <c r="D987" s="30"/>
    </row>
    <row r="988" spans="1:4" ht="15.75" customHeight="1" x14ac:dyDescent="0.3">
      <c r="A988" s="32"/>
      <c r="C988" s="30"/>
      <c r="D988" s="30"/>
    </row>
    <row r="989" spans="1:4" ht="15.75" customHeight="1" x14ac:dyDescent="0.3">
      <c r="A989" s="32"/>
      <c r="C989" s="30"/>
      <c r="D989" s="30"/>
    </row>
    <row r="990" spans="1:4" ht="15.75" customHeight="1" x14ac:dyDescent="0.3">
      <c r="A990" s="32"/>
      <c r="C990" s="30"/>
      <c r="D990" s="30"/>
    </row>
    <row r="991" spans="1:4" ht="15.75" customHeight="1" x14ac:dyDescent="0.3">
      <c r="A991" s="32"/>
      <c r="C991" s="30"/>
      <c r="D991" s="30"/>
    </row>
    <row r="992" spans="1:4" ht="15.75" customHeight="1" x14ac:dyDescent="0.3">
      <c r="A992" s="32"/>
      <c r="C992" s="30"/>
      <c r="D992" s="30"/>
    </row>
    <row r="993" spans="1:4" ht="15.75" customHeight="1" x14ac:dyDescent="0.3">
      <c r="A993" s="32"/>
      <c r="C993" s="30"/>
      <c r="D993" s="30"/>
    </row>
    <row r="994" spans="1:4" ht="15.75" customHeight="1" x14ac:dyDescent="0.3">
      <c r="A994" s="32"/>
      <c r="C994" s="30"/>
      <c r="D994" s="30"/>
    </row>
    <row r="995" spans="1:4" ht="15.75" customHeight="1" x14ac:dyDescent="0.3">
      <c r="A995" s="32"/>
      <c r="C995" s="30"/>
      <c r="D995" s="30"/>
    </row>
    <row r="996" spans="1:4" ht="15.75" customHeight="1" x14ac:dyDescent="0.3">
      <c r="A996" s="32"/>
      <c r="C996" s="30"/>
      <c r="D996" s="30"/>
    </row>
    <row r="997" spans="1:4" ht="15.75" customHeight="1" x14ac:dyDescent="0.3">
      <c r="A997" s="32"/>
      <c r="C997" s="30"/>
      <c r="D997" s="30"/>
    </row>
    <row r="998" spans="1:4" ht="15.75" customHeight="1" x14ac:dyDescent="0.3">
      <c r="A998" s="32"/>
      <c r="C998" s="30"/>
      <c r="D998" s="30"/>
    </row>
    <row r="999" spans="1:4" ht="15.75" customHeight="1" x14ac:dyDescent="0.3">
      <c r="A999" s="32"/>
      <c r="C999" s="30"/>
      <c r="D999" s="30"/>
    </row>
    <row r="1000" spans="1:4" ht="15.75" customHeight="1" x14ac:dyDescent="0.3">
      <c r="A1000" s="32"/>
      <c r="C1000" s="30"/>
      <c r="D1000" s="30"/>
    </row>
  </sheetData>
  <autoFilter ref="A1:DR138" xr:uid="{00000000-0001-0000-0000-000000000000}"/>
  <mergeCells count="120">
    <mergeCell ref="A1:A5"/>
    <mergeCell ref="B1:B5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CW3:CW4"/>
    <mergeCell ref="CX3:CX4"/>
    <mergeCell ref="CY3:CY4"/>
    <mergeCell ref="CZ3:CZ4"/>
    <mergeCell ref="DA3:DA4"/>
    <mergeCell ref="BP3:BP4"/>
    <mergeCell ref="BQ3:BQ4"/>
    <mergeCell ref="BR3:BR4"/>
    <mergeCell ref="BS3:BS4"/>
    <mergeCell ref="BT3:BT4"/>
    <mergeCell ref="BU3:BU4"/>
    <mergeCell ref="BV3:BV4"/>
    <mergeCell ref="BW3:BW4"/>
    <mergeCell ref="BX3:BX4"/>
    <mergeCell ref="BY3:BY4"/>
    <mergeCell ref="BZ3:BZ4"/>
    <mergeCell ref="CA3:CA4"/>
    <mergeCell ref="CB3:CB4"/>
    <mergeCell ref="CC3:CC4"/>
    <mergeCell ref="CD3:CD4"/>
    <mergeCell ref="DB3:DB4"/>
    <mergeCell ref="DC3:DC4"/>
    <mergeCell ref="DK3:DK4"/>
    <mergeCell ref="DL3:DL4"/>
    <mergeCell ref="DM3:DM4"/>
    <mergeCell ref="DN3:DN4"/>
    <mergeCell ref="DO3:DO4"/>
    <mergeCell ref="DP3:DP4"/>
    <mergeCell ref="DQ3:DQ4"/>
    <mergeCell ref="DR3:DR4"/>
    <mergeCell ref="DD3:DD4"/>
    <mergeCell ref="DE3:DE4"/>
    <mergeCell ref="DF3:DF4"/>
    <mergeCell ref="DG3:DG4"/>
    <mergeCell ref="DH3:DH4"/>
    <mergeCell ref="DI3:DI4"/>
    <mergeCell ref="DJ3:DJ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CE3:CE4"/>
    <mergeCell ref="CF3:CF4"/>
    <mergeCell ref="CG3:CG4"/>
    <mergeCell ref="CH3:CH4"/>
    <mergeCell ref="CI3:CI4"/>
    <mergeCell ref="CJ3:CJ4"/>
    <mergeCell ref="CK3:CK4"/>
    <mergeCell ref="CL3:CL4"/>
    <mergeCell ref="CM3:CM4"/>
    <mergeCell ref="CN3:CN4"/>
    <mergeCell ref="CO3:CO4"/>
    <mergeCell ref="CP3:CP4"/>
    <mergeCell ref="CQ3:CQ4"/>
    <mergeCell ref="CR3:CR4"/>
    <mergeCell ref="CS3:CS4"/>
    <mergeCell ref="CT3:CT4"/>
    <mergeCell ref="CU3:CU4"/>
    <mergeCell ref="CV3:CV4"/>
  </mergeCells>
  <conditionalFormatting sqref="A6:DR138">
    <cfRule type="expression" dxfId="5" priority="1">
      <formula>OR(CELL("row")=ROW(), CELL("col")=COLUMN())</formula>
    </cfRule>
  </conditionalFormatting>
  <conditionalFormatting sqref="D6:D138">
    <cfRule type="colorScale" priority="2">
      <colorScale>
        <cfvo type="formula" val="$D$1-6"/>
        <cfvo type="formula" val="$D$1-3"/>
        <cfvo type="formula" val="$D$1"/>
        <color rgb="FFF8696B"/>
        <color rgb="FFFFEB84"/>
        <color rgb="FF63BE7B"/>
      </colorScale>
    </cfRule>
  </conditionalFormatting>
  <conditionalFormatting sqref="E6:DR138">
    <cfRule type="cellIs" dxfId="4" priority="3" operator="equal">
      <formula>0</formula>
    </cfRule>
  </conditionalFormatting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R1000"/>
  <sheetViews>
    <sheetView workbookViewId="0">
      <pane xSplit="3" ySplit="3" topLeftCell="BY105" activePane="bottomRight" state="frozen"/>
      <selection pane="topRight" activeCell="D1" sqref="D1"/>
      <selection pane="bottomLeft" activeCell="A4" sqref="A4"/>
      <selection pane="bottomRight" activeCell="D1" sqref="D1"/>
    </sheetView>
  </sheetViews>
  <sheetFormatPr defaultColWidth="14.44140625" defaultRowHeight="15" customHeight="1" x14ac:dyDescent="0.3"/>
  <cols>
    <col min="1" max="1" width="7.88671875" customWidth="1"/>
    <col min="2" max="2" width="17.33203125" customWidth="1"/>
    <col min="3" max="3" width="10.109375" hidden="1" customWidth="1"/>
    <col min="4" max="4" width="9" customWidth="1"/>
    <col min="5" max="7" width="10" customWidth="1"/>
    <col min="8" max="8" width="8.6640625" customWidth="1"/>
    <col min="9" max="11" width="9.6640625" customWidth="1"/>
    <col min="12" max="13" width="8.33203125" customWidth="1"/>
    <col min="14" max="16" width="9.33203125" customWidth="1"/>
    <col min="17" max="17" width="8.6640625" customWidth="1"/>
    <col min="18" max="20" width="9.6640625" customWidth="1"/>
    <col min="21" max="21" width="8.88671875" customWidth="1"/>
    <col min="22" max="24" width="9.88671875" customWidth="1"/>
    <col min="25" max="26" width="8.5546875" customWidth="1"/>
    <col min="27" max="29" width="9.5546875" customWidth="1"/>
    <col min="30" max="30" width="8.6640625" customWidth="1"/>
    <col min="31" max="33" width="10.109375" customWidth="1"/>
    <col min="34" max="34" width="8.44140625" customWidth="1"/>
    <col min="35" max="37" width="9.44140625" customWidth="1"/>
    <col min="38" max="39" width="7.88671875" customWidth="1"/>
    <col min="40" max="43" width="8.88671875" customWidth="1"/>
    <col min="44" max="46" width="9.88671875" customWidth="1"/>
    <col min="47" max="47" width="8.6640625" customWidth="1"/>
    <col min="48" max="50" width="9.6640625" customWidth="1"/>
    <col min="51" max="52" width="8.44140625" customWidth="1"/>
    <col min="53" max="55" width="9.44140625" customWidth="1"/>
    <col min="56" max="56" width="9" customWidth="1"/>
    <col min="57" max="59" width="10" customWidth="1"/>
    <col min="60" max="60" width="8.6640625" customWidth="1"/>
    <col min="61" max="64" width="9.6640625" customWidth="1"/>
    <col min="65" max="65" width="8.33203125" customWidth="1"/>
    <col min="66" max="68" width="9.33203125" customWidth="1"/>
    <col min="69" max="69" width="8.6640625" customWidth="1"/>
    <col min="70" max="72" width="9.6640625" customWidth="1"/>
    <col min="73" max="73" width="8.88671875" customWidth="1"/>
    <col min="74" max="77" width="9.88671875" customWidth="1"/>
    <col min="78" max="78" width="8.5546875" customWidth="1"/>
    <col min="79" max="81" width="9.5546875" customWidth="1"/>
    <col min="82" max="82" width="9.109375" bestFit="1" customWidth="1"/>
    <col min="83" max="85" width="10.109375" customWidth="1"/>
    <col min="86" max="87" width="8.44140625" customWidth="1"/>
    <col min="88" max="90" width="9.44140625" customWidth="1"/>
    <col min="91" max="91" width="7.88671875" customWidth="1"/>
    <col min="92" max="95" width="8.88671875" customWidth="1"/>
    <col min="96" max="98" width="9.88671875" customWidth="1"/>
    <col min="99" max="100" width="8.6640625" customWidth="1"/>
    <col min="101" max="103" width="9.6640625" customWidth="1"/>
    <col min="104" max="104" width="8.44140625" customWidth="1"/>
    <col min="105" max="107" width="9.44140625" customWidth="1"/>
    <col min="108" max="108" width="9" customWidth="1"/>
    <col min="109" max="111" width="10" customWidth="1"/>
    <col min="112" max="113" width="8.6640625" customWidth="1"/>
    <col min="114" max="116" width="9.6640625" customWidth="1"/>
    <col min="117" max="117" width="8.33203125" customWidth="1"/>
    <col min="118" max="120" width="9.33203125" customWidth="1"/>
    <col min="121" max="121" width="8.6640625" customWidth="1"/>
    <col min="122" max="122" width="15.33203125" customWidth="1"/>
  </cols>
  <sheetData>
    <row r="1" spans="1:121" ht="14.4" x14ac:dyDescent="0.3">
      <c r="A1" s="91" t="str">
        <f>ዕቁብ!A1</f>
        <v>ዕጣ ቁጥር</v>
      </c>
      <c r="B1" s="91" t="str">
        <f>ዕቁብ!B1</f>
        <v>ስም</v>
      </c>
      <c r="C1" s="33"/>
      <c r="D1" s="33">
        <v>1</v>
      </c>
      <c r="E1" s="33">
        <f t="shared" ref="E1:DQ1" si="0">D1+1</f>
        <v>2</v>
      </c>
      <c r="F1" s="33">
        <f t="shared" si="0"/>
        <v>3</v>
      </c>
      <c r="G1" s="33">
        <f t="shared" si="0"/>
        <v>4</v>
      </c>
      <c r="H1" s="33">
        <f t="shared" si="0"/>
        <v>5</v>
      </c>
      <c r="I1" s="33">
        <f t="shared" si="0"/>
        <v>6</v>
      </c>
      <c r="J1" s="33">
        <f t="shared" si="0"/>
        <v>7</v>
      </c>
      <c r="K1" s="33">
        <f t="shared" si="0"/>
        <v>8</v>
      </c>
      <c r="L1" s="33">
        <f t="shared" si="0"/>
        <v>9</v>
      </c>
      <c r="M1" s="33">
        <f t="shared" si="0"/>
        <v>10</v>
      </c>
      <c r="N1" s="33">
        <f t="shared" si="0"/>
        <v>11</v>
      </c>
      <c r="O1" s="33">
        <f t="shared" si="0"/>
        <v>12</v>
      </c>
      <c r="P1" s="33">
        <f t="shared" si="0"/>
        <v>13</v>
      </c>
      <c r="Q1" s="33">
        <f t="shared" si="0"/>
        <v>14</v>
      </c>
      <c r="R1" s="33">
        <f t="shared" si="0"/>
        <v>15</v>
      </c>
      <c r="S1" s="33">
        <f t="shared" si="0"/>
        <v>16</v>
      </c>
      <c r="T1" s="33">
        <f t="shared" si="0"/>
        <v>17</v>
      </c>
      <c r="U1" s="33">
        <f t="shared" si="0"/>
        <v>18</v>
      </c>
      <c r="V1" s="33">
        <f t="shared" si="0"/>
        <v>19</v>
      </c>
      <c r="W1" s="33">
        <f t="shared" si="0"/>
        <v>20</v>
      </c>
      <c r="X1" s="33">
        <f t="shared" si="0"/>
        <v>21</v>
      </c>
      <c r="Y1" s="33">
        <f t="shared" si="0"/>
        <v>22</v>
      </c>
      <c r="Z1" s="33">
        <f t="shared" si="0"/>
        <v>23</v>
      </c>
      <c r="AA1" s="33">
        <f t="shared" si="0"/>
        <v>24</v>
      </c>
      <c r="AB1" s="33">
        <f t="shared" si="0"/>
        <v>25</v>
      </c>
      <c r="AC1" s="33">
        <f t="shared" si="0"/>
        <v>26</v>
      </c>
      <c r="AD1" s="33">
        <f t="shared" si="0"/>
        <v>27</v>
      </c>
      <c r="AE1" s="33">
        <f t="shared" si="0"/>
        <v>28</v>
      </c>
      <c r="AF1" s="33">
        <f t="shared" si="0"/>
        <v>29</v>
      </c>
      <c r="AG1" s="33">
        <f t="shared" si="0"/>
        <v>30</v>
      </c>
      <c r="AH1" s="33">
        <f t="shared" si="0"/>
        <v>31</v>
      </c>
      <c r="AI1" s="33">
        <f t="shared" si="0"/>
        <v>32</v>
      </c>
      <c r="AJ1" s="33">
        <f t="shared" si="0"/>
        <v>33</v>
      </c>
      <c r="AK1" s="33">
        <f t="shared" si="0"/>
        <v>34</v>
      </c>
      <c r="AL1" s="33">
        <f t="shared" si="0"/>
        <v>35</v>
      </c>
      <c r="AM1" s="33">
        <f t="shared" si="0"/>
        <v>36</v>
      </c>
      <c r="AN1" s="33">
        <f t="shared" si="0"/>
        <v>37</v>
      </c>
      <c r="AO1" s="33">
        <f t="shared" si="0"/>
        <v>38</v>
      </c>
      <c r="AP1" s="33">
        <f t="shared" si="0"/>
        <v>39</v>
      </c>
      <c r="AQ1" s="33">
        <f t="shared" si="0"/>
        <v>40</v>
      </c>
      <c r="AR1" s="33">
        <f t="shared" si="0"/>
        <v>41</v>
      </c>
      <c r="AS1" s="33">
        <f t="shared" si="0"/>
        <v>42</v>
      </c>
      <c r="AT1" s="33">
        <f t="shared" si="0"/>
        <v>43</v>
      </c>
      <c r="AU1" s="33">
        <f t="shared" si="0"/>
        <v>44</v>
      </c>
      <c r="AV1" s="33">
        <f t="shared" si="0"/>
        <v>45</v>
      </c>
      <c r="AW1" s="33">
        <f t="shared" si="0"/>
        <v>46</v>
      </c>
      <c r="AX1" s="33">
        <f t="shared" si="0"/>
        <v>47</v>
      </c>
      <c r="AY1" s="33">
        <f t="shared" si="0"/>
        <v>48</v>
      </c>
      <c r="AZ1" s="33">
        <f t="shared" si="0"/>
        <v>49</v>
      </c>
      <c r="BA1" s="33">
        <f t="shared" si="0"/>
        <v>50</v>
      </c>
      <c r="BB1" s="33">
        <f t="shared" si="0"/>
        <v>51</v>
      </c>
      <c r="BC1" s="33">
        <f t="shared" si="0"/>
        <v>52</v>
      </c>
      <c r="BD1" s="33">
        <f t="shared" si="0"/>
        <v>53</v>
      </c>
      <c r="BE1" s="33">
        <f t="shared" si="0"/>
        <v>54</v>
      </c>
      <c r="BF1" s="33">
        <f t="shared" si="0"/>
        <v>55</v>
      </c>
      <c r="BG1" s="33">
        <f t="shared" si="0"/>
        <v>56</v>
      </c>
      <c r="BH1" s="33">
        <f t="shared" si="0"/>
        <v>57</v>
      </c>
      <c r="BI1" s="33">
        <f t="shared" si="0"/>
        <v>58</v>
      </c>
      <c r="BJ1" s="33">
        <f t="shared" si="0"/>
        <v>59</v>
      </c>
      <c r="BK1" s="33">
        <f t="shared" si="0"/>
        <v>60</v>
      </c>
      <c r="BL1" s="33">
        <f t="shared" si="0"/>
        <v>61</v>
      </c>
      <c r="BM1" s="33">
        <f t="shared" si="0"/>
        <v>62</v>
      </c>
      <c r="BN1" s="33">
        <f t="shared" si="0"/>
        <v>63</v>
      </c>
      <c r="BO1" s="33">
        <f t="shared" si="0"/>
        <v>64</v>
      </c>
      <c r="BP1" s="33">
        <f t="shared" si="0"/>
        <v>65</v>
      </c>
      <c r="BQ1" s="33">
        <f t="shared" si="0"/>
        <v>66</v>
      </c>
      <c r="BR1" s="33">
        <f t="shared" si="0"/>
        <v>67</v>
      </c>
      <c r="BS1" s="33">
        <f t="shared" si="0"/>
        <v>68</v>
      </c>
      <c r="BT1" s="33">
        <f t="shared" si="0"/>
        <v>69</v>
      </c>
      <c r="BU1" s="33">
        <f t="shared" si="0"/>
        <v>70</v>
      </c>
      <c r="BV1" s="33">
        <f t="shared" si="0"/>
        <v>71</v>
      </c>
      <c r="BW1" s="33">
        <f t="shared" si="0"/>
        <v>72</v>
      </c>
      <c r="BX1" s="33">
        <f t="shared" si="0"/>
        <v>73</v>
      </c>
      <c r="BY1" s="33">
        <f t="shared" si="0"/>
        <v>74</v>
      </c>
      <c r="BZ1" s="33">
        <f t="shared" si="0"/>
        <v>75</v>
      </c>
      <c r="CA1" s="33">
        <f t="shared" si="0"/>
        <v>76</v>
      </c>
      <c r="CB1" s="33">
        <f t="shared" si="0"/>
        <v>77</v>
      </c>
      <c r="CC1" s="33">
        <f t="shared" si="0"/>
        <v>78</v>
      </c>
      <c r="CD1" s="33">
        <f t="shared" si="0"/>
        <v>79</v>
      </c>
      <c r="CE1" s="33">
        <f t="shared" si="0"/>
        <v>80</v>
      </c>
      <c r="CF1" s="33">
        <f t="shared" si="0"/>
        <v>81</v>
      </c>
      <c r="CG1" s="33">
        <f t="shared" si="0"/>
        <v>82</v>
      </c>
      <c r="CH1" s="33">
        <f t="shared" si="0"/>
        <v>83</v>
      </c>
      <c r="CI1" s="33">
        <f t="shared" si="0"/>
        <v>84</v>
      </c>
      <c r="CJ1" s="33">
        <f t="shared" si="0"/>
        <v>85</v>
      </c>
      <c r="CK1" s="33">
        <f t="shared" si="0"/>
        <v>86</v>
      </c>
      <c r="CL1" s="33">
        <f t="shared" si="0"/>
        <v>87</v>
      </c>
      <c r="CM1" s="33">
        <f t="shared" si="0"/>
        <v>88</v>
      </c>
      <c r="CN1" s="33">
        <f t="shared" si="0"/>
        <v>89</v>
      </c>
      <c r="CO1" s="33">
        <f t="shared" si="0"/>
        <v>90</v>
      </c>
      <c r="CP1" s="33">
        <f t="shared" si="0"/>
        <v>91</v>
      </c>
      <c r="CQ1" s="33">
        <f t="shared" si="0"/>
        <v>92</v>
      </c>
      <c r="CR1" s="33">
        <f t="shared" si="0"/>
        <v>93</v>
      </c>
      <c r="CS1" s="33">
        <f t="shared" si="0"/>
        <v>94</v>
      </c>
      <c r="CT1" s="33">
        <f t="shared" si="0"/>
        <v>95</v>
      </c>
      <c r="CU1" s="33">
        <f t="shared" si="0"/>
        <v>96</v>
      </c>
      <c r="CV1" s="33">
        <f t="shared" si="0"/>
        <v>97</v>
      </c>
      <c r="CW1" s="33">
        <f t="shared" si="0"/>
        <v>98</v>
      </c>
      <c r="CX1" s="33">
        <f t="shared" si="0"/>
        <v>99</v>
      </c>
      <c r="CY1" s="33">
        <f t="shared" si="0"/>
        <v>100</v>
      </c>
      <c r="CZ1" s="33">
        <f t="shared" si="0"/>
        <v>101</v>
      </c>
      <c r="DA1" s="33">
        <f t="shared" si="0"/>
        <v>102</v>
      </c>
      <c r="DB1" s="33">
        <f t="shared" si="0"/>
        <v>103</v>
      </c>
      <c r="DC1" s="33">
        <f t="shared" si="0"/>
        <v>104</v>
      </c>
      <c r="DD1" s="33">
        <f t="shared" si="0"/>
        <v>105</v>
      </c>
      <c r="DE1" s="33">
        <f t="shared" si="0"/>
        <v>106</v>
      </c>
      <c r="DF1" s="33">
        <f t="shared" si="0"/>
        <v>107</v>
      </c>
      <c r="DG1" s="33">
        <f t="shared" si="0"/>
        <v>108</v>
      </c>
      <c r="DH1" s="33">
        <f t="shared" si="0"/>
        <v>109</v>
      </c>
      <c r="DI1" s="33">
        <f t="shared" si="0"/>
        <v>110</v>
      </c>
      <c r="DJ1" s="33">
        <f t="shared" si="0"/>
        <v>111</v>
      </c>
      <c r="DK1" s="33">
        <f t="shared" si="0"/>
        <v>112</v>
      </c>
      <c r="DL1" s="33">
        <f t="shared" si="0"/>
        <v>113</v>
      </c>
      <c r="DM1" s="33">
        <f t="shared" si="0"/>
        <v>114</v>
      </c>
      <c r="DN1" s="33">
        <f t="shared" si="0"/>
        <v>115</v>
      </c>
      <c r="DO1" s="33">
        <f t="shared" si="0"/>
        <v>116</v>
      </c>
      <c r="DP1" s="33">
        <f t="shared" si="0"/>
        <v>117</v>
      </c>
      <c r="DQ1" s="33">
        <f t="shared" si="0"/>
        <v>118</v>
      </c>
    </row>
    <row r="2" spans="1:121" ht="14.4" x14ac:dyDescent="0.3">
      <c r="A2" s="92"/>
      <c r="B2" s="92"/>
      <c r="C2" s="34" t="str">
        <f>ዕቁብ!C1</f>
        <v>ክፍያ መጠን</v>
      </c>
      <c r="D2" s="35">
        <f>ዕቁብ!E2</f>
        <v>44871</v>
      </c>
      <c r="E2" s="35">
        <f>ዕቁብ!F2</f>
        <v>44878</v>
      </c>
      <c r="F2" s="35">
        <f>ዕቁብ!G2</f>
        <v>44885</v>
      </c>
      <c r="G2" s="35">
        <f>ዕቁብ!H2</f>
        <v>44892</v>
      </c>
      <c r="H2" s="35">
        <f>ዕቁብ!I2</f>
        <v>44899</v>
      </c>
      <c r="I2" s="35">
        <f>ዕቁብ!J2</f>
        <v>44906</v>
      </c>
      <c r="J2" s="35">
        <f>ዕቁብ!K2</f>
        <v>44913</v>
      </c>
      <c r="K2" s="35">
        <f>ዕቁብ!L2</f>
        <v>44920</v>
      </c>
      <c r="L2" s="35">
        <f>ዕቁብ!M2</f>
        <v>44927</v>
      </c>
      <c r="M2" s="35">
        <f>ዕቁብ!N2</f>
        <v>44934</v>
      </c>
      <c r="N2" s="35">
        <f>ዕቁብ!O2</f>
        <v>44941</v>
      </c>
      <c r="O2" s="35">
        <f>ዕቁብ!P2</f>
        <v>44948</v>
      </c>
      <c r="P2" s="35">
        <f>ዕቁብ!Q2</f>
        <v>44955</v>
      </c>
      <c r="Q2" s="35">
        <f>ዕቁብ!R2</f>
        <v>44962</v>
      </c>
      <c r="R2" s="35">
        <f>ዕቁብ!S2</f>
        <v>44969</v>
      </c>
      <c r="S2" s="35">
        <f>ዕቁብ!T2</f>
        <v>44976</v>
      </c>
      <c r="T2" s="35">
        <f>ዕቁብ!U2</f>
        <v>44983</v>
      </c>
      <c r="U2" s="35">
        <f>ዕቁብ!V2</f>
        <v>44990</v>
      </c>
      <c r="V2" s="35">
        <f>ዕቁብ!W2</f>
        <v>44997</v>
      </c>
      <c r="W2" s="35">
        <f>ዕቁብ!X2</f>
        <v>45004</v>
      </c>
      <c r="X2" s="35">
        <f>ዕቁብ!Y2</f>
        <v>45011</v>
      </c>
      <c r="Y2" s="35">
        <f>ዕቁብ!Z2</f>
        <v>45018</v>
      </c>
      <c r="Z2" s="35">
        <f>ዕቁብ!AA2</f>
        <v>45025</v>
      </c>
      <c r="AA2" s="35">
        <f>ዕቁብ!AB2</f>
        <v>45032</v>
      </c>
      <c r="AB2" s="35">
        <f>ዕቁብ!AC2</f>
        <v>45039</v>
      </c>
      <c r="AC2" s="35">
        <f>ዕቁብ!AD2</f>
        <v>45046</v>
      </c>
      <c r="AD2" s="35">
        <f>ዕቁብ!AE2</f>
        <v>45053</v>
      </c>
      <c r="AE2" s="35">
        <f>ዕቁብ!AF2</f>
        <v>45060</v>
      </c>
      <c r="AF2" s="35">
        <f>ዕቁብ!AG2</f>
        <v>45067</v>
      </c>
      <c r="AG2" s="35">
        <f>ዕቁብ!AH2</f>
        <v>45074</v>
      </c>
      <c r="AH2" s="35">
        <f>ዕቁብ!AI2</f>
        <v>45081</v>
      </c>
      <c r="AI2" s="35">
        <f>ዕቁብ!AJ2</f>
        <v>45088</v>
      </c>
      <c r="AJ2" s="35">
        <f>ዕቁብ!AK2</f>
        <v>45095</v>
      </c>
      <c r="AK2" s="35">
        <f>ዕቁብ!AL2</f>
        <v>45102</v>
      </c>
      <c r="AL2" s="35">
        <f>ዕቁብ!AM2</f>
        <v>45109</v>
      </c>
      <c r="AM2" s="35">
        <f>ዕቁብ!AN2</f>
        <v>45116</v>
      </c>
      <c r="AN2" s="35">
        <f>ዕቁብ!AO2</f>
        <v>45123</v>
      </c>
      <c r="AO2" s="35">
        <f>ዕቁብ!AP2</f>
        <v>45130</v>
      </c>
      <c r="AP2" s="35">
        <f>ዕቁብ!AQ2</f>
        <v>45137</v>
      </c>
      <c r="AQ2" s="35">
        <f>ዕቁብ!AR2</f>
        <v>45144</v>
      </c>
      <c r="AR2" s="35">
        <f>ዕቁብ!AS2</f>
        <v>45151</v>
      </c>
      <c r="AS2" s="35">
        <f>ዕቁብ!AT2</f>
        <v>45158</v>
      </c>
      <c r="AT2" s="35">
        <f>ዕቁብ!AU2</f>
        <v>45165</v>
      </c>
      <c r="AU2" s="35">
        <f>ዕቁብ!AV2</f>
        <v>45172</v>
      </c>
      <c r="AV2" s="35">
        <f>ዕቁብ!AW2</f>
        <v>45179</v>
      </c>
      <c r="AW2" s="35">
        <f>ዕቁብ!AX2</f>
        <v>45186</v>
      </c>
      <c r="AX2" s="35">
        <f>ዕቁብ!AY2</f>
        <v>45193</v>
      </c>
      <c r="AY2" s="35">
        <f>ዕቁብ!AZ2</f>
        <v>45200</v>
      </c>
      <c r="AZ2" s="35">
        <f>ዕቁብ!BA2</f>
        <v>45207</v>
      </c>
      <c r="BA2" s="35">
        <f>ዕቁብ!BB2</f>
        <v>45214</v>
      </c>
      <c r="BB2" s="35">
        <f>ዕቁብ!BC2</f>
        <v>45221</v>
      </c>
      <c r="BC2" s="35">
        <f>ዕቁብ!BD2</f>
        <v>45228</v>
      </c>
      <c r="BD2" s="35">
        <f>ዕቁብ!BE2</f>
        <v>45235</v>
      </c>
      <c r="BE2" s="35">
        <f>ዕቁብ!BF2</f>
        <v>45242</v>
      </c>
      <c r="BF2" s="35">
        <f>ዕቁብ!BG2</f>
        <v>45249</v>
      </c>
      <c r="BG2" s="35">
        <f>ዕቁብ!BH2</f>
        <v>45256</v>
      </c>
      <c r="BH2" s="35">
        <f>ዕቁብ!BI2</f>
        <v>45263</v>
      </c>
      <c r="BI2" s="35">
        <f>ዕቁብ!BJ2</f>
        <v>45270</v>
      </c>
      <c r="BJ2" s="35">
        <f>ዕቁብ!BK2</f>
        <v>45277</v>
      </c>
      <c r="BK2" s="35">
        <f>ዕቁብ!BL2</f>
        <v>45284</v>
      </c>
      <c r="BL2" s="35">
        <f>ዕቁብ!BM2</f>
        <v>45291</v>
      </c>
      <c r="BM2" s="35">
        <f>ዕቁብ!BN2</f>
        <v>45298</v>
      </c>
      <c r="BN2" s="35">
        <f>ዕቁብ!BO2</f>
        <v>45305</v>
      </c>
      <c r="BO2" s="35">
        <f>ዕቁብ!BP2</f>
        <v>45312</v>
      </c>
      <c r="BP2" s="35">
        <f>ዕቁብ!BQ2</f>
        <v>45319</v>
      </c>
      <c r="BQ2" s="35">
        <f>ዕቁብ!BR2</f>
        <v>45326</v>
      </c>
      <c r="BR2" s="35">
        <f>ዕቁብ!BS2</f>
        <v>45333</v>
      </c>
      <c r="BS2" s="35">
        <f>ዕቁብ!BT2</f>
        <v>45340</v>
      </c>
      <c r="BT2" s="35">
        <f>ዕቁብ!BU2</f>
        <v>45347</v>
      </c>
      <c r="BU2" s="35">
        <f>ዕቁብ!BV2</f>
        <v>45354</v>
      </c>
      <c r="BV2" s="35">
        <f>ዕቁብ!BW2</f>
        <v>45361</v>
      </c>
      <c r="BW2" s="35">
        <f>ዕቁብ!BX2</f>
        <v>45368</v>
      </c>
      <c r="BX2" s="35">
        <f>ዕቁብ!BY2</f>
        <v>45375</v>
      </c>
      <c r="BY2" s="35">
        <f>ዕቁብ!BZ2</f>
        <v>45382</v>
      </c>
      <c r="BZ2" s="35">
        <f>ዕቁብ!CA2</f>
        <v>45389</v>
      </c>
      <c r="CA2" s="35">
        <f>ዕቁብ!CB2</f>
        <v>45396</v>
      </c>
      <c r="CB2" s="35">
        <f>ዕቁብ!CC2</f>
        <v>45403</v>
      </c>
      <c r="CC2" s="35">
        <f>ዕቁብ!CD2</f>
        <v>45410</v>
      </c>
      <c r="CD2" s="35">
        <f>ዕቁብ!CE2</f>
        <v>45417</v>
      </c>
      <c r="CE2" s="35">
        <f>ዕቁብ!CF2</f>
        <v>45424</v>
      </c>
      <c r="CF2" s="35">
        <f>ዕቁብ!CG2</f>
        <v>45431</v>
      </c>
      <c r="CG2" s="35">
        <f>ዕቁብ!CH2</f>
        <v>45438</v>
      </c>
      <c r="CH2" s="35">
        <f>ዕቁብ!CI2</f>
        <v>45445</v>
      </c>
      <c r="CI2" s="35">
        <f>ዕቁብ!CJ2</f>
        <v>45452</v>
      </c>
      <c r="CJ2" s="35">
        <f>ዕቁብ!CK2</f>
        <v>45459</v>
      </c>
      <c r="CK2" s="35">
        <f>ዕቁብ!CL2</f>
        <v>45466</v>
      </c>
      <c r="CL2" s="35">
        <f>ዕቁብ!CM2</f>
        <v>45473</v>
      </c>
      <c r="CM2" s="35">
        <f>ዕቁብ!CN2</f>
        <v>45480</v>
      </c>
      <c r="CN2" s="35">
        <f>ዕቁብ!CO2</f>
        <v>45487</v>
      </c>
      <c r="CO2" s="35">
        <f>ዕቁብ!CP2</f>
        <v>45494</v>
      </c>
      <c r="CP2" s="35">
        <f>ዕቁብ!CQ2</f>
        <v>45501</v>
      </c>
      <c r="CQ2" s="35">
        <f>ዕቁብ!CR2</f>
        <v>45508</v>
      </c>
      <c r="CR2" s="35">
        <f>ዕቁብ!CS2</f>
        <v>45515</v>
      </c>
      <c r="CS2" s="35">
        <f>ዕቁብ!CT2</f>
        <v>45522</v>
      </c>
      <c r="CT2" s="35">
        <f>ዕቁብ!CU2</f>
        <v>45529</v>
      </c>
      <c r="CU2" s="35">
        <f>ዕቁብ!CV2</f>
        <v>45536</v>
      </c>
      <c r="CV2" s="35">
        <f>ዕቁብ!CW2</f>
        <v>45543</v>
      </c>
      <c r="CW2" s="35">
        <f>ዕቁብ!CX2</f>
        <v>45550</v>
      </c>
      <c r="CX2" s="35">
        <f>ዕቁብ!CY2</f>
        <v>45557</v>
      </c>
      <c r="CY2" s="35">
        <f>ዕቁብ!CZ2</f>
        <v>45564</v>
      </c>
      <c r="CZ2" s="35">
        <f>ዕቁብ!DA2</f>
        <v>45571</v>
      </c>
      <c r="DA2" s="35">
        <f>ዕቁብ!DB2</f>
        <v>45578</v>
      </c>
      <c r="DB2" s="35">
        <f>ዕቁብ!DC2</f>
        <v>45585</v>
      </c>
      <c r="DC2" s="35">
        <f>ዕቁብ!DD2</f>
        <v>45592</v>
      </c>
      <c r="DD2" s="35">
        <f>ዕቁብ!DE2</f>
        <v>45599</v>
      </c>
      <c r="DE2" s="35">
        <f>ዕቁብ!DF2</f>
        <v>45606</v>
      </c>
      <c r="DF2" s="35">
        <f>ዕቁብ!DG2</f>
        <v>45613</v>
      </c>
      <c r="DG2" s="35">
        <f>ዕቁብ!DH2</f>
        <v>45620</v>
      </c>
      <c r="DH2" s="35">
        <f>ዕቁብ!DI2</f>
        <v>45627</v>
      </c>
      <c r="DI2" s="35">
        <f>ዕቁብ!DJ2</f>
        <v>45634</v>
      </c>
      <c r="DJ2" s="35">
        <f>ዕቁብ!DK2</f>
        <v>45641</v>
      </c>
      <c r="DK2" s="35">
        <f>ዕቁብ!DL2</f>
        <v>45648</v>
      </c>
      <c r="DL2" s="35">
        <f>ዕቁብ!DM2</f>
        <v>45655</v>
      </c>
      <c r="DM2" s="35">
        <f>ዕቁብ!DN2</f>
        <v>45662</v>
      </c>
      <c r="DN2" s="35">
        <f>ዕቁብ!DO2</f>
        <v>45669</v>
      </c>
      <c r="DO2" s="35">
        <f>ዕቁብ!DP2</f>
        <v>45676</v>
      </c>
      <c r="DP2" s="35">
        <f>ዕቁብ!DQ2</f>
        <v>45683</v>
      </c>
      <c r="DQ2" s="35">
        <f>ዕቁብ!DR2</f>
        <v>45690</v>
      </c>
    </row>
    <row r="3" spans="1:121" ht="14.4" x14ac:dyDescent="0.3">
      <c r="A3" s="86"/>
      <c r="B3" s="86"/>
      <c r="C3" s="34"/>
      <c r="D3" s="36">
        <f t="shared" ref="D3:DQ3" si="1">D137</f>
        <v>107</v>
      </c>
      <c r="E3" s="36">
        <f t="shared" si="1"/>
        <v>106.5</v>
      </c>
      <c r="F3" s="36">
        <f t="shared" si="1"/>
        <v>106.5</v>
      </c>
      <c r="G3" s="36">
        <f t="shared" si="1"/>
        <v>106.5</v>
      </c>
      <c r="H3" s="36">
        <f t="shared" si="1"/>
        <v>106.5</v>
      </c>
      <c r="I3" s="36">
        <f t="shared" si="1"/>
        <v>106.5</v>
      </c>
      <c r="J3" s="36">
        <f t="shared" si="1"/>
        <v>106.5</v>
      </c>
      <c r="K3" s="36">
        <f t="shared" si="1"/>
        <v>106.5</v>
      </c>
      <c r="L3" s="36">
        <f t="shared" si="1"/>
        <v>106.5</v>
      </c>
      <c r="M3" s="36">
        <f t="shared" si="1"/>
        <v>106.5</v>
      </c>
      <c r="N3" s="36">
        <f t="shared" si="1"/>
        <v>106.5</v>
      </c>
      <c r="O3" s="36">
        <f t="shared" si="1"/>
        <v>106.5</v>
      </c>
      <c r="P3" s="36">
        <f t="shared" si="1"/>
        <v>106.5</v>
      </c>
      <c r="Q3" s="36">
        <f t="shared" si="1"/>
        <v>106.5</v>
      </c>
      <c r="R3" s="36">
        <f t="shared" si="1"/>
        <v>106.5</v>
      </c>
      <c r="S3" s="36">
        <f t="shared" si="1"/>
        <v>106.5</v>
      </c>
      <c r="T3" s="36">
        <f t="shared" si="1"/>
        <v>106.5</v>
      </c>
      <c r="U3" s="36">
        <f t="shared" si="1"/>
        <v>105.5</v>
      </c>
      <c r="V3" s="36">
        <f t="shared" si="1"/>
        <v>105.5</v>
      </c>
      <c r="W3" s="36">
        <f t="shared" si="1"/>
        <v>99</v>
      </c>
      <c r="X3" s="36">
        <f t="shared" si="1"/>
        <v>101.5</v>
      </c>
      <c r="Y3" s="36">
        <f t="shared" si="1"/>
        <v>100</v>
      </c>
      <c r="Z3" s="36">
        <f t="shared" si="1"/>
        <v>104</v>
      </c>
      <c r="AA3" s="36">
        <f t="shared" si="1"/>
        <v>80</v>
      </c>
      <c r="AB3" s="36">
        <f t="shared" si="1"/>
        <v>104.5</v>
      </c>
      <c r="AC3" s="36">
        <f t="shared" si="1"/>
        <v>101.5</v>
      </c>
      <c r="AD3" s="36">
        <f t="shared" si="1"/>
        <v>99</v>
      </c>
      <c r="AE3" s="36">
        <f t="shared" si="1"/>
        <v>92</v>
      </c>
      <c r="AF3" s="36">
        <f t="shared" si="1"/>
        <v>99</v>
      </c>
      <c r="AG3" s="36">
        <f t="shared" si="1"/>
        <v>100.5</v>
      </c>
      <c r="AH3" s="36">
        <f t="shared" si="1"/>
        <v>99.5</v>
      </c>
      <c r="AI3" s="36">
        <f t="shared" si="1"/>
        <v>96.5</v>
      </c>
      <c r="AJ3" s="36">
        <f t="shared" si="1"/>
        <v>97.5</v>
      </c>
      <c r="AK3" s="36">
        <f t="shared" si="1"/>
        <v>99.5</v>
      </c>
      <c r="AL3" s="36">
        <f t="shared" si="1"/>
        <v>97.5</v>
      </c>
      <c r="AM3" s="36">
        <f t="shared" si="1"/>
        <v>100</v>
      </c>
      <c r="AN3" s="36">
        <f t="shared" si="1"/>
        <v>99.5</v>
      </c>
      <c r="AO3" s="36">
        <f t="shared" si="1"/>
        <v>101</v>
      </c>
      <c r="AP3" s="36">
        <f t="shared" si="1"/>
        <v>99.5</v>
      </c>
      <c r="AQ3" s="36">
        <f t="shared" si="1"/>
        <v>100</v>
      </c>
      <c r="AR3" s="36">
        <f t="shared" si="1"/>
        <v>90.5</v>
      </c>
      <c r="AS3" s="36">
        <f t="shared" si="1"/>
        <v>99</v>
      </c>
      <c r="AT3" s="36">
        <f t="shared" si="1"/>
        <v>96</v>
      </c>
      <c r="AU3" s="36">
        <f t="shared" si="1"/>
        <v>89.5</v>
      </c>
      <c r="AV3" s="36">
        <f t="shared" si="1"/>
        <v>92.5</v>
      </c>
      <c r="AW3" s="36">
        <f t="shared" si="1"/>
        <v>94</v>
      </c>
      <c r="AX3" s="36">
        <f t="shared" si="1"/>
        <v>90</v>
      </c>
      <c r="AY3" s="36">
        <f t="shared" si="1"/>
        <v>92.5</v>
      </c>
      <c r="AZ3" s="36">
        <f t="shared" si="1"/>
        <v>95.5</v>
      </c>
      <c r="BA3" s="36">
        <f t="shared" si="1"/>
        <v>93</v>
      </c>
      <c r="BB3" s="36">
        <f t="shared" si="1"/>
        <v>95.5</v>
      </c>
      <c r="BC3" s="36">
        <f t="shared" si="1"/>
        <v>91</v>
      </c>
      <c r="BD3" s="36">
        <f t="shared" si="1"/>
        <v>93.5</v>
      </c>
      <c r="BE3" s="36">
        <f t="shared" si="1"/>
        <v>91.5</v>
      </c>
      <c r="BF3" s="36">
        <f t="shared" si="1"/>
        <v>97</v>
      </c>
      <c r="BG3" s="36">
        <f t="shared" si="1"/>
        <v>77</v>
      </c>
      <c r="BH3" s="36">
        <f t="shared" si="1"/>
        <v>92.5</v>
      </c>
      <c r="BI3" s="36">
        <f t="shared" si="1"/>
        <v>86</v>
      </c>
      <c r="BJ3" s="36">
        <f t="shared" si="1"/>
        <v>95</v>
      </c>
      <c r="BK3" s="36">
        <f t="shared" si="1"/>
        <v>84</v>
      </c>
      <c r="BL3" s="36">
        <f t="shared" si="1"/>
        <v>95.5</v>
      </c>
      <c r="BM3" s="36">
        <f t="shared" si="1"/>
        <v>54</v>
      </c>
      <c r="BN3" s="36">
        <f t="shared" si="1"/>
        <v>94</v>
      </c>
      <c r="BO3" s="36">
        <f t="shared" si="1"/>
        <v>71</v>
      </c>
      <c r="BP3" s="36">
        <f t="shared" si="1"/>
        <v>91.5</v>
      </c>
      <c r="BQ3" s="36">
        <f t="shared" si="1"/>
        <v>86</v>
      </c>
      <c r="BR3" s="36">
        <f t="shared" si="1"/>
        <v>88.5</v>
      </c>
      <c r="BS3" s="36">
        <f t="shared" si="1"/>
        <v>86</v>
      </c>
      <c r="BT3" s="36">
        <f t="shared" si="1"/>
        <v>89.5</v>
      </c>
      <c r="BU3" s="36">
        <f t="shared" si="1"/>
        <v>81</v>
      </c>
      <c r="BV3" s="36">
        <f t="shared" si="1"/>
        <v>83</v>
      </c>
      <c r="BW3" s="36">
        <f t="shared" si="1"/>
        <v>72.5</v>
      </c>
      <c r="BX3" s="36">
        <f t="shared" si="1"/>
        <v>82.5</v>
      </c>
      <c r="BY3" s="36">
        <f t="shared" si="1"/>
        <v>74</v>
      </c>
      <c r="BZ3" s="36">
        <f t="shared" si="1"/>
        <v>77.5</v>
      </c>
      <c r="CA3" s="36">
        <f t="shared" si="1"/>
        <v>80.5</v>
      </c>
      <c r="CB3" s="36">
        <f t="shared" si="1"/>
        <v>85</v>
      </c>
      <c r="CC3" s="36">
        <f t="shared" si="1"/>
        <v>74</v>
      </c>
      <c r="CD3" s="36">
        <f t="shared" si="1"/>
        <v>48</v>
      </c>
      <c r="CE3" s="36">
        <f t="shared" si="1"/>
        <v>87.5</v>
      </c>
      <c r="CF3" s="36">
        <f t="shared" si="1"/>
        <v>75</v>
      </c>
      <c r="CG3" s="36">
        <f t="shared" si="1"/>
        <v>82</v>
      </c>
      <c r="CH3" s="36">
        <f t="shared" si="1"/>
        <v>78</v>
      </c>
      <c r="CI3" s="36">
        <f t="shared" si="1"/>
        <v>79.5</v>
      </c>
      <c r="CJ3" s="36">
        <f t="shared" si="1"/>
        <v>81</v>
      </c>
      <c r="CK3" s="36">
        <f t="shared" si="1"/>
        <v>72.5</v>
      </c>
      <c r="CL3" s="36">
        <f t="shared" si="1"/>
        <v>78</v>
      </c>
      <c r="CM3" s="36">
        <f t="shared" si="1"/>
        <v>81.5</v>
      </c>
      <c r="CN3" s="36">
        <f t="shared" si="1"/>
        <v>76.5</v>
      </c>
      <c r="CO3" s="36">
        <f t="shared" si="1"/>
        <v>76</v>
      </c>
      <c r="CP3" s="36">
        <f t="shared" si="1"/>
        <v>74</v>
      </c>
      <c r="CQ3" s="36">
        <f t="shared" si="1"/>
        <v>72.5</v>
      </c>
      <c r="CR3" s="36">
        <f t="shared" si="1"/>
        <v>75</v>
      </c>
      <c r="CS3" s="36">
        <f t="shared" si="1"/>
        <v>78</v>
      </c>
      <c r="CT3" s="36">
        <f t="shared" si="1"/>
        <v>67.5</v>
      </c>
      <c r="CU3" s="36">
        <f t="shared" si="1"/>
        <v>78.5</v>
      </c>
      <c r="CV3" s="36">
        <f t="shared" si="1"/>
        <v>74</v>
      </c>
      <c r="CW3" s="36">
        <f t="shared" si="1"/>
        <v>69.5</v>
      </c>
      <c r="CX3" s="36">
        <f t="shared" si="1"/>
        <v>76.5</v>
      </c>
      <c r="CY3" s="36">
        <f t="shared" si="1"/>
        <v>57</v>
      </c>
      <c r="CZ3" s="36">
        <f t="shared" si="1"/>
        <v>80.5</v>
      </c>
      <c r="DA3" s="36">
        <f t="shared" si="1"/>
        <v>81.5</v>
      </c>
      <c r="DB3" s="36">
        <f t="shared" si="1"/>
        <v>56.5</v>
      </c>
      <c r="DC3" s="36">
        <f t="shared" si="1"/>
        <v>73</v>
      </c>
      <c r="DD3" s="36">
        <f t="shared" si="1"/>
        <v>71</v>
      </c>
      <c r="DE3" s="36">
        <f t="shared" si="1"/>
        <v>63.5</v>
      </c>
      <c r="DF3" s="36">
        <f t="shared" si="1"/>
        <v>76.5</v>
      </c>
      <c r="DG3" s="36">
        <f t="shared" si="1"/>
        <v>64</v>
      </c>
      <c r="DH3" s="36">
        <f t="shared" si="1"/>
        <v>0</v>
      </c>
      <c r="DI3" s="36">
        <f t="shared" si="1"/>
        <v>0</v>
      </c>
      <c r="DJ3" s="36">
        <f t="shared" si="1"/>
        <v>0</v>
      </c>
      <c r="DK3" s="36">
        <f t="shared" si="1"/>
        <v>0</v>
      </c>
      <c r="DL3" s="36">
        <f t="shared" si="1"/>
        <v>0</v>
      </c>
      <c r="DM3" s="36">
        <f t="shared" si="1"/>
        <v>0</v>
      </c>
      <c r="DN3" s="36">
        <f t="shared" si="1"/>
        <v>0</v>
      </c>
      <c r="DO3" s="36">
        <f t="shared" si="1"/>
        <v>0</v>
      </c>
      <c r="DP3" s="36">
        <f t="shared" si="1"/>
        <v>0</v>
      </c>
      <c r="DQ3" s="36">
        <f t="shared" si="1"/>
        <v>0</v>
      </c>
    </row>
    <row r="4" spans="1:121" ht="14.4" x14ac:dyDescent="0.3">
      <c r="A4" s="33">
        <f>ዕቁብ!A6</f>
        <v>1</v>
      </c>
      <c r="B4" s="33" t="str">
        <f>ዕቁብ!B6</f>
        <v>መስፍን ሀ/ማሪያም</v>
      </c>
      <c r="C4" s="37">
        <f>ዕቁብ!C6</f>
        <v>21000</v>
      </c>
      <c r="D4" s="38">
        <f>IF((ዕቁብ!E6/ቦኖ!$C$4&gt;0),1,0)</f>
        <v>1</v>
      </c>
      <c r="E4" s="38">
        <f>IF((ዕቁብ!F6/ቦኖ!$C$4&gt;0),1,0)</f>
        <v>1</v>
      </c>
      <c r="F4" s="38">
        <f>IF((ዕቁብ!G6/ቦኖ!$C$4&gt;0),1,0)</f>
        <v>1</v>
      </c>
      <c r="G4" s="38">
        <f>IF((ዕቁብ!H6/ቦኖ!$C$4&gt;0),1,0)</f>
        <v>1</v>
      </c>
      <c r="H4" s="38">
        <f>IF((ዕቁብ!I6/ቦኖ!$C$4&gt;0),1,0)</f>
        <v>1</v>
      </c>
      <c r="I4" s="38">
        <f>IF((ዕቁብ!J6/ቦኖ!$C$4&gt;0),1,0)</f>
        <v>1</v>
      </c>
      <c r="J4" s="38">
        <f>IF((ዕቁብ!K6/ቦኖ!$C$4&gt;0),1,0)</f>
        <v>1</v>
      </c>
      <c r="K4" s="38">
        <f>IF((ዕቁብ!L6/ቦኖ!$C$4&gt;0),1,0)</f>
        <v>1</v>
      </c>
      <c r="L4" s="38">
        <f>IF((ዕቁብ!M6/ቦኖ!$C$4&gt;0),1,0)</f>
        <v>1</v>
      </c>
      <c r="M4" s="38">
        <f>IF((ዕቁብ!N6/ቦኖ!$C$4&gt;0),1,0)</f>
        <v>1</v>
      </c>
      <c r="N4" s="38">
        <f>IF((ዕቁብ!O6/ቦኖ!$C$4&gt;0),1,0)</f>
        <v>1</v>
      </c>
      <c r="O4" s="38">
        <f>IF((ዕቁብ!P6/ቦኖ!$C$4&gt;0),1,0)</f>
        <v>1</v>
      </c>
      <c r="P4" s="38">
        <f>IF((ዕቁብ!Q6/ቦኖ!$C$4&gt;0),1,0)</f>
        <v>1</v>
      </c>
      <c r="Q4" s="38">
        <f>IF((ዕቁብ!R6/ቦኖ!$C$4&gt;0),1,0)</f>
        <v>1</v>
      </c>
      <c r="R4" s="38">
        <f>IF((ዕቁብ!S6/ቦኖ!$C$4&gt;0),1,0)</f>
        <v>1</v>
      </c>
      <c r="S4" s="38">
        <f>IF((ዕቁብ!T6/ቦኖ!$C$4&gt;0),1,0)</f>
        <v>1</v>
      </c>
      <c r="T4" s="38">
        <f>IF((ዕቁብ!U6/ቦኖ!$C$4&gt;0),1,0)</f>
        <v>1</v>
      </c>
      <c r="U4" s="38">
        <f>IF((ዕቁብ!V6/ቦኖ!$C$4&gt;0),1,0)</f>
        <v>1</v>
      </c>
      <c r="V4" s="38">
        <f>IF((ዕቁብ!W6/ቦኖ!$C$4&gt;0),1,0)</f>
        <v>1</v>
      </c>
      <c r="W4" s="38">
        <f>IF((ዕቁብ!X6/ቦኖ!$C$4&gt;0),1,0)</f>
        <v>0</v>
      </c>
      <c r="X4" s="38">
        <f>IF((ዕቁብ!Y6/ቦኖ!$C$4&gt;0),1,0)</f>
        <v>1</v>
      </c>
      <c r="Y4" s="38">
        <f>IF((ዕቁብ!Z6/ቦኖ!$C$4&gt;0),1,0)</f>
        <v>1</v>
      </c>
      <c r="Z4" s="38">
        <f>IF((ዕቁብ!AA6/ቦኖ!$C$4&gt;0),1,0)</f>
        <v>1</v>
      </c>
      <c r="AA4" s="38">
        <f>IF((ዕቁብ!AB6/ቦኖ!$C$4&gt;0),1,0)</f>
        <v>1</v>
      </c>
      <c r="AB4" s="38">
        <f>IF((ዕቁብ!AC6/ቦኖ!$C$4&gt;0),1,0)</f>
        <v>1</v>
      </c>
      <c r="AC4" s="38">
        <f>IF((ዕቁብ!AD6/ቦኖ!$C$4&gt;0),1,0)</f>
        <v>1</v>
      </c>
      <c r="AD4" s="38">
        <f>IF((ዕቁብ!AE6/ቦኖ!$C$4&gt;0),1,0)</f>
        <v>1</v>
      </c>
      <c r="AE4" s="38">
        <f>IF((ዕቁብ!AF6/ቦኖ!$C$4&gt;0),1,0)</f>
        <v>1</v>
      </c>
      <c r="AF4" s="38">
        <f>IF((ዕቁብ!AG6/ቦኖ!$C$4&gt;0),1,0)</f>
        <v>1</v>
      </c>
      <c r="AG4" s="38">
        <f>IF((ዕቁብ!AH6/ቦኖ!$C$4&gt;0),1,0)</f>
        <v>1</v>
      </c>
      <c r="AH4" s="38">
        <f>IF((ዕቁብ!AI6/ቦኖ!$C$4&gt;0),1,0)</f>
        <v>0</v>
      </c>
      <c r="AI4" s="38">
        <f>IF((ዕቁብ!AJ6/ቦኖ!$C$4&gt;0),1,0)</f>
        <v>1</v>
      </c>
      <c r="AJ4" s="38">
        <f>IF((ዕቁብ!AK6/ቦኖ!$C$4&gt;0),1,0)</f>
        <v>0</v>
      </c>
      <c r="AK4" s="38">
        <f>IF((ዕቁብ!AL6/ቦኖ!$C$4&gt;0),1,0)</f>
        <v>1</v>
      </c>
      <c r="AL4" s="38">
        <f>IF((ዕቁብ!AM6/ቦኖ!$C$4&gt;0),1,0)</f>
        <v>1</v>
      </c>
      <c r="AM4" s="38">
        <f>IF((ዕቁብ!AN6/ቦኖ!$C$4&gt;0),1,0)</f>
        <v>1</v>
      </c>
      <c r="AN4" s="38">
        <f>IF((ዕቁብ!AO6/ቦኖ!$C$4&gt;0),1,0)</f>
        <v>1</v>
      </c>
      <c r="AO4" s="38">
        <f>IF((ዕቁብ!AP6/ቦኖ!$C$4&gt;0),1,0)</f>
        <v>1</v>
      </c>
      <c r="AP4" s="38">
        <f>IF((ዕቁብ!AQ6/ቦኖ!$C$4&gt;0),1,0)</f>
        <v>1</v>
      </c>
      <c r="AQ4" s="38">
        <f>IF((ዕቁብ!AR6/ቦኖ!$C$4&gt;0),1,0)</f>
        <v>0</v>
      </c>
      <c r="AR4" s="38">
        <f>IF((ዕቁብ!AS6/ቦኖ!$C$4&gt;0),1,0)</f>
        <v>0</v>
      </c>
      <c r="AS4" s="38">
        <f>IF((ዕቁብ!AT6/ቦኖ!$C$4&gt;0),1,0)</f>
        <v>0</v>
      </c>
      <c r="AT4" s="38">
        <f>IF((ዕቁብ!AU6/ቦኖ!$C$4&gt;0),1,0)</f>
        <v>1</v>
      </c>
      <c r="AU4" s="38">
        <f>IF((ዕቁብ!AV6/ቦኖ!$C$4&gt;0),1,0)</f>
        <v>1</v>
      </c>
      <c r="AV4" s="38">
        <f>IF((ዕቁብ!AW6/ቦኖ!$C$4&gt;0),1,0)</f>
        <v>1</v>
      </c>
      <c r="AW4" s="38">
        <f>IF((ዕቁብ!AX6/ቦኖ!$C$4&gt;0),1,0)</f>
        <v>1</v>
      </c>
      <c r="AX4" s="38">
        <f>IF((ዕቁብ!AY6/ቦኖ!$C$4&gt;0),1,0)</f>
        <v>0</v>
      </c>
      <c r="AY4" s="38">
        <f>IF((ዕቁብ!AZ6/ቦኖ!$C$4&gt;0),1,0)</f>
        <v>1</v>
      </c>
      <c r="AZ4" s="38">
        <f>IF((ዕቁብ!BA6/ቦኖ!$C$4&gt;0),1,0)</f>
        <v>1</v>
      </c>
      <c r="BA4" s="38">
        <f>IF((ዕቁብ!BB6/ቦኖ!$C$4&gt;0),1,0)</f>
        <v>0</v>
      </c>
      <c r="BB4" s="38">
        <f>IF((ዕቁብ!BC6/ቦኖ!$C$4&gt;0),1,0)</f>
        <v>1</v>
      </c>
      <c r="BC4" s="38">
        <f>IF((ዕቁብ!BD6/ቦኖ!$C$4&gt;0),1,0)</f>
        <v>1</v>
      </c>
      <c r="BD4" s="38">
        <f>IF((ዕቁብ!BE6/ቦኖ!$C$4&gt;0),1,0)</f>
        <v>1</v>
      </c>
      <c r="BE4" s="38">
        <f>IF((ዕቁብ!BF6/ቦኖ!$C$4&gt;0),1,0)</f>
        <v>1</v>
      </c>
      <c r="BF4" s="38">
        <f>IF((ዕቁብ!BG6/ቦኖ!$C$4&gt;0),1,0)</f>
        <v>0</v>
      </c>
      <c r="BG4" s="38">
        <f>IF((ዕቁብ!BH6/ቦኖ!$C$4&gt;0),1,0)</f>
        <v>1</v>
      </c>
      <c r="BH4" s="38">
        <f>IF((ዕቁብ!BI6/ቦኖ!$C$4&gt;0),1,0)</f>
        <v>1</v>
      </c>
      <c r="BI4" s="38">
        <f>IF((ዕቁብ!BJ6/ቦኖ!$C$4&gt;0),1,0)</f>
        <v>0</v>
      </c>
      <c r="BJ4" s="38">
        <f>IF((ዕቁብ!BK6/ቦኖ!$C$4&gt;0),1,0)</f>
        <v>1</v>
      </c>
      <c r="BK4" s="38">
        <f>IF((ዕቁብ!BL6/ቦኖ!$C$4&gt;0),1,0)</f>
        <v>0</v>
      </c>
      <c r="BL4" s="38">
        <f>IF((ዕቁብ!BM6/ቦኖ!$C$4&gt;0),1,0)</f>
        <v>0</v>
      </c>
      <c r="BM4" s="38">
        <f>IF((ዕቁብ!BN6/ቦኖ!$C$4&gt;0),1,0)</f>
        <v>0</v>
      </c>
      <c r="BN4" s="38">
        <f>IF((ዕቁብ!BO6/ቦኖ!$C$4&gt;0),1,0)</f>
        <v>1</v>
      </c>
      <c r="BO4" s="38">
        <f>IF((ዕቁብ!BP6/ቦኖ!$C$4&gt;0),1,0)</f>
        <v>0</v>
      </c>
      <c r="BP4" s="38">
        <f>IF((ዕቁብ!BQ6/ቦኖ!$C$4&gt;0),1,0)</f>
        <v>0</v>
      </c>
      <c r="BQ4" s="38">
        <f>IF((ዕቁብ!BR6/ቦኖ!$C$4&gt;0),1,0)</f>
        <v>1</v>
      </c>
      <c r="BR4" s="38">
        <f>IF((ዕቁብ!BS6/ቦኖ!$C$4&gt;0),1,0)</f>
        <v>0</v>
      </c>
      <c r="BS4" s="38">
        <f>IF((ዕቁብ!BT6/ቦኖ!$C$4&gt;0),1,0)</f>
        <v>1</v>
      </c>
      <c r="BT4" s="38">
        <f>IF((ዕቁብ!BU6/ቦኖ!$C$4&gt;0),1,0)</f>
        <v>1</v>
      </c>
      <c r="BU4" s="38">
        <f>IF((ዕቁብ!BV6/ቦኖ!$C$4&gt;0),1,0)</f>
        <v>0</v>
      </c>
      <c r="BV4" s="38">
        <f>IF((ዕቁብ!BW6/ቦኖ!$C$4&gt;0),1,0)</f>
        <v>1</v>
      </c>
      <c r="BW4" s="38">
        <f>IF((ዕቁብ!BX6/ቦኖ!$C$4&gt;0),1,0)</f>
        <v>0</v>
      </c>
      <c r="BX4" s="38">
        <f>IF((ዕቁብ!BY6/ቦኖ!$C$4&gt;0),1,0)</f>
        <v>0</v>
      </c>
      <c r="BY4" s="38">
        <f>IF((ዕቁብ!BZ6/ቦኖ!$C$4&gt;0),1,0)</f>
        <v>1</v>
      </c>
      <c r="BZ4" s="38">
        <f>IF((ዕቁብ!CA6/ቦኖ!$C$4&gt;0),1,0)</f>
        <v>1</v>
      </c>
      <c r="CA4" s="38">
        <f>IF((ዕቁብ!CB6/ቦኖ!$C$4&gt;0),1,0)</f>
        <v>0</v>
      </c>
      <c r="CB4" s="38">
        <f>IF((ዕቁብ!CC6/ቦኖ!$C$4&gt;0),1,0)</f>
        <v>0</v>
      </c>
      <c r="CC4" s="38">
        <f>IF((ዕቁብ!CD6/ቦኖ!$C$4&gt;0),1,0)</f>
        <v>0</v>
      </c>
      <c r="CD4" s="38">
        <f>IF((ዕቁብ!CE6/ቦኖ!$C$4&gt;0),1,0)</f>
        <v>0</v>
      </c>
      <c r="CE4" s="38">
        <f>IF((ዕቁብ!CF6/ቦኖ!$C$4&gt;0),1,0)</f>
        <v>0</v>
      </c>
      <c r="CF4" s="38">
        <f>IF((ዕቁብ!CG6/ቦኖ!$C$4&gt;0),1,0)</f>
        <v>1</v>
      </c>
      <c r="CG4" s="38">
        <f>IF((ዕቁብ!CH6/ቦኖ!$C$4&gt;0),1,0)</f>
        <v>0</v>
      </c>
      <c r="CH4" s="38">
        <f>IF((ዕቁብ!CI6/ቦኖ!$C$4&gt;0),1,0)</f>
        <v>1</v>
      </c>
      <c r="CI4" s="38">
        <f>IF((ዕቁብ!CJ6/ቦኖ!$C$4&gt;0),1,0)</f>
        <v>0</v>
      </c>
      <c r="CJ4" s="38">
        <f>IF((ዕቁብ!CK6/ቦኖ!$C$4&gt;0),1,0)</f>
        <v>1</v>
      </c>
      <c r="CK4" s="38">
        <f>IF((ዕቁብ!CL6/ቦኖ!$C$4&gt;0),1,0)</f>
        <v>1</v>
      </c>
      <c r="CL4" s="38">
        <f>IF((ዕቁብ!CM6/ቦኖ!$C$4&gt;0),1,0)</f>
        <v>1</v>
      </c>
      <c r="CM4" s="38">
        <f>IF((ዕቁብ!CN6/ቦኖ!$C$4&gt;0),1,0)</f>
        <v>1</v>
      </c>
      <c r="CN4" s="38">
        <f>IF((ዕቁብ!CO6/ቦኖ!$C$4&gt;0),1,0)</f>
        <v>0</v>
      </c>
      <c r="CO4" s="38">
        <f>IF((ዕቁብ!CP6/ቦኖ!$C$4&gt;0),1,0)</f>
        <v>0</v>
      </c>
      <c r="CP4" s="38">
        <f>IF((ዕቁብ!CQ6/ቦኖ!$C$4&gt;0),1,0)</f>
        <v>1</v>
      </c>
      <c r="CQ4" s="38">
        <f>IF((ዕቁብ!CR6/ቦኖ!$C$4&gt;0),1,0)</f>
        <v>1</v>
      </c>
      <c r="CR4" s="38">
        <f>IF((ዕቁብ!CS6/ቦኖ!$C$4&gt;0),1,0)</f>
        <v>1</v>
      </c>
      <c r="CS4" s="38">
        <f>IF((ዕቁብ!CT6/ቦኖ!$C$4&gt;0),1,0)</f>
        <v>1</v>
      </c>
      <c r="CT4" s="38">
        <f>IF((ዕቁብ!CU6/ቦኖ!$C$4&gt;0),1,0)</f>
        <v>0</v>
      </c>
      <c r="CU4" s="38">
        <f>IF((ዕቁብ!CV6/ቦኖ!$C$4&gt;0),1,0)</f>
        <v>0</v>
      </c>
      <c r="CV4" s="38">
        <f>IF((ዕቁብ!CW6/ቦኖ!$C$4&gt;0),1,0)</f>
        <v>1</v>
      </c>
      <c r="CW4" s="38">
        <f>IF((ዕቁብ!CX6/ቦኖ!$C$4&gt;0),1,0)</f>
        <v>1</v>
      </c>
      <c r="CX4" s="38">
        <f>IF((ዕቁብ!CY6/ቦኖ!$C$4&gt;0),1,0)</f>
        <v>1</v>
      </c>
      <c r="CY4" s="38">
        <f>IF((ዕቁብ!CZ6/ቦኖ!$C$4&gt;0),1,0)</f>
        <v>0</v>
      </c>
      <c r="CZ4" s="38">
        <f>IF((ዕቁብ!DA6/ቦኖ!$C$4&gt;0),1,0)</f>
        <v>0</v>
      </c>
      <c r="DA4" s="38">
        <f>IF((ዕቁብ!DB6/ቦኖ!$C$4&gt;0),1,0)</f>
        <v>0</v>
      </c>
      <c r="DB4" s="38">
        <f>IF((ዕቁብ!DC6/ቦኖ!$C$4&gt;0),1,0)</f>
        <v>1</v>
      </c>
      <c r="DC4" s="38">
        <f>IF((ዕቁብ!DD6/ቦኖ!$C$4&gt;0),1,0)</f>
        <v>1</v>
      </c>
      <c r="DD4" s="38">
        <f>IF((ዕቁብ!DE6/ቦኖ!$C$4&gt;0),1,0)</f>
        <v>1</v>
      </c>
      <c r="DE4" s="38">
        <f>IF((ዕቁብ!DF6/ቦኖ!$C$4&gt;0),1,0)</f>
        <v>1</v>
      </c>
      <c r="DF4" s="38">
        <f>IF((ዕቁብ!DG6/ቦኖ!$C$4&gt;0),1,0)</f>
        <v>0</v>
      </c>
      <c r="DG4" s="38">
        <f>IF((ዕቁብ!DH6/ቦኖ!$C$4&gt;0),1,0)</f>
        <v>0</v>
      </c>
      <c r="DH4" s="38">
        <f>IF((ዕቁብ!DI6/ቦኖ!$C$4&gt;0),1,0)</f>
        <v>0</v>
      </c>
      <c r="DI4" s="38">
        <f>IF((ዕቁብ!DJ6/ቦኖ!$C$4&gt;0),1,0)</f>
        <v>0</v>
      </c>
      <c r="DJ4" s="38">
        <f>IF((ዕቁብ!DK6/ቦኖ!$C$4&gt;0),1,0)</f>
        <v>0</v>
      </c>
      <c r="DK4" s="38">
        <f>IF((ዕቁብ!DL6/ቦኖ!$C$4&gt;0),1,0)</f>
        <v>0</v>
      </c>
      <c r="DL4" s="38">
        <f>IF((ዕቁብ!DM6/ቦኖ!$C$4&gt;0),1,0)</f>
        <v>0</v>
      </c>
      <c r="DM4" s="38">
        <f>IF((ዕቁብ!DN6/ቦኖ!$C$4&gt;0),1,0)</f>
        <v>0</v>
      </c>
      <c r="DN4" s="38">
        <f>IF((ዕቁብ!DO6/ቦኖ!$C$4&gt;0),1,0)</f>
        <v>0</v>
      </c>
      <c r="DO4" s="38">
        <f>IF((ዕቁብ!DP6/ቦኖ!$C$4&gt;0),1,0)</f>
        <v>0</v>
      </c>
      <c r="DP4" s="38">
        <f>IF((ዕቁብ!DQ6/ቦኖ!$C$4&gt;0),1,0)</f>
        <v>0</v>
      </c>
      <c r="DQ4" s="38">
        <f>IF((ዕቁብ!DR6/ቦኖ!$C$4&gt;0),1,0)</f>
        <v>0</v>
      </c>
    </row>
    <row r="5" spans="1:121" ht="14.4" x14ac:dyDescent="0.3">
      <c r="A5" s="33">
        <f>ዕቁብ!A7</f>
        <v>2</v>
      </c>
      <c r="B5" s="33" t="str">
        <f>ዕቁብ!B7</f>
        <v>ዓማኑኤል አላሮ</v>
      </c>
      <c r="C5" s="37">
        <f>ዕቁብ!C7</f>
        <v>21000</v>
      </c>
      <c r="D5" s="38">
        <f>IF((ዕቁብ!E7/ቦኖ!$C$4&gt;0),1,0)</f>
        <v>1</v>
      </c>
      <c r="E5" s="38">
        <f>IF((ዕቁብ!F7/ቦኖ!$C$4&gt;0),1,0)</f>
        <v>1</v>
      </c>
      <c r="F5" s="38">
        <f>IF((ዕቁብ!G7/ቦኖ!$C$4&gt;0),1,0)</f>
        <v>1</v>
      </c>
      <c r="G5" s="38">
        <f>IF((ዕቁብ!H7/ቦኖ!$C$4&gt;0),1,0)</f>
        <v>1</v>
      </c>
      <c r="H5" s="38">
        <f>IF((ዕቁብ!I7/ቦኖ!$C$4&gt;0),1,0)</f>
        <v>1</v>
      </c>
      <c r="I5" s="38">
        <f>IF((ዕቁብ!J7/ቦኖ!$C$4&gt;0),1,0)</f>
        <v>1</v>
      </c>
      <c r="J5" s="38">
        <f>IF((ዕቁብ!K7/ቦኖ!$C$4&gt;0),1,0)</f>
        <v>1</v>
      </c>
      <c r="K5" s="38">
        <f>IF((ዕቁብ!L7/ቦኖ!$C$4&gt;0),1,0)</f>
        <v>1</v>
      </c>
      <c r="L5" s="38">
        <f>IF((ዕቁብ!M7/ቦኖ!$C$4&gt;0),1,0)</f>
        <v>1</v>
      </c>
      <c r="M5" s="38">
        <f>IF((ዕቁብ!N7/ቦኖ!$C$4&gt;0),1,0)</f>
        <v>1</v>
      </c>
      <c r="N5" s="38">
        <f>IF((ዕቁብ!O7/ቦኖ!$C$4&gt;0),1,0)</f>
        <v>1</v>
      </c>
      <c r="O5" s="38">
        <f>IF((ዕቁብ!P7/ቦኖ!$C$4&gt;0),1,0)</f>
        <v>1</v>
      </c>
      <c r="P5" s="38">
        <f>IF((ዕቁብ!Q7/ቦኖ!$C$4&gt;0),1,0)</f>
        <v>1</v>
      </c>
      <c r="Q5" s="38">
        <f>IF((ዕቁብ!R7/ቦኖ!$C$4&gt;0),1,0)</f>
        <v>1</v>
      </c>
      <c r="R5" s="38">
        <f>IF((ዕቁብ!S7/ቦኖ!$C$4&gt;0),1,0)</f>
        <v>1</v>
      </c>
      <c r="S5" s="38">
        <f>IF((ዕቁብ!T7/ቦኖ!$C$4&gt;0),1,0)</f>
        <v>1</v>
      </c>
      <c r="T5" s="38">
        <f>IF((ዕቁብ!U7/ቦኖ!$C$4&gt;0),1,0)</f>
        <v>1</v>
      </c>
      <c r="U5" s="38">
        <f>IF((ዕቁብ!V7/ቦኖ!$C$4&gt;0),1,0)</f>
        <v>1</v>
      </c>
      <c r="V5" s="38">
        <f>IF((ዕቁብ!W7/ቦኖ!$C$4&gt;0),1,0)</f>
        <v>1</v>
      </c>
      <c r="W5" s="38">
        <f>IF((ዕቁብ!X7/ቦኖ!$C$4&gt;0),1,0)</f>
        <v>1</v>
      </c>
      <c r="X5" s="38">
        <f>IF((ዕቁብ!Y7/ቦኖ!$C$4&gt;0),1,0)</f>
        <v>1</v>
      </c>
      <c r="Y5" s="38">
        <f>IF((ዕቁብ!Z7/ቦኖ!$C$4&gt;0),1,0)</f>
        <v>1</v>
      </c>
      <c r="Z5" s="38">
        <f>IF((ዕቁብ!AA7/ቦኖ!$C$4&gt;0),1,0)</f>
        <v>1</v>
      </c>
      <c r="AA5" s="38">
        <f>IF((ዕቁብ!AB7/ቦኖ!$C$4&gt;0),1,0)</f>
        <v>1</v>
      </c>
      <c r="AB5" s="38">
        <f>IF((ዕቁብ!AC7/ቦኖ!$C$4&gt;0),1,0)</f>
        <v>1</v>
      </c>
      <c r="AC5" s="38">
        <f>IF((ዕቁብ!AD7/ቦኖ!$C$4&gt;0),1,0)</f>
        <v>1</v>
      </c>
      <c r="AD5" s="38">
        <f>IF((ዕቁብ!AE7/ቦኖ!$C$4&gt;0),1,0)</f>
        <v>1</v>
      </c>
      <c r="AE5" s="38">
        <f>IF((ዕቁብ!AF7/ቦኖ!$C$4&gt;0),1,0)</f>
        <v>1</v>
      </c>
      <c r="AF5" s="38">
        <f>IF((ዕቁብ!AG7/ቦኖ!$C$4&gt;0),1,0)</f>
        <v>1</v>
      </c>
      <c r="AG5" s="38">
        <f>IF((ዕቁብ!AH7/ቦኖ!$C$4&gt;0),1,0)</f>
        <v>1</v>
      </c>
      <c r="AH5" s="38">
        <f>IF((ዕቁብ!AI7/ቦኖ!$C$4&gt;0),1,0)</f>
        <v>1</v>
      </c>
      <c r="AI5" s="38">
        <f>IF((ዕቁብ!AJ7/ቦኖ!$C$4&gt;0),1,0)</f>
        <v>1</v>
      </c>
      <c r="AJ5" s="38">
        <f>IF((ዕቁብ!AK7/ቦኖ!$C$4&gt;0),1,0)</f>
        <v>1</v>
      </c>
      <c r="AK5" s="38">
        <f>IF((ዕቁብ!AL7/ቦኖ!$C$4&gt;0),1,0)</f>
        <v>1</v>
      </c>
      <c r="AL5" s="38">
        <f>IF((ዕቁብ!AM7/ቦኖ!$C$4&gt;0),1,0)</f>
        <v>1</v>
      </c>
      <c r="AM5" s="38">
        <f>IF((ዕቁብ!AN7/ቦኖ!$C$4&gt;0),1,0)</f>
        <v>1</v>
      </c>
      <c r="AN5" s="38">
        <f>IF((ዕቁብ!AO7/ቦኖ!$C$4&gt;0),1,0)</f>
        <v>1</v>
      </c>
      <c r="AO5" s="38">
        <f>IF((ዕቁብ!AP7/ቦኖ!$C$4&gt;0),1,0)</f>
        <v>1</v>
      </c>
      <c r="AP5" s="38">
        <f>IF((ዕቁብ!AQ7/ቦኖ!$C$4&gt;0),1,0)</f>
        <v>1</v>
      </c>
      <c r="AQ5" s="38">
        <f>IF((ዕቁብ!AR7/ቦኖ!$C$4&gt;0),1,0)</f>
        <v>1</v>
      </c>
      <c r="AR5" s="38">
        <f>IF((ዕቁብ!AS7/ቦኖ!$C$4&gt;0),1,0)</f>
        <v>1</v>
      </c>
      <c r="AS5" s="38">
        <f>IF((ዕቁብ!AT7/ቦኖ!$C$4&gt;0),1,0)</f>
        <v>1</v>
      </c>
      <c r="AT5" s="38">
        <f>IF((ዕቁብ!AU7/ቦኖ!$C$4&gt;0),1,0)</f>
        <v>1</v>
      </c>
      <c r="AU5" s="38">
        <f>IF((ዕቁብ!AV7/ቦኖ!$C$4&gt;0),1,0)</f>
        <v>1</v>
      </c>
      <c r="AV5" s="38">
        <f>IF((ዕቁብ!AW7/ቦኖ!$C$4&gt;0),1,0)</f>
        <v>1</v>
      </c>
      <c r="AW5" s="38">
        <f>IF((ዕቁብ!AX7/ቦኖ!$C$4&gt;0),1,0)</f>
        <v>1</v>
      </c>
      <c r="AX5" s="38">
        <f>IF((ዕቁብ!AY7/ቦኖ!$C$4&gt;0),1,0)</f>
        <v>1</v>
      </c>
      <c r="AY5" s="38">
        <f>IF((ዕቁብ!AZ7/ቦኖ!$C$4&gt;0),1,0)</f>
        <v>1</v>
      </c>
      <c r="AZ5" s="38">
        <f>IF((ዕቁብ!BA7/ቦኖ!$C$4&gt;0),1,0)</f>
        <v>1</v>
      </c>
      <c r="BA5" s="38">
        <f>IF((ዕቁብ!BB7/ቦኖ!$C$4&gt;0),1,0)</f>
        <v>1</v>
      </c>
      <c r="BB5" s="38">
        <f>IF((ዕቁብ!BC7/ቦኖ!$C$4&gt;0),1,0)</f>
        <v>1</v>
      </c>
      <c r="BC5" s="38">
        <f>IF((ዕቁብ!BD7/ቦኖ!$C$4&gt;0),1,0)</f>
        <v>1</v>
      </c>
      <c r="BD5" s="38">
        <f>IF((ዕቁብ!BE7/ቦኖ!$C$4&gt;0),1,0)</f>
        <v>1</v>
      </c>
      <c r="BE5" s="38">
        <f>IF((ዕቁብ!BF7/ቦኖ!$C$4&gt;0),1,0)</f>
        <v>1</v>
      </c>
      <c r="BF5" s="38">
        <f>IF((ዕቁብ!BG7/ቦኖ!$C$4&gt;0),1,0)</f>
        <v>1</v>
      </c>
      <c r="BG5" s="38">
        <f>IF((ዕቁብ!BH7/ቦኖ!$C$4&gt;0),1,0)</f>
        <v>1</v>
      </c>
      <c r="BH5" s="38">
        <f>IF((ዕቁብ!BI7/ቦኖ!$C$4&gt;0),1,0)</f>
        <v>1</v>
      </c>
      <c r="BI5" s="38">
        <f>IF((ዕቁብ!BJ7/ቦኖ!$C$4&gt;0),1,0)</f>
        <v>1</v>
      </c>
      <c r="BJ5" s="38">
        <f>IF((ዕቁብ!BK7/ቦኖ!$C$4&gt;0),1,0)</f>
        <v>1</v>
      </c>
      <c r="BK5" s="38">
        <f>IF((ዕቁብ!BL7/ቦኖ!$C$4&gt;0),1,0)</f>
        <v>1</v>
      </c>
      <c r="BL5" s="38">
        <f>IF((ዕቁብ!BM7/ቦኖ!$C$4&gt;0),1,0)</f>
        <v>1</v>
      </c>
      <c r="BM5" s="38">
        <f>IF((ዕቁብ!BN7/ቦኖ!$C$4&gt;0),1,0)</f>
        <v>1</v>
      </c>
      <c r="BN5" s="38">
        <f>IF((ዕቁብ!BO7/ቦኖ!$C$4&gt;0),1,0)</f>
        <v>1</v>
      </c>
      <c r="BO5" s="38">
        <f>IF((ዕቁብ!BP7/ቦኖ!$C$4&gt;0),1,0)</f>
        <v>1</v>
      </c>
      <c r="BP5" s="38">
        <f>IF((ዕቁብ!BQ7/ቦኖ!$C$4&gt;0),1,0)</f>
        <v>1</v>
      </c>
      <c r="BQ5" s="38">
        <f>IF((ዕቁብ!BR7/ቦኖ!$C$4&gt;0),1,0)</f>
        <v>1</v>
      </c>
      <c r="BR5" s="38">
        <f>IF((ዕቁብ!BS7/ቦኖ!$C$4&gt;0),1,0)</f>
        <v>1</v>
      </c>
      <c r="BS5" s="38">
        <f>IF((ዕቁብ!BT7/ቦኖ!$C$4&gt;0),1,0)</f>
        <v>1</v>
      </c>
      <c r="BT5" s="38">
        <f>IF((ዕቁብ!BU7/ቦኖ!$C$4&gt;0),1,0)</f>
        <v>1</v>
      </c>
      <c r="BU5" s="38">
        <f>IF((ዕቁብ!BV7/ቦኖ!$C$4&gt;0),1,0)</f>
        <v>1</v>
      </c>
      <c r="BV5" s="38">
        <f>IF((ዕቁብ!BW7/ቦኖ!$C$4&gt;0),1,0)</f>
        <v>1</v>
      </c>
      <c r="BW5" s="38">
        <f>IF((ዕቁብ!BX7/ቦኖ!$C$4&gt;0),1,0)</f>
        <v>1</v>
      </c>
      <c r="BX5" s="38">
        <f>IF((ዕቁብ!BY7/ቦኖ!$C$4&gt;0),1,0)</f>
        <v>1</v>
      </c>
      <c r="BY5" s="38">
        <f>IF((ዕቁብ!BZ7/ቦኖ!$C$4&gt;0),1,0)</f>
        <v>1</v>
      </c>
      <c r="BZ5" s="38">
        <f>IF((ዕቁብ!CA7/ቦኖ!$C$4&gt;0),1,0)</f>
        <v>1</v>
      </c>
      <c r="CA5" s="38">
        <f>IF((ዕቁብ!CB7/ቦኖ!$C$4&gt;0),1,0)</f>
        <v>1</v>
      </c>
      <c r="CB5" s="38">
        <f>IF((ዕቁብ!CC7/ቦኖ!$C$4&gt;0),1,0)</f>
        <v>1</v>
      </c>
      <c r="CC5" s="38">
        <f>IF((ዕቁብ!CD7/ቦኖ!$C$4&gt;0),1,0)</f>
        <v>1</v>
      </c>
      <c r="CD5" s="38">
        <f>IF((ዕቁብ!CE7/ቦኖ!$C$4&gt;0),1,0)</f>
        <v>1</v>
      </c>
      <c r="CE5" s="38">
        <f>IF((ዕቁብ!CF7/ቦኖ!$C$4&gt;0),1,0)</f>
        <v>1</v>
      </c>
      <c r="CF5" s="38">
        <f>IF((ዕቁብ!CG7/ቦኖ!$C$4&gt;0),1,0)</f>
        <v>1</v>
      </c>
      <c r="CG5" s="38">
        <f>IF((ዕቁብ!CH7/ቦኖ!$C$4&gt;0),1,0)</f>
        <v>1</v>
      </c>
      <c r="CH5" s="38">
        <f>IF((ዕቁብ!CI7/ቦኖ!$C$4&gt;0),1,0)</f>
        <v>1</v>
      </c>
      <c r="CI5" s="38">
        <f>IF((ዕቁብ!CJ7/ቦኖ!$C$4&gt;0),1,0)</f>
        <v>1</v>
      </c>
      <c r="CJ5" s="38">
        <f>IF((ዕቁብ!CK7/ቦኖ!$C$4&gt;0),1,0)</f>
        <v>1</v>
      </c>
      <c r="CK5" s="38">
        <f>IF((ዕቁብ!CL7/ቦኖ!$C$4&gt;0),1,0)</f>
        <v>1</v>
      </c>
      <c r="CL5" s="38">
        <f>IF((ዕቁብ!CM7/ቦኖ!$C$4&gt;0),1,0)</f>
        <v>1</v>
      </c>
      <c r="CM5" s="38">
        <f>IF((ዕቁብ!CN7/ቦኖ!$C$4&gt;0),1,0)</f>
        <v>1</v>
      </c>
      <c r="CN5" s="38">
        <f>IF((ዕቁብ!CO7/ቦኖ!$C$4&gt;0),1,0)</f>
        <v>1</v>
      </c>
      <c r="CO5" s="38">
        <f>IF((ዕቁብ!CP7/ቦኖ!$C$4&gt;0),1,0)</f>
        <v>1</v>
      </c>
      <c r="CP5" s="38">
        <f>IF((ዕቁብ!CQ7/ቦኖ!$C$4&gt;0),1,0)</f>
        <v>1</v>
      </c>
      <c r="CQ5" s="38">
        <f>IF((ዕቁብ!CR7/ቦኖ!$C$4&gt;0),1,0)</f>
        <v>1</v>
      </c>
      <c r="CR5" s="38">
        <f>IF((ዕቁብ!CS7/ቦኖ!$C$4&gt;0),1,0)</f>
        <v>1</v>
      </c>
      <c r="CS5" s="38">
        <f>IF((ዕቁብ!CT7/ቦኖ!$C$4&gt;0),1,0)</f>
        <v>1</v>
      </c>
      <c r="CT5" s="38">
        <f>IF((ዕቁብ!CU7/ቦኖ!$C$4&gt;0),1,0)</f>
        <v>1</v>
      </c>
      <c r="CU5" s="38">
        <f>IF((ዕቁብ!CV7/ቦኖ!$C$4&gt;0),1,0)</f>
        <v>1</v>
      </c>
      <c r="CV5" s="38">
        <f>IF((ዕቁብ!CW7/ቦኖ!$C$4&gt;0),1,0)</f>
        <v>1</v>
      </c>
      <c r="CW5" s="38">
        <f>IF((ዕቁብ!CX7/ቦኖ!$C$4&gt;0),1,0)</f>
        <v>1</v>
      </c>
      <c r="CX5" s="38">
        <f>IF((ዕቁብ!CY7/ቦኖ!$C$4&gt;0),1,0)</f>
        <v>1</v>
      </c>
      <c r="CY5" s="38">
        <f>IF((ዕቁብ!CZ7/ቦኖ!$C$4&gt;0),1,0)</f>
        <v>1</v>
      </c>
      <c r="CZ5" s="38">
        <f>IF((ዕቁብ!DA7/ቦኖ!$C$4&gt;0),1,0)</f>
        <v>1</v>
      </c>
      <c r="DA5" s="38">
        <f>IF((ዕቁብ!DB7/ቦኖ!$C$4&gt;0),1,0)</f>
        <v>1</v>
      </c>
      <c r="DB5" s="38">
        <f>IF((ዕቁብ!DC7/ቦኖ!$C$4&gt;0),1,0)</f>
        <v>1</v>
      </c>
      <c r="DC5" s="38">
        <f>IF((ዕቁብ!DD7/ቦኖ!$C$4&gt;0),1,0)</f>
        <v>1</v>
      </c>
      <c r="DD5" s="38">
        <f>IF((ዕቁብ!DE7/ቦኖ!$C$4&gt;0),1,0)</f>
        <v>1</v>
      </c>
      <c r="DE5" s="38">
        <f>IF((ዕቁብ!DF7/ቦኖ!$C$4&gt;0),1,0)</f>
        <v>1</v>
      </c>
      <c r="DF5" s="38">
        <f>IF((ዕቁብ!DG7/ቦኖ!$C$4&gt;0),1,0)</f>
        <v>1</v>
      </c>
      <c r="DG5" s="38">
        <f>IF((ዕቁብ!DH7/ቦኖ!$C$4&gt;0),1,0)</f>
        <v>1</v>
      </c>
      <c r="DH5" s="38">
        <f>IF((ዕቁብ!DI7/ቦኖ!$C$4&gt;0),1,0)</f>
        <v>0</v>
      </c>
      <c r="DI5" s="38">
        <f>IF((ዕቁብ!DJ7/ቦኖ!$C$4&gt;0),1,0)</f>
        <v>0</v>
      </c>
      <c r="DJ5" s="38">
        <f>IF((ዕቁብ!DK7/ቦኖ!$C$4&gt;0),1,0)</f>
        <v>0</v>
      </c>
      <c r="DK5" s="38">
        <f>IF((ዕቁብ!DL7/ቦኖ!$C$4&gt;0),1,0)</f>
        <v>0</v>
      </c>
      <c r="DL5" s="38">
        <f>IF((ዕቁብ!DM7/ቦኖ!$C$4&gt;0),1,0)</f>
        <v>0</v>
      </c>
      <c r="DM5" s="38">
        <f>IF((ዕቁብ!DN7/ቦኖ!$C$4&gt;0),1,0)</f>
        <v>0</v>
      </c>
      <c r="DN5" s="38">
        <f>IF((ዕቁብ!DO7/ቦኖ!$C$4&gt;0),1,0)</f>
        <v>0</v>
      </c>
      <c r="DO5" s="38">
        <f>IF((ዕቁብ!DP7/ቦኖ!$C$4&gt;0),1,0)</f>
        <v>0</v>
      </c>
      <c r="DP5" s="38">
        <f>IF((ዕቁብ!DQ7/ቦኖ!$C$4&gt;0),1,0)</f>
        <v>0</v>
      </c>
      <c r="DQ5" s="38">
        <f>IF((ዕቁብ!DR7/ቦኖ!$C$4&gt;0),1,0)</f>
        <v>0</v>
      </c>
    </row>
    <row r="6" spans="1:121" ht="14.4" x14ac:dyDescent="0.3">
      <c r="A6" s="33">
        <f>ዕቁብ!A8</f>
        <v>3</v>
      </c>
      <c r="B6" s="33" t="str">
        <f>ዕቁብ!B8</f>
        <v>ብርሃኑ ማሩ</v>
      </c>
      <c r="C6" s="37">
        <f>ዕቁብ!C8</f>
        <v>21000</v>
      </c>
      <c r="D6" s="38">
        <f>IF((ዕቁብ!E8/ቦኖ!$C$4&gt;0),1,0)</f>
        <v>1</v>
      </c>
      <c r="E6" s="38">
        <f>IF((ዕቁብ!F8/ቦኖ!$C$4&gt;0),1,0)</f>
        <v>1</v>
      </c>
      <c r="F6" s="38">
        <f>IF((ዕቁብ!G8/ቦኖ!$C$4&gt;0),1,0)</f>
        <v>1</v>
      </c>
      <c r="G6" s="38">
        <f>IF((ዕቁብ!H8/ቦኖ!$C$4&gt;0),1,0)</f>
        <v>1</v>
      </c>
      <c r="H6" s="38">
        <f>IF((ዕቁብ!I8/ቦኖ!$C$4&gt;0),1,0)</f>
        <v>1</v>
      </c>
      <c r="I6" s="38">
        <f>IF((ዕቁብ!J8/ቦኖ!$C$4&gt;0),1,0)</f>
        <v>1</v>
      </c>
      <c r="J6" s="38">
        <f>IF((ዕቁብ!K8/ቦኖ!$C$4&gt;0),1,0)</f>
        <v>1</v>
      </c>
      <c r="K6" s="38">
        <f>IF((ዕቁብ!L8/ቦኖ!$C$4&gt;0),1,0)</f>
        <v>1</v>
      </c>
      <c r="L6" s="38">
        <f>IF((ዕቁብ!M8/ቦኖ!$C$4&gt;0),1,0)</f>
        <v>1</v>
      </c>
      <c r="M6" s="38">
        <f>IF((ዕቁብ!N8/ቦኖ!$C$4&gt;0),1,0)</f>
        <v>1</v>
      </c>
      <c r="N6" s="38">
        <f>IF((ዕቁብ!O8/ቦኖ!$C$4&gt;0),1,0)</f>
        <v>1</v>
      </c>
      <c r="O6" s="38">
        <f>IF((ዕቁብ!P8/ቦኖ!$C$4&gt;0),1,0)</f>
        <v>1</v>
      </c>
      <c r="P6" s="38">
        <f>IF((ዕቁብ!Q8/ቦኖ!$C$4&gt;0),1,0)</f>
        <v>1</v>
      </c>
      <c r="Q6" s="38">
        <f>IF((ዕቁብ!R8/ቦኖ!$C$4&gt;0),1,0)</f>
        <v>1</v>
      </c>
      <c r="R6" s="38">
        <f>IF((ዕቁብ!S8/ቦኖ!$C$4&gt;0),1,0)</f>
        <v>1</v>
      </c>
      <c r="S6" s="38">
        <f>IF((ዕቁብ!T8/ቦኖ!$C$4&gt;0),1,0)</f>
        <v>1</v>
      </c>
      <c r="T6" s="38">
        <f>IF((ዕቁብ!U8/ቦኖ!$C$4&gt;0),1,0)</f>
        <v>1</v>
      </c>
      <c r="U6" s="38">
        <f>IF((ዕቁብ!V8/ቦኖ!$C$4&gt;0),1,0)</f>
        <v>1</v>
      </c>
      <c r="V6" s="38">
        <f>IF((ዕቁብ!W8/ቦኖ!$C$4&gt;0),1,0)</f>
        <v>1</v>
      </c>
      <c r="W6" s="38">
        <f>IF((ዕቁብ!X8/ቦኖ!$C$4&gt;0),1,0)</f>
        <v>1</v>
      </c>
      <c r="X6" s="38">
        <f>IF((ዕቁብ!Y8/ቦኖ!$C$4&gt;0),1,0)</f>
        <v>1</v>
      </c>
      <c r="Y6" s="38">
        <f>IF((ዕቁብ!Z8/ቦኖ!$C$4&gt;0),1,0)</f>
        <v>1</v>
      </c>
      <c r="Z6" s="38">
        <f>IF((ዕቁብ!AA8/ቦኖ!$C$4&gt;0),1,0)</f>
        <v>1</v>
      </c>
      <c r="AA6" s="38">
        <f>IF((ዕቁብ!AB8/ቦኖ!$C$4&gt;0),1,0)</f>
        <v>1</v>
      </c>
      <c r="AB6" s="38">
        <f>IF((ዕቁብ!AC8/ቦኖ!$C$4&gt;0),1,0)</f>
        <v>1</v>
      </c>
      <c r="AC6" s="38">
        <f>IF((ዕቁብ!AD8/ቦኖ!$C$4&gt;0),1,0)</f>
        <v>1</v>
      </c>
      <c r="AD6" s="38">
        <f>IF((ዕቁብ!AE8/ቦኖ!$C$4&gt;0),1,0)</f>
        <v>1</v>
      </c>
      <c r="AE6" s="38">
        <f>IF((ዕቁብ!AF8/ቦኖ!$C$4&gt;0),1,0)</f>
        <v>1</v>
      </c>
      <c r="AF6" s="38">
        <f>IF((ዕቁብ!AG8/ቦኖ!$C$4&gt;0),1,0)</f>
        <v>1</v>
      </c>
      <c r="AG6" s="38">
        <f>IF((ዕቁብ!AH8/ቦኖ!$C$4&gt;0),1,0)</f>
        <v>1</v>
      </c>
      <c r="AH6" s="38">
        <f>IF((ዕቁብ!AI8/ቦኖ!$C$4&gt;0),1,0)</f>
        <v>1</v>
      </c>
      <c r="AI6" s="38">
        <f>IF((ዕቁብ!AJ8/ቦኖ!$C$4&gt;0),1,0)</f>
        <v>1</v>
      </c>
      <c r="AJ6" s="38">
        <f>IF((ዕቁብ!AK8/ቦኖ!$C$4&gt;0),1,0)</f>
        <v>1</v>
      </c>
      <c r="AK6" s="38">
        <f>IF((ዕቁብ!AL8/ቦኖ!$C$4&gt;0),1,0)</f>
        <v>1</v>
      </c>
      <c r="AL6" s="38">
        <f>IF((ዕቁብ!AM8/ቦኖ!$C$4&gt;0),1,0)</f>
        <v>1</v>
      </c>
      <c r="AM6" s="38">
        <f>IF((ዕቁብ!AN8/ቦኖ!$C$4&gt;0),1,0)</f>
        <v>1</v>
      </c>
      <c r="AN6" s="38">
        <f>IF((ዕቁብ!AO8/ቦኖ!$C$4&gt;0),1,0)</f>
        <v>1</v>
      </c>
      <c r="AO6" s="38">
        <f>IF((ዕቁብ!AP8/ቦኖ!$C$4&gt;0),1,0)</f>
        <v>1</v>
      </c>
      <c r="AP6" s="38">
        <f>IF((ዕቁብ!AQ8/ቦኖ!$C$4&gt;0),1,0)</f>
        <v>1</v>
      </c>
      <c r="AQ6" s="38">
        <f>IF((ዕቁብ!AR8/ቦኖ!$C$4&gt;0),1,0)</f>
        <v>1</v>
      </c>
      <c r="AR6" s="38">
        <f>IF((ዕቁብ!AS8/ቦኖ!$C$4&gt;0),1,0)</f>
        <v>1</v>
      </c>
      <c r="AS6" s="38">
        <f>IF((ዕቁብ!AT8/ቦኖ!$C$4&gt;0),1,0)</f>
        <v>1</v>
      </c>
      <c r="AT6" s="38">
        <f>IF((ዕቁብ!AU8/ቦኖ!$C$4&gt;0),1,0)</f>
        <v>1</v>
      </c>
      <c r="AU6" s="38">
        <f>IF((ዕቁብ!AV8/ቦኖ!$C$4&gt;0),1,0)</f>
        <v>1</v>
      </c>
      <c r="AV6" s="38">
        <f>IF((ዕቁብ!AW8/ቦኖ!$C$4&gt;0),1,0)</f>
        <v>1</v>
      </c>
      <c r="AW6" s="38">
        <f>IF((ዕቁብ!AX8/ቦኖ!$C$4&gt;0),1,0)</f>
        <v>1</v>
      </c>
      <c r="AX6" s="38">
        <f>IF((ዕቁብ!AY8/ቦኖ!$C$4&gt;0),1,0)</f>
        <v>1</v>
      </c>
      <c r="AY6" s="38">
        <f>IF((ዕቁብ!AZ8/ቦኖ!$C$4&gt;0),1,0)</f>
        <v>1</v>
      </c>
      <c r="AZ6" s="38">
        <f>IF((ዕቁብ!BA8/ቦኖ!$C$4&gt;0),1,0)</f>
        <v>1</v>
      </c>
      <c r="BA6" s="38">
        <f>IF((ዕቁብ!BB8/ቦኖ!$C$4&gt;0),1,0)</f>
        <v>1</v>
      </c>
      <c r="BB6" s="38">
        <f>IF((ዕቁብ!BC8/ቦኖ!$C$4&gt;0),1,0)</f>
        <v>1</v>
      </c>
      <c r="BC6" s="38">
        <f>IF((ዕቁብ!BD8/ቦኖ!$C$4&gt;0),1,0)</f>
        <v>1</v>
      </c>
      <c r="BD6" s="38">
        <f>IF((ዕቁብ!BE8/ቦኖ!$C$4&gt;0),1,0)</f>
        <v>1</v>
      </c>
      <c r="BE6" s="38">
        <f>IF((ዕቁብ!BF8/ቦኖ!$C$4&gt;0),1,0)</f>
        <v>1</v>
      </c>
      <c r="BF6" s="38">
        <f>IF((ዕቁብ!BG8/ቦኖ!$C$4&gt;0),1,0)</f>
        <v>1</v>
      </c>
      <c r="BG6" s="38">
        <f>IF((ዕቁብ!BH8/ቦኖ!$C$4&gt;0),1,0)</f>
        <v>1</v>
      </c>
      <c r="BH6" s="38">
        <f>IF((ዕቁብ!BI8/ቦኖ!$C$4&gt;0),1,0)</f>
        <v>1</v>
      </c>
      <c r="BI6" s="38">
        <f>IF((ዕቁብ!BJ8/ቦኖ!$C$4&gt;0),1,0)</f>
        <v>1</v>
      </c>
      <c r="BJ6" s="38">
        <f>IF((ዕቁብ!BK8/ቦኖ!$C$4&gt;0),1,0)</f>
        <v>1</v>
      </c>
      <c r="BK6" s="38">
        <f>IF((ዕቁብ!BL8/ቦኖ!$C$4&gt;0),1,0)</f>
        <v>1</v>
      </c>
      <c r="BL6" s="38">
        <f>IF((ዕቁብ!BM8/ቦኖ!$C$4&gt;0),1,0)</f>
        <v>1</v>
      </c>
      <c r="BM6" s="38">
        <f>IF((ዕቁብ!BN8/ቦኖ!$C$4&gt;0),1,0)</f>
        <v>1</v>
      </c>
      <c r="BN6" s="38">
        <f>IF((ዕቁብ!BO8/ቦኖ!$C$4&gt;0),1,0)</f>
        <v>0</v>
      </c>
      <c r="BO6" s="38">
        <f>IF((ዕቁብ!BP8/ቦኖ!$C$4&gt;0),1,0)</f>
        <v>1</v>
      </c>
      <c r="BP6" s="38">
        <f>IF((ዕቁብ!BQ8/ቦኖ!$C$4&gt;0),1,0)</f>
        <v>1</v>
      </c>
      <c r="BQ6" s="38">
        <f>IF((ዕቁብ!BR8/ቦኖ!$C$4&gt;0),1,0)</f>
        <v>1</v>
      </c>
      <c r="BR6" s="38">
        <f>IF((ዕቁብ!BS8/ቦኖ!$C$4&gt;0),1,0)</f>
        <v>1</v>
      </c>
      <c r="BS6" s="38">
        <f>IF((ዕቁብ!BT8/ቦኖ!$C$4&gt;0),1,0)</f>
        <v>1</v>
      </c>
      <c r="BT6" s="38">
        <f>IF((ዕቁብ!BU8/ቦኖ!$C$4&gt;0),1,0)</f>
        <v>1</v>
      </c>
      <c r="BU6" s="38">
        <f>IF((ዕቁብ!BV8/ቦኖ!$C$4&gt;0),1,0)</f>
        <v>1</v>
      </c>
      <c r="BV6" s="38">
        <f>IF((ዕቁብ!BW8/ቦኖ!$C$4&gt;0),1,0)</f>
        <v>1</v>
      </c>
      <c r="BW6" s="38">
        <f>IF((ዕቁብ!BX8/ቦኖ!$C$4&gt;0),1,0)</f>
        <v>1</v>
      </c>
      <c r="BX6" s="38">
        <f>IF((ዕቁብ!BY8/ቦኖ!$C$4&gt;0),1,0)</f>
        <v>1</v>
      </c>
      <c r="BY6" s="38">
        <f>IF((ዕቁብ!BZ8/ቦኖ!$C$4&gt;0),1,0)</f>
        <v>1</v>
      </c>
      <c r="BZ6" s="38">
        <f>IF((ዕቁብ!CA8/ቦኖ!$C$4&gt;0),1,0)</f>
        <v>1</v>
      </c>
      <c r="CA6" s="38">
        <f>IF((ዕቁብ!CB8/ቦኖ!$C$4&gt;0),1,0)</f>
        <v>1</v>
      </c>
      <c r="CB6" s="38">
        <f>IF((ዕቁብ!CC8/ቦኖ!$C$4&gt;0),1,0)</f>
        <v>1</v>
      </c>
      <c r="CC6" s="38">
        <f>IF((ዕቁብ!CD8/ቦኖ!$C$4&gt;0),1,0)</f>
        <v>1</v>
      </c>
      <c r="CD6" s="38">
        <f>IF((ዕቁብ!CE8/ቦኖ!$C$4&gt;0),1,0)</f>
        <v>1</v>
      </c>
      <c r="CE6" s="38">
        <f>IF((ዕቁብ!CF8/ቦኖ!$C$4&gt;0),1,0)</f>
        <v>1</v>
      </c>
      <c r="CF6" s="38">
        <f>IF((ዕቁብ!CG8/ቦኖ!$C$4&gt;0),1,0)</f>
        <v>1</v>
      </c>
      <c r="CG6" s="38">
        <f>IF((ዕቁብ!CH8/ቦኖ!$C$4&gt;0),1,0)</f>
        <v>1</v>
      </c>
      <c r="CH6" s="38">
        <f>IF((ዕቁብ!CI8/ቦኖ!$C$4&gt;0),1,0)</f>
        <v>1</v>
      </c>
      <c r="CI6" s="38">
        <f>IF((ዕቁብ!CJ8/ቦኖ!$C$4&gt;0),1,0)</f>
        <v>1</v>
      </c>
      <c r="CJ6" s="38">
        <f>IF((ዕቁብ!CK8/ቦኖ!$C$4&gt;0),1,0)</f>
        <v>1</v>
      </c>
      <c r="CK6" s="38">
        <f>IF((ዕቁብ!CL8/ቦኖ!$C$4&gt;0),1,0)</f>
        <v>1</v>
      </c>
      <c r="CL6" s="38">
        <f>IF((ዕቁብ!CM8/ቦኖ!$C$4&gt;0),1,0)</f>
        <v>1</v>
      </c>
      <c r="CM6" s="38">
        <f>IF((ዕቁብ!CN8/ቦኖ!$C$4&gt;0),1,0)</f>
        <v>1</v>
      </c>
      <c r="CN6" s="38">
        <f>IF((ዕቁብ!CO8/ቦኖ!$C$4&gt;0),1,0)</f>
        <v>1</v>
      </c>
      <c r="CO6" s="38">
        <f>IF((ዕቁብ!CP8/ቦኖ!$C$4&gt;0),1,0)</f>
        <v>1</v>
      </c>
      <c r="CP6" s="38">
        <f>IF((ዕቁብ!CQ8/ቦኖ!$C$4&gt;0),1,0)</f>
        <v>1</v>
      </c>
      <c r="CQ6" s="38">
        <f>IF((ዕቁብ!CR8/ቦኖ!$C$4&gt;0),1,0)</f>
        <v>1</v>
      </c>
      <c r="CR6" s="38">
        <f>IF((ዕቁብ!CS8/ቦኖ!$C$4&gt;0),1,0)</f>
        <v>1</v>
      </c>
      <c r="CS6" s="38">
        <f>IF((ዕቁብ!CT8/ቦኖ!$C$4&gt;0),1,0)</f>
        <v>1</v>
      </c>
      <c r="CT6" s="38">
        <f>IF((ዕቁብ!CU8/ቦኖ!$C$4&gt;0),1,0)</f>
        <v>1</v>
      </c>
      <c r="CU6" s="38">
        <f>IF((ዕቁብ!CV8/ቦኖ!$C$4&gt;0),1,0)</f>
        <v>1</v>
      </c>
      <c r="CV6" s="38">
        <f>IF((ዕቁብ!CW8/ቦኖ!$C$4&gt;0),1,0)</f>
        <v>1</v>
      </c>
      <c r="CW6" s="38">
        <f>IF((ዕቁብ!CX8/ቦኖ!$C$4&gt;0),1,0)</f>
        <v>1</v>
      </c>
      <c r="CX6" s="38">
        <f>IF((ዕቁብ!CY8/ቦኖ!$C$4&gt;0),1,0)</f>
        <v>1</v>
      </c>
      <c r="CY6" s="38">
        <f>IF((ዕቁብ!CZ8/ቦኖ!$C$4&gt;0),1,0)</f>
        <v>1</v>
      </c>
      <c r="CZ6" s="38">
        <f>IF((ዕቁብ!DA8/ቦኖ!$C$4&gt;0),1,0)</f>
        <v>1</v>
      </c>
      <c r="DA6" s="38">
        <f>IF((ዕቁብ!DB8/ቦኖ!$C$4&gt;0),1,0)</f>
        <v>1</v>
      </c>
      <c r="DB6" s="38">
        <f>IF((ዕቁብ!DC8/ቦኖ!$C$4&gt;0),1,0)</f>
        <v>1</v>
      </c>
      <c r="DC6" s="38">
        <f>IF((ዕቁብ!DD8/ቦኖ!$C$4&gt;0),1,0)</f>
        <v>1</v>
      </c>
      <c r="DD6" s="38">
        <f>IF((ዕቁብ!DE8/ቦኖ!$C$4&gt;0),1,0)</f>
        <v>0</v>
      </c>
      <c r="DE6" s="38">
        <f>IF((ዕቁብ!DF8/ቦኖ!$C$4&gt;0),1,0)</f>
        <v>1</v>
      </c>
      <c r="DF6" s="38">
        <f>IF((ዕቁብ!DG8/ቦኖ!$C$4&gt;0),1,0)</f>
        <v>1</v>
      </c>
      <c r="DG6" s="38">
        <f>IF((ዕቁብ!DH8/ቦኖ!$C$4&gt;0),1,0)</f>
        <v>1</v>
      </c>
      <c r="DH6" s="38">
        <f>IF((ዕቁብ!DI8/ቦኖ!$C$4&gt;0),1,0)</f>
        <v>0</v>
      </c>
      <c r="DI6" s="38">
        <f>IF((ዕቁብ!DJ8/ቦኖ!$C$4&gt;0),1,0)</f>
        <v>0</v>
      </c>
      <c r="DJ6" s="38">
        <f>IF((ዕቁብ!DK8/ቦኖ!$C$4&gt;0),1,0)</f>
        <v>0</v>
      </c>
      <c r="DK6" s="38">
        <f>IF((ዕቁብ!DL8/ቦኖ!$C$4&gt;0),1,0)</f>
        <v>0</v>
      </c>
      <c r="DL6" s="38">
        <f>IF((ዕቁብ!DM8/ቦኖ!$C$4&gt;0),1,0)</f>
        <v>0</v>
      </c>
      <c r="DM6" s="38">
        <f>IF((ዕቁብ!DN8/ቦኖ!$C$4&gt;0),1,0)</f>
        <v>0</v>
      </c>
      <c r="DN6" s="38">
        <f>IF((ዕቁብ!DO8/ቦኖ!$C$4&gt;0),1,0)</f>
        <v>0</v>
      </c>
      <c r="DO6" s="38">
        <f>IF((ዕቁብ!DP8/ቦኖ!$C$4&gt;0),1,0)</f>
        <v>0</v>
      </c>
      <c r="DP6" s="38">
        <f>IF((ዕቁብ!DQ8/ቦኖ!$C$4&gt;0),1,0)</f>
        <v>0</v>
      </c>
      <c r="DQ6" s="38">
        <f>IF((ዕቁብ!DR8/ቦኖ!$C$4&gt;0),1,0)</f>
        <v>0</v>
      </c>
    </row>
    <row r="7" spans="1:121" ht="14.4" x14ac:dyDescent="0.3">
      <c r="A7" s="33">
        <f>ዕቁብ!A9</f>
        <v>4</v>
      </c>
      <c r="B7" s="33" t="str">
        <f>ዕቁብ!B9</f>
        <v>ከፈለኝ ፃዲቁ</v>
      </c>
      <c r="C7" s="37">
        <f>ዕቁብ!C9</f>
        <v>21000</v>
      </c>
      <c r="D7" s="38">
        <f>IF((ዕቁብ!E9/ቦኖ!$C$4&gt;0),1,0)</f>
        <v>0</v>
      </c>
      <c r="E7" s="38">
        <f>IF((ዕቁብ!F9/ቦኖ!$C$4&gt;0),1,0)</f>
        <v>0</v>
      </c>
      <c r="F7" s="38">
        <f>IF((ዕቁብ!G9/ቦኖ!$C$4&gt;0),1,0)</f>
        <v>0</v>
      </c>
      <c r="G7" s="38">
        <f>IF((ዕቁብ!H9/ቦኖ!$C$4&gt;0),1,0)</f>
        <v>0</v>
      </c>
      <c r="H7" s="38">
        <f>IF((ዕቁብ!I9/ቦኖ!$C$4&gt;0),1,0)</f>
        <v>0</v>
      </c>
      <c r="I7" s="38">
        <f>IF((ዕቁብ!J9/ቦኖ!$C$4&gt;0),1,0)</f>
        <v>0</v>
      </c>
      <c r="J7" s="38">
        <f>IF((ዕቁብ!K9/ቦኖ!$C$4&gt;0),1,0)</f>
        <v>0</v>
      </c>
      <c r="K7" s="38">
        <f>IF((ዕቁብ!L9/ቦኖ!$C$4&gt;0),1,0)</f>
        <v>0</v>
      </c>
      <c r="L7" s="38">
        <f>IF((ዕቁብ!M9/ቦኖ!$C$4&gt;0),1,0)</f>
        <v>0</v>
      </c>
      <c r="M7" s="38">
        <f>IF((ዕቁብ!N9/ቦኖ!$C$4&gt;0),1,0)</f>
        <v>0</v>
      </c>
      <c r="N7" s="38">
        <f>IF((ዕቁብ!O9/ቦኖ!$C$4&gt;0),1,0)</f>
        <v>0</v>
      </c>
      <c r="O7" s="38">
        <f>IF((ዕቁብ!P9/ቦኖ!$C$4&gt;0),1,0)</f>
        <v>0</v>
      </c>
      <c r="P7" s="38">
        <f>IF((ዕቁብ!Q9/ቦኖ!$C$4&gt;0),1,0)</f>
        <v>0</v>
      </c>
      <c r="Q7" s="38">
        <f>IF((ዕቁብ!R9/ቦኖ!$C$4&gt;0),1,0)</f>
        <v>0</v>
      </c>
      <c r="R7" s="38">
        <f>IF((ዕቁብ!S9/ቦኖ!$C$4&gt;0),1,0)</f>
        <v>0</v>
      </c>
      <c r="S7" s="38">
        <f>IF((ዕቁብ!T9/ቦኖ!$C$4&gt;0),1,0)</f>
        <v>0</v>
      </c>
      <c r="T7" s="38">
        <f>IF((ዕቁብ!U9/ቦኖ!$C$4&gt;0),1,0)</f>
        <v>0</v>
      </c>
      <c r="U7" s="38">
        <f>IF((ዕቁብ!V9/ቦኖ!$C$4&gt;0),1,0)</f>
        <v>0</v>
      </c>
      <c r="V7" s="38">
        <f>IF((ዕቁብ!W9/ቦኖ!$C$4&gt;0),1,0)</f>
        <v>0</v>
      </c>
      <c r="W7" s="38">
        <f>IF((ዕቁብ!X9/ቦኖ!$C$4&gt;0),1,0)</f>
        <v>0</v>
      </c>
      <c r="X7" s="38">
        <f>IF((ዕቁብ!Y9/ቦኖ!$C$4&gt;0),1,0)</f>
        <v>0</v>
      </c>
      <c r="Y7" s="38">
        <f>IF((ዕቁብ!Z9/ቦኖ!$C$4&gt;0),1,0)</f>
        <v>0</v>
      </c>
      <c r="Z7" s="38">
        <f>IF((ዕቁብ!AA9/ቦኖ!$C$4&gt;0),1,0)</f>
        <v>0</v>
      </c>
      <c r="AA7" s="38">
        <f>IF((ዕቁብ!AB9/ቦኖ!$C$4&gt;0),1,0)</f>
        <v>0</v>
      </c>
      <c r="AB7" s="38">
        <f>IF((ዕቁብ!AC9/ቦኖ!$C$4&gt;0),1,0)</f>
        <v>0</v>
      </c>
      <c r="AC7" s="38">
        <f>IF((ዕቁብ!AD9/ቦኖ!$C$4&gt;0),1,0)</f>
        <v>0</v>
      </c>
      <c r="AD7" s="38">
        <f>IF((ዕቁብ!AE9/ቦኖ!$C$4&gt;0),1,0)</f>
        <v>0</v>
      </c>
      <c r="AE7" s="38">
        <f>IF((ዕቁብ!AF9/ቦኖ!$C$4&gt;0),1,0)</f>
        <v>0</v>
      </c>
      <c r="AF7" s="38">
        <f>IF((ዕቁብ!AG9/ቦኖ!$C$4&gt;0),1,0)</f>
        <v>0</v>
      </c>
      <c r="AG7" s="38">
        <f>IF((ዕቁብ!AH9/ቦኖ!$C$4&gt;0),1,0)</f>
        <v>0</v>
      </c>
      <c r="AH7" s="38">
        <f>IF((ዕቁብ!AI9/ቦኖ!$C$4&gt;0),1,0)</f>
        <v>0</v>
      </c>
      <c r="AI7" s="38">
        <f>IF((ዕቁብ!AJ9/ቦኖ!$C$4&gt;0),1,0)</f>
        <v>0</v>
      </c>
      <c r="AJ7" s="38">
        <f>IF((ዕቁብ!AK9/ቦኖ!$C$4&gt;0),1,0)</f>
        <v>0</v>
      </c>
      <c r="AK7" s="38">
        <f>IF((ዕቁብ!AL9/ቦኖ!$C$4&gt;0),1,0)</f>
        <v>0</v>
      </c>
      <c r="AL7" s="38">
        <f>IF((ዕቁብ!AM9/ቦኖ!$C$4&gt;0),1,0)</f>
        <v>0</v>
      </c>
      <c r="AM7" s="38">
        <f>IF((ዕቁብ!AN9/ቦኖ!$C$4&gt;0),1,0)</f>
        <v>0</v>
      </c>
      <c r="AN7" s="38">
        <f>IF((ዕቁብ!AO9/ቦኖ!$C$4&gt;0),1,0)</f>
        <v>0</v>
      </c>
      <c r="AO7" s="38">
        <f>IF((ዕቁብ!AP9/ቦኖ!$C$4&gt;0),1,0)</f>
        <v>0</v>
      </c>
      <c r="AP7" s="38">
        <f>IF((ዕቁብ!AQ9/ቦኖ!$C$4&gt;0),1,0)</f>
        <v>0</v>
      </c>
      <c r="AQ7" s="38">
        <f>IF((ዕቁብ!AR9/ቦኖ!$C$4&gt;0),1,0)</f>
        <v>0</v>
      </c>
      <c r="AR7" s="38">
        <f>IF((ዕቁብ!AS9/ቦኖ!$C$4&gt;0),1,0)</f>
        <v>0</v>
      </c>
      <c r="AS7" s="38">
        <f>IF((ዕቁብ!AT9/ቦኖ!$C$4&gt;0),1,0)</f>
        <v>0</v>
      </c>
      <c r="AT7" s="38">
        <f>IF((ዕቁብ!AU9/ቦኖ!$C$4&gt;0),1,0)</f>
        <v>0</v>
      </c>
      <c r="AU7" s="38">
        <f>IF((ዕቁብ!AV9/ቦኖ!$C$4&gt;0),1,0)</f>
        <v>0</v>
      </c>
      <c r="AV7" s="38">
        <f>IF((ዕቁብ!AW9/ቦኖ!$C$4&gt;0),1,0)</f>
        <v>0</v>
      </c>
      <c r="AW7" s="38">
        <f>IF((ዕቁብ!AX9/ቦኖ!$C$4&gt;0),1,0)</f>
        <v>0</v>
      </c>
      <c r="AX7" s="38">
        <f>IF((ዕቁብ!AY9/ቦኖ!$C$4&gt;0),1,0)</f>
        <v>0</v>
      </c>
      <c r="AY7" s="38">
        <f>IF((ዕቁብ!AZ9/ቦኖ!$C$4&gt;0),1,0)</f>
        <v>0</v>
      </c>
      <c r="AZ7" s="38">
        <f>IF((ዕቁብ!BA9/ቦኖ!$C$4&gt;0),1,0)</f>
        <v>0</v>
      </c>
      <c r="BA7" s="38">
        <f>IF((ዕቁብ!BB9/ቦኖ!$C$4&gt;0),1,0)</f>
        <v>0</v>
      </c>
      <c r="BB7" s="38">
        <f>IF((ዕቁብ!BC9/ቦኖ!$C$4&gt;0),1,0)</f>
        <v>0</v>
      </c>
      <c r="BC7" s="38">
        <f>IF((ዕቁብ!BD9/ቦኖ!$C$4&gt;0),1,0)</f>
        <v>0</v>
      </c>
      <c r="BD7" s="38">
        <f>IF((ዕቁብ!BE9/ቦኖ!$C$4&gt;0),1,0)</f>
        <v>0</v>
      </c>
      <c r="BE7" s="38">
        <f>IF((ዕቁብ!BF9/ቦኖ!$C$4&gt;0),1,0)</f>
        <v>0</v>
      </c>
      <c r="BF7" s="38">
        <f>IF((ዕቁብ!BG9/ቦኖ!$C$4&gt;0),1,0)</f>
        <v>0</v>
      </c>
      <c r="BG7" s="38">
        <f>IF((ዕቁብ!BH9/ቦኖ!$C$4&gt;0),1,0)</f>
        <v>0</v>
      </c>
      <c r="BH7" s="38">
        <f>IF((ዕቁብ!BI9/ቦኖ!$C$4&gt;0),1,0)</f>
        <v>0</v>
      </c>
      <c r="BI7" s="38">
        <f>IF((ዕቁብ!BJ9/ቦኖ!$C$4&gt;0),1,0)</f>
        <v>0</v>
      </c>
      <c r="BJ7" s="38">
        <f>IF((ዕቁብ!BK9/ቦኖ!$C$4&gt;0),1,0)</f>
        <v>0</v>
      </c>
      <c r="BK7" s="38">
        <f>IF((ዕቁብ!BL9/ቦኖ!$C$4&gt;0),1,0)</f>
        <v>0</v>
      </c>
      <c r="BL7" s="38">
        <f>IF((ዕቁብ!BM9/ቦኖ!$C$4&gt;0),1,0)</f>
        <v>0</v>
      </c>
      <c r="BM7" s="38">
        <f>IF((ዕቁብ!BN9/ቦኖ!$C$4&gt;0),1,0)</f>
        <v>0</v>
      </c>
      <c r="BN7" s="38">
        <f>IF((ዕቁብ!BO9/ቦኖ!$C$4&gt;0),1,0)</f>
        <v>0</v>
      </c>
      <c r="BO7" s="38">
        <f>IF((ዕቁብ!BP9/ቦኖ!$C$4&gt;0),1,0)</f>
        <v>0</v>
      </c>
      <c r="BP7" s="38">
        <f>IF((ዕቁብ!BQ9/ቦኖ!$C$4&gt;0),1,0)</f>
        <v>0</v>
      </c>
      <c r="BQ7" s="38">
        <f>IF((ዕቁብ!BR9/ቦኖ!$C$4&gt;0),1,0)</f>
        <v>0</v>
      </c>
      <c r="BR7" s="38">
        <f>IF((ዕቁብ!BS9/ቦኖ!$C$4&gt;0),1,0)</f>
        <v>0</v>
      </c>
      <c r="BS7" s="38">
        <f>IF((ዕቁብ!BT9/ቦኖ!$C$4&gt;0),1,0)</f>
        <v>0</v>
      </c>
      <c r="BT7" s="38">
        <f>IF((ዕቁብ!BU9/ቦኖ!$C$4&gt;0),1,0)</f>
        <v>0</v>
      </c>
      <c r="BU7" s="38">
        <f>IF((ዕቁብ!BV9/ቦኖ!$C$4&gt;0),1,0)</f>
        <v>0</v>
      </c>
      <c r="BV7" s="38">
        <f>IF((ዕቁብ!BW9/ቦኖ!$C$4&gt;0),1,0)</f>
        <v>0</v>
      </c>
      <c r="BW7" s="38">
        <f>IF((ዕቁብ!BX9/ቦኖ!$C$4&gt;0),1,0)</f>
        <v>0</v>
      </c>
      <c r="BX7" s="38">
        <f>IF((ዕቁብ!BY9/ቦኖ!$C$4&gt;0),1,0)</f>
        <v>0</v>
      </c>
      <c r="BY7" s="38">
        <f>IF((ዕቁብ!BZ9/ቦኖ!$C$4&gt;0),1,0)</f>
        <v>0</v>
      </c>
      <c r="BZ7" s="38">
        <f>IF((ዕቁብ!CA9/ቦኖ!$C$4&gt;0),1,0)</f>
        <v>0</v>
      </c>
      <c r="CA7" s="38">
        <f>IF((ዕቁብ!CB9/ቦኖ!$C$4&gt;0),1,0)</f>
        <v>0</v>
      </c>
      <c r="CB7" s="38">
        <f>IF((ዕቁብ!CC9/ቦኖ!$C$4&gt;0),1,0)</f>
        <v>0</v>
      </c>
      <c r="CC7" s="38">
        <f>IF((ዕቁብ!CD9/ቦኖ!$C$4&gt;0),1,0)</f>
        <v>0</v>
      </c>
      <c r="CD7" s="38">
        <f>IF((ዕቁብ!CE9/ቦኖ!$C$4&gt;0),1,0)</f>
        <v>0</v>
      </c>
      <c r="CE7" s="38">
        <f>IF((ዕቁብ!CF9/ቦኖ!$C$4&gt;0),1,0)</f>
        <v>0</v>
      </c>
      <c r="CF7" s="38">
        <f>IF((ዕቁብ!CG9/ቦኖ!$C$4&gt;0),1,0)</f>
        <v>0</v>
      </c>
      <c r="CG7" s="38">
        <f>IF((ዕቁብ!CH9/ቦኖ!$C$4&gt;0),1,0)</f>
        <v>0</v>
      </c>
      <c r="CH7" s="38">
        <f>IF((ዕቁብ!CI9/ቦኖ!$C$4&gt;0),1,0)</f>
        <v>0</v>
      </c>
      <c r="CI7" s="38">
        <f>IF((ዕቁብ!CJ9/ቦኖ!$C$4&gt;0),1,0)</f>
        <v>0</v>
      </c>
      <c r="CJ7" s="38">
        <f>IF((ዕቁብ!CK9/ቦኖ!$C$4&gt;0),1,0)</f>
        <v>0</v>
      </c>
      <c r="CK7" s="38">
        <f>IF((ዕቁብ!CL9/ቦኖ!$C$4&gt;0),1,0)</f>
        <v>0</v>
      </c>
      <c r="CL7" s="38">
        <f>IF((ዕቁብ!CM9/ቦኖ!$C$4&gt;0),1,0)</f>
        <v>0</v>
      </c>
      <c r="CM7" s="38">
        <f>IF((ዕቁብ!CN9/ቦኖ!$C$4&gt;0),1,0)</f>
        <v>0</v>
      </c>
      <c r="CN7" s="38">
        <f>IF((ዕቁብ!CO9/ቦኖ!$C$4&gt;0),1,0)</f>
        <v>0</v>
      </c>
      <c r="CO7" s="38">
        <f>IF((ዕቁብ!CP9/ቦኖ!$C$4&gt;0),1,0)</f>
        <v>0</v>
      </c>
      <c r="CP7" s="38">
        <f>IF((ዕቁብ!CQ9/ቦኖ!$C$4&gt;0),1,0)</f>
        <v>0</v>
      </c>
      <c r="CQ7" s="38">
        <f>IF((ዕቁብ!CR9/ቦኖ!$C$4&gt;0),1,0)</f>
        <v>0</v>
      </c>
      <c r="CR7" s="38">
        <f>IF((ዕቁብ!CS9/ቦኖ!$C$4&gt;0),1,0)</f>
        <v>0</v>
      </c>
      <c r="CS7" s="38">
        <f>IF((ዕቁብ!CT9/ቦኖ!$C$4&gt;0),1,0)</f>
        <v>0</v>
      </c>
      <c r="CT7" s="38">
        <f>IF((ዕቁብ!CU9/ቦኖ!$C$4&gt;0),1,0)</f>
        <v>0</v>
      </c>
      <c r="CU7" s="38">
        <f>IF((ዕቁብ!CV9/ቦኖ!$C$4&gt;0),1,0)</f>
        <v>0</v>
      </c>
      <c r="CV7" s="38">
        <f>IF((ዕቁብ!CW9/ቦኖ!$C$4&gt;0),1,0)</f>
        <v>0</v>
      </c>
      <c r="CW7" s="38">
        <f>IF((ዕቁብ!CX9/ቦኖ!$C$4&gt;0),1,0)</f>
        <v>0</v>
      </c>
      <c r="CX7" s="38">
        <f>IF((ዕቁብ!CY9/ቦኖ!$C$4&gt;0),1,0)</f>
        <v>0</v>
      </c>
      <c r="CY7" s="38">
        <f>IF((ዕቁብ!CZ9/ቦኖ!$C$4&gt;0),1,0)</f>
        <v>0</v>
      </c>
      <c r="CZ7" s="38">
        <f>IF((ዕቁብ!DA9/ቦኖ!$C$4&gt;0),1,0)</f>
        <v>0</v>
      </c>
      <c r="DA7" s="38">
        <f>IF((ዕቁብ!DB9/ቦኖ!$C$4&gt;0),1,0)</f>
        <v>0</v>
      </c>
      <c r="DB7" s="38">
        <f>IF((ዕቁብ!DC9/ቦኖ!$C$4&gt;0),1,0)</f>
        <v>0</v>
      </c>
      <c r="DC7" s="38">
        <f>IF((ዕቁብ!DD9/ቦኖ!$C$4&gt;0),1,0)</f>
        <v>0</v>
      </c>
      <c r="DD7" s="38">
        <f>IF((ዕቁብ!DE9/ቦኖ!$C$4&gt;0),1,0)</f>
        <v>0</v>
      </c>
      <c r="DE7" s="38">
        <f>IF((ዕቁብ!DF9/ቦኖ!$C$4&gt;0),1,0)</f>
        <v>0</v>
      </c>
      <c r="DF7" s="38">
        <f>IF((ዕቁብ!DG9/ቦኖ!$C$4&gt;0),1,0)</f>
        <v>0</v>
      </c>
      <c r="DG7" s="38">
        <f>IF((ዕቁብ!DH9/ቦኖ!$C$4&gt;0),1,0)</f>
        <v>0</v>
      </c>
      <c r="DH7" s="38">
        <f>IF((ዕቁብ!DI9/ቦኖ!$C$4&gt;0),1,0)</f>
        <v>0</v>
      </c>
      <c r="DI7" s="38">
        <f>IF((ዕቁብ!DJ9/ቦኖ!$C$4&gt;0),1,0)</f>
        <v>0</v>
      </c>
      <c r="DJ7" s="38">
        <f>IF((ዕቁብ!DK9/ቦኖ!$C$4&gt;0),1,0)</f>
        <v>0</v>
      </c>
      <c r="DK7" s="38">
        <f>IF((ዕቁብ!DL9/ቦኖ!$C$4&gt;0),1,0)</f>
        <v>0</v>
      </c>
      <c r="DL7" s="38">
        <f>IF((ዕቁብ!DM9/ቦኖ!$C$4&gt;0),1,0)</f>
        <v>0</v>
      </c>
      <c r="DM7" s="38">
        <f>IF((ዕቁብ!DN9/ቦኖ!$C$4&gt;0),1,0)</f>
        <v>0</v>
      </c>
      <c r="DN7" s="38">
        <f>IF((ዕቁብ!DO9/ቦኖ!$C$4&gt;0),1,0)</f>
        <v>0</v>
      </c>
      <c r="DO7" s="38">
        <f>IF((ዕቁብ!DP9/ቦኖ!$C$4&gt;0),1,0)</f>
        <v>0</v>
      </c>
      <c r="DP7" s="38">
        <f>IF((ዕቁብ!DQ9/ቦኖ!$C$4&gt;0),1,0)</f>
        <v>0</v>
      </c>
      <c r="DQ7" s="38">
        <f>IF((ዕቁብ!DR9/ቦኖ!$C$4&gt;0),1,0)</f>
        <v>0</v>
      </c>
    </row>
    <row r="8" spans="1:121" ht="14.4" x14ac:dyDescent="0.3">
      <c r="A8" s="33">
        <f>ዕቁብ!A10</f>
        <v>5</v>
      </c>
      <c r="B8" s="33" t="str">
        <f>ዕቁብ!B10</f>
        <v>አስፈው ወርጂ</v>
      </c>
      <c r="C8" s="37">
        <f>ዕቁብ!C10</f>
        <v>21000</v>
      </c>
      <c r="D8" s="38">
        <f>IF((ዕቁብ!E10/ቦኖ!$C$4&gt;0),1,0)</f>
        <v>1</v>
      </c>
      <c r="E8" s="38">
        <f>IF((ዕቁብ!F10/ቦኖ!$C$4&gt;0),1,0)</f>
        <v>1</v>
      </c>
      <c r="F8" s="38">
        <f>IF((ዕቁብ!G10/ቦኖ!$C$4&gt;0),1,0)</f>
        <v>1</v>
      </c>
      <c r="G8" s="38">
        <f>IF((ዕቁብ!H10/ቦኖ!$C$4&gt;0),1,0)</f>
        <v>1</v>
      </c>
      <c r="H8" s="38">
        <f>IF((ዕቁብ!I10/ቦኖ!$C$4&gt;0),1,0)</f>
        <v>1</v>
      </c>
      <c r="I8" s="38">
        <f>IF((ዕቁብ!J10/ቦኖ!$C$4&gt;0),1,0)</f>
        <v>1</v>
      </c>
      <c r="J8" s="38">
        <f>IF((ዕቁብ!K10/ቦኖ!$C$4&gt;0),1,0)</f>
        <v>1</v>
      </c>
      <c r="K8" s="38">
        <f>IF((ዕቁብ!L10/ቦኖ!$C$4&gt;0),1,0)</f>
        <v>1</v>
      </c>
      <c r="L8" s="38">
        <f>IF((ዕቁብ!M10/ቦኖ!$C$4&gt;0),1,0)</f>
        <v>1</v>
      </c>
      <c r="M8" s="38">
        <f>IF((ዕቁብ!N10/ቦኖ!$C$4&gt;0),1,0)</f>
        <v>1</v>
      </c>
      <c r="N8" s="38">
        <f>IF((ዕቁብ!O10/ቦኖ!$C$4&gt;0),1,0)</f>
        <v>1</v>
      </c>
      <c r="O8" s="38">
        <f>IF((ዕቁብ!P10/ቦኖ!$C$4&gt;0),1,0)</f>
        <v>1</v>
      </c>
      <c r="P8" s="38">
        <f>IF((ዕቁብ!Q10/ቦኖ!$C$4&gt;0),1,0)</f>
        <v>1</v>
      </c>
      <c r="Q8" s="38">
        <f>IF((ዕቁብ!R10/ቦኖ!$C$4&gt;0),1,0)</f>
        <v>1</v>
      </c>
      <c r="R8" s="38">
        <f>IF((ዕቁብ!S10/ቦኖ!$C$4&gt;0),1,0)</f>
        <v>1</v>
      </c>
      <c r="S8" s="38">
        <f>IF((ዕቁብ!T10/ቦኖ!$C$4&gt;0),1,0)</f>
        <v>1</v>
      </c>
      <c r="T8" s="38">
        <f>IF((ዕቁብ!U10/ቦኖ!$C$4&gt;0),1,0)</f>
        <v>1</v>
      </c>
      <c r="U8" s="38">
        <f>IF((ዕቁብ!V10/ቦኖ!$C$4&gt;0),1,0)</f>
        <v>1</v>
      </c>
      <c r="V8" s="38">
        <f>IF((ዕቁብ!W10/ቦኖ!$C$4&gt;0),1,0)</f>
        <v>1</v>
      </c>
      <c r="W8" s="38">
        <f>IF((ዕቁብ!X10/ቦኖ!$C$4&gt;0),1,0)</f>
        <v>1</v>
      </c>
      <c r="X8" s="38">
        <f>IF((ዕቁብ!Y10/ቦኖ!$C$4&gt;0),1,0)</f>
        <v>1</v>
      </c>
      <c r="Y8" s="38">
        <f>IF((ዕቁብ!Z10/ቦኖ!$C$4&gt;0),1,0)</f>
        <v>1</v>
      </c>
      <c r="Z8" s="38">
        <f>IF((ዕቁብ!AA10/ቦኖ!$C$4&gt;0),1,0)</f>
        <v>1</v>
      </c>
      <c r="AA8" s="38">
        <f>IF((ዕቁብ!AB10/ቦኖ!$C$4&gt;0),1,0)</f>
        <v>1</v>
      </c>
      <c r="AB8" s="38">
        <f>IF((ዕቁብ!AC10/ቦኖ!$C$4&gt;0),1,0)</f>
        <v>1</v>
      </c>
      <c r="AC8" s="38">
        <f>IF((ዕቁብ!AD10/ቦኖ!$C$4&gt;0),1,0)</f>
        <v>1</v>
      </c>
      <c r="AD8" s="38">
        <f>IF((ዕቁብ!AE10/ቦኖ!$C$4&gt;0),1,0)</f>
        <v>1</v>
      </c>
      <c r="AE8" s="38">
        <f>IF((ዕቁብ!AF10/ቦኖ!$C$4&gt;0),1,0)</f>
        <v>1</v>
      </c>
      <c r="AF8" s="38">
        <f>IF((ዕቁብ!AG10/ቦኖ!$C$4&gt;0),1,0)</f>
        <v>1</v>
      </c>
      <c r="AG8" s="38">
        <f>IF((ዕቁብ!AH10/ቦኖ!$C$4&gt;0),1,0)</f>
        <v>1</v>
      </c>
      <c r="AH8" s="38">
        <f>IF((ዕቁብ!AI10/ቦኖ!$C$4&gt;0),1,0)</f>
        <v>0</v>
      </c>
      <c r="AI8" s="38">
        <f>IF((ዕቁብ!AJ10/ቦኖ!$C$4&gt;0),1,0)</f>
        <v>1</v>
      </c>
      <c r="AJ8" s="38">
        <f>IF((ዕቁብ!AK10/ቦኖ!$C$4&gt;0),1,0)</f>
        <v>1</v>
      </c>
      <c r="AK8" s="38">
        <f>IF((ዕቁብ!AL10/ቦኖ!$C$4&gt;0),1,0)</f>
        <v>1</v>
      </c>
      <c r="AL8" s="38">
        <f>IF((ዕቁብ!AM10/ቦኖ!$C$4&gt;0),1,0)</f>
        <v>1</v>
      </c>
      <c r="AM8" s="38">
        <f>IF((ዕቁብ!AN10/ቦኖ!$C$4&gt;0),1,0)</f>
        <v>1</v>
      </c>
      <c r="AN8" s="38">
        <f>IF((ዕቁብ!AO10/ቦኖ!$C$4&gt;0),1,0)</f>
        <v>1</v>
      </c>
      <c r="AO8" s="38">
        <f>IF((ዕቁብ!AP10/ቦኖ!$C$4&gt;0),1,0)</f>
        <v>1</v>
      </c>
      <c r="AP8" s="38">
        <f>IF((ዕቁብ!AQ10/ቦኖ!$C$4&gt;0),1,0)</f>
        <v>1</v>
      </c>
      <c r="AQ8" s="38">
        <f>IF((ዕቁብ!AR10/ቦኖ!$C$4&gt;0),1,0)</f>
        <v>1</v>
      </c>
      <c r="AR8" s="38">
        <f>IF((ዕቁብ!AS10/ቦኖ!$C$4&gt;0),1,0)</f>
        <v>1</v>
      </c>
      <c r="AS8" s="38">
        <f>IF((ዕቁብ!AT10/ቦኖ!$C$4&gt;0),1,0)</f>
        <v>1</v>
      </c>
      <c r="AT8" s="38">
        <f>IF((ዕቁብ!AU10/ቦኖ!$C$4&gt;0),1,0)</f>
        <v>1</v>
      </c>
      <c r="AU8" s="38">
        <f>IF((ዕቁብ!AV10/ቦኖ!$C$4&gt;0),1,0)</f>
        <v>0</v>
      </c>
      <c r="AV8" s="38">
        <f>IF((ዕቁብ!AW10/ቦኖ!$C$4&gt;0),1,0)</f>
        <v>1</v>
      </c>
      <c r="AW8" s="38">
        <f>IF((ዕቁብ!AX10/ቦኖ!$C$4&gt;0),1,0)</f>
        <v>1</v>
      </c>
      <c r="AX8" s="38">
        <f>IF((ዕቁብ!AY10/ቦኖ!$C$4&gt;0),1,0)</f>
        <v>1</v>
      </c>
      <c r="AY8" s="38">
        <f>IF((ዕቁብ!AZ10/ቦኖ!$C$4&gt;0),1,0)</f>
        <v>1</v>
      </c>
      <c r="AZ8" s="38">
        <f>IF((ዕቁብ!BA10/ቦኖ!$C$4&gt;0),1,0)</f>
        <v>1</v>
      </c>
      <c r="BA8" s="38">
        <f>IF((ዕቁብ!BB10/ቦኖ!$C$4&gt;0),1,0)</f>
        <v>1</v>
      </c>
      <c r="BB8" s="38">
        <f>IF((ዕቁብ!BC10/ቦኖ!$C$4&gt;0),1,0)</f>
        <v>1</v>
      </c>
      <c r="BC8" s="38">
        <f>IF((ዕቁብ!BD10/ቦኖ!$C$4&gt;0),1,0)</f>
        <v>1</v>
      </c>
      <c r="BD8" s="38">
        <f>IF((ዕቁብ!BE10/ቦኖ!$C$4&gt;0),1,0)</f>
        <v>1</v>
      </c>
      <c r="BE8" s="38">
        <f>IF((ዕቁብ!BF10/ቦኖ!$C$4&gt;0),1,0)</f>
        <v>1</v>
      </c>
      <c r="BF8" s="38">
        <f>IF((ዕቁብ!BG10/ቦኖ!$C$4&gt;0),1,0)</f>
        <v>1</v>
      </c>
      <c r="BG8" s="38">
        <f>IF((ዕቁብ!BH10/ቦኖ!$C$4&gt;0),1,0)</f>
        <v>1</v>
      </c>
      <c r="BH8" s="38">
        <f>IF((ዕቁብ!BI10/ቦኖ!$C$4&gt;0),1,0)</f>
        <v>1</v>
      </c>
      <c r="BI8" s="38">
        <f>IF((ዕቁብ!BJ10/ቦኖ!$C$4&gt;0),1,0)</f>
        <v>1</v>
      </c>
      <c r="BJ8" s="38">
        <f>IF((ዕቁብ!BK10/ቦኖ!$C$4&gt;0),1,0)</f>
        <v>1</v>
      </c>
      <c r="BK8" s="38">
        <f>IF((ዕቁብ!BL10/ቦኖ!$C$4&gt;0),1,0)</f>
        <v>0</v>
      </c>
      <c r="BL8" s="38">
        <f>IF((ዕቁብ!BM10/ቦኖ!$C$4&gt;0),1,0)</f>
        <v>1</v>
      </c>
      <c r="BM8" s="38">
        <f>IF((ዕቁብ!BN10/ቦኖ!$C$4&gt;0),1,0)</f>
        <v>1</v>
      </c>
      <c r="BN8" s="38">
        <f>IF((ዕቁብ!BO10/ቦኖ!$C$4&gt;0),1,0)</f>
        <v>1</v>
      </c>
      <c r="BO8" s="38">
        <f>IF((ዕቁብ!BP10/ቦኖ!$C$4&gt;0),1,0)</f>
        <v>0</v>
      </c>
      <c r="BP8" s="38">
        <f>IF((ዕቁብ!BQ10/ቦኖ!$C$4&gt;0),1,0)</f>
        <v>1</v>
      </c>
      <c r="BQ8" s="38">
        <f>IF((ዕቁብ!BR10/ቦኖ!$C$4&gt;0),1,0)</f>
        <v>1</v>
      </c>
      <c r="BR8" s="38">
        <f>IF((ዕቁብ!BS10/ቦኖ!$C$4&gt;0),1,0)</f>
        <v>1</v>
      </c>
      <c r="BS8" s="38">
        <f>IF((ዕቁብ!BT10/ቦኖ!$C$4&gt;0),1,0)</f>
        <v>1</v>
      </c>
      <c r="BT8" s="38">
        <f>IF((ዕቁብ!BU10/ቦኖ!$C$4&gt;0),1,0)</f>
        <v>1</v>
      </c>
      <c r="BU8" s="38">
        <f>IF((ዕቁብ!BV10/ቦኖ!$C$4&gt;0),1,0)</f>
        <v>1</v>
      </c>
      <c r="BV8" s="38">
        <f>IF((ዕቁብ!BW10/ቦኖ!$C$4&gt;0),1,0)</f>
        <v>1</v>
      </c>
      <c r="BW8" s="38">
        <f>IF((ዕቁብ!BX10/ቦኖ!$C$4&gt;0),1,0)</f>
        <v>1</v>
      </c>
      <c r="BX8" s="38">
        <f>IF((ዕቁብ!BY10/ቦኖ!$C$4&gt;0),1,0)</f>
        <v>1</v>
      </c>
      <c r="BY8" s="38">
        <f>IF((ዕቁብ!BZ10/ቦኖ!$C$4&gt;0),1,0)</f>
        <v>1</v>
      </c>
      <c r="BZ8" s="38">
        <f>IF((ዕቁብ!CA10/ቦኖ!$C$4&gt;0),1,0)</f>
        <v>1</v>
      </c>
      <c r="CA8" s="38">
        <f>IF((ዕቁብ!CB10/ቦኖ!$C$4&gt;0),1,0)</f>
        <v>1</v>
      </c>
      <c r="CB8" s="38">
        <f>IF((ዕቁብ!CC10/ቦኖ!$C$4&gt;0),1,0)</f>
        <v>1</v>
      </c>
      <c r="CC8" s="38">
        <f>IF((ዕቁብ!CD10/ቦኖ!$C$4&gt;0),1,0)</f>
        <v>1</v>
      </c>
      <c r="CD8" s="38">
        <f>IF((ዕቁብ!CE10/ቦኖ!$C$4&gt;0),1,0)</f>
        <v>1</v>
      </c>
      <c r="CE8" s="38">
        <f>IF((ዕቁብ!CF10/ቦኖ!$C$4&gt;0),1,0)</f>
        <v>1</v>
      </c>
      <c r="CF8" s="38">
        <f>IF((ዕቁብ!CG10/ቦኖ!$C$4&gt;0),1,0)</f>
        <v>1</v>
      </c>
      <c r="CG8" s="38">
        <f>IF((ዕቁብ!CH10/ቦኖ!$C$4&gt;0),1,0)</f>
        <v>0</v>
      </c>
      <c r="CH8" s="38">
        <f>IF((ዕቁብ!CI10/ቦኖ!$C$4&gt;0),1,0)</f>
        <v>1</v>
      </c>
      <c r="CI8" s="38">
        <f>IF((ዕቁብ!CJ10/ቦኖ!$C$4&gt;0),1,0)</f>
        <v>1</v>
      </c>
      <c r="CJ8" s="38">
        <f>IF((ዕቁብ!CK10/ቦኖ!$C$4&gt;0),1,0)</f>
        <v>1</v>
      </c>
      <c r="CK8" s="38">
        <f>IF((ዕቁብ!CL10/ቦኖ!$C$4&gt;0),1,0)</f>
        <v>1</v>
      </c>
      <c r="CL8" s="38">
        <f>IF((ዕቁብ!CM10/ቦኖ!$C$4&gt;0),1,0)</f>
        <v>1</v>
      </c>
      <c r="CM8" s="38">
        <f>IF((ዕቁብ!CN10/ቦኖ!$C$4&gt;0),1,0)</f>
        <v>1</v>
      </c>
      <c r="CN8" s="38">
        <f>IF((ዕቁብ!CO10/ቦኖ!$C$4&gt;0),1,0)</f>
        <v>1</v>
      </c>
      <c r="CO8" s="38">
        <f>IF((ዕቁብ!CP10/ቦኖ!$C$4&gt;0),1,0)</f>
        <v>1</v>
      </c>
      <c r="CP8" s="38">
        <f>IF((ዕቁብ!CQ10/ቦኖ!$C$4&gt;0),1,0)</f>
        <v>0</v>
      </c>
      <c r="CQ8" s="38">
        <f>IF((ዕቁብ!CR10/ቦኖ!$C$4&gt;0),1,0)</f>
        <v>1</v>
      </c>
      <c r="CR8" s="38">
        <f>IF((ዕቁብ!CS10/ቦኖ!$C$4&gt;0),1,0)</f>
        <v>1</v>
      </c>
      <c r="CS8" s="38">
        <f>IF((ዕቁብ!CT10/ቦኖ!$C$4&gt;0),1,0)</f>
        <v>0</v>
      </c>
      <c r="CT8" s="38">
        <f>IF((ዕቁብ!CU10/ቦኖ!$C$4&gt;0),1,0)</f>
        <v>0</v>
      </c>
      <c r="CU8" s="38">
        <f>IF((ዕቁብ!CV10/ቦኖ!$C$4&gt;0),1,0)</f>
        <v>1</v>
      </c>
      <c r="CV8" s="38">
        <f>IF((ዕቁብ!CW10/ቦኖ!$C$4&gt;0),1,0)</f>
        <v>1</v>
      </c>
      <c r="CW8" s="38">
        <f>IF((ዕቁብ!CX10/ቦኖ!$C$4&gt;0),1,0)</f>
        <v>1</v>
      </c>
      <c r="CX8" s="38">
        <f>IF((ዕቁብ!CY10/ቦኖ!$C$4&gt;0),1,0)</f>
        <v>0</v>
      </c>
      <c r="CY8" s="38">
        <f>IF((ዕቁብ!CZ10/ቦኖ!$C$4&gt;0),1,0)</f>
        <v>1</v>
      </c>
      <c r="CZ8" s="38">
        <f>IF((ዕቁብ!DA10/ቦኖ!$C$4&gt;0),1,0)</f>
        <v>1</v>
      </c>
      <c r="DA8" s="38">
        <f>IF((ዕቁብ!DB10/ቦኖ!$C$4&gt;0),1,0)</f>
        <v>0</v>
      </c>
      <c r="DB8" s="38">
        <f>IF((ዕቁብ!DC10/ቦኖ!$C$4&gt;0),1,0)</f>
        <v>1</v>
      </c>
      <c r="DC8" s="38">
        <f>IF((ዕቁብ!DD10/ቦኖ!$C$4&gt;0),1,0)</f>
        <v>0</v>
      </c>
      <c r="DD8" s="38">
        <f>IF((ዕቁብ!DE10/ቦኖ!$C$4&gt;0),1,0)</f>
        <v>0</v>
      </c>
      <c r="DE8" s="38">
        <f>IF((ዕቁብ!DF10/ቦኖ!$C$4&gt;0),1,0)</f>
        <v>1</v>
      </c>
      <c r="DF8" s="38">
        <f>IF((ዕቁብ!DG10/ቦኖ!$C$4&gt;0),1,0)</f>
        <v>0</v>
      </c>
      <c r="DG8" s="38">
        <f>IF((ዕቁብ!DH10/ቦኖ!$C$4&gt;0),1,0)</f>
        <v>1</v>
      </c>
      <c r="DH8" s="38">
        <f>IF((ዕቁብ!DI10/ቦኖ!$C$4&gt;0),1,0)</f>
        <v>0</v>
      </c>
      <c r="DI8" s="38">
        <f>IF((ዕቁብ!DJ10/ቦኖ!$C$4&gt;0),1,0)</f>
        <v>0</v>
      </c>
      <c r="DJ8" s="38">
        <f>IF((ዕቁብ!DK10/ቦኖ!$C$4&gt;0),1,0)</f>
        <v>0</v>
      </c>
      <c r="DK8" s="38">
        <f>IF((ዕቁብ!DL10/ቦኖ!$C$4&gt;0),1,0)</f>
        <v>0</v>
      </c>
      <c r="DL8" s="38">
        <f>IF((ዕቁብ!DM10/ቦኖ!$C$4&gt;0),1,0)</f>
        <v>0</v>
      </c>
      <c r="DM8" s="38">
        <f>IF((ዕቁብ!DN10/ቦኖ!$C$4&gt;0),1,0)</f>
        <v>0</v>
      </c>
      <c r="DN8" s="38">
        <f>IF((ዕቁብ!DO10/ቦኖ!$C$4&gt;0),1,0)</f>
        <v>0</v>
      </c>
      <c r="DO8" s="38">
        <f>IF((ዕቁብ!DP10/ቦኖ!$C$4&gt;0),1,0)</f>
        <v>0</v>
      </c>
      <c r="DP8" s="38">
        <f>IF((ዕቁብ!DQ10/ቦኖ!$C$4&gt;0),1,0)</f>
        <v>0</v>
      </c>
      <c r="DQ8" s="38">
        <f>IF((ዕቁብ!DR10/ቦኖ!$C$4&gt;0),1,0)</f>
        <v>0</v>
      </c>
    </row>
    <row r="9" spans="1:121" ht="14.4" x14ac:dyDescent="0.3">
      <c r="A9" s="33">
        <f>ዕቁብ!A11</f>
        <v>6</v>
      </c>
      <c r="B9" s="33" t="str">
        <f>ዕቁብ!B11</f>
        <v>ከተማ ለማ</v>
      </c>
      <c r="C9" s="37">
        <f>ዕቁብ!C11</f>
        <v>21000</v>
      </c>
      <c r="D9" s="38">
        <f>IF((ዕቁብ!E11/ቦኖ!$C$4&gt;0),1,0)</f>
        <v>1</v>
      </c>
      <c r="E9" s="38">
        <f>IF((ዕቁብ!F11/ቦኖ!$C$4&gt;0),1,0)</f>
        <v>1</v>
      </c>
      <c r="F9" s="38">
        <f>IF((ዕቁብ!G11/ቦኖ!$C$4&gt;0),1,0)</f>
        <v>1</v>
      </c>
      <c r="G9" s="38">
        <f>IF((ዕቁብ!H11/ቦኖ!$C$4&gt;0),1,0)</f>
        <v>1</v>
      </c>
      <c r="H9" s="38">
        <f>IF((ዕቁብ!I11/ቦኖ!$C$4&gt;0),1,0)</f>
        <v>1</v>
      </c>
      <c r="I9" s="38">
        <f>IF((ዕቁብ!J11/ቦኖ!$C$4&gt;0),1,0)</f>
        <v>1</v>
      </c>
      <c r="J9" s="38">
        <f>IF((ዕቁብ!K11/ቦኖ!$C$4&gt;0),1,0)</f>
        <v>1</v>
      </c>
      <c r="K9" s="38">
        <f>IF((ዕቁብ!L11/ቦኖ!$C$4&gt;0),1,0)</f>
        <v>1</v>
      </c>
      <c r="L9" s="38">
        <f>IF((ዕቁብ!M11/ቦኖ!$C$4&gt;0),1,0)</f>
        <v>1</v>
      </c>
      <c r="M9" s="38">
        <f>IF((ዕቁብ!N11/ቦኖ!$C$4&gt;0),1,0)</f>
        <v>1</v>
      </c>
      <c r="N9" s="38">
        <f>IF((ዕቁብ!O11/ቦኖ!$C$4&gt;0),1,0)</f>
        <v>1</v>
      </c>
      <c r="O9" s="38">
        <f>IF((ዕቁብ!P11/ቦኖ!$C$4&gt;0),1,0)</f>
        <v>1</v>
      </c>
      <c r="P9" s="38">
        <f>IF((ዕቁብ!Q11/ቦኖ!$C$4&gt;0),1,0)</f>
        <v>1</v>
      </c>
      <c r="Q9" s="38">
        <f>IF((ዕቁብ!R11/ቦኖ!$C$4&gt;0),1,0)</f>
        <v>1</v>
      </c>
      <c r="R9" s="38">
        <f>IF((ዕቁብ!S11/ቦኖ!$C$4&gt;0),1,0)</f>
        <v>1</v>
      </c>
      <c r="S9" s="38">
        <f>IF((ዕቁብ!T11/ቦኖ!$C$4&gt;0),1,0)</f>
        <v>1</v>
      </c>
      <c r="T9" s="38">
        <f>IF((ዕቁብ!U11/ቦኖ!$C$4&gt;0),1,0)</f>
        <v>1</v>
      </c>
      <c r="U9" s="38">
        <f>IF((ዕቁብ!V11/ቦኖ!$C$4&gt;0),1,0)</f>
        <v>1</v>
      </c>
      <c r="V9" s="38">
        <f>IF((ዕቁብ!W11/ቦኖ!$C$4&gt;0),1,0)</f>
        <v>1</v>
      </c>
      <c r="W9" s="38">
        <f>IF((ዕቁብ!X11/ቦኖ!$C$4&gt;0),1,0)</f>
        <v>1</v>
      </c>
      <c r="X9" s="38">
        <f>IF((ዕቁብ!Y11/ቦኖ!$C$4&gt;0),1,0)</f>
        <v>1</v>
      </c>
      <c r="Y9" s="38">
        <f>IF((ዕቁብ!Z11/ቦኖ!$C$4&gt;0),1,0)</f>
        <v>1</v>
      </c>
      <c r="Z9" s="38">
        <f>IF((ዕቁብ!AA11/ቦኖ!$C$4&gt;0),1,0)</f>
        <v>1</v>
      </c>
      <c r="AA9" s="38">
        <f>IF((ዕቁብ!AB11/ቦኖ!$C$4&gt;0),1,0)</f>
        <v>1</v>
      </c>
      <c r="AB9" s="38">
        <f>IF((ዕቁብ!AC11/ቦኖ!$C$4&gt;0),1,0)</f>
        <v>1</v>
      </c>
      <c r="AC9" s="38">
        <f>IF((ዕቁብ!AD11/ቦኖ!$C$4&gt;0),1,0)</f>
        <v>1</v>
      </c>
      <c r="AD9" s="38">
        <f>IF((ዕቁብ!AE11/ቦኖ!$C$4&gt;0),1,0)</f>
        <v>1</v>
      </c>
      <c r="AE9" s="38">
        <f>IF((ዕቁብ!AF11/ቦኖ!$C$4&gt;0),1,0)</f>
        <v>1</v>
      </c>
      <c r="AF9" s="38">
        <f>IF((ዕቁብ!AG11/ቦኖ!$C$4&gt;0),1,0)</f>
        <v>1</v>
      </c>
      <c r="AG9" s="38">
        <f>IF((ዕቁብ!AH11/ቦኖ!$C$4&gt;0),1,0)</f>
        <v>1</v>
      </c>
      <c r="AH9" s="38">
        <f>IF((ዕቁብ!AI11/ቦኖ!$C$4&gt;0),1,0)</f>
        <v>1</v>
      </c>
      <c r="AI9" s="38">
        <f>IF((ዕቁብ!AJ11/ቦኖ!$C$4&gt;0),1,0)</f>
        <v>1</v>
      </c>
      <c r="AJ9" s="38">
        <f>IF((ዕቁብ!AK11/ቦኖ!$C$4&gt;0),1,0)</f>
        <v>1</v>
      </c>
      <c r="AK9" s="38">
        <f>IF((ዕቁብ!AL11/ቦኖ!$C$4&gt;0),1,0)</f>
        <v>1</v>
      </c>
      <c r="AL9" s="38">
        <f>IF((ዕቁብ!AM11/ቦኖ!$C$4&gt;0),1,0)</f>
        <v>1</v>
      </c>
      <c r="AM9" s="38">
        <f>IF((ዕቁብ!AN11/ቦኖ!$C$4&gt;0),1,0)</f>
        <v>1</v>
      </c>
      <c r="AN9" s="38">
        <f>IF((ዕቁብ!AO11/ቦኖ!$C$4&gt;0),1,0)</f>
        <v>1</v>
      </c>
      <c r="AO9" s="38">
        <f>IF((ዕቁብ!AP11/ቦኖ!$C$4&gt;0),1,0)</f>
        <v>1</v>
      </c>
      <c r="AP9" s="38">
        <f>IF((ዕቁብ!AQ11/ቦኖ!$C$4&gt;0),1,0)</f>
        <v>1</v>
      </c>
      <c r="AQ9" s="38">
        <f>IF((ዕቁብ!AR11/ቦኖ!$C$4&gt;0),1,0)</f>
        <v>1</v>
      </c>
      <c r="AR9" s="38">
        <f>IF((ዕቁብ!AS11/ቦኖ!$C$4&gt;0),1,0)</f>
        <v>1</v>
      </c>
      <c r="AS9" s="38">
        <f>IF((ዕቁብ!AT11/ቦኖ!$C$4&gt;0),1,0)</f>
        <v>1</v>
      </c>
      <c r="AT9" s="38">
        <f>IF((ዕቁብ!AU11/ቦኖ!$C$4&gt;0),1,0)</f>
        <v>1</v>
      </c>
      <c r="AU9" s="38">
        <f>IF((ዕቁብ!AV11/ቦኖ!$C$4&gt;0),1,0)</f>
        <v>1</v>
      </c>
      <c r="AV9" s="38">
        <f>IF((ዕቁብ!AW11/ቦኖ!$C$4&gt;0),1,0)</f>
        <v>1</v>
      </c>
      <c r="AW9" s="38">
        <f>IF((ዕቁብ!AX11/ቦኖ!$C$4&gt;0),1,0)</f>
        <v>1</v>
      </c>
      <c r="AX9" s="38">
        <f>IF((ዕቁብ!AY11/ቦኖ!$C$4&gt;0),1,0)</f>
        <v>1</v>
      </c>
      <c r="AY9" s="38">
        <f>IF((ዕቁብ!AZ11/ቦኖ!$C$4&gt;0),1,0)</f>
        <v>1</v>
      </c>
      <c r="AZ9" s="38">
        <f>IF((ዕቁብ!BA11/ቦኖ!$C$4&gt;0),1,0)</f>
        <v>1</v>
      </c>
      <c r="BA9" s="38">
        <f>IF((ዕቁብ!BB11/ቦኖ!$C$4&gt;0),1,0)</f>
        <v>1</v>
      </c>
      <c r="BB9" s="38">
        <f>IF((ዕቁብ!BC11/ቦኖ!$C$4&gt;0),1,0)</f>
        <v>1</v>
      </c>
      <c r="BC9" s="38">
        <f>IF((ዕቁብ!BD11/ቦኖ!$C$4&gt;0),1,0)</f>
        <v>1</v>
      </c>
      <c r="BD9" s="38">
        <f>IF((ዕቁብ!BE11/ቦኖ!$C$4&gt;0),1,0)</f>
        <v>1</v>
      </c>
      <c r="BE9" s="38">
        <f>IF((ዕቁብ!BF11/ቦኖ!$C$4&gt;0),1,0)</f>
        <v>1</v>
      </c>
      <c r="BF9" s="38">
        <f>IF((ዕቁብ!BG11/ቦኖ!$C$4&gt;0),1,0)</f>
        <v>1</v>
      </c>
      <c r="BG9" s="38">
        <f>IF((ዕቁብ!BH11/ቦኖ!$C$4&gt;0),1,0)</f>
        <v>1</v>
      </c>
      <c r="BH9" s="38">
        <f>IF((ዕቁብ!BI11/ቦኖ!$C$4&gt;0),1,0)</f>
        <v>1</v>
      </c>
      <c r="BI9" s="38">
        <f>IF((ዕቁብ!BJ11/ቦኖ!$C$4&gt;0),1,0)</f>
        <v>1</v>
      </c>
      <c r="BJ9" s="38">
        <f>IF((ዕቁብ!BK11/ቦኖ!$C$4&gt;0),1,0)</f>
        <v>1</v>
      </c>
      <c r="BK9" s="38">
        <f>IF((ዕቁብ!BL11/ቦኖ!$C$4&gt;0),1,0)</f>
        <v>1</v>
      </c>
      <c r="BL9" s="38">
        <f>IF((ዕቁብ!BM11/ቦኖ!$C$4&gt;0),1,0)</f>
        <v>1</v>
      </c>
      <c r="BM9" s="38">
        <f>IF((ዕቁብ!BN11/ቦኖ!$C$4&gt;0),1,0)</f>
        <v>1</v>
      </c>
      <c r="BN9" s="38">
        <f>IF((ዕቁብ!BO11/ቦኖ!$C$4&gt;0),1,0)</f>
        <v>1</v>
      </c>
      <c r="BO9" s="38">
        <f>IF((ዕቁብ!BP11/ቦኖ!$C$4&gt;0),1,0)</f>
        <v>1</v>
      </c>
      <c r="BP9" s="38">
        <f>IF((ዕቁብ!BQ11/ቦኖ!$C$4&gt;0),1,0)</f>
        <v>1</v>
      </c>
      <c r="BQ9" s="38">
        <f>IF((ዕቁብ!BR11/ቦኖ!$C$4&gt;0),1,0)</f>
        <v>1</v>
      </c>
      <c r="BR9" s="38">
        <f>IF((ዕቁብ!BS11/ቦኖ!$C$4&gt;0),1,0)</f>
        <v>1</v>
      </c>
      <c r="BS9" s="38">
        <f>IF((ዕቁብ!BT11/ቦኖ!$C$4&gt;0),1,0)</f>
        <v>1</v>
      </c>
      <c r="BT9" s="38">
        <f>IF((ዕቁብ!BU11/ቦኖ!$C$4&gt;0),1,0)</f>
        <v>1</v>
      </c>
      <c r="BU9" s="38">
        <f>IF((ዕቁብ!BV11/ቦኖ!$C$4&gt;0),1,0)</f>
        <v>1</v>
      </c>
      <c r="BV9" s="38">
        <f>IF((ዕቁብ!BW11/ቦኖ!$C$4&gt;0),1,0)</f>
        <v>1</v>
      </c>
      <c r="BW9" s="38">
        <f>IF((ዕቁብ!BX11/ቦኖ!$C$4&gt;0),1,0)</f>
        <v>1</v>
      </c>
      <c r="BX9" s="38">
        <f>IF((ዕቁብ!BY11/ቦኖ!$C$4&gt;0),1,0)</f>
        <v>1</v>
      </c>
      <c r="BY9" s="38">
        <f>IF((ዕቁብ!BZ11/ቦኖ!$C$4&gt;0),1,0)</f>
        <v>1</v>
      </c>
      <c r="BZ9" s="38">
        <f>IF((ዕቁብ!CA11/ቦኖ!$C$4&gt;0),1,0)</f>
        <v>1</v>
      </c>
      <c r="CA9" s="38">
        <f>IF((ዕቁብ!CB11/ቦኖ!$C$4&gt;0),1,0)</f>
        <v>1</v>
      </c>
      <c r="CB9" s="38">
        <f>IF((ዕቁብ!CC11/ቦኖ!$C$4&gt;0),1,0)</f>
        <v>1</v>
      </c>
      <c r="CC9" s="38">
        <f>IF((ዕቁብ!CD11/ቦኖ!$C$4&gt;0),1,0)</f>
        <v>0</v>
      </c>
      <c r="CD9" s="38">
        <f>IF((ዕቁብ!CE11/ቦኖ!$C$4&gt;0),1,0)</f>
        <v>1</v>
      </c>
      <c r="CE9" s="38">
        <f>IF((ዕቁብ!CF11/ቦኖ!$C$4&gt;0),1,0)</f>
        <v>1</v>
      </c>
      <c r="CF9" s="38">
        <f>IF((ዕቁብ!CG11/ቦኖ!$C$4&gt;0),1,0)</f>
        <v>1</v>
      </c>
      <c r="CG9" s="38">
        <f>IF((ዕቁብ!CH11/ቦኖ!$C$4&gt;0),1,0)</f>
        <v>1</v>
      </c>
      <c r="CH9" s="38">
        <f>IF((ዕቁብ!CI11/ቦኖ!$C$4&gt;0),1,0)</f>
        <v>1</v>
      </c>
      <c r="CI9" s="38">
        <f>IF((ዕቁብ!CJ11/ቦኖ!$C$4&gt;0),1,0)</f>
        <v>0</v>
      </c>
      <c r="CJ9" s="38">
        <f>IF((ዕቁብ!CK11/ቦኖ!$C$4&gt;0),1,0)</f>
        <v>1</v>
      </c>
      <c r="CK9" s="38">
        <f>IF((ዕቁብ!CL11/ቦኖ!$C$4&gt;0),1,0)</f>
        <v>1</v>
      </c>
      <c r="CL9" s="38">
        <f>IF((ዕቁብ!CM11/ቦኖ!$C$4&gt;0),1,0)</f>
        <v>1</v>
      </c>
      <c r="CM9" s="38">
        <f>IF((ዕቁብ!CN11/ቦኖ!$C$4&gt;0),1,0)</f>
        <v>1</v>
      </c>
      <c r="CN9" s="38">
        <f>IF((ዕቁብ!CO11/ቦኖ!$C$4&gt;0),1,0)</f>
        <v>1</v>
      </c>
      <c r="CO9" s="38">
        <f>IF((ዕቁብ!CP11/ቦኖ!$C$4&gt;0),1,0)</f>
        <v>1</v>
      </c>
      <c r="CP9" s="38">
        <f>IF((ዕቁብ!CQ11/ቦኖ!$C$4&gt;0),1,0)</f>
        <v>1</v>
      </c>
      <c r="CQ9" s="38">
        <f>IF((ዕቁብ!CR11/ቦኖ!$C$4&gt;0),1,0)</f>
        <v>1</v>
      </c>
      <c r="CR9" s="38">
        <f>IF((ዕቁብ!CS11/ቦኖ!$C$4&gt;0),1,0)</f>
        <v>1</v>
      </c>
      <c r="CS9" s="38">
        <f>IF((ዕቁብ!CT11/ቦኖ!$C$4&gt;0),1,0)</f>
        <v>1</v>
      </c>
      <c r="CT9" s="38">
        <f>IF((ዕቁብ!CU11/ቦኖ!$C$4&gt;0),1,0)</f>
        <v>0</v>
      </c>
      <c r="CU9" s="38">
        <f>IF((ዕቁብ!CV11/ቦኖ!$C$4&gt;0),1,0)</f>
        <v>1</v>
      </c>
      <c r="CV9" s="38">
        <f>IF((ዕቁብ!CW11/ቦኖ!$C$4&gt;0),1,0)</f>
        <v>1</v>
      </c>
      <c r="CW9" s="38">
        <f>IF((ዕቁብ!CX11/ቦኖ!$C$4&gt;0),1,0)</f>
        <v>1</v>
      </c>
      <c r="CX9" s="38">
        <f>IF((ዕቁብ!CY11/ቦኖ!$C$4&gt;0),1,0)</f>
        <v>1</v>
      </c>
      <c r="CY9" s="38">
        <f>IF((ዕቁብ!CZ11/ቦኖ!$C$4&gt;0),1,0)</f>
        <v>1</v>
      </c>
      <c r="CZ9" s="38">
        <f>IF((ዕቁብ!DA11/ቦኖ!$C$4&gt;0),1,0)</f>
        <v>1</v>
      </c>
      <c r="DA9" s="38">
        <f>IF((ዕቁብ!DB11/ቦኖ!$C$4&gt;0),1,0)</f>
        <v>1</v>
      </c>
      <c r="DB9" s="38">
        <f>IF((ዕቁብ!DC11/ቦኖ!$C$4&gt;0),1,0)</f>
        <v>1</v>
      </c>
      <c r="DC9" s="38">
        <f>IF((ዕቁብ!DD11/ቦኖ!$C$4&gt;0),1,0)</f>
        <v>1</v>
      </c>
      <c r="DD9" s="38">
        <f>IF((ዕቁብ!DE11/ቦኖ!$C$4&gt;0),1,0)</f>
        <v>1</v>
      </c>
      <c r="DE9" s="38">
        <f>IF((ዕቁብ!DF11/ቦኖ!$C$4&gt;0),1,0)</f>
        <v>1</v>
      </c>
      <c r="DF9" s="38">
        <f>IF((ዕቁብ!DG11/ቦኖ!$C$4&gt;0),1,0)</f>
        <v>1</v>
      </c>
      <c r="DG9" s="38">
        <f>IF((ዕቁብ!DH11/ቦኖ!$C$4&gt;0),1,0)</f>
        <v>1</v>
      </c>
      <c r="DH9" s="38">
        <f>IF((ዕቁብ!DI11/ቦኖ!$C$4&gt;0),1,0)</f>
        <v>0</v>
      </c>
      <c r="DI9" s="38">
        <f>IF((ዕቁብ!DJ11/ቦኖ!$C$4&gt;0),1,0)</f>
        <v>0</v>
      </c>
      <c r="DJ9" s="38">
        <f>IF((ዕቁብ!DK11/ቦኖ!$C$4&gt;0),1,0)</f>
        <v>0</v>
      </c>
      <c r="DK9" s="38">
        <f>IF((ዕቁብ!DL11/ቦኖ!$C$4&gt;0),1,0)</f>
        <v>0</v>
      </c>
      <c r="DL9" s="38">
        <f>IF((ዕቁብ!DM11/ቦኖ!$C$4&gt;0),1,0)</f>
        <v>0</v>
      </c>
      <c r="DM9" s="38">
        <f>IF((ዕቁብ!DN11/ቦኖ!$C$4&gt;0),1,0)</f>
        <v>0</v>
      </c>
      <c r="DN9" s="38">
        <f>IF((ዕቁብ!DO11/ቦኖ!$C$4&gt;0),1,0)</f>
        <v>0</v>
      </c>
      <c r="DO9" s="38">
        <f>IF((ዕቁብ!DP11/ቦኖ!$C$4&gt;0),1,0)</f>
        <v>0</v>
      </c>
      <c r="DP9" s="38">
        <f>IF((ዕቁብ!DQ11/ቦኖ!$C$4&gt;0),1,0)</f>
        <v>0</v>
      </c>
      <c r="DQ9" s="38">
        <f>IF((ዕቁብ!DR11/ቦኖ!$C$4&gt;0),1,0)</f>
        <v>0</v>
      </c>
    </row>
    <row r="10" spans="1:121" ht="14.4" x14ac:dyDescent="0.3">
      <c r="A10" s="33">
        <f>ዕቁብ!A12</f>
        <v>7</v>
      </c>
      <c r="B10" s="33" t="str">
        <f>ዕቁብ!B12</f>
        <v>ጥላነሽ ከበደ</v>
      </c>
      <c r="C10" s="37">
        <f>ዕቁብ!C12</f>
        <v>21000</v>
      </c>
      <c r="D10" s="38">
        <f>IF((ዕቁብ!E12/ቦኖ!$C$4&gt;0),1,0)</f>
        <v>1</v>
      </c>
      <c r="E10" s="38">
        <f>IF((ዕቁብ!F12/ቦኖ!$C$4&gt;0),1,0)</f>
        <v>1</v>
      </c>
      <c r="F10" s="38">
        <f>IF((ዕቁብ!G12/ቦኖ!$C$4&gt;0),1,0)</f>
        <v>1</v>
      </c>
      <c r="G10" s="38">
        <f>IF((ዕቁብ!H12/ቦኖ!$C$4&gt;0),1,0)</f>
        <v>1</v>
      </c>
      <c r="H10" s="38">
        <f>IF((ዕቁብ!I12/ቦኖ!$C$4&gt;0),1,0)</f>
        <v>1</v>
      </c>
      <c r="I10" s="38">
        <f>IF((ዕቁብ!J12/ቦኖ!$C$4&gt;0),1,0)</f>
        <v>1</v>
      </c>
      <c r="J10" s="38">
        <f>IF((ዕቁብ!K12/ቦኖ!$C$4&gt;0),1,0)</f>
        <v>1</v>
      </c>
      <c r="K10" s="38">
        <f>IF((ዕቁብ!L12/ቦኖ!$C$4&gt;0),1,0)</f>
        <v>1</v>
      </c>
      <c r="L10" s="38">
        <f>IF((ዕቁብ!M12/ቦኖ!$C$4&gt;0),1,0)</f>
        <v>1</v>
      </c>
      <c r="M10" s="38">
        <f>IF((ዕቁብ!N12/ቦኖ!$C$4&gt;0),1,0)</f>
        <v>1</v>
      </c>
      <c r="N10" s="38">
        <f>IF((ዕቁብ!O12/ቦኖ!$C$4&gt;0),1,0)</f>
        <v>1</v>
      </c>
      <c r="O10" s="38">
        <f>IF((ዕቁብ!P12/ቦኖ!$C$4&gt;0),1,0)</f>
        <v>1</v>
      </c>
      <c r="P10" s="38">
        <f>IF((ዕቁብ!Q12/ቦኖ!$C$4&gt;0),1,0)</f>
        <v>1</v>
      </c>
      <c r="Q10" s="38">
        <f>IF((ዕቁብ!R12/ቦኖ!$C$4&gt;0),1,0)</f>
        <v>1</v>
      </c>
      <c r="R10" s="38">
        <f>IF((ዕቁብ!S12/ቦኖ!$C$4&gt;0),1,0)</f>
        <v>1</v>
      </c>
      <c r="S10" s="38">
        <f>IF((ዕቁብ!T12/ቦኖ!$C$4&gt;0),1,0)</f>
        <v>1</v>
      </c>
      <c r="T10" s="38">
        <f>IF((ዕቁብ!U12/ቦኖ!$C$4&gt;0),1,0)</f>
        <v>1</v>
      </c>
      <c r="U10" s="38">
        <f>IF((ዕቁብ!V12/ቦኖ!$C$4&gt;0),1,0)</f>
        <v>1</v>
      </c>
      <c r="V10" s="38">
        <f>IF((ዕቁብ!W12/ቦኖ!$C$4&gt;0),1,0)</f>
        <v>1</v>
      </c>
      <c r="W10" s="38">
        <f>IF((ዕቁብ!X12/ቦኖ!$C$4&gt;0),1,0)</f>
        <v>1</v>
      </c>
      <c r="X10" s="38">
        <f>IF((ዕቁብ!Y12/ቦኖ!$C$4&gt;0),1,0)</f>
        <v>1</v>
      </c>
      <c r="Y10" s="38">
        <f>IF((ዕቁብ!Z12/ቦኖ!$C$4&gt;0),1,0)</f>
        <v>1</v>
      </c>
      <c r="Z10" s="38">
        <f>IF((ዕቁብ!AA12/ቦኖ!$C$4&gt;0),1,0)</f>
        <v>1</v>
      </c>
      <c r="AA10" s="38">
        <f>IF((ዕቁብ!AB12/ቦኖ!$C$4&gt;0),1,0)</f>
        <v>1</v>
      </c>
      <c r="AB10" s="38">
        <f>IF((ዕቁብ!AC12/ቦኖ!$C$4&gt;0),1,0)</f>
        <v>1</v>
      </c>
      <c r="AC10" s="38">
        <f>IF((ዕቁብ!AD12/ቦኖ!$C$4&gt;0),1,0)</f>
        <v>1</v>
      </c>
      <c r="AD10" s="38">
        <f>IF((ዕቁብ!AE12/ቦኖ!$C$4&gt;0),1,0)</f>
        <v>1</v>
      </c>
      <c r="AE10" s="38">
        <f>IF((ዕቁብ!AF12/ቦኖ!$C$4&gt;0),1,0)</f>
        <v>1</v>
      </c>
      <c r="AF10" s="38">
        <f>IF((ዕቁብ!AG12/ቦኖ!$C$4&gt;0),1,0)</f>
        <v>1</v>
      </c>
      <c r="AG10" s="38">
        <f>IF((ዕቁብ!AH12/ቦኖ!$C$4&gt;0),1,0)</f>
        <v>1</v>
      </c>
      <c r="AH10" s="38">
        <f>IF((ዕቁብ!AI12/ቦኖ!$C$4&gt;0),1,0)</f>
        <v>1</v>
      </c>
      <c r="AI10" s="38">
        <f>IF((ዕቁብ!AJ12/ቦኖ!$C$4&gt;0),1,0)</f>
        <v>1</v>
      </c>
      <c r="AJ10" s="38">
        <f>IF((ዕቁብ!AK12/ቦኖ!$C$4&gt;0),1,0)</f>
        <v>1</v>
      </c>
      <c r="AK10" s="38">
        <f>IF((ዕቁብ!AL12/ቦኖ!$C$4&gt;0),1,0)</f>
        <v>1</v>
      </c>
      <c r="AL10" s="38">
        <f>IF((ዕቁብ!AM12/ቦኖ!$C$4&gt;0),1,0)</f>
        <v>1</v>
      </c>
      <c r="AM10" s="38">
        <f>IF((ዕቁብ!AN12/ቦኖ!$C$4&gt;0),1,0)</f>
        <v>1</v>
      </c>
      <c r="AN10" s="38">
        <f>IF((ዕቁብ!AO12/ቦኖ!$C$4&gt;0),1,0)</f>
        <v>1</v>
      </c>
      <c r="AO10" s="38">
        <f>IF((ዕቁብ!AP12/ቦኖ!$C$4&gt;0),1,0)</f>
        <v>0</v>
      </c>
      <c r="AP10" s="38">
        <f>IF((ዕቁብ!AQ12/ቦኖ!$C$4&gt;0),1,0)</f>
        <v>1</v>
      </c>
      <c r="AQ10" s="38">
        <f>IF((ዕቁብ!AR12/ቦኖ!$C$4&gt;0),1,0)</f>
        <v>1</v>
      </c>
      <c r="AR10" s="38">
        <f>IF((ዕቁብ!AS12/ቦኖ!$C$4&gt;0),1,0)</f>
        <v>1</v>
      </c>
      <c r="AS10" s="38">
        <f>IF((ዕቁብ!AT12/ቦኖ!$C$4&gt;0),1,0)</f>
        <v>1</v>
      </c>
      <c r="AT10" s="38">
        <f>IF((ዕቁብ!AU12/ቦኖ!$C$4&gt;0),1,0)</f>
        <v>1</v>
      </c>
      <c r="AU10" s="38">
        <f>IF((ዕቁብ!AV12/ቦኖ!$C$4&gt;0),1,0)</f>
        <v>1</v>
      </c>
      <c r="AV10" s="38">
        <f>IF((ዕቁብ!AW12/ቦኖ!$C$4&gt;0),1,0)</f>
        <v>1</v>
      </c>
      <c r="AW10" s="38">
        <f>IF((ዕቁብ!AX12/ቦኖ!$C$4&gt;0),1,0)</f>
        <v>1</v>
      </c>
      <c r="AX10" s="38">
        <f>IF((ዕቁብ!AY12/ቦኖ!$C$4&gt;0),1,0)</f>
        <v>1</v>
      </c>
      <c r="AY10" s="38">
        <f>IF((ዕቁብ!AZ12/ቦኖ!$C$4&gt;0),1,0)</f>
        <v>1</v>
      </c>
      <c r="AZ10" s="38">
        <f>IF((ዕቁብ!BA12/ቦኖ!$C$4&gt;0),1,0)</f>
        <v>1</v>
      </c>
      <c r="BA10" s="38">
        <f>IF((ዕቁብ!BB12/ቦኖ!$C$4&gt;0),1,0)</f>
        <v>1</v>
      </c>
      <c r="BB10" s="38">
        <f>IF((ዕቁብ!BC12/ቦኖ!$C$4&gt;0),1,0)</f>
        <v>1</v>
      </c>
      <c r="BC10" s="38">
        <f>IF((ዕቁብ!BD12/ቦኖ!$C$4&gt;0),1,0)</f>
        <v>1</v>
      </c>
      <c r="BD10" s="38">
        <f>IF((ዕቁብ!BE12/ቦኖ!$C$4&gt;0),1,0)</f>
        <v>1</v>
      </c>
      <c r="BE10" s="38">
        <f>IF((ዕቁብ!BF12/ቦኖ!$C$4&gt;0),1,0)</f>
        <v>1</v>
      </c>
      <c r="BF10" s="38">
        <f>IF((ዕቁብ!BG12/ቦኖ!$C$4&gt;0),1,0)</f>
        <v>1</v>
      </c>
      <c r="BG10" s="38">
        <f>IF((ዕቁብ!BH12/ቦኖ!$C$4&gt;0),1,0)</f>
        <v>1</v>
      </c>
      <c r="BH10" s="38">
        <f>IF((ዕቁብ!BI12/ቦኖ!$C$4&gt;0),1,0)</f>
        <v>1</v>
      </c>
      <c r="BI10" s="38">
        <f>IF((ዕቁብ!BJ12/ቦኖ!$C$4&gt;0),1,0)</f>
        <v>1</v>
      </c>
      <c r="BJ10" s="38">
        <f>IF((ዕቁብ!BK12/ቦኖ!$C$4&gt;0),1,0)</f>
        <v>1</v>
      </c>
      <c r="BK10" s="38">
        <f>IF((ዕቁብ!BL12/ቦኖ!$C$4&gt;0),1,0)</f>
        <v>1</v>
      </c>
      <c r="BL10" s="38">
        <f>IF((ዕቁብ!BM12/ቦኖ!$C$4&gt;0),1,0)</f>
        <v>1</v>
      </c>
      <c r="BM10" s="38">
        <f>IF((ዕቁብ!BN12/ቦኖ!$C$4&gt;0),1,0)</f>
        <v>0</v>
      </c>
      <c r="BN10" s="38">
        <f>IF((ዕቁብ!BO12/ቦኖ!$C$4&gt;0),1,0)</f>
        <v>1</v>
      </c>
      <c r="BO10" s="38">
        <f>IF((ዕቁብ!BP12/ቦኖ!$C$4&gt;0),1,0)</f>
        <v>1</v>
      </c>
      <c r="BP10" s="38">
        <f>IF((ዕቁብ!BQ12/ቦኖ!$C$4&gt;0),1,0)</f>
        <v>1</v>
      </c>
      <c r="BQ10" s="38">
        <f>IF((ዕቁብ!BR12/ቦኖ!$C$4&gt;0),1,0)</f>
        <v>1</v>
      </c>
      <c r="BR10" s="38">
        <f>IF((ዕቁብ!BS12/ቦኖ!$C$4&gt;0),1,0)</f>
        <v>1</v>
      </c>
      <c r="BS10" s="38">
        <f>IF((ዕቁብ!BT12/ቦኖ!$C$4&gt;0),1,0)</f>
        <v>1</v>
      </c>
      <c r="BT10" s="38">
        <f>IF((ዕቁብ!BU12/ቦኖ!$C$4&gt;0),1,0)</f>
        <v>1</v>
      </c>
      <c r="BU10" s="38">
        <f>IF((ዕቁብ!BV12/ቦኖ!$C$4&gt;0),1,0)</f>
        <v>1</v>
      </c>
      <c r="BV10" s="38">
        <f>IF((ዕቁብ!BW12/ቦኖ!$C$4&gt;0),1,0)</f>
        <v>1</v>
      </c>
      <c r="BW10" s="38">
        <f>IF((ዕቁብ!BX12/ቦኖ!$C$4&gt;0),1,0)</f>
        <v>1</v>
      </c>
      <c r="BX10" s="38">
        <f>IF((ዕቁብ!BY12/ቦኖ!$C$4&gt;0),1,0)</f>
        <v>1</v>
      </c>
      <c r="BY10" s="38">
        <f>IF((ዕቁብ!BZ12/ቦኖ!$C$4&gt;0),1,0)</f>
        <v>1</v>
      </c>
      <c r="BZ10" s="38">
        <f>IF((ዕቁብ!CA12/ቦኖ!$C$4&gt;0),1,0)</f>
        <v>1</v>
      </c>
      <c r="CA10" s="38">
        <f>IF((ዕቁብ!CB12/ቦኖ!$C$4&gt;0),1,0)</f>
        <v>1</v>
      </c>
      <c r="CB10" s="38">
        <f>IF((ዕቁብ!CC12/ቦኖ!$C$4&gt;0),1,0)</f>
        <v>1</v>
      </c>
      <c r="CC10" s="38">
        <f>IF((ዕቁብ!CD12/ቦኖ!$C$4&gt;0),1,0)</f>
        <v>1</v>
      </c>
      <c r="CD10" s="38">
        <f>IF((ዕቁብ!CE12/ቦኖ!$C$4&gt;0),1,0)</f>
        <v>0</v>
      </c>
      <c r="CE10" s="38">
        <f>IF((ዕቁብ!CF12/ቦኖ!$C$4&gt;0),1,0)</f>
        <v>1</v>
      </c>
      <c r="CF10" s="38">
        <f>IF((ዕቁብ!CG12/ቦኖ!$C$4&gt;0),1,0)</f>
        <v>1</v>
      </c>
      <c r="CG10" s="38">
        <f>IF((ዕቁብ!CH12/ቦኖ!$C$4&gt;0),1,0)</f>
        <v>1</v>
      </c>
      <c r="CH10" s="38">
        <f>IF((ዕቁብ!CI12/ቦኖ!$C$4&gt;0),1,0)</f>
        <v>1</v>
      </c>
      <c r="CI10" s="38">
        <f>IF((ዕቁብ!CJ12/ቦኖ!$C$4&gt;0),1,0)</f>
        <v>1</v>
      </c>
      <c r="CJ10" s="38">
        <f>IF((ዕቁብ!CK12/ቦኖ!$C$4&gt;0),1,0)</f>
        <v>1</v>
      </c>
      <c r="CK10" s="38">
        <f>IF((ዕቁብ!CL12/ቦኖ!$C$4&gt;0),1,0)</f>
        <v>1</v>
      </c>
      <c r="CL10" s="38">
        <f>IF((ዕቁብ!CM12/ቦኖ!$C$4&gt;0),1,0)</f>
        <v>1</v>
      </c>
      <c r="CM10" s="38">
        <f>IF((ዕቁብ!CN12/ቦኖ!$C$4&gt;0),1,0)</f>
        <v>1</v>
      </c>
      <c r="CN10" s="38">
        <f>IF((ዕቁብ!CO12/ቦኖ!$C$4&gt;0),1,0)</f>
        <v>1</v>
      </c>
      <c r="CO10" s="38">
        <f>IF((ዕቁብ!CP12/ቦኖ!$C$4&gt;0),1,0)</f>
        <v>1</v>
      </c>
      <c r="CP10" s="38">
        <f>IF((ዕቁብ!CQ12/ቦኖ!$C$4&gt;0),1,0)</f>
        <v>1</v>
      </c>
      <c r="CQ10" s="38">
        <f>IF((ዕቁብ!CR12/ቦኖ!$C$4&gt;0),1,0)</f>
        <v>1</v>
      </c>
      <c r="CR10" s="38">
        <f>IF((ዕቁብ!CS12/ቦኖ!$C$4&gt;0),1,0)</f>
        <v>1</v>
      </c>
      <c r="CS10" s="38">
        <f>IF((ዕቁብ!CT12/ቦኖ!$C$4&gt;0),1,0)</f>
        <v>1</v>
      </c>
      <c r="CT10" s="38">
        <f>IF((ዕቁብ!CU12/ቦኖ!$C$4&gt;0),1,0)</f>
        <v>1</v>
      </c>
      <c r="CU10" s="38">
        <f>IF((ዕቁብ!CV12/ቦኖ!$C$4&gt;0),1,0)</f>
        <v>1</v>
      </c>
      <c r="CV10" s="38">
        <f>IF((ዕቁብ!CW12/ቦኖ!$C$4&gt;0),1,0)</f>
        <v>1</v>
      </c>
      <c r="CW10" s="38">
        <f>IF((ዕቁብ!CX12/ቦኖ!$C$4&gt;0),1,0)</f>
        <v>1</v>
      </c>
      <c r="CX10" s="38">
        <f>IF((ዕቁብ!CY12/ቦኖ!$C$4&gt;0),1,0)</f>
        <v>1</v>
      </c>
      <c r="CY10" s="38">
        <f>IF((ዕቁብ!CZ12/ቦኖ!$C$4&gt;0),1,0)</f>
        <v>1</v>
      </c>
      <c r="CZ10" s="38">
        <f>IF((ዕቁብ!DA12/ቦኖ!$C$4&gt;0),1,0)</f>
        <v>1</v>
      </c>
      <c r="DA10" s="38">
        <f>IF((ዕቁብ!DB12/ቦኖ!$C$4&gt;0),1,0)</f>
        <v>1</v>
      </c>
      <c r="DB10" s="38">
        <f>IF((ዕቁብ!DC12/ቦኖ!$C$4&gt;0),1,0)</f>
        <v>1</v>
      </c>
      <c r="DC10" s="38">
        <f>IF((ዕቁብ!DD12/ቦኖ!$C$4&gt;0),1,0)</f>
        <v>1</v>
      </c>
      <c r="DD10" s="38">
        <f>IF((ዕቁብ!DE12/ቦኖ!$C$4&gt;0),1,0)</f>
        <v>1</v>
      </c>
      <c r="DE10" s="38">
        <f>IF((ዕቁብ!DF12/ቦኖ!$C$4&gt;0),1,0)</f>
        <v>1</v>
      </c>
      <c r="DF10" s="38">
        <f>IF((ዕቁብ!DG12/ቦኖ!$C$4&gt;0),1,0)</f>
        <v>1</v>
      </c>
      <c r="DG10" s="38">
        <f>IF((ዕቁብ!DH12/ቦኖ!$C$4&gt;0),1,0)</f>
        <v>1</v>
      </c>
      <c r="DH10" s="38">
        <f>IF((ዕቁብ!DI12/ቦኖ!$C$4&gt;0),1,0)</f>
        <v>0</v>
      </c>
      <c r="DI10" s="38">
        <f>IF((ዕቁብ!DJ12/ቦኖ!$C$4&gt;0),1,0)</f>
        <v>0</v>
      </c>
      <c r="DJ10" s="38">
        <f>IF((ዕቁብ!DK12/ቦኖ!$C$4&gt;0),1,0)</f>
        <v>0</v>
      </c>
      <c r="DK10" s="38">
        <f>IF((ዕቁብ!DL12/ቦኖ!$C$4&gt;0),1,0)</f>
        <v>0</v>
      </c>
      <c r="DL10" s="38">
        <f>IF((ዕቁብ!DM12/ቦኖ!$C$4&gt;0),1,0)</f>
        <v>0</v>
      </c>
      <c r="DM10" s="38">
        <f>IF((ዕቁብ!DN12/ቦኖ!$C$4&gt;0),1,0)</f>
        <v>0</v>
      </c>
      <c r="DN10" s="38">
        <f>IF((ዕቁብ!DO12/ቦኖ!$C$4&gt;0),1,0)</f>
        <v>0</v>
      </c>
      <c r="DO10" s="38">
        <f>IF((ዕቁብ!DP12/ቦኖ!$C$4&gt;0),1,0)</f>
        <v>0</v>
      </c>
      <c r="DP10" s="38">
        <f>IF((ዕቁብ!DQ12/ቦኖ!$C$4&gt;0),1,0)</f>
        <v>0</v>
      </c>
      <c r="DQ10" s="38">
        <f>IF((ዕቁብ!DR12/ቦኖ!$C$4&gt;0),1,0)</f>
        <v>0</v>
      </c>
    </row>
    <row r="11" spans="1:121" ht="14.4" x14ac:dyDescent="0.3">
      <c r="A11" s="33">
        <f>ዕቁብ!A13</f>
        <v>8</v>
      </c>
      <c r="B11" s="33" t="str">
        <f>ዕቁብ!B13</f>
        <v>ሲሳይ ባህሩ</v>
      </c>
      <c r="C11" s="37">
        <f>ዕቁብ!C13</f>
        <v>21000</v>
      </c>
      <c r="D11" s="38">
        <f>IF((ዕቁብ!E13/ቦኖ!$C$4&gt;0),1,0)</f>
        <v>1</v>
      </c>
      <c r="E11" s="38">
        <f>IF((ዕቁብ!F13/ቦኖ!$C$4&gt;0),1,0)</f>
        <v>1</v>
      </c>
      <c r="F11" s="38">
        <f>IF((ዕቁብ!G13/ቦኖ!$C$4&gt;0),1,0)</f>
        <v>1</v>
      </c>
      <c r="G11" s="38">
        <f>IF((ዕቁብ!H13/ቦኖ!$C$4&gt;0),1,0)</f>
        <v>1</v>
      </c>
      <c r="H11" s="38">
        <f>IF((ዕቁብ!I13/ቦኖ!$C$4&gt;0),1,0)</f>
        <v>1</v>
      </c>
      <c r="I11" s="38">
        <f>IF((ዕቁብ!J13/ቦኖ!$C$4&gt;0),1,0)</f>
        <v>1</v>
      </c>
      <c r="J11" s="38">
        <f>IF((ዕቁብ!K13/ቦኖ!$C$4&gt;0),1,0)</f>
        <v>1</v>
      </c>
      <c r="K11" s="38">
        <f>IF((ዕቁብ!L13/ቦኖ!$C$4&gt;0),1,0)</f>
        <v>1</v>
      </c>
      <c r="L11" s="38">
        <f>IF((ዕቁብ!M13/ቦኖ!$C$4&gt;0),1,0)</f>
        <v>1</v>
      </c>
      <c r="M11" s="38">
        <f>IF((ዕቁብ!N13/ቦኖ!$C$4&gt;0),1,0)</f>
        <v>1</v>
      </c>
      <c r="N11" s="38">
        <f>IF((ዕቁብ!O13/ቦኖ!$C$4&gt;0),1,0)</f>
        <v>1</v>
      </c>
      <c r="O11" s="38">
        <f>IF((ዕቁብ!P13/ቦኖ!$C$4&gt;0),1,0)</f>
        <v>1</v>
      </c>
      <c r="P11" s="38">
        <f>IF((ዕቁብ!Q13/ቦኖ!$C$4&gt;0),1,0)</f>
        <v>1</v>
      </c>
      <c r="Q11" s="38">
        <f>IF((ዕቁብ!R13/ቦኖ!$C$4&gt;0),1,0)</f>
        <v>1</v>
      </c>
      <c r="R11" s="38">
        <f>IF((ዕቁብ!S13/ቦኖ!$C$4&gt;0),1,0)</f>
        <v>1</v>
      </c>
      <c r="S11" s="38">
        <f>IF((ዕቁብ!T13/ቦኖ!$C$4&gt;0),1,0)</f>
        <v>1</v>
      </c>
      <c r="T11" s="38">
        <f>IF((ዕቁብ!U13/ቦኖ!$C$4&gt;0),1,0)</f>
        <v>1</v>
      </c>
      <c r="U11" s="38">
        <f>IF((ዕቁብ!V13/ቦኖ!$C$4&gt;0),1,0)</f>
        <v>1</v>
      </c>
      <c r="V11" s="38">
        <f>IF((ዕቁብ!W13/ቦኖ!$C$4&gt;0),1,0)</f>
        <v>1</v>
      </c>
      <c r="W11" s="38">
        <f>IF((ዕቁብ!X13/ቦኖ!$C$4&gt;0),1,0)</f>
        <v>1</v>
      </c>
      <c r="X11" s="38">
        <f>IF((ዕቁብ!Y13/ቦኖ!$C$4&gt;0),1,0)</f>
        <v>1</v>
      </c>
      <c r="Y11" s="38">
        <f>IF((ዕቁብ!Z13/ቦኖ!$C$4&gt;0),1,0)</f>
        <v>1</v>
      </c>
      <c r="Z11" s="38">
        <f>IF((ዕቁብ!AA13/ቦኖ!$C$4&gt;0),1,0)</f>
        <v>1</v>
      </c>
      <c r="AA11" s="38">
        <f>IF((ዕቁብ!AB13/ቦኖ!$C$4&gt;0),1,0)</f>
        <v>1</v>
      </c>
      <c r="AB11" s="38">
        <f>IF((ዕቁብ!AC13/ቦኖ!$C$4&gt;0),1,0)</f>
        <v>1</v>
      </c>
      <c r="AC11" s="38">
        <f>IF((ዕቁብ!AD13/ቦኖ!$C$4&gt;0),1,0)</f>
        <v>1</v>
      </c>
      <c r="AD11" s="38">
        <f>IF((ዕቁብ!AE13/ቦኖ!$C$4&gt;0),1,0)</f>
        <v>1</v>
      </c>
      <c r="AE11" s="38">
        <f>IF((ዕቁብ!AF13/ቦኖ!$C$4&gt;0),1,0)</f>
        <v>1</v>
      </c>
      <c r="AF11" s="38">
        <f>IF((ዕቁብ!AG13/ቦኖ!$C$4&gt;0),1,0)</f>
        <v>1</v>
      </c>
      <c r="AG11" s="38">
        <f>IF((ዕቁብ!AH13/ቦኖ!$C$4&gt;0),1,0)</f>
        <v>1</v>
      </c>
      <c r="AH11" s="38">
        <f>IF((ዕቁብ!AI13/ቦኖ!$C$4&gt;0),1,0)</f>
        <v>1</v>
      </c>
      <c r="AI11" s="38">
        <f>IF((ዕቁብ!AJ13/ቦኖ!$C$4&gt;0),1,0)</f>
        <v>1</v>
      </c>
      <c r="AJ11" s="38">
        <f>IF((ዕቁብ!AK13/ቦኖ!$C$4&gt;0),1,0)</f>
        <v>1</v>
      </c>
      <c r="AK11" s="38">
        <f>IF((ዕቁብ!AL13/ቦኖ!$C$4&gt;0),1,0)</f>
        <v>1</v>
      </c>
      <c r="AL11" s="38">
        <f>IF((ዕቁብ!AM13/ቦኖ!$C$4&gt;0),1,0)</f>
        <v>1</v>
      </c>
      <c r="AM11" s="38">
        <f>IF((ዕቁብ!AN13/ቦኖ!$C$4&gt;0),1,0)</f>
        <v>1</v>
      </c>
      <c r="AN11" s="38">
        <f>IF((ዕቁብ!AO13/ቦኖ!$C$4&gt;0),1,0)</f>
        <v>1</v>
      </c>
      <c r="AO11" s="38">
        <f>IF((ዕቁብ!AP13/ቦኖ!$C$4&gt;0),1,0)</f>
        <v>1</v>
      </c>
      <c r="AP11" s="38">
        <f>IF((ዕቁብ!AQ13/ቦኖ!$C$4&gt;0),1,0)</f>
        <v>1</v>
      </c>
      <c r="AQ11" s="38">
        <f>IF((ዕቁብ!AR13/ቦኖ!$C$4&gt;0),1,0)</f>
        <v>1</v>
      </c>
      <c r="AR11" s="38">
        <f>IF((ዕቁብ!AS13/ቦኖ!$C$4&gt;0),1,0)</f>
        <v>1</v>
      </c>
      <c r="AS11" s="38">
        <f>IF((ዕቁብ!AT13/ቦኖ!$C$4&gt;0),1,0)</f>
        <v>1</v>
      </c>
      <c r="AT11" s="38">
        <f>IF((ዕቁብ!AU13/ቦኖ!$C$4&gt;0),1,0)</f>
        <v>1</v>
      </c>
      <c r="AU11" s="38">
        <f>IF((ዕቁብ!AV13/ቦኖ!$C$4&gt;0),1,0)</f>
        <v>1</v>
      </c>
      <c r="AV11" s="38">
        <f>IF((ዕቁብ!AW13/ቦኖ!$C$4&gt;0),1,0)</f>
        <v>1</v>
      </c>
      <c r="AW11" s="38">
        <f>IF((ዕቁብ!AX13/ቦኖ!$C$4&gt;0),1,0)</f>
        <v>1</v>
      </c>
      <c r="AX11" s="38">
        <f>IF((ዕቁብ!AY13/ቦኖ!$C$4&gt;0),1,0)</f>
        <v>1</v>
      </c>
      <c r="AY11" s="38">
        <f>IF((ዕቁብ!AZ13/ቦኖ!$C$4&gt;0),1,0)</f>
        <v>1</v>
      </c>
      <c r="AZ11" s="38">
        <f>IF((ዕቁብ!BA13/ቦኖ!$C$4&gt;0),1,0)</f>
        <v>1</v>
      </c>
      <c r="BA11" s="38">
        <f>IF((ዕቁብ!BB13/ቦኖ!$C$4&gt;0),1,0)</f>
        <v>1</v>
      </c>
      <c r="BB11" s="38">
        <f>IF((ዕቁብ!BC13/ቦኖ!$C$4&gt;0),1,0)</f>
        <v>1</v>
      </c>
      <c r="BC11" s="38">
        <f>IF((ዕቁብ!BD13/ቦኖ!$C$4&gt;0),1,0)</f>
        <v>1</v>
      </c>
      <c r="BD11" s="38">
        <f>IF((ዕቁብ!BE13/ቦኖ!$C$4&gt;0),1,0)</f>
        <v>1</v>
      </c>
      <c r="BE11" s="38">
        <f>IF((ዕቁብ!BF13/ቦኖ!$C$4&gt;0),1,0)</f>
        <v>1</v>
      </c>
      <c r="BF11" s="38">
        <f>IF((ዕቁብ!BG13/ቦኖ!$C$4&gt;0),1,0)</f>
        <v>1</v>
      </c>
      <c r="BG11" s="38">
        <f>IF((ዕቁብ!BH13/ቦኖ!$C$4&gt;0),1,0)</f>
        <v>1</v>
      </c>
      <c r="BH11" s="38">
        <f>IF((ዕቁብ!BI13/ቦኖ!$C$4&gt;0),1,0)</f>
        <v>1</v>
      </c>
      <c r="BI11" s="38">
        <f>IF((ዕቁብ!BJ13/ቦኖ!$C$4&gt;0),1,0)</f>
        <v>1</v>
      </c>
      <c r="BJ11" s="38">
        <f>IF((ዕቁብ!BK13/ቦኖ!$C$4&gt;0),1,0)</f>
        <v>1</v>
      </c>
      <c r="BK11" s="38">
        <f>IF((ዕቁብ!BL13/ቦኖ!$C$4&gt;0),1,0)</f>
        <v>1</v>
      </c>
      <c r="BL11" s="38">
        <f>IF((ዕቁብ!BM13/ቦኖ!$C$4&gt;0),1,0)</f>
        <v>1</v>
      </c>
      <c r="BM11" s="38">
        <f>IF((ዕቁብ!BN13/ቦኖ!$C$4&gt;0),1,0)</f>
        <v>1</v>
      </c>
      <c r="BN11" s="38">
        <f>IF((ዕቁብ!BO13/ቦኖ!$C$4&gt;0),1,0)</f>
        <v>1</v>
      </c>
      <c r="BO11" s="38">
        <f>IF((ዕቁብ!BP13/ቦኖ!$C$4&gt;0),1,0)</f>
        <v>1</v>
      </c>
      <c r="BP11" s="38">
        <f>IF((ዕቁብ!BQ13/ቦኖ!$C$4&gt;0),1,0)</f>
        <v>1</v>
      </c>
      <c r="BQ11" s="38">
        <f>IF((ዕቁብ!BR13/ቦኖ!$C$4&gt;0),1,0)</f>
        <v>1</v>
      </c>
      <c r="BR11" s="38">
        <f>IF((ዕቁብ!BS13/ቦኖ!$C$4&gt;0),1,0)</f>
        <v>1</v>
      </c>
      <c r="BS11" s="38">
        <f>IF((ዕቁብ!BT13/ቦኖ!$C$4&gt;0),1,0)</f>
        <v>1</v>
      </c>
      <c r="BT11" s="38">
        <f>IF((ዕቁብ!BU13/ቦኖ!$C$4&gt;0),1,0)</f>
        <v>1</v>
      </c>
      <c r="BU11" s="38">
        <f>IF((ዕቁብ!BV13/ቦኖ!$C$4&gt;0),1,0)</f>
        <v>1</v>
      </c>
      <c r="BV11" s="38">
        <f>IF((ዕቁብ!BW13/ቦኖ!$C$4&gt;0),1,0)</f>
        <v>1</v>
      </c>
      <c r="BW11" s="38">
        <f>IF((ዕቁብ!BX13/ቦኖ!$C$4&gt;0),1,0)</f>
        <v>1</v>
      </c>
      <c r="BX11" s="38">
        <f>IF((ዕቁብ!BY13/ቦኖ!$C$4&gt;0),1,0)</f>
        <v>1</v>
      </c>
      <c r="BY11" s="38">
        <f>IF((ዕቁብ!BZ13/ቦኖ!$C$4&gt;0),1,0)</f>
        <v>1</v>
      </c>
      <c r="BZ11" s="38">
        <f>IF((ዕቁብ!CA13/ቦኖ!$C$4&gt;0),1,0)</f>
        <v>1</v>
      </c>
      <c r="CA11" s="38">
        <f>IF((ዕቁብ!CB13/ቦኖ!$C$4&gt;0),1,0)</f>
        <v>1</v>
      </c>
      <c r="CB11" s="38">
        <f>IF((ዕቁብ!CC13/ቦኖ!$C$4&gt;0),1,0)</f>
        <v>1</v>
      </c>
      <c r="CC11" s="38">
        <f>IF((ዕቁብ!CD13/ቦኖ!$C$4&gt;0),1,0)</f>
        <v>1</v>
      </c>
      <c r="CD11" s="38">
        <f>IF((ዕቁብ!CE13/ቦኖ!$C$4&gt;0),1,0)</f>
        <v>1</v>
      </c>
      <c r="CE11" s="38">
        <f>IF((ዕቁብ!CF13/ቦኖ!$C$4&gt;0),1,0)</f>
        <v>1</v>
      </c>
      <c r="CF11" s="38">
        <f>IF((ዕቁብ!CG13/ቦኖ!$C$4&gt;0),1,0)</f>
        <v>1</v>
      </c>
      <c r="CG11" s="38">
        <f>IF((ዕቁብ!CH13/ቦኖ!$C$4&gt;0),1,0)</f>
        <v>1</v>
      </c>
      <c r="CH11" s="38">
        <f>IF((ዕቁብ!CI13/ቦኖ!$C$4&gt;0),1,0)</f>
        <v>1</v>
      </c>
      <c r="CI11" s="38">
        <f>IF((ዕቁብ!CJ13/ቦኖ!$C$4&gt;0),1,0)</f>
        <v>1</v>
      </c>
      <c r="CJ11" s="38">
        <f>IF((ዕቁብ!CK13/ቦኖ!$C$4&gt;0),1,0)</f>
        <v>1</v>
      </c>
      <c r="CK11" s="38">
        <f>IF((ዕቁብ!CL13/ቦኖ!$C$4&gt;0),1,0)</f>
        <v>1</v>
      </c>
      <c r="CL11" s="38">
        <f>IF((ዕቁብ!CM13/ቦኖ!$C$4&gt;0),1,0)</f>
        <v>1</v>
      </c>
      <c r="CM11" s="38">
        <f>IF((ዕቁብ!CN13/ቦኖ!$C$4&gt;0),1,0)</f>
        <v>1</v>
      </c>
      <c r="CN11" s="38">
        <f>IF((ዕቁብ!CO13/ቦኖ!$C$4&gt;0),1,0)</f>
        <v>1</v>
      </c>
      <c r="CO11" s="38">
        <f>IF((ዕቁብ!CP13/ቦኖ!$C$4&gt;0),1,0)</f>
        <v>1</v>
      </c>
      <c r="CP11" s="38">
        <f>IF((ዕቁብ!CQ13/ቦኖ!$C$4&gt;0),1,0)</f>
        <v>1</v>
      </c>
      <c r="CQ11" s="38">
        <f>IF((ዕቁብ!CR13/ቦኖ!$C$4&gt;0),1,0)</f>
        <v>1</v>
      </c>
      <c r="CR11" s="38">
        <f>IF((ዕቁብ!CS13/ቦኖ!$C$4&gt;0),1,0)</f>
        <v>1</v>
      </c>
      <c r="CS11" s="38">
        <f>IF((ዕቁብ!CT13/ቦኖ!$C$4&gt;0),1,0)</f>
        <v>1</v>
      </c>
      <c r="CT11" s="38">
        <f>IF((ዕቁብ!CU13/ቦኖ!$C$4&gt;0),1,0)</f>
        <v>1</v>
      </c>
      <c r="CU11" s="38">
        <f>IF((ዕቁብ!CV13/ቦኖ!$C$4&gt;0),1,0)</f>
        <v>1</v>
      </c>
      <c r="CV11" s="38">
        <f>IF((ዕቁብ!CW13/ቦኖ!$C$4&gt;0),1,0)</f>
        <v>1</v>
      </c>
      <c r="CW11" s="38">
        <f>IF((ዕቁብ!CX13/ቦኖ!$C$4&gt;0),1,0)</f>
        <v>1</v>
      </c>
      <c r="CX11" s="38">
        <f>IF((ዕቁብ!CY13/ቦኖ!$C$4&gt;0),1,0)</f>
        <v>1</v>
      </c>
      <c r="CY11" s="38">
        <f>IF((ዕቁብ!CZ13/ቦኖ!$C$4&gt;0),1,0)</f>
        <v>1</v>
      </c>
      <c r="CZ11" s="38">
        <f>IF((ዕቁብ!DA13/ቦኖ!$C$4&gt;0),1,0)</f>
        <v>1</v>
      </c>
      <c r="DA11" s="38">
        <f>IF((ዕቁብ!DB13/ቦኖ!$C$4&gt;0),1,0)</f>
        <v>1</v>
      </c>
      <c r="DB11" s="38">
        <f>IF((ዕቁብ!DC13/ቦኖ!$C$4&gt;0),1,0)</f>
        <v>1</v>
      </c>
      <c r="DC11" s="38">
        <f>IF((ዕቁብ!DD13/ቦኖ!$C$4&gt;0),1,0)</f>
        <v>1</v>
      </c>
      <c r="DD11" s="38">
        <f>IF((ዕቁብ!DE13/ቦኖ!$C$4&gt;0),1,0)</f>
        <v>1</v>
      </c>
      <c r="DE11" s="38">
        <f>IF((ዕቁብ!DF13/ቦኖ!$C$4&gt;0),1,0)</f>
        <v>1</v>
      </c>
      <c r="DF11" s="38">
        <f>IF((ዕቁብ!DG13/ቦኖ!$C$4&gt;0),1,0)</f>
        <v>1</v>
      </c>
      <c r="DG11" s="38">
        <f>IF((ዕቁብ!DH13/ቦኖ!$C$4&gt;0),1,0)</f>
        <v>1</v>
      </c>
      <c r="DH11" s="38">
        <f>IF((ዕቁብ!DI13/ቦኖ!$C$4&gt;0),1,0)</f>
        <v>0</v>
      </c>
      <c r="DI11" s="38">
        <f>IF((ዕቁብ!DJ13/ቦኖ!$C$4&gt;0),1,0)</f>
        <v>0</v>
      </c>
      <c r="DJ11" s="38">
        <f>IF((ዕቁብ!DK13/ቦኖ!$C$4&gt;0),1,0)</f>
        <v>0</v>
      </c>
      <c r="DK11" s="38">
        <f>IF((ዕቁብ!DL13/ቦኖ!$C$4&gt;0),1,0)</f>
        <v>0</v>
      </c>
      <c r="DL11" s="38">
        <f>IF((ዕቁብ!DM13/ቦኖ!$C$4&gt;0),1,0)</f>
        <v>0</v>
      </c>
      <c r="DM11" s="38">
        <f>IF((ዕቁብ!DN13/ቦኖ!$C$4&gt;0),1,0)</f>
        <v>0</v>
      </c>
      <c r="DN11" s="38">
        <f>IF((ዕቁብ!DO13/ቦኖ!$C$4&gt;0),1,0)</f>
        <v>0</v>
      </c>
      <c r="DO11" s="38">
        <f>IF((ዕቁብ!DP13/ቦኖ!$C$4&gt;0),1,0)</f>
        <v>0</v>
      </c>
      <c r="DP11" s="38">
        <f>IF((ዕቁብ!DQ13/ቦኖ!$C$4&gt;0),1,0)</f>
        <v>0</v>
      </c>
      <c r="DQ11" s="38">
        <f>IF((ዕቁብ!DR13/ቦኖ!$C$4&gt;0),1,0)</f>
        <v>0</v>
      </c>
    </row>
    <row r="12" spans="1:121" ht="14.4" x14ac:dyDescent="0.3">
      <c r="A12" s="33">
        <f>ዕቁብ!A14</f>
        <v>9</v>
      </c>
      <c r="B12" s="33" t="str">
        <f>ዕቁብ!B14</f>
        <v>ሲንታየሁ ካሳ</v>
      </c>
      <c r="C12" s="37">
        <f>ዕቁብ!C14</f>
        <v>21000</v>
      </c>
      <c r="D12" s="38">
        <f>IF((ዕቁብ!E14/ቦኖ!$C$4&gt;0),1,0)</f>
        <v>1</v>
      </c>
      <c r="E12" s="38">
        <f>IF((ዕቁብ!F14/ቦኖ!$C$4&gt;0),1,0)</f>
        <v>1</v>
      </c>
      <c r="F12" s="38">
        <f>IF((ዕቁብ!G14/ቦኖ!$C$4&gt;0),1,0)</f>
        <v>1</v>
      </c>
      <c r="G12" s="38">
        <f>IF((ዕቁብ!H14/ቦኖ!$C$4&gt;0),1,0)</f>
        <v>1</v>
      </c>
      <c r="H12" s="38">
        <f>IF((ዕቁብ!I14/ቦኖ!$C$4&gt;0),1,0)</f>
        <v>1</v>
      </c>
      <c r="I12" s="38">
        <f>IF((ዕቁብ!J14/ቦኖ!$C$4&gt;0),1,0)</f>
        <v>1</v>
      </c>
      <c r="J12" s="38">
        <f>IF((ዕቁብ!K14/ቦኖ!$C$4&gt;0),1,0)</f>
        <v>1</v>
      </c>
      <c r="K12" s="38">
        <f>IF((ዕቁብ!L14/ቦኖ!$C$4&gt;0),1,0)</f>
        <v>1</v>
      </c>
      <c r="L12" s="38">
        <f>IF((ዕቁብ!M14/ቦኖ!$C$4&gt;0),1,0)</f>
        <v>1</v>
      </c>
      <c r="M12" s="38">
        <f>IF((ዕቁብ!N14/ቦኖ!$C$4&gt;0),1,0)</f>
        <v>1</v>
      </c>
      <c r="N12" s="38">
        <f>IF((ዕቁብ!O14/ቦኖ!$C$4&gt;0),1,0)</f>
        <v>1</v>
      </c>
      <c r="O12" s="38">
        <f>IF((ዕቁብ!P14/ቦኖ!$C$4&gt;0),1,0)</f>
        <v>1</v>
      </c>
      <c r="P12" s="38">
        <f>IF((ዕቁብ!Q14/ቦኖ!$C$4&gt;0),1,0)</f>
        <v>1</v>
      </c>
      <c r="Q12" s="38">
        <f>IF((ዕቁብ!R14/ቦኖ!$C$4&gt;0),1,0)</f>
        <v>1</v>
      </c>
      <c r="R12" s="38">
        <f>IF((ዕቁብ!S14/ቦኖ!$C$4&gt;0),1,0)</f>
        <v>1</v>
      </c>
      <c r="S12" s="38">
        <f>IF((ዕቁብ!T14/ቦኖ!$C$4&gt;0),1,0)</f>
        <v>1</v>
      </c>
      <c r="T12" s="38">
        <f>IF((ዕቁብ!U14/ቦኖ!$C$4&gt;0),1,0)</f>
        <v>1</v>
      </c>
      <c r="U12" s="38">
        <f>IF((ዕቁብ!V14/ቦኖ!$C$4&gt;0),1,0)</f>
        <v>1</v>
      </c>
      <c r="V12" s="38">
        <f>IF((ዕቁብ!W14/ቦኖ!$C$4&gt;0),1,0)</f>
        <v>1</v>
      </c>
      <c r="W12" s="38">
        <f>IF((ዕቁብ!X14/ቦኖ!$C$4&gt;0),1,0)</f>
        <v>1</v>
      </c>
      <c r="X12" s="38">
        <f>IF((ዕቁብ!Y14/ቦኖ!$C$4&gt;0),1,0)</f>
        <v>1</v>
      </c>
      <c r="Y12" s="38">
        <f>IF((ዕቁብ!Z14/ቦኖ!$C$4&gt;0),1,0)</f>
        <v>1</v>
      </c>
      <c r="Z12" s="38">
        <f>IF((ዕቁብ!AA14/ቦኖ!$C$4&gt;0),1,0)</f>
        <v>1</v>
      </c>
      <c r="AA12" s="38">
        <f>IF((ዕቁብ!AB14/ቦኖ!$C$4&gt;0),1,0)</f>
        <v>1</v>
      </c>
      <c r="AB12" s="38">
        <f>IF((ዕቁብ!AC14/ቦኖ!$C$4&gt;0),1,0)</f>
        <v>1</v>
      </c>
      <c r="AC12" s="38">
        <f>IF((ዕቁብ!AD14/ቦኖ!$C$4&gt;0),1,0)</f>
        <v>1</v>
      </c>
      <c r="AD12" s="38">
        <f>IF((ዕቁብ!AE14/ቦኖ!$C$4&gt;0),1,0)</f>
        <v>1</v>
      </c>
      <c r="AE12" s="38">
        <f>IF((ዕቁብ!AF14/ቦኖ!$C$4&gt;0),1,0)</f>
        <v>1</v>
      </c>
      <c r="AF12" s="38">
        <f>IF((ዕቁብ!AG14/ቦኖ!$C$4&gt;0),1,0)</f>
        <v>1</v>
      </c>
      <c r="AG12" s="38">
        <f>IF((ዕቁብ!AH14/ቦኖ!$C$4&gt;0),1,0)</f>
        <v>1</v>
      </c>
      <c r="AH12" s="38">
        <f>IF((ዕቁብ!AI14/ቦኖ!$C$4&gt;0),1,0)</f>
        <v>1</v>
      </c>
      <c r="AI12" s="38">
        <f>IF((ዕቁብ!AJ14/ቦኖ!$C$4&gt;0),1,0)</f>
        <v>1</v>
      </c>
      <c r="AJ12" s="38">
        <f>IF((ዕቁብ!AK14/ቦኖ!$C$4&gt;0),1,0)</f>
        <v>1</v>
      </c>
      <c r="AK12" s="38">
        <f>IF((ዕቁብ!AL14/ቦኖ!$C$4&gt;0),1,0)</f>
        <v>1</v>
      </c>
      <c r="AL12" s="38">
        <f>IF((ዕቁብ!AM14/ቦኖ!$C$4&gt;0),1,0)</f>
        <v>1</v>
      </c>
      <c r="AM12" s="38">
        <f>IF((ዕቁብ!AN14/ቦኖ!$C$4&gt;0),1,0)</f>
        <v>1</v>
      </c>
      <c r="AN12" s="38">
        <f>IF((ዕቁብ!AO14/ቦኖ!$C$4&gt;0),1,0)</f>
        <v>1</v>
      </c>
      <c r="AO12" s="38">
        <f>IF((ዕቁብ!AP14/ቦኖ!$C$4&gt;0),1,0)</f>
        <v>1</v>
      </c>
      <c r="AP12" s="38">
        <f>IF((ዕቁብ!AQ14/ቦኖ!$C$4&gt;0),1,0)</f>
        <v>1</v>
      </c>
      <c r="AQ12" s="38">
        <f>IF((ዕቁብ!AR14/ቦኖ!$C$4&gt;0),1,0)</f>
        <v>1</v>
      </c>
      <c r="AR12" s="38">
        <f>IF((ዕቁብ!AS14/ቦኖ!$C$4&gt;0),1,0)</f>
        <v>1</v>
      </c>
      <c r="AS12" s="38">
        <f>IF((ዕቁብ!AT14/ቦኖ!$C$4&gt;0),1,0)</f>
        <v>1</v>
      </c>
      <c r="AT12" s="38">
        <f>IF((ዕቁብ!AU14/ቦኖ!$C$4&gt;0),1,0)</f>
        <v>1</v>
      </c>
      <c r="AU12" s="38">
        <f>IF((ዕቁብ!AV14/ቦኖ!$C$4&gt;0),1,0)</f>
        <v>1</v>
      </c>
      <c r="AV12" s="38">
        <f>IF((ዕቁብ!AW14/ቦኖ!$C$4&gt;0),1,0)</f>
        <v>1</v>
      </c>
      <c r="AW12" s="38">
        <f>IF((ዕቁብ!AX14/ቦኖ!$C$4&gt;0),1,0)</f>
        <v>1</v>
      </c>
      <c r="AX12" s="38">
        <f>IF((ዕቁብ!AY14/ቦኖ!$C$4&gt;0),1,0)</f>
        <v>1</v>
      </c>
      <c r="AY12" s="38">
        <f>IF((ዕቁብ!AZ14/ቦኖ!$C$4&gt;0),1,0)</f>
        <v>1</v>
      </c>
      <c r="AZ12" s="38">
        <f>IF((ዕቁብ!BA14/ቦኖ!$C$4&gt;0),1,0)</f>
        <v>1</v>
      </c>
      <c r="BA12" s="38">
        <f>IF((ዕቁብ!BB14/ቦኖ!$C$4&gt;0),1,0)</f>
        <v>1</v>
      </c>
      <c r="BB12" s="38">
        <f>IF((ዕቁብ!BC14/ቦኖ!$C$4&gt;0),1,0)</f>
        <v>1</v>
      </c>
      <c r="BC12" s="38">
        <f>IF((ዕቁብ!BD14/ቦኖ!$C$4&gt;0),1,0)</f>
        <v>1</v>
      </c>
      <c r="BD12" s="38">
        <f>IF((ዕቁብ!BE14/ቦኖ!$C$4&gt;0),1,0)</f>
        <v>1</v>
      </c>
      <c r="BE12" s="38">
        <f>IF((ዕቁብ!BF14/ቦኖ!$C$4&gt;0),1,0)</f>
        <v>1</v>
      </c>
      <c r="BF12" s="38">
        <f>IF((ዕቁብ!BG14/ቦኖ!$C$4&gt;0),1,0)</f>
        <v>1</v>
      </c>
      <c r="BG12" s="38">
        <f>IF((ዕቁብ!BH14/ቦኖ!$C$4&gt;0),1,0)</f>
        <v>1</v>
      </c>
      <c r="BH12" s="38">
        <f>IF((ዕቁብ!BI14/ቦኖ!$C$4&gt;0),1,0)</f>
        <v>1</v>
      </c>
      <c r="BI12" s="38">
        <f>IF((ዕቁብ!BJ14/ቦኖ!$C$4&gt;0),1,0)</f>
        <v>1</v>
      </c>
      <c r="BJ12" s="38">
        <f>IF((ዕቁብ!BK14/ቦኖ!$C$4&gt;0),1,0)</f>
        <v>1</v>
      </c>
      <c r="BK12" s="38">
        <f>IF((ዕቁብ!BL14/ቦኖ!$C$4&gt;0),1,0)</f>
        <v>1</v>
      </c>
      <c r="BL12" s="38">
        <f>IF((ዕቁብ!BM14/ቦኖ!$C$4&gt;0),1,0)</f>
        <v>1</v>
      </c>
      <c r="BM12" s="38">
        <f>IF((ዕቁብ!BN14/ቦኖ!$C$4&gt;0),1,0)</f>
        <v>1</v>
      </c>
      <c r="BN12" s="38">
        <f>IF((ዕቁብ!BO14/ቦኖ!$C$4&gt;0),1,0)</f>
        <v>1</v>
      </c>
      <c r="BO12" s="38">
        <f>IF((ዕቁብ!BP14/ቦኖ!$C$4&gt;0),1,0)</f>
        <v>0</v>
      </c>
      <c r="BP12" s="38">
        <f>IF((ዕቁብ!BQ14/ቦኖ!$C$4&gt;0),1,0)</f>
        <v>1</v>
      </c>
      <c r="BQ12" s="38">
        <f>IF((ዕቁብ!BR14/ቦኖ!$C$4&gt;0),1,0)</f>
        <v>1</v>
      </c>
      <c r="BR12" s="38">
        <f>IF((ዕቁብ!BS14/ቦኖ!$C$4&gt;0),1,0)</f>
        <v>1</v>
      </c>
      <c r="BS12" s="38">
        <f>IF((ዕቁብ!BT14/ቦኖ!$C$4&gt;0),1,0)</f>
        <v>1</v>
      </c>
      <c r="BT12" s="38">
        <f>IF((ዕቁብ!BU14/ቦኖ!$C$4&gt;0),1,0)</f>
        <v>1</v>
      </c>
      <c r="BU12" s="38">
        <f>IF((ዕቁብ!BV14/ቦኖ!$C$4&gt;0),1,0)</f>
        <v>1</v>
      </c>
      <c r="BV12" s="38">
        <f>IF((ዕቁብ!BW14/ቦኖ!$C$4&gt;0),1,0)</f>
        <v>1</v>
      </c>
      <c r="BW12" s="38">
        <f>IF((ዕቁብ!BX14/ቦኖ!$C$4&gt;0),1,0)</f>
        <v>1</v>
      </c>
      <c r="BX12" s="38">
        <f>IF((ዕቁብ!BY14/ቦኖ!$C$4&gt;0),1,0)</f>
        <v>1</v>
      </c>
      <c r="BY12" s="38">
        <f>IF((ዕቁብ!BZ14/ቦኖ!$C$4&gt;0),1,0)</f>
        <v>1</v>
      </c>
      <c r="BZ12" s="38">
        <f>IF((ዕቁብ!CA14/ቦኖ!$C$4&gt;0),1,0)</f>
        <v>1</v>
      </c>
      <c r="CA12" s="38">
        <f>IF((ዕቁብ!CB14/ቦኖ!$C$4&gt;0),1,0)</f>
        <v>1</v>
      </c>
      <c r="CB12" s="38">
        <f>IF((ዕቁብ!CC14/ቦኖ!$C$4&gt;0),1,0)</f>
        <v>1</v>
      </c>
      <c r="CC12" s="38">
        <f>IF((ዕቁብ!CD14/ቦኖ!$C$4&gt;0),1,0)</f>
        <v>1</v>
      </c>
      <c r="CD12" s="38">
        <f>IF((ዕቁብ!CE14/ቦኖ!$C$4&gt;0),1,0)</f>
        <v>1</v>
      </c>
      <c r="CE12" s="38">
        <f>IF((ዕቁብ!CF14/ቦኖ!$C$4&gt;0),1,0)</f>
        <v>1</v>
      </c>
      <c r="CF12" s="38">
        <f>IF((ዕቁብ!CG14/ቦኖ!$C$4&gt;0),1,0)</f>
        <v>1</v>
      </c>
      <c r="CG12" s="38">
        <f>IF((ዕቁብ!CH14/ቦኖ!$C$4&gt;0),1,0)</f>
        <v>1</v>
      </c>
      <c r="CH12" s="38">
        <f>IF((ዕቁብ!CI14/ቦኖ!$C$4&gt;0),1,0)</f>
        <v>1</v>
      </c>
      <c r="CI12" s="38">
        <f>IF((ዕቁብ!CJ14/ቦኖ!$C$4&gt;0),1,0)</f>
        <v>1</v>
      </c>
      <c r="CJ12" s="38">
        <f>IF((ዕቁብ!CK14/ቦኖ!$C$4&gt;0),1,0)</f>
        <v>1</v>
      </c>
      <c r="CK12" s="38">
        <f>IF((ዕቁብ!CL14/ቦኖ!$C$4&gt;0),1,0)</f>
        <v>1</v>
      </c>
      <c r="CL12" s="38">
        <f>IF((ዕቁብ!CM14/ቦኖ!$C$4&gt;0),1,0)</f>
        <v>1</v>
      </c>
      <c r="CM12" s="38">
        <f>IF((ዕቁብ!CN14/ቦኖ!$C$4&gt;0),1,0)</f>
        <v>1</v>
      </c>
      <c r="CN12" s="38">
        <f>IF((ዕቁብ!CO14/ቦኖ!$C$4&gt;0),1,0)</f>
        <v>1</v>
      </c>
      <c r="CO12" s="38">
        <f>IF((ዕቁብ!CP14/ቦኖ!$C$4&gt;0),1,0)</f>
        <v>1</v>
      </c>
      <c r="CP12" s="38">
        <f>IF((ዕቁብ!CQ14/ቦኖ!$C$4&gt;0),1,0)</f>
        <v>1</v>
      </c>
      <c r="CQ12" s="38">
        <f>IF((ዕቁብ!CR14/ቦኖ!$C$4&gt;0),1,0)</f>
        <v>1</v>
      </c>
      <c r="CR12" s="38">
        <f>IF((ዕቁብ!CS14/ቦኖ!$C$4&gt;0),1,0)</f>
        <v>1</v>
      </c>
      <c r="CS12" s="38">
        <f>IF((ዕቁብ!CT14/ቦኖ!$C$4&gt;0),1,0)</f>
        <v>1</v>
      </c>
      <c r="CT12" s="38">
        <f>IF((ዕቁብ!CU14/ቦኖ!$C$4&gt;0),1,0)</f>
        <v>1</v>
      </c>
      <c r="CU12" s="38">
        <f>IF((ዕቁብ!CV14/ቦኖ!$C$4&gt;0),1,0)</f>
        <v>1</v>
      </c>
      <c r="CV12" s="38">
        <f>IF((ዕቁብ!CW14/ቦኖ!$C$4&gt;0),1,0)</f>
        <v>1</v>
      </c>
      <c r="CW12" s="38">
        <f>IF((ዕቁብ!CX14/ቦኖ!$C$4&gt;0),1,0)</f>
        <v>1</v>
      </c>
      <c r="CX12" s="38">
        <f>IF((ዕቁብ!CY14/ቦኖ!$C$4&gt;0),1,0)</f>
        <v>1</v>
      </c>
      <c r="CY12" s="38">
        <f>IF((ዕቁብ!CZ14/ቦኖ!$C$4&gt;0),1,0)</f>
        <v>1</v>
      </c>
      <c r="CZ12" s="38">
        <f>IF((ዕቁብ!DA14/ቦኖ!$C$4&gt;0),1,0)</f>
        <v>1</v>
      </c>
      <c r="DA12" s="38">
        <f>IF((ዕቁብ!DB14/ቦኖ!$C$4&gt;0),1,0)</f>
        <v>1</v>
      </c>
      <c r="DB12" s="38">
        <f>IF((ዕቁብ!DC14/ቦኖ!$C$4&gt;0),1,0)</f>
        <v>1</v>
      </c>
      <c r="DC12" s="38">
        <f>IF((ዕቁብ!DD14/ቦኖ!$C$4&gt;0),1,0)</f>
        <v>1</v>
      </c>
      <c r="DD12" s="38">
        <f>IF((ዕቁብ!DE14/ቦኖ!$C$4&gt;0),1,0)</f>
        <v>1</v>
      </c>
      <c r="DE12" s="38">
        <f>IF((ዕቁብ!DF14/ቦኖ!$C$4&gt;0),1,0)</f>
        <v>1</v>
      </c>
      <c r="DF12" s="38">
        <f>IF((ዕቁብ!DG14/ቦኖ!$C$4&gt;0),1,0)</f>
        <v>1</v>
      </c>
      <c r="DG12" s="38">
        <f>IF((ዕቁብ!DH14/ቦኖ!$C$4&gt;0),1,0)</f>
        <v>1</v>
      </c>
      <c r="DH12" s="38">
        <f>IF((ዕቁብ!DI14/ቦኖ!$C$4&gt;0),1,0)</f>
        <v>0</v>
      </c>
      <c r="DI12" s="38">
        <f>IF((ዕቁብ!DJ14/ቦኖ!$C$4&gt;0),1,0)</f>
        <v>0</v>
      </c>
      <c r="DJ12" s="38">
        <f>IF((ዕቁብ!DK14/ቦኖ!$C$4&gt;0),1,0)</f>
        <v>0</v>
      </c>
      <c r="DK12" s="38">
        <f>IF((ዕቁብ!DL14/ቦኖ!$C$4&gt;0),1,0)</f>
        <v>0</v>
      </c>
      <c r="DL12" s="38">
        <f>IF((ዕቁብ!DM14/ቦኖ!$C$4&gt;0),1,0)</f>
        <v>0</v>
      </c>
      <c r="DM12" s="38">
        <f>IF((ዕቁብ!DN14/ቦኖ!$C$4&gt;0),1,0)</f>
        <v>0</v>
      </c>
      <c r="DN12" s="38">
        <f>IF((ዕቁብ!DO14/ቦኖ!$C$4&gt;0),1,0)</f>
        <v>0</v>
      </c>
      <c r="DO12" s="38">
        <f>IF((ዕቁብ!DP14/ቦኖ!$C$4&gt;0),1,0)</f>
        <v>0</v>
      </c>
      <c r="DP12" s="38">
        <f>IF((ዕቁብ!DQ14/ቦኖ!$C$4&gt;0),1,0)</f>
        <v>0</v>
      </c>
      <c r="DQ12" s="38">
        <f>IF((ዕቁብ!DR14/ቦኖ!$C$4&gt;0),1,0)</f>
        <v>0</v>
      </c>
    </row>
    <row r="13" spans="1:121" ht="14.4" x14ac:dyDescent="0.3">
      <c r="A13" s="33">
        <f>ዕቁብ!A15</f>
        <v>10</v>
      </c>
      <c r="B13" s="33" t="str">
        <f>ዕቁብ!B15</f>
        <v>ጥላነሽ ከበደ</v>
      </c>
      <c r="C13" s="37">
        <f>ዕቁብ!C15</f>
        <v>21000</v>
      </c>
      <c r="D13" s="38">
        <f>IF((ዕቁብ!E15/ቦኖ!$C$4&gt;0),1,0)</f>
        <v>1</v>
      </c>
      <c r="E13" s="38">
        <f>IF((ዕቁብ!F15/ቦኖ!$C$4&gt;0),1,0)</f>
        <v>1</v>
      </c>
      <c r="F13" s="38">
        <f>IF((ዕቁብ!G15/ቦኖ!$C$4&gt;0),1,0)</f>
        <v>1</v>
      </c>
      <c r="G13" s="38">
        <f>IF((ዕቁብ!H15/ቦኖ!$C$4&gt;0),1,0)</f>
        <v>1</v>
      </c>
      <c r="H13" s="38">
        <f>IF((ዕቁብ!I15/ቦኖ!$C$4&gt;0),1,0)</f>
        <v>1</v>
      </c>
      <c r="I13" s="38">
        <f>IF((ዕቁብ!J15/ቦኖ!$C$4&gt;0),1,0)</f>
        <v>1</v>
      </c>
      <c r="J13" s="38">
        <f>IF((ዕቁብ!K15/ቦኖ!$C$4&gt;0),1,0)</f>
        <v>1</v>
      </c>
      <c r="K13" s="38">
        <f>IF((ዕቁብ!L15/ቦኖ!$C$4&gt;0),1,0)</f>
        <v>1</v>
      </c>
      <c r="L13" s="38">
        <f>IF((ዕቁብ!M15/ቦኖ!$C$4&gt;0),1,0)</f>
        <v>1</v>
      </c>
      <c r="M13" s="38">
        <f>IF((ዕቁብ!N15/ቦኖ!$C$4&gt;0),1,0)</f>
        <v>1</v>
      </c>
      <c r="N13" s="38">
        <f>IF((ዕቁብ!O15/ቦኖ!$C$4&gt;0),1,0)</f>
        <v>1</v>
      </c>
      <c r="O13" s="38">
        <f>IF((ዕቁብ!P15/ቦኖ!$C$4&gt;0),1,0)</f>
        <v>1</v>
      </c>
      <c r="P13" s="38">
        <f>IF((ዕቁብ!Q15/ቦኖ!$C$4&gt;0),1,0)</f>
        <v>1</v>
      </c>
      <c r="Q13" s="38">
        <f>IF((ዕቁብ!R15/ቦኖ!$C$4&gt;0),1,0)</f>
        <v>1</v>
      </c>
      <c r="R13" s="38">
        <f>IF((ዕቁብ!S15/ቦኖ!$C$4&gt;0),1,0)</f>
        <v>1</v>
      </c>
      <c r="S13" s="38">
        <f>IF((ዕቁብ!T15/ቦኖ!$C$4&gt;0),1,0)</f>
        <v>1</v>
      </c>
      <c r="T13" s="38">
        <f>IF((ዕቁብ!U15/ቦኖ!$C$4&gt;0),1,0)</f>
        <v>1</v>
      </c>
      <c r="U13" s="38">
        <f>IF((ዕቁብ!V15/ቦኖ!$C$4&gt;0),1,0)</f>
        <v>1</v>
      </c>
      <c r="V13" s="38">
        <f>IF((ዕቁብ!W15/ቦኖ!$C$4&gt;0),1,0)</f>
        <v>1</v>
      </c>
      <c r="W13" s="38">
        <f>IF((ዕቁብ!X15/ቦኖ!$C$4&gt;0),1,0)</f>
        <v>1</v>
      </c>
      <c r="X13" s="38">
        <f>IF((ዕቁብ!Y15/ቦኖ!$C$4&gt;0),1,0)</f>
        <v>1</v>
      </c>
      <c r="Y13" s="38">
        <f>IF((ዕቁብ!Z15/ቦኖ!$C$4&gt;0),1,0)</f>
        <v>1</v>
      </c>
      <c r="Z13" s="38">
        <f>IF((ዕቁብ!AA15/ቦኖ!$C$4&gt;0),1,0)</f>
        <v>1</v>
      </c>
      <c r="AA13" s="38">
        <f>IF((ዕቁብ!AB15/ቦኖ!$C$4&gt;0),1,0)</f>
        <v>1</v>
      </c>
      <c r="AB13" s="38">
        <f>IF((ዕቁብ!AC15/ቦኖ!$C$4&gt;0),1,0)</f>
        <v>1</v>
      </c>
      <c r="AC13" s="38">
        <f>IF((ዕቁብ!AD15/ቦኖ!$C$4&gt;0),1,0)</f>
        <v>1</v>
      </c>
      <c r="AD13" s="38">
        <f>IF((ዕቁብ!AE15/ቦኖ!$C$4&gt;0),1,0)</f>
        <v>1</v>
      </c>
      <c r="AE13" s="38">
        <f>IF((ዕቁብ!AF15/ቦኖ!$C$4&gt;0),1,0)</f>
        <v>1</v>
      </c>
      <c r="AF13" s="38">
        <f>IF((ዕቁብ!AG15/ቦኖ!$C$4&gt;0),1,0)</f>
        <v>1</v>
      </c>
      <c r="AG13" s="38">
        <f>IF((ዕቁብ!AH15/ቦኖ!$C$4&gt;0),1,0)</f>
        <v>1</v>
      </c>
      <c r="AH13" s="38">
        <f>IF((ዕቁብ!AI15/ቦኖ!$C$4&gt;0),1,0)</f>
        <v>1</v>
      </c>
      <c r="AI13" s="38">
        <f>IF((ዕቁብ!AJ15/ቦኖ!$C$4&gt;0),1,0)</f>
        <v>1</v>
      </c>
      <c r="AJ13" s="38">
        <f>IF((ዕቁብ!AK15/ቦኖ!$C$4&gt;0),1,0)</f>
        <v>1</v>
      </c>
      <c r="AK13" s="38">
        <f>IF((ዕቁብ!AL15/ቦኖ!$C$4&gt;0),1,0)</f>
        <v>1</v>
      </c>
      <c r="AL13" s="38">
        <f>IF((ዕቁብ!AM15/ቦኖ!$C$4&gt;0),1,0)</f>
        <v>1</v>
      </c>
      <c r="AM13" s="38">
        <f>IF((ዕቁብ!AN15/ቦኖ!$C$4&gt;0),1,0)</f>
        <v>1</v>
      </c>
      <c r="AN13" s="38">
        <f>IF((ዕቁብ!AO15/ቦኖ!$C$4&gt;0),1,0)</f>
        <v>1</v>
      </c>
      <c r="AO13" s="38">
        <f>IF((ዕቁብ!AP15/ቦኖ!$C$4&gt;0),1,0)</f>
        <v>0</v>
      </c>
      <c r="AP13" s="38">
        <f>IF((ዕቁብ!AQ15/ቦኖ!$C$4&gt;0),1,0)</f>
        <v>1</v>
      </c>
      <c r="AQ13" s="38">
        <f>IF((ዕቁብ!AR15/ቦኖ!$C$4&gt;0),1,0)</f>
        <v>1</v>
      </c>
      <c r="AR13" s="38">
        <f>IF((ዕቁብ!AS15/ቦኖ!$C$4&gt;0),1,0)</f>
        <v>1</v>
      </c>
      <c r="AS13" s="38">
        <f>IF((ዕቁብ!AT15/ቦኖ!$C$4&gt;0),1,0)</f>
        <v>1</v>
      </c>
      <c r="AT13" s="38">
        <f>IF((ዕቁብ!AU15/ቦኖ!$C$4&gt;0),1,0)</f>
        <v>1</v>
      </c>
      <c r="AU13" s="38">
        <f>IF((ዕቁብ!AV15/ቦኖ!$C$4&gt;0),1,0)</f>
        <v>1</v>
      </c>
      <c r="AV13" s="38">
        <f>IF((ዕቁብ!AW15/ቦኖ!$C$4&gt;0),1,0)</f>
        <v>1</v>
      </c>
      <c r="AW13" s="38">
        <f>IF((ዕቁብ!AX15/ቦኖ!$C$4&gt;0),1,0)</f>
        <v>1</v>
      </c>
      <c r="AX13" s="38">
        <f>IF((ዕቁብ!AY15/ቦኖ!$C$4&gt;0),1,0)</f>
        <v>1</v>
      </c>
      <c r="AY13" s="38">
        <f>IF((ዕቁብ!AZ15/ቦኖ!$C$4&gt;0),1,0)</f>
        <v>1</v>
      </c>
      <c r="AZ13" s="38">
        <f>IF((ዕቁብ!BA15/ቦኖ!$C$4&gt;0),1,0)</f>
        <v>1</v>
      </c>
      <c r="BA13" s="38">
        <f>IF((ዕቁብ!BB15/ቦኖ!$C$4&gt;0),1,0)</f>
        <v>1</v>
      </c>
      <c r="BB13" s="38">
        <f>IF((ዕቁብ!BC15/ቦኖ!$C$4&gt;0),1,0)</f>
        <v>1</v>
      </c>
      <c r="BC13" s="38">
        <f>IF((ዕቁብ!BD15/ቦኖ!$C$4&gt;0),1,0)</f>
        <v>1</v>
      </c>
      <c r="BD13" s="38">
        <f>IF((ዕቁብ!BE15/ቦኖ!$C$4&gt;0),1,0)</f>
        <v>1</v>
      </c>
      <c r="BE13" s="38">
        <f>IF((ዕቁብ!BF15/ቦኖ!$C$4&gt;0),1,0)</f>
        <v>1</v>
      </c>
      <c r="BF13" s="38">
        <f>IF((ዕቁብ!BG15/ቦኖ!$C$4&gt;0),1,0)</f>
        <v>1</v>
      </c>
      <c r="BG13" s="38">
        <f>IF((ዕቁብ!BH15/ቦኖ!$C$4&gt;0),1,0)</f>
        <v>1</v>
      </c>
      <c r="BH13" s="38">
        <f>IF((ዕቁብ!BI15/ቦኖ!$C$4&gt;0),1,0)</f>
        <v>1</v>
      </c>
      <c r="BI13" s="38">
        <f>IF((ዕቁብ!BJ15/ቦኖ!$C$4&gt;0),1,0)</f>
        <v>1</v>
      </c>
      <c r="BJ13" s="38">
        <f>IF((ዕቁብ!BK15/ቦኖ!$C$4&gt;0),1,0)</f>
        <v>1</v>
      </c>
      <c r="BK13" s="38">
        <f>IF((ዕቁብ!BL15/ቦኖ!$C$4&gt;0),1,0)</f>
        <v>1</v>
      </c>
      <c r="BL13" s="38">
        <f>IF((ዕቁብ!BM15/ቦኖ!$C$4&gt;0),1,0)</f>
        <v>1</v>
      </c>
      <c r="BM13" s="38">
        <f>IF((ዕቁብ!BN15/ቦኖ!$C$4&gt;0),1,0)</f>
        <v>0</v>
      </c>
      <c r="BN13" s="38">
        <f>IF((ዕቁብ!BO15/ቦኖ!$C$4&gt;0),1,0)</f>
        <v>1</v>
      </c>
      <c r="BO13" s="38">
        <f>IF((ዕቁብ!BP15/ቦኖ!$C$4&gt;0),1,0)</f>
        <v>1</v>
      </c>
      <c r="BP13" s="38">
        <f>IF((ዕቁብ!BQ15/ቦኖ!$C$4&gt;0),1,0)</f>
        <v>1</v>
      </c>
      <c r="BQ13" s="38">
        <f>IF((ዕቁብ!BR15/ቦኖ!$C$4&gt;0),1,0)</f>
        <v>1</v>
      </c>
      <c r="BR13" s="38">
        <f>IF((ዕቁብ!BS15/ቦኖ!$C$4&gt;0),1,0)</f>
        <v>1</v>
      </c>
      <c r="BS13" s="38">
        <f>IF((ዕቁብ!BT15/ቦኖ!$C$4&gt;0),1,0)</f>
        <v>1</v>
      </c>
      <c r="BT13" s="38">
        <f>IF((ዕቁብ!BU15/ቦኖ!$C$4&gt;0),1,0)</f>
        <v>1</v>
      </c>
      <c r="BU13" s="38">
        <f>IF((ዕቁብ!BV15/ቦኖ!$C$4&gt;0),1,0)</f>
        <v>1</v>
      </c>
      <c r="BV13" s="38">
        <f>IF((ዕቁብ!BW15/ቦኖ!$C$4&gt;0),1,0)</f>
        <v>1</v>
      </c>
      <c r="BW13" s="38">
        <f>IF((ዕቁብ!BX15/ቦኖ!$C$4&gt;0),1,0)</f>
        <v>1</v>
      </c>
      <c r="BX13" s="38">
        <f>IF((ዕቁብ!BY15/ቦኖ!$C$4&gt;0),1,0)</f>
        <v>1</v>
      </c>
      <c r="BY13" s="38">
        <f>IF((ዕቁብ!BZ15/ቦኖ!$C$4&gt;0),1,0)</f>
        <v>1</v>
      </c>
      <c r="BZ13" s="38">
        <f>IF((ዕቁብ!CA15/ቦኖ!$C$4&gt;0),1,0)</f>
        <v>1</v>
      </c>
      <c r="CA13" s="38">
        <f>IF((ዕቁብ!CB15/ቦኖ!$C$4&gt;0),1,0)</f>
        <v>1</v>
      </c>
      <c r="CB13" s="38">
        <f>IF((ዕቁብ!CC15/ቦኖ!$C$4&gt;0),1,0)</f>
        <v>1</v>
      </c>
      <c r="CC13" s="38">
        <f>IF((ዕቁብ!CD15/ቦኖ!$C$4&gt;0),1,0)</f>
        <v>1</v>
      </c>
      <c r="CD13" s="38">
        <f>IF((ዕቁብ!CE15/ቦኖ!$C$4&gt;0),1,0)</f>
        <v>0</v>
      </c>
      <c r="CE13" s="38">
        <f>IF((ዕቁብ!CF15/ቦኖ!$C$4&gt;0),1,0)</f>
        <v>1</v>
      </c>
      <c r="CF13" s="38">
        <f>IF((ዕቁብ!CG15/ቦኖ!$C$4&gt;0),1,0)</f>
        <v>1</v>
      </c>
      <c r="CG13" s="38">
        <f>IF((ዕቁብ!CH15/ቦኖ!$C$4&gt;0),1,0)</f>
        <v>1</v>
      </c>
      <c r="CH13" s="38">
        <f>IF((ዕቁብ!CI15/ቦኖ!$C$4&gt;0),1,0)</f>
        <v>1</v>
      </c>
      <c r="CI13" s="38">
        <f>IF((ዕቁብ!CJ15/ቦኖ!$C$4&gt;0),1,0)</f>
        <v>1</v>
      </c>
      <c r="CJ13" s="38">
        <f>IF((ዕቁብ!CK15/ቦኖ!$C$4&gt;0),1,0)</f>
        <v>1</v>
      </c>
      <c r="CK13" s="38">
        <f>IF((ዕቁብ!CL15/ቦኖ!$C$4&gt;0),1,0)</f>
        <v>1</v>
      </c>
      <c r="CL13" s="38">
        <f>IF((ዕቁብ!CM15/ቦኖ!$C$4&gt;0),1,0)</f>
        <v>1</v>
      </c>
      <c r="CM13" s="38">
        <f>IF((ዕቁብ!CN15/ቦኖ!$C$4&gt;0),1,0)</f>
        <v>1</v>
      </c>
      <c r="CN13" s="38">
        <f>IF((ዕቁብ!CO15/ቦኖ!$C$4&gt;0),1,0)</f>
        <v>1</v>
      </c>
      <c r="CO13" s="38">
        <f>IF((ዕቁብ!CP15/ቦኖ!$C$4&gt;0),1,0)</f>
        <v>1</v>
      </c>
      <c r="CP13" s="38">
        <f>IF((ዕቁብ!CQ15/ቦኖ!$C$4&gt;0),1,0)</f>
        <v>1</v>
      </c>
      <c r="CQ13" s="38">
        <f>IF((ዕቁብ!CR15/ቦኖ!$C$4&gt;0),1,0)</f>
        <v>1</v>
      </c>
      <c r="CR13" s="38">
        <f>IF((ዕቁብ!CS15/ቦኖ!$C$4&gt;0),1,0)</f>
        <v>1</v>
      </c>
      <c r="CS13" s="38">
        <f>IF((ዕቁብ!CT15/ቦኖ!$C$4&gt;0),1,0)</f>
        <v>1</v>
      </c>
      <c r="CT13" s="38">
        <f>IF((ዕቁብ!CU15/ቦኖ!$C$4&gt;0),1,0)</f>
        <v>1</v>
      </c>
      <c r="CU13" s="38">
        <f>IF((ዕቁብ!CV15/ቦኖ!$C$4&gt;0),1,0)</f>
        <v>1</v>
      </c>
      <c r="CV13" s="38">
        <f>IF((ዕቁብ!CW15/ቦኖ!$C$4&gt;0),1,0)</f>
        <v>1</v>
      </c>
      <c r="CW13" s="38">
        <f>IF((ዕቁብ!CX15/ቦኖ!$C$4&gt;0),1,0)</f>
        <v>1</v>
      </c>
      <c r="CX13" s="38">
        <f>IF((ዕቁብ!CY15/ቦኖ!$C$4&gt;0),1,0)</f>
        <v>1</v>
      </c>
      <c r="CY13" s="38">
        <f>IF((ዕቁብ!CZ15/ቦኖ!$C$4&gt;0),1,0)</f>
        <v>1</v>
      </c>
      <c r="CZ13" s="38">
        <f>IF((ዕቁብ!DA15/ቦኖ!$C$4&gt;0),1,0)</f>
        <v>1</v>
      </c>
      <c r="DA13" s="38">
        <f>IF((ዕቁብ!DB15/ቦኖ!$C$4&gt;0),1,0)</f>
        <v>1</v>
      </c>
      <c r="DB13" s="38">
        <f>IF((ዕቁብ!DC15/ቦኖ!$C$4&gt;0),1,0)</f>
        <v>1</v>
      </c>
      <c r="DC13" s="38">
        <f>IF((ዕቁብ!DD15/ቦኖ!$C$4&gt;0),1,0)</f>
        <v>1</v>
      </c>
      <c r="DD13" s="38">
        <f>IF((ዕቁብ!DE15/ቦኖ!$C$4&gt;0),1,0)</f>
        <v>1</v>
      </c>
      <c r="DE13" s="38">
        <f>IF((ዕቁብ!DF15/ቦኖ!$C$4&gt;0),1,0)</f>
        <v>1</v>
      </c>
      <c r="DF13" s="38">
        <f>IF((ዕቁብ!DG15/ቦኖ!$C$4&gt;0),1,0)</f>
        <v>1</v>
      </c>
      <c r="DG13" s="38">
        <f>IF((ዕቁብ!DH15/ቦኖ!$C$4&gt;0),1,0)</f>
        <v>1</v>
      </c>
      <c r="DH13" s="38">
        <f>IF((ዕቁብ!DI15/ቦኖ!$C$4&gt;0),1,0)</f>
        <v>0</v>
      </c>
      <c r="DI13" s="38">
        <f>IF((ዕቁብ!DJ15/ቦኖ!$C$4&gt;0),1,0)</f>
        <v>0</v>
      </c>
      <c r="DJ13" s="38">
        <f>IF((ዕቁብ!DK15/ቦኖ!$C$4&gt;0),1,0)</f>
        <v>0</v>
      </c>
      <c r="DK13" s="38">
        <f>IF((ዕቁብ!DL15/ቦኖ!$C$4&gt;0),1,0)</f>
        <v>0</v>
      </c>
      <c r="DL13" s="38">
        <f>IF((ዕቁብ!DM15/ቦኖ!$C$4&gt;0),1,0)</f>
        <v>0</v>
      </c>
      <c r="DM13" s="38">
        <f>IF((ዕቁብ!DN15/ቦኖ!$C$4&gt;0),1,0)</f>
        <v>0</v>
      </c>
      <c r="DN13" s="38">
        <f>IF((ዕቁብ!DO15/ቦኖ!$C$4&gt;0),1,0)</f>
        <v>0</v>
      </c>
      <c r="DO13" s="38">
        <f>IF((ዕቁብ!DP15/ቦኖ!$C$4&gt;0),1,0)</f>
        <v>0</v>
      </c>
      <c r="DP13" s="38">
        <f>IF((ዕቁብ!DQ15/ቦኖ!$C$4&gt;0),1,0)</f>
        <v>0</v>
      </c>
      <c r="DQ13" s="38">
        <f>IF((ዕቁብ!DR15/ቦኖ!$C$4&gt;0),1,0)</f>
        <v>0</v>
      </c>
    </row>
    <row r="14" spans="1:121" ht="14.4" x14ac:dyDescent="0.3">
      <c r="A14" s="33">
        <f>ዕቁብ!A16</f>
        <v>11</v>
      </c>
      <c r="B14" s="33" t="str">
        <f>ዕቁብ!B16</f>
        <v>ሄኖክ በቀለ</v>
      </c>
      <c r="C14" s="37">
        <f>ዕቁብ!C16</f>
        <v>21000</v>
      </c>
      <c r="D14" s="38">
        <f>IF((ዕቁብ!E16/ቦኖ!$C$4&gt;0),1,0)</f>
        <v>1</v>
      </c>
      <c r="E14" s="38">
        <f>IF((ዕቁብ!F16/ቦኖ!$C$4&gt;0),1,0)</f>
        <v>1</v>
      </c>
      <c r="F14" s="38">
        <f>IF((ዕቁብ!G16/ቦኖ!$C$4&gt;0),1,0)</f>
        <v>1</v>
      </c>
      <c r="G14" s="38">
        <f>IF((ዕቁብ!H16/ቦኖ!$C$4&gt;0),1,0)</f>
        <v>1</v>
      </c>
      <c r="H14" s="38">
        <f>IF((ዕቁብ!I16/ቦኖ!$C$4&gt;0),1,0)</f>
        <v>1</v>
      </c>
      <c r="I14" s="38">
        <f>IF((ዕቁብ!J16/ቦኖ!$C$4&gt;0),1,0)</f>
        <v>1</v>
      </c>
      <c r="J14" s="38">
        <f>IF((ዕቁብ!K16/ቦኖ!$C$4&gt;0),1,0)</f>
        <v>1</v>
      </c>
      <c r="K14" s="38">
        <f>IF((ዕቁብ!L16/ቦኖ!$C$4&gt;0),1,0)</f>
        <v>1</v>
      </c>
      <c r="L14" s="38">
        <f>IF((ዕቁብ!M16/ቦኖ!$C$4&gt;0),1,0)</f>
        <v>1</v>
      </c>
      <c r="M14" s="38">
        <f>IF((ዕቁብ!N16/ቦኖ!$C$4&gt;0),1,0)</f>
        <v>1</v>
      </c>
      <c r="N14" s="38">
        <f>IF((ዕቁብ!O16/ቦኖ!$C$4&gt;0),1,0)</f>
        <v>1</v>
      </c>
      <c r="O14" s="38">
        <f>IF((ዕቁብ!P16/ቦኖ!$C$4&gt;0),1,0)</f>
        <v>1</v>
      </c>
      <c r="P14" s="38">
        <f>IF((ዕቁብ!Q16/ቦኖ!$C$4&gt;0),1,0)</f>
        <v>1</v>
      </c>
      <c r="Q14" s="38">
        <f>IF((ዕቁብ!R16/ቦኖ!$C$4&gt;0),1,0)</f>
        <v>1</v>
      </c>
      <c r="R14" s="38">
        <f>IF((ዕቁብ!S16/ቦኖ!$C$4&gt;0),1,0)</f>
        <v>1</v>
      </c>
      <c r="S14" s="38">
        <f>IF((ዕቁብ!T16/ቦኖ!$C$4&gt;0),1,0)</f>
        <v>1</v>
      </c>
      <c r="T14" s="38">
        <f>IF((ዕቁብ!U16/ቦኖ!$C$4&gt;0),1,0)</f>
        <v>1</v>
      </c>
      <c r="U14" s="38">
        <f>IF((ዕቁብ!V16/ቦኖ!$C$4&gt;0),1,0)</f>
        <v>1</v>
      </c>
      <c r="V14" s="38">
        <f>IF((ዕቁብ!W16/ቦኖ!$C$4&gt;0),1,0)</f>
        <v>1</v>
      </c>
      <c r="W14" s="38">
        <f>IF((ዕቁብ!X16/ቦኖ!$C$4&gt;0),1,0)</f>
        <v>1</v>
      </c>
      <c r="X14" s="38">
        <f>IF((ዕቁብ!Y16/ቦኖ!$C$4&gt;0),1,0)</f>
        <v>1</v>
      </c>
      <c r="Y14" s="38">
        <f>IF((ዕቁብ!Z16/ቦኖ!$C$4&gt;0),1,0)</f>
        <v>1</v>
      </c>
      <c r="Z14" s="38">
        <f>IF((ዕቁብ!AA16/ቦኖ!$C$4&gt;0),1,0)</f>
        <v>1</v>
      </c>
      <c r="AA14" s="38">
        <f>IF((ዕቁብ!AB16/ቦኖ!$C$4&gt;0),1,0)</f>
        <v>1</v>
      </c>
      <c r="AB14" s="38">
        <f>IF((ዕቁብ!AC16/ቦኖ!$C$4&gt;0),1,0)</f>
        <v>1</v>
      </c>
      <c r="AC14" s="38">
        <f>IF((ዕቁብ!AD16/ቦኖ!$C$4&gt;0),1,0)</f>
        <v>1</v>
      </c>
      <c r="AD14" s="38">
        <f>IF((ዕቁብ!AE16/ቦኖ!$C$4&gt;0),1,0)</f>
        <v>1</v>
      </c>
      <c r="AE14" s="38">
        <f>IF((ዕቁብ!AF16/ቦኖ!$C$4&gt;0),1,0)</f>
        <v>1</v>
      </c>
      <c r="AF14" s="38">
        <f>IF((ዕቁብ!AG16/ቦኖ!$C$4&gt;0),1,0)</f>
        <v>0</v>
      </c>
      <c r="AG14" s="38">
        <f>IF((ዕቁብ!AH16/ቦኖ!$C$4&gt;0),1,0)</f>
        <v>1</v>
      </c>
      <c r="AH14" s="38">
        <f>IF((ዕቁብ!AI16/ቦኖ!$C$4&gt;0),1,0)</f>
        <v>1</v>
      </c>
      <c r="AI14" s="38">
        <f>IF((ዕቁብ!AJ16/ቦኖ!$C$4&gt;0),1,0)</f>
        <v>1</v>
      </c>
      <c r="AJ14" s="38">
        <f>IF((ዕቁብ!AK16/ቦኖ!$C$4&gt;0),1,0)</f>
        <v>1</v>
      </c>
      <c r="AK14" s="38">
        <f>IF((ዕቁብ!AL16/ቦኖ!$C$4&gt;0),1,0)</f>
        <v>1</v>
      </c>
      <c r="AL14" s="38">
        <f>IF((ዕቁብ!AM16/ቦኖ!$C$4&gt;0),1,0)</f>
        <v>1</v>
      </c>
      <c r="AM14" s="38">
        <f>IF((ዕቁብ!AN16/ቦኖ!$C$4&gt;0),1,0)</f>
        <v>1</v>
      </c>
      <c r="AN14" s="38">
        <f>IF((ዕቁብ!AO16/ቦኖ!$C$4&gt;0),1,0)</f>
        <v>1</v>
      </c>
      <c r="AO14" s="38">
        <f>IF((ዕቁብ!AP16/ቦኖ!$C$4&gt;0),1,0)</f>
        <v>1</v>
      </c>
      <c r="AP14" s="38">
        <f>IF((ዕቁብ!AQ16/ቦኖ!$C$4&gt;0),1,0)</f>
        <v>1</v>
      </c>
      <c r="AQ14" s="38">
        <f>IF((ዕቁብ!AR16/ቦኖ!$C$4&gt;0),1,0)</f>
        <v>1</v>
      </c>
      <c r="AR14" s="38">
        <f>IF((ዕቁብ!AS16/ቦኖ!$C$4&gt;0),1,0)</f>
        <v>1</v>
      </c>
      <c r="AS14" s="38">
        <f>IF((ዕቁብ!AT16/ቦኖ!$C$4&gt;0),1,0)</f>
        <v>1</v>
      </c>
      <c r="AT14" s="38">
        <f>IF((ዕቁብ!AU16/ቦኖ!$C$4&gt;0),1,0)</f>
        <v>1</v>
      </c>
      <c r="AU14" s="38">
        <f>IF((ዕቁብ!AV16/ቦኖ!$C$4&gt;0),1,0)</f>
        <v>0</v>
      </c>
      <c r="AV14" s="38">
        <f>IF((ዕቁብ!AW16/ቦኖ!$C$4&gt;0),1,0)</f>
        <v>1</v>
      </c>
      <c r="AW14" s="38">
        <f>IF((ዕቁብ!AX16/ቦኖ!$C$4&gt;0),1,0)</f>
        <v>1</v>
      </c>
      <c r="AX14" s="38">
        <f>IF((ዕቁብ!AY16/ቦኖ!$C$4&gt;0),1,0)</f>
        <v>1</v>
      </c>
      <c r="AY14" s="38">
        <f>IF((ዕቁብ!AZ16/ቦኖ!$C$4&gt;0),1,0)</f>
        <v>1</v>
      </c>
      <c r="AZ14" s="38">
        <f>IF((ዕቁብ!BA16/ቦኖ!$C$4&gt;0),1,0)</f>
        <v>1</v>
      </c>
      <c r="BA14" s="38">
        <f>IF((ዕቁብ!BB16/ቦኖ!$C$4&gt;0),1,0)</f>
        <v>1</v>
      </c>
      <c r="BB14" s="38">
        <f>IF((ዕቁብ!BC16/ቦኖ!$C$4&gt;0),1,0)</f>
        <v>1</v>
      </c>
      <c r="BC14" s="38">
        <f>IF((ዕቁብ!BD16/ቦኖ!$C$4&gt;0),1,0)</f>
        <v>0</v>
      </c>
      <c r="BD14" s="38">
        <f>IF((ዕቁብ!BE16/ቦኖ!$C$4&gt;0),1,0)</f>
        <v>1</v>
      </c>
      <c r="BE14" s="38">
        <f>IF((ዕቁብ!BF16/ቦኖ!$C$4&gt;0),1,0)</f>
        <v>1</v>
      </c>
      <c r="BF14" s="38">
        <f>IF((ዕቁብ!BG16/ቦኖ!$C$4&gt;0),1,0)</f>
        <v>1</v>
      </c>
      <c r="BG14" s="38">
        <f>IF((ዕቁብ!BH16/ቦኖ!$C$4&gt;0),1,0)</f>
        <v>1</v>
      </c>
      <c r="BH14" s="38">
        <f>IF((ዕቁብ!BI16/ቦኖ!$C$4&gt;0),1,0)</f>
        <v>1</v>
      </c>
      <c r="BI14" s="38">
        <f>IF((ዕቁብ!BJ16/ቦኖ!$C$4&gt;0),1,0)</f>
        <v>1</v>
      </c>
      <c r="BJ14" s="38">
        <f>IF((ዕቁብ!BK16/ቦኖ!$C$4&gt;0),1,0)</f>
        <v>1</v>
      </c>
      <c r="BK14" s="38">
        <f>IF((ዕቁብ!BL16/ቦኖ!$C$4&gt;0),1,0)</f>
        <v>1</v>
      </c>
      <c r="BL14" s="38">
        <f>IF((ዕቁብ!BM16/ቦኖ!$C$4&gt;0),1,0)</f>
        <v>1</v>
      </c>
      <c r="BM14" s="38">
        <f>IF((ዕቁብ!BN16/ቦኖ!$C$4&gt;0),1,0)</f>
        <v>0</v>
      </c>
      <c r="BN14" s="38">
        <f>IF((ዕቁብ!BO16/ቦኖ!$C$4&gt;0),1,0)</f>
        <v>1</v>
      </c>
      <c r="BO14" s="38">
        <f>IF((ዕቁብ!BP16/ቦኖ!$C$4&gt;0),1,0)</f>
        <v>1</v>
      </c>
      <c r="BP14" s="38">
        <f>IF((ዕቁብ!BQ16/ቦኖ!$C$4&gt;0),1,0)</f>
        <v>1</v>
      </c>
      <c r="BQ14" s="38">
        <f>IF((ዕቁብ!BR16/ቦኖ!$C$4&gt;0),1,0)</f>
        <v>1</v>
      </c>
      <c r="BR14" s="38">
        <f>IF((ዕቁብ!BS16/ቦኖ!$C$4&gt;0),1,0)</f>
        <v>1</v>
      </c>
      <c r="BS14" s="38">
        <f>IF((ዕቁብ!BT16/ቦኖ!$C$4&gt;0),1,0)</f>
        <v>1</v>
      </c>
      <c r="BT14" s="38">
        <f>IF((ዕቁብ!BU16/ቦኖ!$C$4&gt;0),1,0)</f>
        <v>1</v>
      </c>
      <c r="BU14" s="38">
        <f>IF((ዕቁብ!BV16/ቦኖ!$C$4&gt;0),1,0)</f>
        <v>1</v>
      </c>
      <c r="BV14" s="38">
        <f>IF((ዕቁብ!BW16/ቦኖ!$C$4&gt;0),1,0)</f>
        <v>1</v>
      </c>
      <c r="BW14" s="38">
        <f>IF((ዕቁብ!BX16/ቦኖ!$C$4&gt;0),1,0)</f>
        <v>0</v>
      </c>
      <c r="BX14" s="38">
        <f>IF((ዕቁብ!BY16/ቦኖ!$C$4&gt;0),1,0)</f>
        <v>1</v>
      </c>
      <c r="BY14" s="38">
        <f>IF((ዕቁብ!BZ16/ቦኖ!$C$4&gt;0),1,0)</f>
        <v>0</v>
      </c>
      <c r="BZ14" s="38">
        <f>IF((ዕቁብ!CA16/ቦኖ!$C$4&gt;0),1,0)</f>
        <v>0</v>
      </c>
      <c r="CA14" s="38">
        <f>IF((ዕቁብ!CB16/ቦኖ!$C$4&gt;0),1,0)</f>
        <v>0</v>
      </c>
      <c r="CB14" s="38">
        <f>IF((ዕቁብ!CC16/ቦኖ!$C$4&gt;0),1,0)</f>
        <v>0</v>
      </c>
      <c r="CC14" s="38">
        <f>IF((ዕቁብ!CD16/ቦኖ!$C$4&gt;0),1,0)</f>
        <v>0</v>
      </c>
      <c r="CD14" s="38">
        <f>IF((ዕቁብ!CE16/ቦኖ!$C$4&gt;0),1,0)</f>
        <v>0</v>
      </c>
      <c r="CE14" s="38">
        <f>IF((ዕቁብ!CF16/ቦኖ!$C$4&gt;0),1,0)</f>
        <v>1</v>
      </c>
      <c r="CF14" s="38">
        <f>IF((ዕቁብ!CG16/ቦኖ!$C$4&gt;0),1,0)</f>
        <v>1</v>
      </c>
      <c r="CG14" s="38">
        <f>IF((ዕቁብ!CH16/ቦኖ!$C$4&gt;0),1,0)</f>
        <v>1</v>
      </c>
      <c r="CH14" s="38">
        <f>IF((ዕቁብ!CI16/ቦኖ!$C$4&gt;0),1,0)</f>
        <v>1</v>
      </c>
      <c r="CI14" s="38">
        <f>IF((ዕቁብ!CJ16/ቦኖ!$C$4&gt;0),1,0)</f>
        <v>1</v>
      </c>
      <c r="CJ14" s="38">
        <f>IF((ዕቁብ!CK16/ቦኖ!$C$4&gt;0),1,0)</f>
        <v>0</v>
      </c>
      <c r="CK14" s="38">
        <f>IF((ዕቁብ!CL16/ቦኖ!$C$4&gt;0),1,0)</f>
        <v>0</v>
      </c>
      <c r="CL14" s="38">
        <f>IF((ዕቁብ!CM16/ቦኖ!$C$4&gt;0),1,0)</f>
        <v>1</v>
      </c>
      <c r="CM14" s="38">
        <f>IF((ዕቁብ!CN16/ቦኖ!$C$4&gt;0),1,0)</f>
        <v>1</v>
      </c>
      <c r="CN14" s="38">
        <f>IF((ዕቁብ!CO16/ቦኖ!$C$4&gt;0),1,0)</f>
        <v>0</v>
      </c>
      <c r="CO14" s="38">
        <f>IF((ዕቁብ!CP16/ቦኖ!$C$4&gt;0),1,0)</f>
        <v>0</v>
      </c>
      <c r="CP14" s="38">
        <f>IF((ዕቁብ!CQ16/ቦኖ!$C$4&gt;0),1,0)</f>
        <v>0</v>
      </c>
      <c r="CQ14" s="38">
        <f>IF((ዕቁብ!CR16/ቦኖ!$C$4&gt;0),1,0)</f>
        <v>1</v>
      </c>
      <c r="CR14" s="38">
        <f>IF((ዕቁብ!CS16/ቦኖ!$C$4&gt;0),1,0)</f>
        <v>0</v>
      </c>
      <c r="CS14" s="38">
        <f>IF((ዕቁብ!CT16/ቦኖ!$C$4&gt;0),1,0)</f>
        <v>1</v>
      </c>
      <c r="CT14" s="38">
        <f>IF((ዕቁብ!CU16/ቦኖ!$C$4&gt;0),1,0)</f>
        <v>0</v>
      </c>
      <c r="CU14" s="38">
        <f>IF((ዕቁብ!CV16/ቦኖ!$C$4&gt;0),1,0)</f>
        <v>1</v>
      </c>
      <c r="CV14" s="38">
        <f>IF((ዕቁብ!CW16/ቦኖ!$C$4&gt;0),1,0)</f>
        <v>0</v>
      </c>
      <c r="CW14" s="38">
        <f>IF((ዕቁብ!CX16/ቦኖ!$C$4&gt;0),1,0)</f>
        <v>1</v>
      </c>
      <c r="CX14" s="38">
        <f>IF((ዕቁብ!CY16/ቦኖ!$C$4&gt;0),1,0)</f>
        <v>1</v>
      </c>
      <c r="CY14" s="38">
        <f>IF((ዕቁብ!CZ16/ቦኖ!$C$4&gt;0),1,0)</f>
        <v>1</v>
      </c>
      <c r="CZ14" s="38">
        <f>IF((ዕቁብ!DA16/ቦኖ!$C$4&gt;0),1,0)</f>
        <v>1</v>
      </c>
      <c r="DA14" s="38">
        <f>IF((ዕቁብ!DB16/ቦኖ!$C$4&gt;0),1,0)</f>
        <v>1</v>
      </c>
      <c r="DB14" s="38">
        <f>IF((ዕቁብ!DC16/ቦኖ!$C$4&gt;0),1,0)</f>
        <v>0</v>
      </c>
      <c r="DC14" s="38">
        <f>IF((ዕቁብ!DD16/ቦኖ!$C$4&gt;0),1,0)</f>
        <v>1</v>
      </c>
      <c r="DD14" s="38">
        <f>IF((ዕቁብ!DE16/ቦኖ!$C$4&gt;0),1,0)</f>
        <v>1</v>
      </c>
      <c r="DE14" s="38">
        <f>IF((ዕቁብ!DF16/ቦኖ!$C$4&gt;0),1,0)</f>
        <v>0</v>
      </c>
      <c r="DF14" s="38">
        <f>IF((ዕቁብ!DG16/ቦኖ!$C$4&gt;0),1,0)</f>
        <v>1</v>
      </c>
      <c r="DG14" s="38">
        <f>IF((ዕቁብ!DH16/ቦኖ!$C$4&gt;0),1,0)</f>
        <v>1</v>
      </c>
      <c r="DH14" s="38">
        <f>IF((ዕቁብ!DI16/ቦኖ!$C$4&gt;0),1,0)</f>
        <v>0</v>
      </c>
      <c r="DI14" s="38">
        <f>IF((ዕቁብ!DJ16/ቦኖ!$C$4&gt;0),1,0)</f>
        <v>0</v>
      </c>
      <c r="DJ14" s="38">
        <f>IF((ዕቁብ!DK16/ቦኖ!$C$4&gt;0),1,0)</f>
        <v>0</v>
      </c>
      <c r="DK14" s="38">
        <f>IF((ዕቁብ!DL16/ቦኖ!$C$4&gt;0),1,0)</f>
        <v>0</v>
      </c>
      <c r="DL14" s="38">
        <f>IF((ዕቁብ!DM16/ቦኖ!$C$4&gt;0),1,0)</f>
        <v>0</v>
      </c>
      <c r="DM14" s="38">
        <f>IF((ዕቁብ!DN16/ቦኖ!$C$4&gt;0),1,0)</f>
        <v>0</v>
      </c>
      <c r="DN14" s="38">
        <f>IF((ዕቁብ!DO16/ቦኖ!$C$4&gt;0),1,0)</f>
        <v>0</v>
      </c>
      <c r="DO14" s="38">
        <f>IF((ዕቁብ!DP16/ቦኖ!$C$4&gt;0),1,0)</f>
        <v>0</v>
      </c>
      <c r="DP14" s="38">
        <f>IF((ዕቁብ!DQ16/ቦኖ!$C$4&gt;0),1,0)</f>
        <v>0</v>
      </c>
      <c r="DQ14" s="38">
        <f>IF((ዕቁብ!DR16/ቦኖ!$C$4&gt;0),1,0)</f>
        <v>0</v>
      </c>
    </row>
    <row r="15" spans="1:121" ht="14.4" x14ac:dyDescent="0.3">
      <c r="A15" s="33">
        <f>ዕቁብ!A17</f>
        <v>12</v>
      </c>
      <c r="B15" s="33" t="str">
        <f>ዕቁብ!B17</f>
        <v>ሀብታሙ ፃዲቁ</v>
      </c>
      <c r="C15" s="37">
        <f>ዕቁብ!C17</f>
        <v>21000</v>
      </c>
      <c r="D15" s="38">
        <f>IF((ዕቁብ!E17/ቦኖ!$C$4&gt;0),1,0)</f>
        <v>0</v>
      </c>
      <c r="E15" s="38">
        <f>IF((ዕቁብ!F17/ቦኖ!$C$4&gt;0),1,0)</f>
        <v>0</v>
      </c>
      <c r="F15" s="38">
        <f>IF((ዕቁብ!G17/ቦኖ!$C$4&gt;0),1,0)</f>
        <v>0</v>
      </c>
      <c r="G15" s="38">
        <f>IF((ዕቁብ!H17/ቦኖ!$C$4&gt;0),1,0)</f>
        <v>0</v>
      </c>
      <c r="H15" s="38">
        <f>IF((ዕቁብ!I17/ቦኖ!$C$4&gt;0),1,0)</f>
        <v>0</v>
      </c>
      <c r="I15" s="38">
        <f>IF((ዕቁብ!J17/ቦኖ!$C$4&gt;0),1,0)</f>
        <v>0</v>
      </c>
      <c r="J15" s="38">
        <f>IF((ዕቁብ!K17/ቦኖ!$C$4&gt;0),1,0)</f>
        <v>0</v>
      </c>
      <c r="K15" s="38">
        <f>IF((ዕቁብ!L17/ቦኖ!$C$4&gt;0),1,0)</f>
        <v>0</v>
      </c>
      <c r="L15" s="38">
        <f>IF((ዕቁብ!M17/ቦኖ!$C$4&gt;0),1,0)</f>
        <v>0</v>
      </c>
      <c r="M15" s="38">
        <f>IF((ዕቁብ!N17/ቦኖ!$C$4&gt;0),1,0)</f>
        <v>0</v>
      </c>
      <c r="N15" s="38">
        <f>IF((ዕቁብ!O17/ቦኖ!$C$4&gt;0),1,0)</f>
        <v>0</v>
      </c>
      <c r="O15" s="38">
        <f>IF((ዕቁብ!P17/ቦኖ!$C$4&gt;0),1,0)</f>
        <v>0</v>
      </c>
      <c r="P15" s="38">
        <f>IF((ዕቁብ!Q17/ቦኖ!$C$4&gt;0),1,0)</f>
        <v>0</v>
      </c>
      <c r="Q15" s="38">
        <f>IF((ዕቁብ!R17/ቦኖ!$C$4&gt;0),1,0)</f>
        <v>0</v>
      </c>
      <c r="R15" s="38">
        <f>IF((ዕቁብ!S17/ቦኖ!$C$4&gt;0),1,0)</f>
        <v>0</v>
      </c>
      <c r="S15" s="38">
        <f>IF((ዕቁብ!T17/ቦኖ!$C$4&gt;0),1,0)</f>
        <v>0</v>
      </c>
      <c r="T15" s="38">
        <f>IF((ዕቁብ!U17/ቦኖ!$C$4&gt;0),1,0)</f>
        <v>0</v>
      </c>
      <c r="U15" s="38">
        <f>IF((ዕቁብ!V17/ቦኖ!$C$4&gt;0),1,0)</f>
        <v>0</v>
      </c>
      <c r="V15" s="38">
        <f>IF((ዕቁብ!W17/ቦኖ!$C$4&gt;0),1,0)</f>
        <v>0</v>
      </c>
      <c r="W15" s="38">
        <f>IF((ዕቁብ!X17/ቦኖ!$C$4&gt;0),1,0)</f>
        <v>0</v>
      </c>
      <c r="X15" s="38">
        <f>IF((ዕቁብ!Y17/ቦኖ!$C$4&gt;0),1,0)</f>
        <v>0</v>
      </c>
      <c r="Y15" s="38">
        <f>IF((ዕቁብ!Z17/ቦኖ!$C$4&gt;0),1,0)</f>
        <v>0</v>
      </c>
      <c r="Z15" s="38">
        <f>IF((ዕቁብ!AA17/ቦኖ!$C$4&gt;0),1,0)</f>
        <v>0</v>
      </c>
      <c r="AA15" s="38">
        <f>IF((ዕቁብ!AB17/ቦኖ!$C$4&gt;0),1,0)</f>
        <v>0</v>
      </c>
      <c r="AB15" s="38">
        <f>IF((ዕቁብ!AC17/ቦኖ!$C$4&gt;0),1,0)</f>
        <v>0</v>
      </c>
      <c r="AC15" s="38">
        <f>IF((ዕቁብ!AD17/ቦኖ!$C$4&gt;0),1,0)</f>
        <v>0</v>
      </c>
      <c r="AD15" s="38">
        <f>IF((ዕቁብ!AE17/ቦኖ!$C$4&gt;0),1,0)</f>
        <v>0</v>
      </c>
      <c r="AE15" s="38">
        <f>IF((ዕቁብ!AF17/ቦኖ!$C$4&gt;0),1,0)</f>
        <v>0</v>
      </c>
      <c r="AF15" s="38">
        <f>IF((ዕቁብ!AG17/ቦኖ!$C$4&gt;0),1,0)</f>
        <v>0</v>
      </c>
      <c r="AG15" s="38">
        <f>IF((ዕቁብ!AH17/ቦኖ!$C$4&gt;0),1,0)</f>
        <v>0</v>
      </c>
      <c r="AH15" s="38">
        <f>IF((ዕቁብ!AI17/ቦኖ!$C$4&gt;0),1,0)</f>
        <v>0</v>
      </c>
      <c r="AI15" s="38">
        <f>IF((ዕቁብ!AJ17/ቦኖ!$C$4&gt;0),1,0)</f>
        <v>0</v>
      </c>
      <c r="AJ15" s="38">
        <f>IF((ዕቁብ!AK17/ቦኖ!$C$4&gt;0),1,0)</f>
        <v>0</v>
      </c>
      <c r="AK15" s="38">
        <f>IF((ዕቁብ!AL17/ቦኖ!$C$4&gt;0),1,0)</f>
        <v>0</v>
      </c>
      <c r="AL15" s="38">
        <f>IF((ዕቁብ!AM17/ቦኖ!$C$4&gt;0),1,0)</f>
        <v>0</v>
      </c>
      <c r="AM15" s="38">
        <f>IF((ዕቁብ!AN17/ቦኖ!$C$4&gt;0),1,0)</f>
        <v>0</v>
      </c>
      <c r="AN15" s="38">
        <f>IF((ዕቁብ!AO17/ቦኖ!$C$4&gt;0),1,0)</f>
        <v>0</v>
      </c>
      <c r="AO15" s="38">
        <f>IF((ዕቁብ!AP17/ቦኖ!$C$4&gt;0),1,0)</f>
        <v>0</v>
      </c>
      <c r="AP15" s="38">
        <f>IF((ዕቁብ!AQ17/ቦኖ!$C$4&gt;0),1,0)</f>
        <v>0</v>
      </c>
      <c r="AQ15" s="38">
        <f>IF((ዕቁብ!AR17/ቦኖ!$C$4&gt;0),1,0)</f>
        <v>0</v>
      </c>
      <c r="AR15" s="38">
        <f>IF((ዕቁብ!AS17/ቦኖ!$C$4&gt;0),1,0)</f>
        <v>0</v>
      </c>
      <c r="AS15" s="38">
        <f>IF((ዕቁብ!AT17/ቦኖ!$C$4&gt;0),1,0)</f>
        <v>0</v>
      </c>
      <c r="AT15" s="38">
        <f>IF((ዕቁብ!AU17/ቦኖ!$C$4&gt;0),1,0)</f>
        <v>0</v>
      </c>
      <c r="AU15" s="38">
        <f>IF((ዕቁብ!AV17/ቦኖ!$C$4&gt;0),1,0)</f>
        <v>0</v>
      </c>
      <c r="AV15" s="38">
        <f>IF((ዕቁብ!AW17/ቦኖ!$C$4&gt;0),1,0)</f>
        <v>0</v>
      </c>
      <c r="AW15" s="38">
        <f>IF((ዕቁብ!AX17/ቦኖ!$C$4&gt;0),1,0)</f>
        <v>0</v>
      </c>
      <c r="AX15" s="38">
        <f>IF((ዕቁብ!AY17/ቦኖ!$C$4&gt;0),1,0)</f>
        <v>0</v>
      </c>
      <c r="AY15" s="38">
        <f>IF((ዕቁብ!AZ17/ቦኖ!$C$4&gt;0),1,0)</f>
        <v>0</v>
      </c>
      <c r="AZ15" s="38">
        <f>IF((ዕቁብ!BA17/ቦኖ!$C$4&gt;0),1,0)</f>
        <v>0</v>
      </c>
      <c r="BA15" s="38">
        <f>IF((ዕቁብ!BB17/ቦኖ!$C$4&gt;0),1,0)</f>
        <v>0</v>
      </c>
      <c r="BB15" s="38">
        <f>IF((ዕቁብ!BC17/ቦኖ!$C$4&gt;0),1,0)</f>
        <v>0</v>
      </c>
      <c r="BC15" s="38">
        <f>IF((ዕቁብ!BD17/ቦኖ!$C$4&gt;0),1,0)</f>
        <v>0</v>
      </c>
      <c r="BD15" s="38">
        <f>IF((ዕቁብ!BE17/ቦኖ!$C$4&gt;0),1,0)</f>
        <v>0</v>
      </c>
      <c r="BE15" s="38">
        <f>IF((ዕቁብ!BF17/ቦኖ!$C$4&gt;0),1,0)</f>
        <v>0</v>
      </c>
      <c r="BF15" s="38">
        <f>IF((ዕቁብ!BG17/ቦኖ!$C$4&gt;0),1,0)</f>
        <v>0</v>
      </c>
      <c r="BG15" s="38">
        <f>IF((ዕቁብ!BH17/ቦኖ!$C$4&gt;0),1,0)</f>
        <v>0</v>
      </c>
      <c r="BH15" s="38">
        <f>IF((ዕቁብ!BI17/ቦኖ!$C$4&gt;0),1,0)</f>
        <v>0</v>
      </c>
      <c r="BI15" s="38">
        <f>IF((ዕቁብ!BJ17/ቦኖ!$C$4&gt;0),1,0)</f>
        <v>0</v>
      </c>
      <c r="BJ15" s="38">
        <f>IF((ዕቁብ!BK17/ቦኖ!$C$4&gt;0),1,0)</f>
        <v>0</v>
      </c>
      <c r="BK15" s="38">
        <f>IF((ዕቁብ!BL17/ቦኖ!$C$4&gt;0),1,0)</f>
        <v>0</v>
      </c>
      <c r="BL15" s="38">
        <f>IF((ዕቁብ!BM17/ቦኖ!$C$4&gt;0),1,0)</f>
        <v>0</v>
      </c>
      <c r="BM15" s="38">
        <f>IF((ዕቁብ!BN17/ቦኖ!$C$4&gt;0),1,0)</f>
        <v>0</v>
      </c>
      <c r="BN15" s="38">
        <f>IF((ዕቁብ!BO17/ቦኖ!$C$4&gt;0),1,0)</f>
        <v>0</v>
      </c>
      <c r="BO15" s="38">
        <f>IF((ዕቁብ!BP17/ቦኖ!$C$4&gt;0),1,0)</f>
        <v>0</v>
      </c>
      <c r="BP15" s="38">
        <f>IF((ዕቁብ!BQ17/ቦኖ!$C$4&gt;0),1,0)</f>
        <v>0</v>
      </c>
      <c r="BQ15" s="38">
        <f>IF((ዕቁብ!BR17/ቦኖ!$C$4&gt;0),1,0)</f>
        <v>0</v>
      </c>
      <c r="BR15" s="38">
        <f>IF((ዕቁብ!BS17/ቦኖ!$C$4&gt;0),1,0)</f>
        <v>0</v>
      </c>
      <c r="BS15" s="38">
        <f>IF((ዕቁብ!BT17/ቦኖ!$C$4&gt;0),1,0)</f>
        <v>0</v>
      </c>
      <c r="BT15" s="38">
        <f>IF((ዕቁብ!BU17/ቦኖ!$C$4&gt;0),1,0)</f>
        <v>0</v>
      </c>
      <c r="BU15" s="38">
        <f>IF((ዕቁብ!BV17/ቦኖ!$C$4&gt;0),1,0)</f>
        <v>0</v>
      </c>
      <c r="BV15" s="38">
        <f>IF((ዕቁብ!BW17/ቦኖ!$C$4&gt;0),1,0)</f>
        <v>0</v>
      </c>
      <c r="BW15" s="38">
        <f>IF((ዕቁብ!BX17/ቦኖ!$C$4&gt;0),1,0)</f>
        <v>0</v>
      </c>
      <c r="BX15" s="38">
        <f>IF((ዕቁብ!BY17/ቦኖ!$C$4&gt;0),1,0)</f>
        <v>0</v>
      </c>
      <c r="BY15" s="38">
        <f>IF((ዕቁብ!BZ17/ቦኖ!$C$4&gt;0),1,0)</f>
        <v>0</v>
      </c>
      <c r="BZ15" s="38">
        <f>IF((ዕቁብ!CA17/ቦኖ!$C$4&gt;0),1,0)</f>
        <v>0</v>
      </c>
      <c r="CA15" s="38">
        <f>IF((ዕቁብ!CB17/ቦኖ!$C$4&gt;0),1,0)</f>
        <v>0</v>
      </c>
      <c r="CB15" s="38">
        <f>IF((ዕቁብ!CC17/ቦኖ!$C$4&gt;0),1,0)</f>
        <v>0</v>
      </c>
      <c r="CC15" s="38">
        <f>IF((ዕቁብ!CD17/ቦኖ!$C$4&gt;0),1,0)</f>
        <v>0</v>
      </c>
      <c r="CD15" s="38">
        <f>IF((ዕቁብ!CE17/ቦኖ!$C$4&gt;0),1,0)</f>
        <v>0</v>
      </c>
      <c r="CE15" s="38">
        <f>IF((ዕቁብ!CF17/ቦኖ!$C$4&gt;0),1,0)</f>
        <v>0</v>
      </c>
      <c r="CF15" s="38">
        <f>IF((ዕቁብ!CG17/ቦኖ!$C$4&gt;0),1,0)</f>
        <v>0</v>
      </c>
      <c r="CG15" s="38">
        <f>IF((ዕቁብ!CH17/ቦኖ!$C$4&gt;0),1,0)</f>
        <v>0</v>
      </c>
      <c r="CH15" s="38">
        <f>IF((ዕቁብ!CI17/ቦኖ!$C$4&gt;0),1,0)</f>
        <v>0</v>
      </c>
      <c r="CI15" s="38">
        <f>IF((ዕቁብ!CJ17/ቦኖ!$C$4&gt;0),1,0)</f>
        <v>0</v>
      </c>
      <c r="CJ15" s="38">
        <f>IF((ዕቁብ!CK17/ቦኖ!$C$4&gt;0),1,0)</f>
        <v>0</v>
      </c>
      <c r="CK15" s="38">
        <f>IF((ዕቁብ!CL17/ቦኖ!$C$4&gt;0),1,0)</f>
        <v>0</v>
      </c>
      <c r="CL15" s="38">
        <f>IF((ዕቁብ!CM17/ቦኖ!$C$4&gt;0),1,0)</f>
        <v>0</v>
      </c>
      <c r="CM15" s="38">
        <f>IF((ዕቁብ!CN17/ቦኖ!$C$4&gt;0),1,0)</f>
        <v>0</v>
      </c>
      <c r="CN15" s="38">
        <f>IF((ዕቁብ!CO17/ቦኖ!$C$4&gt;0),1,0)</f>
        <v>0</v>
      </c>
      <c r="CO15" s="38">
        <f>IF((ዕቁብ!CP17/ቦኖ!$C$4&gt;0),1,0)</f>
        <v>0</v>
      </c>
      <c r="CP15" s="38">
        <f>IF((ዕቁብ!CQ17/ቦኖ!$C$4&gt;0),1,0)</f>
        <v>0</v>
      </c>
      <c r="CQ15" s="38">
        <f>IF((ዕቁብ!CR17/ቦኖ!$C$4&gt;0),1,0)</f>
        <v>0</v>
      </c>
      <c r="CR15" s="38">
        <f>IF((ዕቁብ!CS17/ቦኖ!$C$4&gt;0),1,0)</f>
        <v>0</v>
      </c>
      <c r="CS15" s="38">
        <f>IF((ዕቁብ!CT17/ቦኖ!$C$4&gt;0),1,0)</f>
        <v>0</v>
      </c>
      <c r="CT15" s="38">
        <f>IF((ዕቁብ!CU17/ቦኖ!$C$4&gt;0),1,0)</f>
        <v>0</v>
      </c>
      <c r="CU15" s="38">
        <f>IF((ዕቁብ!CV17/ቦኖ!$C$4&gt;0),1,0)</f>
        <v>0</v>
      </c>
      <c r="CV15" s="38">
        <f>IF((ዕቁብ!CW17/ቦኖ!$C$4&gt;0),1,0)</f>
        <v>0</v>
      </c>
      <c r="CW15" s="38">
        <f>IF((ዕቁብ!CX17/ቦኖ!$C$4&gt;0),1,0)</f>
        <v>0</v>
      </c>
      <c r="CX15" s="38">
        <f>IF((ዕቁብ!CY17/ቦኖ!$C$4&gt;0),1,0)</f>
        <v>0</v>
      </c>
      <c r="CY15" s="38">
        <f>IF((ዕቁብ!CZ17/ቦኖ!$C$4&gt;0),1,0)</f>
        <v>0</v>
      </c>
      <c r="CZ15" s="38">
        <f>IF((ዕቁብ!DA17/ቦኖ!$C$4&gt;0),1,0)</f>
        <v>0</v>
      </c>
      <c r="DA15" s="38">
        <f>IF((ዕቁብ!DB17/ቦኖ!$C$4&gt;0),1,0)</f>
        <v>0</v>
      </c>
      <c r="DB15" s="38">
        <f>IF((ዕቁብ!DC17/ቦኖ!$C$4&gt;0),1,0)</f>
        <v>0</v>
      </c>
      <c r="DC15" s="38">
        <f>IF((ዕቁብ!DD17/ቦኖ!$C$4&gt;0),1,0)</f>
        <v>0</v>
      </c>
      <c r="DD15" s="38">
        <f>IF((ዕቁብ!DE17/ቦኖ!$C$4&gt;0),1,0)</f>
        <v>0</v>
      </c>
      <c r="DE15" s="38">
        <f>IF((ዕቁብ!DF17/ቦኖ!$C$4&gt;0),1,0)</f>
        <v>0</v>
      </c>
      <c r="DF15" s="38">
        <f>IF((ዕቁብ!DG17/ቦኖ!$C$4&gt;0),1,0)</f>
        <v>0</v>
      </c>
      <c r="DG15" s="38">
        <f>IF((ዕቁብ!DH17/ቦኖ!$C$4&gt;0),1,0)</f>
        <v>0</v>
      </c>
      <c r="DH15" s="38">
        <f>IF((ዕቁብ!DI17/ቦኖ!$C$4&gt;0),1,0)</f>
        <v>0</v>
      </c>
      <c r="DI15" s="38">
        <f>IF((ዕቁብ!DJ17/ቦኖ!$C$4&gt;0),1,0)</f>
        <v>0</v>
      </c>
      <c r="DJ15" s="38">
        <f>IF((ዕቁብ!DK17/ቦኖ!$C$4&gt;0),1,0)</f>
        <v>0</v>
      </c>
      <c r="DK15" s="38">
        <f>IF((ዕቁብ!DL17/ቦኖ!$C$4&gt;0),1,0)</f>
        <v>0</v>
      </c>
      <c r="DL15" s="38">
        <f>IF((ዕቁብ!DM17/ቦኖ!$C$4&gt;0),1,0)</f>
        <v>0</v>
      </c>
      <c r="DM15" s="38">
        <f>IF((ዕቁብ!DN17/ቦኖ!$C$4&gt;0),1,0)</f>
        <v>0</v>
      </c>
      <c r="DN15" s="38">
        <f>IF((ዕቁብ!DO17/ቦኖ!$C$4&gt;0),1,0)</f>
        <v>0</v>
      </c>
      <c r="DO15" s="38">
        <f>IF((ዕቁብ!DP17/ቦኖ!$C$4&gt;0),1,0)</f>
        <v>0</v>
      </c>
      <c r="DP15" s="38">
        <f>IF((ዕቁብ!DQ17/ቦኖ!$C$4&gt;0),1,0)</f>
        <v>0</v>
      </c>
      <c r="DQ15" s="38">
        <f>IF((ዕቁብ!DR17/ቦኖ!$C$4&gt;0),1,0)</f>
        <v>0</v>
      </c>
    </row>
    <row r="16" spans="1:121" ht="14.4" x14ac:dyDescent="0.3">
      <c r="A16" s="33">
        <f>ዕቁብ!A18</f>
        <v>13</v>
      </c>
      <c r="B16" s="33" t="str">
        <f>ዕቁብ!B18</f>
        <v>ፍሬው ኢትዮጲያ</v>
      </c>
      <c r="C16" s="37">
        <f>ዕቁብ!C18</f>
        <v>21000</v>
      </c>
      <c r="D16" s="38">
        <f>IF((ዕቁብ!E18/ቦኖ!$C$4&gt;0),1,0)</f>
        <v>1</v>
      </c>
      <c r="E16" s="38">
        <f>IF((ዕቁብ!F18/ቦኖ!$C$4&gt;0),1,0)</f>
        <v>1</v>
      </c>
      <c r="F16" s="38">
        <f>IF((ዕቁብ!G18/ቦኖ!$C$4&gt;0),1,0)</f>
        <v>1</v>
      </c>
      <c r="G16" s="38">
        <f>IF((ዕቁብ!H18/ቦኖ!$C$4&gt;0),1,0)</f>
        <v>1</v>
      </c>
      <c r="H16" s="38">
        <f>IF((ዕቁብ!I18/ቦኖ!$C$4&gt;0),1,0)</f>
        <v>1</v>
      </c>
      <c r="I16" s="38">
        <f>IF((ዕቁብ!J18/ቦኖ!$C$4&gt;0),1,0)</f>
        <v>1</v>
      </c>
      <c r="J16" s="38">
        <f>IF((ዕቁብ!K18/ቦኖ!$C$4&gt;0),1,0)</f>
        <v>1</v>
      </c>
      <c r="K16" s="38">
        <f>IF((ዕቁብ!L18/ቦኖ!$C$4&gt;0),1,0)</f>
        <v>1</v>
      </c>
      <c r="L16" s="38">
        <f>IF((ዕቁብ!M18/ቦኖ!$C$4&gt;0),1,0)</f>
        <v>1</v>
      </c>
      <c r="M16" s="38">
        <f>IF((ዕቁብ!N18/ቦኖ!$C$4&gt;0),1,0)</f>
        <v>1</v>
      </c>
      <c r="N16" s="38">
        <f>IF((ዕቁብ!O18/ቦኖ!$C$4&gt;0),1,0)</f>
        <v>1</v>
      </c>
      <c r="O16" s="38">
        <f>IF((ዕቁብ!P18/ቦኖ!$C$4&gt;0),1,0)</f>
        <v>1</v>
      </c>
      <c r="P16" s="38">
        <f>IF((ዕቁብ!Q18/ቦኖ!$C$4&gt;0),1,0)</f>
        <v>1</v>
      </c>
      <c r="Q16" s="38">
        <f>IF((ዕቁብ!R18/ቦኖ!$C$4&gt;0),1,0)</f>
        <v>1</v>
      </c>
      <c r="R16" s="38">
        <f>IF((ዕቁብ!S18/ቦኖ!$C$4&gt;0),1,0)</f>
        <v>1</v>
      </c>
      <c r="S16" s="38">
        <f>IF((ዕቁብ!T18/ቦኖ!$C$4&gt;0),1,0)</f>
        <v>1</v>
      </c>
      <c r="T16" s="38">
        <f>IF((ዕቁብ!U18/ቦኖ!$C$4&gt;0),1,0)</f>
        <v>1</v>
      </c>
      <c r="U16" s="38">
        <f>IF((ዕቁብ!V18/ቦኖ!$C$4&gt;0),1,0)</f>
        <v>1</v>
      </c>
      <c r="V16" s="38">
        <f>IF((ዕቁብ!W18/ቦኖ!$C$4&gt;0),1,0)</f>
        <v>1</v>
      </c>
      <c r="W16" s="38">
        <f>IF((ዕቁብ!X18/ቦኖ!$C$4&gt;0),1,0)</f>
        <v>1</v>
      </c>
      <c r="X16" s="38">
        <f>IF((ዕቁብ!Y18/ቦኖ!$C$4&gt;0),1,0)</f>
        <v>1</v>
      </c>
      <c r="Y16" s="38">
        <f>IF((ዕቁብ!Z18/ቦኖ!$C$4&gt;0),1,0)</f>
        <v>1</v>
      </c>
      <c r="Z16" s="38">
        <f>IF((ዕቁብ!AA18/ቦኖ!$C$4&gt;0),1,0)</f>
        <v>1</v>
      </c>
      <c r="AA16" s="38">
        <f>IF((ዕቁብ!AB18/ቦኖ!$C$4&gt;0),1,0)</f>
        <v>1</v>
      </c>
      <c r="AB16" s="38">
        <f>IF((ዕቁብ!AC18/ቦኖ!$C$4&gt;0),1,0)</f>
        <v>1</v>
      </c>
      <c r="AC16" s="38">
        <f>IF((ዕቁብ!AD18/ቦኖ!$C$4&gt;0),1,0)</f>
        <v>1</v>
      </c>
      <c r="AD16" s="38">
        <f>IF((ዕቁብ!AE18/ቦኖ!$C$4&gt;0),1,0)</f>
        <v>1</v>
      </c>
      <c r="AE16" s="38">
        <f>IF((ዕቁብ!AF18/ቦኖ!$C$4&gt;0),1,0)</f>
        <v>1</v>
      </c>
      <c r="AF16" s="38">
        <f>IF((ዕቁብ!AG18/ቦኖ!$C$4&gt;0),1,0)</f>
        <v>1</v>
      </c>
      <c r="AG16" s="38">
        <f>IF((ዕቁብ!AH18/ቦኖ!$C$4&gt;0),1,0)</f>
        <v>1</v>
      </c>
      <c r="AH16" s="38">
        <f>IF((ዕቁብ!AI18/ቦኖ!$C$4&gt;0),1,0)</f>
        <v>1</v>
      </c>
      <c r="AI16" s="38">
        <f>IF((ዕቁብ!AJ18/ቦኖ!$C$4&gt;0),1,0)</f>
        <v>1</v>
      </c>
      <c r="AJ16" s="38">
        <f>IF((ዕቁብ!AK18/ቦኖ!$C$4&gt;0),1,0)</f>
        <v>1</v>
      </c>
      <c r="AK16" s="38">
        <f>IF((ዕቁብ!AL18/ቦኖ!$C$4&gt;0),1,0)</f>
        <v>1</v>
      </c>
      <c r="AL16" s="38">
        <f>IF((ዕቁብ!AM18/ቦኖ!$C$4&gt;0),1,0)</f>
        <v>1</v>
      </c>
      <c r="AM16" s="38">
        <f>IF((ዕቁብ!AN18/ቦኖ!$C$4&gt;0),1,0)</f>
        <v>1</v>
      </c>
      <c r="AN16" s="38">
        <f>IF((ዕቁብ!AO18/ቦኖ!$C$4&gt;0),1,0)</f>
        <v>1</v>
      </c>
      <c r="AO16" s="38">
        <f>IF((ዕቁብ!AP18/ቦኖ!$C$4&gt;0),1,0)</f>
        <v>1</v>
      </c>
      <c r="AP16" s="38">
        <f>IF((ዕቁብ!AQ18/ቦኖ!$C$4&gt;0),1,0)</f>
        <v>1</v>
      </c>
      <c r="AQ16" s="38">
        <f>IF((ዕቁብ!AR18/ቦኖ!$C$4&gt;0),1,0)</f>
        <v>1</v>
      </c>
      <c r="AR16" s="38">
        <f>IF((ዕቁብ!AS18/ቦኖ!$C$4&gt;0),1,0)</f>
        <v>1</v>
      </c>
      <c r="AS16" s="38">
        <f>IF((ዕቁብ!AT18/ቦኖ!$C$4&gt;0),1,0)</f>
        <v>1</v>
      </c>
      <c r="AT16" s="38">
        <f>IF((ዕቁብ!AU18/ቦኖ!$C$4&gt;0),1,0)</f>
        <v>1</v>
      </c>
      <c r="AU16" s="38">
        <f>IF((ዕቁብ!AV18/ቦኖ!$C$4&gt;0),1,0)</f>
        <v>1</v>
      </c>
      <c r="AV16" s="38">
        <f>IF((ዕቁብ!AW18/ቦኖ!$C$4&gt;0),1,0)</f>
        <v>1</v>
      </c>
      <c r="AW16" s="38">
        <f>IF((ዕቁብ!AX18/ቦኖ!$C$4&gt;0),1,0)</f>
        <v>1</v>
      </c>
      <c r="AX16" s="38">
        <f>IF((ዕቁብ!AY18/ቦኖ!$C$4&gt;0),1,0)</f>
        <v>1</v>
      </c>
      <c r="AY16" s="38">
        <f>IF((ዕቁብ!AZ18/ቦኖ!$C$4&gt;0),1,0)</f>
        <v>1</v>
      </c>
      <c r="AZ16" s="38">
        <f>IF((ዕቁብ!BA18/ቦኖ!$C$4&gt;0),1,0)</f>
        <v>1</v>
      </c>
      <c r="BA16" s="38">
        <f>IF((ዕቁብ!BB18/ቦኖ!$C$4&gt;0),1,0)</f>
        <v>1</v>
      </c>
      <c r="BB16" s="38">
        <f>IF((ዕቁብ!BC18/ቦኖ!$C$4&gt;0),1,0)</f>
        <v>1</v>
      </c>
      <c r="BC16" s="38">
        <f>IF((ዕቁብ!BD18/ቦኖ!$C$4&gt;0),1,0)</f>
        <v>1</v>
      </c>
      <c r="BD16" s="38">
        <f>IF((ዕቁብ!BE18/ቦኖ!$C$4&gt;0),1,0)</f>
        <v>1</v>
      </c>
      <c r="BE16" s="38">
        <f>IF((ዕቁብ!BF18/ቦኖ!$C$4&gt;0),1,0)</f>
        <v>1</v>
      </c>
      <c r="BF16" s="38">
        <f>IF((ዕቁብ!BG18/ቦኖ!$C$4&gt;0),1,0)</f>
        <v>1</v>
      </c>
      <c r="BG16" s="38">
        <f>IF((ዕቁብ!BH18/ቦኖ!$C$4&gt;0),1,0)</f>
        <v>1</v>
      </c>
      <c r="BH16" s="38">
        <f>IF((ዕቁብ!BI18/ቦኖ!$C$4&gt;0),1,0)</f>
        <v>1</v>
      </c>
      <c r="BI16" s="38">
        <f>IF((ዕቁብ!BJ18/ቦኖ!$C$4&gt;0),1,0)</f>
        <v>1</v>
      </c>
      <c r="BJ16" s="38">
        <f>IF((ዕቁብ!BK18/ቦኖ!$C$4&gt;0),1,0)</f>
        <v>1</v>
      </c>
      <c r="BK16" s="38">
        <f>IF((ዕቁብ!BL18/ቦኖ!$C$4&gt;0),1,0)</f>
        <v>1</v>
      </c>
      <c r="BL16" s="38">
        <f>IF((ዕቁብ!BM18/ቦኖ!$C$4&gt;0),1,0)</f>
        <v>1</v>
      </c>
      <c r="BM16" s="38">
        <f>IF((ዕቁብ!BN18/ቦኖ!$C$4&gt;0),1,0)</f>
        <v>1</v>
      </c>
      <c r="BN16" s="38">
        <f>IF((ዕቁብ!BO18/ቦኖ!$C$4&gt;0),1,0)</f>
        <v>1</v>
      </c>
      <c r="BO16" s="38">
        <f>IF((ዕቁብ!BP18/ቦኖ!$C$4&gt;0),1,0)</f>
        <v>1</v>
      </c>
      <c r="BP16" s="38">
        <f>IF((ዕቁብ!BQ18/ቦኖ!$C$4&gt;0),1,0)</f>
        <v>1</v>
      </c>
      <c r="BQ16" s="38">
        <f>IF((ዕቁብ!BR18/ቦኖ!$C$4&gt;0),1,0)</f>
        <v>1</v>
      </c>
      <c r="BR16" s="38">
        <f>IF((ዕቁብ!BS18/ቦኖ!$C$4&gt;0),1,0)</f>
        <v>1</v>
      </c>
      <c r="BS16" s="38">
        <f>IF((ዕቁብ!BT18/ቦኖ!$C$4&gt;0),1,0)</f>
        <v>1</v>
      </c>
      <c r="BT16" s="38">
        <f>IF((ዕቁብ!BU18/ቦኖ!$C$4&gt;0),1,0)</f>
        <v>1</v>
      </c>
      <c r="BU16" s="38">
        <f>IF((ዕቁብ!BV18/ቦኖ!$C$4&gt;0),1,0)</f>
        <v>1</v>
      </c>
      <c r="BV16" s="38">
        <f>IF((ዕቁብ!BW18/ቦኖ!$C$4&gt;0),1,0)</f>
        <v>1</v>
      </c>
      <c r="BW16" s="38">
        <f>IF((ዕቁብ!BX18/ቦኖ!$C$4&gt;0),1,0)</f>
        <v>1</v>
      </c>
      <c r="BX16" s="38">
        <f>IF((ዕቁብ!BY18/ቦኖ!$C$4&gt;0),1,0)</f>
        <v>1</v>
      </c>
      <c r="BY16" s="38">
        <f>IF((ዕቁብ!BZ18/ቦኖ!$C$4&gt;0),1,0)</f>
        <v>1</v>
      </c>
      <c r="BZ16" s="38">
        <f>IF((ዕቁብ!CA18/ቦኖ!$C$4&gt;0),1,0)</f>
        <v>1</v>
      </c>
      <c r="CA16" s="38">
        <f>IF((ዕቁብ!CB18/ቦኖ!$C$4&gt;0),1,0)</f>
        <v>1</v>
      </c>
      <c r="CB16" s="38">
        <f>IF((ዕቁብ!CC18/ቦኖ!$C$4&gt;0),1,0)</f>
        <v>1</v>
      </c>
      <c r="CC16" s="38">
        <f>IF((ዕቁብ!CD18/ቦኖ!$C$4&gt;0),1,0)</f>
        <v>1</v>
      </c>
      <c r="CD16" s="38">
        <f>IF((ዕቁብ!CE18/ቦኖ!$C$4&gt;0),1,0)</f>
        <v>1</v>
      </c>
      <c r="CE16" s="38">
        <f>IF((ዕቁብ!CF18/ቦኖ!$C$4&gt;0),1,0)</f>
        <v>1</v>
      </c>
      <c r="CF16" s="38">
        <f>IF((ዕቁብ!CG18/ቦኖ!$C$4&gt;0),1,0)</f>
        <v>1</v>
      </c>
      <c r="CG16" s="38">
        <f>IF((ዕቁብ!CH18/ቦኖ!$C$4&gt;0),1,0)</f>
        <v>1</v>
      </c>
      <c r="CH16" s="38">
        <f>IF((ዕቁብ!CI18/ቦኖ!$C$4&gt;0),1,0)</f>
        <v>1</v>
      </c>
      <c r="CI16" s="38">
        <f>IF((ዕቁብ!CJ18/ቦኖ!$C$4&gt;0),1,0)</f>
        <v>1</v>
      </c>
      <c r="CJ16" s="38">
        <f>IF((ዕቁብ!CK18/ቦኖ!$C$4&gt;0),1,0)</f>
        <v>1</v>
      </c>
      <c r="CK16" s="38">
        <f>IF((ዕቁብ!CL18/ቦኖ!$C$4&gt;0),1,0)</f>
        <v>1</v>
      </c>
      <c r="CL16" s="38">
        <f>IF((ዕቁብ!CM18/ቦኖ!$C$4&gt;0),1,0)</f>
        <v>1</v>
      </c>
      <c r="CM16" s="38">
        <f>IF((ዕቁብ!CN18/ቦኖ!$C$4&gt;0),1,0)</f>
        <v>1</v>
      </c>
      <c r="CN16" s="38">
        <f>IF((ዕቁብ!CO18/ቦኖ!$C$4&gt;0),1,0)</f>
        <v>1</v>
      </c>
      <c r="CO16" s="38">
        <f>IF((ዕቁብ!CP18/ቦኖ!$C$4&gt;0),1,0)</f>
        <v>1</v>
      </c>
      <c r="CP16" s="38">
        <f>IF((ዕቁብ!CQ18/ቦኖ!$C$4&gt;0),1,0)</f>
        <v>1</v>
      </c>
      <c r="CQ16" s="38">
        <f>IF((ዕቁብ!CR18/ቦኖ!$C$4&gt;0),1,0)</f>
        <v>1</v>
      </c>
      <c r="CR16" s="38">
        <f>IF((ዕቁብ!CS18/ቦኖ!$C$4&gt;0),1,0)</f>
        <v>1</v>
      </c>
      <c r="CS16" s="38">
        <f>IF((ዕቁብ!CT18/ቦኖ!$C$4&gt;0),1,0)</f>
        <v>1</v>
      </c>
      <c r="CT16" s="38">
        <f>IF((ዕቁብ!CU18/ቦኖ!$C$4&gt;0),1,0)</f>
        <v>1</v>
      </c>
      <c r="CU16" s="38">
        <f>IF((ዕቁብ!CV18/ቦኖ!$C$4&gt;0),1,0)</f>
        <v>1</v>
      </c>
      <c r="CV16" s="38">
        <f>IF((ዕቁብ!CW18/ቦኖ!$C$4&gt;0),1,0)</f>
        <v>1</v>
      </c>
      <c r="CW16" s="38">
        <f>IF((ዕቁብ!CX18/ቦኖ!$C$4&gt;0),1,0)</f>
        <v>1</v>
      </c>
      <c r="CX16" s="38">
        <f>IF((ዕቁብ!CY18/ቦኖ!$C$4&gt;0),1,0)</f>
        <v>1</v>
      </c>
      <c r="CY16" s="38">
        <f>IF((ዕቁብ!CZ18/ቦኖ!$C$4&gt;0),1,0)</f>
        <v>1</v>
      </c>
      <c r="CZ16" s="38">
        <f>IF((ዕቁብ!DA18/ቦኖ!$C$4&gt;0),1,0)</f>
        <v>1</v>
      </c>
      <c r="DA16" s="38">
        <f>IF((ዕቁብ!DB18/ቦኖ!$C$4&gt;0),1,0)</f>
        <v>1</v>
      </c>
      <c r="DB16" s="38">
        <f>IF((ዕቁብ!DC18/ቦኖ!$C$4&gt;0),1,0)</f>
        <v>1</v>
      </c>
      <c r="DC16" s="38">
        <f>IF((ዕቁብ!DD18/ቦኖ!$C$4&gt;0),1,0)</f>
        <v>1</v>
      </c>
      <c r="DD16" s="38">
        <f>IF((ዕቁብ!DE18/ቦኖ!$C$4&gt;0),1,0)</f>
        <v>1</v>
      </c>
      <c r="DE16" s="38">
        <f>IF((ዕቁብ!DF18/ቦኖ!$C$4&gt;0),1,0)</f>
        <v>1</v>
      </c>
      <c r="DF16" s="38">
        <f>IF((ዕቁብ!DG18/ቦኖ!$C$4&gt;0),1,0)</f>
        <v>1</v>
      </c>
      <c r="DG16" s="38">
        <f>IF((ዕቁብ!DH18/ቦኖ!$C$4&gt;0),1,0)</f>
        <v>1</v>
      </c>
      <c r="DH16" s="38">
        <f>IF((ዕቁብ!DI18/ቦኖ!$C$4&gt;0),1,0)</f>
        <v>0</v>
      </c>
      <c r="DI16" s="38">
        <f>IF((ዕቁብ!DJ18/ቦኖ!$C$4&gt;0),1,0)</f>
        <v>0</v>
      </c>
      <c r="DJ16" s="38">
        <f>IF((ዕቁብ!DK18/ቦኖ!$C$4&gt;0),1,0)</f>
        <v>0</v>
      </c>
      <c r="DK16" s="38">
        <f>IF((ዕቁብ!DL18/ቦኖ!$C$4&gt;0),1,0)</f>
        <v>0</v>
      </c>
      <c r="DL16" s="38">
        <f>IF((ዕቁብ!DM18/ቦኖ!$C$4&gt;0),1,0)</f>
        <v>0</v>
      </c>
      <c r="DM16" s="38">
        <f>IF((ዕቁብ!DN18/ቦኖ!$C$4&gt;0),1,0)</f>
        <v>0</v>
      </c>
      <c r="DN16" s="38">
        <f>IF((ዕቁብ!DO18/ቦኖ!$C$4&gt;0),1,0)</f>
        <v>0</v>
      </c>
      <c r="DO16" s="38">
        <f>IF((ዕቁብ!DP18/ቦኖ!$C$4&gt;0),1,0)</f>
        <v>0</v>
      </c>
      <c r="DP16" s="38">
        <f>IF((ዕቁብ!DQ18/ቦኖ!$C$4&gt;0),1,0)</f>
        <v>0</v>
      </c>
      <c r="DQ16" s="38">
        <f>IF((ዕቁብ!DR18/ቦኖ!$C$4&gt;0),1,0)</f>
        <v>0</v>
      </c>
    </row>
    <row r="17" spans="1:121" ht="14.4" x14ac:dyDescent="0.3">
      <c r="A17" s="33">
        <f>ዕቁብ!A19</f>
        <v>14</v>
      </c>
      <c r="B17" s="33" t="str">
        <f>ዕቁብ!B19</f>
        <v>አስራት ኩሳ</v>
      </c>
      <c r="C17" s="37">
        <f>ዕቁብ!C19</f>
        <v>21000</v>
      </c>
      <c r="D17" s="38">
        <f>IF((ዕቁብ!E19/ቦኖ!$C$4&gt;0),1,0)</f>
        <v>1</v>
      </c>
      <c r="E17" s="38">
        <f>IF((ዕቁብ!F19/ቦኖ!$C$4&gt;0),1,0)</f>
        <v>1</v>
      </c>
      <c r="F17" s="38">
        <f>IF((ዕቁብ!G19/ቦኖ!$C$4&gt;0),1,0)</f>
        <v>1</v>
      </c>
      <c r="G17" s="38">
        <f>IF((ዕቁብ!H19/ቦኖ!$C$4&gt;0),1,0)</f>
        <v>1</v>
      </c>
      <c r="H17" s="38">
        <f>IF((ዕቁብ!I19/ቦኖ!$C$4&gt;0),1,0)</f>
        <v>1</v>
      </c>
      <c r="I17" s="38">
        <f>IF((ዕቁብ!J19/ቦኖ!$C$4&gt;0),1,0)</f>
        <v>1</v>
      </c>
      <c r="J17" s="38">
        <f>IF((ዕቁብ!K19/ቦኖ!$C$4&gt;0),1,0)</f>
        <v>1</v>
      </c>
      <c r="K17" s="38">
        <f>IF((ዕቁብ!L19/ቦኖ!$C$4&gt;0),1,0)</f>
        <v>1</v>
      </c>
      <c r="L17" s="38">
        <f>IF((ዕቁብ!M19/ቦኖ!$C$4&gt;0),1,0)</f>
        <v>1</v>
      </c>
      <c r="M17" s="38">
        <f>IF((ዕቁብ!N19/ቦኖ!$C$4&gt;0),1,0)</f>
        <v>1</v>
      </c>
      <c r="N17" s="38">
        <f>IF((ዕቁብ!O19/ቦኖ!$C$4&gt;0),1,0)</f>
        <v>1</v>
      </c>
      <c r="O17" s="38">
        <f>IF((ዕቁብ!P19/ቦኖ!$C$4&gt;0),1,0)</f>
        <v>1</v>
      </c>
      <c r="P17" s="38">
        <f>IF((ዕቁብ!Q19/ቦኖ!$C$4&gt;0),1,0)</f>
        <v>1</v>
      </c>
      <c r="Q17" s="38">
        <f>IF((ዕቁብ!R19/ቦኖ!$C$4&gt;0),1,0)</f>
        <v>1</v>
      </c>
      <c r="R17" s="38">
        <f>IF((ዕቁብ!S19/ቦኖ!$C$4&gt;0),1,0)</f>
        <v>1</v>
      </c>
      <c r="S17" s="38">
        <f>IF((ዕቁብ!T19/ቦኖ!$C$4&gt;0),1,0)</f>
        <v>1</v>
      </c>
      <c r="T17" s="38">
        <f>IF((ዕቁብ!U19/ቦኖ!$C$4&gt;0),1,0)</f>
        <v>1</v>
      </c>
      <c r="U17" s="38">
        <f>IF((ዕቁብ!V19/ቦኖ!$C$4&gt;0),1,0)</f>
        <v>1</v>
      </c>
      <c r="V17" s="38">
        <f>IF((ዕቁብ!W19/ቦኖ!$C$4&gt;0),1,0)</f>
        <v>1</v>
      </c>
      <c r="W17" s="38">
        <f>IF((ዕቁብ!X19/ቦኖ!$C$4&gt;0),1,0)</f>
        <v>0</v>
      </c>
      <c r="X17" s="38">
        <f>IF((ዕቁብ!Y19/ቦኖ!$C$4&gt;0),1,0)</f>
        <v>1</v>
      </c>
      <c r="Y17" s="38">
        <f>IF((ዕቁብ!Z19/ቦኖ!$C$4&gt;0),1,0)</f>
        <v>1</v>
      </c>
      <c r="Z17" s="38">
        <f>IF((ዕቁብ!AA19/ቦኖ!$C$4&gt;0),1,0)</f>
        <v>1</v>
      </c>
      <c r="AA17" s="38">
        <f>IF((ዕቁብ!AB19/ቦኖ!$C$4&gt;0),1,0)</f>
        <v>1</v>
      </c>
      <c r="AB17" s="38">
        <f>IF((ዕቁብ!AC19/ቦኖ!$C$4&gt;0),1,0)</f>
        <v>1</v>
      </c>
      <c r="AC17" s="38">
        <f>IF((ዕቁብ!AD19/ቦኖ!$C$4&gt;0),1,0)</f>
        <v>1</v>
      </c>
      <c r="AD17" s="38">
        <f>IF((ዕቁብ!AE19/ቦኖ!$C$4&gt;0),1,0)</f>
        <v>1</v>
      </c>
      <c r="AE17" s="38">
        <f>IF((ዕቁብ!AF19/ቦኖ!$C$4&gt;0),1,0)</f>
        <v>0</v>
      </c>
      <c r="AF17" s="38">
        <f>IF((ዕቁብ!AG19/ቦኖ!$C$4&gt;0),1,0)</f>
        <v>1</v>
      </c>
      <c r="AG17" s="38">
        <f>IF((ዕቁብ!AH19/ቦኖ!$C$4&gt;0),1,0)</f>
        <v>1</v>
      </c>
      <c r="AH17" s="38">
        <f>IF((ዕቁብ!AI19/ቦኖ!$C$4&gt;0),1,0)</f>
        <v>1</v>
      </c>
      <c r="AI17" s="38">
        <f>IF((ዕቁብ!AJ19/ቦኖ!$C$4&gt;0),1,0)</f>
        <v>0</v>
      </c>
      <c r="AJ17" s="38">
        <f>IF((ዕቁብ!AK19/ቦኖ!$C$4&gt;0),1,0)</f>
        <v>1</v>
      </c>
      <c r="AK17" s="38">
        <f>IF((ዕቁብ!AL19/ቦኖ!$C$4&gt;0),1,0)</f>
        <v>1</v>
      </c>
      <c r="AL17" s="38">
        <f>IF((ዕቁብ!AM19/ቦኖ!$C$4&gt;0),1,0)</f>
        <v>1</v>
      </c>
      <c r="AM17" s="38">
        <f>IF((ዕቁብ!AN19/ቦኖ!$C$4&gt;0),1,0)</f>
        <v>0</v>
      </c>
      <c r="AN17" s="38">
        <f>IF((ዕቁብ!AO19/ቦኖ!$C$4&gt;0),1,0)</f>
        <v>1</v>
      </c>
      <c r="AO17" s="38">
        <f>IF((ዕቁብ!AP19/ቦኖ!$C$4&gt;0),1,0)</f>
        <v>1</v>
      </c>
      <c r="AP17" s="38">
        <f>IF((ዕቁብ!AQ19/ቦኖ!$C$4&gt;0),1,0)</f>
        <v>1</v>
      </c>
      <c r="AQ17" s="38">
        <f>IF((ዕቁብ!AR19/ቦኖ!$C$4&gt;0),1,0)</f>
        <v>1</v>
      </c>
      <c r="AR17" s="38">
        <f>IF((ዕቁብ!AS19/ቦኖ!$C$4&gt;0),1,0)</f>
        <v>1</v>
      </c>
      <c r="AS17" s="38">
        <f>IF((ዕቁብ!AT19/ቦኖ!$C$4&gt;0),1,0)</f>
        <v>1</v>
      </c>
      <c r="AT17" s="38">
        <f>IF((ዕቁብ!AU19/ቦኖ!$C$4&gt;0),1,0)</f>
        <v>1</v>
      </c>
      <c r="AU17" s="38">
        <f>IF((ዕቁብ!AV19/ቦኖ!$C$4&gt;0),1,0)</f>
        <v>1</v>
      </c>
      <c r="AV17" s="38">
        <f>IF((ዕቁብ!AW19/ቦኖ!$C$4&gt;0),1,0)</f>
        <v>0</v>
      </c>
      <c r="AW17" s="38">
        <f>IF((ዕቁብ!AX19/ቦኖ!$C$4&gt;0),1,0)</f>
        <v>1</v>
      </c>
      <c r="AX17" s="38">
        <f>IF((ዕቁብ!AY19/ቦኖ!$C$4&gt;0),1,0)</f>
        <v>1</v>
      </c>
      <c r="AY17" s="38">
        <f>IF((ዕቁብ!AZ19/ቦኖ!$C$4&gt;0),1,0)</f>
        <v>1</v>
      </c>
      <c r="AZ17" s="38">
        <f>IF((ዕቁብ!BA19/ቦኖ!$C$4&gt;0),1,0)</f>
        <v>1</v>
      </c>
      <c r="BA17" s="38">
        <f>IF((ዕቁብ!BB19/ቦኖ!$C$4&gt;0),1,0)</f>
        <v>1</v>
      </c>
      <c r="BB17" s="38">
        <f>IF((ዕቁብ!BC19/ቦኖ!$C$4&gt;0),1,0)</f>
        <v>1</v>
      </c>
      <c r="BC17" s="38">
        <f>IF((ዕቁብ!BD19/ቦኖ!$C$4&gt;0),1,0)</f>
        <v>1</v>
      </c>
      <c r="BD17" s="38">
        <f>IF((ዕቁብ!BE19/ቦኖ!$C$4&gt;0),1,0)</f>
        <v>1</v>
      </c>
      <c r="BE17" s="38">
        <f>IF((ዕቁብ!BF19/ቦኖ!$C$4&gt;0),1,0)</f>
        <v>1</v>
      </c>
      <c r="BF17" s="38">
        <f>IF((ዕቁብ!BG19/ቦኖ!$C$4&gt;0),1,0)</f>
        <v>1</v>
      </c>
      <c r="BG17" s="38">
        <f>IF((ዕቁብ!BH19/ቦኖ!$C$4&gt;0),1,0)</f>
        <v>0</v>
      </c>
      <c r="BH17" s="38">
        <f>IF((ዕቁብ!BI19/ቦኖ!$C$4&gt;0),1,0)</f>
        <v>1</v>
      </c>
      <c r="BI17" s="38">
        <f>IF((ዕቁብ!BJ19/ቦኖ!$C$4&gt;0),1,0)</f>
        <v>1</v>
      </c>
      <c r="BJ17" s="38">
        <f>IF((ዕቁብ!BK19/ቦኖ!$C$4&gt;0),1,0)</f>
        <v>1</v>
      </c>
      <c r="BK17" s="38">
        <f>IF((ዕቁብ!BL19/ቦኖ!$C$4&gt;0),1,0)</f>
        <v>0</v>
      </c>
      <c r="BL17" s="38">
        <f>IF((ዕቁብ!BM19/ቦኖ!$C$4&gt;0),1,0)</f>
        <v>1</v>
      </c>
      <c r="BM17" s="38">
        <f>IF((ዕቁብ!BN19/ቦኖ!$C$4&gt;0),1,0)</f>
        <v>1</v>
      </c>
      <c r="BN17" s="38">
        <f>IF((ዕቁብ!BO19/ቦኖ!$C$4&gt;0),1,0)</f>
        <v>1</v>
      </c>
      <c r="BO17" s="38">
        <f>IF((ዕቁብ!BP19/ቦኖ!$C$4&gt;0),1,0)</f>
        <v>0</v>
      </c>
      <c r="BP17" s="38">
        <f>IF((ዕቁብ!BQ19/ቦኖ!$C$4&gt;0),1,0)</f>
        <v>1</v>
      </c>
      <c r="BQ17" s="38">
        <f>IF((ዕቁብ!BR19/ቦኖ!$C$4&gt;0),1,0)</f>
        <v>0</v>
      </c>
      <c r="BR17" s="38">
        <f>IF((ዕቁብ!BS19/ቦኖ!$C$4&gt;0),1,0)</f>
        <v>1</v>
      </c>
      <c r="BS17" s="38">
        <f>IF((ዕቁብ!BT19/ቦኖ!$C$4&gt;0),1,0)</f>
        <v>1</v>
      </c>
      <c r="BT17" s="38">
        <f>IF((ዕቁብ!BU19/ቦኖ!$C$4&gt;0),1,0)</f>
        <v>1</v>
      </c>
      <c r="BU17" s="38">
        <f>IF((ዕቁብ!BV19/ቦኖ!$C$4&gt;0),1,0)</f>
        <v>1</v>
      </c>
      <c r="BV17" s="38">
        <f>IF((ዕቁብ!BW19/ቦኖ!$C$4&gt;0),1,0)</f>
        <v>1</v>
      </c>
      <c r="BW17" s="38">
        <f>IF((ዕቁብ!BX19/ቦኖ!$C$4&gt;0),1,0)</f>
        <v>0</v>
      </c>
      <c r="BX17" s="38">
        <f>IF((ዕቁብ!BY19/ቦኖ!$C$4&gt;0),1,0)</f>
        <v>1</v>
      </c>
      <c r="BY17" s="38">
        <f>IF((ዕቁብ!BZ19/ቦኖ!$C$4&gt;0),1,0)</f>
        <v>0</v>
      </c>
      <c r="BZ17" s="38">
        <f>IF((ዕቁብ!CA19/ቦኖ!$C$4&gt;0),1,0)</f>
        <v>1</v>
      </c>
      <c r="CA17" s="38">
        <f>IF((ዕቁብ!CB19/ቦኖ!$C$4&gt;0),1,0)</f>
        <v>1</v>
      </c>
      <c r="CB17" s="38">
        <f>IF((ዕቁብ!CC19/ቦኖ!$C$4&gt;0),1,0)</f>
        <v>1</v>
      </c>
      <c r="CC17" s="38">
        <f>IF((ዕቁብ!CD19/ቦኖ!$C$4&gt;0),1,0)</f>
        <v>1</v>
      </c>
      <c r="CD17" s="38">
        <f>IF((ዕቁብ!CE19/ቦኖ!$C$4&gt;0),1,0)</f>
        <v>0</v>
      </c>
      <c r="CE17" s="38">
        <f>IF((ዕቁብ!CF19/ቦኖ!$C$4&gt;0),1,0)</f>
        <v>1</v>
      </c>
      <c r="CF17" s="38">
        <f>IF((ዕቁብ!CG19/ቦኖ!$C$4&gt;0),1,0)</f>
        <v>0</v>
      </c>
      <c r="CG17" s="38">
        <f>IF((ዕቁብ!CH19/ቦኖ!$C$4&gt;0),1,0)</f>
        <v>1</v>
      </c>
      <c r="CH17" s="38">
        <f>IF((ዕቁብ!CI19/ቦኖ!$C$4&gt;0),1,0)</f>
        <v>1</v>
      </c>
      <c r="CI17" s="38">
        <f>IF((ዕቁብ!CJ19/ቦኖ!$C$4&gt;0),1,0)</f>
        <v>1</v>
      </c>
      <c r="CJ17" s="38">
        <f>IF((ዕቁብ!CK19/ቦኖ!$C$4&gt;0),1,0)</f>
        <v>1</v>
      </c>
      <c r="CK17" s="38">
        <f>IF((ዕቁብ!CL19/ቦኖ!$C$4&gt;0),1,0)</f>
        <v>1</v>
      </c>
      <c r="CL17" s="38">
        <f>IF((ዕቁብ!CM19/ቦኖ!$C$4&gt;0),1,0)</f>
        <v>0</v>
      </c>
      <c r="CM17" s="38">
        <f>IF((ዕቁብ!CN19/ቦኖ!$C$4&gt;0),1,0)</f>
        <v>1</v>
      </c>
      <c r="CN17" s="38">
        <f>IF((ዕቁብ!CO19/ቦኖ!$C$4&gt;0),1,0)</f>
        <v>1</v>
      </c>
      <c r="CO17" s="38">
        <f>IF((ዕቁብ!CP19/ቦኖ!$C$4&gt;0),1,0)</f>
        <v>0</v>
      </c>
      <c r="CP17" s="38">
        <f>IF((ዕቁብ!CQ19/ቦኖ!$C$4&gt;0),1,0)</f>
        <v>1</v>
      </c>
      <c r="CQ17" s="38">
        <f>IF((ዕቁብ!CR19/ቦኖ!$C$4&gt;0),1,0)</f>
        <v>0</v>
      </c>
      <c r="CR17" s="38">
        <f>IF((ዕቁብ!CS19/ቦኖ!$C$4&gt;0),1,0)</f>
        <v>1</v>
      </c>
      <c r="CS17" s="38">
        <f>IF((ዕቁብ!CT19/ቦኖ!$C$4&gt;0),1,0)</f>
        <v>0</v>
      </c>
      <c r="CT17" s="38">
        <f>IF((ዕቁብ!CU19/ቦኖ!$C$4&gt;0),1,0)</f>
        <v>0</v>
      </c>
      <c r="CU17" s="38">
        <f>IF((ዕቁብ!CV19/ቦኖ!$C$4&gt;0),1,0)</f>
        <v>0</v>
      </c>
      <c r="CV17" s="38">
        <f>IF((ዕቁብ!CW19/ቦኖ!$C$4&gt;0),1,0)</f>
        <v>1</v>
      </c>
      <c r="CW17" s="38">
        <f>IF((ዕቁብ!CX19/ቦኖ!$C$4&gt;0),1,0)</f>
        <v>0</v>
      </c>
      <c r="CX17" s="38">
        <f>IF((ዕቁብ!CY19/ቦኖ!$C$4&gt;0),1,0)</f>
        <v>0</v>
      </c>
      <c r="CY17" s="38">
        <f>IF((ዕቁብ!CZ19/ቦኖ!$C$4&gt;0),1,0)</f>
        <v>0</v>
      </c>
      <c r="CZ17" s="38">
        <f>IF((ዕቁብ!DA19/ቦኖ!$C$4&gt;0),1,0)</f>
        <v>1</v>
      </c>
      <c r="DA17" s="38">
        <f>IF((ዕቁብ!DB19/ቦኖ!$C$4&gt;0),1,0)</f>
        <v>1</v>
      </c>
      <c r="DB17" s="38">
        <f>IF((ዕቁብ!DC19/ቦኖ!$C$4&gt;0),1,0)</f>
        <v>0</v>
      </c>
      <c r="DC17" s="38">
        <f>IF((ዕቁብ!DD19/ቦኖ!$C$4&gt;0),1,0)</f>
        <v>0</v>
      </c>
      <c r="DD17" s="38">
        <f>IF((ዕቁብ!DE19/ቦኖ!$C$4&gt;0),1,0)</f>
        <v>1</v>
      </c>
      <c r="DE17" s="38">
        <f>IF((ዕቁብ!DF19/ቦኖ!$C$4&gt;0),1,0)</f>
        <v>0</v>
      </c>
      <c r="DF17" s="38">
        <f>IF((ዕቁብ!DG19/ቦኖ!$C$4&gt;0),1,0)</f>
        <v>1</v>
      </c>
      <c r="DG17" s="38">
        <f>IF((ዕቁብ!DH19/ቦኖ!$C$4&gt;0),1,0)</f>
        <v>0</v>
      </c>
      <c r="DH17" s="38">
        <f>IF((ዕቁብ!DI19/ቦኖ!$C$4&gt;0),1,0)</f>
        <v>0</v>
      </c>
      <c r="DI17" s="38">
        <f>IF((ዕቁብ!DJ19/ቦኖ!$C$4&gt;0),1,0)</f>
        <v>0</v>
      </c>
      <c r="DJ17" s="38">
        <f>IF((ዕቁብ!DK19/ቦኖ!$C$4&gt;0),1,0)</f>
        <v>0</v>
      </c>
      <c r="DK17" s="38">
        <f>IF((ዕቁብ!DL19/ቦኖ!$C$4&gt;0),1,0)</f>
        <v>0</v>
      </c>
      <c r="DL17" s="38">
        <f>IF((ዕቁብ!DM19/ቦኖ!$C$4&gt;0),1,0)</f>
        <v>0</v>
      </c>
      <c r="DM17" s="38">
        <f>IF((ዕቁብ!DN19/ቦኖ!$C$4&gt;0),1,0)</f>
        <v>0</v>
      </c>
      <c r="DN17" s="38">
        <f>IF((ዕቁብ!DO19/ቦኖ!$C$4&gt;0),1,0)</f>
        <v>0</v>
      </c>
      <c r="DO17" s="38">
        <f>IF((ዕቁብ!DP19/ቦኖ!$C$4&gt;0),1,0)</f>
        <v>0</v>
      </c>
      <c r="DP17" s="38">
        <f>IF((ዕቁብ!DQ19/ቦኖ!$C$4&gt;0),1,0)</f>
        <v>0</v>
      </c>
      <c r="DQ17" s="38">
        <f>IF((ዕቁብ!DR19/ቦኖ!$C$4&gt;0),1,0)</f>
        <v>0</v>
      </c>
    </row>
    <row r="18" spans="1:121" ht="14.4" x14ac:dyDescent="0.3">
      <c r="A18" s="33">
        <f>ዕቁብ!A20</f>
        <v>15</v>
      </c>
      <c r="B18" s="33" t="str">
        <f>ዕቁብ!B20</f>
        <v xml:space="preserve">አበራ ዩሐንስ </v>
      </c>
      <c r="C18" s="37">
        <f>ዕቁብ!C20</f>
        <v>21000</v>
      </c>
      <c r="D18" s="38">
        <f>IF((ዕቁብ!E20/ቦኖ!$C$4&gt;0),1,0)</f>
        <v>1</v>
      </c>
      <c r="E18" s="38">
        <f>IF((ዕቁብ!F20/ቦኖ!$C$4&gt;0),1,0)</f>
        <v>1</v>
      </c>
      <c r="F18" s="38">
        <f>IF((ዕቁብ!G20/ቦኖ!$C$4&gt;0),1,0)</f>
        <v>1</v>
      </c>
      <c r="G18" s="38">
        <f>IF((ዕቁብ!H20/ቦኖ!$C$4&gt;0),1,0)</f>
        <v>1</v>
      </c>
      <c r="H18" s="38">
        <f>IF((ዕቁብ!I20/ቦኖ!$C$4&gt;0),1,0)</f>
        <v>1</v>
      </c>
      <c r="I18" s="38">
        <f>IF((ዕቁብ!J20/ቦኖ!$C$4&gt;0),1,0)</f>
        <v>1</v>
      </c>
      <c r="J18" s="38">
        <f>IF((ዕቁብ!K20/ቦኖ!$C$4&gt;0),1,0)</f>
        <v>1</v>
      </c>
      <c r="K18" s="38">
        <f>IF((ዕቁብ!L20/ቦኖ!$C$4&gt;0),1,0)</f>
        <v>1</v>
      </c>
      <c r="L18" s="38">
        <f>IF((ዕቁብ!M20/ቦኖ!$C$4&gt;0),1,0)</f>
        <v>1</v>
      </c>
      <c r="M18" s="38">
        <f>IF((ዕቁብ!N20/ቦኖ!$C$4&gt;0),1,0)</f>
        <v>1</v>
      </c>
      <c r="N18" s="38">
        <f>IF((ዕቁብ!O20/ቦኖ!$C$4&gt;0),1,0)</f>
        <v>1</v>
      </c>
      <c r="O18" s="38">
        <f>IF((ዕቁብ!P20/ቦኖ!$C$4&gt;0),1,0)</f>
        <v>1</v>
      </c>
      <c r="P18" s="38">
        <f>IF((ዕቁብ!Q20/ቦኖ!$C$4&gt;0),1,0)</f>
        <v>1</v>
      </c>
      <c r="Q18" s="38">
        <f>IF((ዕቁብ!R20/ቦኖ!$C$4&gt;0),1,0)</f>
        <v>1</v>
      </c>
      <c r="R18" s="38">
        <f>IF((ዕቁብ!S20/ቦኖ!$C$4&gt;0),1,0)</f>
        <v>1</v>
      </c>
      <c r="S18" s="38">
        <f>IF((ዕቁብ!T20/ቦኖ!$C$4&gt;0),1,0)</f>
        <v>1</v>
      </c>
      <c r="T18" s="38">
        <f>IF((ዕቁብ!U20/ቦኖ!$C$4&gt;0),1,0)</f>
        <v>1</v>
      </c>
      <c r="U18" s="38">
        <f>IF((ዕቁብ!V20/ቦኖ!$C$4&gt;0),1,0)</f>
        <v>1</v>
      </c>
      <c r="V18" s="38">
        <f>IF((ዕቁብ!W20/ቦኖ!$C$4&gt;0),1,0)</f>
        <v>1</v>
      </c>
      <c r="W18" s="38">
        <f>IF((ዕቁብ!X20/ቦኖ!$C$4&gt;0),1,0)</f>
        <v>1</v>
      </c>
      <c r="X18" s="38">
        <f>IF((ዕቁብ!Y20/ቦኖ!$C$4&gt;0),1,0)</f>
        <v>1</v>
      </c>
      <c r="Y18" s="38">
        <f>IF((ዕቁብ!Z20/ቦኖ!$C$4&gt;0),1,0)</f>
        <v>1</v>
      </c>
      <c r="Z18" s="38">
        <f>IF((ዕቁብ!AA20/ቦኖ!$C$4&gt;0),1,0)</f>
        <v>1</v>
      </c>
      <c r="AA18" s="38">
        <f>IF((ዕቁብ!AB20/ቦኖ!$C$4&gt;0),1,0)</f>
        <v>1</v>
      </c>
      <c r="AB18" s="38">
        <f>IF((ዕቁብ!AC20/ቦኖ!$C$4&gt;0),1,0)</f>
        <v>1</v>
      </c>
      <c r="AC18" s="38">
        <f>IF((ዕቁብ!AD20/ቦኖ!$C$4&gt;0),1,0)</f>
        <v>1</v>
      </c>
      <c r="AD18" s="38">
        <f>IF((ዕቁብ!AE20/ቦኖ!$C$4&gt;0),1,0)</f>
        <v>1</v>
      </c>
      <c r="AE18" s="38">
        <f>IF((ዕቁብ!AF20/ቦኖ!$C$4&gt;0),1,0)</f>
        <v>1</v>
      </c>
      <c r="AF18" s="38">
        <f>IF((ዕቁብ!AG20/ቦኖ!$C$4&gt;0),1,0)</f>
        <v>1</v>
      </c>
      <c r="AG18" s="38">
        <f>IF((ዕቁብ!AH20/ቦኖ!$C$4&gt;0),1,0)</f>
        <v>1</v>
      </c>
      <c r="AH18" s="38">
        <f>IF((ዕቁብ!AI20/ቦኖ!$C$4&gt;0),1,0)</f>
        <v>1</v>
      </c>
      <c r="AI18" s="38">
        <f>IF((ዕቁብ!AJ20/ቦኖ!$C$4&gt;0),1,0)</f>
        <v>1</v>
      </c>
      <c r="AJ18" s="38">
        <f>IF((ዕቁብ!AK20/ቦኖ!$C$4&gt;0),1,0)</f>
        <v>1</v>
      </c>
      <c r="AK18" s="38">
        <f>IF((ዕቁብ!AL20/ቦኖ!$C$4&gt;0),1,0)</f>
        <v>1</v>
      </c>
      <c r="AL18" s="38">
        <f>IF((ዕቁብ!AM20/ቦኖ!$C$4&gt;0),1,0)</f>
        <v>1</v>
      </c>
      <c r="AM18" s="38">
        <f>IF((ዕቁብ!AN20/ቦኖ!$C$4&gt;0),1,0)</f>
        <v>1</v>
      </c>
      <c r="AN18" s="38">
        <f>IF((ዕቁብ!AO20/ቦኖ!$C$4&gt;0),1,0)</f>
        <v>1</v>
      </c>
      <c r="AO18" s="38">
        <f>IF((ዕቁብ!AP20/ቦኖ!$C$4&gt;0),1,0)</f>
        <v>1</v>
      </c>
      <c r="AP18" s="38">
        <f>IF((ዕቁብ!AQ20/ቦኖ!$C$4&gt;0),1,0)</f>
        <v>1</v>
      </c>
      <c r="AQ18" s="38">
        <f>IF((ዕቁብ!AR20/ቦኖ!$C$4&gt;0),1,0)</f>
        <v>1</v>
      </c>
      <c r="AR18" s="38">
        <f>IF((ዕቁብ!AS20/ቦኖ!$C$4&gt;0),1,0)</f>
        <v>1</v>
      </c>
      <c r="AS18" s="38">
        <f>IF((ዕቁብ!AT20/ቦኖ!$C$4&gt;0),1,0)</f>
        <v>1</v>
      </c>
      <c r="AT18" s="38">
        <f>IF((ዕቁብ!AU20/ቦኖ!$C$4&gt;0),1,0)</f>
        <v>1</v>
      </c>
      <c r="AU18" s="38">
        <f>IF((ዕቁብ!AV20/ቦኖ!$C$4&gt;0),1,0)</f>
        <v>0</v>
      </c>
      <c r="AV18" s="38">
        <f>IF((ዕቁብ!AW20/ቦኖ!$C$4&gt;0),1,0)</f>
        <v>0</v>
      </c>
      <c r="AW18" s="38">
        <f>IF((ዕቁብ!AX20/ቦኖ!$C$4&gt;0),1,0)</f>
        <v>0</v>
      </c>
      <c r="AX18" s="38">
        <f>IF((ዕቁብ!AY20/ቦኖ!$C$4&gt;0),1,0)</f>
        <v>1</v>
      </c>
      <c r="AY18" s="38">
        <f>IF((ዕቁብ!AZ20/ቦኖ!$C$4&gt;0),1,0)</f>
        <v>1</v>
      </c>
      <c r="AZ18" s="38">
        <f>IF((ዕቁብ!BA20/ቦኖ!$C$4&gt;0),1,0)</f>
        <v>1</v>
      </c>
      <c r="BA18" s="38">
        <f>IF((ዕቁብ!BB20/ቦኖ!$C$4&gt;0),1,0)</f>
        <v>1</v>
      </c>
      <c r="BB18" s="38">
        <f>IF((ዕቁብ!BC20/ቦኖ!$C$4&gt;0),1,0)</f>
        <v>1</v>
      </c>
      <c r="BC18" s="38">
        <f>IF((ዕቁብ!BD20/ቦኖ!$C$4&gt;0),1,0)</f>
        <v>1</v>
      </c>
      <c r="BD18" s="38">
        <f>IF((ዕቁብ!BE20/ቦኖ!$C$4&gt;0),1,0)</f>
        <v>1</v>
      </c>
      <c r="BE18" s="38">
        <f>IF((ዕቁብ!BF20/ቦኖ!$C$4&gt;0),1,0)</f>
        <v>1</v>
      </c>
      <c r="BF18" s="38">
        <f>IF((ዕቁብ!BG20/ቦኖ!$C$4&gt;0),1,0)</f>
        <v>1</v>
      </c>
      <c r="BG18" s="38">
        <f>IF((ዕቁብ!BH20/ቦኖ!$C$4&gt;0),1,0)</f>
        <v>1</v>
      </c>
      <c r="BH18" s="38">
        <f>IF((ዕቁብ!BI20/ቦኖ!$C$4&gt;0),1,0)</f>
        <v>1</v>
      </c>
      <c r="BI18" s="38">
        <f>IF((ዕቁብ!BJ20/ቦኖ!$C$4&gt;0),1,0)</f>
        <v>1</v>
      </c>
      <c r="BJ18" s="38">
        <f>IF((ዕቁብ!BK20/ቦኖ!$C$4&gt;0),1,0)</f>
        <v>1</v>
      </c>
      <c r="BK18" s="38">
        <f>IF((ዕቁብ!BL20/ቦኖ!$C$4&gt;0),1,0)</f>
        <v>1</v>
      </c>
      <c r="BL18" s="38">
        <f>IF((ዕቁብ!BM20/ቦኖ!$C$4&gt;0),1,0)</f>
        <v>0</v>
      </c>
      <c r="BM18" s="38">
        <f>IF((ዕቁብ!BN20/ቦኖ!$C$4&gt;0),1,0)</f>
        <v>0</v>
      </c>
      <c r="BN18" s="38">
        <f>IF((ዕቁብ!BO20/ቦኖ!$C$4&gt;0),1,0)</f>
        <v>0</v>
      </c>
      <c r="BO18" s="38">
        <f>IF((ዕቁብ!BP20/ቦኖ!$C$4&gt;0),1,0)</f>
        <v>1</v>
      </c>
      <c r="BP18" s="38">
        <f>IF((ዕቁብ!BQ20/ቦኖ!$C$4&gt;0),1,0)</f>
        <v>0</v>
      </c>
      <c r="BQ18" s="38">
        <f>IF((ዕቁብ!BR20/ቦኖ!$C$4&gt;0),1,0)</f>
        <v>0</v>
      </c>
      <c r="BR18" s="38">
        <f>IF((ዕቁብ!BS20/ቦኖ!$C$4&gt;0),1,0)</f>
        <v>1</v>
      </c>
      <c r="BS18" s="38">
        <f>IF((ዕቁብ!BT20/ቦኖ!$C$4&gt;0),1,0)</f>
        <v>1</v>
      </c>
      <c r="BT18" s="38">
        <f>IF((ዕቁብ!BU20/ቦኖ!$C$4&gt;0),1,0)</f>
        <v>1</v>
      </c>
      <c r="BU18" s="38">
        <f>IF((ዕቁብ!BV20/ቦኖ!$C$4&gt;0),1,0)</f>
        <v>0</v>
      </c>
      <c r="BV18" s="38">
        <f>IF((ዕቁብ!BW20/ቦኖ!$C$4&gt;0),1,0)</f>
        <v>0</v>
      </c>
      <c r="BW18" s="38">
        <f>IF((ዕቁብ!BX20/ቦኖ!$C$4&gt;0),1,0)</f>
        <v>0</v>
      </c>
      <c r="BX18" s="38">
        <f>IF((ዕቁብ!BY20/ቦኖ!$C$4&gt;0),1,0)</f>
        <v>0</v>
      </c>
      <c r="BY18" s="38">
        <f>IF((ዕቁብ!BZ20/ቦኖ!$C$4&gt;0),1,0)</f>
        <v>0</v>
      </c>
      <c r="BZ18" s="38">
        <f>IF((ዕቁብ!CA20/ቦኖ!$C$4&gt;0),1,0)</f>
        <v>0</v>
      </c>
      <c r="CA18" s="38">
        <f>IF((ዕቁብ!CB20/ቦኖ!$C$4&gt;0),1,0)</f>
        <v>0</v>
      </c>
      <c r="CB18" s="38">
        <f>IF((ዕቁብ!CC20/ቦኖ!$C$4&gt;0),1,0)</f>
        <v>0</v>
      </c>
      <c r="CC18" s="38">
        <f>IF((ዕቁብ!CD20/ቦኖ!$C$4&gt;0),1,0)</f>
        <v>1</v>
      </c>
      <c r="CD18" s="38">
        <f>IF((ዕቁብ!CE20/ቦኖ!$C$4&gt;0),1,0)</f>
        <v>0</v>
      </c>
      <c r="CE18" s="38">
        <f>IF((ዕቁብ!CF20/ቦኖ!$C$4&gt;0),1,0)</f>
        <v>0</v>
      </c>
      <c r="CF18" s="38">
        <f>IF((ዕቁብ!CG20/ቦኖ!$C$4&gt;0),1,0)</f>
        <v>0</v>
      </c>
      <c r="CG18" s="38">
        <f>IF((ዕቁብ!CH20/ቦኖ!$C$4&gt;0),1,0)</f>
        <v>0</v>
      </c>
      <c r="CH18" s="38">
        <f>IF((ዕቁብ!CI20/ቦኖ!$C$4&gt;0),1,0)</f>
        <v>0</v>
      </c>
      <c r="CI18" s="38">
        <f>IF((ዕቁብ!CJ20/ቦኖ!$C$4&gt;0),1,0)</f>
        <v>0</v>
      </c>
      <c r="CJ18" s="38">
        <f>IF((ዕቁብ!CK20/ቦኖ!$C$4&gt;0),1,0)</f>
        <v>0</v>
      </c>
      <c r="CK18" s="38">
        <f>IF((ዕቁብ!CL20/ቦኖ!$C$4&gt;0),1,0)</f>
        <v>0</v>
      </c>
      <c r="CL18" s="38">
        <f>IF((ዕቁብ!CM20/ቦኖ!$C$4&gt;0),1,0)</f>
        <v>0</v>
      </c>
      <c r="CM18" s="38">
        <f>IF((ዕቁብ!CN20/ቦኖ!$C$4&gt;0),1,0)</f>
        <v>0</v>
      </c>
      <c r="CN18" s="38">
        <f>IF((ዕቁብ!CO20/ቦኖ!$C$4&gt;0),1,0)</f>
        <v>0</v>
      </c>
      <c r="CO18" s="38">
        <f>IF((ዕቁብ!CP20/ቦኖ!$C$4&gt;0),1,0)</f>
        <v>1</v>
      </c>
      <c r="CP18" s="38">
        <f>IF((ዕቁብ!CQ20/ቦኖ!$C$4&gt;0),1,0)</f>
        <v>1</v>
      </c>
      <c r="CQ18" s="38">
        <f>IF((ዕቁብ!CR20/ቦኖ!$C$4&gt;0),1,0)</f>
        <v>1</v>
      </c>
      <c r="CR18" s="38">
        <f>IF((ዕቁብ!CS20/ቦኖ!$C$4&gt;0),1,0)</f>
        <v>0</v>
      </c>
      <c r="CS18" s="38">
        <f>IF((ዕቁብ!CT20/ቦኖ!$C$4&gt;0),1,0)</f>
        <v>0</v>
      </c>
      <c r="CT18" s="38">
        <f>IF((ዕቁብ!CU20/ቦኖ!$C$4&gt;0),1,0)</f>
        <v>0</v>
      </c>
      <c r="CU18" s="38">
        <f>IF((ዕቁብ!CV20/ቦኖ!$C$4&gt;0),1,0)</f>
        <v>0</v>
      </c>
      <c r="CV18" s="38">
        <f>IF((ዕቁብ!CW20/ቦኖ!$C$4&gt;0),1,0)</f>
        <v>0</v>
      </c>
      <c r="CW18" s="38">
        <f>IF((ዕቁብ!CX20/ቦኖ!$C$4&gt;0),1,0)</f>
        <v>0</v>
      </c>
      <c r="CX18" s="38">
        <f>IF((ዕቁብ!CY20/ቦኖ!$C$4&gt;0),1,0)</f>
        <v>0</v>
      </c>
      <c r="CY18" s="38">
        <f>IF((ዕቁብ!CZ20/ቦኖ!$C$4&gt;0),1,0)</f>
        <v>0</v>
      </c>
      <c r="CZ18" s="38">
        <f>IF((ዕቁብ!DA20/ቦኖ!$C$4&gt;0),1,0)</f>
        <v>0</v>
      </c>
      <c r="DA18" s="38">
        <f>IF((ዕቁብ!DB20/ቦኖ!$C$4&gt;0),1,0)</f>
        <v>0</v>
      </c>
      <c r="DB18" s="38">
        <f>IF((ዕቁብ!DC20/ቦኖ!$C$4&gt;0),1,0)</f>
        <v>0</v>
      </c>
      <c r="DC18" s="38">
        <f>IF((ዕቁብ!DD20/ቦኖ!$C$4&gt;0),1,0)</f>
        <v>0</v>
      </c>
      <c r="DD18" s="38">
        <f>IF((ዕቁብ!DE20/ቦኖ!$C$4&gt;0),1,0)</f>
        <v>0</v>
      </c>
      <c r="DE18" s="38">
        <f>IF((ዕቁብ!DF20/ቦኖ!$C$4&gt;0),1,0)</f>
        <v>0</v>
      </c>
      <c r="DF18" s="38">
        <f>IF((ዕቁብ!DG20/ቦኖ!$C$4&gt;0),1,0)</f>
        <v>0</v>
      </c>
      <c r="DG18" s="38">
        <f>IF((ዕቁብ!DH20/ቦኖ!$C$4&gt;0),1,0)</f>
        <v>0</v>
      </c>
      <c r="DH18" s="38">
        <f>IF((ዕቁብ!DI20/ቦኖ!$C$4&gt;0),1,0)</f>
        <v>0</v>
      </c>
      <c r="DI18" s="38">
        <f>IF((ዕቁብ!DJ20/ቦኖ!$C$4&gt;0),1,0)</f>
        <v>0</v>
      </c>
      <c r="DJ18" s="38">
        <f>IF((ዕቁብ!DK20/ቦኖ!$C$4&gt;0),1,0)</f>
        <v>0</v>
      </c>
      <c r="DK18" s="38">
        <f>IF((ዕቁብ!DL20/ቦኖ!$C$4&gt;0),1,0)</f>
        <v>0</v>
      </c>
      <c r="DL18" s="38">
        <f>IF((ዕቁብ!DM20/ቦኖ!$C$4&gt;0),1,0)</f>
        <v>0</v>
      </c>
      <c r="DM18" s="38">
        <f>IF((ዕቁብ!DN20/ቦኖ!$C$4&gt;0),1,0)</f>
        <v>0</v>
      </c>
      <c r="DN18" s="38">
        <f>IF((ዕቁብ!DO20/ቦኖ!$C$4&gt;0),1,0)</f>
        <v>0</v>
      </c>
      <c r="DO18" s="38">
        <f>IF((ዕቁብ!DP20/ቦኖ!$C$4&gt;0),1,0)</f>
        <v>0</v>
      </c>
      <c r="DP18" s="38">
        <f>IF((ዕቁብ!DQ20/ቦኖ!$C$4&gt;0),1,0)</f>
        <v>0</v>
      </c>
      <c r="DQ18" s="38">
        <f>IF((ዕቁብ!DR20/ቦኖ!$C$4&gt;0),1,0)</f>
        <v>0</v>
      </c>
    </row>
    <row r="19" spans="1:121" ht="14.4" x14ac:dyDescent="0.3">
      <c r="A19" s="33">
        <f>ዕቁብ!A21</f>
        <v>16</v>
      </c>
      <c r="B19" s="33" t="str">
        <f>ዕቁብ!B21</f>
        <v>አለማየሁ ገዛህኝ</v>
      </c>
      <c r="C19" s="37">
        <f>ዕቁብ!C21</f>
        <v>21000</v>
      </c>
      <c r="D19" s="38">
        <f>IF((ዕቁብ!E21/ቦኖ!$C$4&gt;0),1,0)</f>
        <v>1</v>
      </c>
      <c r="E19" s="38">
        <f>IF((ዕቁብ!F21/ቦኖ!$C$4&gt;0),1,0)</f>
        <v>1</v>
      </c>
      <c r="F19" s="38">
        <f>IF((ዕቁብ!G21/ቦኖ!$C$4&gt;0),1,0)</f>
        <v>1</v>
      </c>
      <c r="G19" s="38">
        <f>IF((ዕቁብ!H21/ቦኖ!$C$4&gt;0),1,0)</f>
        <v>1</v>
      </c>
      <c r="H19" s="38">
        <f>IF((ዕቁብ!I21/ቦኖ!$C$4&gt;0),1,0)</f>
        <v>1</v>
      </c>
      <c r="I19" s="38">
        <f>IF((ዕቁብ!J21/ቦኖ!$C$4&gt;0),1,0)</f>
        <v>1</v>
      </c>
      <c r="J19" s="38">
        <f>IF((ዕቁብ!K21/ቦኖ!$C$4&gt;0),1,0)</f>
        <v>1</v>
      </c>
      <c r="K19" s="38">
        <f>IF((ዕቁብ!L21/ቦኖ!$C$4&gt;0),1,0)</f>
        <v>1</v>
      </c>
      <c r="L19" s="38">
        <f>IF((ዕቁብ!M21/ቦኖ!$C$4&gt;0),1,0)</f>
        <v>1</v>
      </c>
      <c r="M19" s="38">
        <f>IF((ዕቁብ!N21/ቦኖ!$C$4&gt;0),1,0)</f>
        <v>1</v>
      </c>
      <c r="N19" s="38">
        <f>IF((ዕቁብ!O21/ቦኖ!$C$4&gt;0),1,0)</f>
        <v>1</v>
      </c>
      <c r="O19" s="38">
        <f>IF((ዕቁብ!P21/ቦኖ!$C$4&gt;0),1,0)</f>
        <v>1</v>
      </c>
      <c r="P19" s="38">
        <f>IF((ዕቁብ!Q21/ቦኖ!$C$4&gt;0),1,0)</f>
        <v>1</v>
      </c>
      <c r="Q19" s="38">
        <f>IF((ዕቁብ!R21/ቦኖ!$C$4&gt;0),1,0)</f>
        <v>1</v>
      </c>
      <c r="R19" s="38">
        <f>IF((ዕቁብ!S21/ቦኖ!$C$4&gt;0),1,0)</f>
        <v>1</v>
      </c>
      <c r="S19" s="38">
        <f>IF((ዕቁብ!T21/ቦኖ!$C$4&gt;0),1,0)</f>
        <v>1</v>
      </c>
      <c r="T19" s="38">
        <f>IF((ዕቁብ!U21/ቦኖ!$C$4&gt;0),1,0)</f>
        <v>1</v>
      </c>
      <c r="U19" s="38">
        <f>IF((ዕቁብ!V21/ቦኖ!$C$4&gt;0),1,0)</f>
        <v>1</v>
      </c>
      <c r="V19" s="38">
        <f>IF((ዕቁብ!W21/ቦኖ!$C$4&gt;0),1,0)</f>
        <v>1</v>
      </c>
      <c r="W19" s="38">
        <f>IF((ዕቁብ!X21/ቦኖ!$C$4&gt;0),1,0)</f>
        <v>1</v>
      </c>
      <c r="X19" s="38">
        <f>IF((ዕቁብ!Y21/ቦኖ!$C$4&gt;0),1,0)</f>
        <v>1</v>
      </c>
      <c r="Y19" s="38">
        <f>IF((ዕቁብ!Z21/ቦኖ!$C$4&gt;0),1,0)</f>
        <v>1</v>
      </c>
      <c r="Z19" s="38">
        <f>IF((ዕቁብ!AA21/ቦኖ!$C$4&gt;0),1,0)</f>
        <v>1</v>
      </c>
      <c r="AA19" s="38">
        <f>IF((ዕቁብ!AB21/ቦኖ!$C$4&gt;0),1,0)</f>
        <v>1</v>
      </c>
      <c r="AB19" s="38">
        <f>IF((ዕቁብ!AC21/ቦኖ!$C$4&gt;0),1,0)</f>
        <v>1</v>
      </c>
      <c r="AC19" s="38">
        <f>IF((ዕቁብ!AD21/ቦኖ!$C$4&gt;0),1,0)</f>
        <v>1</v>
      </c>
      <c r="AD19" s="38">
        <f>IF((ዕቁብ!AE21/ቦኖ!$C$4&gt;0),1,0)</f>
        <v>1</v>
      </c>
      <c r="AE19" s="38">
        <f>IF((ዕቁብ!AF21/ቦኖ!$C$4&gt;0),1,0)</f>
        <v>1</v>
      </c>
      <c r="AF19" s="38">
        <f>IF((ዕቁብ!AG21/ቦኖ!$C$4&gt;0),1,0)</f>
        <v>1</v>
      </c>
      <c r="AG19" s="38">
        <f>IF((ዕቁብ!AH21/ቦኖ!$C$4&gt;0),1,0)</f>
        <v>1</v>
      </c>
      <c r="AH19" s="38">
        <f>IF((ዕቁብ!AI21/ቦኖ!$C$4&gt;0),1,0)</f>
        <v>1</v>
      </c>
      <c r="AI19" s="38">
        <f>IF((ዕቁብ!AJ21/ቦኖ!$C$4&gt;0),1,0)</f>
        <v>1</v>
      </c>
      <c r="AJ19" s="38">
        <f>IF((ዕቁብ!AK21/ቦኖ!$C$4&gt;0),1,0)</f>
        <v>1</v>
      </c>
      <c r="AK19" s="38">
        <f>IF((ዕቁብ!AL21/ቦኖ!$C$4&gt;0),1,0)</f>
        <v>1</v>
      </c>
      <c r="AL19" s="38">
        <f>IF((ዕቁብ!AM21/ቦኖ!$C$4&gt;0),1,0)</f>
        <v>1</v>
      </c>
      <c r="AM19" s="38">
        <f>IF((ዕቁብ!AN21/ቦኖ!$C$4&gt;0),1,0)</f>
        <v>1</v>
      </c>
      <c r="AN19" s="38">
        <f>IF((ዕቁብ!AO21/ቦኖ!$C$4&gt;0),1,0)</f>
        <v>1</v>
      </c>
      <c r="AO19" s="38">
        <f>IF((ዕቁብ!AP21/ቦኖ!$C$4&gt;0),1,0)</f>
        <v>1</v>
      </c>
      <c r="AP19" s="38">
        <f>IF((ዕቁብ!AQ21/ቦኖ!$C$4&gt;0),1,0)</f>
        <v>1</v>
      </c>
      <c r="AQ19" s="38">
        <f>IF((ዕቁብ!AR21/ቦኖ!$C$4&gt;0),1,0)</f>
        <v>1</v>
      </c>
      <c r="AR19" s="38">
        <f>IF((ዕቁብ!AS21/ቦኖ!$C$4&gt;0),1,0)</f>
        <v>1</v>
      </c>
      <c r="AS19" s="38">
        <f>IF((ዕቁብ!AT21/ቦኖ!$C$4&gt;0),1,0)</f>
        <v>1</v>
      </c>
      <c r="AT19" s="38">
        <f>IF((ዕቁብ!AU21/ቦኖ!$C$4&gt;0),1,0)</f>
        <v>1</v>
      </c>
      <c r="AU19" s="38">
        <f>IF((ዕቁብ!AV21/ቦኖ!$C$4&gt;0),1,0)</f>
        <v>1</v>
      </c>
      <c r="AV19" s="38">
        <f>IF((ዕቁብ!AW21/ቦኖ!$C$4&gt;0),1,0)</f>
        <v>1</v>
      </c>
      <c r="AW19" s="38">
        <f>IF((ዕቁብ!AX21/ቦኖ!$C$4&gt;0),1,0)</f>
        <v>1</v>
      </c>
      <c r="AX19" s="38">
        <f>IF((ዕቁብ!AY21/ቦኖ!$C$4&gt;0),1,0)</f>
        <v>1</v>
      </c>
      <c r="AY19" s="38">
        <f>IF((ዕቁብ!AZ21/ቦኖ!$C$4&gt;0),1,0)</f>
        <v>1</v>
      </c>
      <c r="AZ19" s="38">
        <f>IF((ዕቁብ!BA21/ቦኖ!$C$4&gt;0),1,0)</f>
        <v>1</v>
      </c>
      <c r="BA19" s="38">
        <f>IF((ዕቁብ!BB21/ቦኖ!$C$4&gt;0),1,0)</f>
        <v>1</v>
      </c>
      <c r="BB19" s="38">
        <f>IF((ዕቁብ!BC21/ቦኖ!$C$4&gt;0),1,0)</f>
        <v>1</v>
      </c>
      <c r="BC19" s="38">
        <f>IF((ዕቁብ!BD21/ቦኖ!$C$4&gt;0),1,0)</f>
        <v>0</v>
      </c>
      <c r="BD19" s="38">
        <f>IF((ዕቁብ!BE21/ቦኖ!$C$4&gt;0),1,0)</f>
        <v>1</v>
      </c>
      <c r="BE19" s="38">
        <f>IF((ዕቁብ!BF21/ቦኖ!$C$4&gt;0),1,0)</f>
        <v>1</v>
      </c>
      <c r="BF19" s="38">
        <f>IF((ዕቁብ!BG21/ቦኖ!$C$4&gt;0),1,0)</f>
        <v>1</v>
      </c>
      <c r="BG19" s="38">
        <f>IF((ዕቁብ!BH21/ቦኖ!$C$4&gt;0),1,0)</f>
        <v>1</v>
      </c>
      <c r="BH19" s="38">
        <f>IF((ዕቁብ!BI21/ቦኖ!$C$4&gt;0),1,0)</f>
        <v>1</v>
      </c>
      <c r="BI19" s="38">
        <f>IF((ዕቁብ!BJ21/ቦኖ!$C$4&gt;0),1,0)</f>
        <v>1</v>
      </c>
      <c r="BJ19" s="38">
        <f>IF((ዕቁብ!BK21/ቦኖ!$C$4&gt;0),1,0)</f>
        <v>1</v>
      </c>
      <c r="BK19" s="38">
        <f>IF((ዕቁብ!BL21/ቦኖ!$C$4&gt;0),1,0)</f>
        <v>1</v>
      </c>
      <c r="BL19" s="38">
        <f>IF((ዕቁብ!BM21/ቦኖ!$C$4&gt;0),1,0)</f>
        <v>1</v>
      </c>
      <c r="BM19" s="38">
        <f>IF((ዕቁብ!BN21/ቦኖ!$C$4&gt;0),1,0)</f>
        <v>1</v>
      </c>
      <c r="BN19" s="38">
        <f>IF((ዕቁብ!BO21/ቦኖ!$C$4&gt;0),1,0)</f>
        <v>1</v>
      </c>
      <c r="BO19" s="38">
        <f>IF((ዕቁብ!BP21/ቦኖ!$C$4&gt;0),1,0)</f>
        <v>1</v>
      </c>
      <c r="BP19" s="38">
        <f>IF((ዕቁብ!BQ21/ቦኖ!$C$4&gt;0),1,0)</f>
        <v>1</v>
      </c>
      <c r="BQ19" s="38">
        <f>IF((ዕቁብ!BR21/ቦኖ!$C$4&gt;0),1,0)</f>
        <v>1</v>
      </c>
      <c r="BR19" s="38">
        <f>IF((ዕቁብ!BS21/ቦኖ!$C$4&gt;0),1,0)</f>
        <v>1</v>
      </c>
      <c r="BS19" s="38">
        <f>IF((ዕቁብ!BT21/ቦኖ!$C$4&gt;0),1,0)</f>
        <v>1</v>
      </c>
      <c r="BT19" s="38">
        <f>IF((ዕቁብ!BU21/ቦኖ!$C$4&gt;0),1,0)</f>
        <v>1</v>
      </c>
      <c r="BU19" s="38">
        <f>IF((ዕቁብ!BV21/ቦኖ!$C$4&gt;0),1,0)</f>
        <v>1</v>
      </c>
      <c r="BV19" s="38">
        <f>IF((ዕቁብ!BW21/ቦኖ!$C$4&gt;0),1,0)</f>
        <v>1</v>
      </c>
      <c r="BW19" s="38">
        <f>IF((ዕቁብ!BX21/ቦኖ!$C$4&gt;0),1,0)</f>
        <v>1</v>
      </c>
      <c r="BX19" s="38">
        <f>IF((ዕቁብ!BY21/ቦኖ!$C$4&gt;0),1,0)</f>
        <v>1</v>
      </c>
      <c r="BY19" s="38">
        <f>IF((ዕቁብ!BZ21/ቦኖ!$C$4&gt;0),1,0)</f>
        <v>1</v>
      </c>
      <c r="BZ19" s="38">
        <f>IF((ዕቁብ!CA21/ቦኖ!$C$4&gt;0),1,0)</f>
        <v>1</v>
      </c>
      <c r="CA19" s="38">
        <f>IF((ዕቁብ!CB21/ቦኖ!$C$4&gt;0),1,0)</f>
        <v>1</v>
      </c>
      <c r="CB19" s="38">
        <f>IF((ዕቁብ!CC21/ቦኖ!$C$4&gt;0),1,0)</f>
        <v>1</v>
      </c>
      <c r="CC19" s="38">
        <f>IF((ዕቁብ!CD21/ቦኖ!$C$4&gt;0),1,0)</f>
        <v>1</v>
      </c>
      <c r="CD19" s="38">
        <f>IF((ዕቁብ!CE21/ቦኖ!$C$4&gt;0),1,0)</f>
        <v>1</v>
      </c>
      <c r="CE19" s="38">
        <f>IF((ዕቁብ!CF21/ቦኖ!$C$4&gt;0),1,0)</f>
        <v>1</v>
      </c>
      <c r="CF19" s="38">
        <f>IF((ዕቁብ!CG21/ቦኖ!$C$4&gt;0),1,0)</f>
        <v>1</v>
      </c>
      <c r="CG19" s="38">
        <f>IF((ዕቁብ!CH21/ቦኖ!$C$4&gt;0),1,0)</f>
        <v>1</v>
      </c>
      <c r="CH19" s="38">
        <f>IF((ዕቁብ!CI21/ቦኖ!$C$4&gt;0),1,0)</f>
        <v>1</v>
      </c>
      <c r="CI19" s="38">
        <f>IF((ዕቁብ!CJ21/ቦኖ!$C$4&gt;0),1,0)</f>
        <v>1</v>
      </c>
      <c r="CJ19" s="38">
        <f>IF((ዕቁብ!CK21/ቦኖ!$C$4&gt;0),1,0)</f>
        <v>1</v>
      </c>
      <c r="CK19" s="38">
        <f>IF((ዕቁብ!CL21/ቦኖ!$C$4&gt;0),1,0)</f>
        <v>1</v>
      </c>
      <c r="CL19" s="38">
        <f>IF((ዕቁብ!CM21/ቦኖ!$C$4&gt;0),1,0)</f>
        <v>1</v>
      </c>
      <c r="CM19" s="38">
        <f>IF((ዕቁብ!CN21/ቦኖ!$C$4&gt;0),1,0)</f>
        <v>1</v>
      </c>
      <c r="CN19" s="38">
        <f>IF((ዕቁብ!CO21/ቦኖ!$C$4&gt;0),1,0)</f>
        <v>1</v>
      </c>
      <c r="CO19" s="38">
        <f>IF((ዕቁብ!CP21/ቦኖ!$C$4&gt;0),1,0)</f>
        <v>0</v>
      </c>
      <c r="CP19" s="38">
        <f>IF((ዕቁብ!CQ21/ቦኖ!$C$4&gt;0),1,0)</f>
        <v>1</v>
      </c>
      <c r="CQ19" s="38">
        <f>IF((ዕቁብ!CR21/ቦኖ!$C$4&gt;0),1,0)</f>
        <v>1</v>
      </c>
      <c r="CR19" s="38">
        <f>IF((ዕቁብ!CS21/ቦኖ!$C$4&gt;0),1,0)</f>
        <v>1</v>
      </c>
      <c r="CS19" s="38">
        <f>IF((ዕቁብ!CT21/ቦኖ!$C$4&gt;0),1,0)</f>
        <v>1</v>
      </c>
      <c r="CT19" s="38">
        <f>IF((ዕቁብ!CU21/ቦኖ!$C$4&gt;0),1,0)</f>
        <v>1</v>
      </c>
      <c r="CU19" s="38">
        <f>IF((ዕቁብ!CV21/ቦኖ!$C$4&gt;0),1,0)</f>
        <v>1</v>
      </c>
      <c r="CV19" s="38">
        <f>IF((ዕቁብ!CW21/ቦኖ!$C$4&gt;0),1,0)</f>
        <v>1</v>
      </c>
      <c r="CW19" s="38">
        <f>IF((ዕቁብ!CX21/ቦኖ!$C$4&gt;0),1,0)</f>
        <v>1</v>
      </c>
      <c r="CX19" s="38">
        <f>IF((ዕቁብ!CY21/ቦኖ!$C$4&gt;0),1,0)</f>
        <v>1</v>
      </c>
      <c r="CY19" s="38">
        <f>IF((ዕቁብ!CZ21/ቦኖ!$C$4&gt;0),1,0)</f>
        <v>1</v>
      </c>
      <c r="CZ19" s="38">
        <f>IF((ዕቁብ!DA21/ቦኖ!$C$4&gt;0),1,0)</f>
        <v>1</v>
      </c>
      <c r="DA19" s="38">
        <f>IF((ዕቁብ!DB21/ቦኖ!$C$4&gt;0),1,0)</f>
        <v>1</v>
      </c>
      <c r="DB19" s="38">
        <f>IF((ዕቁብ!DC21/ቦኖ!$C$4&gt;0),1,0)</f>
        <v>1</v>
      </c>
      <c r="DC19" s="38">
        <f>IF((ዕቁብ!DD21/ቦኖ!$C$4&gt;0),1,0)</f>
        <v>1</v>
      </c>
      <c r="DD19" s="38">
        <f>IF((ዕቁብ!DE21/ቦኖ!$C$4&gt;0),1,0)</f>
        <v>1</v>
      </c>
      <c r="DE19" s="38">
        <f>IF((ዕቁብ!DF21/ቦኖ!$C$4&gt;0),1,0)</f>
        <v>1</v>
      </c>
      <c r="DF19" s="38">
        <f>IF((ዕቁብ!DG21/ቦኖ!$C$4&gt;0),1,0)</f>
        <v>1</v>
      </c>
      <c r="DG19" s="38">
        <f>IF((ዕቁብ!DH21/ቦኖ!$C$4&gt;0),1,0)</f>
        <v>1</v>
      </c>
      <c r="DH19" s="38">
        <f>IF((ዕቁብ!DI21/ቦኖ!$C$4&gt;0),1,0)</f>
        <v>0</v>
      </c>
      <c r="DI19" s="38">
        <f>IF((ዕቁብ!DJ21/ቦኖ!$C$4&gt;0),1,0)</f>
        <v>0</v>
      </c>
      <c r="DJ19" s="38">
        <f>IF((ዕቁብ!DK21/ቦኖ!$C$4&gt;0),1,0)</f>
        <v>0</v>
      </c>
      <c r="DK19" s="38">
        <f>IF((ዕቁብ!DL21/ቦኖ!$C$4&gt;0),1,0)</f>
        <v>0</v>
      </c>
      <c r="DL19" s="38">
        <f>IF((ዕቁብ!DM21/ቦኖ!$C$4&gt;0),1,0)</f>
        <v>0</v>
      </c>
      <c r="DM19" s="38">
        <f>IF((ዕቁብ!DN21/ቦኖ!$C$4&gt;0),1,0)</f>
        <v>0</v>
      </c>
      <c r="DN19" s="38">
        <f>IF((ዕቁብ!DO21/ቦኖ!$C$4&gt;0),1,0)</f>
        <v>0</v>
      </c>
      <c r="DO19" s="38">
        <f>IF((ዕቁብ!DP21/ቦኖ!$C$4&gt;0),1,0)</f>
        <v>0</v>
      </c>
      <c r="DP19" s="38">
        <f>IF((ዕቁብ!DQ21/ቦኖ!$C$4&gt;0),1,0)</f>
        <v>0</v>
      </c>
      <c r="DQ19" s="38">
        <f>IF((ዕቁብ!DR21/ቦኖ!$C$4&gt;0),1,0)</f>
        <v>0</v>
      </c>
    </row>
    <row r="20" spans="1:121" ht="14.4" x14ac:dyDescent="0.3">
      <c r="A20" s="33">
        <f>ዕቁብ!A22</f>
        <v>17</v>
      </c>
      <c r="B20" s="33" t="str">
        <f>ዕቁብ!B22</f>
        <v>እንግዳ ካሳዬ</v>
      </c>
      <c r="C20" s="37">
        <f>ዕቁብ!C22</f>
        <v>21000</v>
      </c>
      <c r="D20" s="38">
        <f>IF((ዕቁብ!E22/ቦኖ!$C$4&gt;0),1,0)</f>
        <v>1</v>
      </c>
      <c r="E20" s="38">
        <f>IF((ዕቁብ!F22/ቦኖ!$C$4&gt;0),1,0)</f>
        <v>1</v>
      </c>
      <c r="F20" s="38">
        <f>IF((ዕቁብ!G22/ቦኖ!$C$4&gt;0),1,0)</f>
        <v>1</v>
      </c>
      <c r="G20" s="38">
        <f>IF((ዕቁብ!H22/ቦኖ!$C$4&gt;0),1,0)</f>
        <v>1</v>
      </c>
      <c r="H20" s="38">
        <f>IF((ዕቁብ!I22/ቦኖ!$C$4&gt;0),1,0)</f>
        <v>1</v>
      </c>
      <c r="I20" s="38">
        <f>IF((ዕቁብ!J22/ቦኖ!$C$4&gt;0),1,0)</f>
        <v>1</v>
      </c>
      <c r="J20" s="38">
        <f>IF((ዕቁብ!K22/ቦኖ!$C$4&gt;0),1,0)</f>
        <v>1</v>
      </c>
      <c r="K20" s="38">
        <f>IF((ዕቁብ!L22/ቦኖ!$C$4&gt;0),1,0)</f>
        <v>1</v>
      </c>
      <c r="L20" s="38">
        <f>IF((ዕቁብ!M22/ቦኖ!$C$4&gt;0),1,0)</f>
        <v>1</v>
      </c>
      <c r="M20" s="38">
        <f>IF((ዕቁብ!N22/ቦኖ!$C$4&gt;0),1,0)</f>
        <v>1</v>
      </c>
      <c r="N20" s="38">
        <f>IF((ዕቁብ!O22/ቦኖ!$C$4&gt;0),1,0)</f>
        <v>1</v>
      </c>
      <c r="O20" s="38">
        <f>IF((ዕቁብ!P22/ቦኖ!$C$4&gt;0),1,0)</f>
        <v>1</v>
      </c>
      <c r="P20" s="38">
        <f>IF((ዕቁብ!Q22/ቦኖ!$C$4&gt;0),1,0)</f>
        <v>1</v>
      </c>
      <c r="Q20" s="38">
        <f>IF((ዕቁብ!R22/ቦኖ!$C$4&gt;0),1,0)</f>
        <v>1</v>
      </c>
      <c r="R20" s="38">
        <f>IF((ዕቁብ!S22/ቦኖ!$C$4&gt;0),1,0)</f>
        <v>1</v>
      </c>
      <c r="S20" s="38">
        <f>IF((ዕቁብ!T22/ቦኖ!$C$4&gt;0),1,0)</f>
        <v>1</v>
      </c>
      <c r="T20" s="38">
        <f>IF((ዕቁብ!U22/ቦኖ!$C$4&gt;0),1,0)</f>
        <v>1</v>
      </c>
      <c r="U20" s="38">
        <f>IF((ዕቁብ!V22/ቦኖ!$C$4&gt;0),1,0)</f>
        <v>1</v>
      </c>
      <c r="V20" s="38">
        <f>IF((ዕቁብ!W22/ቦኖ!$C$4&gt;0),1,0)</f>
        <v>1</v>
      </c>
      <c r="W20" s="38">
        <f>IF((ዕቁብ!X22/ቦኖ!$C$4&gt;0),1,0)</f>
        <v>1</v>
      </c>
      <c r="X20" s="38">
        <f>IF((ዕቁብ!Y22/ቦኖ!$C$4&gt;0),1,0)</f>
        <v>1</v>
      </c>
      <c r="Y20" s="38">
        <f>IF((ዕቁብ!Z22/ቦኖ!$C$4&gt;0),1,0)</f>
        <v>1</v>
      </c>
      <c r="Z20" s="38">
        <f>IF((ዕቁብ!AA22/ቦኖ!$C$4&gt;0),1,0)</f>
        <v>1</v>
      </c>
      <c r="AA20" s="38">
        <f>IF((ዕቁብ!AB22/ቦኖ!$C$4&gt;0),1,0)</f>
        <v>0</v>
      </c>
      <c r="AB20" s="38">
        <f>IF((ዕቁብ!AC22/ቦኖ!$C$4&gt;0),1,0)</f>
        <v>1</v>
      </c>
      <c r="AC20" s="38">
        <f>IF((ዕቁብ!AD22/ቦኖ!$C$4&gt;0),1,0)</f>
        <v>1</v>
      </c>
      <c r="AD20" s="38">
        <f>IF((ዕቁብ!AE22/ቦኖ!$C$4&gt;0),1,0)</f>
        <v>1</v>
      </c>
      <c r="AE20" s="38">
        <f>IF((ዕቁብ!AF22/ቦኖ!$C$4&gt;0),1,0)</f>
        <v>1</v>
      </c>
      <c r="AF20" s="38">
        <f>IF((ዕቁብ!AG22/ቦኖ!$C$4&gt;0),1,0)</f>
        <v>1</v>
      </c>
      <c r="AG20" s="38">
        <f>IF((ዕቁብ!AH22/ቦኖ!$C$4&gt;0),1,0)</f>
        <v>1</v>
      </c>
      <c r="AH20" s="38">
        <f>IF((ዕቁብ!AI22/ቦኖ!$C$4&gt;0),1,0)</f>
        <v>1</v>
      </c>
      <c r="AI20" s="38">
        <f>IF((ዕቁብ!AJ22/ቦኖ!$C$4&gt;0),1,0)</f>
        <v>1</v>
      </c>
      <c r="AJ20" s="38">
        <f>IF((ዕቁብ!AK22/ቦኖ!$C$4&gt;0),1,0)</f>
        <v>1</v>
      </c>
      <c r="AK20" s="38">
        <f>IF((ዕቁብ!AL22/ቦኖ!$C$4&gt;0),1,0)</f>
        <v>1</v>
      </c>
      <c r="AL20" s="38">
        <f>IF((ዕቁብ!AM22/ቦኖ!$C$4&gt;0),1,0)</f>
        <v>1</v>
      </c>
      <c r="AM20" s="38">
        <f>IF((ዕቁብ!AN22/ቦኖ!$C$4&gt;0),1,0)</f>
        <v>1</v>
      </c>
      <c r="AN20" s="38">
        <f>IF((ዕቁብ!AO22/ቦኖ!$C$4&gt;0),1,0)</f>
        <v>1</v>
      </c>
      <c r="AO20" s="38">
        <f>IF((ዕቁብ!AP22/ቦኖ!$C$4&gt;0),1,0)</f>
        <v>1</v>
      </c>
      <c r="AP20" s="38">
        <f>IF((ዕቁብ!AQ22/ቦኖ!$C$4&gt;0),1,0)</f>
        <v>1</v>
      </c>
      <c r="AQ20" s="38">
        <f>IF((ዕቁብ!AR22/ቦኖ!$C$4&gt;0),1,0)</f>
        <v>1</v>
      </c>
      <c r="AR20" s="38">
        <f>IF((ዕቁብ!AS22/ቦኖ!$C$4&gt;0),1,0)</f>
        <v>1</v>
      </c>
      <c r="AS20" s="38">
        <f>IF((ዕቁብ!AT22/ቦኖ!$C$4&gt;0),1,0)</f>
        <v>1</v>
      </c>
      <c r="AT20" s="38">
        <f>IF((ዕቁብ!AU22/ቦኖ!$C$4&gt;0),1,0)</f>
        <v>1</v>
      </c>
      <c r="AU20" s="38">
        <f>IF((ዕቁብ!AV22/ቦኖ!$C$4&gt;0),1,0)</f>
        <v>1</v>
      </c>
      <c r="AV20" s="38">
        <f>IF((ዕቁብ!AW22/ቦኖ!$C$4&gt;0),1,0)</f>
        <v>1</v>
      </c>
      <c r="AW20" s="38">
        <f>IF((ዕቁብ!AX22/ቦኖ!$C$4&gt;0),1,0)</f>
        <v>1</v>
      </c>
      <c r="AX20" s="38">
        <f>IF((ዕቁብ!AY22/ቦኖ!$C$4&gt;0),1,0)</f>
        <v>1</v>
      </c>
      <c r="AY20" s="38">
        <f>IF((ዕቁብ!AZ22/ቦኖ!$C$4&gt;0),1,0)</f>
        <v>1</v>
      </c>
      <c r="AZ20" s="38">
        <f>IF((ዕቁብ!BA22/ቦኖ!$C$4&gt;0),1,0)</f>
        <v>1</v>
      </c>
      <c r="BA20" s="38">
        <f>IF((ዕቁብ!BB22/ቦኖ!$C$4&gt;0),1,0)</f>
        <v>1</v>
      </c>
      <c r="BB20" s="38">
        <f>IF((ዕቁብ!BC22/ቦኖ!$C$4&gt;0),1,0)</f>
        <v>1</v>
      </c>
      <c r="BC20" s="38">
        <f>IF((ዕቁብ!BD22/ቦኖ!$C$4&gt;0),1,0)</f>
        <v>1</v>
      </c>
      <c r="BD20" s="38">
        <f>IF((ዕቁብ!BE22/ቦኖ!$C$4&gt;0),1,0)</f>
        <v>1</v>
      </c>
      <c r="BE20" s="38">
        <f>IF((ዕቁብ!BF22/ቦኖ!$C$4&gt;0),1,0)</f>
        <v>0</v>
      </c>
      <c r="BF20" s="38">
        <f>IF((ዕቁብ!BG22/ቦኖ!$C$4&gt;0),1,0)</f>
        <v>1</v>
      </c>
      <c r="BG20" s="38">
        <f>IF((ዕቁብ!BH22/ቦኖ!$C$4&gt;0),1,0)</f>
        <v>1</v>
      </c>
      <c r="BH20" s="38">
        <f>IF((ዕቁብ!BI22/ቦኖ!$C$4&gt;0),1,0)</f>
        <v>1</v>
      </c>
      <c r="BI20" s="38">
        <f>IF((ዕቁብ!BJ22/ቦኖ!$C$4&gt;0),1,0)</f>
        <v>1</v>
      </c>
      <c r="BJ20" s="38">
        <f>IF((ዕቁብ!BK22/ቦኖ!$C$4&gt;0),1,0)</f>
        <v>1</v>
      </c>
      <c r="BK20" s="38">
        <f>IF((ዕቁብ!BL22/ቦኖ!$C$4&gt;0),1,0)</f>
        <v>1</v>
      </c>
      <c r="BL20" s="38">
        <f>IF((ዕቁብ!BM22/ቦኖ!$C$4&gt;0),1,0)</f>
        <v>1</v>
      </c>
      <c r="BM20" s="38">
        <f>IF((ዕቁብ!BN22/ቦኖ!$C$4&gt;0),1,0)</f>
        <v>0</v>
      </c>
      <c r="BN20" s="38">
        <f>IF((ዕቁብ!BO22/ቦኖ!$C$4&gt;0),1,0)</f>
        <v>1</v>
      </c>
      <c r="BO20" s="38">
        <f>IF((ዕቁብ!BP22/ቦኖ!$C$4&gt;0),1,0)</f>
        <v>1</v>
      </c>
      <c r="BP20" s="38">
        <f>IF((ዕቁብ!BQ22/ቦኖ!$C$4&gt;0),1,0)</f>
        <v>1</v>
      </c>
      <c r="BQ20" s="38">
        <f>IF((ዕቁብ!BR22/ቦኖ!$C$4&gt;0),1,0)</f>
        <v>1</v>
      </c>
      <c r="BR20" s="38">
        <f>IF((ዕቁብ!BS22/ቦኖ!$C$4&gt;0),1,0)</f>
        <v>1</v>
      </c>
      <c r="BS20" s="38">
        <f>IF((ዕቁብ!BT22/ቦኖ!$C$4&gt;0),1,0)</f>
        <v>1</v>
      </c>
      <c r="BT20" s="38">
        <f>IF((ዕቁብ!BU22/ቦኖ!$C$4&gt;0),1,0)</f>
        <v>1</v>
      </c>
      <c r="BU20" s="38">
        <f>IF((ዕቁብ!BV22/ቦኖ!$C$4&gt;0),1,0)</f>
        <v>1</v>
      </c>
      <c r="BV20" s="38">
        <f>IF((ዕቁብ!BW22/ቦኖ!$C$4&gt;0),1,0)</f>
        <v>1</v>
      </c>
      <c r="BW20" s="38">
        <f>IF((ዕቁብ!BX22/ቦኖ!$C$4&gt;0),1,0)</f>
        <v>1</v>
      </c>
      <c r="BX20" s="38">
        <f>IF((ዕቁብ!BY22/ቦኖ!$C$4&gt;0),1,0)</f>
        <v>1</v>
      </c>
      <c r="BY20" s="38">
        <f>IF((ዕቁብ!BZ22/ቦኖ!$C$4&gt;0),1,0)</f>
        <v>1</v>
      </c>
      <c r="BZ20" s="38">
        <f>IF((ዕቁብ!CA22/ቦኖ!$C$4&gt;0),1,0)</f>
        <v>1</v>
      </c>
      <c r="CA20" s="38">
        <f>IF((ዕቁብ!CB22/ቦኖ!$C$4&gt;0),1,0)</f>
        <v>0</v>
      </c>
      <c r="CB20" s="38">
        <f>IF((ዕቁብ!CC22/ቦኖ!$C$4&gt;0),1,0)</f>
        <v>1</v>
      </c>
      <c r="CC20" s="38">
        <f>IF((ዕቁብ!CD22/ቦኖ!$C$4&gt;0),1,0)</f>
        <v>1</v>
      </c>
      <c r="CD20" s="38">
        <f>IF((ዕቁብ!CE22/ቦኖ!$C$4&gt;0),1,0)</f>
        <v>0</v>
      </c>
      <c r="CE20" s="38">
        <f>IF((ዕቁብ!CF22/ቦኖ!$C$4&gt;0),1,0)</f>
        <v>1</v>
      </c>
      <c r="CF20" s="38">
        <f>IF((ዕቁብ!CG22/ቦኖ!$C$4&gt;0),1,0)</f>
        <v>0</v>
      </c>
      <c r="CG20" s="38">
        <f>IF((ዕቁብ!CH22/ቦኖ!$C$4&gt;0),1,0)</f>
        <v>1</v>
      </c>
      <c r="CH20" s="38">
        <f>IF((ዕቁብ!CI22/ቦኖ!$C$4&gt;0),1,0)</f>
        <v>1</v>
      </c>
      <c r="CI20" s="38">
        <f>IF((ዕቁብ!CJ22/ቦኖ!$C$4&gt;0),1,0)</f>
        <v>1</v>
      </c>
      <c r="CJ20" s="38">
        <f>IF((ዕቁብ!CK22/ቦኖ!$C$4&gt;0),1,0)</f>
        <v>1</v>
      </c>
      <c r="CK20" s="38">
        <f>IF((ዕቁብ!CL22/ቦኖ!$C$4&gt;0),1,0)</f>
        <v>0</v>
      </c>
      <c r="CL20" s="38">
        <f>IF((ዕቁብ!CM22/ቦኖ!$C$4&gt;0),1,0)</f>
        <v>1</v>
      </c>
      <c r="CM20" s="38">
        <f>IF((ዕቁብ!CN22/ቦኖ!$C$4&gt;0),1,0)</f>
        <v>1</v>
      </c>
      <c r="CN20" s="38">
        <f>IF((ዕቁብ!CO22/ቦኖ!$C$4&gt;0),1,0)</f>
        <v>1</v>
      </c>
      <c r="CO20" s="38">
        <f>IF((ዕቁብ!CP22/ቦኖ!$C$4&gt;0),1,0)</f>
        <v>0</v>
      </c>
      <c r="CP20" s="38">
        <f>IF((ዕቁብ!CQ22/ቦኖ!$C$4&gt;0),1,0)</f>
        <v>1</v>
      </c>
      <c r="CQ20" s="38">
        <f>IF((ዕቁብ!CR22/ቦኖ!$C$4&gt;0),1,0)</f>
        <v>1</v>
      </c>
      <c r="CR20" s="38">
        <f>IF((ዕቁብ!CS22/ቦኖ!$C$4&gt;0),1,0)</f>
        <v>1</v>
      </c>
      <c r="CS20" s="38">
        <f>IF((ዕቁብ!CT22/ቦኖ!$C$4&gt;0),1,0)</f>
        <v>1</v>
      </c>
      <c r="CT20" s="38">
        <f>IF((ዕቁብ!CU22/ቦኖ!$C$4&gt;0),1,0)</f>
        <v>1</v>
      </c>
      <c r="CU20" s="38">
        <f>IF((ዕቁብ!CV22/ቦኖ!$C$4&gt;0),1,0)</f>
        <v>1</v>
      </c>
      <c r="CV20" s="38">
        <f>IF((ዕቁብ!CW22/ቦኖ!$C$4&gt;0),1,0)</f>
        <v>0</v>
      </c>
      <c r="CW20" s="38">
        <f>IF((ዕቁብ!CX22/ቦኖ!$C$4&gt;0),1,0)</f>
        <v>1</v>
      </c>
      <c r="CX20" s="38">
        <f>IF((ዕቁብ!CY22/ቦኖ!$C$4&gt;0),1,0)</f>
        <v>0</v>
      </c>
      <c r="CY20" s="38">
        <f>IF((ዕቁብ!CZ22/ቦኖ!$C$4&gt;0),1,0)</f>
        <v>0</v>
      </c>
      <c r="CZ20" s="38">
        <f>IF((ዕቁብ!DA22/ቦኖ!$C$4&gt;0),1,0)</f>
        <v>1</v>
      </c>
      <c r="DA20" s="38">
        <f>IF((ዕቁብ!DB22/ቦኖ!$C$4&gt;0),1,0)</f>
        <v>1</v>
      </c>
      <c r="DB20" s="38">
        <f>IF((ዕቁብ!DC22/ቦኖ!$C$4&gt;0),1,0)</f>
        <v>1</v>
      </c>
      <c r="DC20" s="38">
        <f>IF((ዕቁብ!DD22/ቦኖ!$C$4&gt;0),1,0)</f>
        <v>0</v>
      </c>
      <c r="DD20" s="38">
        <f>IF((ዕቁብ!DE22/ቦኖ!$C$4&gt;0),1,0)</f>
        <v>1</v>
      </c>
      <c r="DE20" s="38">
        <f>IF((ዕቁብ!DF22/ቦኖ!$C$4&gt;0),1,0)</f>
        <v>1</v>
      </c>
      <c r="DF20" s="38">
        <f>IF((ዕቁብ!DG22/ቦኖ!$C$4&gt;0),1,0)</f>
        <v>1</v>
      </c>
      <c r="DG20" s="38">
        <f>IF((ዕቁብ!DH22/ቦኖ!$C$4&gt;0),1,0)</f>
        <v>1</v>
      </c>
      <c r="DH20" s="38">
        <f>IF((ዕቁብ!DI22/ቦኖ!$C$4&gt;0),1,0)</f>
        <v>0</v>
      </c>
      <c r="DI20" s="38">
        <f>IF((ዕቁብ!DJ22/ቦኖ!$C$4&gt;0),1,0)</f>
        <v>0</v>
      </c>
      <c r="DJ20" s="38">
        <f>IF((ዕቁብ!DK22/ቦኖ!$C$4&gt;0),1,0)</f>
        <v>0</v>
      </c>
      <c r="DK20" s="38">
        <f>IF((ዕቁብ!DL22/ቦኖ!$C$4&gt;0),1,0)</f>
        <v>0</v>
      </c>
      <c r="DL20" s="38">
        <f>IF((ዕቁብ!DM22/ቦኖ!$C$4&gt;0),1,0)</f>
        <v>0</v>
      </c>
      <c r="DM20" s="38">
        <f>IF((ዕቁብ!DN22/ቦኖ!$C$4&gt;0),1,0)</f>
        <v>0</v>
      </c>
      <c r="DN20" s="38">
        <f>IF((ዕቁብ!DO22/ቦኖ!$C$4&gt;0),1,0)</f>
        <v>0</v>
      </c>
      <c r="DO20" s="38">
        <f>IF((ዕቁብ!DP22/ቦኖ!$C$4&gt;0),1,0)</f>
        <v>0</v>
      </c>
      <c r="DP20" s="38">
        <f>IF((ዕቁብ!DQ22/ቦኖ!$C$4&gt;0),1,0)</f>
        <v>0</v>
      </c>
      <c r="DQ20" s="38">
        <f>IF((ዕቁብ!DR22/ቦኖ!$C$4&gt;0),1,0)</f>
        <v>0</v>
      </c>
    </row>
    <row r="21" spans="1:121" ht="15.75" customHeight="1" x14ac:dyDescent="0.3">
      <c r="A21" s="33">
        <f>ዕቁብ!A23</f>
        <v>18</v>
      </c>
      <c r="B21" s="33" t="str">
        <f>ዕቁብ!B23</f>
        <v>ህዝቄል ጴጥሮስ</v>
      </c>
      <c r="C21" s="37">
        <f>ዕቁብ!C23</f>
        <v>21000</v>
      </c>
      <c r="D21" s="38">
        <f>IF((ዕቁብ!E23/ቦኖ!$C$4&gt;0),1,0)</f>
        <v>1</v>
      </c>
      <c r="E21" s="38">
        <f>IF((ዕቁብ!F23/ቦኖ!$C$4&gt;0),1,0)</f>
        <v>1</v>
      </c>
      <c r="F21" s="38">
        <f>IF((ዕቁብ!G23/ቦኖ!$C$4&gt;0),1,0)</f>
        <v>1</v>
      </c>
      <c r="G21" s="38">
        <f>IF((ዕቁብ!H23/ቦኖ!$C$4&gt;0),1,0)</f>
        <v>1</v>
      </c>
      <c r="H21" s="38">
        <f>IF((ዕቁብ!I23/ቦኖ!$C$4&gt;0),1,0)</f>
        <v>1</v>
      </c>
      <c r="I21" s="38">
        <f>IF((ዕቁብ!J23/ቦኖ!$C$4&gt;0),1,0)</f>
        <v>1</v>
      </c>
      <c r="J21" s="38">
        <f>IF((ዕቁብ!K23/ቦኖ!$C$4&gt;0),1,0)</f>
        <v>1</v>
      </c>
      <c r="K21" s="38">
        <f>IF((ዕቁብ!L23/ቦኖ!$C$4&gt;0),1,0)</f>
        <v>1</v>
      </c>
      <c r="L21" s="38">
        <f>IF((ዕቁብ!M23/ቦኖ!$C$4&gt;0),1,0)</f>
        <v>1</v>
      </c>
      <c r="M21" s="38">
        <f>IF((ዕቁብ!N23/ቦኖ!$C$4&gt;0),1,0)</f>
        <v>1</v>
      </c>
      <c r="N21" s="38">
        <f>IF((ዕቁብ!O23/ቦኖ!$C$4&gt;0),1,0)</f>
        <v>1</v>
      </c>
      <c r="O21" s="38">
        <f>IF((ዕቁብ!P23/ቦኖ!$C$4&gt;0),1,0)</f>
        <v>1</v>
      </c>
      <c r="P21" s="38">
        <f>IF((ዕቁብ!Q23/ቦኖ!$C$4&gt;0),1,0)</f>
        <v>1</v>
      </c>
      <c r="Q21" s="38">
        <f>IF((ዕቁብ!R23/ቦኖ!$C$4&gt;0),1,0)</f>
        <v>1</v>
      </c>
      <c r="R21" s="38">
        <f>IF((ዕቁብ!S23/ቦኖ!$C$4&gt;0),1,0)</f>
        <v>1</v>
      </c>
      <c r="S21" s="38">
        <f>IF((ዕቁብ!T23/ቦኖ!$C$4&gt;0),1,0)</f>
        <v>1</v>
      </c>
      <c r="T21" s="38">
        <f>IF((ዕቁብ!U23/ቦኖ!$C$4&gt;0),1,0)</f>
        <v>1</v>
      </c>
      <c r="U21" s="38">
        <f>IF((ዕቁብ!V23/ቦኖ!$C$4&gt;0),1,0)</f>
        <v>1</v>
      </c>
      <c r="V21" s="38">
        <f>IF((ዕቁብ!W23/ቦኖ!$C$4&gt;0),1,0)</f>
        <v>1</v>
      </c>
      <c r="W21" s="38">
        <f>IF((ዕቁብ!X23/ቦኖ!$C$4&gt;0),1,0)</f>
        <v>1</v>
      </c>
      <c r="X21" s="38">
        <f>IF((ዕቁብ!Y23/ቦኖ!$C$4&gt;0),1,0)</f>
        <v>1</v>
      </c>
      <c r="Y21" s="38">
        <f>IF((ዕቁብ!Z23/ቦኖ!$C$4&gt;0),1,0)</f>
        <v>1</v>
      </c>
      <c r="Z21" s="38">
        <f>IF((ዕቁብ!AA23/ቦኖ!$C$4&gt;0),1,0)</f>
        <v>1</v>
      </c>
      <c r="AA21" s="38">
        <f>IF((ዕቁብ!AB23/ቦኖ!$C$4&gt;0),1,0)</f>
        <v>1</v>
      </c>
      <c r="AB21" s="38">
        <f>IF((ዕቁብ!AC23/ቦኖ!$C$4&gt;0),1,0)</f>
        <v>1</v>
      </c>
      <c r="AC21" s="38">
        <f>IF((ዕቁብ!AD23/ቦኖ!$C$4&gt;0),1,0)</f>
        <v>1</v>
      </c>
      <c r="AD21" s="38">
        <f>IF((ዕቁብ!AE23/ቦኖ!$C$4&gt;0),1,0)</f>
        <v>1</v>
      </c>
      <c r="AE21" s="38">
        <f>IF((ዕቁብ!AF23/ቦኖ!$C$4&gt;0),1,0)</f>
        <v>1</v>
      </c>
      <c r="AF21" s="38">
        <f>IF((ዕቁብ!AG23/ቦኖ!$C$4&gt;0),1,0)</f>
        <v>1</v>
      </c>
      <c r="AG21" s="38">
        <f>IF((ዕቁብ!AH23/ቦኖ!$C$4&gt;0),1,0)</f>
        <v>1</v>
      </c>
      <c r="AH21" s="38">
        <f>IF((ዕቁብ!AI23/ቦኖ!$C$4&gt;0),1,0)</f>
        <v>1</v>
      </c>
      <c r="AI21" s="38">
        <f>IF((ዕቁብ!AJ23/ቦኖ!$C$4&gt;0),1,0)</f>
        <v>1</v>
      </c>
      <c r="AJ21" s="38">
        <f>IF((ዕቁብ!AK23/ቦኖ!$C$4&gt;0),1,0)</f>
        <v>1</v>
      </c>
      <c r="AK21" s="38">
        <f>IF((ዕቁብ!AL23/ቦኖ!$C$4&gt;0),1,0)</f>
        <v>0</v>
      </c>
      <c r="AL21" s="38">
        <f>IF((ዕቁብ!AM23/ቦኖ!$C$4&gt;0),1,0)</f>
        <v>1</v>
      </c>
      <c r="AM21" s="38">
        <f>IF((ዕቁብ!AN23/ቦኖ!$C$4&gt;0),1,0)</f>
        <v>1</v>
      </c>
      <c r="AN21" s="38">
        <f>IF((ዕቁብ!AO23/ቦኖ!$C$4&gt;0),1,0)</f>
        <v>1</v>
      </c>
      <c r="AO21" s="38">
        <f>IF((ዕቁብ!AP23/ቦኖ!$C$4&gt;0),1,0)</f>
        <v>1</v>
      </c>
      <c r="AP21" s="38">
        <f>IF((ዕቁብ!AQ23/ቦኖ!$C$4&gt;0),1,0)</f>
        <v>1</v>
      </c>
      <c r="AQ21" s="38">
        <f>IF((ዕቁብ!AR23/ቦኖ!$C$4&gt;0),1,0)</f>
        <v>1</v>
      </c>
      <c r="AR21" s="38">
        <f>IF((ዕቁብ!AS23/ቦኖ!$C$4&gt;0),1,0)</f>
        <v>1</v>
      </c>
      <c r="AS21" s="38">
        <f>IF((ዕቁብ!AT23/ቦኖ!$C$4&gt;0),1,0)</f>
        <v>1</v>
      </c>
      <c r="AT21" s="38">
        <f>IF((ዕቁብ!AU23/ቦኖ!$C$4&gt;0),1,0)</f>
        <v>1</v>
      </c>
      <c r="AU21" s="38">
        <f>IF((ዕቁብ!AV23/ቦኖ!$C$4&gt;0),1,0)</f>
        <v>1</v>
      </c>
      <c r="AV21" s="38">
        <f>IF((ዕቁብ!AW23/ቦኖ!$C$4&gt;0),1,0)</f>
        <v>1</v>
      </c>
      <c r="AW21" s="38">
        <f>IF((ዕቁብ!AX23/ቦኖ!$C$4&gt;0),1,0)</f>
        <v>1</v>
      </c>
      <c r="AX21" s="38">
        <f>IF((ዕቁብ!AY23/ቦኖ!$C$4&gt;0),1,0)</f>
        <v>1</v>
      </c>
      <c r="AY21" s="38">
        <f>IF((ዕቁብ!AZ23/ቦኖ!$C$4&gt;0),1,0)</f>
        <v>1</v>
      </c>
      <c r="AZ21" s="38">
        <f>IF((ዕቁብ!BA23/ቦኖ!$C$4&gt;0),1,0)</f>
        <v>1</v>
      </c>
      <c r="BA21" s="38">
        <f>IF((ዕቁብ!BB23/ቦኖ!$C$4&gt;0),1,0)</f>
        <v>1</v>
      </c>
      <c r="BB21" s="38">
        <f>IF((ዕቁብ!BC23/ቦኖ!$C$4&gt;0),1,0)</f>
        <v>1</v>
      </c>
      <c r="BC21" s="38">
        <f>IF((ዕቁብ!BD23/ቦኖ!$C$4&gt;0),1,0)</f>
        <v>1</v>
      </c>
      <c r="BD21" s="38">
        <f>IF((ዕቁብ!BE23/ቦኖ!$C$4&gt;0),1,0)</f>
        <v>1</v>
      </c>
      <c r="BE21" s="38">
        <f>IF((ዕቁብ!BF23/ቦኖ!$C$4&gt;0),1,0)</f>
        <v>1</v>
      </c>
      <c r="BF21" s="38">
        <f>IF((ዕቁብ!BG23/ቦኖ!$C$4&gt;0),1,0)</f>
        <v>1</v>
      </c>
      <c r="BG21" s="38">
        <f>IF((ዕቁብ!BH23/ቦኖ!$C$4&gt;0),1,0)</f>
        <v>1</v>
      </c>
      <c r="BH21" s="38">
        <f>IF((ዕቁብ!BI23/ቦኖ!$C$4&gt;0),1,0)</f>
        <v>1</v>
      </c>
      <c r="BI21" s="38">
        <f>IF((ዕቁብ!BJ23/ቦኖ!$C$4&gt;0),1,0)</f>
        <v>1</v>
      </c>
      <c r="BJ21" s="38">
        <f>IF((ዕቁብ!BK23/ቦኖ!$C$4&gt;0),1,0)</f>
        <v>1</v>
      </c>
      <c r="BK21" s="38">
        <f>IF((ዕቁብ!BL23/ቦኖ!$C$4&gt;0),1,0)</f>
        <v>1</v>
      </c>
      <c r="BL21" s="38">
        <f>IF((ዕቁብ!BM23/ቦኖ!$C$4&gt;0),1,0)</f>
        <v>1</v>
      </c>
      <c r="BM21" s="38">
        <f>IF((ዕቁብ!BN23/ቦኖ!$C$4&gt;0),1,0)</f>
        <v>1</v>
      </c>
      <c r="BN21" s="38">
        <f>IF((ዕቁብ!BO23/ቦኖ!$C$4&gt;0),1,0)</f>
        <v>1</v>
      </c>
      <c r="BO21" s="38">
        <f>IF((ዕቁብ!BP23/ቦኖ!$C$4&gt;0),1,0)</f>
        <v>1</v>
      </c>
      <c r="BP21" s="38">
        <f>IF((ዕቁብ!BQ23/ቦኖ!$C$4&gt;0),1,0)</f>
        <v>0</v>
      </c>
      <c r="BQ21" s="38">
        <f>IF((ዕቁብ!BR23/ቦኖ!$C$4&gt;0),1,0)</f>
        <v>1</v>
      </c>
      <c r="BR21" s="38">
        <f>IF((ዕቁብ!BS23/ቦኖ!$C$4&gt;0),1,0)</f>
        <v>1</v>
      </c>
      <c r="BS21" s="38">
        <f>IF((ዕቁብ!BT23/ቦኖ!$C$4&gt;0),1,0)</f>
        <v>1</v>
      </c>
      <c r="BT21" s="38">
        <f>IF((ዕቁብ!BU23/ቦኖ!$C$4&gt;0),1,0)</f>
        <v>1</v>
      </c>
      <c r="BU21" s="38">
        <f>IF((ዕቁብ!BV23/ቦኖ!$C$4&gt;0),1,0)</f>
        <v>1</v>
      </c>
      <c r="BV21" s="38">
        <f>IF((ዕቁብ!BW23/ቦኖ!$C$4&gt;0),1,0)</f>
        <v>1</v>
      </c>
      <c r="BW21" s="38">
        <f>IF((ዕቁብ!BX23/ቦኖ!$C$4&gt;0),1,0)</f>
        <v>1</v>
      </c>
      <c r="BX21" s="38">
        <f>IF((ዕቁብ!BY23/ቦኖ!$C$4&gt;0),1,0)</f>
        <v>1</v>
      </c>
      <c r="BY21" s="38">
        <f>IF((ዕቁብ!BZ23/ቦኖ!$C$4&gt;0),1,0)</f>
        <v>1</v>
      </c>
      <c r="BZ21" s="38">
        <f>IF((ዕቁብ!CA23/ቦኖ!$C$4&gt;0),1,0)</f>
        <v>1</v>
      </c>
      <c r="CA21" s="38">
        <f>IF((ዕቁብ!CB23/ቦኖ!$C$4&gt;0),1,0)</f>
        <v>1</v>
      </c>
      <c r="CB21" s="38">
        <f>IF((ዕቁብ!CC23/ቦኖ!$C$4&gt;0),1,0)</f>
        <v>1</v>
      </c>
      <c r="CC21" s="38">
        <f>IF((ዕቁብ!CD23/ቦኖ!$C$4&gt;0),1,0)</f>
        <v>1</v>
      </c>
      <c r="CD21" s="38">
        <f>IF((ዕቁብ!CE23/ቦኖ!$C$4&gt;0),1,0)</f>
        <v>0</v>
      </c>
      <c r="CE21" s="38">
        <f>IF((ዕቁብ!CF23/ቦኖ!$C$4&gt;0),1,0)</f>
        <v>1</v>
      </c>
      <c r="CF21" s="38">
        <f>IF((ዕቁብ!CG23/ቦኖ!$C$4&gt;0),1,0)</f>
        <v>1</v>
      </c>
      <c r="CG21" s="38">
        <f>IF((ዕቁብ!CH23/ቦኖ!$C$4&gt;0),1,0)</f>
        <v>1</v>
      </c>
      <c r="CH21" s="38">
        <f>IF((ዕቁብ!CI23/ቦኖ!$C$4&gt;0),1,0)</f>
        <v>1</v>
      </c>
      <c r="CI21" s="38">
        <f>IF((ዕቁብ!CJ23/ቦኖ!$C$4&gt;0),1,0)</f>
        <v>1</v>
      </c>
      <c r="CJ21" s="38">
        <f>IF((ዕቁብ!CK23/ቦኖ!$C$4&gt;0),1,0)</f>
        <v>1</v>
      </c>
      <c r="CK21" s="38">
        <f>IF((ዕቁብ!CL23/ቦኖ!$C$4&gt;0),1,0)</f>
        <v>0</v>
      </c>
      <c r="CL21" s="38">
        <f>IF((ዕቁብ!CM23/ቦኖ!$C$4&gt;0),1,0)</f>
        <v>1</v>
      </c>
      <c r="CM21" s="38">
        <f>IF((ዕቁብ!CN23/ቦኖ!$C$4&gt;0),1,0)</f>
        <v>1</v>
      </c>
      <c r="CN21" s="38">
        <f>IF((ዕቁብ!CO23/ቦኖ!$C$4&gt;0),1,0)</f>
        <v>1</v>
      </c>
      <c r="CO21" s="38">
        <f>IF((ዕቁብ!CP23/ቦኖ!$C$4&gt;0),1,0)</f>
        <v>1</v>
      </c>
      <c r="CP21" s="38">
        <f>IF((ዕቁብ!CQ23/ቦኖ!$C$4&gt;0),1,0)</f>
        <v>1</v>
      </c>
      <c r="CQ21" s="38">
        <f>IF((ዕቁብ!CR23/ቦኖ!$C$4&gt;0),1,0)</f>
        <v>1</v>
      </c>
      <c r="CR21" s="38">
        <f>IF((ዕቁብ!CS23/ቦኖ!$C$4&gt;0),1,0)</f>
        <v>0</v>
      </c>
      <c r="CS21" s="38">
        <f>IF((ዕቁብ!CT23/ቦኖ!$C$4&gt;0),1,0)</f>
        <v>1</v>
      </c>
      <c r="CT21" s="38">
        <f>IF((ዕቁብ!CU23/ቦኖ!$C$4&gt;0),1,0)</f>
        <v>1</v>
      </c>
      <c r="CU21" s="38">
        <f>IF((ዕቁብ!CV23/ቦኖ!$C$4&gt;0),1,0)</f>
        <v>1</v>
      </c>
      <c r="CV21" s="38">
        <f>IF((ዕቁብ!CW23/ቦኖ!$C$4&gt;0),1,0)</f>
        <v>1</v>
      </c>
      <c r="CW21" s="38">
        <f>IF((ዕቁብ!CX23/ቦኖ!$C$4&gt;0),1,0)</f>
        <v>1</v>
      </c>
      <c r="CX21" s="38">
        <f>IF((ዕቁብ!CY23/ቦኖ!$C$4&gt;0),1,0)</f>
        <v>1</v>
      </c>
      <c r="CY21" s="38">
        <f>IF((ዕቁብ!CZ23/ቦኖ!$C$4&gt;0),1,0)</f>
        <v>1</v>
      </c>
      <c r="CZ21" s="38">
        <f>IF((ዕቁብ!DA23/ቦኖ!$C$4&gt;0),1,0)</f>
        <v>1</v>
      </c>
      <c r="DA21" s="38">
        <f>IF((ዕቁብ!DB23/ቦኖ!$C$4&gt;0),1,0)</f>
        <v>1</v>
      </c>
      <c r="DB21" s="38">
        <f>IF((ዕቁብ!DC23/ቦኖ!$C$4&gt;0),1,0)</f>
        <v>0</v>
      </c>
      <c r="DC21" s="38">
        <f>IF((ዕቁብ!DD23/ቦኖ!$C$4&gt;0),1,0)</f>
        <v>1</v>
      </c>
      <c r="DD21" s="38">
        <f>IF((ዕቁብ!DE23/ቦኖ!$C$4&gt;0),1,0)</f>
        <v>0</v>
      </c>
      <c r="DE21" s="38">
        <f>IF((ዕቁብ!DF23/ቦኖ!$C$4&gt;0),1,0)</f>
        <v>1</v>
      </c>
      <c r="DF21" s="38">
        <f>IF((ዕቁብ!DG23/ቦኖ!$C$4&gt;0),1,0)</f>
        <v>0</v>
      </c>
      <c r="DG21" s="38">
        <f>IF((ዕቁብ!DH23/ቦኖ!$C$4&gt;0),1,0)</f>
        <v>1</v>
      </c>
      <c r="DH21" s="38">
        <f>IF((ዕቁብ!DI23/ቦኖ!$C$4&gt;0),1,0)</f>
        <v>0</v>
      </c>
      <c r="DI21" s="38">
        <f>IF((ዕቁብ!DJ23/ቦኖ!$C$4&gt;0),1,0)</f>
        <v>0</v>
      </c>
      <c r="DJ21" s="38">
        <f>IF((ዕቁብ!DK23/ቦኖ!$C$4&gt;0),1,0)</f>
        <v>0</v>
      </c>
      <c r="DK21" s="38">
        <f>IF((ዕቁብ!DL23/ቦኖ!$C$4&gt;0),1,0)</f>
        <v>0</v>
      </c>
      <c r="DL21" s="38">
        <f>IF((ዕቁብ!DM23/ቦኖ!$C$4&gt;0),1,0)</f>
        <v>0</v>
      </c>
      <c r="DM21" s="38">
        <f>IF((ዕቁብ!DN23/ቦኖ!$C$4&gt;0),1,0)</f>
        <v>0</v>
      </c>
      <c r="DN21" s="38">
        <f>IF((ዕቁብ!DO23/ቦኖ!$C$4&gt;0),1,0)</f>
        <v>0</v>
      </c>
      <c r="DO21" s="38">
        <f>IF((ዕቁብ!DP23/ቦኖ!$C$4&gt;0),1,0)</f>
        <v>0</v>
      </c>
      <c r="DP21" s="38">
        <f>IF((ዕቁብ!DQ23/ቦኖ!$C$4&gt;0),1,0)</f>
        <v>0</v>
      </c>
      <c r="DQ21" s="38">
        <f>IF((ዕቁብ!DR23/ቦኖ!$C$4&gt;0),1,0)</f>
        <v>0</v>
      </c>
    </row>
    <row r="22" spans="1:121" ht="15.75" customHeight="1" x14ac:dyDescent="0.3">
      <c r="A22" s="33">
        <f>ዕቁብ!A24</f>
        <v>19</v>
      </c>
      <c r="B22" s="33" t="str">
        <f>ዕቁብ!B24</f>
        <v xml:space="preserve">አንተነህ ግዛዉ </v>
      </c>
      <c r="C22" s="37">
        <f>ዕቁብ!C24</f>
        <v>10500</v>
      </c>
      <c r="D22" s="38">
        <f>IF((ዕቁብ!E24/ቦኖ!$C$4&gt;0),(1/2),0)</f>
        <v>0.5</v>
      </c>
      <c r="E22" s="38">
        <f>IF((ዕቁብ!F24/ቦኖ!$C$4&gt;0),(1/2),0)</f>
        <v>0.5</v>
      </c>
      <c r="F22" s="38">
        <f>IF((ዕቁብ!G24/ቦኖ!$C$4&gt;0),(1/2),0)</f>
        <v>0.5</v>
      </c>
      <c r="G22" s="38">
        <f>IF((ዕቁብ!H24/ቦኖ!$C$4&gt;0),(1/2),0)</f>
        <v>0.5</v>
      </c>
      <c r="H22" s="38">
        <f>IF((ዕቁብ!I24/ቦኖ!$C$4&gt;0),(1/2),0)</f>
        <v>0.5</v>
      </c>
      <c r="I22" s="38">
        <f>IF((ዕቁብ!J24/ቦኖ!$C$4&gt;0),(1/2),0)</f>
        <v>0.5</v>
      </c>
      <c r="J22" s="38">
        <f>IF((ዕቁብ!K24/ቦኖ!$C$4&gt;0),(1/2),0)</f>
        <v>0.5</v>
      </c>
      <c r="K22" s="38">
        <f>IF((ዕቁብ!L24/ቦኖ!$C$4&gt;0),(1/2),0)</f>
        <v>0.5</v>
      </c>
      <c r="L22" s="38">
        <f>IF((ዕቁብ!M24/ቦኖ!$C$4&gt;0),(1/2),0)</f>
        <v>0.5</v>
      </c>
      <c r="M22" s="38">
        <f>IF((ዕቁብ!N24/ቦኖ!$C$4&gt;0),(1/2),0)</f>
        <v>0.5</v>
      </c>
      <c r="N22" s="38">
        <f>IF((ዕቁብ!O24/ቦኖ!$C$4&gt;0),(1/2),0)</f>
        <v>0.5</v>
      </c>
      <c r="O22" s="38">
        <f>IF((ዕቁብ!P24/ቦኖ!$C$4&gt;0),(1/2),0)</f>
        <v>0.5</v>
      </c>
      <c r="P22" s="38">
        <f>IF((ዕቁብ!Q24/ቦኖ!$C$4&gt;0),(1/2),0)</f>
        <v>0.5</v>
      </c>
      <c r="Q22" s="38">
        <f>IF((ዕቁብ!R24/ቦኖ!$C$4&gt;0),(1/2),0)</f>
        <v>0.5</v>
      </c>
      <c r="R22" s="38">
        <f>IF((ዕቁብ!S24/ቦኖ!$C$4&gt;0),(1/2),0)</f>
        <v>0.5</v>
      </c>
      <c r="S22" s="38">
        <f>IF((ዕቁብ!T24/ቦኖ!$C$4&gt;0),(1/2),0)</f>
        <v>0.5</v>
      </c>
      <c r="T22" s="38">
        <f>IF((ዕቁብ!U24/ቦኖ!$C$4&gt;0),(1/2),0)</f>
        <v>0.5</v>
      </c>
      <c r="U22" s="38">
        <f>IF((ዕቁብ!V24/ቦኖ!$C$4&gt;0),(1/2),0)</f>
        <v>0.5</v>
      </c>
      <c r="V22" s="38">
        <f>IF((ዕቁብ!W24/ቦኖ!$C$4&gt;0),(1/2),0)</f>
        <v>0.5</v>
      </c>
      <c r="W22" s="38">
        <f>IF((ዕቁብ!X24/ቦኖ!$C$4&gt;0),(1/2),0)</f>
        <v>0.5</v>
      </c>
      <c r="X22" s="38">
        <f>IF((ዕቁብ!Y24/ቦኖ!$C$4&gt;0),(1/2),0)</f>
        <v>0.5</v>
      </c>
      <c r="Y22" s="38">
        <f>IF((ዕቁብ!Z24/ቦኖ!$C$4&gt;0),(1/2),0)</f>
        <v>0</v>
      </c>
      <c r="Z22" s="38">
        <f>IF((ዕቁብ!AA24/ቦኖ!$C$4&gt;0),(1/2),0)</f>
        <v>0.5</v>
      </c>
      <c r="AA22" s="38">
        <f>IF((ዕቁብ!AB24/ቦኖ!$C$4&gt;0),(1/2),0)</f>
        <v>0.5</v>
      </c>
      <c r="AB22" s="38">
        <f>IF((ዕቁብ!AC24/ቦኖ!$C$4&gt;0),(1/2),0)</f>
        <v>0.5</v>
      </c>
      <c r="AC22" s="38">
        <f>IF((ዕቁብ!AD24/ቦኖ!$C$4&gt;0),(1/2),0)</f>
        <v>0.5</v>
      </c>
      <c r="AD22" s="38">
        <f>IF((ዕቁብ!AE24/ቦኖ!$C$4&gt;0),(1/2),0)</f>
        <v>0</v>
      </c>
      <c r="AE22" s="38">
        <f>IF((ዕቁብ!AF24/ቦኖ!$C$4&gt;0),(1/2),0)</f>
        <v>0.5</v>
      </c>
      <c r="AF22" s="38">
        <f>IF((ዕቁብ!AG24/ቦኖ!$C$4&gt;0),(1/2),0)</f>
        <v>0.5</v>
      </c>
      <c r="AG22" s="38">
        <f>IF((ዕቁብ!AH24/ቦኖ!$C$4&gt;0),(1/2),0)</f>
        <v>0.5</v>
      </c>
      <c r="AH22" s="38">
        <f>IF((ዕቁብ!AI24/ቦኖ!$C$4&gt;0),(1/2),0)</f>
        <v>0.5</v>
      </c>
      <c r="AI22" s="38">
        <f>IF((ዕቁብ!AJ24/ቦኖ!$C$4&gt;0),(1/2),0)</f>
        <v>0</v>
      </c>
      <c r="AJ22" s="38">
        <f>IF((ዕቁብ!AK24/ቦኖ!$C$4&gt;0),(1/2),0)</f>
        <v>0.5</v>
      </c>
      <c r="AK22" s="38">
        <f>IF((ዕቁብ!AL24/ቦኖ!$C$4&gt;0),(1/2),0)</f>
        <v>0.5</v>
      </c>
      <c r="AL22" s="38">
        <f>IF((ዕቁብ!AM24/ቦኖ!$C$4&gt;0),(1/2),0)</f>
        <v>0.5</v>
      </c>
      <c r="AM22" s="38">
        <f>IF((ዕቁብ!AN24/ቦኖ!$C$4&gt;0),(1/2),0)</f>
        <v>0.5</v>
      </c>
      <c r="AN22" s="38">
        <f>IF((ዕቁብ!AO24/ቦኖ!$C$4&gt;0),(1/2),0)</f>
        <v>0.5</v>
      </c>
      <c r="AO22" s="38">
        <f>IF((ዕቁብ!AP24/ቦኖ!$C$4&gt;0),(1/2),0)</f>
        <v>0.5</v>
      </c>
      <c r="AP22" s="38">
        <f>IF((ዕቁብ!AQ24/ቦኖ!$C$4&gt;0),(1/2),0)</f>
        <v>0</v>
      </c>
      <c r="AQ22" s="38">
        <f>IF((ዕቁብ!AR24/ቦኖ!$C$4&gt;0),(1/2),0)</f>
        <v>0.5</v>
      </c>
      <c r="AR22" s="38">
        <f>IF((ዕቁብ!AS24/ቦኖ!$C$4&gt;0),(1/2),0)</f>
        <v>0.5</v>
      </c>
      <c r="AS22" s="38">
        <f>IF((ዕቁብ!AT24/ቦኖ!$C$4&gt;0),(1/2),0)</f>
        <v>0</v>
      </c>
      <c r="AT22" s="38">
        <f>IF((ዕቁብ!AU24/ቦኖ!$C$4&gt;0),(1/2),0)</f>
        <v>0.5</v>
      </c>
      <c r="AU22" s="38">
        <f>IF((ዕቁብ!AV24/ቦኖ!$C$4&gt;0),(1/2),0)</f>
        <v>0.5</v>
      </c>
      <c r="AV22" s="38">
        <f>IF((ዕቁብ!AW24/ቦኖ!$C$4&gt;0),(1/2),0)</f>
        <v>0.5</v>
      </c>
      <c r="AW22" s="38">
        <f>IF((ዕቁብ!AX24/ቦኖ!$C$4&gt;0),(1/2),0)</f>
        <v>0.5</v>
      </c>
      <c r="AX22" s="38">
        <f>IF((ዕቁብ!AY24/ቦኖ!$C$4&gt;0),(1/2),0)</f>
        <v>0.5</v>
      </c>
      <c r="AY22" s="38">
        <f>IF((ዕቁብ!AZ24/ቦኖ!$C$4&gt;0),(1/2),0)</f>
        <v>0</v>
      </c>
      <c r="AZ22" s="38">
        <f>IF((ዕቁብ!BA24/ቦኖ!$C$4&gt;0),(1/2),0)</f>
        <v>0.5</v>
      </c>
      <c r="BA22" s="38">
        <f>IF((ዕቁብ!BB24/ቦኖ!$C$4&gt;0),(1/2),0)</f>
        <v>0.5</v>
      </c>
      <c r="BB22" s="38">
        <f>IF((ዕቁብ!BC24/ቦኖ!$C$4&gt;0),(1/2),0)</f>
        <v>0.5</v>
      </c>
      <c r="BC22" s="38">
        <f>IF((ዕቁብ!BD24/ቦኖ!$C$4&gt;0),(1/2),0)</f>
        <v>0.5</v>
      </c>
      <c r="BD22" s="38">
        <f>IF((ዕቁብ!BE24/ቦኖ!$C$4&gt;0),(1/2),0)</f>
        <v>0.5</v>
      </c>
      <c r="BE22" s="38">
        <f>IF((ዕቁብ!BF24/ቦኖ!$C$4&gt;0),(1/2),0)</f>
        <v>0.5</v>
      </c>
      <c r="BF22" s="38">
        <f>IF((ዕቁብ!BG24/ቦኖ!$C$4&gt;0),(1/2),0)</f>
        <v>0.5</v>
      </c>
      <c r="BG22" s="38">
        <f>IF((ዕቁብ!BH24/ቦኖ!$C$4&gt;0),(1/2),0)</f>
        <v>0.5</v>
      </c>
      <c r="BH22" s="38">
        <f>IF((ዕቁብ!BI24/ቦኖ!$C$4&gt;0),(1/2),0)</f>
        <v>0.5</v>
      </c>
      <c r="BI22" s="38">
        <f>IF((ዕቁብ!BJ24/ቦኖ!$C$4&gt;0),(1/2),0)</f>
        <v>0.5</v>
      </c>
      <c r="BJ22" s="38">
        <f>IF((ዕቁብ!BK24/ቦኖ!$C$4&gt;0),(1/2),0)</f>
        <v>0.5</v>
      </c>
      <c r="BK22" s="38">
        <f>IF((ዕቁብ!BL24/ቦኖ!$C$4&gt;0),(1/2),0)</f>
        <v>0.5</v>
      </c>
      <c r="BL22" s="38">
        <f>IF((ዕቁብ!BM24/ቦኖ!$C$4&gt;0),(1/2),0)</f>
        <v>0.5</v>
      </c>
      <c r="BM22" s="38">
        <f>IF((ዕቁብ!BN24/ቦኖ!$C$4&gt;0),(1/2),0)</f>
        <v>0.5</v>
      </c>
      <c r="BN22" s="38">
        <f>IF((ዕቁብ!BO24/ቦኖ!$C$4&gt;0),(1/2),0)</f>
        <v>0.5</v>
      </c>
      <c r="BO22" s="38">
        <f>IF((ዕቁብ!BP24/ቦኖ!$C$4&gt;0),(1/2),0)</f>
        <v>0</v>
      </c>
      <c r="BP22" s="38">
        <f>IF((ዕቁብ!BQ24/ቦኖ!$C$4&gt;0),(1/2),0)</f>
        <v>0.5</v>
      </c>
      <c r="BQ22" s="38">
        <f>IF((ዕቁብ!BR24/ቦኖ!$C$4&gt;0),(1/2),0)</f>
        <v>0.5</v>
      </c>
      <c r="BR22" s="38">
        <f>IF((ዕቁብ!BS24/ቦኖ!$C$4&gt;0),(1/2),0)</f>
        <v>0.5</v>
      </c>
      <c r="BS22" s="38">
        <f>IF((ዕቁብ!BT24/ቦኖ!$C$4&gt;0),(1/2),0)</f>
        <v>0</v>
      </c>
      <c r="BT22" s="38">
        <f>IF((ዕቁብ!BU24/ቦኖ!$C$4&gt;0),(1/2),0)</f>
        <v>0.5</v>
      </c>
      <c r="BU22" s="38">
        <f>IF((ዕቁብ!BV24/ቦኖ!$C$4&gt;0),(1/2),0)</f>
        <v>0</v>
      </c>
      <c r="BV22" s="38">
        <f>IF((ዕቁብ!BW24/ቦኖ!$C$4&gt;0),(1/2),0)</f>
        <v>0.5</v>
      </c>
      <c r="BW22" s="38">
        <f>IF((ዕቁብ!BX24/ቦኖ!$C$4&gt;0),(1/2),0)</f>
        <v>0.5</v>
      </c>
      <c r="BX22" s="38">
        <f>IF((ዕቁብ!BY24/ቦኖ!$C$4&gt;0),(1/2),0)</f>
        <v>0.5</v>
      </c>
      <c r="BY22" s="38">
        <f>IF((ዕቁብ!BZ24/ቦኖ!$C$4&gt;0),(1/2),0)</f>
        <v>0.5</v>
      </c>
      <c r="BZ22" s="38">
        <f>IF((ዕቁብ!CA24/ቦኖ!$C$4&gt;0),(1/2),0)</f>
        <v>0.5</v>
      </c>
      <c r="CA22" s="38">
        <f>IF((ዕቁብ!CB24/ቦኖ!$C$4&gt;0),(1/2),0)</f>
        <v>0.5</v>
      </c>
      <c r="CB22" s="38">
        <f>IF((ዕቁብ!CC24/ቦኖ!$C$4&gt;0),(1/2),0)</f>
        <v>0.5</v>
      </c>
      <c r="CC22" s="38">
        <f>IF((ዕቁብ!CD24/ቦኖ!$C$4&gt;0),(1/2),0)</f>
        <v>0.5</v>
      </c>
      <c r="CD22" s="38">
        <f>IF((ዕቁብ!CE24/ቦኖ!$C$4&gt;0),(1/2),0)</f>
        <v>0</v>
      </c>
      <c r="CE22" s="38">
        <f>IF((ዕቁብ!CF24/ቦኖ!$C$4&gt;0),(1/2),0)</f>
        <v>0.5</v>
      </c>
      <c r="CF22" s="38">
        <f>IF((ዕቁብ!CG24/ቦኖ!$C$4&gt;0),(1/2),0)</f>
        <v>0.5</v>
      </c>
      <c r="CG22" s="38">
        <f>IF((ዕቁብ!CH24/ቦኖ!$C$4&gt;0),(1/2),0)</f>
        <v>0.5</v>
      </c>
      <c r="CH22" s="38">
        <f>IF((ዕቁብ!CI24/ቦኖ!$C$4&gt;0),(1/2),0)</f>
        <v>0</v>
      </c>
      <c r="CI22" s="38">
        <f>IF((ዕቁብ!CJ24/ቦኖ!$C$4&gt;0),(1/2),0)</f>
        <v>0.5</v>
      </c>
      <c r="CJ22" s="38">
        <f>IF((ዕቁብ!CK24/ቦኖ!$C$4&gt;0),(1/2),0)</f>
        <v>0.5</v>
      </c>
      <c r="CK22" s="38">
        <f>IF((ዕቁብ!CL24/ቦኖ!$C$4&gt;0),(1/2),0)</f>
        <v>0.5</v>
      </c>
      <c r="CL22" s="38">
        <f>IF((ዕቁብ!CM24/ቦኖ!$C$4&gt;0),(1/2),0)</f>
        <v>0.5</v>
      </c>
      <c r="CM22" s="38">
        <f>IF((ዕቁብ!CN24/ቦኖ!$C$4&gt;0),(1/2),0)</f>
        <v>0.5</v>
      </c>
      <c r="CN22" s="38">
        <f>IF((ዕቁብ!CO24/ቦኖ!$C$4&gt;0),(1/2),0)</f>
        <v>0.5</v>
      </c>
      <c r="CO22" s="38">
        <f>IF((ዕቁብ!CP24/ቦኖ!$C$4&gt;0),(1/2),0)</f>
        <v>0.5</v>
      </c>
      <c r="CP22" s="38">
        <f>IF((ዕቁብ!CQ24/ቦኖ!$C$4&gt;0),(1/2),0)</f>
        <v>0.5</v>
      </c>
      <c r="CQ22" s="38">
        <f>IF((ዕቁብ!CR24/ቦኖ!$C$4&gt;0),(1/2),0)</f>
        <v>0.5</v>
      </c>
      <c r="CR22" s="38">
        <f>IF((ዕቁብ!CS24/ቦኖ!$C$4&gt;0),(1/2),0)</f>
        <v>0.5</v>
      </c>
      <c r="CS22" s="38">
        <f>IF((ዕቁብ!CT24/ቦኖ!$C$4&gt;0),(1/2),0)</f>
        <v>0.5</v>
      </c>
      <c r="CT22" s="38">
        <f>IF((ዕቁብ!CU24/ቦኖ!$C$4&gt;0),(1/2),0)</f>
        <v>0.5</v>
      </c>
      <c r="CU22" s="38">
        <f>IF((ዕቁብ!CV24/ቦኖ!$C$4&gt;0),(1/2),0)</f>
        <v>0.5</v>
      </c>
      <c r="CV22" s="38">
        <f>IF((ዕቁብ!CW24/ቦኖ!$C$4&gt;0),(1/2),0)</f>
        <v>0.5</v>
      </c>
      <c r="CW22" s="38">
        <f>IF((ዕቁብ!CX24/ቦኖ!$C$4&gt;0),(1/2),0)</f>
        <v>0</v>
      </c>
      <c r="CX22" s="38">
        <f>IF((ዕቁብ!CY24/ቦኖ!$C$4&gt;0),(1/2),0)</f>
        <v>0.5</v>
      </c>
      <c r="CY22" s="38">
        <f>IF((ዕቁብ!CZ24/ቦኖ!$C$4&gt;0),(1/2),0)</f>
        <v>0</v>
      </c>
      <c r="CZ22" s="38">
        <f>IF((ዕቁብ!DA24/ቦኖ!$C$4&gt;0),(1/2),0)</f>
        <v>0.5</v>
      </c>
      <c r="DA22" s="38">
        <f>IF((ዕቁብ!DB24/ቦኖ!$C$4&gt;0),(1/2),0)</f>
        <v>0.5</v>
      </c>
      <c r="DB22" s="38">
        <f>IF((ዕቁብ!DC24/ቦኖ!$C$4&gt;0),(1/2),0)</f>
        <v>0</v>
      </c>
      <c r="DC22" s="38">
        <f>IF((ዕቁብ!DD24/ቦኖ!$C$4&gt;0),(1/2),0)</f>
        <v>0</v>
      </c>
      <c r="DD22" s="38">
        <f>IF((ዕቁብ!DE24/ቦኖ!$C$4&gt;0),(1/2),0)</f>
        <v>0.5</v>
      </c>
      <c r="DE22" s="38">
        <f>IF((ዕቁብ!DF24/ቦኖ!$C$4&gt;0),(1/2),0)</f>
        <v>0.5</v>
      </c>
      <c r="DF22" s="38">
        <f>IF((ዕቁብ!DG24/ቦኖ!$C$4&gt;0),(1/2),0)</f>
        <v>0.5</v>
      </c>
      <c r="DG22" s="38">
        <f>IF((ዕቁብ!DH24/ቦኖ!$C$4&gt;0),(1/2),0)</f>
        <v>0.5</v>
      </c>
      <c r="DH22" s="38">
        <f>IF((ዕቁብ!DI24/ቦኖ!$C$4&gt;0),(1/2),0)</f>
        <v>0</v>
      </c>
      <c r="DI22" s="38">
        <f>IF((ዕቁብ!DJ24/ቦኖ!$C$4&gt;0),(1/2),0)</f>
        <v>0</v>
      </c>
      <c r="DJ22" s="38">
        <f>IF((ዕቁብ!DK24/ቦኖ!$C$4&gt;0),(1/2),0)</f>
        <v>0</v>
      </c>
      <c r="DK22" s="38">
        <f>IF((ዕቁብ!DL24/ቦኖ!$C$4&gt;0),(1/2),0)</f>
        <v>0</v>
      </c>
      <c r="DL22" s="38">
        <f>IF((ዕቁብ!DM24/ቦኖ!$C$4&gt;0),(1/2),0)</f>
        <v>0</v>
      </c>
      <c r="DM22" s="38">
        <f>IF((ዕቁብ!DN24/ቦኖ!$C$4&gt;0),(1/2),0)</f>
        <v>0</v>
      </c>
      <c r="DN22" s="38">
        <f>IF((ዕቁብ!DO24/ቦኖ!$C$4&gt;0),(1/2),0)</f>
        <v>0</v>
      </c>
      <c r="DO22" s="38">
        <f>IF((ዕቁብ!DP24/ቦኖ!$C$4&gt;0),(1/2),0)</f>
        <v>0</v>
      </c>
      <c r="DP22" s="38">
        <f>IF((ዕቁብ!DQ24/ቦኖ!$C$4&gt;0),(1/2),0)</f>
        <v>0</v>
      </c>
      <c r="DQ22" s="38">
        <f>IF((ዕቁብ!DR24/ቦኖ!$C$4&gt;0),(1/2),0)</f>
        <v>0</v>
      </c>
    </row>
    <row r="23" spans="1:121" ht="15.75" customHeight="1" x14ac:dyDescent="0.3">
      <c r="A23" s="33">
        <f>ዕቁብ!A25</f>
        <v>19</v>
      </c>
      <c r="B23" s="33" t="str">
        <f>ዕቁብ!B25</f>
        <v>አለማየሁ ገዛህኝ</v>
      </c>
      <c r="C23" s="37">
        <f>ዕቁብ!C25</f>
        <v>10500</v>
      </c>
      <c r="D23" s="38">
        <f>IF((ዕቁብ!E25/ቦኖ!$C$4&gt;0),(1/2),0)</f>
        <v>0.5</v>
      </c>
      <c r="E23" s="38">
        <f>IF((ዕቁብ!F25/ቦኖ!$C$4&gt;0),(1/2),0)</f>
        <v>0.5</v>
      </c>
      <c r="F23" s="38">
        <f>IF((ዕቁብ!G25/ቦኖ!$C$4&gt;0),(1/2),0)</f>
        <v>0.5</v>
      </c>
      <c r="G23" s="38">
        <f>IF((ዕቁብ!H25/ቦኖ!$C$4&gt;0),(1/2),0)</f>
        <v>0.5</v>
      </c>
      <c r="H23" s="38">
        <f>IF((ዕቁብ!I25/ቦኖ!$C$4&gt;0),(1/2),0)</f>
        <v>0.5</v>
      </c>
      <c r="I23" s="38">
        <f>IF((ዕቁብ!J25/ቦኖ!$C$4&gt;0),(1/2),0)</f>
        <v>0.5</v>
      </c>
      <c r="J23" s="38">
        <f>IF((ዕቁብ!K25/ቦኖ!$C$4&gt;0),(1/2),0)</f>
        <v>0.5</v>
      </c>
      <c r="K23" s="38">
        <f>IF((ዕቁብ!L25/ቦኖ!$C$4&gt;0),(1/2),0)</f>
        <v>0.5</v>
      </c>
      <c r="L23" s="38">
        <f>IF((ዕቁብ!M25/ቦኖ!$C$4&gt;0),(1/2),0)</f>
        <v>0.5</v>
      </c>
      <c r="M23" s="38">
        <f>IF((ዕቁብ!N25/ቦኖ!$C$4&gt;0),(1/2),0)</f>
        <v>0.5</v>
      </c>
      <c r="N23" s="38">
        <f>IF((ዕቁብ!O25/ቦኖ!$C$4&gt;0),(1/2),0)</f>
        <v>0.5</v>
      </c>
      <c r="O23" s="38">
        <f>IF((ዕቁብ!P25/ቦኖ!$C$4&gt;0),(1/2),0)</f>
        <v>0.5</v>
      </c>
      <c r="P23" s="38">
        <f>IF((ዕቁብ!Q25/ቦኖ!$C$4&gt;0),(1/2),0)</f>
        <v>0.5</v>
      </c>
      <c r="Q23" s="38">
        <f>IF((ዕቁብ!R25/ቦኖ!$C$4&gt;0),(1/2),0)</f>
        <v>0.5</v>
      </c>
      <c r="R23" s="38">
        <f>IF((ዕቁብ!S25/ቦኖ!$C$4&gt;0),(1/2),0)</f>
        <v>0.5</v>
      </c>
      <c r="S23" s="38">
        <f>IF((ዕቁብ!T25/ቦኖ!$C$4&gt;0),(1/2),0)</f>
        <v>0.5</v>
      </c>
      <c r="T23" s="38">
        <f>IF((ዕቁብ!U25/ቦኖ!$C$4&gt;0),(1/2),0)</f>
        <v>0.5</v>
      </c>
      <c r="U23" s="38">
        <f>IF((ዕቁብ!V25/ቦኖ!$C$4&gt;0),(1/2),0)</f>
        <v>0.5</v>
      </c>
      <c r="V23" s="38">
        <f>IF((ዕቁብ!W25/ቦኖ!$C$4&gt;0),(1/2),0)</f>
        <v>0.5</v>
      </c>
      <c r="W23" s="38">
        <f>IF((ዕቁብ!X25/ቦኖ!$C$4&gt;0),(1/2),0)</f>
        <v>0.5</v>
      </c>
      <c r="X23" s="38">
        <f>IF((ዕቁብ!Y25/ቦኖ!$C$4&gt;0),(1/2),0)</f>
        <v>0.5</v>
      </c>
      <c r="Y23" s="38">
        <f>IF((ዕቁብ!Z25/ቦኖ!$C$4&gt;0),(1/2),0)</f>
        <v>0.5</v>
      </c>
      <c r="Z23" s="38">
        <f>IF((ዕቁብ!AA25/ቦኖ!$C$4&gt;0),(1/2),0)</f>
        <v>0.5</v>
      </c>
      <c r="AA23" s="38">
        <f>IF((ዕቁብ!AB25/ቦኖ!$C$4&gt;0),(1/2),0)</f>
        <v>0.5</v>
      </c>
      <c r="AB23" s="38">
        <f>IF((ዕቁብ!AC25/ቦኖ!$C$4&gt;0),(1/2),0)</f>
        <v>0.5</v>
      </c>
      <c r="AC23" s="38">
        <f>IF((ዕቁብ!AD25/ቦኖ!$C$4&gt;0),(1/2),0)</f>
        <v>0.5</v>
      </c>
      <c r="AD23" s="38">
        <f>IF((ዕቁብ!AE25/ቦኖ!$C$4&gt;0),(1/2),0)</f>
        <v>0.5</v>
      </c>
      <c r="AE23" s="38">
        <f>IF((ዕቁብ!AF25/ቦኖ!$C$4&gt;0),(1/2),0)</f>
        <v>0.5</v>
      </c>
      <c r="AF23" s="38">
        <f>IF((ዕቁብ!AG25/ቦኖ!$C$4&gt;0),(1/2),0)</f>
        <v>0.5</v>
      </c>
      <c r="AG23" s="38">
        <f>IF((ዕቁብ!AH25/ቦኖ!$C$4&gt;0),(1/2),0)</f>
        <v>0.5</v>
      </c>
      <c r="AH23" s="38">
        <f>IF((ዕቁብ!AI25/ቦኖ!$C$4&gt;0),(1/2),0)</f>
        <v>0.5</v>
      </c>
      <c r="AI23" s="38">
        <f>IF((ዕቁብ!AJ25/ቦኖ!$C$4&gt;0),(1/2),0)</f>
        <v>0.5</v>
      </c>
      <c r="AJ23" s="38">
        <f>IF((ዕቁብ!AK25/ቦኖ!$C$4&gt;0),(1/2),0)</f>
        <v>0.5</v>
      </c>
      <c r="AK23" s="38">
        <f>IF((ዕቁብ!AL25/ቦኖ!$C$4&gt;0),(1/2),0)</f>
        <v>0.5</v>
      </c>
      <c r="AL23" s="38">
        <f>IF((ዕቁብ!AM25/ቦኖ!$C$4&gt;0),(1/2),0)</f>
        <v>0.5</v>
      </c>
      <c r="AM23" s="38">
        <f>IF((ዕቁብ!AN25/ቦኖ!$C$4&gt;0),(1/2),0)</f>
        <v>0.5</v>
      </c>
      <c r="AN23" s="38">
        <f>IF((ዕቁብ!AO25/ቦኖ!$C$4&gt;0),(1/2),0)</f>
        <v>0.5</v>
      </c>
      <c r="AO23" s="38">
        <f>IF((ዕቁብ!AP25/ቦኖ!$C$4&gt;0),(1/2),0)</f>
        <v>0.5</v>
      </c>
      <c r="AP23" s="38">
        <f>IF((ዕቁብ!AQ25/ቦኖ!$C$4&gt;0),(1/2),0)</f>
        <v>0.5</v>
      </c>
      <c r="AQ23" s="38">
        <f>IF((ዕቁብ!AR25/ቦኖ!$C$4&gt;0),(1/2),0)</f>
        <v>0.5</v>
      </c>
      <c r="AR23" s="38">
        <f>IF((ዕቁብ!AS25/ቦኖ!$C$4&gt;0),(1/2),0)</f>
        <v>0.5</v>
      </c>
      <c r="AS23" s="38">
        <f>IF((ዕቁብ!AT25/ቦኖ!$C$4&gt;0),(1/2),0)</f>
        <v>0.5</v>
      </c>
      <c r="AT23" s="38">
        <f>IF((ዕቁብ!AU25/ቦኖ!$C$4&gt;0),(1/2),0)</f>
        <v>0.5</v>
      </c>
      <c r="AU23" s="38">
        <f>IF((ዕቁብ!AV25/ቦኖ!$C$4&gt;0),(1/2),0)</f>
        <v>0.5</v>
      </c>
      <c r="AV23" s="38">
        <f>IF((ዕቁብ!AW25/ቦኖ!$C$4&gt;0),(1/2),0)</f>
        <v>0.5</v>
      </c>
      <c r="AW23" s="38">
        <f>IF((ዕቁብ!AX25/ቦኖ!$C$4&gt;0),(1/2),0)</f>
        <v>0.5</v>
      </c>
      <c r="AX23" s="38">
        <f>IF((ዕቁብ!AY25/ቦኖ!$C$4&gt;0),(1/2),0)</f>
        <v>0.5</v>
      </c>
      <c r="AY23" s="38">
        <f>IF((ዕቁብ!AZ25/ቦኖ!$C$4&gt;0),(1/2),0)</f>
        <v>0.5</v>
      </c>
      <c r="AZ23" s="38">
        <f>IF((ዕቁብ!BA25/ቦኖ!$C$4&gt;0),(1/2),0)</f>
        <v>0.5</v>
      </c>
      <c r="BA23" s="38">
        <f>IF((ዕቁብ!BB25/ቦኖ!$C$4&gt;0),(1/2),0)</f>
        <v>0.5</v>
      </c>
      <c r="BB23" s="38">
        <f>IF((ዕቁብ!BC25/ቦኖ!$C$4&gt;0),(1/2),0)</f>
        <v>0.5</v>
      </c>
      <c r="BC23" s="38">
        <f>IF((ዕቁብ!BD25/ቦኖ!$C$4&gt;0),(1/2),0)</f>
        <v>0</v>
      </c>
      <c r="BD23" s="38">
        <f>IF((ዕቁብ!BE25/ቦኖ!$C$4&gt;0),(1/2),0)</f>
        <v>0.5</v>
      </c>
      <c r="BE23" s="38">
        <f>IF((ዕቁብ!BF25/ቦኖ!$C$4&gt;0),(1/2),0)</f>
        <v>0.5</v>
      </c>
      <c r="BF23" s="38">
        <f>IF((ዕቁብ!BG25/ቦኖ!$C$4&gt;0),(1/2),0)</f>
        <v>0.5</v>
      </c>
      <c r="BG23" s="38">
        <f>IF((ዕቁብ!BH25/ቦኖ!$C$4&gt;0),(1/2),0)</f>
        <v>0.5</v>
      </c>
      <c r="BH23" s="38">
        <f>IF((ዕቁብ!BI25/ቦኖ!$C$4&gt;0),(1/2),0)</f>
        <v>0.5</v>
      </c>
      <c r="BI23" s="38">
        <f>IF((ዕቁብ!BJ25/ቦኖ!$C$4&gt;0),(1/2),0)</f>
        <v>0.5</v>
      </c>
      <c r="BJ23" s="38">
        <f>IF((ዕቁብ!BK25/ቦኖ!$C$4&gt;0),(1/2),0)</f>
        <v>0.5</v>
      </c>
      <c r="BK23" s="38">
        <f>IF((ዕቁብ!BL25/ቦኖ!$C$4&gt;0),(1/2),0)</f>
        <v>0.5</v>
      </c>
      <c r="BL23" s="38">
        <f>IF((ዕቁብ!BM25/ቦኖ!$C$4&gt;0),(1/2),0)</f>
        <v>0.5</v>
      </c>
      <c r="BM23" s="38">
        <f>IF((ዕቁብ!BN25/ቦኖ!$C$4&gt;0),(1/2),0)</f>
        <v>0.5</v>
      </c>
      <c r="BN23" s="38">
        <f>IF((ዕቁብ!BO25/ቦኖ!$C$4&gt;0),(1/2),0)</f>
        <v>0.5</v>
      </c>
      <c r="BO23" s="38">
        <f>IF((ዕቁብ!BP25/ቦኖ!$C$4&gt;0),(1/2),0)</f>
        <v>0.5</v>
      </c>
      <c r="BP23" s="38">
        <f>IF((ዕቁብ!BQ25/ቦኖ!$C$4&gt;0),(1/2),0)</f>
        <v>0.5</v>
      </c>
      <c r="BQ23" s="38">
        <f>IF((ዕቁብ!BR25/ቦኖ!$C$4&gt;0),(1/2),0)</f>
        <v>0.5</v>
      </c>
      <c r="BR23" s="38">
        <f>IF((ዕቁብ!BS25/ቦኖ!$C$4&gt;0),(1/2),0)</f>
        <v>0.5</v>
      </c>
      <c r="BS23" s="38">
        <f>IF((ዕቁብ!BT25/ቦኖ!$C$4&gt;0),(1/2),0)</f>
        <v>0.5</v>
      </c>
      <c r="BT23" s="38">
        <f>IF((ዕቁብ!BU25/ቦኖ!$C$4&gt;0),(1/2),0)</f>
        <v>0.5</v>
      </c>
      <c r="BU23" s="38">
        <f>IF((ዕቁብ!BV25/ቦኖ!$C$4&gt;0),(1/2),0)</f>
        <v>0.5</v>
      </c>
      <c r="BV23" s="38">
        <f>IF((ዕቁብ!BW25/ቦኖ!$C$4&gt;0),(1/2),0)</f>
        <v>0.5</v>
      </c>
      <c r="BW23" s="38">
        <f>IF((ዕቁብ!BX25/ቦኖ!$C$4&gt;0),(1/2),0)</f>
        <v>0.5</v>
      </c>
      <c r="BX23" s="38">
        <f>IF((ዕቁብ!BY25/ቦኖ!$C$4&gt;0),(1/2),0)</f>
        <v>0.5</v>
      </c>
      <c r="BY23" s="38">
        <f>IF((ዕቁብ!BZ25/ቦኖ!$C$4&gt;0),(1/2),0)</f>
        <v>0.5</v>
      </c>
      <c r="BZ23" s="38">
        <f>IF((ዕቁብ!CA25/ቦኖ!$C$4&gt;0),(1/2),0)</f>
        <v>0.5</v>
      </c>
      <c r="CA23" s="38">
        <f>IF((ዕቁብ!CB25/ቦኖ!$C$4&gt;0),(1/2),0)</f>
        <v>0.5</v>
      </c>
      <c r="CB23" s="38">
        <f>IF((ዕቁብ!CC25/ቦኖ!$C$4&gt;0),(1/2),0)</f>
        <v>0.5</v>
      </c>
      <c r="CC23" s="38">
        <f>IF((ዕቁብ!CD25/ቦኖ!$C$4&gt;0),(1/2),0)</f>
        <v>0.5</v>
      </c>
      <c r="CD23" s="38">
        <f>IF((ዕቁብ!CE25/ቦኖ!$C$4&gt;0),(1/2),0)</f>
        <v>0.5</v>
      </c>
      <c r="CE23" s="38">
        <f>IF((ዕቁብ!CF25/ቦኖ!$C$4&gt;0),(1/2),0)</f>
        <v>0.5</v>
      </c>
      <c r="CF23" s="38">
        <f>IF((ዕቁብ!CG25/ቦኖ!$C$4&gt;0),(1/2),0)</f>
        <v>0.5</v>
      </c>
      <c r="CG23" s="38">
        <f>IF((ዕቁብ!CH25/ቦኖ!$C$4&gt;0),(1/2),0)</f>
        <v>0.5</v>
      </c>
      <c r="CH23" s="38">
        <f>IF((ዕቁብ!CI25/ቦኖ!$C$4&gt;0),(1/2),0)</f>
        <v>0.5</v>
      </c>
      <c r="CI23" s="38">
        <f>IF((ዕቁብ!CJ25/ቦኖ!$C$4&gt;0),(1/2),0)</f>
        <v>0.5</v>
      </c>
      <c r="CJ23" s="38">
        <f>IF((ዕቁብ!CK25/ቦኖ!$C$4&gt;0),(1/2),0)</f>
        <v>0.5</v>
      </c>
      <c r="CK23" s="38">
        <f>IF((ዕቁብ!CL25/ቦኖ!$C$4&gt;0),(1/2),0)</f>
        <v>0.5</v>
      </c>
      <c r="CL23" s="38">
        <f>IF((ዕቁብ!CM25/ቦኖ!$C$4&gt;0),(1/2),0)</f>
        <v>0.5</v>
      </c>
      <c r="CM23" s="38">
        <f>IF((ዕቁብ!CN25/ቦኖ!$C$4&gt;0),(1/2),0)</f>
        <v>0.5</v>
      </c>
      <c r="CN23" s="38">
        <f>IF((ዕቁብ!CO25/ቦኖ!$C$4&gt;0),(1/2),0)</f>
        <v>0.5</v>
      </c>
      <c r="CO23" s="38">
        <f>IF((ዕቁብ!CP25/ቦኖ!$C$4&gt;0),(1/2),0)</f>
        <v>0</v>
      </c>
      <c r="CP23" s="38">
        <f>IF((ዕቁብ!CQ25/ቦኖ!$C$4&gt;0),(1/2),0)</f>
        <v>0.5</v>
      </c>
      <c r="CQ23" s="38">
        <f>IF((ዕቁብ!CR25/ቦኖ!$C$4&gt;0),(1/2),0)</f>
        <v>0.5</v>
      </c>
      <c r="CR23" s="38">
        <f>IF((ዕቁብ!CS25/ቦኖ!$C$4&gt;0),(1/2),0)</f>
        <v>0.5</v>
      </c>
      <c r="CS23" s="38">
        <f>IF((ዕቁብ!CT25/ቦኖ!$C$4&gt;0),(1/2),0)</f>
        <v>0.5</v>
      </c>
      <c r="CT23" s="38">
        <f>IF((ዕቁብ!CU25/ቦኖ!$C$4&gt;0),(1/2),0)</f>
        <v>0.5</v>
      </c>
      <c r="CU23" s="38">
        <f>IF((ዕቁብ!CV25/ቦኖ!$C$4&gt;0),(1/2),0)</f>
        <v>0.5</v>
      </c>
      <c r="CV23" s="38">
        <f>IF((ዕቁብ!CW25/ቦኖ!$C$4&gt;0),(1/2),0)</f>
        <v>0.5</v>
      </c>
      <c r="CW23" s="38">
        <f>IF((ዕቁብ!CX25/ቦኖ!$C$4&gt;0),(1/2),0)</f>
        <v>0.5</v>
      </c>
      <c r="CX23" s="38">
        <f>IF((ዕቁብ!CY25/ቦኖ!$C$4&gt;0),(1/2),0)</f>
        <v>0.5</v>
      </c>
      <c r="CY23" s="38">
        <f>IF((ዕቁብ!CZ25/ቦኖ!$C$4&gt;0),(1/2),0)</f>
        <v>0.5</v>
      </c>
      <c r="CZ23" s="38">
        <f>IF((ዕቁብ!DA25/ቦኖ!$C$4&gt;0),(1/2),0)</f>
        <v>0.5</v>
      </c>
      <c r="DA23" s="38">
        <f>IF((ዕቁብ!DB25/ቦኖ!$C$4&gt;0),(1/2),0)</f>
        <v>0.5</v>
      </c>
      <c r="DB23" s="38">
        <f>IF((ዕቁብ!DC25/ቦኖ!$C$4&gt;0),(1/2),0)</f>
        <v>0.5</v>
      </c>
      <c r="DC23" s="38">
        <f>IF((ዕቁብ!DD25/ቦኖ!$C$4&gt;0),(1/2),0)</f>
        <v>0.5</v>
      </c>
      <c r="DD23" s="38">
        <f>IF((ዕቁብ!DE25/ቦኖ!$C$4&gt;0),(1/2),0)</f>
        <v>0.5</v>
      </c>
      <c r="DE23" s="38">
        <f>IF((ዕቁብ!DF25/ቦኖ!$C$4&gt;0),(1/2),0)</f>
        <v>0.5</v>
      </c>
      <c r="DF23" s="38">
        <f>IF((ዕቁብ!DG25/ቦኖ!$C$4&gt;0),(1/2),0)</f>
        <v>0.5</v>
      </c>
      <c r="DG23" s="38">
        <f>IF((ዕቁብ!DH25/ቦኖ!$C$4&gt;0),(1/2),0)</f>
        <v>0.5</v>
      </c>
      <c r="DH23" s="38">
        <f>IF((ዕቁብ!DI25/ቦኖ!$C$4&gt;0),(1/2),0)</f>
        <v>0</v>
      </c>
      <c r="DI23" s="38">
        <f>IF((ዕቁብ!DJ25/ቦኖ!$C$4&gt;0),(1/2),0)</f>
        <v>0</v>
      </c>
      <c r="DJ23" s="38">
        <f>IF((ዕቁብ!DK25/ቦኖ!$C$4&gt;0),(1/2),0)</f>
        <v>0</v>
      </c>
      <c r="DK23" s="38">
        <f>IF((ዕቁብ!DL25/ቦኖ!$C$4&gt;0),(1/2),0)</f>
        <v>0</v>
      </c>
      <c r="DL23" s="38">
        <f>IF((ዕቁብ!DM25/ቦኖ!$C$4&gt;0),(1/2),0)</f>
        <v>0</v>
      </c>
      <c r="DM23" s="38">
        <f>IF((ዕቁብ!DN25/ቦኖ!$C$4&gt;0),(1/2),0)</f>
        <v>0</v>
      </c>
      <c r="DN23" s="38">
        <f>IF((ዕቁብ!DO25/ቦኖ!$C$4&gt;0),(1/2),0)</f>
        <v>0</v>
      </c>
      <c r="DO23" s="38">
        <f>IF((ዕቁብ!DP25/ቦኖ!$C$4&gt;0),(1/2),0)</f>
        <v>0</v>
      </c>
      <c r="DP23" s="38">
        <f>IF((ዕቁብ!DQ25/ቦኖ!$C$4&gt;0),(1/2),0)</f>
        <v>0</v>
      </c>
      <c r="DQ23" s="38">
        <f>IF((ዕቁብ!DR25/ቦኖ!$C$4&gt;0),(1/2),0)</f>
        <v>0</v>
      </c>
    </row>
    <row r="24" spans="1:121" ht="15.75" customHeight="1" x14ac:dyDescent="0.3">
      <c r="A24" s="33">
        <f>ዕቁብ!A26</f>
        <v>20</v>
      </c>
      <c r="B24" s="33" t="str">
        <f>ዕቁብ!B26</f>
        <v>ሻምበል ቦንጃ</v>
      </c>
      <c r="C24" s="37">
        <f>ዕቁብ!C26</f>
        <v>21000</v>
      </c>
      <c r="D24" s="38">
        <f>IF((ዕቁብ!E26/ቦኖ!$C$4&gt;0),1,0)</f>
        <v>1</v>
      </c>
      <c r="E24" s="38">
        <f>IF((ዕቁብ!F26/ቦኖ!$C$4&gt;0),1,0)</f>
        <v>1</v>
      </c>
      <c r="F24" s="38">
        <f>IF((ዕቁብ!G26/ቦኖ!$C$4&gt;0),1,0)</f>
        <v>1</v>
      </c>
      <c r="G24" s="38">
        <f>IF((ዕቁብ!H26/ቦኖ!$C$4&gt;0),1,0)</f>
        <v>1</v>
      </c>
      <c r="H24" s="38">
        <f>IF((ዕቁብ!I26/ቦኖ!$C$4&gt;0),1,0)</f>
        <v>1</v>
      </c>
      <c r="I24" s="38">
        <f>IF((ዕቁብ!J26/ቦኖ!$C$4&gt;0),1,0)</f>
        <v>1</v>
      </c>
      <c r="J24" s="38">
        <f>IF((ዕቁብ!K26/ቦኖ!$C$4&gt;0),1,0)</f>
        <v>1</v>
      </c>
      <c r="K24" s="38">
        <f>IF((ዕቁብ!L26/ቦኖ!$C$4&gt;0),1,0)</f>
        <v>1</v>
      </c>
      <c r="L24" s="38">
        <f>IF((ዕቁብ!M26/ቦኖ!$C$4&gt;0),1,0)</f>
        <v>1</v>
      </c>
      <c r="M24" s="38">
        <f>IF((ዕቁብ!N26/ቦኖ!$C$4&gt;0),1,0)</f>
        <v>1</v>
      </c>
      <c r="N24" s="38">
        <f>IF((ዕቁብ!O26/ቦኖ!$C$4&gt;0),1,0)</f>
        <v>1</v>
      </c>
      <c r="O24" s="38">
        <f>IF((ዕቁብ!P26/ቦኖ!$C$4&gt;0),1,0)</f>
        <v>1</v>
      </c>
      <c r="P24" s="38">
        <f>IF((ዕቁብ!Q26/ቦኖ!$C$4&gt;0),1,0)</f>
        <v>1</v>
      </c>
      <c r="Q24" s="38">
        <f>IF((ዕቁብ!R26/ቦኖ!$C$4&gt;0),1,0)</f>
        <v>1</v>
      </c>
      <c r="R24" s="38">
        <f>IF((ዕቁብ!S26/ቦኖ!$C$4&gt;0),1,0)</f>
        <v>1</v>
      </c>
      <c r="S24" s="38">
        <f>IF((ዕቁብ!T26/ቦኖ!$C$4&gt;0),1,0)</f>
        <v>1</v>
      </c>
      <c r="T24" s="38">
        <f>IF((ዕቁብ!U26/ቦኖ!$C$4&gt;0),1,0)</f>
        <v>1</v>
      </c>
      <c r="U24" s="38">
        <f>IF((ዕቁብ!V26/ቦኖ!$C$4&gt;0),1,0)</f>
        <v>1</v>
      </c>
      <c r="V24" s="38">
        <f>IF((ዕቁብ!W26/ቦኖ!$C$4&gt;0),1,0)</f>
        <v>1</v>
      </c>
      <c r="W24" s="38">
        <f>IF((ዕቁብ!X26/ቦኖ!$C$4&gt;0),1,0)</f>
        <v>1</v>
      </c>
      <c r="X24" s="38">
        <f>IF((ዕቁብ!Y26/ቦኖ!$C$4&gt;0),1,0)</f>
        <v>1</v>
      </c>
      <c r="Y24" s="38">
        <f>IF((ዕቁብ!Z26/ቦኖ!$C$4&gt;0),1,0)</f>
        <v>1</v>
      </c>
      <c r="Z24" s="38">
        <f>IF((ዕቁብ!AA26/ቦኖ!$C$4&gt;0),1,0)</f>
        <v>1</v>
      </c>
      <c r="AA24" s="38">
        <f>IF((ዕቁብ!AB26/ቦኖ!$C$4&gt;0),1,0)</f>
        <v>1</v>
      </c>
      <c r="AB24" s="38">
        <f>IF((ዕቁብ!AC26/ቦኖ!$C$4&gt;0),1,0)</f>
        <v>1</v>
      </c>
      <c r="AC24" s="38">
        <f>IF((ዕቁብ!AD26/ቦኖ!$C$4&gt;0),1,0)</f>
        <v>1</v>
      </c>
      <c r="AD24" s="38">
        <f>IF((ዕቁብ!AE26/ቦኖ!$C$4&gt;0),1,0)</f>
        <v>1</v>
      </c>
      <c r="AE24" s="38">
        <f>IF((ዕቁብ!AF26/ቦኖ!$C$4&gt;0),1,0)</f>
        <v>0</v>
      </c>
      <c r="AF24" s="38">
        <f>IF((ዕቁብ!AG26/ቦኖ!$C$4&gt;0),1,0)</f>
        <v>1</v>
      </c>
      <c r="AG24" s="38">
        <f>IF((ዕቁብ!AH26/ቦኖ!$C$4&gt;0),1,0)</f>
        <v>1</v>
      </c>
      <c r="AH24" s="38">
        <f>IF((ዕቁብ!AI26/ቦኖ!$C$4&gt;0),1,0)</f>
        <v>1</v>
      </c>
      <c r="AI24" s="38">
        <f>IF((ዕቁብ!AJ26/ቦኖ!$C$4&gt;0),1,0)</f>
        <v>1</v>
      </c>
      <c r="AJ24" s="38">
        <f>IF((ዕቁብ!AK26/ቦኖ!$C$4&gt;0),1,0)</f>
        <v>1</v>
      </c>
      <c r="AK24" s="38">
        <f>IF((ዕቁብ!AL26/ቦኖ!$C$4&gt;0),1,0)</f>
        <v>1</v>
      </c>
      <c r="AL24" s="38">
        <f>IF((ዕቁብ!AM26/ቦኖ!$C$4&gt;0),1,0)</f>
        <v>0</v>
      </c>
      <c r="AM24" s="38">
        <f>IF((ዕቁብ!AN26/ቦኖ!$C$4&gt;0),1,0)</f>
        <v>1</v>
      </c>
      <c r="AN24" s="38">
        <f>IF((ዕቁብ!AO26/ቦኖ!$C$4&gt;0),1,0)</f>
        <v>1</v>
      </c>
      <c r="AO24" s="38">
        <f>IF((ዕቁብ!AP26/ቦኖ!$C$4&gt;0),1,0)</f>
        <v>1</v>
      </c>
      <c r="AP24" s="38">
        <f>IF((ዕቁብ!AQ26/ቦኖ!$C$4&gt;0),1,0)</f>
        <v>1</v>
      </c>
      <c r="AQ24" s="38">
        <f>IF((ዕቁብ!AR26/ቦኖ!$C$4&gt;0),1,0)</f>
        <v>1</v>
      </c>
      <c r="AR24" s="38">
        <f>IF((ዕቁብ!AS26/ቦኖ!$C$4&gt;0),1,0)</f>
        <v>0</v>
      </c>
      <c r="AS24" s="38">
        <f>IF((ዕቁብ!AT26/ቦኖ!$C$4&gt;0),1,0)</f>
        <v>1</v>
      </c>
      <c r="AT24" s="38">
        <f>IF((ዕቁብ!AU26/ቦኖ!$C$4&gt;0),1,0)</f>
        <v>0</v>
      </c>
      <c r="AU24" s="38">
        <f>IF((ዕቁብ!AV26/ቦኖ!$C$4&gt;0),1,0)</f>
        <v>1</v>
      </c>
      <c r="AV24" s="38">
        <f>IF((ዕቁብ!AW26/ቦኖ!$C$4&gt;0),1,0)</f>
        <v>1</v>
      </c>
      <c r="AW24" s="38">
        <f>IF((ዕቁብ!AX26/ቦኖ!$C$4&gt;0),1,0)</f>
        <v>1</v>
      </c>
      <c r="AX24" s="38">
        <f>IF((ዕቁብ!AY26/ቦኖ!$C$4&gt;0),1,0)</f>
        <v>0</v>
      </c>
      <c r="AY24" s="38">
        <f>IF((ዕቁብ!AZ26/ቦኖ!$C$4&gt;0),1,0)</f>
        <v>1</v>
      </c>
      <c r="AZ24" s="38">
        <f>IF((ዕቁብ!BA26/ቦኖ!$C$4&gt;0),1,0)</f>
        <v>0</v>
      </c>
      <c r="BA24" s="38">
        <f>IF((ዕቁብ!BB26/ቦኖ!$C$4&gt;0),1,0)</f>
        <v>1</v>
      </c>
      <c r="BB24" s="38">
        <f>IF((ዕቁብ!BC26/ቦኖ!$C$4&gt;0),1,0)</f>
        <v>1</v>
      </c>
      <c r="BC24" s="38">
        <f>IF((ዕቁብ!BD26/ቦኖ!$C$4&gt;0),1,0)</f>
        <v>0</v>
      </c>
      <c r="BD24" s="38">
        <f>IF((ዕቁብ!BE26/ቦኖ!$C$4&gt;0),1,0)</f>
        <v>1</v>
      </c>
      <c r="BE24" s="38">
        <f>IF((ዕቁብ!BF26/ቦኖ!$C$4&gt;0),1,0)</f>
        <v>0</v>
      </c>
      <c r="BF24" s="38">
        <f>IF((ዕቁብ!BG26/ቦኖ!$C$4&gt;0),1,0)</f>
        <v>1</v>
      </c>
      <c r="BG24" s="38">
        <f>IF((ዕቁብ!BH26/ቦኖ!$C$4&gt;0),1,0)</f>
        <v>1</v>
      </c>
      <c r="BH24" s="38">
        <f>IF((ዕቁብ!BI26/ቦኖ!$C$4&gt;0),1,0)</f>
        <v>1</v>
      </c>
      <c r="BI24" s="38">
        <f>IF((ዕቁብ!BJ26/ቦኖ!$C$4&gt;0),1,0)</f>
        <v>1</v>
      </c>
      <c r="BJ24" s="38">
        <f>IF((ዕቁብ!BK26/ቦኖ!$C$4&gt;0),1,0)</f>
        <v>1</v>
      </c>
      <c r="BK24" s="38">
        <f>IF((ዕቁብ!BL26/ቦኖ!$C$4&gt;0),1,0)</f>
        <v>1</v>
      </c>
      <c r="BL24" s="38">
        <f>IF((ዕቁብ!BM26/ቦኖ!$C$4&gt;0),1,0)</f>
        <v>1</v>
      </c>
      <c r="BM24" s="38">
        <f>IF((ዕቁብ!BN26/ቦኖ!$C$4&gt;0),1,0)</f>
        <v>0</v>
      </c>
      <c r="BN24" s="38">
        <f>IF((ዕቁብ!BO26/ቦኖ!$C$4&gt;0),1,0)</f>
        <v>1</v>
      </c>
      <c r="BO24" s="38">
        <f>IF((ዕቁብ!BP26/ቦኖ!$C$4&gt;0),1,0)</f>
        <v>1</v>
      </c>
      <c r="BP24" s="38">
        <f>IF((ዕቁብ!BQ26/ቦኖ!$C$4&gt;0),1,0)</f>
        <v>1</v>
      </c>
      <c r="BQ24" s="38">
        <f>IF((ዕቁብ!BR26/ቦኖ!$C$4&gt;0),1,0)</f>
        <v>0</v>
      </c>
      <c r="BR24" s="38">
        <f>IF((ዕቁብ!BS26/ቦኖ!$C$4&gt;0),1,0)</f>
        <v>1</v>
      </c>
      <c r="BS24" s="38">
        <f>IF((ዕቁብ!BT26/ቦኖ!$C$4&gt;0),1,0)</f>
        <v>1</v>
      </c>
      <c r="BT24" s="38">
        <f>IF((ዕቁብ!BU26/ቦኖ!$C$4&gt;0),1,0)</f>
        <v>0</v>
      </c>
      <c r="BU24" s="38">
        <f>IF((ዕቁብ!BV26/ቦኖ!$C$4&gt;0),1,0)</f>
        <v>0</v>
      </c>
      <c r="BV24" s="38">
        <f>IF((ዕቁብ!BW26/ቦኖ!$C$4&gt;0),1,0)</f>
        <v>1</v>
      </c>
      <c r="BW24" s="38">
        <f>IF((ዕቁብ!BX26/ቦኖ!$C$4&gt;0),1,0)</f>
        <v>0</v>
      </c>
      <c r="BX24" s="38">
        <f>IF((ዕቁብ!BY26/ቦኖ!$C$4&gt;0),1,0)</f>
        <v>1</v>
      </c>
      <c r="BY24" s="38">
        <f>IF((ዕቁብ!BZ26/ቦኖ!$C$4&gt;0),1,0)</f>
        <v>0</v>
      </c>
      <c r="BZ24" s="38">
        <f>IF((ዕቁብ!CA26/ቦኖ!$C$4&gt;0),1,0)</f>
        <v>0</v>
      </c>
      <c r="CA24" s="38">
        <f>IF((ዕቁብ!CB26/ቦኖ!$C$4&gt;0),1,0)</f>
        <v>1</v>
      </c>
      <c r="CB24" s="38">
        <f>IF((ዕቁብ!CC26/ቦኖ!$C$4&gt;0),1,0)</f>
        <v>1</v>
      </c>
      <c r="CC24" s="38">
        <f>IF((ዕቁብ!CD26/ቦኖ!$C$4&gt;0),1,0)</f>
        <v>1</v>
      </c>
      <c r="CD24" s="38">
        <f>IF((ዕቁብ!CE26/ቦኖ!$C$4&gt;0),1,0)</f>
        <v>0</v>
      </c>
      <c r="CE24" s="38">
        <f>IF((ዕቁብ!CF26/ቦኖ!$C$4&gt;0),1,0)</f>
        <v>0</v>
      </c>
      <c r="CF24" s="38">
        <f>IF((ዕቁብ!CG26/ቦኖ!$C$4&gt;0),1,0)</f>
        <v>1</v>
      </c>
      <c r="CG24" s="38">
        <f>IF((ዕቁብ!CH26/ቦኖ!$C$4&gt;0),1,0)</f>
        <v>1</v>
      </c>
      <c r="CH24" s="38">
        <f>IF((ዕቁብ!CI26/ቦኖ!$C$4&gt;0),1,0)</f>
        <v>1</v>
      </c>
      <c r="CI24" s="38">
        <f>IF((ዕቁብ!CJ26/ቦኖ!$C$4&gt;0),1,0)</f>
        <v>1</v>
      </c>
      <c r="CJ24" s="38">
        <f>IF((ዕቁብ!CK26/ቦኖ!$C$4&gt;0),1,0)</f>
        <v>0</v>
      </c>
      <c r="CK24" s="38">
        <f>IF((ዕቁብ!CL26/ቦኖ!$C$4&gt;0),1,0)</f>
        <v>0</v>
      </c>
      <c r="CL24" s="38">
        <f>IF((ዕቁብ!CM26/ቦኖ!$C$4&gt;0),1,0)</f>
        <v>1</v>
      </c>
      <c r="CM24" s="38">
        <f>IF((ዕቁብ!CN26/ቦኖ!$C$4&gt;0),1,0)</f>
        <v>0</v>
      </c>
      <c r="CN24" s="38">
        <f>IF((ዕቁብ!CO26/ቦኖ!$C$4&gt;0),1,0)</f>
        <v>0</v>
      </c>
      <c r="CO24" s="38">
        <f>IF((ዕቁብ!CP26/ቦኖ!$C$4&gt;0),1,0)</f>
        <v>1</v>
      </c>
      <c r="CP24" s="38">
        <f>IF((ዕቁብ!CQ26/ቦኖ!$C$4&gt;0),1,0)</f>
        <v>0</v>
      </c>
      <c r="CQ24" s="38">
        <f>IF((ዕቁብ!CR26/ቦኖ!$C$4&gt;0),1,0)</f>
        <v>1</v>
      </c>
      <c r="CR24" s="38">
        <f>IF((ዕቁብ!CS26/ቦኖ!$C$4&gt;0),1,0)</f>
        <v>1</v>
      </c>
      <c r="CS24" s="38">
        <f>IF((ዕቁብ!CT26/ቦኖ!$C$4&gt;0),1,0)</f>
        <v>0</v>
      </c>
      <c r="CT24" s="38">
        <f>IF((ዕቁብ!CU26/ቦኖ!$C$4&gt;0),1,0)</f>
        <v>1</v>
      </c>
      <c r="CU24" s="38">
        <f>IF((ዕቁብ!CV26/ቦኖ!$C$4&gt;0),1,0)</f>
        <v>0</v>
      </c>
      <c r="CV24" s="38">
        <f>IF((ዕቁብ!CW26/ቦኖ!$C$4&gt;0),1,0)</f>
        <v>1</v>
      </c>
      <c r="CW24" s="38">
        <f>IF((ዕቁብ!CX26/ቦኖ!$C$4&gt;0),1,0)</f>
        <v>0</v>
      </c>
      <c r="CX24" s="38">
        <f>IF((ዕቁብ!CY26/ቦኖ!$C$4&gt;0),1,0)</f>
        <v>1</v>
      </c>
      <c r="CY24" s="38">
        <f>IF((ዕቁብ!CZ26/ቦኖ!$C$4&gt;0),1,0)</f>
        <v>0</v>
      </c>
      <c r="CZ24" s="38">
        <f>IF((ዕቁብ!DA26/ቦኖ!$C$4&gt;0),1,0)</f>
        <v>1</v>
      </c>
      <c r="DA24" s="38">
        <f>IF((ዕቁብ!DB26/ቦኖ!$C$4&gt;0),1,0)</f>
        <v>1</v>
      </c>
      <c r="DB24" s="38">
        <f>IF((ዕቁብ!DC26/ቦኖ!$C$4&gt;0),1,0)</f>
        <v>0</v>
      </c>
      <c r="DC24" s="38">
        <f>IF((ዕቁብ!DD26/ቦኖ!$C$4&gt;0),1,0)</f>
        <v>1</v>
      </c>
      <c r="DD24" s="38">
        <f>IF((ዕቁብ!DE26/ቦኖ!$C$4&gt;0),1,0)</f>
        <v>0</v>
      </c>
      <c r="DE24" s="38">
        <f>IF((ዕቁብ!DF26/ቦኖ!$C$4&gt;0),1,0)</f>
        <v>1</v>
      </c>
      <c r="DF24" s="38">
        <f>IF((ዕቁብ!DG26/ቦኖ!$C$4&gt;0),1,0)</f>
        <v>0</v>
      </c>
      <c r="DG24" s="38">
        <f>IF((ዕቁብ!DH26/ቦኖ!$C$4&gt;0),1,0)</f>
        <v>1</v>
      </c>
      <c r="DH24" s="38">
        <f>IF((ዕቁብ!DI26/ቦኖ!$C$4&gt;0),1,0)</f>
        <v>0</v>
      </c>
      <c r="DI24" s="38">
        <f>IF((ዕቁብ!DJ26/ቦኖ!$C$4&gt;0),1,0)</f>
        <v>0</v>
      </c>
      <c r="DJ24" s="38">
        <f>IF((ዕቁብ!DK26/ቦኖ!$C$4&gt;0),1,0)</f>
        <v>0</v>
      </c>
      <c r="DK24" s="38">
        <f>IF((ዕቁብ!DL26/ቦኖ!$C$4&gt;0),1,0)</f>
        <v>0</v>
      </c>
      <c r="DL24" s="38">
        <f>IF((ዕቁብ!DM26/ቦኖ!$C$4&gt;0),1,0)</f>
        <v>0</v>
      </c>
      <c r="DM24" s="38">
        <f>IF((ዕቁብ!DN26/ቦኖ!$C$4&gt;0),1,0)</f>
        <v>0</v>
      </c>
      <c r="DN24" s="38">
        <f>IF((ዕቁብ!DO26/ቦኖ!$C$4&gt;0),1,0)</f>
        <v>0</v>
      </c>
      <c r="DO24" s="38">
        <f>IF((ዕቁብ!DP26/ቦኖ!$C$4&gt;0),1,0)</f>
        <v>0</v>
      </c>
      <c r="DP24" s="38">
        <f>IF((ዕቁብ!DQ26/ቦኖ!$C$4&gt;0),1,0)</f>
        <v>0</v>
      </c>
      <c r="DQ24" s="38">
        <f>IF((ዕቁብ!DR26/ቦኖ!$C$4&gt;0),1,0)</f>
        <v>0</v>
      </c>
    </row>
    <row r="25" spans="1:121" ht="15.75" customHeight="1" x14ac:dyDescent="0.3">
      <c r="A25" s="33">
        <f>ዕቁብ!A27</f>
        <v>21</v>
      </c>
      <c r="B25" s="33" t="str">
        <f>ዕቁብ!B27</f>
        <v>ማተጎ አመኖ</v>
      </c>
      <c r="C25" s="37">
        <f>ዕቁብ!C27</f>
        <v>21000</v>
      </c>
      <c r="D25" s="38">
        <f>IF((ዕቁብ!E27/ቦኖ!$C$4&gt;0),1,0)</f>
        <v>1</v>
      </c>
      <c r="E25" s="38">
        <f>IF((ዕቁብ!F27/ቦኖ!$C$4&gt;0),1,0)</f>
        <v>1</v>
      </c>
      <c r="F25" s="38">
        <f>IF((ዕቁብ!G27/ቦኖ!$C$4&gt;0),1,0)</f>
        <v>1</v>
      </c>
      <c r="G25" s="38">
        <f>IF((ዕቁብ!H27/ቦኖ!$C$4&gt;0),1,0)</f>
        <v>1</v>
      </c>
      <c r="H25" s="38">
        <f>IF((ዕቁብ!I27/ቦኖ!$C$4&gt;0),1,0)</f>
        <v>1</v>
      </c>
      <c r="I25" s="38">
        <f>IF((ዕቁብ!J27/ቦኖ!$C$4&gt;0),1,0)</f>
        <v>1</v>
      </c>
      <c r="J25" s="38">
        <f>IF((ዕቁብ!K27/ቦኖ!$C$4&gt;0),1,0)</f>
        <v>1</v>
      </c>
      <c r="K25" s="38">
        <f>IF((ዕቁብ!L27/ቦኖ!$C$4&gt;0),1,0)</f>
        <v>1</v>
      </c>
      <c r="L25" s="38">
        <f>IF((ዕቁብ!M27/ቦኖ!$C$4&gt;0),1,0)</f>
        <v>1</v>
      </c>
      <c r="M25" s="38">
        <f>IF((ዕቁብ!N27/ቦኖ!$C$4&gt;0),1,0)</f>
        <v>1</v>
      </c>
      <c r="N25" s="38">
        <f>IF((ዕቁብ!O27/ቦኖ!$C$4&gt;0),1,0)</f>
        <v>1</v>
      </c>
      <c r="O25" s="38">
        <f>IF((ዕቁብ!P27/ቦኖ!$C$4&gt;0),1,0)</f>
        <v>1</v>
      </c>
      <c r="P25" s="38">
        <f>IF((ዕቁብ!Q27/ቦኖ!$C$4&gt;0),1,0)</f>
        <v>1</v>
      </c>
      <c r="Q25" s="38">
        <f>IF((ዕቁብ!R27/ቦኖ!$C$4&gt;0),1,0)</f>
        <v>1</v>
      </c>
      <c r="R25" s="38">
        <f>IF((ዕቁብ!S27/ቦኖ!$C$4&gt;0),1,0)</f>
        <v>1</v>
      </c>
      <c r="S25" s="38">
        <f>IF((ዕቁብ!T27/ቦኖ!$C$4&gt;0),1,0)</f>
        <v>1</v>
      </c>
      <c r="T25" s="38">
        <f>IF((ዕቁብ!U27/ቦኖ!$C$4&gt;0),1,0)</f>
        <v>1</v>
      </c>
      <c r="U25" s="38">
        <f>IF((ዕቁብ!V27/ቦኖ!$C$4&gt;0),1,0)</f>
        <v>1</v>
      </c>
      <c r="V25" s="38">
        <f>IF((ዕቁብ!W27/ቦኖ!$C$4&gt;0),1,0)</f>
        <v>1</v>
      </c>
      <c r="W25" s="38">
        <f>IF((ዕቁብ!X27/ቦኖ!$C$4&gt;0),1,0)</f>
        <v>0</v>
      </c>
      <c r="X25" s="38">
        <f>IF((ዕቁብ!Y27/ቦኖ!$C$4&gt;0),1,0)</f>
        <v>1</v>
      </c>
      <c r="Y25" s="38">
        <f>IF((ዕቁብ!Z27/ቦኖ!$C$4&gt;0),1,0)</f>
        <v>1</v>
      </c>
      <c r="Z25" s="38">
        <f>IF((ዕቁብ!AA27/ቦኖ!$C$4&gt;0),1,0)</f>
        <v>1</v>
      </c>
      <c r="AA25" s="38">
        <f>IF((ዕቁብ!AB27/ቦኖ!$C$4&gt;0),1,0)</f>
        <v>0</v>
      </c>
      <c r="AB25" s="38">
        <f>IF((ዕቁብ!AC27/ቦኖ!$C$4&gt;0),1,0)</f>
        <v>1</v>
      </c>
      <c r="AC25" s="38">
        <f>IF((ዕቁብ!AD27/ቦኖ!$C$4&gt;0),1,0)</f>
        <v>1</v>
      </c>
      <c r="AD25" s="38">
        <f>IF((ዕቁብ!AE27/ቦኖ!$C$4&gt;0),1,0)</f>
        <v>1</v>
      </c>
      <c r="AE25" s="38">
        <f>IF((ዕቁብ!AF27/ቦኖ!$C$4&gt;0),1,0)</f>
        <v>0</v>
      </c>
      <c r="AF25" s="38">
        <f>IF((ዕቁብ!AG27/ቦኖ!$C$4&gt;0),1,0)</f>
        <v>1</v>
      </c>
      <c r="AG25" s="38">
        <f>IF((ዕቁብ!AH27/ቦኖ!$C$4&gt;0),1,0)</f>
        <v>1</v>
      </c>
      <c r="AH25" s="38">
        <f>IF((ዕቁብ!AI27/ቦኖ!$C$4&gt;0),1,0)</f>
        <v>1</v>
      </c>
      <c r="AI25" s="38">
        <f>IF((ዕቁብ!AJ27/ቦኖ!$C$4&gt;0),1,0)</f>
        <v>0</v>
      </c>
      <c r="AJ25" s="38">
        <f>IF((ዕቁብ!AK27/ቦኖ!$C$4&gt;0),1,0)</f>
        <v>1</v>
      </c>
      <c r="AK25" s="38">
        <f>IF((ዕቁብ!AL27/ቦኖ!$C$4&gt;0),1,0)</f>
        <v>1</v>
      </c>
      <c r="AL25" s="38">
        <f>IF((ዕቁብ!AM27/ቦኖ!$C$4&gt;0),1,0)</f>
        <v>1</v>
      </c>
      <c r="AM25" s="38">
        <f>IF((ዕቁብ!AN27/ቦኖ!$C$4&gt;0),1,0)</f>
        <v>1</v>
      </c>
      <c r="AN25" s="38">
        <f>IF((ዕቁብ!AO27/ቦኖ!$C$4&gt;0),1,0)</f>
        <v>1</v>
      </c>
      <c r="AO25" s="38">
        <f>IF((ዕቁብ!AP27/ቦኖ!$C$4&gt;0),1,0)</f>
        <v>1</v>
      </c>
      <c r="AP25" s="38">
        <f>IF((ዕቁብ!AQ27/ቦኖ!$C$4&gt;0),1,0)</f>
        <v>1</v>
      </c>
      <c r="AQ25" s="38">
        <f>IF((ዕቁብ!AR27/ቦኖ!$C$4&gt;0),1,0)</f>
        <v>1</v>
      </c>
      <c r="AR25" s="38">
        <f>IF((ዕቁብ!AS27/ቦኖ!$C$4&gt;0),1,0)</f>
        <v>1</v>
      </c>
      <c r="AS25" s="38">
        <f>IF((ዕቁብ!AT27/ቦኖ!$C$4&gt;0),1,0)</f>
        <v>1</v>
      </c>
      <c r="AT25" s="38">
        <f>IF((ዕቁብ!AU27/ቦኖ!$C$4&gt;0),1,0)</f>
        <v>1</v>
      </c>
      <c r="AU25" s="38">
        <f>IF((ዕቁብ!AV27/ቦኖ!$C$4&gt;0),1,0)</f>
        <v>1</v>
      </c>
      <c r="AV25" s="38">
        <f>IF((ዕቁብ!AW27/ቦኖ!$C$4&gt;0),1,0)</f>
        <v>1</v>
      </c>
      <c r="AW25" s="38">
        <f>IF((ዕቁብ!AX27/ቦኖ!$C$4&gt;0),1,0)</f>
        <v>1</v>
      </c>
      <c r="AX25" s="38">
        <f>IF((ዕቁብ!AY27/ቦኖ!$C$4&gt;0),1,0)</f>
        <v>1</v>
      </c>
      <c r="AY25" s="38">
        <f>IF((ዕቁብ!AZ27/ቦኖ!$C$4&gt;0),1,0)</f>
        <v>0</v>
      </c>
      <c r="AZ25" s="38">
        <f>IF((ዕቁብ!BA27/ቦኖ!$C$4&gt;0),1,0)</f>
        <v>1</v>
      </c>
      <c r="BA25" s="38">
        <f>IF((ዕቁብ!BB27/ቦኖ!$C$4&gt;0),1,0)</f>
        <v>1</v>
      </c>
      <c r="BB25" s="38">
        <f>IF((ዕቁብ!BC27/ቦኖ!$C$4&gt;0),1,0)</f>
        <v>1</v>
      </c>
      <c r="BC25" s="38">
        <f>IF((ዕቁብ!BD27/ቦኖ!$C$4&gt;0),1,0)</f>
        <v>0</v>
      </c>
      <c r="BD25" s="38">
        <f>IF((ዕቁብ!BE27/ቦኖ!$C$4&gt;0),1,0)</f>
        <v>1</v>
      </c>
      <c r="BE25" s="38">
        <f>IF((ዕቁብ!BF27/ቦኖ!$C$4&gt;0),1,0)</f>
        <v>1</v>
      </c>
      <c r="BF25" s="38">
        <f>IF((ዕቁብ!BG27/ቦኖ!$C$4&gt;0),1,0)</f>
        <v>1</v>
      </c>
      <c r="BG25" s="38">
        <f>IF((ዕቁብ!BH27/ቦኖ!$C$4&gt;0),1,0)</f>
        <v>0</v>
      </c>
      <c r="BH25" s="38">
        <f>IF((ዕቁብ!BI27/ቦኖ!$C$4&gt;0),1,0)</f>
        <v>1</v>
      </c>
      <c r="BI25" s="38">
        <f>IF((ዕቁብ!BJ27/ቦኖ!$C$4&gt;0),1,0)</f>
        <v>1</v>
      </c>
      <c r="BJ25" s="38">
        <f>IF((ዕቁብ!BK27/ቦኖ!$C$4&gt;0),1,0)</f>
        <v>1</v>
      </c>
      <c r="BK25" s="38">
        <f>IF((ዕቁብ!BL27/ቦኖ!$C$4&gt;0),1,0)</f>
        <v>0</v>
      </c>
      <c r="BL25" s="38">
        <f>IF((ዕቁብ!BM27/ቦኖ!$C$4&gt;0),1,0)</f>
        <v>1</v>
      </c>
      <c r="BM25" s="38">
        <f>IF((ዕቁብ!BN27/ቦኖ!$C$4&gt;0),1,0)</f>
        <v>1</v>
      </c>
      <c r="BN25" s="38">
        <f>IF((ዕቁብ!BO27/ቦኖ!$C$4&gt;0),1,0)</f>
        <v>1</v>
      </c>
      <c r="BO25" s="38">
        <f>IF((ዕቁብ!BP27/ቦኖ!$C$4&gt;0),1,0)</f>
        <v>0</v>
      </c>
      <c r="BP25" s="38">
        <f>IF((ዕቁብ!BQ27/ቦኖ!$C$4&gt;0),1,0)</f>
        <v>1</v>
      </c>
      <c r="BQ25" s="38">
        <f>IF((ዕቁብ!BR27/ቦኖ!$C$4&gt;0),1,0)</f>
        <v>1</v>
      </c>
      <c r="BR25" s="38">
        <f>IF((ዕቁብ!BS27/ቦኖ!$C$4&gt;0),1,0)</f>
        <v>1</v>
      </c>
      <c r="BS25" s="38">
        <f>IF((ዕቁብ!BT27/ቦኖ!$C$4&gt;0),1,0)</f>
        <v>0</v>
      </c>
      <c r="BT25" s="38">
        <f>IF((ዕቁብ!BU27/ቦኖ!$C$4&gt;0),1,0)</f>
        <v>1</v>
      </c>
      <c r="BU25" s="38">
        <f>IF((ዕቁብ!BV27/ቦኖ!$C$4&gt;0),1,0)</f>
        <v>1</v>
      </c>
      <c r="BV25" s="38">
        <f>IF((ዕቁብ!BW27/ቦኖ!$C$4&gt;0),1,0)</f>
        <v>1</v>
      </c>
      <c r="BW25" s="38">
        <f>IF((ዕቁብ!BX27/ቦኖ!$C$4&gt;0),1,0)</f>
        <v>1</v>
      </c>
      <c r="BX25" s="38">
        <f>IF((ዕቁብ!BY27/ቦኖ!$C$4&gt;0),1,0)</f>
        <v>1</v>
      </c>
      <c r="BY25" s="38">
        <f>IF((ዕቁብ!BZ27/ቦኖ!$C$4&gt;0),1,0)</f>
        <v>1</v>
      </c>
      <c r="BZ25" s="38">
        <f>IF((ዕቁብ!CA27/ቦኖ!$C$4&gt;0),1,0)</f>
        <v>1</v>
      </c>
      <c r="CA25" s="38">
        <f>IF((ዕቁብ!CB27/ቦኖ!$C$4&gt;0),1,0)</f>
        <v>1</v>
      </c>
      <c r="CB25" s="38">
        <f>IF((ዕቁብ!CC27/ቦኖ!$C$4&gt;0),1,0)</f>
        <v>1</v>
      </c>
      <c r="CC25" s="38">
        <f>IF((ዕቁብ!CD27/ቦኖ!$C$4&gt;0),1,0)</f>
        <v>1</v>
      </c>
      <c r="CD25" s="38">
        <f>IF((ዕቁብ!CE27/ቦኖ!$C$4&gt;0),1,0)</f>
        <v>0</v>
      </c>
      <c r="CE25" s="38">
        <f>IF((ዕቁብ!CF27/ቦኖ!$C$4&gt;0),1,0)</f>
        <v>1</v>
      </c>
      <c r="CF25" s="38">
        <f>IF((ዕቁብ!CG27/ቦኖ!$C$4&gt;0),1,0)</f>
        <v>1</v>
      </c>
      <c r="CG25" s="38">
        <f>IF((ዕቁብ!CH27/ቦኖ!$C$4&gt;0),1,0)</f>
        <v>1</v>
      </c>
      <c r="CH25" s="38">
        <f>IF((ዕቁብ!CI27/ቦኖ!$C$4&gt;0),1,0)</f>
        <v>1</v>
      </c>
      <c r="CI25" s="38">
        <f>IF((ዕቁብ!CJ27/ቦኖ!$C$4&gt;0),1,0)</f>
        <v>1</v>
      </c>
      <c r="CJ25" s="38">
        <f>IF((ዕቁብ!CK27/ቦኖ!$C$4&gt;0),1,0)</f>
        <v>1</v>
      </c>
      <c r="CK25" s="38">
        <f>IF((ዕቁብ!CL27/ቦኖ!$C$4&gt;0),1,0)</f>
        <v>1</v>
      </c>
      <c r="CL25" s="38">
        <f>IF((ዕቁብ!CM27/ቦኖ!$C$4&gt;0),1,0)</f>
        <v>1</v>
      </c>
      <c r="CM25" s="38">
        <f>IF((ዕቁብ!CN27/ቦኖ!$C$4&gt;0),1,0)</f>
        <v>1</v>
      </c>
      <c r="CN25" s="38">
        <f>IF((ዕቁብ!CO27/ቦኖ!$C$4&gt;0),1,0)</f>
        <v>1</v>
      </c>
      <c r="CO25" s="38">
        <f>IF((ዕቁብ!CP27/ቦኖ!$C$4&gt;0),1,0)</f>
        <v>1</v>
      </c>
      <c r="CP25" s="38">
        <f>IF((ዕቁብ!CQ27/ቦኖ!$C$4&gt;0),1,0)</f>
        <v>1</v>
      </c>
      <c r="CQ25" s="38">
        <f>IF((ዕቁብ!CR27/ቦኖ!$C$4&gt;0),1,0)</f>
        <v>0</v>
      </c>
      <c r="CR25" s="38">
        <f>IF((ዕቁብ!CS27/ቦኖ!$C$4&gt;0),1,0)</f>
        <v>1</v>
      </c>
      <c r="CS25" s="38">
        <f>IF((ዕቁብ!CT27/ቦኖ!$C$4&gt;0),1,0)</f>
        <v>1</v>
      </c>
      <c r="CT25" s="38">
        <f>IF((ዕቁብ!CU27/ቦኖ!$C$4&gt;0),1,0)</f>
        <v>1</v>
      </c>
      <c r="CU25" s="38">
        <f>IF((ዕቁብ!CV27/ቦኖ!$C$4&gt;0),1,0)</f>
        <v>1</v>
      </c>
      <c r="CV25" s="38">
        <f>IF((ዕቁብ!CW27/ቦኖ!$C$4&gt;0),1,0)</f>
        <v>1</v>
      </c>
      <c r="CW25" s="38">
        <f>IF((ዕቁብ!CX27/ቦኖ!$C$4&gt;0),1,0)</f>
        <v>1</v>
      </c>
      <c r="CX25" s="38">
        <f>IF((ዕቁብ!CY27/ቦኖ!$C$4&gt;0),1,0)</f>
        <v>1</v>
      </c>
      <c r="CY25" s="38">
        <f>IF((ዕቁብ!CZ27/ቦኖ!$C$4&gt;0),1,0)</f>
        <v>0</v>
      </c>
      <c r="CZ25" s="38">
        <f>IF((ዕቁብ!DA27/ቦኖ!$C$4&gt;0),1,0)</f>
        <v>1</v>
      </c>
      <c r="DA25" s="38">
        <f>IF((ዕቁብ!DB27/ቦኖ!$C$4&gt;0),1,0)</f>
        <v>1</v>
      </c>
      <c r="DB25" s="38">
        <f>IF((ዕቁብ!DC27/ቦኖ!$C$4&gt;0),1,0)</f>
        <v>1</v>
      </c>
      <c r="DC25" s="38">
        <f>IF((ዕቁብ!DD27/ቦኖ!$C$4&gt;0),1,0)</f>
        <v>0</v>
      </c>
      <c r="DD25" s="38">
        <f>IF((ዕቁብ!DE27/ቦኖ!$C$4&gt;0),1,0)</f>
        <v>1</v>
      </c>
      <c r="DE25" s="38">
        <f>IF((ዕቁብ!DF27/ቦኖ!$C$4&gt;0),1,0)</f>
        <v>1</v>
      </c>
      <c r="DF25" s="38">
        <f>IF((ዕቁብ!DG27/ቦኖ!$C$4&gt;0),1,0)</f>
        <v>1</v>
      </c>
      <c r="DG25" s="38">
        <f>IF((ዕቁብ!DH27/ቦኖ!$C$4&gt;0),1,0)</f>
        <v>1</v>
      </c>
      <c r="DH25" s="38">
        <f>IF((ዕቁብ!DI27/ቦኖ!$C$4&gt;0),1,0)</f>
        <v>0</v>
      </c>
      <c r="DI25" s="38">
        <f>IF((ዕቁብ!DJ27/ቦኖ!$C$4&gt;0),1,0)</f>
        <v>0</v>
      </c>
      <c r="DJ25" s="38">
        <f>IF((ዕቁብ!DK27/ቦኖ!$C$4&gt;0),1,0)</f>
        <v>0</v>
      </c>
      <c r="DK25" s="38">
        <f>IF((ዕቁብ!DL27/ቦኖ!$C$4&gt;0),1,0)</f>
        <v>0</v>
      </c>
      <c r="DL25" s="38">
        <f>IF((ዕቁብ!DM27/ቦኖ!$C$4&gt;0),1,0)</f>
        <v>0</v>
      </c>
      <c r="DM25" s="38">
        <f>IF((ዕቁብ!DN27/ቦኖ!$C$4&gt;0),1,0)</f>
        <v>0</v>
      </c>
      <c r="DN25" s="38">
        <f>IF((ዕቁብ!DO27/ቦኖ!$C$4&gt;0),1,0)</f>
        <v>0</v>
      </c>
      <c r="DO25" s="38">
        <f>IF((ዕቁብ!DP27/ቦኖ!$C$4&gt;0),1,0)</f>
        <v>0</v>
      </c>
      <c r="DP25" s="38">
        <f>IF((ዕቁብ!DQ27/ቦኖ!$C$4&gt;0),1,0)</f>
        <v>0</v>
      </c>
      <c r="DQ25" s="38">
        <f>IF((ዕቁብ!DR27/ቦኖ!$C$4&gt;0),1,0)</f>
        <v>0</v>
      </c>
    </row>
    <row r="26" spans="1:121" ht="15.75" customHeight="1" x14ac:dyDescent="0.3">
      <c r="A26" s="33">
        <f>ዕቁብ!A28</f>
        <v>22</v>
      </c>
      <c r="B26" s="33" t="str">
        <f>ዕቁብ!B28</f>
        <v>ማሩ እርቅይሁን</v>
      </c>
      <c r="C26" s="37">
        <f>ዕቁብ!C28</f>
        <v>21000</v>
      </c>
      <c r="D26" s="38">
        <f>IF((ዕቁብ!E28/ቦኖ!$C$4&gt;0),1,0)</f>
        <v>1</v>
      </c>
      <c r="E26" s="38">
        <f>IF((ዕቁብ!F28/ቦኖ!$C$4&gt;0),1,0)</f>
        <v>1</v>
      </c>
      <c r="F26" s="38">
        <f>IF((ዕቁብ!G28/ቦኖ!$C$4&gt;0),1,0)</f>
        <v>1</v>
      </c>
      <c r="G26" s="38">
        <f>IF((ዕቁብ!H28/ቦኖ!$C$4&gt;0),1,0)</f>
        <v>1</v>
      </c>
      <c r="H26" s="38">
        <f>IF((ዕቁብ!I28/ቦኖ!$C$4&gt;0),1,0)</f>
        <v>1</v>
      </c>
      <c r="I26" s="38">
        <f>IF((ዕቁብ!J28/ቦኖ!$C$4&gt;0),1,0)</f>
        <v>1</v>
      </c>
      <c r="J26" s="38">
        <f>IF((ዕቁብ!K28/ቦኖ!$C$4&gt;0),1,0)</f>
        <v>1</v>
      </c>
      <c r="K26" s="38">
        <f>IF((ዕቁብ!L28/ቦኖ!$C$4&gt;0),1,0)</f>
        <v>1</v>
      </c>
      <c r="L26" s="38">
        <f>IF((ዕቁብ!M28/ቦኖ!$C$4&gt;0),1,0)</f>
        <v>1</v>
      </c>
      <c r="M26" s="38">
        <f>IF((ዕቁብ!N28/ቦኖ!$C$4&gt;0),1,0)</f>
        <v>1</v>
      </c>
      <c r="N26" s="38">
        <f>IF((ዕቁብ!O28/ቦኖ!$C$4&gt;0),1,0)</f>
        <v>1</v>
      </c>
      <c r="O26" s="38">
        <f>IF((ዕቁብ!P28/ቦኖ!$C$4&gt;0),1,0)</f>
        <v>1</v>
      </c>
      <c r="P26" s="38">
        <f>IF((ዕቁብ!Q28/ቦኖ!$C$4&gt;0),1,0)</f>
        <v>1</v>
      </c>
      <c r="Q26" s="38">
        <f>IF((ዕቁብ!R28/ቦኖ!$C$4&gt;0),1,0)</f>
        <v>1</v>
      </c>
      <c r="R26" s="38">
        <f>IF((ዕቁብ!S28/ቦኖ!$C$4&gt;0),1,0)</f>
        <v>1</v>
      </c>
      <c r="S26" s="38">
        <f>IF((ዕቁብ!T28/ቦኖ!$C$4&gt;0),1,0)</f>
        <v>1</v>
      </c>
      <c r="T26" s="38">
        <f>IF((ዕቁብ!U28/ቦኖ!$C$4&gt;0),1,0)</f>
        <v>1</v>
      </c>
      <c r="U26" s="38">
        <f>IF((ዕቁብ!V28/ቦኖ!$C$4&gt;0),1,0)</f>
        <v>1</v>
      </c>
      <c r="V26" s="38">
        <f>IF((ዕቁብ!W28/ቦኖ!$C$4&gt;0),1,0)</f>
        <v>1</v>
      </c>
      <c r="W26" s="38">
        <f>IF((ዕቁብ!X28/ቦኖ!$C$4&gt;0),1,0)</f>
        <v>1</v>
      </c>
      <c r="X26" s="38">
        <f>IF((ዕቁብ!Y28/ቦኖ!$C$4&gt;0),1,0)</f>
        <v>1</v>
      </c>
      <c r="Y26" s="38">
        <f>IF((ዕቁብ!Z28/ቦኖ!$C$4&gt;0),1,0)</f>
        <v>1</v>
      </c>
      <c r="Z26" s="38">
        <f>IF((ዕቁብ!AA28/ቦኖ!$C$4&gt;0),1,0)</f>
        <v>1</v>
      </c>
      <c r="AA26" s="38">
        <f>IF((ዕቁብ!AB28/ቦኖ!$C$4&gt;0),1,0)</f>
        <v>1</v>
      </c>
      <c r="AB26" s="38">
        <f>IF((ዕቁብ!AC28/ቦኖ!$C$4&gt;0),1,0)</f>
        <v>1</v>
      </c>
      <c r="AC26" s="38">
        <f>IF((ዕቁብ!AD28/ቦኖ!$C$4&gt;0),1,0)</f>
        <v>1</v>
      </c>
      <c r="AD26" s="38">
        <f>IF((ዕቁብ!AE28/ቦኖ!$C$4&gt;0),1,0)</f>
        <v>1</v>
      </c>
      <c r="AE26" s="38">
        <f>IF((ዕቁብ!AF28/ቦኖ!$C$4&gt;0),1,0)</f>
        <v>1</v>
      </c>
      <c r="AF26" s="38">
        <f>IF((ዕቁብ!AG28/ቦኖ!$C$4&gt;0),1,0)</f>
        <v>1</v>
      </c>
      <c r="AG26" s="38">
        <f>IF((ዕቁብ!AH28/ቦኖ!$C$4&gt;0),1,0)</f>
        <v>1</v>
      </c>
      <c r="AH26" s="38">
        <f>IF((ዕቁብ!AI28/ቦኖ!$C$4&gt;0),1,0)</f>
        <v>1</v>
      </c>
      <c r="AI26" s="38">
        <f>IF((ዕቁብ!AJ28/ቦኖ!$C$4&gt;0),1,0)</f>
        <v>1</v>
      </c>
      <c r="AJ26" s="38">
        <f>IF((ዕቁብ!AK28/ቦኖ!$C$4&gt;0),1,0)</f>
        <v>1</v>
      </c>
      <c r="AK26" s="38">
        <f>IF((ዕቁብ!AL28/ቦኖ!$C$4&gt;0),1,0)</f>
        <v>1</v>
      </c>
      <c r="AL26" s="38">
        <f>IF((ዕቁብ!AM28/ቦኖ!$C$4&gt;0),1,0)</f>
        <v>1</v>
      </c>
      <c r="AM26" s="38">
        <f>IF((ዕቁብ!AN28/ቦኖ!$C$4&gt;0),1,0)</f>
        <v>1</v>
      </c>
      <c r="AN26" s="38">
        <f>IF((ዕቁብ!AO28/ቦኖ!$C$4&gt;0),1,0)</f>
        <v>1</v>
      </c>
      <c r="AO26" s="38">
        <f>IF((ዕቁብ!AP28/ቦኖ!$C$4&gt;0),1,0)</f>
        <v>0</v>
      </c>
      <c r="AP26" s="38">
        <f>IF((ዕቁብ!AQ28/ቦኖ!$C$4&gt;0),1,0)</f>
        <v>1</v>
      </c>
      <c r="AQ26" s="38">
        <f>IF((ዕቁብ!AR28/ቦኖ!$C$4&gt;0),1,0)</f>
        <v>1</v>
      </c>
      <c r="AR26" s="38">
        <f>IF((ዕቁብ!AS28/ቦኖ!$C$4&gt;0),1,0)</f>
        <v>1</v>
      </c>
      <c r="AS26" s="38">
        <f>IF((ዕቁብ!AT28/ቦኖ!$C$4&gt;0),1,0)</f>
        <v>1</v>
      </c>
      <c r="AT26" s="38">
        <f>IF((ዕቁብ!AU28/ቦኖ!$C$4&gt;0),1,0)</f>
        <v>1</v>
      </c>
      <c r="AU26" s="38">
        <f>IF((ዕቁብ!AV28/ቦኖ!$C$4&gt;0),1,0)</f>
        <v>1</v>
      </c>
      <c r="AV26" s="38">
        <f>IF((ዕቁብ!AW28/ቦኖ!$C$4&gt;0),1,0)</f>
        <v>1</v>
      </c>
      <c r="AW26" s="38">
        <f>IF((ዕቁብ!AX28/ቦኖ!$C$4&gt;0),1,0)</f>
        <v>1</v>
      </c>
      <c r="AX26" s="38">
        <f>IF((ዕቁብ!AY28/ቦኖ!$C$4&gt;0),1,0)</f>
        <v>1</v>
      </c>
      <c r="AY26" s="38">
        <f>IF((ዕቁብ!AZ28/ቦኖ!$C$4&gt;0),1,0)</f>
        <v>1</v>
      </c>
      <c r="AZ26" s="38">
        <f>IF((ዕቁብ!BA28/ቦኖ!$C$4&gt;0),1,0)</f>
        <v>1</v>
      </c>
      <c r="BA26" s="38">
        <f>IF((ዕቁብ!BB28/ቦኖ!$C$4&gt;0),1,0)</f>
        <v>1</v>
      </c>
      <c r="BB26" s="38">
        <f>IF((ዕቁብ!BC28/ቦኖ!$C$4&gt;0),1,0)</f>
        <v>1</v>
      </c>
      <c r="BC26" s="38">
        <f>IF((ዕቁብ!BD28/ቦኖ!$C$4&gt;0),1,0)</f>
        <v>1</v>
      </c>
      <c r="BD26" s="38">
        <f>IF((ዕቁብ!BE28/ቦኖ!$C$4&gt;0),1,0)</f>
        <v>1</v>
      </c>
      <c r="BE26" s="38">
        <f>IF((ዕቁብ!BF28/ቦኖ!$C$4&gt;0),1,0)</f>
        <v>1</v>
      </c>
      <c r="BF26" s="38">
        <f>IF((ዕቁብ!BG28/ቦኖ!$C$4&gt;0),1,0)</f>
        <v>1</v>
      </c>
      <c r="BG26" s="38">
        <f>IF((ዕቁብ!BH28/ቦኖ!$C$4&gt;0),1,0)</f>
        <v>1</v>
      </c>
      <c r="BH26" s="38">
        <f>IF((ዕቁብ!BI28/ቦኖ!$C$4&gt;0),1,0)</f>
        <v>1</v>
      </c>
      <c r="BI26" s="38">
        <f>IF((ዕቁብ!BJ28/ቦኖ!$C$4&gt;0),1,0)</f>
        <v>1</v>
      </c>
      <c r="BJ26" s="38">
        <f>IF((ዕቁብ!BK28/ቦኖ!$C$4&gt;0),1,0)</f>
        <v>1</v>
      </c>
      <c r="BK26" s="38">
        <f>IF((ዕቁብ!BL28/ቦኖ!$C$4&gt;0),1,0)</f>
        <v>1</v>
      </c>
      <c r="BL26" s="38">
        <f>IF((ዕቁብ!BM28/ቦኖ!$C$4&gt;0),1,0)</f>
        <v>1</v>
      </c>
      <c r="BM26" s="38">
        <f>IF((ዕቁብ!BN28/ቦኖ!$C$4&gt;0),1,0)</f>
        <v>0</v>
      </c>
      <c r="BN26" s="38">
        <f>IF((ዕቁብ!BO28/ቦኖ!$C$4&gt;0),1,0)</f>
        <v>1</v>
      </c>
      <c r="BO26" s="38">
        <f>IF((ዕቁብ!BP28/ቦኖ!$C$4&gt;0),1,0)</f>
        <v>1</v>
      </c>
      <c r="BP26" s="38">
        <f>IF((ዕቁብ!BQ28/ቦኖ!$C$4&gt;0),1,0)</f>
        <v>1</v>
      </c>
      <c r="BQ26" s="38">
        <f>IF((ዕቁብ!BR28/ቦኖ!$C$4&gt;0),1,0)</f>
        <v>1</v>
      </c>
      <c r="BR26" s="38">
        <f>IF((ዕቁብ!BS28/ቦኖ!$C$4&gt;0),1,0)</f>
        <v>1</v>
      </c>
      <c r="BS26" s="38">
        <f>IF((ዕቁብ!BT28/ቦኖ!$C$4&gt;0),1,0)</f>
        <v>1</v>
      </c>
      <c r="BT26" s="38">
        <f>IF((ዕቁብ!BU28/ቦኖ!$C$4&gt;0),1,0)</f>
        <v>1</v>
      </c>
      <c r="BU26" s="38">
        <f>IF((ዕቁብ!BV28/ቦኖ!$C$4&gt;0),1,0)</f>
        <v>1</v>
      </c>
      <c r="BV26" s="38">
        <f>IF((ዕቁብ!BW28/ቦኖ!$C$4&gt;0),1,0)</f>
        <v>1</v>
      </c>
      <c r="BW26" s="38">
        <f>IF((ዕቁብ!BX28/ቦኖ!$C$4&gt;0),1,0)</f>
        <v>1</v>
      </c>
      <c r="BX26" s="38">
        <f>IF((ዕቁብ!BY28/ቦኖ!$C$4&gt;0),1,0)</f>
        <v>1</v>
      </c>
      <c r="BY26" s="38">
        <f>IF((ዕቁብ!BZ28/ቦኖ!$C$4&gt;0),1,0)</f>
        <v>1</v>
      </c>
      <c r="BZ26" s="38">
        <f>IF((ዕቁብ!CA28/ቦኖ!$C$4&gt;0),1,0)</f>
        <v>1</v>
      </c>
      <c r="CA26" s="38">
        <f>IF((ዕቁብ!CB28/ቦኖ!$C$4&gt;0),1,0)</f>
        <v>1</v>
      </c>
      <c r="CB26" s="38">
        <f>IF((ዕቁብ!CC28/ቦኖ!$C$4&gt;0),1,0)</f>
        <v>1</v>
      </c>
      <c r="CC26" s="38">
        <f>IF((ዕቁብ!CD28/ቦኖ!$C$4&gt;0),1,0)</f>
        <v>1</v>
      </c>
      <c r="CD26" s="38">
        <f>IF((ዕቁብ!CE28/ቦኖ!$C$4&gt;0),1,0)</f>
        <v>0</v>
      </c>
      <c r="CE26" s="38">
        <f>IF((ዕቁብ!CF28/ቦኖ!$C$4&gt;0),1,0)</f>
        <v>1</v>
      </c>
      <c r="CF26" s="38">
        <f>IF((ዕቁብ!CG28/ቦኖ!$C$4&gt;0),1,0)</f>
        <v>1</v>
      </c>
      <c r="CG26" s="38">
        <f>IF((ዕቁብ!CH28/ቦኖ!$C$4&gt;0),1,0)</f>
        <v>1</v>
      </c>
      <c r="CH26" s="38">
        <f>IF((ዕቁብ!CI28/ቦኖ!$C$4&gt;0),1,0)</f>
        <v>1</v>
      </c>
      <c r="CI26" s="38">
        <f>IF((ዕቁብ!CJ28/ቦኖ!$C$4&gt;0),1,0)</f>
        <v>1</v>
      </c>
      <c r="CJ26" s="38">
        <f>IF((ዕቁብ!CK28/ቦኖ!$C$4&gt;0),1,0)</f>
        <v>1</v>
      </c>
      <c r="CK26" s="38">
        <f>IF((ዕቁብ!CL28/ቦኖ!$C$4&gt;0),1,0)</f>
        <v>1</v>
      </c>
      <c r="CL26" s="38">
        <f>IF((ዕቁብ!CM28/ቦኖ!$C$4&gt;0),1,0)</f>
        <v>1</v>
      </c>
      <c r="CM26" s="38">
        <f>IF((ዕቁብ!CN28/ቦኖ!$C$4&gt;0),1,0)</f>
        <v>1</v>
      </c>
      <c r="CN26" s="38">
        <f>IF((ዕቁብ!CO28/ቦኖ!$C$4&gt;0),1,0)</f>
        <v>1</v>
      </c>
      <c r="CO26" s="38">
        <f>IF((ዕቁብ!CP28/ቦኖ!$C$4&gt;0),1,0)</f>
        <v>1</v>
      </c>
      <c r="CP26" s="38">
        <f>IF((ዕቁብ!CQ28/ቦኖ!$C$4&gt;0),1,0)</f>
        <v>1</v>
      </c>
      <c r="CQ26" s="38">
        <f>IF((ዕቁብ!CR28/ቦኖ!$C$4&gt;0),1,0)</f>
        <v>1</v>
      </c>
      <c r="CR26" s="38">
        <f>IF((ዕቁብ!CS28/ቦኖ!$C$4&gt;0),1,0)</f>
        <v>1</v>
      </c>
      <c r="CS26" s="38">
        <f>IF((ዕቁብ!CT28/ቦኖ!$C$4&gt;0),1,0)</f>
        <v>1</v>
      </c>
      <c r="CT26" s="38">
        <f>IF((ዕቁብ!CU28/ቦኖ!$C$4&gt;0),1,0)</f>
        <v>1</v>
      </c>
      <c r="CU26" s="38">
        <f>IF((ዕቁብ!CV28/ቦኖ!$C$4&gt;0),1,0)</f>
        <v>1</v>
      </c>
      <c r="CV26" s="38">
        <f>IF((ዕቁብ!CW28/ቦኖ!$C$4&gt;0),1,0)</f>
        <v>1</v>
      </c>
      <c r="CW26" s="38">
        <f>IF((ዕቁብ!CX28/ቦኖ!$C$4&gt;0),1,0)</f>
        <v>1</v>
      </c>
      <c r="CX26" s="38">
        <f>IF((ዕቁብ!CY28/ቦኖ!$C$4&gt;0),1,0)</f>
        <v>1</v>
      </c>
      <c r="CY26" s="38">
        <f>IF((ዕቁብ!CZ28/ቦኖ!$C$4&gt;0),1,0)</f>
        <v>1</v>
      </c>
      <c r="CZ26" s="38">
        <f>IF((ዕቁብ!DA28/ቦኖ!$C$4&gt;0),1,0)</f>
        <v>1</v>
      </c>
      <c r="DA26" s="38">
        <f>IF((ዕቁብ!DB28/ቦኖ!$C$4&gt;0),1,0)</f>
        <v>1</v>
      </c>
      <c r="DB26" s="38">
        <f>IF((ዕቁብ!DC28/ቦኖ!$C$4&gt;0),1,0)</f>
        <v>1</v>
      </c>
      <c r="DC26" s="38">
        <f>IF((ዕቁብ!DD28/ቦኖ!$C$4&gt;0),1,0)</f>
        <v>1</v>
      </c>
      <c r="DD26" s="38">
        <f>IF((ዕቁብ!DE28/ቦኖ!$C$4&gt;0),1,0)</f>
        <v>1</v>
      </c>
      <c r="DE26" s="38">
        <f>IF((ዕቁብ!DF28/ቦኖ!$C$4&gt;0),1,0)</f>
        <v>1</v>
      </c>
      <c r="DF26" s="38">
        <f>IF((ዕቁብ!DG28/ቦኖ!$C$4&gt;0),1,0)</f>
        <v>1</v>
      </c>
      <c r="DG26" s="38">
        <f>IF((ዕቁብ!DH28/ቦኖ!$C$4&gt;0),1,0)</f>
        <v>1</v>
      </c>
      <c r="DH26" s="38">
        <f>IF((ዕቁብ!DI28/ቦኖ!$C$4&gt;0),1,0)</f>
        <v>0</v>
      </c>
      <c r="DI26" s="38">
        <f>IF((ዕቁብ!DJ28/ቦኖ!$C$4&gt;0),1,0)</f>
        <v>0</v>
      </c>
      <c r="DJ26" s="38">
        <f>IF((ዕቁብ!DK28/ቦኖ!$C$4&gt;0),1,0)</f>
        <v>0</v>
      </c>
      <c r="DK26" s="38">
        <f>IF((ዕቁብ!DL28/ቦኖ!$C$4&gt;0),1,0)</f>
        <v>0</v>
      </c>
      <c r="DL26" s="38">
        <f>IF((ዕቁብ!DM28/ቦኖ!$C$4&gt;0),1,0)</f>
        <v>0</v>
      </c>
      <c r="DM26" s="38">
        <f>IF((ዕቁብ!DN28/ቦኖ!$C$4&gt;0),1,0)</f>
        <v>0</v>
      </c>
      <c r="DN26" s="38">
        <f>IF((ዕቁብ!DO28/ቦኖ!$C$4&gt;0),1,0)</f>
        <v>0</v>
      </c>
      <c r="DO26" s="38">
        <f>IF((ዕቁብ!DP28/ቦኖ!$C$4&gt;0),1,0)</f>
        <v>0</v>
      </c>
      <c r="DP26" s="38">
        <f>IF((ዕቁብ!DQ28/ቦኖ!$C$4&gt;0),1,0)</f>
        <v>0</v>
      </c>
      <c r="DQ26" s="38">
        <f>IF((ዕቁብ!DR28/ቦኖ!$C$4&gt;0),1,0)</f>
        <v>0</v>
      </c>
    </row>
    <row r="27" spans="1:121" ht="15.75" customHeight="1" x14ac:dyDescent="0.3">
      <c r="A27" s="33">
        <f>ዕቁብ!A29</f>
        <v>23</v>
      </c>
      <c r="B27" s="33" t="str">
        <f>ዕቁብ!B29</f>
        <v>ደረጀ ታደግ</v>
      </c>
      <c r="C27" s="37">
        <f>ዕቁብ!C29</f>
        <v>21000</v>
      </c>
      <c r="D27" s="38">
        <f>IF((ዕቁብ!E29/ቦኖ!$C$4&gt;0),1,0)</f>
        <v>1</v>
      </c>
      <c r="E27" s="38">
        <f>IF((ዕቁብ!F29/ቦኖ!$C$4&gt;0),1,0)</f>
        <v>1</v>
      </c>
      <c r="F27" s="38">
        <f>IF((ዕቁብ!G29/ቦኖ!$C$4&gt;0),1,0)</f>
        <v>1</v>
      </c>
      <c r="G27" s="38">
        <f>IF((ዕቁብ!H29/ቦኖ!$C$4&gt;0),1,0)</f>
        <v>1</v>
      </c>
      <c r="H27" s="38">
        <f>IF((ዕቁብ!I29/ቦኖ!$C$4&gt;0),1,0)</f>
        <v>1</v>
      </c>
      <c r="I27" s="38">
        <f>IF((ዕቁብ!J29/ቦኖ!$C$4&gt;0),1,0)</f>
        <v>1</v>
      </c>
      <c r="J27" s="38">
        <f>IF((ዕቁብ!K29/ቦኖ!$C$4&gt;0),1,0)</f>
        <v>1</v>
      </c>
      <c r="K27" s="38">
        <f>IF((ዕቁብ!L29/ቦኖ!$C$4&gt;0),1,0)</f>
        <v>1</v>
      </c>
      <c r="L27" s="38">
        <f>IF((ዕቁብ!M29/ቦኖ!$C$4&gt;0),1,0)</f>
        <v>1</v>
      </c>
      <c r="M27" s="38">
        <f>IF((ዕቁብ!N29/ቦኖ!$C$4&gt;0),1,0)</f>
        <v>1</v>
      </c>
      <c r="N27" s="38">
        <f>IF((ዕቁብ!O29/ቦኖ!$C$4&gt;0),1,0)</f>
        <v>1</v>
      </c>
      <c r="O27" s="38">
        <f>IF((ዕቁብ!P29/ቦኖ!$C$4&gt;0),1,0)</f>
        <v>1</v>
      </c>
      <c r="P27" s="38">
        <f>IF((ዕቁብ!Q29/ቦኖ!$C$4&gt;0),1,0)</f>
        <v>1</v>
      </c>
      <c r="Q27" s="38">
        <f>IF((ዕቁብ!R29/ቦኖ!$C$4&gt;0),1,0)</f>
        <v>1</v>
      </c>
      <c r="R27" s="38">
        <f>IF((ዕቁብ!S29/ቦኖ!$C$4&gt;0),1,0)</f>
        <v>1</v>
      </c>
      <c r="S27" s="38">
        <f>IF((ዕቁብ!T29/ቦኖ!$C$4&gt;0),1,0)</f>
        <v>1</v>
      </c>
      <c r="T27" s="38">
        <f>IF((ዕቁብ!U29/ቦኖ!$C$4&gt;0),1,0)</f>
        <v>1</v>
      </c>
      <c r="U27" s="38">
        <f>IF((ዕቁብ!V29/ቦኖ!$C$4&gt;0),1,0)</f>
        <v>1</v>
      </c>
      <c r="V27" s="38">
        <f>IF((ዕቁብ!W29/ቦኖ!$C$4&gt;0),1,0)</f>
        <v>1</v>
      </c>
      <c r="W27" s="38">
        <f>IF((ዕቁብ!X29/ቦኖ!$C$4&gt;0),1,0)</f>
        <v>1</v>
      </c>
      <c r="X27" s="38">
        <f>IF((ዕቁብ!Y29/ቦኖ!$C$4&gt;0),1,0)</f>
        <v>1</v>
      </c>
      <c r="Y27" s="38">
        <f>IF((ዕቁብ!Z29/ቦኖ!$C$4&gt;0),1,0)</f>
        <v>1</v>
      </c>
      <c r="Z27" s="38">
        <f>IF((ዕቁብ!AA29/ቦኖ!$C$4&gt;0),1,0)</f>
        <v>1</v>
      </c>
      <c r="AA27" s="38">
        <f>IF((ዕቁብ!AB29/ቦኖ!$C$4&gt;0),1,0)</f>
        <v>1</v>
      </c>
      <c r="AB27" s="38">
        <f>IF((ዕቁብ!AC29/ቦኖ!$C$4&gt;0),1,0)</f>
        <v>1</v>
      </c>
      <c r="AC27" s="38">
        <f>IF((ዕቁብ!AD29/ቦኖ!$C$4&gt;0),1,0)</f>
        <v>1</v>
      </c>
      <c r="AD27" s="38">
        <f>IF((ዕቁብ!AE29/ቦኖ!$C$4&gt;0),1,0)</f>
        <v>1</v>
      </c>
      <c r="AE27" s="38">
        <f>IF((ዕቁብ!AF29/ቦኖ!$C$4&gt;0),1,0)</f>
        <v>0</v>
      </c>
      <c r="AF27" s="38">
        <f>IF((ዕቁብ!AG29/ቦኖ!$C$4&gt;0),1,0)</f>
        <v>1</v>
      </c>
      <c r="AG27" s="38">
        <f>IF((ዕቁብ!AH29/ቦኖ!$C$4&gt;0),1,0)</f>
        <v>1</v>
      </c>
      <c r="AH27" s="38">
        <f>IF((ዕቁብ!AI29/ቦኖ!$C$4&gt;0),1,0)</f>
        <v>1</v>
      </c>
      <c r="AI27" s="38">
        <f>IF((ዕቁብ!AJ29/ቦኖ!$C$4&gt;0),1,0)</f>
        <v>1</v>
      </c>
      <c r="AJ27" s="38">
        <f>IF((ዕቁብ!AK29/ቦኖ!$C$4&gt;0),1,0)</f>
        <v>1</v>
      </c>
      <c r="AK27" s="38">
        <f>IF((ዕቁብ!AL29/ቦኖ!$C$4&gt;0),1,0)</f>
        <v>1</v>
      </c>
      <c r="AL27" s="38">
        <f>IF((ዕቁብ!AM29/ቦኖ!$C$4&gt;0),1,0)</f>
        <v>1</v>
      </c>
      <c r="AM27" s="38">
        <f>IF((ዕቁብ!AN29/ቦኖ!$C$4&gt;0),1,0)</f>
        <v>1</v>
      </c>
      <c r="AN27" s="38">
        <f>IF((ዕቁብ!AO29/ቦኖ!$C$4&gt;0),1,0)</f>
        <v>1</v>
      </c>
      <c r="AO27" s="38">
        <f>IF((ዕቁብ!AP29/ቦኖ!$C$4&gt;0),1,0)</f>
        <v>1</v>
      </c>
      <c r="AP27" s="38">
        <f>IF((ዕቁብ!AQ29/ቦኖ!$C$4&gt;0),1,0)</f>
        <v>1</v>
      </c>
      <c r="AQ27" s="38">
        <f>IF((ዕቁብ!AR29/ቦኖ!$C$4&gt;0),1,0)</f>
        <v>1</v>
      </c>
      <c r="AR27" s="38">
        <f>IF((ዕቁብ!AS29/ቦኖ!$C$4&gt;0),1,0)</f>
        <v>1</v>
      </c>
      <c r="AS27" s="38">
        <f>IF((ዕቁብ!AT29/ቦኖ!$C$4&gt;0),1,0)</f>
        <v>1</v>
      </c>
      <c r="AT27" s="38">
        <f>IF((ዕቁብ!AU29/ቦኖ!$C$4&gt;0),1,0)</f>
        <v>1</v>
      </c>
      <c r="AU27" s="38">
        <f>IF((ዕቁብ!AV29/ቦኖ!$C$4&gt;0),1,0)</f>
        <v>1</v>
      </c>
      <c r="AV27" s="38">
        <f>IF((ዕቁብ!AW29/ቦኖ!$C$4&gt;0),1,0)</f>
        <v>1</v>
      </c>
      <c r="AW27" s="38">
        <f>IF((ዕቁብ!AX29/ቦኖ!$C$4&gt;0),1,0)</f>
        <v>1</v>
      </c>
      <c r="AX27" s="38">
        <f>IF((ዕቁብ!AY29/ቦኖ!$C$4&gt;0),1,0)</f>
        <v>1</v>
      </c>
      <c r="AY27" s="38">
        <f>IF((ዕቁብ!AZ29/ቦኖ!$C$4&gt;0),1,0)</f>
        <v>0</v>
      </c>
      <c r="AZ27" s="38">
        <f>IF((ዕቁብ!BA29/ቦኖ!$C$4&gt;0),1,0)</f>
        <v>1</v>
      </c>
      <c r="BA27" s="38">
        <f>IF((ዕቁብ!BB29/ቦኖ!$C$4&gt;0),1,0)</f>
        <v>1</v>
      </c>
      <c r="BB27" s="38">
        <f>IF((ዕቁብ!BC29/ቦኖ!$C$4&gt;0),1,0)</f>
        <v>1</v>
      </c>
      <c r="BC27" s="38">
        <f>IF((ዕቁብ!BD29/ቦኖ!$C$4&gt;0),1,0)</f>
        <v>1</v>
      </c>
      <c r="BD27" s="38">
        <f>IF((ዕቁብ!BE29/ቦኖ!$C$4&gt;0),1,0)</f>
        <v>1</v>
      </c>
      <c r="BE27" s="38">
        <f>IF((ዕቁብ!BF29/ቦኖ!$C$4&gt;0),1,0)</f>
        <v>1</v>
      </c>
      <c r="BF27" s="38">
        <f>IF((ዕቁብ!BG29/ቦኖ!$C$4&gt;0),1,0)</f>
        <v>1</v>
      </c>
      <c r="BG27" s="38">
        <f>IF((ዕቁብ!BH29/ቦኖ!$C$4&gt;0),1,0)</f>
        <v>1</v>
      </c>
      <c r="BH27" s="38">
        <f>IF((ዕቁብ!BI29/ቦኖ!$C$4&gt;0),1,0)</f>
        <v>1</v>
      </c>
      <c r="BI27" s="38">
        <f>IF((ዕቁብ!BJ29/ቦኖ!$C$4&gt;0),1,0)</f>
        <v>1</v>
      </c>
      <c r="BJ27" s="38">
        <f>IF((ዕቁብ!BK29/ቦኖ!$C$4&gt;0),1,0)</f>
        <v>1</v>
      </c>
      <c r="BK27" s="38">
        <f>IF((ዕቁብ!BL29/ቦኖ!$C$4&gt;0),1,0)</f>
        <v>1</v>
      </c>
      <c r="BL27" s="38">
        <f>IF((ዕቁብ!BM29/ቦኖ!$C$4&gt;0),1,0)</f>
        <v>1</v>
      </c>
      <c r="BM27" s="38">
        <f>IF((ዕቁብ!BN29/ቦኖ!$C$4&gt;0),1,0)</f>
        <v>1</v>
      </c>
      <c r="BN27" s="38">
        <f>IF((ዕቁብ!BO29/ቦኖ!$C$4&gt;0),1,0)</f>
        <v>1</v>
      </c>
      <c r="BO27" s="38">
        <f>IF((ዕቁብ!BP29/ቦኖ!$C$4&gt;0),1,0)</f>
        <v>1</v>
      </c>
      <c r="BP27" s="38">
        <f>IF((ዕቁብ!BQ29/ቦኖ!$C$4&gt;0),1,0)</f>
        <v>1</v>
      </c>
      <c r="BQ27" s="38">
        <f>IF((ዕቁብ!BR29/ቦኖ!$C$4&gt;0),1,0)</f>
        <v>1</v>
      </c>
      <c r="BR27" s="38">
        <f>IF((ዕቁብ!BS29/ቦኖ!$C$4&gt;0),1,0)</f>
        <v>1</v>
      </c>
      <c r="BS27" s="38">
        <f>IF((ዕቁብ!BT29/ቦኖ!$C$4&gt;0),1,0)</f>
        <v>0</v>
      </c>
      <c r="BT27" s="38">
        <f>IF((ዕቁብ!BU29/ቦኖ!$C$4&gt;0),1,0)</f>
        <v>1</v>
      </c>
      <c r="BU27" s="38">
        <f>IF((ዕቁብ!BV29/ቦኖ!$C$4&gt;0),1,0)</f>
        <v>1</v>
      </c>
      <c r="BV27" s="38">
        <f>IF((ዕቁብ!BW29/ቦኖ!$C$4&gt;0),1,0)</f>
        <v>1</v>
      </c>
      <c r="BW27" s="38">
        <f>IF((ዕቁብ!BX29/ቦኖ!$C$4&gt;0),1,0)</f>
        <v>0</v>
      </c>
      <c r="BX27" s="38">
        <f>IF((ዕቁብ!BY29/ቦኖ!$C$4&gt;0),1,0)</f>
        <v>1</v>
      </c>
      <c r="BY27" s="38">
        <f>IF((ዕቁብ!BZ29/ቦኖ!$C$4&gt;0),1,0)</f>
        <v>1</v>
      </c>
      <c r="BZ27" s="38">
        <f>IF((ዕቁብ!CA29/ቦኖ!$C$4&gt;0),1,0)</f>
        <v>1</v>
      </c>
      <c r="CA27" s="38">
        <f>IF((ዕቁብ!CB29/ቦኖ!$C$4&gt;0),1,0)</f>
        <v>1</v>
      </c>
      <c r="CB27" s="38">
        <f>IF((ዕቁብ!CC29/ቦኖ!$C$4&gt;0),1,0)</f>
        <v>1</v>
      </c>
      <c r="CC27" s="38">
        <f>IF((ዕቁብ!CD29/ቦኖ!$C$4&gt;0),1,0)</f>
        <v>1</v>
      </c>
      <c r="CD27" s="38">
        <f>IF((ዕቁብ!CE29/ቦኖ!$C$4&gt;0),1,0)</f>
        <v>1</v>
      </c>
      <c r="CE27" s="38">
        <f>IF((ዕቁብ!CF29/ቦኖ!$C$4&gt;0),1,0)</f>
        <v>1</v>
      </c>
      <c r="CF27" s="38">
        <f>IF((ዕቁብ!CG29/ቦኖ!$C$4&gt;0),1,0)</f>
        <v>1</v>
      </c>
      <c r="CG27" s="38">
        <f>IF((ዕቁብ!CH29/ቦኖ!$C$4&gt;0),1,0)</f>
        <v>1</v>
      </c>
      <c r="CH27" s="38">
        <f>IF((ዕቁብ!CI29/ቦኖ!$C$4&gt;0),1,0)</f>
        <v>1</v>
      </c>
      <c r="CI27" s="38">
        <f>IF((ዕቁብ!CJ29/ቦኖ!$C$4&gt;0),1,0)</f>
        <v>1</v>
      </c>
      <c r="CJ27" s="38">
        <f>IF((ዕቁብ!CK29/ቦኖ!$C$4&gt;0),1,0)</f>
        <v>0</v>
      </c>
      <c r="CK27" s="38">
        <f>IF((ዕቁብ!CL29/ቦኖ!$C$4&gt;0),1,0)</f>
        <v>1</v>
      </c>
      <c r="CL27" s="38">
        <f>IF((ዕቁብ!CM29/ቦኖ!$C$4&gt;0),1,0)</f>
        <v>1</v>
      </c>
      <c r="CM27" s="38">
        <f>IF((ዕቁብ!CN29/ቦኖ!$C$4&gt;0),1,0)</f>
        <v>1</v>
      </c>
      <c r="CN27" s="38">
        <f>IF((ዕቁብ!CO29/ቦኖ!$C$4&gt;0),1,0)</f>
        <v>0</v>
      </c>
      <c r="CO27" s="38">
        <f>IF((ዕቁብ!CP29/ቦኖ!$C$4&gt;0),1,0)</f>
        <v>0</v>
      </c>
      <c r="CP27" s="38">
        <f>IF((ዕቁብ!CQ29/ቦኖ!$C$4&gt;0),1,0)</f>
        <v>1</v>
      </c>
      <c r="CQ27" s="38">
        <f>IF((ዕቁብ!CR29/ቦኖ!$C$4&gt;0),1,0)</f>
        <v>1</v>
      </c>
      <c r="CR27" s="38">
        <f>IF((ዕቁብ!CS29/ቦኖ!$C$4&gt;0),1,0)</f>
        <v>0</v>
      </c>
      <c r="CS27" s="38">
        <f>IF((ዕቁብ!CT29/ቦኖ!$C$4&gt;0),1,0)</f>
        <v>1</v>
      </c>
      <c r="CT27" s="38">
        <f>IF((ዕቁብ!CU29/ቦኖ!$C$4&gt;0),1,0)</f>
        <v>1</v>
      </c>
      <c r="CU27" s="38">
        <f>IF((ዕቁብ!CV29/ቦኖ!$C$4&gt;0),1,0)</f>
        <v>1</v>
      </c>
      <c r="CV27" s="38">
        <f>IF((ዕቁብ!CW29/ቦኖ!$C$4&gt;0),1,0)</f>
        <v>1</v>
      </c>
      <c r="CW27" s="38">
        <f>IF((ዕቁብ!CX29/ቦኖ!$C$4&gt;0),1,0)</f>
        <v>1</v>
      </c>
      <c r="CX27" s="38">
        <f>IF((ዕቁብ!CY29/ቦኖ!$C$4&gt;0),1,0)</f>
        <v>1</v>
      </c>
      <c r="CY27" s="38">
        <f>IF((ዕቁብ!CZ29/ቦኖ!$C$4&gt;0),1,0)</f>
        <v>1</v>
      </c>
      <c r="CZ27" s="38">
        <f>IF((ዕቁብ!DA29/ቦኖ!$C$4&gt;0),1,0)</f>
        <v>0</v>
      </c>
      <c r="DA27" s="38">
        <f>IF((ዕቁብ!DB29/ቦኖ!$C$4&gt;0),1,0)</f>
        <v>0</v>
      </c>
      <c r="DB27" s="38">
        <f>IF((ዕቁብ!DC29/ቦኖ!$C$4&gt;0),1,0)</f>
        <v>1</v>
      </c>
      <c r="DC27" s="38">
        <f>IF((ዕቁብ!DD29/ቦኖ!$C$4&gt;0),1,0)</f>
        <v>0</v>
      </c>
      <c r="DD27" s="38">
        <f>IF((ዕቁብ!DE29/ቦኖ!$C$4&gt;0),1,0)</f>
        <v>1</v>
      </c>
      <c r="DE27" s="38">
        <f>IF((ዕቁብ!DF29/ቦኖ!$C$4&gt;0),1,0)</f>
        <v>1</v>
      </c>
      <c r="DF27" s="38">
        <f>IF((ዕቁብ!DG29/ቦኖ!$C$4&gt;0),1,0)</f>
        <v>1</v>
      </c>
      <c r="DG27" s="38">
        <f>IF((ዕቁብ!DH29/ቦኖ!$C$4&gt;0),1,0)</f>
        <v>1</v>
      </c>
      <c r="DH27" s="38">
        <f>IF((ዕቁብ!DI29/ቦኖ!$C$4&gt;0),1,0)</f>
        <v>0</v>
      </c>
      <c r="DI27" s="38">
        <f>IF((ዕቁብ!DJ29/ቦኖ!$C$4&gt;0),1,0)</f>
        <v>0</v>
      </c>
      <c r="DJ27" s="38">
        <f>IF((ዕቁብ!DK29/ቦኖ!$C$4&gt;0),1,0)</f>
        <v>0</v>
      </c>
      <c r="DK27" s="38">
        <f>IF((ዕቁብ!DL29/ቦኖ!$C$4&gt;0),1,0)</f>
        <v>0</v>
      </c>
      <c r="DL27" s="38">
        <f>IF((ዕቁብ!DM29/ቦኖ!$C$4&gt;0),1,0)</f>
        <v>0</v>
      </c>
      <c r="DM27" s="38">
        <f>IF((ዕቁብ!DN29/ቦኖ!$C$4&gt;0),1,0)</f>
        <v>0</v>
      </c>
      <c r="DN27" s="38">
        <f>IF((ዕቁብ!DO29/ቦኖ!$C$4&gt;0),1,0)</f>
        <v>0</v>
      </c>
      <c r="DO27" s="38">
        <f>IF((ዕቁብ!DP29/ቦኖ!$C$4&gt;0),1,0)</f>
        <v>0</v>
      </c>
      <c r="DP27" s="38">
        <f>IF((ዕቁብ!DQ29/ቦኖ!$C$4&gt;0),1,0)</f>
        <v>0</v>
      </c>
      <c r="DQ27" s="38">
        <f>IF((ዕቁብ!DR29/ቦኖ!$C$4&gt;0),1,0)</f>
        <v>0</v>
      </c>
    </row>
    <row r="28" spans="1:121" ht="15.75" customHeight="1" x14ac:dyDescent="0.3">
      <c r="A28" s="33">
        <f>ዕቁብ!A30</f>
        <v>24</v>
      </c>
      <c r="B28" s="33" t="str">
        <f>ዕቁብ!B30</f>
        <v>ስንቅነሽ ጃራ</v>
      </c>
      <c r="C28" s="37">
        <f>ዕቁብ!C30</f>
        <v>21000</v>
      </c>
      <c r="D28" s="38">
        <f>IF((ዕቁብ!E30/ቦኖ!$C$4&gt;0),1,0)</f>
        <v>1</v>
      </c>
      <c r="E28" s="38">
        <f>IF((ዕቁብ!F30/ቦኖ!$C$4&gt;0),1,0)</f>
        <v>1</v>
      </c>
      <c r="F28" s="38">
        <f>IF((ዕቁብ!G30/ቦኖ!$C$4&gt;0),1,0)</f>
        <v>1</v>
      </c>
      <c r="G28" s="38">
        <f>IF((ዕቁብ!H30/ቦኖ!$C$4&gt;0),1,0)</f>
        <v>1</v>
      </c>
      <c r="H28" s="38">
        <f>IF((ዕቁብ!I30/ቦኖ!$C$4&gt;0),1,0)</f>
        <v>1</v>
      </c>
      <c r="I28" s="38">
        <f>IF((ዕቁብ!J30/ቦኖ!$C$4&gt;0),1,0)</f>
        <v>1</v>
      </c>
      <c r="J28" s="38">
        <f>IF((ዕቁብ!K30/ቦኖ!$C$4&gt;0),1,0)</f>
        <v>1</v>
      </c>
      <c r="K28" s="38">
        <f>IF((ዕቁብ!L30/ቦኖ!$C$4&gt;0),1,0)</f>
        <v>1</v>
      </c>
      <c r="L28" s="38">
        <f>IF((ዕቁብ!M30/ቦኖ!$C$4&gt;0),1,0)</f>
        <v>1</v>
      </c>
      <c r="M28" s="38">
        <f>IF((ዕቁብ!N30/ቦኖ!$C$4&gt;0),1,0)</f>
        <v>1</v>
      </c>
      <c r="N28" s="38">
        <f>IF((ዕቁብ!O30/ቦኖ!$C$4&gt;0),1,0)</f>
        <v>1</v>
      </c>
      <c r="O28" s="38">
        <f>IF((ዕቁብ!P30/ቦኖ!$C$4&gt;0),1,0)</f>
        <v>1</v>
      </c>
      <c r="P28" s="38">
        <f>IF((ዕቁብ!Q30/ቦኖ!$C$4&gt;0),1,0)</f>
        <v>1</v>
      </c>
      <c r="Q28" s="38">
        <f>IF((ዕቁብ!R30/ቦኖ!$C$4&gt;0),1,0)</f>
        <v>1</v>
      </c>
      <c r="R28" s="38">
        <f>IF((ዕቁብ!S30/ቦኖ!$C$4&gt;0),1,0)</f>
        <v>1</v>
      </c>
      <c r="S28" s="38">
        <f>IF((ዕቁብ!T30/ቦኖ!$C$4&gt;0),1,0)</f>
        <v>1</v>
      </c>
      <c r="T28" s="38">
        <f>IF((ዕቁብ!U30/ቦኖ!$C$4&gt;0),1,0)</f>
        <v>1</v>
      </c>
      <c r="U28" s="38">
        <f>IF((ዕቁብ!V30/ቦኖ!$C$4&gt;0),1,0)</f>
        <v>1</v>
      </c>
      <c r="V28" s="38">
        <f>IF((ዕቁብ!W30/ቦኖ!$C$4&gt;0),1,0)</f>
        <v>1</v>
      </c>
      <c r="W28" s="38">
        <f>IF((ዕቁብ!X30/ቦኖ!$C$4&gt;0),1,0)</f>
        <v>1</v>
      </c>
      <c r="X28" s="38">
        <f>IF((ዕቁብ!Y30/ቦኖ!$C$4&gt;0),1,0)</f>
        <v>1</v>
      </c>
      <c r="Y28" s="38">
        <f>IF((ዕቁብ!Z30/ቦኖ!$C$4&gt;0),1,0)</f>
        <v>0</v>
      </c>
      <c r="Z28" s="38">
        <f>IF((ዕቁብ!AA30/ቦኖ!$C$4&gt;0),1,0)</f>
        <v>1</v>
      </c>
      <c r="AA28" s="38">
        <f>IF((ዕቁብ!AB30/ቦኖ!$C$4&gt;0),1,0)</f>
        <v>0</v>
      </c>
      <c r="AB28" s="38">
        <f>IF((ዕቁብ!AC30/ቦኖ!$C$4&gt;0),1,0)</f>
        <v>1</v>
      </c>
      <c r="AC28" s="38">
        <f>IF((ዕቁብ!AD30/ቦኖ!$C$4&gt;0),1,0)</f>
        <v>0</v>
      </c>
      <c r="AD28" s="38">
        <f>IF((ዕቁብ!AE30/ቦኖ!$C$4&gt;0),1,0)</f>
        <v>1</v>
      </c>
      <c r="AE28" s="38">
        <f>IF((ዕቁብ!AF30/ቦኖ!$C$4&gt;0),1,0)</f>
        <v>1</v>
      </c>
      <c r="AF28" s="38">
        <f>IF((ዕቁብ!AG30/ቦኖ!$C$4&gt;0),1,0)</f>
        <v>1</v>
      </c>
      <c r="AG28" s="38">
        <f>IF((ዕቁብ!AH30/ቦኖ!$C$4&gt;0),1,0)</f>
        <v>1</v>
      </c>
      <c r="AH28" s="38">
        <f>IF((ዕቁብ!AI30/ቦኖ!$C$4&gt;0),1,0)</f>
        <v>1</v>
      </c>
      <c r="AI28" s="38">
        <f>IF((ዕቁብ!AJ30/ቦኖ!$C$4&gt;0),1,0)</f>
        <v>1</v>
      </c>
      <c r="AJ28" s="38">
        <f>IF((ዕቁብ!AK30/ቦኖ!$C$4&gt;0),1,0)</f>
        <v>1</v>
      </c>
      <c r="AK28" s="38">
        <f>IF((ዕቁብ!AL30/ቦኖ!$C$4&gt;0),1,0)</f>
        <v>1</v>
      </c>
      <c r="AL28" s="38">
        <f>IF((ዕቁብ!AM30/ቦኖ!$C$4&gt;0),1,0)</f>
        <v>1</v>
      </c>
      <c r="AM28" s="38">
        <f>IF((ዕቁብ!AN30/ቦኖ!$C$4&gt;0),1,0)</f>
        <v>1</v>
      </c>
      <c r="AN28" s="38">
        <f>IF((ዕቁብ!AO30/ቦኖ!$C$4&gt;0),1,0)</f>
        <v>1</v>
      </c>
      <c r="AO28" s="38">
        <f>IF((ዕቁብ!AP30/ቦኖ!$C$4&gt;0),1,0)</f>
        <v>1</v>
      </c>
      <c r="AP28" s="38">
        <f>IF((ዕቁብ!AQ30/ቦኖ!$C$4&gt;0),1,0)</f>
        <v>1</v>
      </c>
      <c r="AQ28" s="38">
        <f>IF((ዕቁብ!AR30/ቦኖ!$C$4&gt;0),1,0)</f>
        <v>1</v>
      </c>
      <c r="AR28" s="38">
        <f>IF((ዕቁብ!AS30/ቦኖ!$C$4&gt;0),1,0)</f>
        <v>1</v>
      </c>
      <c r="AS28" s="38">
        <f>IF((ዕቁብ!AT30/ቦኖ!$C$4&gt;0),1,0)</f>
        <v>1</v>
      </c>
      <c r="AT28" s="38">
        <f>IF((ዕቁብ!AU30/ቦኖ!$C$4&gt;0),1,0)</f>
        <v>1</v>
      </c>
      <c r="AU28" s="38">
        <f>IF((ዕቁብ!AV30/ቦኖ!$C$4&gt;0),1,0)</f>
        <v>1</v>
      </c>
      <c r="AV28" s="38">
        <f>IF((ዕቁብ!AW30/ቦኖ!$C$4&gt;0),1,0)</f>
        <v>1</v>
      </c>
      <c r="AW28" s="38">
        <f>IF((ዕቁብ!AX30/ቦኖ!$C$4&gt;0),1,0)</f>
        <v>1</v>
      </c>
      <c r="AX28" s="38">
        <f>IF((ዕቁብ!AY30/ቦኖ!$C$4&gt;0),1,0)</f>
        <v>1</v>
      </c>
      <c r="AY28" s="38">
        <f>IF((ዕቁብ!AZ30/ቦኖ!$C$4&gt;0),1,0)</f>
        <v>1</v>
      </c>
      <c r="AZ28" s="38">
        <f>IF((ዕቁብ!BA30/ቦኖ!$C$4&gt;0),1,0)</f>
        <v>1</v>
      </c>
      <c r="BA28" s="38">
        <f>IF((ዕቁብ!BB30/ቦኖ!$C$4&gt;0),1,0)</f>
        <v>1</v>
      </c>
      <c r="BB28" s="38">
        <f>IF((ዕቁብ!BC30/ቦኖ!$C$4&gt;0),1,0)</f>
        <v>1</v>
      </c>
      <c r="BC28" s="38">
        <f>IF((ዕቁብ!BD30/ቦኖ!$C$4&gt;0),1,0)</f>
        <v>1</v>
      </c>
      <c r="BD28" s="38">
        <f>IF((ዕቁብ!BE30/ቦኖ!$C$4&gt;0),1,0)</f>
        <v>1</v>
      </c>
      <c r="BE28" s="38">
        <f>IF((ዕቁብ!BF30/ቦኖ!$C$4&gt;0),1,0)</f>
        <v>1</v>
      </c>
      <c r="BF28" s="38">
        <f>IF((ዕቁብ!BG30/ቦኖ!$C$4&gt;0),1,0)</f>
        <v>1</v>
      </c>
      <c r="BG28" s="38">
        <f>IF((ዕቁብ!BH30/ቦኖ!$C$4&gt;0),1,0)</f>
        <v>0</v>
      </c>
      <c r="BH28" s="38">
        <f>IF((ዕቁብ!BI30/ቦኖ!$C$4&gt;0),1,0)</f>
        <v>1</v>
      </c>
      <c r="BI28" s="38">
        <f>IF((ዕቁብ!BJ30/ቦኖ!$C$4&gt;0),1,0)</f>
        <v>1</v>
      </c>
      <c r="BJ28" s="38">
        <f>IF((ዕቁብ!BK30/ቦኖ!$C$4&gt;0),1,0)</f>
        <v>1</v>
      </c>
      <c r="BK28" s="38">
        <f>IF((ዕቁብ!BL30/ቦኖ!$C$4&gt;0),1,0)</f>
        <v>1</v>
      </c>
      <c r="BL28" s="38">
        <f>IF((ዕቁብ!BM30/ቦኖ!$C$4&gt;0),1,0)</f>
        <v>1</v>
      </c>
      <c r="BM28" s="38">
        <f>IF((ዕቁብ!BN30/ቦኖ!$C$4&gt;0),1,0)</f>
        <v>0</v>
      </c>
      <c r="BN28" s="38">
        <f>IF((ዕቁብ!BO30/ቦኖ!$C$4&gt;0),1,0)</f>
        <v>1</v>
      </c>
      <c r="BO28" s="38">
        <f>IF((ዕቁብ!BP30/ቦኖ!$C$4&gt;0),1,0)</f>
        <v>1</v>
      </c>
      <c r="BP28" s="38">
        <f>IF((ዕቁብ!BQ30/ቦኖ!$C$4&gt;0),1,0)</f>
        <v>1</v>
      </c>
      <c r="BQ28" s="38">
        <f>IF((ዕቁብ!BR30/ቦኖ!$C$4&gt;0),1,0)</f>
        <v>1</v>
      </c>
      <c r="BR28" s="38">
        <f>IF((ዕቁብ!BS30/ቦኖ!$C$4&gt;0),1,0)</f>
        <v>1</v>
      </c>
      <c r="BS28" s="38">
        <f>IF((ዕቁብ!BT30/ቦኖ!$C$4&gt;0),1,0)</f>
        <v>1</v>
      </c>
      <c r="BT28" s="38">
        <f>IF((ዕቁብ!BU30/ቦኖ!$C$4&gt;0),1,0)</f>
        <v>1</v>
      </c>
      <c r="BU28" s="38">
        <f>IF((ዕቁብ!BV30/ቦኖ!$C$4&gt;0),1,0)</f>
        <v>1</v>
      </c>
      <c r="BV28" s="38">
        <f>IF((ዕቁብ!BW30/ቦኖ!$C$4&gt;0),1,0)</f>
        <v>1</v>
      </c>
      <c r="BW28" s="38">
        <f>IF((ዕቁብ!BX30/ቦኖ!$C$4&gt;0),1,0)</f>
        <v>1</v>
      </c>
      <c r="BX28" s="38">
        <f>IF((ዕቁብ!BY30/ቦኖ!$C$4&gt;0),1,0)</f>
        <v>1</v>
      </c>
      <c r="BY28" s="38">
        <f>IF((ዕቁብ!BZ30/ቦኖ!$C$4&gt;0),1,0)</f>
        <v>1</v>
      </c>
      <c r="BZ28" s="38">
        <f>IF((ዕቁብ!CA30/ቦኖ!$C$4&gt;0),1,0)</f>
        <v>1</v>
      </c>
      <c r="CA28" s="38">
        <f>IF((ዕቁብ!CB30/ቦኖ!$C$4&gt;0),1,0)</f>
        <v>1</v>
      </c>
      <c r="CB28" s="38">
        <f>IF((ዕቁብ!CC30/ቦኖ!$C$4&gt;0),1,0)</f>
        <v>1</v>
      </c>
      <c r="CC28" s="38">
        <f>IF((ዕቁብ!CD30/ቦኖ!$C$4&gt;0),1,0)</f>
        <v>1</v>
      </c>
      <c r="CD28" s="38">
        <f>IF((ዕቁብ!CE30/ቦኖ!$C$4&gt;0),1,0)</f>
        <v>0</v>
      </c>
      <c r="CE28" s="38">
        <f>IF((ዕቁብ!CF30/ቦኖ!$C$4&gt;0),1,0)</f>
        <v>1</v>
      </c>
      <c r="CF28" s="38">
        <f>IF((ዕቁብ!CG30/ቦኖ!$C$4&gt;0),1,0)</f>
        <v>1</v>
      </c>
      <c r="CG28" s="38">
        <f>IF((ዕቁብ!CH30/ቦኖ!$C$4&gt;0),1,0)</f>
        <v>1</v>
      </c>
      <c r="CH28" s="38">
        <f>IF((ዕቁብ!CI30/ቦኖ!$C$4&gt;0),1,0)</f>
        <v>1</v>
      </c>
      <c r="CI28" s="38">
        <f>IF((ዕቁብ!CJ30/ቦኖ!$C$4&gt;0),1,0)</f>
        <v>1</v>
      </c>
      <c r="CJ28" s="38">
        <f>IF((ዕቁብ!CK30/ቦኖ!$C$4&gt;0),1,0)</f>
        <v>1</v>
      </c>
      <c r="CK28" s="38">
        <f>IF((ዕቁብ!CL30/ቦኖ!$C$4&gt;0),1,0)</f>
        <v>1</v>
      </c>
      <c r="CL28" s="38">
        <f>IF((ዕቁብ!CM30/ቦኖ!$C$4&gt;0),1,0)</f>
        <v>1</v>
      </c>
      <c r="CM28" s="38">
        <f>IF((ዕቁብ!CN30/ቦኖ!$C$4&gt;0),1,0)</f>
        <v>1</v>
      </c>
      <c r="CN28" s="38">
        <f>IF((ዕቁብ!CO30/ቦኖ!$C$4&gt;0),1,0)</f>
        <v>1</v>
      </c>
      <c r="CO28" s="38">
        <f>IF((ዕቁብ!CP30/ቦኖ!$C$4&gt;0),1,0)</f>
        <v>1</v>
      </c>
      <c r="CP28" s="38">
        <f>IF((ዕቁብ!CQ30/ቦኖ!$C$4&gt;0),1,0)</f>
        <v>1</v>
      </c>
      <c r="CQ28" s="38">
        <f>IF((ዕቁብ!CR30/ቦኖ!$C$4&gt;0),1,0)</f>
        <v>1</v>
      </c>
      <c r="CR28" s="38">
        <f>IF((ዕቁብ!CS30/ቦኖ!$C$4&gt;0),1,0)</f>
        <v>1</v>
      </c>
      <c r="CS28" s="38">
        <f>IF((ዕቁብ!CT30/ቦኖ!$C$4&gt;0),1,0)</f>
        <v>1</v>
      </c>
      <c r="CT28" s="38">
        <f>IF((ዕቁብ!CU30/ቦኖ!$C$4&gt;0),1,0)</f>
        <v>1</v>
      </c>
      <c r="CU28" s="38">
        <f>IF((ዕቁብ!CV30/ቦኖ!$C$4&gt;0),1,0)</f>
        <v>1</v>
      </c>
      <c r="CV28" s="38">
        <f>IF((ዕቁብ!CW30/ቦኖ!$C$4&gt;0),1,0)</f>
        <v>1</v>
      </c>
      <c r="CW28" s="38">
        <f>IF((ዕቁብ!CX30/ቦኖ!$C$4&gt;0),1,0)</f>
        <v>1</v>
      </c>
      <c r="CX28" s="38">
        <f>IF((ዕቁብ!CY30/ቦኖ!$C$4&gt;0),1,0)</f>
        <v>1</v>
      </c>
      <c r="CY28" s="38">
        <f>IF((ዕቁብ!CZ30/ቦኖ!$C$4&gt;0),1,0)</f>
        <v>1</v>
      </c>
      <c r="CZ28" s="38">
        <f>IF((ዕቁብ!DA30/ቦኖ!$C$4&gt;0),1,0)</f>
        <v>1</v>
      </c>
      <c r="DA28" s="38">
        <f>IF((ዕቁብ!DB30/ቦኖ!$C$4&gt;0),1,0)</f>
        <v>1</v>
      </c>
      <c r="DB28" s="38">
        <f>IF((ዕቁብ!DC30/ቦኖ!$C$4&gt;0),1,0)</f>
        <v>1</v>
      </c>
      <c r="DC28" s="38">
        <f>IF((ዕቁብ!DD30/ቦኖ!$C$4&gt;0),1,0)</f>
        <v>1</v>
      </c>
      <c r="DD28" s="38">
        <f>IF((ዕቁብ!DE30/ቦኖ!$C$4&gt;0),1,0)</f>
        <v>1</v>
      </c>
      <c r="DE28" s="38">
        <f>IF((ዕቁብ!DF30/ቦኖ!$C$4&gt;0),1,0)</f>
        <v>1</v>
      </c>
      <c r="DF28" s="38">
        <f>IF((ዕቁብ!DG30/ቦኖ!$C$4&gt;0),1,0)</f>
        <v>1</v>
      </c>
      <c r="DG28" s="38">
        <f>IF((ዕቁብ!DH30/ቦኖ!$C$4&gt;0),1,0)</f>
        <v>1</v>
      </c>
      <c r="DH28" s="38">
        <f>IF((ዕቁብ!DI30/ቦኖ!$C$4&gt;0),1,0)</f>
        <v>0</v>
      </c>
      <c r="DI28" s="38">
        <f>IF((ዕቁብ!DJ30/ቦኖ!$C$4&gt;0),1,0)</f>
        <v>0</v>
      </c>
      <c r="DJ28" s="38">
        <f>IF((ዕቁብ!DK30/ቦኖ!$C$4&gt;0),1,0)</f>
        <v>0</v>
      </c>
      <c r="DK28" s="38">
        <f>IF((ዕቁብ!DL30/ቦኖ!$C$4&gt;0),1,0)</f>
        <v>0</v>
      </c>
      <c r="DL28" s="38">
        <f>IF((ዕቁብ!DM30/ቦኖ!$C$4&gt;0),1,0)</f>
        <v>0</v>
      </c>
      <c r="DM28" s="38">
        <f>IF((ዕቁብ!DN30/ቦኖ!$C$4&gt;0),1,0)</f>
        <v>0</v>
      </c>
      <c r="DN28" s="38">
        <f>IF((ዕቁብ!DO30/ቦኖ!$C$4&gt;0),1,0)</f>
        <v>0</v>
      </c>
      <c r="DO28" s="38">
        <f>IF((ዕቁብ!DP30/ቦኖ!$C$4&gt;0),1,0)</f>
        <v>0</v>
      </c>
      <c r="DP28" s="38">
        <f>IF((ዕቁብ!DQ30/ቦኖ!$C$4&gt;0),1,0)</f>
        <v>0</v>
      </c>
      <c r="DQ28" s="38">
        <f>IF((ዕቁብ!DR30/ቦኖ!$C$4&gt;0),1,0)</f>
        <v>0</v>
      </c>
    </row>
    <row r="29" spans="1:121" ht="15.75" customHeight="1" x14ac:dyDescent="0.3">
      <c r="A29" s="33">
        <f>ዕቁብ!A31</f>
        <v>25</v>
      </c>
      <c r="B29" s="33" t="str">
        <f>ዕቁብ!B31</f>
        <v>ይድነቃቸው ወ/መስቀል</v>
      </c>
      <c r="C29" s="37">
        <f>ዕቁብ!C31</f>
        <v>21000</v>
      </c>
      <c r="D29" s="38">
        <f>IF((ዕቁብ!E31/ቦኖ!$C$4&gt;0),1,0)</f>
        <v>1</v>
      </c>
      <c r="E29" s="38">
        <f>IF((ዕቁብ!F31/ቦኖ!$C$4&gt;0),1,0)</f>
        <v>1</v>
      </c>
      <c r="F29" s="38">
        <f>IF((ዕቁብ!G31/ቦኖ!$C$4&gt;0),1,0)</f>
        <v>1</v>
      </c>
      <c r="G29" s="38">
        <f>IF((ዕቁብ!H31/ቦኖ!$C$4&gt;0),1,0)</f>
        <v>1</v>
      </c>
      <c r="H29" s="38">
        <f>IF((ዕቁብ!I31/ቦኖ!$C$4&gt;0),1,0)</f>
        <v>1</v>
      </c>
      <c r="I29" s="38">
        <f>IF((ዕቁብ!J31/ቦኖ!$C$4&gt;0),1,0)</f>
        <v>1</v>
      </c>
      <c r="J29" s="38">
        <f>IF((ዕቁብ!K31/ቦኖ!$C$4&gt;0),1,0)</f>
        <v>1</v>
      </c>
      <c r="K29" s="38">
        <f>IF((ዕቁብ!L31/ቦኖ!$C$4&gt;0),1,0)</f>
        <v>1</v>
      </c>
      <c r="L29" s="38">
        <f>IF((ዕቁብ!M31/ቦኖ!$C$4&gt;0),1,0)</f>
        <v>1</v>
      </c>
      <c r="M29" s="38">
        <f>IF((ዕቁብ!N31/ቦኖ!$C$4&gt;0),1,0)</f>
        <v>1</v>
      </c>
      <c r="N29" s="38">
        <f>IF((ዕቁብ!O31/ቦኖ!$C$4&gt;0),1,0)</f>
        <v>1</v>
      </c>
      <c r="O29" s="38">
        <f>IF((ዕቁብ!P31/ቦኖ!$C$4&gt;0),1,0)</f>
        <v>1</v>
      </c>
      <c r="P29" s="38">
        <f>IF((ዕቁብ!Q31/ቦኖ!$C$4&gt;0),1,0)</f>
        <v>1</v>
      </c>
      <c r="Q29" s="38">
        <f>IF((ዕቁብ!R31/ቦኖ!$C$4&gt;0),1,0)</f>
        <v>1</v>
      </c>
      <c r="R29" s="38">
        <f>IF((ዕቁብ!S31/ቦኖ!$C$4&gt;0),1,0)</f>
        <v>1</v>
      </c>
      <c r="S29" s="38">
        <f>IF((ዕቁብ!T31/ቦኖ!$C$4&gt;0),1,0)</f>
        <v>1</v>
      </c>
      <c r="T29" s="38">
        <f>IF((ዕቁብ!U31/ቦኖ!$C$4&gt;0),1,0)</f>
        <v>1</v>
      </c>
      <c r="U29" s="38">
        <f>IF((ዕቁብ!V31/ቦኖ!$C$4&gt;0),1,0)</f>
        <v>1</v>
      </c>
      <c r="V29" s="38">
        <f>IF((ዕቁብ!W31/ቦኖ!$C$4&gt;0),1,0)</f>
        <v>1</v>
      </c>
      <c r="W29" s="38">
        <f>IF((ዕቁብ!X31/ቦኖ!$C$4&gt;0),1,0)</f>
        <v>1</v>
      </c>
      <c r="X29" s="38">
        <f>IF((ዕቁብ!Y31/ቦኖ!$C$4&gt;0),1,0)</f>
        <v>1</v>
      </c>
      <c r="Y29" s="38">
        <f>IF((ዕቁብ!Z31/ቦኖ!$C$4&gt;0),1,0)</f>
        <v>1</v>
      </c>
      <c r="Z29" s="38">
        <f>IF((ዕቁብ!AA31/ቦኖ!$C$4&gt;0),1,0)</f>
        <v>1</v>
      </c>
      <c r="AA29" s="38">
        <f>IF((ዕቁብ!AB31/ቦኖ!$C$4&gt;0),1,0)</f>
        <v>1</v>
      </c>
      <c r="AB29" s="38">
        <f>IF((ዕቁብ!AC31/ቦኖ!$C$4&gt;0),1,0)</f>
        <v>1</v>
      </c>
      <c r="AC29" s="38">
        <f>IF((ዕቁብ!AD31/ቦኖ!$C$4&gt;0),1,0)</f>
        <v>1</v>
      </c>
      <c r="AD29" s="38">
        <f>IF((ዕቁብ!AE31/ቦኖ!$C$4&gt;0),1,0)</f>
        <v>1</v>
      </c>
      <c r="AE29" s="38">
        <f>IF((ዕቁብ!AF31/ቦኖ!$C$4&gt;0),1,0)</f>
        <v>1</v>
      </c>
      <c r="AF29" s="38">
        <f>IF((ዕቁብ!AG31/ቦኖ!$C$4&gt;0),1,0)</f>
        <v>1</v>
      </c>
      <c r="AG29" s="38">
        <f>IF((ዕቁብ!AH31/ቦኖ!$C$4&gt;0),1,0)</f>
        <v>1</v>
      </c>
      <c r="AH29" s="38">
        <f>IF((ዕቁብ!AI31/ቦኖ!$C$4&gt;0),1,0)</f>
        <v>1</v>
      </c>
      <c r="AI29" s="38">
        <f>IF((ዕቁብ!AJ31/ቦኖ!$C$4&gt;0),1,0)</f>
        <v>1</v>
      </c>
      <c r="AJ29" s="38">
        <f>IF((ዕቁብ!AK31/ቦኖ!$C$4&gt;0),1,0)</f>
        <v>1</v>
      </c>
      <c r="AK29" s="38">
        <f>IF((ዕቁብ!AL31/ቦኖ!$C$4&gt;0),1,0)</f>
        <v>1</v>
      </c>
      <c r="AL29" s="38">
        <f>IF((ዕቁብ!AM31/ቦኖ!$C$4&gt;0),1,0)</f>
        <v>1</v>
      </c>
      <c r="AM29" s="38">
        <f>IF((ዕቁብ!AN31/ቦኖ!$C$4&gt;0),1,0)</f>
        <v>1</v>
      </c>
      <c r="AN29" s="38">
        <f>IF((ዕቁብ!AO31/ቦኖ!$C$4&gt;0),1,0)</f>
        <v>1</v>
      </c>
      <c r="AO29" s="38">
        <f>IF((ዕቁብ!AP31/ቦኖ!$C$4&gt;0),1,0)</f>
        <v>1</v>
      </c>
      <c r="AP29" s="38">
        <f>IF((ዕቁብ!AQ31/ቦኖ!$C$4&gt;0),1,0)</f>
        <v>1</v>
      </c>
      <c r="AQ29" s="38">
        <f>IF((ዕቁብ!AR31/ቦኖ!$C$4&gt;0),1,0)</f>
        <v>1</v>
      </c>
      <c r="AR29" s="38">
        <f>IF((ዕቁብ!AS31/ቦኖ!$C$4&gt;0),1,0)</f>
        <v>0</v>
      </c>
      <c r="AS29" s="38">
        <f>IF((ዕቁብ!AT31/ቦኖ!$C$4&gt;0),1,0)</f>
        <v>1</v>
      </c>
      <c r="AT29" s="38">
        <f>IF((ዕቁብ!AU31/ቦኖ!$C$4&gt;0),1,0)</f>
        <v>0</v>
      </c>
      <c r="AU29" s="38">
        <f>IF((ዕቁብ!AV31/ቦኖ!$C$4&gt;0),1,0)</f>
        <v>1</v>
      </c>
      <c r="AV29" s="38">
        <f>IF((ዕቁብ!AW31/ቦኖ!$C$4&gt;0),1,0)</f>
        <v>1</v>
      </c>
      <c r="AW29" s="38">
        <f>IF((ዕቁብ!AX31/ቦኖ!$C$4&gt;0),1,0)</f>
        <v>0</v>
      </c>
      <c r="AX29" s="38">
        <f>IF((ዕቁብ!AY31/ቦኖ!$C$4&gt;0),1,0)</f>
        <v>1</v>
      </c>
      <c r="AY29" s="38">
        <f>IF((ዕቁብ!AZ31/ቦኖ!$C$4&gt;0),1,0)</f>
        <v>1</v>
      </c>
      <c r="AZ29" s="38">
        <f>IF((ዕቁብ!BA31/ቦኖ!$C$4&gt;0),1,0)</f>
        <v>1</v>
      </c>
      <c r="BA29" s="38">
        <f>IF((ዕቁብ!BB31/ቦኖ!$C$4&gt;0),1,0)</f>
        <v>1</v>
      </c>
      <c r="BB29" s="38">
        <f>IF((ዕቁብ!BC31/ቦኖ!$C$4&gt;0),1,0)</f>
        <v>1</v>
      </c>
      <c r="BC29" s="38">
        <f>IF((ዕቁብ!BD31/ቦኖ!$C$4&gt;0),1,0)</f>
        <v>1</v>
      </c>
      <c r="BD29" s="38">
        <f>IF((ዕቁብ!BE31/ቦኖ!$C$4&gt;0),1,0)</f>
        <v>0</v>
      </c>
      <c r="BE29" s="38">
        <f>IF((ዕቁብ!BF31/ቦኖ!$C$4&gt;0),1,0)</f>
        <v>1</v>
      </c>
      <c r="BF29" s="38">
        <f>IF((ዕቁብ!BG31/ቦኖ!$C$4&gt;0),1,0)</f>
        <v>1</v>
      </c>
      <c r="BG29" s="38">
        <f>IF((ዕቁብ!BH31/ቦኖ!$C$4&gt;0),1,0)</f>
        <v>0</v>
      </c>
      <c r="BH29" s="38">
        <f>IF((ዕቁብ!BI31/ቦኖ!$C$4&gt;0),1,0)</f>
        <v>1</v>
      </c>
      <c r="BI29" s="38">
        <f>IF((ዕቁብ!BJ31/ቦኖ!$C$4&gt;0),1,0)</f>
        <v>1</v>
      </c>
      <c r="BJ29" s="38">
        <f>IF((ዕቁብ!BK31/ቦኖ!$C$4&gt;0),1,0)</f>
        <v>1</v>
      </c>
      <c r="BK29" s="38">
        <f>IF((ዕቁብ!BL31/ቦኖ!$C$4&gt;0),1,0)</f>
        <v>1</v>
      </c>
      <c r="BL29" s="38">
        <f>IF((ዕቁብ!BM31/ቦኖ!$C$4&gt;0),1,0)</f>
        <v>1</v>
      </c>
      <c r="BM29" s="38">
        <f>IF((ዕቁብ!BN31/ቦኖ!$C$4&gt;0),1,0)</f>
        <v>0</v>
      </c>
      <c r="BN29" s="38">
        <f>IF((ዕቁብ!BO31/ቦኖ!$C$4&gt;0),1,0)</f>
        <v>1</v>
      </c>
      <c r="BO29" s="38">
        <f>IF((ዕቁብ!BP31/ቦኖ!$C$4&gt;0),1,0)</f>
        <v>0</v>
      </c>
      <c r="BP29" s="38">
        <f>IF((ዕቁብ!BQ31/ቦኖ!$C$4&gt;0),1,0)</f>
        <v>1</v>
      </c>
      <c r="BQ29" s="38">
        <f>IF((ዕቁብ!BR31/ቦኖ!$C$4&gt;0),1,0)</f>
        <v>1</v>
      </c>
      <c r="BR29" s="38">
        <f>IF((ዕቁብ!BS31/ቦኖ!$C$4&gt;0),1,0)</f>
        <v>1</v>
      </c>
      <c r="BS29" s="38">
        <f>IF((ዕቁብ!BT31/ቦኖ!$C$4&gt;0),1,0)</f>
        <v>1</v>
      </c>
      <c r="BT29" s="38">
        <f>IF((ዕቁብ!BU31/ቦኖ!$C$4&gt;0),1,0)</f>
        <v>1</v>
      </c>
      <c r="BU29" s="38">
        <f>IF((ዕቁብ!BV31/ቦኖ!$C$4&gt;0),1,0)</f>
        <v>1</v>
      </c>
      <c r="BV29" s="38">
        <f>IF((ዕቁብ!BW31/ቦኖ!$C$4&gt;0),1,0)</f>
        <v>1</v>
      </c>
      <c r="BW29" s="38">
        <f>IF((ዕቁብ!BX31/ቦኖ!$C$4&gt;0),1,0)</f>
        <v>1</v>
      </c>
      <c r="BX29" s="38">
        <f>IF((ዕቁብ!BY31/ቦኖ!$C$4&gt;0),1,0)</f>
        <v>1</v>
      </c>
      <c r="BY29" s="38">
        <f>IF((ዕቁብ!BZ31/ቦኖ!$C$4&gt;0),1,0)</f>
        <v>1</v>
      </c>
      <c r="BZ29" s="38">
        <f>IF((ዕቁብ!CA31/ቦኖ!$C$4&gt;0),1,0)</f>
        <v>0</v>
      </c>
      <c r="CA29" s="38">
        <f>IF((ዕቁብ!CB31/ቦኖ!$C$4&gt;0),1,0)</f>
        <v>1</v>
      </c>
      <c r="CB29" s="38">
        <f>IF((ዕቁብ!CC31/ቦኖ!$C$4&gt;0),1,0)</f>
        <v>0</v>
      </c>
      <c r="CC29" s="38">
        <f>IF((ዕቁብ!CD31/ቦኖ!$C$4&gt;0),1,0)</f>
        <v>1</v>
      </c>
      <c r="CD29" s="38">
        <f>IF((ዕቁብ!CE31/ቦኖ!$C$4&gt;0),1,0)</f>
        <v>1</v>
      </c>
      <c r="CE29" s="38">
        <f>IF((ዕቁብ!CF31/ቦኖ!$C$4&gt;0),1,0)</f>
        <v>1</v>
      </c>
      <c r="CF29" s="38">
        <f>IF((ዕቁብ!CG31/ቦኖ!$C$4&gt;0),1,0)</f>
        <v>0</v>
      </c>
      <c r="CG29" s="38">
        <f>IF((ዕቁብ!CH31/ቦኖ!$C$4&gt;0),1,0)</f>
        <v>1</v>
      </c>
      <c r="CH29" s="38">
        <f>IF((ዕቁብ!CI31/ቦኖ!$C$4&gt;0),1,0)</f>
        <v>0</v>
      </c>
      <c r="CI29" s="38">
        <f>IF((ዕቁብ!CJ31/ቦኖ!$C$4&gt;0),1,0)</f>
        <v>1</v>
      </c>
      <c r="CJ29" s="38">
        <f>IF((ዕቁብ!CK31/ቦኖ!$C$4&gt;0),1,0)</f>
        <v>1</v>
      </c>
      <c r="CK29" s="38">
        <f>IF((ዕቁብ!CL31/ቦኖ!$C$4&gt;0),1,0)</f>
        <v>1</v>
      </c>
      <c r="CL29" s="38">
        <f>IF((ዕቁብ!CM31/ቦኖ!$C$4&gt;0),1,0)</f>
        <v>1</v>
      </c>
      <c r="CM29" s="38">
        <f>IF((ዕቁብ!CN31/ቦኖ!$C$4&gt;0),1,0)</f>
        <v>1</v>
      </c>
      <c r="CN29" s="38">
        <f>IF((ዕቁብ!CO31/ቦኖ!$C$4&gt;0),1,0)</f>
        <v>1</v>
      </c>
      <c r="CO29" s="38">
        <f>IF((ዕቁብ!CP31/ቦኖ!$C$4&gt;0),1,0)</f>
        <v>1</v>
      </c>
      <c r="CP29" s="38">
        <f>IF((ዕቁብ!CQ31/ቦኖ!$C$4&gt;0),1,0)</f>
        <v>0</v>
      </c>
      <c r="CQ29" s="38">
        <f>IF((ዕቁብ!CR31/ቦኖ!$C$4&gt;0),1,0)</f>
        <v>1</v>
      </c>
      <c r="CR29" s="38">
        <f>IF((ዕቁብ!CS31/ቦኖ!$C$4&gt;0),1,0)</f>
        <v>1</v>
      </c>
      <c r="CS29" s="38">
        <f>IF((ዕቁብ!CT31/ቦኖ!$C$4&gt;0),1,0)</f>
        <v>1</v>
      </c>
      <c r="CT29" s="38">
        <f>IF((ዕቁብ!CU31/ቦኖ!$C$4&gt;0),1,0)</f>
        <v>1</v>
      </c>
      <c r="CU29" s="38">
        <f>IF((ዕቁብ!CV31/ቦኖ!$C$4&gt;0),1,0)</f>
        <v>1</v>
      </c>
      <c r="CV29" s="38">
        <f>IF((ዕቁብ!CW31/ቦኖ!$C$4&gt;0),1,0)</f>
        <v>1</v>
      </c>
      <c r="CW29" s="38">
        <f>IF((ዕቁብ!CX31/ቦኖ!$C$4&gt;0),1,0)</f>
        <v>1</v>
      </c>
      <c r="CX29" s="38">
        <f>IF((ዕቁብ!CY31/ቦኖ!$C$4&gt;0),1,0)</f>
        <v>1</v>
      </c>
      <c r="CY29" s="38">
        <f>IF((ዕቁብ!CZ31/ቦኖ!$C$4&gt;0),1,0)</f>
        <v>1</v>
      </c>
      <c r="CZ29" s="38">
        <f>IF((ዕቁብ!DA31/ቦኖ!$C$4&gt;0),1,0)</f>
        <v>1</v>
      </c>
      <c r="DA29" s="38">
        <f>IF((ዕቁብ!DB31/ቦኖ!$C$4&gt;0),1,0)</f>
        <v>1</v>
      </c>
      <c r="DB29" s="38">
        <f>IF((ዕቁብ!DC31/ቦኖ!$C$4&gt;0),1,0)</f>
        <v>1</v>
      </c>
      <c r="DC29" s="38">
        <f>IF((ዕቁብ!DD31/ቦኖ!$C$4&gt;0),1,0)</f>
        <v>1</v>
      </c>
      <c r="DD29" s="38">
        <f>IF((ዕቁብ!DE31/ቦኖ!$C$4&gt;0),1,0)</f>
        <v>1</v>
      </c>
      <c r="DE29" s="38">
        <f>IF((ዕቁብ!DF31/ቦኖ!$C$4&gt;0),1,0)</f>
        <v>1</v>
      </c>
      <c r="DF29" s="38">
        <f>IF((ዕቁብ!DG31/ቦኖ!$C$4&gt;0),1,0)</f>
        <v>1</v>
      </c>
      <c r="DG29" s="38">
        <f>IF((ዕቁብ!DH31/ቦኖ!$C$4&gt;0),1,0)</f>
        <v>1</v>
      </c>
      <c r="DH29" s="38">
        <f>IF((ዕቁብ!DI31/ቦኖ!$C$4&gt;0),1,0)</f>
        <v>0</v>
      </c>
      <c r="DI29" s="38">
        <f>IF((ዕቁብ!DJ31/ቦኖ!$C$4&gt;0),1,0)</f>
        <v>0</v>
      </c>
      <c r="DJ29" s="38">
        <f>IF((ዕቁብ!DK31/ቦኖ!$C$4&gt;0),1,0)</f>
        <v>0</v>
      </c>
      <c r="DK29" s="38">
        <f>IF((ዕቁብ!DL31/ቦኖ!$C$4&gt;0),1,0)</f>
        <v>0</v>
      </c>
      <c r="DL29" s="38">
        <f>IF((ዕቁብ!DM31/ቦኖ!$C$4&gt;0),1,0)</f>
        <v>0</v>
      </c>
      <c r="DM29" s="38">
        <f>IF((ዕቁብ!DN31/ቦኖ!$C$4&gt;0),1,0)</f>
        <v>0</v>
      </c>
      <c r="DN29" s="38">
        <f>IF((ዕቁብ!DO31/ቦኖ!$C$4&gt;0),1,0)</f>
        <v>0</v>
      </c>
      <c r="DO29" s="38">
        <f>IF((ዕቁብ!DP31/ቦኖ!$C$4&gt;0),1,0)</f>
        <v>0</v>
      </c>
      <c r="DP29" s="38">
        <f>IF((ዕቁብ!DQ31/ቦኖ!$C$4&gt;0),1,0)</f>
        <v>0</v>
      </c>
      <c r="DQ29" s="38">
        <f>IF((ዕቁብ!DR31/ቦኖ!$C$4&gt;0),1,0)</f>
        <v>0</v>
      </c>
    </row>
    <row r="30" spans="1:121" ht="15.75" customHeight="1" x14ac:dyDescent="0.3">
      <c r="A30" s="33">
        <f>ዕቁብ!A32</f>
        <v>26</v>
      </c>
      <c r="B30" s="33" t="str">
        <f>ዕቁብ!B32</f>
        <v>ፈትለወርቅ ታደሰ</v>
      </c>
      <c r="C30" s="37">
        <f>ዕቁብ!C32</f>
        <v>21000</v>
      </c>
      <c r="D30" s="38">
        <f>IF((ዕቁብ!E32/ቦኖ!$C$4&gt;0),1,0)</f>
        <v>1</v>
      </c>
      <c r="E30" s="38">
        <f>IF((ዕቁብ!F32/ቦኖ!$C$4&gt;0),1,0)</f>
        <v>1</v>
      </c>
      <c r="F30" s="38">
        <f>IF((ዕቁብ!G32/ቦኖ!$C$4&gt;0),1,0)</f>
        <v>1</v>
      </c>
      <c r="G30" s="38">
        <f>IF((ዕቁብ!H32/ቦኖ!$C$4&gt;0),1,0)</f>
        <v>1</v>
      </c>
      <c r="H30" s="38">
        <f>IF((ዕቁብ!I32/ቦኖ!$C$4&gt;0),1,0)</f>
        <v>1</v>
      </c>
      <c r="I30" s="38">
        <f>IF((ዕቁብ!J32/ቦኖ!$C$4&gt;0),1,0)</f>
        <v>1</v>
      </c>
      <c r="J30" s="38">
        <f>IF((ዕቁብ!K32/ቦኖ!$C$4&gt;0),1,0)</f>
        <v>1</v>
      </c>
      <c r="K30" s="38">
        <f>IF((ዕቁብ!L32/ቦኖ!$C$4&gt;0),1,0)</f>
        <v>1</v>
      </c>
      <c r="L30" s="38">
        <f>IF((ዕቁብ!M32/ቦኖ!$C$4&gt;0),1,0)</f>
        <v>1</v>
      </c>
      <c r="M30" s="38">
        <f>IF((ዕቁብ!N32/ቦኖ!$C$4&gt;0),1,0)</f>
        <v>1</v>
      </c>
      <c r="N30" s="38">
        <f>IF((ዕቁብ!O32/ቦኖ!$C$4&gt;0),1,0)</f>
        <v>1</v>
      </c>
      <c r="O30" s="38">
        <f>IF((ዕቁብ!P32/ቦኖ!$C$4&gt;0),1,0)</f>
        <v>1</v>
      </c>
      <c r="P30" s="38">
        <f>IF((ዕቁብ!Q32/ቦኖ!$C$4&gt;0),1,0)</f>
        <v>1</v>
      </c>
      <c r="Q30" s="38">
        <f>IF((ዕቁብ!R32/ቦኖ!$C$4&gt;0),1,0)</f>
        <v>1</v>
      </c>
      <c r="R30" s="38">
        <f>IF((ዕቁብ!S32/ቦኖ!$C$4&gt;0),1,0)</f>
        <v>1</v>
      </c>
      <c r="S30" s="38">
        <f>IF((ዕቁብ!T32/ቦኖ!$C$4&gt;0),1,0)</f>
        <v>1</v>
      </c>
      <c r="T30" s="38">
        <f>IF((ዕቁብ!U32/ቦኖ!$C$4&gt;0),1,0)</f>
        <v>1</v>
      </c>
      <c r="U30" s="38">
        <f>IF((ዕቁብ!V32/ቦኖ!$C$4&gt;0),1,0)</f>
        <v>1</v>
      </c>
      <c r="V30" s="38">
        <f>IF((ዕቁብ!W32/ቦኖ!$C$4&gt;0),1,0)</f>
        <v>1</v>
      </c>
      <c r="W30" s="38">
        <f>IF((ዕቁብ!X32/ቦኖ!$C$4&gt;0),1,0)</f>
        <v>1</v>
      </c>
      <c r="X30" s="38">
        <f>IF((ዕቁብ!Y32/ቦኖ!$C$4&gt;0),1,0)</f>
        <v>1</v>
      </c>
      <c r="Y30" s="38">
        <f>IF((ዕቁብ!Z32/ቦኖ!$C$4&gt;0),1,0)</f>
        <v>1</v>
      </c>
      <c r="Z30" s="38">
        <f>IF((ዕቁብ!AA32/ቦኖ!$C$4&gt;0),1,0)</f>
        <v>1</v>
      </c>
      <c r="AA30" s="38">
        <f>IF((ዕቁብ!AB32/ቦኖ!$C$4&gt;0),1,0)</f>
        <v>1</v>
      </c>
      <c r="AB30" s="38">
        <f>IF((ዕቁብ!AC32/ቦኖ!$C$4&gt;0),1,0)</f>
        <v>1</v>
      </c>
      <c r="AC30" s="38">
        <f>IF((ዕቁብ!AD32/ቦኖ!$C$4&gt;0),1,0)</f>
        <v>1</v>
      </c>
      <c r="AD30" s="38">
        <f>IF((ዕቁብ!AE32/ቦኖ!$C$4&gt;0),1,0)</f>
        <v>1</v>
      </c>
      <c r="AE30" s="38">
        <f>IF((ዕቁብ!AF32/ቦኖ!$C$4&gt;0),1,0)</f>
        <v>1</v>
      </c>
      <c r="AF30" s="38">
        <f>IF((ዕቁብ!AG32/ቦኖ!$C$4&gt;0),1,0)</f>
        <v>1</v>
      </c>
      <c r="AG30" s="38">
        <f>IF((ዕቁብ!AH32/ቦኖ!$C$4&gt;0),1,0)</f>
        <v>1</v>
      </c>
      <c r="AH30" s="38">
        <f>IF((ዕቁብ!AI32/ቦኖ!$C$4&gt;0),1,0)</f>
        <v>1</v>
      </c>
      <c r="AI30" s="38">
        <f>IF((ዕቁብ!AJ32/ቦኖ!$C$4&gt;0),1,0)</f>
        <v>1</v>
      </c>
      <c r="AJ30" s="38">
        <f>IF((ዕቁብ!AK32/ቦኖ!$C$4&gt;0),1,0)</f>
        <v>1</v>
      </c>
      <c r="AK30" s="38">
        <f>IF((ዕቁብ!AL32/ቦኖ!$C$4&gt;0),1,0)</f>
        <v>1</v>
      </c>
      <c r="AL30" s="38">
        <f>IF((ዕቁብ!AM32/ቦኖ!$C$4&gt;0),1,0)</f>
        <v>1</v>
      </c>
      <c r="AM30" s="38">
        <f>IF((ዕቁብ!AN32/ቦኖ!$C$4&gt;0),1,0)</f>
        <v>1</v>
      </c>
      <c r="AN30" s="38">
        <f>IF((ዕቁብ!AO32/ቦኖ!$C$4&gt;0),1,0)</f>
        <v>1</v>
      </c>
      <c r="AO30" s="38">
        <f>IF((ዕቁብ!AP32/ቦኖ!$C$4&gt;0),1,0)</f>
        <v>1</v>
      </c>
      <c r="AP30" s="38">
        <f>IF((ዕቁብ!AQ32/ቦኖ!$C$4&gt;0),1,0)</f>
        <v>1</v>
      </c>
      <c r="AQ30" s="38">
        <f>IF((ዕቁብ!AR32/ቦኖ!$C$4&gt;0),1,0)</f>
        <v>1</v>
      </c>
      <c r="AR30" s="38">
        <f>IF((ዕቁብ!AS32/ቦኖ!$C$4&gt;0),1,0)</f>
        <v>0</v>
      </c>
      <c r="AS30" s="38">
        <f>IF((ዕቁብ!AT32/ቦኖ!$C$4&gt;0),1,0)</f>
        <v>1</v>
      </c>
      <c r="AT30" s="38">
        <f>IF((ዕቁብ!AU32/ቦኖ!$C$4&gt;0),1,0)</f>
        <v>0</v>
      </c>
      <c r="AU30" s="38">
        <f>IF((ዕቁብ!AV32/ቦኖ!$C$4&gt;0),1,0)</f>
        <v>1</v>
      </c>
      <c r="AV30" s="38">
        <f>IF((ዕቁብ!AW32/ቦኖ!$C$4&gt;0),1,0)</f>
        <v>1</v>
      </c>
      <c r="AW30" s="38">
        <f>IF((ዕቁብ!AX32/ቦኖ!$C$4&gt;0),1,0)</f>
        <v>0</v>
      </c>
      <c r="AX30" s="38">
        <f>IF((ዕቁብ!AY32/ቦኖ!$C$4&gt;0),1,0)</f>
        <v>1</v>
      </c>
      <c r="AY30" s="38">
        <f>IF((ዕቁብ!AZ32/ቦኖ!$C$4&gt;0),1,0)</f>
        <v>1</v>
      </c>
      <c r="AZ30" s="38">
        <f>IF((ዕቁብ!BA32/ቦኖ!$C$4&gt;0),1,0)</f>
        <v>1</v>
      </c>
      <c r="BA30" s="38">
        <f>IF((ዕቁብ!BB32/ቦኖ!$C$4&gt;0),1,0)</f>
        <v>1</v>
      </c>
      <c r="BB30" s="38">
        <f>IF((ዕቁብ!BC32/ቦኖ!$C$4&gt;0),1,0)</f>
        <v>1</v>
      </c>
      <c r="BC30" s="38">
        <f>IF((ዕቁብ!BD32/ቦኖ!$C$4&gt;0),1,0)</f>
        <v>1</v>
      </c>
      <c r="BD30" s="38">
        <f>IF((ዕቁብ!BE32/ቦኖ!$C$4&gt;0),1,0)</f>
        <v>0</v>
      </c>
      <c r="BE30" s="38">
        <f>IF((ዕቁብ!BF32/ቦኖ!$C$4&gt;0),1,0)</f>
        <v>1</v>
      </c>
      <c r="BF30" s="38">
        <f>IF((ዕቁብ!BG32/ቦኖ!$C$4&gt;0),1,0)</f>
        <v>1</v>
      </c>
      <c r="BG30" s="38">
        <f>IF((ዕቁብ!BH32/ቦኖ!$C$4&gt;0),1,0)</f>
        <v>0</v>
      </c>
      <c r="BH30" s="38">
        <f>IF((ዕቁብ!BI32/ቦኖ!$C$4&gt;0),1,0)</f>
        <v>1</v>
      </c>
      <c r="BI30" s="38">
        <f>IF((ዕቁብ!BJ32/ቦኖ!$C$4&gt;0),1,0)</f>
        <v>1</v>
      </c>
      <c r="BJ30" s="38">
        <f>IF((ዕቁብ!BK32/ቦኖ!$C$4&gt;0),1,0)</f>
        <v>1</v>
      </c>
      <c r="BK30" s="38">
        <f>IF((ዕቁብ!BL32/ቦኖ!$C$4&gt;0),1,0)</f>
        <v>1</v>
      </c>
      <c r="BL30" s="38">
        <f>IF((ዕቁብ!BM32/ቦኖ!$C$4&gt;0),1,0)</f>
        <v>1</v>
      </c>
      <c r="BM30" s="38">
        <f>IF((ዕቁብ!BN32/ቦኖ!$C$4&gt;0),1,0)</f>
        <v>0</v>
      </c>
      <c r="BN30" s="38">
        <f>IF((ዕቁብ!BO32/ቦኖ!$C$4&gt;0),1,0)</f>
        <v>1</v>
      </c>
      <c r="BO30" s="38">
        <f>IF((ዕቁብ!BP32/ቦኖ!$C$4&gt;0),1,0)</f>
        <v>0</v>
      </c>
      <c r="BP30" s="38">
        <f>IF((ዕቁብ!BQ32/ቦኖ!$C$4&gt;0),1,0)</f>
        <v>1</v>
      </c>
      <c r="BQ30" s="38">
        <f>IF((ዕቁብ!BR32/ቦኖ!$C$4&gt;0),1,0)</f>
        <v>1</v>
      </c>
      <c r="BR30" s="38">
        <f>IF((ዕቁብ!BS32/ቦኖ!$C$4&gt;0),1,0)</f>
        <v>1</v>
      </c>
      <c r="BS30" s="38">
        <f>IF((ዕቁብ!BT32/ቦኖ!$C$4&gt;0),1,0)</f>
        <v>1</v>
      </c>
      <c r="BT30" s="38">
        <f>IF((ዕቁብ!BU32/ቦኖ!$C$4&gt;0),1,0)</f>
        <v>1</v>
      </c>
      <c r="BU30" s="38">
        <f>IF((ዕቁብ!BV32/ቦኖ!$C$4&gt;0),1,0)</f>
        <v>1</v>
      </c>
      <c r="BV30" s="38">
        <f>IF((ዕቁብ!BW32/ቦኖ!$C$4&gt;0),1,0)</f>
        <v>1</v>
      </c>
      <c r="BW30" s="38">
        <f>IF((ዕቁብ!BX32/ቦኖ!$C$4&gt;0),1,0)</f>
        <v>1</v>
      </c>
      <c r="BX30" s="38">
        <f>IF((ዕቁብ!BY32/ቦኖ!$C$4&gt;0),1,0)</f>
        <v>1</v>
      </c>
      <c r="BY30" s="38">
        <f>IF((ዕቁብ!BZ32/ቦኖ!$C$4&gt;0),1,0)</f>
        <v>1</v>
      </c>
      <c r="BZ30" s="38">
        <f>IF((ዕቁብ!CA32/ቦኖ!$C$4&gt;0),1,0)</f>
        <v>0</v>
      </c>
      <c r="CA30" s="38">
        <f>IF((ዕቁብ!CB32/ቦኖ!$C$4&gt;0),1,0)</f>
        <v>1</v>
      </c>
      <c r="CB30" s="38">
        <f>IF((ዕቁብ!CC32/ቦኖ!$C$4&gt;0),1,0)</f>
        <v>0</v>
      </c>
      <c r="CC30" s="38">
        <f>IF((ዕቁብ!CD32/ቦኖ!$C$4&gt;0),1,0)</f>
        <v>1</v>
      </c>
      <c r="CD30" s="38">
        <f>IF((ዕቁብ!CE32/ቦኖ!$C$4&gt;0),1,0)</f>
        <v>1</v>
      </c>
      <c r="CE30" s="38">
        <f>IF((ዕቁብ!CF32/ቦኖ!$C$4&gt;0),1,0)</f>
        <v>1</v>
      </c>
      <c r="CF30" s="38">
        <f>IF((ዕቁብ!CG32/ቦኖ!$C$4&gt;0),1,0)</f>
        <v>0</v>
      </c>
      <c r="CG30" s="38">
        <f>IF((ዕቁብ!CH32/ቦኖ!$C$4&gt;0),1,0)</f>
        <v>1</v>
      </c>
      <c r="CH30" s="38">
        <f>IF((ዕቁብ!CI32/ቦኖ!$C$4&gt;0),1,0)</f>
        <v>0</v>
      </c>
      <c r="CI30" s="38">
        <f>IF((ዕቁብ!CJ32/ቦኖ!$C$4&gt;0),1,0)</f>
        <v>1</v>
      </c>
      <c r="CJ30" s="38">
        <f>IF((ዕቁብ!CK32/ቦኖ!$C$4&gt;0),1,0)</f>
        <v>1</v>
      </c>
      <c r="CK30" s="38">
        <f>IF((ዕቁብ!CL32/ቦኖ!$C$4&gt;0),1,0)</f>
        <v>1</v>
      </c>
      <c r="CL30" s="38">
        <f>IF((ዕቁብ!CM32/ቦኖ!$C$4&gt;0),1,0)</f>
        <v>1</v>
      </c>
      <c r="CM30" s="38">
        <f>IF((ዕቁብ!CN32/ቦኖ!$C$4&gt;0),1,0)</f>
        <v>1</v>
      </c>
      <c r="CN30" s="38">
        <f>IF((ዕቁብ!CO32/ቦኖ!$C$4&gt;0),1,0)</f>
        <v>1</v>
      </c>
      <c r="CO30" s="38">
        <f>IF((ዕቁብ!CP32/ቦኖ!$C$4&gt;0),1,0)</f>
        <v>1</v>
      </c>
      <c r="CP30" s="38">
        <f>IF((ዕቁብ!CQ32/ቦኖ!$C$4&gt;0),1,0)</f>
        <v>0</v>
      </c>
      <c r="CQ30" s="38">
        <f>IF((ዕቁብ!CR32/ቦኖ!$C$4&gt;0),1,0)</f>
        <v>1</v>
      </c>
      <c r="CR30" s="38">
        <f>IF((ዕቁብ!CS32/ቦኖ!$C$4&gt;0),1,0)</f>
        <v>1</v>
      </c>
      <c r="CS30" s="38">
        <f>IF((ዕቁብ!CT32/ቦኖ!$C$4&gt;0),1,0)</f>
        <v>1</v>
      </c>
      <c r="CT30" s="38">
        <f>IF((ዕቁብ!CU32/ቦኖ!$C$4&gt;0),1,0)</f>
        <v>1</v>
      </c>
      <c r="CU30" s="38">
        <f>IF((ዕቁብ!CV32/ቦኖ!$C$4&gt;0),1,0)</f>
        <v>1</v>
      </c>
      <c r="CV30" s="38">
        <f>IF((ዕቁብ!CW32/ቦኖ!$C$4&gt;0),1,0)</f>
        <v>1</v>
      </c>
      <c r="CW30" s="38">
        <f>IF((ዕቁብ!CX32/ቦኖ!$C$4&gt;0),1,0)</f>
        <v>1</v>
      </c>
      <c r="CX30" s="38">
        <f>IF((ዕቁብ!CY32/ቦኖ!$C$4&gt;0),1,0)</f>
        <v>1</v>
      </c>
      <c r="CY30" s="38">
        <f>IF((ዕቁብ!CZ32/ቦኖ!$C$4&gt;0),1,0)</f>
        <v>1</v>
      </c>
      <c r="CZ30" s="38">
        <f>IF((ዕቁብ!DA32/ቦኖ!$C$4&gt;0),1,0)</f>
        <v>1</v>
      </c>
      <c r="DA30" s="38">
        <f>IF((ዕቁብ!DB32/ቦኖ!$C$4&gt;0),1,0)</f>
        <v>1</v>
      </c>
      <c r="DB30" s="38">
        <f>IF((ዕቁብ!DC32/ቦኖ!$C$4&gt;0),1,0)</f>
        <v>1</v>
      </c>
      <c r="DC30" s="38">
        <f>IF((ዕቁብ!DD32/ቦኖ!$C$4&gt;0),1,0)</f>
        <v>1</v>
      </c>
      <c r="DD30" s="38">
        <f>IF((ዕቁብ!DE32/ቦኖ!$C$4&gt;0),1,0)</f>
        <v>1</v>
      </c>
      <c r="DE30" s="38">
        <f>IF((ዕቁብ!DF32/ቦኖ!$C$4&gt;0),1,0)</f>
        <v>1</v>
      </c>
      <c r="DF30" s="38">
        <f>IF((ዕቁብ!DG32/ቦኖ!$C$4&gt;0),1,0)</f>
        <v>1</v>
      </c>
      <c r="DG30" s="38">
        <f>IF((ዕቁብ!DH32/ቦኖ!$C$4&gt;0),1,0)</f>
        <v>1</v>
      </c>
      <c r="DH30" s="38">
        <f>IF((ዕቁብ!DI32/ቦኖ!$C$4&gt;0),1,0)</f>
        <v>0</v>
      </c>
      <c r="DI30" s="38">
        <f>IF((ዕቁብ!DJ32/ቦኖ!$C$4&gt;0),1,0)</f>
        <v>0</v>
      </c>
      <c r="DJ30" s="38">
        <f>IF((ዕቁብ!DK32/ቦኖ!$C$4&gt;0),1,0)</f>
        <v>0</v>
      </c>
      <c r="DK30" s="38">
        <f>IF((ዕቁብ!DL32/ቦኖ!$C$4&gt;0),1,0)</f>
        <v>0</v>
      </c>
      <c r="DL30" s="38">
        <f>IF((ዕቁብ!DM32/ቦኖ!$C$4&gt;0),1,0)</f>
        <v>0</v>
      </c>
      <c r="DM30" s="38">
        <f>IF((ዕቁብ!DN32/ቦኖ!$C$4&gt;0),1,0)</f>
        <v>0</v>
      </c>
      <c r="DN30" s="38">
        <f>IF((ዕቁብ!DO32/ቦኖ!$C$4&gt;0),1,0)</f>
        <v>0</v>
      </c>
      <c r="DO30" s="38">
        <f>IF((ዕቁብ!DP32/ቦኖ!$C$4&gt;0),1,0)</f>
        <v>0</v>
      </c>
      <c r="DP30" s="38">
        <f>IF((ዕቁብ!DQ32/ቦኖ!$C$4&gt;0),1,0)</f>
        <v>0</v>
      </c>
      <c r="DQ30" s="38">
        <f>IF((ዕቁብ!DR32/ቦኖ!$C$4&gt;0),1,0)</f>
        <v>0</v>
      </c>
    </row>
    <row r="31" spans="1:121" ht="15.75" customHeight="1" x14ac:dyDescent="0.3">
      <c r="A31" s="33">
        <f>ዕቁብ!A33</f>
        <v>27</v>
      </c>
      <c r="B31" s="33" t="str">
        <f>ዕቁብ!B33</f>
        <v>አንተነህ ግዛዉ</v>
      </c>
      <c r="C31" s="37">
        <f>ዕቁብ!C33</f>
        <v>21000</v>
      </c>
      <c r="D31" s="38">
        <f>IF((ዕቁብ!E33/ቦኖ!$C$4&gt;0),1,0)</f>
        <v>1</v>
      </c>
      <c r="E31" s="38">
        <f>IF((ዕቁብ!F33/ቦኖ!$C$4&gt;0),1,0)</f>
        <v>1</v>
      </c>
      <c r="F31" s="38">
        <f>IF((ዕቁብ!G33/ቦኖ!$C$4&gt;0),1,0)</f>
        <v>1</v>
      </c>
      <c r="G31" s="38">
        <f>IF((ዕቁብ!H33/ቦኖ!$C$4&gt;0),1,0)</f>
        <v>1</v>
      </c>
      <c r="H31" s="38">
        <f>IF((ዕቁብ!I33/ቦኖ!$C$4&gt;0),1,0)</f>
        <v>1</v>
      </c>
      <c r="I31" s="38">
        <f>IF((ዕቁብ!J33/ቦኖ!$C$4&gt;0),1,0)</f>
        <v>1</v>
      </c>
      <c r="J31" s="38">
        <f>IF((ዕቁብ!K33/ቦኖ!$C$4&gt;0),1,0)</f>
        <v>1</v>
      </c>
      <c r="K31" s="38">
        <f>IF((ዕቁብ!L33/ቦኖ!$C$4&gt;0),1,0)</f>
        <v>1</v>
      </c>
      <c r="L31" s="38">
        <f>IF((ዕቁብ!M33/ቦኖ!$C$4&gt;0),1,0)</f>
        <v>1</v>
      </c>
      <c r="M31" s="38">
        <f>IF((ዕቁብ!N33/ቦኖ!$C$4&gt;0),1,0)</f>
        <v>1</v>
      </c>
      <c r="N31" s="38">
        <f>IF((ዕቁብ!O33/ቦኖ!$C$4&gt;0),1,0)</f>
        <v>1</v>
      </c>
      <c r="O31" s="38">
        <f>IF((ዕቁብ!P33/ቦኖ!$C$4&gt;0),1,0)</f>
        <v>1</v>
      </c>
      <c r="P31" s="38">
        <f>IF((ዕቁብ!Q33/ቦኖ!$C$4&gt;0),1,0)</f>
        <v>1</v>
      </c>
      <c r="Q31" s="38">
        <f>IF((ዕቁብ!R33/ቦኖ!$C$4&gt;0),1,0)</f>
        <v>1</v>
      </c>
      <c r="R31" s="38">
        <f>IF((ዕቁብ!S33/ቦኖ!$C$4&gt;0),1,0)</f>
        <v>1</v>
      </c>
      <c r="S31" s="38">
        <f>IF((ዕቁብ!T33/ቦኖ!$C$4&gt;0),1,0)</f>
        <v>1</v>
      </c>
      <c r="T31" s="38">
        <f>IF((ዕቁብ!U33/ቦኖ!$C$4&gt;0),1,0)</f>
        <v>1</v>
      </c>
      <c r="U31" s="38">
        <f>IF((ዕቁብ!V33/ቦኖ!$C$4&gt;0),1,0)</f>
        <v>1</v>
      </c>
      <c r="V31" s="38">
        <f>IF((ዕቁብ!W33/ቦኖ!$C$4&gt;0),1,0)</f>
        <v>1</v>
      </c>
      <c r="W31" s="38">
        <f>IF((ዕቁብ!X33/ቦኖ!$C$4&gt;0),1,0)</f>
        <v>1</v>
      </c>
      <c r="X31" s="38">
        <f>IF((ዕቁብ!Y33/ቦኖ!$C$4&gt;0),1,0)</f>
        <v>1</v>
      </c>
      <c r="Y31" s="38">
        <f>IF((ዕቁብ!Z33/ቦኖ!$C$4&gt;0),1,0)</f>
        <v>0</v>
      </c>
      <c r="Z31" s="38">
        <f>IF((ዕቁብ!AA33/ቦኖ!$C$4&gt;0),1,0)</f>
        <v>1</v>
      </c>
      <c r="AA31" s="38">
        <f>IF((ዕቁብ!AB33/ቦኖ!$C$4&gt;0),1,0)</f>
        <v>1</v>
      </c>
      <c r="AB31" s="38">
        <f>IF((ዕቁብ!AC33/ቦኖ!$C$4&gt;0),1,0)</f>
        <v>1</v>
      </c>
      <c r="AC31" s="38">
        <f>IF((ዕቁብ!AD33/ቦኖ!$C$4&gt;0),1,0)</f>
        <v>1</v>
      </c>
      <c r="AD31" s="38">
        <f>IF((ዕቁብ!AE33/ቦኖ!$C$4&gt;0),1,0)</f>
        <v>0</v>
      </c>
      <c r="AE31" s="38">
        <f>IF((ዕቁብ!AF33/ቦኖ!$C$4&gt;0),1,0)</f>
        <v>1</v>
      </c>
      <c r="AF31" s="38">
        <f>IF((ዕቁብ!AG33/ቦኖ!$C$4&gt;0),1,0)</f>
        <v>1</v>
      </c>
      <c r="AG31" s="38">
        <f>IF((ዕቁብ!AH33/ቦኖ!$C$4&gt;0),1,0)</f>
        <v>1</v>
      </c>
      <c r="AH31" s="38">
        <f>IF((ዕቁብ!AI33/ቦኖ!$C$4&gt;0),1,0)</f>
        <v>1</v>
      </c>
      <c r="AI31" s="38">
        <f>IF((ዕቁብ!AJ33/ቦኖ!$C$4&gt;0),1,0)</f>
        <v>0</v>
      </c>
      <c r="AJ31" s="38">
        <f>IF((ዕቁብ!AK33/ቦኖ!$C$4&gt;0),1,0)</f>
        <v>1</v>
      </c>
      <c r="AK31" s="38">
        <f>IF((ዕቁብ!AL33/ቦኖ!$C$4&gt;0),1,0)</f>
        <v>1</v>
      </c>
      <c r="AL31" s="38">
        <f>IF((ዕቁብ!AM33/ቦኖ!$C$4&gt;0),1,0)</f>
        <v>1</v>
      </c>
      <c r="AM31" s="38">
        <f>IF((ዕቁብ!AN33/ቦኖ!$C$4&gt;0),1,0)</f>
        <v>1</v>
      </c>
      <c r="AN31" s="38">
        <f>IF((ዕቁብ!AO33/ቦኖ!$C$4&gt;0),1,0)</f>
        <v>1</v>
      </c>
      <c r="AO31" s="38">
        <f>IF((ዕቁብ!AP33/ቦኖ!$C$4&gt;0),1,0)</f>
        <v>1</v>
      </c>
      <c r="AP31" s="38">
        <f>IF((ዕቁብ!AQ33/ቦኖ!$C$4&gt;0),1,0)</f>
        <v>0</v>
      </c>
      <c r="AQ31" s="38">
        <f>IF((ዕቁብ!AR33/ቦኖ!$C$4&gt;0),1,0)</f>
        <v>1</v>
      </c>
      <c r="AR31" s="38">
        <f>IF((ዕቁብ!AS33/ቦኖ!$C$4&gt;0),1,0)</f>
        <v>1</v>
      </c>
      <c r="AS31" s="38">
        <f>IF((ዕቁብ!AT33/ቦኖ!$C$4&gt;0),1,0)</f>
        <v>0</v>
      </c>
      <c r="AT31" s="38">
        <f>IF((ዕቁብ!AU33/ቦኖ!$C$4&gt;0),1,0)</f>
        <v>1</v>
      </c>
      <c r="AU31" s="38">
        <f>IF((ዕቁብ!AV33/ቦኖ!$C$4&gt;0),1,0)</f>
        <v>1</v>
      </c>
      <c r="AV31" s="38">
        <f>IF((ዕቁብ!AW33/ቦኖ!$C$4&gt;0),1,0)</f>
        <v>1</v>
      </c>
      <c r="AW31" s="38">
        <f>IF((ዕቁብ!AX33/ቦኖ!$C$4&gt;0),1,0)</f>
        <v>1</v>
      </c>
      <c r="AX31" s="38">
        <f>IF((ዕቁብ!AY33/ቦኖ!$C$4&gt;0),1,0)</f>
        <v>1</v>
      </c>
      <c r="AY31" s="38">
        <f>IF((ዕቁብ!AZ33/ቦኖ!$C$4&gt;0),1,0)</f>
        <v>0</v>
      </c>
      <c r="AZ31" s="38">
        <f>IF((ዕቁብ!BA33/ቦኖ!$C$4&gt;0),1,0)</f>
        <v>1</v>
      </c>
      <c r="BA31" s="38">
        <f>IF((ዕቁብ!BB33/ቦኖ!$C$4&gt;0),1,0)</f>
        <v>1</v>
      </c>
      <c r="BB31" s="38">
        <f>IF((ዕቁብ!BC33/ቦኖ!$C$4&gt;0),1,0)</f>
        <v>1</v>
      </c>
      <c r="BC31" s="38">
        <f>IF((ዕቁብ!BD33/ቦኖ!$C$4&gt;0),1,0)</f>
        <v>1</v>
      </c>
      <c r="BD31" s="38">
        <f>IF((ዕቁብ!BE33/ቦኖ!$C$4&gt;0),1,0)</f>
        <v>1</v>
      </c>
      <c r="BE31" s="38">
        <f>IF((ዕቁብ!BF33/ቦኖ!$C$4&gt;0),1,0)</f>
        <v>1</v>
      </c>
      <c r="BF31" s="38">
        <f>IF((ዕቁብ!BG33/ቦኖ!$C$4&gt;0),1,0)</f>
        <v>1</v>
      </c>
      <c r="BG31" s="38">
        <f>IF((ዕቁብ!BH33/ቦኖ!$C$4&gt;0),1,0)</f>
        <v>1</v>
      </c>
      <c r="BH31" s="38">
        <f>IF((ዕቁብ!BI33/ቦኖ!$C$4&gt;0),1,0)</f>
        <v>1</v>
      </c>
      <c r="BI31" s="38">
        <f>IF((ዕቁብ!BJ33/ቦኖ!$C$4&gt;0),1,0)</f>
        <v>1</v>
      </c>
      <c r="BJ31" s="38">
        <f>IF((ዕቁብ!BK33/ቦኖ!$C$4&gt;0),1,0)</f>
        <v>1</v>
      </c>
      <c r="BK31" s="38">
        <f>IF((ዕቁብ!BL33/ቦኖ!$C$4&gt;0),1,0)</f>
        <v>1</v>
      </c>
      <c r="BL31" s="38">
        <f>IF((ዕቁብ!BM33/ቦኖ!$C$4&gt;0),1,0)</f>
        <v>1</v>
      </c>
      <c r="BM31" s="38">
        <f>IF((ዕቁብ!BN33/ቦኖ!$C$4&gt;0),1,0)</f>
        <v>1</v>
      </c>
      <c r="BN31" s="38">
        <f>IF((ዕቁብ!BO33/ቦኖ!$C$4&gt;0),1,0)</f>
        <v>1</v>
      </c>
      <c r="BO31" s="38">
        <f>IF((ዕቁብ!BP33/ቦኖ!$C$4&gt;0),1,0)</f>
        <v>0</v>
      </c>
      <c r="BP31" s="38">
        <f>IF((ዕቁብ!BQ33/ቦኖ!$C$4&gt;0),1,0)</f>
        <v>1</v>
      </c>
      <c r="BQ31" s="38">
        <f>IF((ዕቁብ!BR33/ቦኖ!$C$4&gt;0),1,0)</f>
        <v>1</v>
      </c>
      <c r="BR31" s="38">
        <f>IF((ዕቁብ!BS33/ቦኖ!$C$4&gt;0),1,0)</f>
        <v>1</v>
      </c>
      <c r="BS31" s="38">
        <f>IF((ዕቁብ!BT33/ቦኖ!$C$4&gt;0),1,0)</f>
        <v>0</v>
      </c>
      <c r="BT31" s="38">
        <f>IF((ዕቁብ!BU33/ቦኖ!$C$4&gt;0),1,0)</f>
        <v>1</v>
      </c>
      <c r="BU31" s="38">
        <f>IF((ዕቁብ!BV33/ቦኖ!$C$4&gt;0),1,0)</f>
        <v>0</v>
      </c>
      <c r="BV31" s="38">
        <f>IF((ዕቁብ!BW33/ቦኖ!$C$4&gt;0),1,0)</f>
        <v>1</v>
      </c>
      <c r="BW31" s="38">
        <f>IF((ዕቁብ!BX33/ቦኖ!$C$4&gt;0),1,0)</f>
        <v>1</v>
      </c>
      <c r="BX31" s="38">
        <f>IF((ዕቁብ!BY33/ቦኖ!$C$4&gt;0),1,0)</f>
        <v>1</v>
      </c>
      <c r="BY31" s="38">
        <f>IF((ዕቁብ!BZ33/ቦኖ!$C$4&gt;0),1,0)</f>
        <v>1</v>
      </c>
      <c r="BZ31" s="38">
        <f>IF((ዕቁብ!CA33/ቦኖ!$C$4&gt;0),1,0)</f>
        <v>1</v>
      </c>
      <c r="CA31" s="38">
        <f>IF((ዕቁብ!CB33/ቦኖ!$C$4&gt;0),1,0)</f>
        <v>1</v>
      </c>
      <c r="CB31" s="38">
        <f>IF((ዕቁብ!CC33/ቦኖ!$C$4&gt;0),1,0)</f>
        <v>1</v>
      </c>
      <c r="CC31" s="38">
        <f>IF((ዕቁብ!CD33/ቦኖ!$C$4&gt;0),1,0)</f>
        <v>1</v>
      </c>
      <c r="CD31" s="38">
        <f>IF((ዕቁብ!CE33/ቦኖ!$C$4&gt;0),1,0)</f>
        <v>0</v>
      </c>
      <c r="CE31" s="38">
        <f>IF((ዕቁብ!CF33/ቦኖ!$C$4&gt;0),1,0)</f>
        <v>1</v>
      </c>
      <c r="CF31" s="38">
        <f>IF((ዕቁብ!CG33/ቦኖ!$C$4&gt;0),1,0)</f>
        <v>1</v>
      </c>
      <c r="CG31" s="38">
        <f>IF((ዕቁብ!CH33/ቦኖ!$C$4&gt;0),1,0)</f>
        <v>1</v>
      </c>
      <c r="CH31" s="38">
        <f>IF((ዕቁብ!CI33/ቦኖ!$C$4&gt;0),1,0)</f>
        <v>0</v>
      </c>
      <c r="CI31" s="38">
        <f>IF((ዕቁብ!CJ33/ቦኖ!$C$4&gt;0),1,0)</f>
        <v>1</v>
      </c>
      <c r="CJ31" s="38">
        <f>IF((ዕቁብ!CK33/ቦኖ!$C$4&gt;0),1,0)</f>
        <v>1</v>
      </c>
      <c r="CK31" s="38">
        <f>IF((ዕቁብ!CL33/ቦኖ!$C$4&gt;0),1,0)</f>
        <v>1</v>
      </c>
      <c r="CL31" s="38">
        <f>IF((ዕቁብ!CM33/ቦኖ!$C$4&gt;0),1,0)</f>
        <v>1</v>
      </c>
      <c r="CM31" s="38">
        <f>IF((ዕቁብ!CN33/ቦኖ!$C$4&gt;0),1,0)</f>
        <v>1</v>
      </c>
      <c r="CN31" s="38">
        <f>IF((ዕቁብ!CO33/ቦኖ!$C$4&gt;0),1,0)</f>
        <v>1</v>
      </c>
      <c r="CO31" s="38">
        <f>IF((ዕቁብ!CP33/ቦኖ!$C$4&gt;0),1,0)</f>
        <v>1</v>
      </c>
      <c r="CP31" s="38">
        <f>IF((ዕቁብ!CQ33/ቦኖ!$C$4&gt;0),1,0)</f>
        <v>1</v>
      </c>
      <c r="CQ31" s="38">
        <f>IF((ዕቁብ!CR33/ቦኖ!$C$4&gt;0),1,0)</f>
        <v>1</v>
      </c>
      <c r="CR31" s="38">
        <f>IF((ዕቁብ!CS33/ቦኖ!$C$4&gt;0),1,0)</f>
        <v>1</v>
      </c>
      <c r="CS31" s="38">
        <f>IF((ዕቁብ!CT33/ቦኖ!$C$4&gt;0),1,0)</f>
        <v>1</v>
      </c>
      <c r="CT31" s="38">
        <f>IF((ዕቁብ!CU33/ቦኖ!$C$4&gt;0),1,0)</f>
        <v>1</v>
      </c>
      <c r="CU31" s="38">
        <f>IF((ዕቁብ!CV33/ቦኖ!$C$4&gt;0),1,0)</f>
        <v>1</v>
      </c>
      <c r="CV31" s="38">
        <f>IF((ዕቁብ!CW33/ቦኖ!$C$4&gt;0),1,0)</f>
        <v>1</v>
      </c>
      <c r="CW31" s="38">
        <f>IF((ዕቁብ!CX33/ቦኖ!$C$4&gt;0),1,0)</f>
        <v>0</v>
      </c>
      <c r="CX31" s="38">
        <f>IF((ዕቁብ!CY33/ቦኖ!$C$4&gt;0),1,0)</f>
        <v>1</v>
      </c>
      <c r="CY31" s="38">
        <f>IF((ዕቁብ!CZ33/ቦኖ!$C$4&gt;0),1,0)</f>
        <v>0</v>
      </c>
      <c r="CZ31" s="38">
        <f>IF((ዕቁብ!DA33/ቦኖ!$C$4&gt;0),1,0)</f>
        <v>1</v>
      </c>
      <c r="DA31" s="38">
        <f>IF((ዕቁብ!DB33/ቦኖ!$C$4&gt;0),1,0)</f>
        <v>1</v>
      </c>
      <c r="DB31" s="38">
        <f>IF((ዕቁብ!DC33/ቦኖ!$C$4&gt;0),1,0)</f>
        <v>0</v>
      </c>
      <c r="DC31" s="38">
        <f>IF((ዕቁብ!DD33/ቦኖ!$C$4&gt;0),1,0)</f>
        <v>0</v>
      </c>
      <c r="DD31" s="38">
        <f>IF((ዕቁብ!DE33/ቦኖ!$C$4&gt;0),1,0)</f>
        <v>1</v>
      </c>
      <c r="DE31" s="38">
        <f>IF((ዕቁብ!DF33/ቦኖ!$C$4&gt;0),1,0)</f>
        <v>1</v>
      </c>
      <c r="DF31" s="38">
        <f>IF((ዕቁብ!DG33/ቦኖ!$C$4&gt;0),1,0)</f>
        <v>1</v>
      </c>
      <c r="DG31" s="38">
        <f>IF((ዕቁብ!DH33/ቦኖ!$C$4&gt;0),1,0)</f>
        <v>1</v>
      </c>
      <c r="DH31" s="38">
        <f>IF((ዕቁብ!DI33/ቦኖ!$C$4&gt;0),1,0)</f>
        <v>0</v>
      </c>
      <c r="DI31" s="38">
        <f>IF((ዕቁብ!DJ33/ቦኖ!$C$4&gt;0),1,0)</f>
        <v>0</v>
      </c>
      <c r="DJ31" s="38">
        <f>IF((ዕቁብ!DK33/ቦኖ!$C$4&gt;0),1,0)</f>
        <v>0</v>
      </c>
      <c r="DK31" s="38">
        <f>IF((ዕቁብ!DL33/ቦኖ!$C$4&gt;0),1,0)</f>
        <v>0</v>
      </c>
      <c r="DL31" s="38">
        <f>IF((ዕቁብ!DM33/ቦኖ!$C$4&gt;0),1,0)</f>
        <v>0</v>
      </c>
      <c r="DM31" s="38">
        <f>IF((ዕቁብ!DN33/ቦኖ!$C$4&gt;0),1,0)</f>
        <v>0</v>
      </c>
      <c r="DN31" s="38">
        <f>IF((ዕቁብ!DO33/ቦኖ!$C$4&gt;0),1,0)</f>
        <v>0</v>
      </c>
      <c r="DO31" s="38">
        <f>IF((ዕቁብ!DP33/ቦኖ!$C$4&gt;0),1,0)</f>
        <v>0</v>
      </c>
      <c r="DP31" s="38">
        <f>IF((ዕቁብ!DQ33/ቦኖ!$C$4&gt;0),1,0)</f>
        <v>0</v>
      </c>
      <c r="DQ31" s="38">
        <f>IF((ዕቁብ!DR33/ቦኖ!$C$4&gt;0),1,0)</f>
        <v>0</v>
      </c>
    </row>
    <row r="32" spans="1:121" ht="15.75" customHeight="1" x14ac:dyDescent="0.3">
      <c r="A32" s="33">
        <f>ዕቁብ!A34</f>
        <v>28</v>
      </c>
      <c r="B32" s="33" t="str">
        <f>ዕቁብ!B34</f>
        <v>ግርማ አበበ</v>
      </c>
      <c r="C32" s="37">
        <f>ዕቁብ!C34</f>
        <v>21000</v>
      </c>
      <c r="D32" s="38">
        <f>IF((ዕቁብ!E34/ቦኖ!$C$4&gt;0),1,0)</f>
        <v>0</v>
      </c>
      <c r="E32" s="38">
        <f>IF((ዕቁብ!F34/ቦኖ!$C$4&gt;0),1,0)</f>
        <v>0</v>
      </c>
      <c r="F32" s="38">
        <f>IF((ዕቁብ!G34/ቦኖ!$C$4&gt;0),1,0)</f>
        <v>0</v>
      </c>
      <c r="G32" s="38">
        <f>IF((ዕቁብ!H34/ቦኖ!$C$4&gt;0),1,0)</f>
        <v>0</v>
      </c>
      <c r="H32" s="38">
        <f>IF((ዕቁብ!I34/ቦኖ!$C$4&gt;0),1,0)</f>
        <v>0</v>
      </c>
      <c r="I32" s="38">
        <f>IF((ዕቁብ!J34/ቦኖ!$C$4&gt;0),1,0)</f>
        <v>0</v>
      </c>
      <c r="J32" s="38">
        <f>IF((ዕቁብ!K34/ቦኖ!$C$4&gt;0),1,0)</f>
        <v>0</v>
      </c>
      <c r="K32" s="38">
        <f>IF((ዕቁብ!L34/ቦኖ!$C$4&gt;0),1,0)</f>
        <v>0</v>
      </c>
      <c r="L32" s="38">
        <f>IF((ዕቁብ!M34/ቦኖ!$C$4&gt;0),1,0)</f>
        <v>0</v>
      </c>
      <c r="M32" s="38">
        <f>IF((ዕቁብ!N34/ቦኖ!$C$4&gt;0),1,0)</f>
        <v>0</v>
      </c>
      <c r="N32" s="38">
        <f>IF((ዕቁብ!O34/ቦኖ!$C$4&gt;0),1,0)</f>
        <v>0</v>
      </c>
      <c r="O32" s="38">
        <f>IF((ዕቁብ!P34/ቦኖ!$C$4&gt;0),1,0)</f>
        <v>0</v>
      </c>
      <c r="P32" s="38">
        <f>IF((ዕቁብ!Q34/ቦኖ!$C$4&gt;0),1,0)</f>
        <v>0</v>
      </c>
      <c r="Q32" s="38">
        <f>IF((ዕቁብ!R34/ቦኖ!$C$4&gt;0),1,0)</f>
        <v>0</v>
      </c>
      <c r="R32" s="38">
        <f>IF((ዕቁብ!S34/ቦኖ!$C$4&gt;0),1,0)</f>
        <v>0</v>
      </c>
      <c r="S32" s="38">
        <f>IF((ዕቁብ!T34/ቦኖ!$C$4&gt;0),1,0)</f>
        <v>0</v>
      </c>
      <c r="T32" s="38">
        <f>IF((ዕቁብ!U34/ቦኖ!$C$4&gt;0),1,0)</f>
        <v>0</v>
      </c>
      <c r="U32" s="38">
        <f>IF((ዕቁብ!V34/ቦኖ!$C$4&gt;0),1,0)</f>
        <v>0</v>
      </c>
      <c r="V32" s="38">
        <f>IF((ዕቁብ!W34/ቦኖ!$C$4&gt;0),1,0)</f>
        <v>0</v>
      </c>
      <c r="W32" s="38">
        <f>IF((ዕቁብ!X34/ቦኖ!$C$4&gt;0),1,0)</f>
        <v>0</v>
      </c>
      <c r="X32" s="38">
        <f>IF((ዕቁብ!Y34/ቦኖ!$C$4&gt;0),1,0)</f>
        <v>0</v>
      </c>
      <c r="Y32" s="38">
        <f>IF((ዕቁብ!Z34/ቦኖ!$C$4&gt;0),1,0)</f>
        <v>0</v>
      </c>
      <c r="Z32" s="38">
        <f>IF((ዕቁብ!AA34/ቦኖ!$C$4&gt;0),1,0)</f>
        <v>0</v>
      </c>
      <c r="AA32" s="38">
        <f>IF((ዕቁብ!AB34/ቦኖ!$C$4&gt;0),1,0)</f>
        <v>0</v>
      </c>
      <c r="AB32" s="38">
        <f>IF((ዕቁብ!AC34/ቦኖ!$C$4&gt;0),1,0)</f>
        <v>0</v>
      </c>
      <c r="AC32" s="38">
        <f>IF((ዕቁብ!AD34/ቦኖ!$C$4&gt;0),1,0)</f>
        <v>0</v>
      </c>
      <c r="AD32" s="38">
        <f>IF((ዕቁብ!AE34/ቦኖ!$C$4&gt;0),1,0)</f>
        <v>0</v>
      </c>
      <c r="AE32" s="38">
        <f>IF((ዕቁብ!AF34/ቦኖ!$C$4&gt;0),1,0)</f>
        <v>0</v>
      </c>
      <c r="AF32" s="38">
        <f>IF((ዕቁብ!AG34/ቦኖ!$C$4&gt;0),1,0)</f>
        <v>0</v>
      </c>
      <c r="AG32" s="38">
        <f>IF((ዕቁብ!AH34/ቦኖ!$C$4&gt;0),1,0)</f>
        <v>0</v>
      </c>
      <c r="AH32" s="38">
        <f>IF((ዕቁብ!AI34/ቦኖ!$C$4&gt;0),1,0)</f>
        <v>0</v>
      </c>
      <c r="AI32" s="38">
        <f>IF((ዕቁብ!AJ34/ቦኖ!$C$4&gt;0),1,0)</f>
        <v>0</v>
      </c>
      <c r="AJ32" s="38">
        <f>IF((ዕቁብ!AK34/ቦኖ!$C$4&gt;0),1,0)</f>
        <v>0</v>
      </c>
      <c r="AK32" s="38">
        <f>IF((ዕቁብ!AL34/ቦኖ!$C$4&gt;0),1,0)</f>
        <v>0</v>
      </c>
      <c r="AL32" s="38">
        <f>IF((ዕቁብ!AM34/ቦኖ!$C$4&gt;0),1,0)</f>
        <v>0</v>
      </c>
      <c r="AM32" s="38">
        <f>IF((ዕቁብ!AN34/ቦኖ!$C$4&gt;0),1,0)</f>
        <v>0</v>
      </c>
      <c r="AN32" s="38">
        <f>IF((ዕቁብ!AO34/ቦኖ!$C$4&gt;0),1,0)</f>
        <v>0</v>
      </c>
      <c r="AO32" s="38">
        <f>IF((ዕቁብ!AP34/ቦኖ!$C$4&gt;0),1,0)</f>
        <v>0</v>
      </c>
      <c r="AP32" s="38">
        <f>IF((ዕቁብ!AQ34/ቦኖ!$C$4&gt;0),1,0)</f>
        <v>0</v>
      </c>
      <c r="AQ32" s="38">
        <f>IF((ዕቁብ!AR34/ቦኖ!$C$4&gt;0),1,0)</f>
        <v>0</v>
      </c>
      <c r="AR32" s="38">
        <f>IF((ዕቁብ!AS34/ቦኖ!$C$4&gt;0),1,0)</f>
        <v>0</v>
      </c>
      <c r="AS32" s="38">
        <f>IF((ዕቁብ!AT34/ቦኖ!$C$4&gt;0),1,0)</f>
        <v>0</v>
      </c>
      <c r="AT32" s="38">
        <f>IF((ዕቁብ!AU34/ቦኖ!$C$4&gt;0),1,0)</f>
        <v>0</v>
      </c>
      <c r="AU32" s="38">
        <f>IF((ዕቁብ!AV34/ቦኖ!$C$4&gt;0),1,0)</f>
        <v>0</v>
      </c>
      <c r="AV32" s="38">
        <f>IF((ዕቁብ!AW34/ቦኖ!$C$4&gt;0),1,0)</f>
        <v>0</v>
      </c>
      <c r="AW32" s="38">
        <f>IF((ዕቁብ!AX34/ቦኖ!$C$4&gt;0),1,0)</f>
        <v>0</v>
      </c>
      <c r="AX32" s="38">
        <f>IF((ዕቁብ!AY34/ቦኖ!$C$4&gt;0),1,0)</f>
        <v>0</v>
      </c>
      <c r="AY32" s="38">
        <f>IF((ዕቁብ!AZ34/ቦኖ!$C$4&gt;0),1,0)</f>
        <v>0</v>
      </c>
      <c r="AZ32" s="38">
        <f>IF((ዕቁብ!BA34/ቦኖ!$C$4&gt;0),1,0)</f>
        <v>0</v>
      </c>
      <c r="BA32" s="38">
        <f>IF((ዕቁብ!BB34/ቦኖ!$C$4&gt;0),1,0)</f>
        <v>0</v>
      </c>
      <c r="BB32" s="38">
        <f>IF((ዕቁብ!BC34/ቦኖ!$C$4&gt;0),1,0)</f>
        <v>0</v>
      </c>
      <c r="BC32" s="38">
        <f>IF((ዕቁብ!BD34/ቦኖ!$C$4&gt;0),1,0)</f>
        <v>0</v>
      </c>
      <c r="BD32" s="38">
        <f>IF((ዕቁብ!BE34/ቦኖ!$C$4&gt;0),1,0)</f>
        <v>0</v>
      </c>
      <c r="BE32" s="38">
        <f>IF((ዕቁብ!BF34/ቦኖ!$C$4&gt;0),1,0)</f>
        <v>0</v>
      </c>
      <c r="BF32" s="38">
        <f>IF((ዕቁብ!BG34/ቦኖ!$C$4&gt;0),1,0)</f>
        <v>0</v>
      </c>
      <c r="BG32" s="38">
        <f>IF((ዕቁብ!BH34/ቦኖ!$C$4&gt;0),1,0)</f>
        <v>0</v>
      </c>
      <c r="BH32" s="38">
        <f>IF((ዕቁብ!BI34/ቦኖ!$C$4&gt;0),1,0)</f>
        <v>0</v>
      </c>
      <c r="BI32" s="38">
        <f>IF((ዕቁብ!BJ34/ቦኖ!$C$4&gt;0),1,0)</f>
        <v>0</v>
      </c>
      <c r="BJ32" s="38">
        <f>IF((ዕቁብ!BK34/ቦኖ!$C$4&gt;0),1,0)</f>
        <v>0</v>
      </c>
      <c r="BK32" s="38">
        <f>IF((ዕቁብ!BL34/ቦኖ!$C$4&gt;0),1,0)</f>
        <v>0</v>
      </c>
      <c r="BL32" s="38">
        <f>IF((ዕቁብ!BM34/ቦኖ!$C$4&gt;0),1,0)</f>
        <v>0</v>
      </c>
      <c r="BM32" s="38">
        <f>IF((ዕቁብ!BN34/ቦኖ!$C$4&gt;0),1,0)</f>
        <v>0</v>
      </c>
      <c r="BN32" s="38">
        <f>IF((ዕቁብ!BO34/ቦኖ!$C$4&gt;0),1,0)</f>
        <v>0</v>
      </c>
      <c r="BO32" s="38">
        <f>IF((ዕቁብ!BP34/ቦኖ!$C$4&gt;0),1,0)</f>
        <v>0</v>
      </c>
      <c r="BP32" s="38">
        <f>IF((ዕቁብ!BQ34/ቦኖ!$C$4&gt;0),1,0)</f>
        <v>0</v>
      </c>
      <c r="BQ32" s="38">
        <f>IF((ዕቁብ!BR34/ቦኖ!$C$4&gt;0),1,0)</f>
        <v>0</v>
      </c>
      <c r="BR32" s="38">
        <f>IF((ዕቁብ!BS34/ቦኖ!$C$4&gt;0),1,0)</f>
        <v>0</v>
      </c>
      <c r="BS32" s="38">
        <f>IF((ዕቁብ!BT34/ቦኖ!$C$4&gt;0),1,0)</f>
        <v>0</v>
      </c>
      <c r="BT32" s="38">
        <f>IF((ዕቁብ!BU34/ቦኖ!$C$4&gt;0),1,0)</f>
        <v>0</v>
      </c>
      <c r="BU32" s="38">
        <f>IF((ዕቁብ!BV34/ቦኖ!$C$4&gt;0),1,0)</f>
        <v>0</v>
      </c>
      <c r="BV32" s="38">
        <f>IF((ዕቁብ!BW34/ቦኖ!$C$4&gt;0),1,0)</f>
        <v>0</v>
      </c>
      <c r="BW32" s="38">
        <f>IF((ዕቁብ!BX34/ቦኖ!$C$4&gt;0),1,0)</f>
        <v>0</v>
      </c>
      <c r="BX32" s="38">
        <f>IF((ዕቁብ!BY34/ቦኖ!$C$4&gt;0),1,0)</f>
        <v>0</v>
      </c>
      <c r="BY32" s="38">
        <f>IF((ዕቁብ!BZ34/ቦኖ!$C$4&gt;0),1,0)</f>
        <v>0</v>
      </c>
      <c r="BZ32" s="38">
        <f>IF((ዕቁብ!CA34/ቦኖ!$C$4&gt;0),1,0)</f>
        <v>0</v>
      </c>
      <c r="CA32" s="38">
        <f>IF((ዕቁብ!CB34/ቦኖ!$C$4&gt;0),1,0)</f>
        <v>0</v>
      </c>
      <c r="CB32" s="38">
        <f>IF((ዕቁብ!CC34/ቦኖ!$C$4&gt;0),1,0)</f>
        <v>0</v>
      </c>
      <c r="CC32" s="38">
        <f>IF((ዕቁብ!CD34/ቦኖ!$C$4&gt;0),1,0)</f>
        <v>0</v>
      </c>
      <c r="CD32" s="38">
        <f>IF((ዕቁብ!CE34/ቦኖ!$C$4&gt;0),1,0)</f>
        <v>0</v>
      </c>
      <c r="CE32" s="38">
        <f>IF((ዕቁብ!CF34/ቦኖ!$C$4&gt;0),1,0)</f>
        <v>0</v>
      </c>
      <c r="CF32" s="38">
        <f>IF((ዕቁብ!CG34/ቦኖ!$C$4&gt;0),1,0)</f>
        <v>0</v>
      </c>
      <c r="CG32" s="38">
        <f>IF((ዕቁብ!CH34/ቦኖ!$C$4&gt;0),1,0)</f>
        <v>0</v>
      </c>
      <c r="CH32" s="38">
        <f>IF((ዕቁብ!CI34/ቦኖ!$C$4&gt;0),1,0)</f>
        <v>0</v>
      </c>
      <c r="CI32" s="38">
        <f>IF((ዕቁብ!CJ34/ቦኖ!$C$4&gt;0),1,0)</f>
        <v>0</v>
      </c>
      <c r="CJ32" s="38">
        <f>IF((ዕቁብ!CK34/ቦኖ!$C$4&gt;0),1,0)</f>
        <v>0</v>
      </c>
      <c r="CK32" s="38">
        <f>IF((ዕቁብ!CL34/ቦኖ!$C$4&gt;0),1,0)</f>
        <v>0</v>
      </c>
      <c r="CL32" s="38">
        <f>IF((ዕቁብ!CM34/ቦኖ!$C$4&gt;0),1,0)</f>
        <v>0</v>
      </c>
      <c r="CM32" s="38">
        <f>IF((ዕቁብ!CN34/ቦኖ!$C$4&gt;0),1,0)</f>
        <v>0</v>
      </c>
      <c r="CN32" s="38">
        <f>IF((ዕቁብ!CO34/ቦኖ!$C$4&gt;0),1,0)</f>
        <v>0</v>
      </c>
      <c r="CO32" s="38">
        <f>IF((ዕቁብ!CP34/ቦኖ!$C$4&gt;0),1,0)</f>
        <v>0</v>
      </c>
      <c r="CP32" s="38">
        <f>IF((ዕቁብ!CQ34/ቦኖ!$C$4&gt;0),1,0)</f>
        <v>0</v>
      </c>
      <c r="CQ32" s="38">
        <f>IF((ዕቁብ!CR34/ቦኖ!$C$4&gt;0),1,0)</f>
        <v>0</v>
      </c>
      <c r="CR32" s="38">
        <f>IF((ዕቁብ!CS34/ቦኖ!$C$4&gt;0),1,0)</f>
        <v>0</v>
      </c>
      <c r="CS32" s="38">
        <f>IF((ዕቁብ!CT34/ቦኖ!$C$4&gt;0),1,0)</f>
        <v>0</v>
      </c>
      <c r="CT32" s="38">
        <f>IF((ዕቁብ!CU34/ቦኖ!$C$4&gt;0),1,0)</f>
        <v>0</v>
      </c>
      <c r="CU32" s="38">
        <f>IF((ዕቁብ!CV34/ቦኖ!$C$4&gt;0),1,0)</f>
        <v>0</v>
      </c>
      <c r="CV32" s="38">
        <f>IF((ዕቁብ!CW34/ቦኖ!$C$4&gt;0),1,0)</f>
        <v>0</v>
      </c>
      <c r="CW32" s="38">
        <f>IF((ዕቁብ!CX34/ቦኖ!$C$4&gt;0),1,0)</f>
        <v>0</v>
      </c>
      <c r="CX32" s="38">
        <f>IF((ዕቁብ!CY34/ቦኖ!$C$4&gt;0),1,0)</f>
        <v>0</v>
      </c>
      <c r="CY32" s="38">
        <f>IF((ዕቁብ!CZ34/ቦኖ!$C$4&gt;0),1,0)</f>
        <v>0</v>
      </c>
      <c r="CZ32" s="38">
        <f>IF((ዕቁብ!DA34/ቦኖ!$C$4&gt;0),1,0)</f>
        <v>0</v>
      </c>
      <c r="DA32" s="38">
        <f>IF((ዕቁብ!DB34/ቦኖ!$C$4&gt;0),1,0)</f>
        <v>0</v>
      </c>
      <c r="DB32" s="38">
        <f>IF((ዕቁብ!DC34/ቦኖ!$C$4&gt;0),1,0)</f>
        <v>0</v>
      </c>
      <c r="DC32" s="38">
        <f>IF((ዕቁብ!DD34/ቦኖ!$C$4&gt;0),1,0)</f>
        <v>0</v>
      </c>
      <c r="DD32" s="38">
        <f>IF((ዕቁብ!DE34/ቦኖ!$C$4&gt;0),1,0)</f>
        <v>0</v>
      </c>
      <c r="DE32" s="38">
        <f>IF((ዕቁብ!DF34/ቦኖ!$C$4&gt;0),1,0)</f>
        <v>0</v>
      </c>
      <c r="DF32" s="38">
        <f>IF((ዕቁብ!DG34/ቦኖ!$C$4&gt;0),1,0)</f>
        <v>0</v>
      </c>
      <c r="DG32" s="38">
        <f>IF((ዕቁብ!DH34/ቦኖ!$C$4&gt;0),1,0)</f>
        <v>0</v>
      </c>
      <c r="DH32" s="38">
        <f>IF((ዕቁብ!DI34/ቦኖ!$C$4&gt;0),1,0)</f>
        <v>0</v>
      </c>
      <c r="DI32" s="38">
        <f>IF((ዕቁብ!DJ34/ቦኖ!$C$4&gt;0),1,0)</f>
        <v>0</v>
      </c>
      <c r="DJ32" s="38">
        <f>IF((ዕቁብ!DK34/ቦኖ!$C$4&gt;0),1,0)</f>
        <v>0</v>
      </c>
      <c r="DK32" s="38">
        <f>IF((ዕቁብ!DL34/ቦኖ!$C$4&gt;0),1,0)</f>
        <v>0</v>
      </c>
      <c r="DL32" s="38">
        <f>IF((ዕቁብ!DM34/ቦኖ!$C$4&gt;0),1,0)</f>
        <v>0</v>
      </c>
      <c r="DM32" s="38">
        <f>IF((ዕቁብ!DN34/ቦኖ!$C$4&gt;0),1,0)</f>
        <v>0</v>
      </c>
      <c r="DN32" s="38">
        <f>IF((ዕቁብ!DO34/ቦኖ!$C$4&gt;0),1,0)</f>
        <v>0</v>
      </c>
      <c r="DO32" s="38">
        <f>IF((ዕቁብ!DP34/ቦኖ!$C$4&gt;0),1,0)</f>
        <v>0</v>
      </c>
      <c r="DP32" s="38">
        <f>IF((ዕቁብ!DQ34/ቦኖ!$C$4&gt;0),1,0)</f>
        <v>0</v>
      </c>
      <c r="DQ32" s="38">
        <f>IF((ዕቁብ!DR34/ቦኖ!$C$4&gt;0),1,0)</f>
        <v>0</v>
      </c>
    </row>
    <row r="33" spans="1:121" ht="15.75" customHeight="1" x14ac:dyDescent="0.3">
      <c r="A33" s="33">
        <f>ዕቁብ!A35</f>
        <v>29</v>
      </c>
      <c r="B33" s="33" t="str">
        <f>ዕቁብ!B35</f>
        <v>መስፍን መንግስቱ</v>
      </c>
      <c r="C33" s="37">
        <f>ዕቁብ!C35</f>
        <v>21000</v>
      </c>
      <c r="D33" s="38">
        <f>IF((ዕቁብ!E35/ቦኖ!$C$4&gt;0),1,0)</f>
        <v>1</v>
      </c>
      <c r="E33" s="38">
        <f>IF((ዕቁብ!F35/ቦኖ!$C$4&gt;0),1,0)</f>
        <v>1</v>
      </c>
      <c r="F33" s="38">
        <f>IF((ዕቁብ!G35/ቦኖ!$C$4&gt;0),1,0)</f>
        <v>1</v>
      </c>
      <c r="G33" s="38">
        <f>IF((ዕቁብ!H35/ቦኖ!$C$4&gt;0),1,0)</f>
        <v>1</v>
      </c>
      <c r="H33" s="38">
        <f>IF((ዕቁብ!I35/ቦኖ!$C$4&gt;0),1,0)</f>
        <v>1</v>
      </c>
      <c r="I33" s="38">
        <f>IF((ዕቁብ!J35/ቦኖ!$C$4&gt;0),1,0)</f>
        <v>1</v>
      </c>
      <c r="J33" s="38">
        <f>IF((ዕቁብ!K35/ቦኖ!$C$4&gt;0),1,0)</f>
        <v>1</v>
      </c>
      <c r="K33" s="38">
        <f>IF((ዕቁብ!L35/ቦኖ!$C$4&gt;0),1,0)</f>
        <v>1</v>
      </c>
      <c r="L33" s="38">
        <f>IF((ዕቁብ!M35/ቦኖ!$C$4&gt;0),1,0)</f>
        <v>1</v>
      </c>
      <c r="M33" s="38">
        <f>IF((ዕቁብ!N35/ቦኖ!$C$4&gt;0),1,0)</f>
        <v>1</v>
      </c>
      <c r="N33" s="38">
        <f>IF((ዕቁብ!O35/ቦኖ!$C$4&gt;0),1,0)</f>
        <v>1</v>
      </c>
      <c r="O33" s="38">
        <f>IF((ዕቁብ!P35/ቦኖ!$C$4&gt;0),1,0)</f>
        <v>1</v>
      </c>
      <c r="P33" s="38">
        <f>IF((ዕቁብ!Q35/ቦኖ!$C$4&gt;0),1,0)</f>
        <v>1</v>
      </c>
      <c r="Q33" s="38">
        <f>IF((ዕቁብ!R35/ቦኖ!$C$4&gt;0),1,0)</f>
        <v>1</v>
      </c>
      <c r="R33" s="38">
        <f>IF((ዕቁብ!S35/ቦኖ!$C$4&gt;0),1,0)</f>
        <v>1</v>
      </c>
      <c r="S33" s="38">
        <f>IF((ዕቁብ!T35/ቦኖ!$C$4&gt;0),1,0)</f>
        <v>1</v>
      </c>
      <c r="T33" s="38">
        <f>IF((ዕቁብ!U35/ቦኖ!$C$4&gt;0),1,0)</f>
        <v>1</v>
      </c>
      <c r="U33" s="38">
        <f>IF((ዕቁብ!V35/ቦኖ!$C$4&gt;0),1,0)</f>
        <v>1</v>
      </c>
      <c r="V33" s="38">
        <f>IF((ዕቁብ!W35/ቦኖ!$C$4&gt;0),1,0)</f>
        <v>1</v>
      </c>
      <c r="W33" s="38">
        <f>IF((ዕቁብ!X35/ቦኖ!$C$4&gt;0),1,0)</f>
        <v>1</v>
      </c>
      <c r="X33" s="38">
        <f>IF((ዕቁብ!Y35/ቦኖ!$C$4&gt;0),1,0)</f>
        <v>1</v>
      </c>
      <c r="Y33" s="38">
        <f>IF((ዕቁብ!Z35/ቦኖ!$C$4&gt;0),1,0)</f>
        <v>1</v>
      </c>
      <c r="Z33" s="38">
        <f>IF((ዕቁብ!AA35/ቦኖ!$C$4&gt;0),1,0)</f>
        <v>1</v>
      </c>
      <c r="AA33" s="38">
        <f>IF((ዕቁብ!AB35/ቦኖ!$C$4&gt;0),1,0)</f>
        <v>1</v>
      </c>
      <c r="AB33" s="38">
        <f>IF((ዕቁብ!AC35/ቦኖ!$C$4&gt;0),1,0)</f>
        <v>1</v>
      </c>
      <c r="AC33" s="38">
        <f>IF((ዕቁብ!AD35/ቦኖ!$C$4&gt;0),1,0)</f>
        <v>1</v>
      </c>
      <c r="AD33" s="38">
        <f>IF((ዕቁብ!AE35/ቦኖ!$C$4&gt;0),1,0)</f>
        <v>0</v>
      </c>
      <c r="AE33" s="38">
        <f>IF((ዕቁብ!AF35/ቦኖ!$C$4&gt;0),1,0)</f>
        <v>1</v>
      </c>
      <c r="AF33" s="38">
        <f>IF((ዕቁብ!AG35/ቦኖ!$C$4&gt;0),1,0)</f>
        <v>1</v>
      </c>
      <c r="AG33" s="38">
        <f>IF((ዕቁብ!AH35/ቦኖ!$C$4&gt;0),1,0)</f>
        <v>1</v>
      </c>
      <c r="AH33" s="38">
        <f>IF((ዕቁብ!AI35/ቦኖ!$C$4&gt;0),1,0)</f>
        <v>1</v>
      </c>
      <c r="AI33" s="38">
        <f>IF((ዕቁብ!AJ35/ቦኖ!$C$4&gt;0),1,0)</f>
        <v>1</v>
      </c>
      <c r="AJ33" s="38">
        <f>IF((ዕቁብ!AK35/ቦኖ!$C$4&gt;0),1,0)</f>
        <v>1</v>
      </c>
      <c r="AK33" s="38">
        <f>IF((ዕቁብ!AL35/ቦኖ!$C$4&gt;0),1,0)</f>
        <v>1</v>
      </c>
      <c r="AL33" s="38">
        <f>IF((ዕቁብ!AM35/ቦኖ!$C$4&gt;0),1,0)</f>
        <v>1</v>
      </c>
      <c r="AM33" s="38">
        <f>IF((ዕቁብ!AN35/ቦኖ!$C$4&gt;0),1,0)</f>
        <v>1</v>
      </c>
      <c r="AN33" s="38">
        <f>IF((ዕቁብ!AO35/ቦኖ!$C$4&gt;0),1,0)</f>
        <v>1</v>
      </c>
      <c r="AO33" s="38">
        <f>IF((ዕቁብ!AP35/ቦኖ!$C$4&gt;0),1,0)</f>
        <v>1</v>
      </c>
      <c r="AP33" s="38">
        <f>IF((ዕቁብ!AQ35/ቦኖ!$C$4&gt;0),1,0)</f>
        <v>1</v>
      </c>
      <c r="AQ33" s="38">
        <f>IF((ዕቁብ!AR35/ቦኖ!$C$4&gt;0),1,0)</f>
        <v>1</v>
      </c>
      <c r="AR33" s="38">
        <f>IF((ዕቁብ!AS35/ቦኖ!$C$4&gt;0),1,0)</f>
        <v>1</v>
      </c>
      <c r="AS33" s="38">
        <f>IF((ዕቁብ!AT35/ቦኖ!$C$4&gt;0),1,0)</f>
        <v>1</v>
      </c>
      <c r="AT33" s="38">
        <f>IF((ዕቁብ!AU35/ቦኖ!$C$4&gt;0),1,0)</f>
        <v>1</v>
      </c>
      <c r="AU33" s="38">
        <f>IF((ዕቁብ!AV35/ቦኖ!$C$4&gt;0),1,0)</f>
        <v>1</v>
      </c>
      <c r="AV33" s="38">
        <f>IF((ዕቁብ!AW35/ቦኖ!$C$4&gt;0),1,0)</f>
        <v>1</v>
      </c>
      <c r="AW33" s="38">
        <f>IF((ዕቁብ!AX35/ቦኖ!$C$4&gt;0),1,0)</f>
        <v>1</v>
      </c>
      <c r="AX33" s="38">
        <f>IF((ዕቁብ!AY35/ቦኖ!$C$4&gt;0),1,0)</f>
        <v>1</v>
      </c>
      <c r="AY33" s="38">
        <f>IF((ዕቁብ!AZ35/ቦኖ!$C$4&gt;0),1,0)</f>
        <v>1</v>
      </c>
      <c r="AZ33" s="38">
        <f>IF((ዕቁብ!BA35/ቦኖ!$C$4&gt;0),1,0)</f>
        <v>1</v>
      </c>
      <c r="BA33" s="38">
        <f>IF((ዕቁብ!BB35/ቦኖ!$C$4&gt;0),1,0)</f>
        <v>1</v>
      </c>
      <c r="BB33" s="38">
        <f>IF((ዕቁብ!BC35/ቦኖ!$C$4&gt;0),1,0)</f>
        <v>0</v>
      </c>
      <c r="BC33" s="38">
        <f>IF((ዕቁብ!BD35/ቦኖ!$C$4&gt;0),1,0)</f>
        <v>1</v>
      </c>
      <c r="BD33" s="38">
        <f>IF((ዕቁብ!BE35/ቦኖ!$C$4&gt;0),1,0)</f>
        <v>1</v>
      </c>
      <c r="BE33" s="38">
        <f>IF((ዕቁብ!BF35/ቦኖ!$C$4&gt;0),1,0)</f>
        <v>1</v>
      </c>
      <c r="BF33" s="38">
        <f>IF((ዕቁብ!BG35/ቦኖ!$C$4&gt;0),1,0)</f>
        <v>1</v>
      </c>
      <c r="BG33" s="38">
        <f>IF((ዕቁብ!BH35/ቦኖ!$C$4&gt;0),1,0)</f>
        <v>0</v>
      </c>
      <c r="BH33" s="38">
        <f>IF((ዕቁብ!BI35/ቦኖ!$C$4&gt;0),1,0)</f>
        <v>1</v>
      </c>
      <c r="BI33" s="38">
        <f>IF((ዕቁብ!BJ35/ቦኖ!$C$4&gt;0),1,0)</f>
        <v>1</v>
      </c>
      <c r="BJ33" s="38">
        <f>IF((ዕቁብ!BK35/ቦኖ!$C$4&gt;0),1,0)</f>
        <v>1</v>
      </c>
      <c r="BK33" s="38">
        <f>IF((ዕቁብ!BL35/ቦኖ!$C$4&gt;0),1,0)</f>
        <v>0</v>
      </c>
      <c r="BL33" s="38">
        <f>IF((ዕቁብ!BM35/ቦኖ!$C$4&gt;0),1,0)</f>
        <v>1</v>
      </c>
      <c r="BM33" s="38">
        <f>IF((ዕቁብ!BN35/ቦኖ!$C$4&gt;0),1,0)</f>
        <v>0</v>
      </c>
      <c r="BN33" s="38">
        <f>IF((ዕቁብ!BO35/ቦኖ!$C$4&gt;0),1,0)</f>
        <v>1</v>
      </c>
      <c r="BO33" s="38">
        <f>IF((ዕቁብ!BP35/ቦኖ!$C$4&gt;0),1,0)</f>
        <v>0</v>
      </c>
      <c r="BP33" s="38">
        <f>IF((ዕቁብ!BQ35/ቦኖ!$C$4&gt;0),1,0)</f>
        <v>1</v>
      </c>
      <c r="BQ33" s="38">
        <f>IF((ዕቁብ!BR35/ቦኖ!$C$4&gt;0),1,0)</f>
        <v>1</v>
      </c>
      <c r="BR33" s="38">
        <f>IF((ዕቁብ!BS35/ቦኖ!$C$4&gt;0),1,0)</f>
        <v>0</v>
      </c>
      <c r="BS33" s="38">
        <f>IF((ዕቁብ!BT35/ቦኖ!$C$4&gt;0),1,0)</f>
        <v>1</v>
      </c>
      <c r="BT33" s="38">
        <f>IF((ዕቁብ!BU35/ቦኖ!$C$4&gt;0),1,0)</f>
        <v>1</v>
      </c>
      <c r="BU33" s="38">
        <f>IF((ዕቁብ!BV35/ቦኖ!$C$4&gt;0),1,0)</f>
        <v>0</v>
      </c>
      <c r="BV33" s="38">
        <f>IF((ዕቁብ!BW35/ቦኖ!$C$4&gt;0),1,0)</f>
        <v>0</v>
      </c>
      <c r="BW33" s="38">
        <f>IF((ዕቁብ!BX35/ቦኖ!$C$4&gt;0),1,0)</f>
        <v>1</v>
      </c>
      <c r="BX33" s="38">
        <f>IF((ዕቁብ!BY35/ቦኖ!$C$4&gt;0),1,0)</f>
        <v>0</v>
      </c>
      <c r="BY33" s="38">
        <f>IF((ዕቁብ!BZ35/ቦኖ!$C$4&gt;0),1,0)</f>
        <v>0</v>
      </c>
      <c r="BZ33" s="38">
        <f>IF((ዕቁብ!CA35/ቦኖ!$C$4&gt;0),1,0)</f>
        <v>1</v>
      </c>
      <c r="CA33" s="38">
        <f>IF((ዕቁብ!CB35/ቦኖ!$C$4&gt;0),1,0)</f>
        <v>1</v>
      </c>
      <c r="CB33" s="38">
        <f>IF((ዕቁብ!CC35/ቦኖ!$C$4&gt;0),1,0)</f>
        <v>1</v>
      </c>
      <c r="CC33" s="38">
        <f>IF((ዕቁብ!CD35/ቦኖ!$C$4&gt;0),1,0)</f>
        <v>1</v>
      </c>
      <c r="CD33" s="38">
        <f>IF((ዕቁብ!CE35/ቦኖ!$C$4&gt;0),1,0)</f>
        <v>0</v>
      </c>
      <c r="CE33" s="38">
        <f>IF((ዕቁብ!CF35/ቦኖ!$C$4&gt;0),1,0)</f>
        <v>1</v>
      </c>
      <c r="CF33" s="38">
        <f>IF((ዕቁብ!CG35/ቦኖ!$C$4&gt;0),1,0)</f>
        <v>0</v>
      </c>
      <c r="CG33" s="38">
        <f>IF((ዕቁብ!CH35/ቦኖ!$C$4&gt;0),1,0)</f>
        <v>1</v>
      </c>
      <c r="CH33" s="38">
        <f>IF((ዕቁብ!CI35/ቦኖ!$C$4&gt;0),1,0)</f>
        <v>0</v>
      </c>
      <c r="CI33" s="38">
        <f>IF((ዕቁብ!CJ35/ቦኖ!$C$4&gt;0),1,0)</f>
        <v>1</v>
      </c>
      <c r="CJ33" s="38">
        <f>IF((ዕቁብ!CK35/ቦኖ!$C$4&gt;0),1,0)</f>
        <v>1</v>
      </c>
      <c r="CK33" s="38">
        <f>IF((ዕቁብ!CL35/ቦኖ!$C$4&gt;0),1,0)</f>
        <v>1</v>
      </c>
      <c r="CL33" s="38">
        <f>IF((ዕቁብ!CM35/ቦኖ!$C$4&gt;0),1,0)</f>
        <v>0</v>
      </c>
      <c r="CM33" s="38">
        <f>IF((ዕቁብ!CN35/ቦኖ!$C$4&gt;0),1,0)</f>
        <v>1</v>
      </c>
      <c r="CN33" s="38">
        <f>IF((ዕቁብ!CO35/ቦኖ!$C$4&gt;0),1,0)</f>
        <v>1</v>
      </c>
      <c r="CO33" s="38">
        <f>IF((ዕቁብ!CP35/ቦኖ!$C$4&gt;0),1,0)</f>
        <v>1</v>
      </c>
      <c r="CP33" s="38">
        <f>IF((ዕቁብ!CQ35/ቦኖ!$C$4&gt;0),1,0)</f>
        <v>1</v>
      </c>
      <c r="CQ33" s="38">
        <f>IF((ዕቁብ!CR35/ቦኖ!$C$4&gt;0),1,0)</f>
        <v>0</v>
      </c>
      <c r="CR33" s="38">
        <f>IF((ዕቁብ!CS35/ቦኖ!$C$4&gt;0),1,0)</f>
        <v>1</v>
      </c>
      <c r="CS33" s="38">
        <f>IF((ዕቁብ!CT35/ቦኖ!$C$4&gt;0),1,0)</f>
        <v>1</v>
      </c>
      <c r="CT33" s="38">
        <f>IF((ዕቁብ!CU35/ቦኖ!$C$4&gt;0),1,0)</f>
        <v>0</v>
      </c>
      <c r="CU33" s="38">
        <f>IF((ዕቁብ!CV35/ቦኖ!$C$4&gt;0),1,0)</f>
        <v>0</v>
      </c>
      <c r="CV33" s="38">
        <f>IF((ዕቁብ!CW35/ቦኖ!$C$4&gt;0),1,0)</f>
        <v>0</v>
      </c>
      <c r="CW33" s="38">
        <f>IF((ዕቁብ!CX35/ቦኖ!$C$4&gt;0),1,0)</f>
        <v>0</v>
      </c>
      <c r="CX33" s="38">
        <f>IF((ዕቁብ!CY35/ቦኖ!$C$4&gt;0),1,0)</f>
        <v>0</v>
      </c>
      <c r="CY33" s="38">
        <f>IF((ዕቁብ!CZ35/ቦኖ!$C$4&gt;0),1,0)</f>
        <v>0</v>
      </c>
      <c r="CZ33" s="38">
        <f>IF((ዕቁብ!DA35/ቦኖ!$C$4&gt;0),1,0)</f>
        <v>1</v>
      </c>
      <c r="DA33" s="38">
        <f>IF((ዕቁብ!DB35/ቦኖ!$C$4&gt;0),1,0)</f>
        <v>1</v>
      </c>
      <c r="DB33" s="38">
        <f>IF((ዕቁብ!DC35/ቦኖ!$C$4&gt;0),1,0)</f>
        <v>0</v>
      </c>
      <c r="DC33" s="38">
        <f>IF((ዕቁብ!DD35/ቦኖ!$C$4&gt;0),1,0)</f>
        <v>0</v>
      </c>
      <c r="DD33" s="38">
        <f>IF((ዕቁብ!DE35/ቦኖ!$C$4&gt;0),1,0)</f>
        <v>0</v>
      </c>
      <c r="DE33" s="38">
        <f>IF((ዕቁብ!DF35/ቦኖ!$C$4&gt;0),1,0)</f>
        <v>0</v>
      </c>
      <c r="DF33" s="38">
        <f>IF((ዕቁብ!DG35/ቦኖ!$C$4&gt;0),1,0)</f>
        <v>1</v>
      </c>
      <c r="DG33" s="38">
        <f>IF((ዕቁብ!DH35/ቦኖ!$C$4&gt;0),1,0)</f>
        <v>0</v>
      </c>
      <c r="DH33" s="38">
        <f>IF((ዕቁብ!DI35/ቦኖ!$C$4&gt;0),1,0)</f>
        <v>0</v>
      </c>
      <c r="DI33" s="38">
        <f>IF((ዕቁብ!DJ35/ቦኖ!$C$4&gt;0),1,0)</f>
        <v>0</v>
      </c>
      <c r="DJ33" s="38">
        <f>IF((ዕቁብ!DK35/ቦኖ!$C$4&gt;0),1,0)</f>
        <v>0</v>
      </c>
      <c r="DK33" s="38">
        <f>IF((ዕቁብ!DL35/ቦኖ!$C$4&gt;0),1,0)</f>
        <v>0</v>
      </c>
      <c r="DL33" s="38">
        <f>IF((ዕቁብ!DM35/ቦኖ!$C$4&gt;0),1,0)</f>
        <v>0</v>
      </c>
      <c r="DM33" s="38">
        <f>IF((ዕቁብ!DN35/ቦኖ!$C$4&gt;0),1,0)</f>
        <v>0</v>
      </c>
      <c r="DN33" s="38">
        <f>IF((ዕቁብ!DO35/ቦኖ!$C$4&gt;0),1,0)</f>
        <v>0</v>
      </c>
      <c r="DO33" s="38">
        <f>IF((ዕቁብ!DP35/ቦኖ!$C$4&gt;0),1,0)</f>
        <v>0</v>
      </c>
      <c r="DP33" s="38">
        <f>IF((ዕቁብ!DQ35/ቦኖ!$C$4&gt;0),1,0)</f>
        <v>0</v>
      </c>
      <c r="DQ33" s="38">
        <f>IF((ዕቁብ!DR35/ቦኖ!$C$4&gt;0),1,0)</f>
        <v>0</v>
      </c>
    </row>
    <row r="34" spans="1:121" ht="15.75" customHeight="1" x14ac:dyDescent="0.3">
      <c r="A34" s="33">
        <f>ዕቁብ!A36</f>
        <v>30</v>
      </c>
      <c r="B34" s="33" t="str">
        <f>ዕቁብ!B36</f>
        <v>እሱባለው ስለሺ</v>
      </c>
      <c r="C34" s="37">
        <f>ዕቁብ!C36</f>
        <v>21000</v>
      </c>
      <c r="D34" s="38">
        <f>IF((ዕቁብ!E36/ቦኖ!$C$4&gt;0),1,0)</f>
        <v>1</v>
      </c>
      <c r="E34" s="38">
        <f>IF((ዕቁብ!F36/ቦኖ!$C$4&gt;0),1,0)</f>
        <v>1</v>
      </c>
      <c r="F34" s="38">
        <f>IF((ዕቁብ!G36/ቦኖ!$C$4&gt;0),1,0)</f>
        <v>1</v>
      </c>
      <c r="G34" s="38">
        <f>IF((ዕቁብ!H36/ቦኖ!$C$4&gt;0),1,0)</f>
        <v>1</v>
      </c>
      <c r="H34" s="38">
        <f>IF((ዕቁብ!I36/ቦኖ!$C$4&gt;0),1,0)</f>
        <v>1</v>
      </c>
      <c r="I34" s="38">
        <f>IF((ዕቁብ!J36/ቦኖ!$C$4&gt;0),1,0)</f>
        <v>1</v>
      </c>
      <c r="J34" s="38">
        <f>IF((ዕቁብ!K36/ቦኖ!$C$4&gt;0),1,0)</f>
        <v>1</v>
      </c>
      <c r="K34" s="38">
        <f>IF((ዕቁብ!L36/ቦኖ!$C$4&gt;0),1,0)</f>
        <v>1</v>
      </c>
      <c r="L34" s="38">
        <f>IF((ዕቁብ!M36/ቦኖ!$C$4&gt;0),1,0)</f>
        <v>1</v>
      </c>
      <c r="M34" s="38">
        <f>IF((ዕቁብ!N36/ቦኖ!$C$4&gt;0),1,0)</f>
        <v>1</v>
      </c>
      <c r="N34" s="38">
        <f>IF((ዕቁብ!O36/ቦኖ!$C$4&gt;0),1,0)</f>
        <v>1</v>
      </c>
      <c r="O34" s="38">
        <f>IF((ዕቁብ!P36/ቦኖ!$C$4&gt;0),1,0)</f>
        <v>1</v>
      </c>
      <c r="P34" s="38">
        <f>IF((ዕቁብ!Q36/ቦኖ!$C$4&gt;0),1,0)</f>
        <v>1</v>
      </c>
      <c r="Q34" s="38">
        <f>IF((ዕቁብ!R36/ቦኖ!$C$4&gt;0),1,0)</f>
        <v>1</v>
      </c>
      <c r="R34" s="38">
        <f>IF((ዕቁብ!S36/ቦኖ!$C$4&gt;0),1,0)</f>
        <v>1</v>
      </c>
      <c r="S34" s="38">
        <f>IF((ዕቁብ!T36/ቦኖ!$C$4&gt;0),1,0)</f>
        <v>1</v>
      </c>
      <c r="T34" s="38">
        <f>IF((ዕቁብ!U36/ቦኖ!$C$4&gt;0),1,0)</f>
        <v>1</v>
      </c>
      <c r="U34" s="38">
        <f>IF((ዕቁብ!V36/ቦኖ!$C$4&gt;0),1,0)</f>
        <v>1</v>
      </c>
      <c r="V34" s="38">
        <f>IF((ዕቁብ!W36/ቦኖ!$C$4&gt;0),1,0)</f>
        <v>1</v>
      </c>
      <c r="W34" s="38">
        <f>IF((ዕቁብ!X36/ቦኖ!$C$4&gt;0),1,0)</f>
        <v>1</v>
      </c>
      <c r="X34" s="38">
        <f>IF((ዕቁብ!Y36/ቦኖ!$C$4&gt;0),1,0)</f>
        <v>1</v>
      </c>
      <c r="Y34" s="38">
        <f>IF((ዕቁብ!Z36/ቦኖ!$C$4&gt;0),1,0)</f>
        <v>1</v>
      </c>
      <c r="Z34" s="38">
        <f>IF((ዕቁብ!AA36/ቦኖ!$C$4&gt;0),1,0)</f>
        <v>1</v>
      </c>
      <c r="AA34" s="38">
        <f>IF((ዕቁብ!AB36/ቦኖ!$C$4&gt;0),1,0)</f>
        <v>1</v>
      </c>
      <c r="AB34" s="38">
        <f>IF((ዕቁብ!AC36/ቦኖ!$C$4&gt;0),1,0)</f>
        <v>1</v>
      </c>
      <c r="AC34" s="38">
        <f>IF((ዕቁብ!AD36/ቦኖ!$C$4&gt;0),1,0)</f>
        <v>1</v>
      </c>
      <c r="AD34" s="38">
        <f>IF((ዕቁብ!AE36/ቦኖ!$C$4&gt;0),1,0)</f>
        <v>1</v>
      </c>
      <c r="AE34" s="38">
        <f>IF((ዕቁብ!AF36/ቦኖ!$C$4&gt;0),1,0)</f>
        <v>1</v>
      </c>
      <c r="AF34" s="38">
        <f>IF((ዕቁብ!AG36/ቦኖ!$C$4&gt;0),1,0)</f>
        <v>1</v>
      </c>
      <c r="AG34" s="38">
        <f>IF((ዕቁብ!AH36/ቦኖ!$C$4&gt;0),1,0)</f>
        <v>1</v>
      </c>
      <c r="AH34" s="38">
        <f>IF((ዕቁብ!AI36/ቦኖ!$C$4&gt;0),1,0)</f>
        <v>1</v>
      </c>
      <c r="AI34" s="38">
        <f>IF((ዕቁብ!AJ36/ቦኖ!$C$4&gt;0),1,0)</f>
        <v>1</v>
      </c>
      <c r="AJ34" s="38">
        <f>IF((ዕቁብ!AK36/ቦኖ!$C$4&gt;0),1,0)</f>
        <v>1</v>
      </c>
      <c r="AK34" s="38">
        <f>IF((ዕቁብ!AL36/ቦኖ!$C$4&gt;0),1,0)</f>
        <v>1</v>
      </c>
      <c r="AL34" s="38">
        <f>IF((ዕቁብ!AM36/ቦኖ!$C$4&gt;0),1,0)</f>
        <v>1</v>
      </c>
      <c r="AM34" s="38">
        <f>IF((ዕቁብ!AN36/ቦኖ!$C$4&gt;0),1,0)</f>
        <v>1</v>
      </c>
      <c r="AN34" s="38">
        <f>IF((ዕቁብ!AO36/ቦኖ!$C$4&gt;0),1,0)</f>
        <v>1</v>
      </c>
      <c r="AO34" s="38">
        <f>IF((ዕቁብ!AP36/ቦኖ!$C$4&gt;0),1,0)</f>
        <v>1</v>
      </c>
      <c r="AP34" s="38">
        <f>IF((ዕቁብ!AQ36/ቦኖ!$C$4&gt;0),1,0)</f>
        <v>1</v>
      </c>
      <c r="AQ34" s="38">
        <f>IF((ዕቁብ!AR36/ቦኖ!$C$4&gt;0),1,0)</f>
        <v>1</v>
      </c>
      <c r="AR34" s="38">
        <f>IF((ዕቁብ!AS36/ቦኖ!$C$4&gt;0),1,0)</f>
        <v>1</v>
      </c>
      <c r="AS34" s="38">
        <f>IF((ዕቁብ!AT36/ቦኖ!$C$4&gt;0),1,0)</f>
        <v>1</v>
      </c>
      <c r="AT34" s="38">
        <f>IF((ዕቁብ!AU36/ቦኖ!$C$4&gt;0),1,0)</f>
        <v>1</v>
      </c>
      <c r="AU34" s="38">
        <f>IF((ዕቁብ!AV36/ቦኖ!$C$4&gt;0),1,0)</f>
        <v>1</v>
      </c>
      <c r="AV34" s="38">
        <f>IF((ዕቁብ!AW36/ቦኖ!$C$4&gt;0),1,0)</f>
        <v>1</v>
      </c>
      <c r="AW34" s="38">
        <f>IF((ዕቁብ!AX36/ቦኖ!$C$4&gt;0),1,0)</f>
        <v>1</v>
      </c>
      <c r="AX34" s="38">
        <f>IF((ዕቁብ!AY36/ቦኖ!$C$4&gt;0),1,0)</f>
        <v>1</v>
      </c>
      <c r="AY34" s="38">
        <f>IF((ዕቁብ!AZ36/ቦኖ!$C$4&gt;0),1,0)</f>
        <v>1</v>
      </c>
      <c r="AZ34" s="38">
        <f>IF((ዕቁብ!BA36/ቦኖ!$C$4&gt;0),1,0)</f>
        <v>1</v>
      </c>
      <c r="BA34" s="38">
        <f>IF((ዕቁብ!BB36/ቦኖ!$C$4&gt;0),1,0)</f>
        <v>1</v>
      </c>
      <c r="BB34" s="38">
        <f>IF((ዕቁብ!BC36/ቦኖ!$C$4&gt;0),1,0)</f>
        <v>1</v>
      </c>
      <c r="BC34" s="38">
        <f>IF((ዕቁብ!BD36/ቦኖ!$C$4&gt;0),1,0)</f>
        <v>1</v>
      </c>
      <c r="BD34" s="38">
        <f>IF((ዕቁብ!BE36/ቦኖ!$C$4&gt;0),1,0)</f>
        <v>1</v>
      </c>
      <c r="BE34" s="38">
        <f>IF((ዕቁብ!BF36/ቦኖ!$C$4&gt;0),1,0)</f>
        <v>1</v>
      </c>
      <c r="BF34" s="38">
        <f>IF((ዕቁብ!BG36/ቦኖ!$C$4&gt;0),1,0)</f>
        <v>1</v>
      </c>
      <c r="BG34" s="38">
        <f>IF((ዕቁብ!BH36/ቦኖ!$C$4&gt;0),1,0)</f>
        <v>1</v>
      </c>
      <c r="BH34" s="38">
        <f>IF((ዕቁብ!BI36/ቦኖ!$C$4&gt;0),1,0)</f>
        <v>1</v>
      </c>
      <c r="BI34" s="38">
        <f>IF((ዕቁብ!BJ36/ቦኖ!$C$4&gt;0),1,0)</f>
        <v>1</v>
      </c>
      <c r="BJ34" s="38">
        <f>IF((ዕቁብ!BK36/ቦኖ!$C$4&gt;0),1,0)</f>
        <v>1</v>
      </c>
      <c r="BK34" s="38">
        <f>IF((ዕቁብ!BL36/ቦኖ!$C$4&gt;0),1,0)</f>
        <v>1</v>
      </c>
      <c r="BL34" s="38">
        <f>IF((ዕቁብ!BM36/ቦኖ!$C$4&gt;0),1,0)</f>
        <v>1</v>
      </c>
      <c r="BM34" s="38">
        <f>IF((ዕቁብ!BN36/ቦኖ!$C$4&gt;0),1,0)</f>
        <v>0</v>
      </c>
      <c r="BN34" s="38">
        <f>IF((ዕቁብ!BO36/ቦኖ!$C$4&gt;0),1,0)</f>
        <v>1</v>
      </c>
      <c r="BO34" s="38">
        <f>IF((ዕቁብ!BP36/ቦኖ!$C$4&gt;0),1,0)</f>
        <v>1</v>
      </c>
      <c r="BP34" s="38">
        <f>IF((ዕቁብ!BQ36/ቦኖ!$C$4&gt;0),1,0)</f>
        <v>0</v>
      </c>
      <c r="BQ34" s="38">
        <f>IF((ዕቁብ!BR36/ቦኖ!$C$4&gt;0),1,0)</f>
        <v>1</v>
      </c>
      <c r="BR34" s="38">
        <f>IF((ዕቁብ!BS36/ቦኖ!$C$4&gt;0),1,0)</f>
        <v>1</v>
      </c>
      <c r="BS34" s="38">
        <f>IF((ዕቁብ!BT36/ቦኖ!$C$4&gt;0),1,0)</f>
        <v>0</v>
      </c>
      <c r="BT34" s="38">
        <f>IF((ዕቁብ!BU36/ቦኖ!$C$4&gt;0),1,0)</f>
        <v>1</v>
      </c>
      <c r="BU34" s="38">
        <f>IF((ዕቁብ!BV36/ቦኖ!$C$4&gt;0),1,0)</f>
        <v>1</v>
      </c>
      <c r="BV34" s="38">
        <f>IF((ዕቁብ!BW36/ቦኖ!$C$4&gt;0),1,0)</f>
        <v>1</v>
      </c>
      <c r="BW34" s="38">
        <f>IF((ዕቁብ!BX36/ቦኖ!$C$4&gt;0),1,0)</f>
        <v>0</v>
      </c>
      <c r="BX34" s="38">
        <f>IF((ዕቁብ!BY36/ቦኖ!$C$4&gt;0),1,0)</f>
        <v>1</v>
      </c>
      <c r="BY34" s="38">
        <f>IF((ዕቁብ!BZ36/ቦኖ!$C$4&gt;0),1,0)</f>
        <v>0</v>
      </c>
      <c r="BZ34" s="38">
        <f>IF((ዕቁብ!CA36/ቦኖ!$C$4&gt;0),1,0)</f>
        <v>0</v>
      </c>
      <c r="CA34" s="38">
        <f>IF((ዕቁብ!CB36/ቦኖ!$C$4&gt;0),1,0)</f>
        <v>1</v>
      </c>
      <c r="CB34" s="38">
        <f>IF((ዕቁብ!CC36/ቦኖ!$C$4&gt;0),1,0)</f>
        <v>0</v>
      </c>
      <c r="CC34" s="38">
        <f>IF((ዕቁብ!CD36/ቦኖ!$C$4&gt;0),1,0)</f>
        <v>1</v>
      </c>
      <c r="CD34" s="38">
        <f>IF((ዕቁብ!CE36/ቦኖ!$C$4&gt;0),1,0)</f>
        <v>0</v>
      </c>
      <c r="CE34" s="38">
        <f>IF((ዕቁብ!CF36/ቦኖ!$C$4&gt;0),1,0)</f>
        <v>1</v>
      </c>
      <c r="CF34" s="38">
        <f>IF((ዕቁብ!CG36/ቦኖ!$C$4&gt;0),1,0)</f>
        <v>0</v>
      </c>
      <c r="CG34" s="38">
        <f>IF((ዕቁብ!CH36/ቦኖ!$C$4&gt;0),1,0)</f>
        <v>1</v>
      </c>
      <c r="CH34" s="38">
        <f>IF((ዕቁብ!CI36/ቦኖ!$C$4&gt;0),1,0)</f>
        <v>0</v>
      </c>
      <c r="CI34" s="38">
        <f>IF((ዕቁብ!CJ36/ቦኖ!$C$4&gt;0),1,0)</f>
        <v>1</v>
      </c>
      <c r="CJ34" s="38">
        <f>IF((ዕቁብ!CK36/ቦኖ!$C$4&gt;0),1,0)</f>
        <v>0</v>
      </c>
      <c r="CK34" s="38">
        <f>IF((ዕቁብ!CL36/ቦኖ!$C$4&gt;0),1,0)</f>
        <v>0</v>
      </c>
      <c r="CL34" s="38">
        <f>IF((ዕቁብ!CM36/ቦኖ!$C$4&gt;0),1,0)</f>
        <v>1</v>
      </c>
      <c r="CM34" s="38">
        <f>IF((ዕቁብ!CN36/ቦኖ!$C$4&gt;0),1,0)</f>
        <v>0</v>
      </c>
      <c r="CN34" s="38">
        <f>IF((ዕቁብ!CO36/ቦኖ!$C$4&gt;0),1,0)</f>
        <v>0</v>
      </c>
      <c r="CO34" s="38">
        <f>IF((ዕቁብ!CP36/ቦኖ!$C$4&gt;0),1,0)</f>
        <v>1</v>
      </c>
      <c r="CP34" s="38">
        <f>IF((ዕቁብ!CQ36/ቦኖ!$C$4&gt;0),1,0)</f>
        <v>0</v>
      </c>
      <c r="CQ34" s="38">
        <f>IF((ዕቁብ!CR36/ቦኖ!$C$4&gt;0),1,0)</f>
        <v>1</v>
      </c>
      <c r="CR34" s="38">
        <f>IF((ዕቁብ!CS36/ቦኖ!$C$4&gt;0),1,0)</f>
        <v>0</v>
      </c>
      <c r="CS34" s="38">
        <f>IF((ዕቁብ!CT36/ቦኖ!$C$4&gt;0),1,0)</f>
        <v>0</v>
      </c>
      <c r="CT34" s="38">
        <f>IF((ዕቁብ!CU36/ቦኖ!$C$4&gt;0),1,0)</f>
        <v>0</v>
      </c>
      <c r="CU34" s="38">
        <f>IF((ዕቁብ!CV36/ቦኖ!$C$4&gt;0),1,0)</f>
        <v>1</v>
      </c>
      <c r="CV34" s="38">
        <f>IF((ዕቁብ!CW36/ቦኖ!$C$4&gt;0),1,0)</f>
        <v>1</v>
      </c>
      <c r="CW34" s="38">
        <f>IF((ዕቁብ!CX36/ቦኖ!$C$4&gt;0),1,0)</f>
        <v>0</v>
      </c>
      <c r="CX34" s="38">
        <f>IF((ዕቁብ!CY36/ቦኖ!$C$4&gt;0),1,0)</f>
        <v>1</v>
      </c>
      <c r="CY34" s="38">
        <f>IF((ዕቁብ!CZ36/ቦኖ!$C$4&gt;0),1,0)</f>
        <v>0</v>
      </c>
      <c r="CZ34" s="38">
        <f>IF((ዕቁብ!DA36/ቦኖ!$C$4&gt;0),1,0)</f>
        <v>1</v>
      </c>
      <c r="DA34" s="38">
        <f>IF((ዕቁብ!DB36/ቦኖ!$C$4&gt;0),1,0)</f>
        <v>0</v>
      </c>
      <c r="DB34" s="38">
        <f>IF((ዕቁብ!DC36/ቦኖ!$C$4&gt;0),1,0)</f>
        <v>0</v>
      </c>
      <c r="DC34" s="38">
        <f>IF((ዕቁብ!DD36/ቦኖ!$C$4&gt;0),1,0)</f>
        <v>0</v>
      </c>
      <c r="DD34" s="38">
        <f>IF((ዕቁብ!DE36/ቦኖ!$C$4&gt;0),1,0)</f>
        <v>0</v>
      </c>
      <c r="DE34" s="38">
        <f>IF((ዕቁብ!DF36/ቦኖ!$C$4&gt;0),1,0)</f>
        <v>0</v>
      </c>
      <c r="DF34" s="38">
        <f>IF((ዕቁብ!DG36/ቦኖ!$C$4&gt;0),1,0)</f>
        <v>0</v>
      </c>
      <c r="DG34" s="38">
        <f>IF((ዕቁብ!DH36/ቦኖ!$C$4&gt;0),1,0)</f>
        <v>0</v>
      </c>
      <c r="DH34" s="38">
        <f>IF((ዕቁብ!DI36/ቦኖ!$C$4&gt;0),1,0)</f>
        <v>0</v>
      </c>
      <c r="DI34" s="38">
        <f>IF((ዕቁብ!DJ36/ቦኖ!$C$4&gt;0),1,0)</f>
        <v>0</v>
      </c>
      <c r="DJ34" s="38">
        <f>IF((ዕቁብ!DK36/ቦኖ!$C$4&gt;0),1,0)</f>
        <v>0</v>
      </c>
      <c r="DK34" s="38">
        <f>IF((ዕቁብ!DL36/ቦኖ!$C$4&gt;0),1,0)</f>
        <v>0</v>
      </c>
      <c r="DL34" s="38">
        <f>IF((ዕቁብ!DM36/ቦኖ!$C$4&gt;0),1,0)</f>
        <v>0</v>
      </c>
      <c r="DM34" s="38">
        <f>IF((ዕቁብ!DN36/ቦኖ!$C$4&gt;0),1,0)</f>
        <v>0</v>
      </c>
      <c r="DN34" s="38">
        <f>IF((ዕቁብ!DO36/ቦኖ!$C$4&gt;0),1,0)</f>
        <v>0</v>
      </c>
      <c r="DO34" s="38">
        <f>IF((ዕቁብ!DP36/ቦኖ!$C$4&gt;0),1,0)</f>
        <v>0</v>
      </c>
      <c r="DP34" s="38">
        <f>IF((ዕቁብ!DQ36/ቦኖ!$C$4&gt;0),1,0)</f>
        <v>0</v>
      </c>
      <c r="DQ34" s="38">
        <f>IF((ዕቁብ!DR36/ቦኖ!$C$4&gt;0),1,0)</f>
        <v>0</v>
      </c>
    </row>
    <row r="35" spans="1:121" ht="15.75" customHeight="1" x14ac:dyDescent="0.3">
      <c r="A35" s="33">
        <f>ዕቁብ!A37</f>
        <v>31</v>
      </c>
      <c r="B35" s="33" t="str">
        <f>ዕቁብ!B37</f>
        <v>ከፈለኝ ፃዲቁ</v>
      </c>
      <c r="C35" s="37">
        <f>ዕቁብ!C37</f>
        <v>21000</v>
      </c>
      <c r="D35" s="38">
        <f>IF((ዕቁብ!E37/ቦኖ!$C$4&gt;0),1,0)</f>
        <v>0</v>
      </c>
      <c r="E35" s="38">
        <f>IF((ዕቁብ!F37/ቦኖ!$C$4&gt;0),1,0)</f>
        <v>0</v>
      </c>
      <c r="F35" s="38">
        <f>IF((ዕቁብ!G37/ቦኖ!$C$4&gt;0),1,0)</f>
        <v>0</v>
      </c>
      <c r="G35" s="38">
        <f>IF((ዕቁብ!H37/ቦኖ!$C$4&gt;0),1,0)</f>
        <v>0</v>
      </c>
      <c r="H35" s="38">
        <f>IF((ዕቁብ!I37/ቦኖ!$C$4&gt;0),1,0)</f>
        <v>0</v>
      </c>
      <c r="I35" s="38">
        <f>IF((ዕቁብ!J37/ቦኖ!$C$4&gt;0),1,0)</f>
        <v>0</v>
      </c>
      <c r="J35" s="38">
        <f>IF((ዕቁብ!K37/ቦኖ!$C$4&gt;0),1,0)</f>
        <v>0</v>
      </c>
      <c r="K35" s="38">
        <f>IF((ዕቁብ!L37/ቦኖ!$C$4&gt;0),1,0)</f>
        <v>0</v>
      </c>
      <c r="L35" s="38">
        <f>IF((ዕቁብ!M37/ቦኖ!$C$4&gt;0),1,0)</f>
        <v>0</v>
      </c>
      <c r="M35" s="38">
        <f>IF((ዕቁብ!N37/ቦኖ!$C$4&gt;0),1,0)</f>
        <v>0</v>
      </c>
      <c r="N35" s="38">
        <f>IF((ዕቁብ!O37/ቦኖ!$C$4&gt;0),1,0)</f>
        <v>0</v>
      </c>
      <c r="O35" s="38">
        <f>IF((ዕቁብ!P37/ቦኖ!$C$4&gt;0),1,0)</f>
        <v>0</v>
      </c>
      <c r="P35" s="38">
        <f>IF((ዕቁብ!Q37/ቦኖ!$C$4&gt;0),1,0)</f>
        <v>0</v>
      </c>
      <c r="Q35" s="38">
        <f>IF((ዕቁብ!R37/ቦኖ!$C$4&gt;0),1,0)</f>
        <v>0</v>
      </c>
      <c r="R35" s="38">
        <f>IF((ዕቁብ!S37/ቦኖ!$C$4&gt;0),1,0)</f>
        <v>0</v>
      </c>
      <c r="S35" s="38">
        <f>IF((ዕቁብ!T37/ቦኖ!$C$4&gt;0),1,0)</f>
        <v>0</v>
      </c>
      <c r="T35" s="38">
        <f>IF((ዕቁብ!U37/ቦኖ!$C$4&gt;0),1,0)</f>
        <v>0</v>
      </c>
      <c r="U35" s="38">
        <f>IF((ዕቁብ!V37/ቦኖ!$C$4&gt;0),1,0)</f>
        <v>0</v>
      </c>
      <c r="V35" s="38">
        <f>IF((ዕቁብ!W37/ቦኖ!$C$4&gt;0),1,0)</f>
        <v>0</v>
      </c>
      <c r="W35" s="38">
        <f>IF((ዕቁብ!X37/ቦኖ!$C$4&gt;0),1,0)</f>
        <v>0</v>
      </c>
      <c r="X35" s="38">
        <f>IF((ዕቁብ!Y37/ቦኖ!$C$4&gt;0),1,0)</f>
        <v>0</v>
      </c>
      <c r="Y35" s="38">
        <f>IF((ዕቁብ!Z37/ቦኖ!$C$4&gt;0),1,0)</f>
        <v>0</v>
      </c>
      <c r="Z35" s="38">
        <f>IF((ዕቁብ!AA37/ቦኖ!$C$4&gt;0),1,0)</f>
        <v>0</v>
      </c>
      <c r="AA35" s="38">
        <f>IF((ዕቁብ!AB37/ቦኖ!$C$4&gt;0),1,0)</f>
        <v>0</v>
      </c>
      <c r="AB35" s="38">
        <f>IF((ዕቁብ!AC37/ቦኖ!$C$4&gt;0),1,0)</f>
        <v>0</v>
      </c>
      <c r="AC35" s="38">
        <f>IF((ዕቁብ!AD37/ቦኖ!$C$4&gt;0),1,0)</f>
        <v>0</v>
      </c>
      <c r="AD35" s="38">
        <f>IF((ዕቁብ!AE37/ቦኖ!$C$4&gt;0),1,0)</f>
        <v>0</v>
      </c>
      <c r="AE35" s="38">
        <f>IF((ዕቁብ!AF37/ቦኖ!$C$4&gt;0),1,0)</f>
        <v>0</v>
      </c>
      <c r="AF35" s="38">
        <f>IF((ዕቁብ!AG37/ቦኖ!$C$4&gt;0),1,0)</f>
        <v>0</v>
      </c>
      <c r="AG35" s="38">
        <f>IF((ዕቁብ!AH37/ቦኖ!$C$4&gt;0),1,0)</f>
        <v>0</v>
      </c>
      <c r="AH35" s="38">
        <f>IF((ዕቁብ!AI37/ቦኖ!$C$4&gt;0),1,0)</f>
        <v>0</v>
      </c>
      <c r="AI35" s="38">
        <f>IF((ዕቁብ!AJ37/ቦኖ!$C$4&gt;0),1,0)</f>
        <v>0</v>
      </c>
      <c r="AJ35" s="38">
        <f>IF((ዕቁብ!AK37/ቦኖ!$C$4&gt;0),1,0)</f>
        <v>0</v>
      </c>
      <c r="AK35" s="38">
        <f>IF((ዕቁብ!AL37/ቦኖ!$C$4&gt;0),1,0)</f>
        <v>0</v>
      </c>
      <c r="AL35" s="38">
        <f>IF((ዕቁብ!AM37/ቦኖ!$C$4&gt;0),1,0)</f>
        <v>0</v>
      </c>
      <c r="AM35" s="38">
        <f>IF((ዕቁብ!AN37/ቦኖ!$C$4&gt;0),1,0)</f>
        <v>0</v>
      </c>
      <c r="AN35" s="38">
        <f>IF((ዕቁብ!AO37/ቦኖ!$C$4&gt;0),1,0)</f>
        <v>0</v>
      </c>
      <c r="AO35" s="38">
        <f>IF((ዕቁብ!AP37/ቦኖ!$C$4&gt;0),1,0)</f>
        <v>0</v>
      </c>
      <c r="AP35" s="38">
        <f>IF((ዕቁብ!AQ37/ቦኖ!$C$4&gt;0),1,0)</f>
        <v>0</v>
      </c>
      <c r="AQ35" s="38">
        <f>IF((ዕቁብ!AR37/ቦኖ!$C$4&gt;0),1,0)</f>
        <v>0</v>
      </c>
      <c r="AR35" s="38">
        <f>IF((ዕቁብ!AS37/ቦኖ!$C$4&gt;0),1,0)</f>
        <v>0</v>
      </c>
      <c r="AS35" s="38">
        <f>IF((ዕቁብ!AT37/ቦኖ!$C$4&gt;0),1,0)</f>
        <v>0</v>
      </c>
      <c r="AT35" s="38">
        <f>IF((ዕቁብ!AU37/ቦኖ!$C$4&gt;0),1,0)</f>
        <v>0</v>
      </c>
      <c r="AU35" s="38">
        <f>IF((ዕቁብ!AV37/ቦኖ!$C$4&gt;0),1,0)</f>
        <v>0</v>
      </c>
      <c r="AV35" s="38">
        <f>IF((ዕቁብ!AW37/ቦኖ!$C$4&gt;0),1,0)</f>
        <v>0</v>
      </c>
      <c r="AW35" s="38">
        <f>IF((ዕቁብ!AX37/ቦኖ!$C$4&gt;0),1,0)</f>
        <v>0</v>
      </c>
      <c r="AX35" s="38">
        <f>IF((ዕቁብ!AY37/ቦኖ!$C$4&gt;0),1,0)</f>
        <v>0</v>
      </c>
      <c r="AY35" s="38">
        <f>IF((ዕቁብ!AZ37/ቦኖ!$C$4&gt;0),1,0)</f>
        <v>0</v>
      </c>
      <c r="AZ35" s="38">
        <f>IF((ዕቁብ!BA37/ቦኖ!$C$4&gt;0),1,0)</f>
        <v>0</v>
      </c>
      <c r="BA35" s="38">
        <f>IF((ዕቁብ!BB37/ቦኖ!$C$4&gt;0),1,0)</f>
        <v>0</v>
      </c>
      <c r="BB35" s="38">
        <f>IF((ዕቁብ!BC37/ቦኖ!$C$4&gt;0),1,0)</f>
        <v>0</v>
      </c>
      <c r="BC35" s="38">
        <f>IF((ዕቁብ!BD37/ቦኖ!$C$4&gt;0),1,0)</f>
        <v>0</v>
      </c>
      <c r="BD35" s="38">
        <f>IF((ዕቁብ!BE37/ቦኖ!$C$4&gt;0),1,0)</f>
        <v>0</v>
      </c>
      <c r="BE35" s="38">
        <f>IF((ዕቁብ!BF37/ቦኖ!$C$4&gt;0),1,0)</f>
        <v>0</v>
      </c>
      <c r="BF35" s="38">
        <f>IF((ዕቁብ!BG37/ቦኖ!$C$4&gt;0),1,0)</f>
        <v>0</v>
      </c>
      <c r="BG35" s="38">
        <f>IF((ዕቁብ!BH37/ቦኖ!$C$4&gt;0),1,0)</f>
        <v>0</v>
      </c>
      <c r="BH35" s="38">
        <f>IF((ዕቁብ!BI37/ቦኖ!$C$4&gt;0),1,0)</f>
        <v>0</v>
      </c>
      <c r="BI35" s="38">
        <f>IF((ዕቁብ!BJ37/ቦኖ!$C$4&gt;0),1,0)</f>
        <v>0</v>
      </c>
      <c r="BJ35" s="38">
        <f>IF((ዕቁብ!BK37/ቦኖ!$C$4&gt;0),1,0)</f>
        <v>0</v>
      </c>
      <c r="BK35" s="38">
        <f>IF((ዕቁብ!BL37/ቦኖ!$C$4&gt;0),1,0)</f>
        <v>0</v>
      </c>
      <c r="BL35" s="38">
        <f>IF((ዕቁብ!BM37/ቦኖ!$C$4&gt;0),1,0)</f>
        <v>0</v>
      </c>
      <c r="BM35" s="38">
        <f>IF((ዕቁብ!BN37/ቦኖ!$C$4&gt;0),1,0)</f>
        <v>0</v>
      </c>
      <c r="BN35" s="38">
        <f>IF((ዕቁብ!BO37/ቦኖ!$C$4&gt;0),1,0)</f>
        <v>0</v>
      </c>
      <c r="BO35" s="38">
        <f>IF((ዕቁብ!BP37/ቦኖ!$C$4&gt;0),1,0)</f>
        <v>0</v>
      </c>
      <c r="BP35" s="38">
        <f>IF((ዕቁብ!BQ37/ቦኖ!$C$4&gt;0),1,0)</f>
        <v>0</v>
      </c>
      <c r="BQ35" s="38">
        <f>IF((ዕቁብ!BR37/ቦኖ!$C$4&gt;0),1,0)</f>
        <v>0</v>
      </c>
      <c r="BR35" s="38">
        <f>IF((ዕቁብ!BS37/ቦኖ!$C$4&gt;0),1,0)</f>
        <v>0</v>
      </c>
      <c r="BS35" s="38">
        <f>IF((ዕቁብ!BT37/ቦኖ!$C$4&gt;0),1,0)</f>
        <v>0</v>
      </c>
      <c r="BT35" s="38">
        <f>IF((ዕቁብ!BU37/ቦኖ!$C$4&gt;0),1,0)</f>
        <v>0</v>
      </c>
      <c r="BU35" s="38">
        <f>IF((ዕቁብ!BV37/ቦኖ!$C$4&gt;0),1,0)</f>
        <v>0</v>
      </c>
      <c r="BV35" s="38">
        <f>IF((ዕቁብ!BW37/ቦኖ!$C$4&gt;0),1,0)</f>
        <v>0</v>
      </c>
      <c r="BW35" s="38">
        <f>IF((ዕቁብ!BX37/ቦኖ!$C$4&gt;0),1,0)</f>
        <v>0</v>
      </c>
      <c r="BX35" s="38">
        <f>IF((ዕቁብ!BY37/ቦኖ!$C$4&gt;0),1,0)</f>
        <v>0</v>
      </c>
      <c r="BY35" s="38">
        <f>IF((ዕቁብ!BZ37/ቦኖ!$C$4&gt;0),1,0)</f>
        <v>0</v>
      </c>
      <c r="BZ35" s="38">
        <f>IF((ዕቁብ!CA37/ቦኖ!$C$4&gt;0),1,0)</f>
        <v>0</v>
      </c>
      <c r="CA35" s="38">
        <f>IF((ዕቁብ!CB37/ቦኖ!$C$4&gt;0),1,0)</f>
        <v>0</v>
      </c>
      <c r="CB35" s="38">
        <f>IF((ዕቁብ!CC37/ቦኖ!$C$4&gt;0),1,0)</f>
        <v>0</v>
      </c>
      <c r="CC35" s="38">
        <f>IF((ዕቁብ!CD37/ቦኖ!$C$4&gt;0),1,0)</f>
        <v>0</v>
      </c>
      <c r="CD35" s="38">
        <f>IF((ዕቁብ!CE37/ቦኖ!$C$4&gt;0),1,0)</f>
        <v>0</v>
      </c>
      <c r="CE35" s="38">
        <f>IF((ዕቁብ!CF37/ቦኖ!$C$4&gt;0),1,0)</f>
        <v>0</v>
      </c>
      <c r="CF35" s="38">
        <f>IF((ዕቁብ!CG37/ቦኖ!$C$4&gt;0),1,0)</f>
        <v>0</v>
      </c>
      <c r="CG35" s="38">
        <f>IF((ዕቁብ!CH37/ቦኖ!$C$4&gt;0),1,0)</f>
        <v>0</v>
      </c>
      <c r="CH35" s="38">
        <f>IF((ዕቁብ!CI37/ቦኖ!$C$4&gt;0),1,0)</f>
        <v>0</v>
      </c>
      <c r="CI35" s="38">
        <f>IF((ዕቁብ!CJ37/ቦኖ!$C$4&gt;0),1,0)</f>
        <v>0</v>
      </c>
      <c r="CJ35" s="38">
        <f>IF((ዕቁብ!CK37/ቦኖ!$C$4&gt;0),1,0)</f>
        <v>0</v>
      </c>
      <c r="CK35" s="38">
        <f>IF((ዕቁብ!CL37/ቦኖ!$C$4&gt;0),1,0)</f>
        <v>0</v>
      </c>
      <c r="CL35" s="38">
        <f>IF((ዕቁብ!CM37/ቦኖ!$C$4&gt;0),1,0)</f>
        <v>0</v>
      </c>
      <c r="CM35" s="38">
        <f>IF((ዕቁብ!CN37/ቦኖ!$C$4&gt;0),1,0)</f>
        <v>0</v>
      </c>
      <c r="CN35" s="38">
        <f>IF((ዕቁብ!CO37/ቦኖ!$C$4&gt;0),1,0)</f>
        <v>0</v>
      </c>
      <c r="CO35" s="38">
        <f>IF((ዕቁብ!CP37/ቦኖ!$C$4&gt;0),1,0)</f>
        <v>0</v>
      </c>
      <c r="CP35" s="38">
        <f>IF((ዕቁብ!CQ37/ቦኖ!$C$4&gt;0),1,0)</f>
        <v>0</v>
      </c>
      <c r="CQ35" s="38">
        <f>IF((ዕቁብ!CR37/ቦኖ!$C$4&gt;0),1,0)</f>
        <v>0</v>
      </c>
      <c r="CR35" s="38">
        <f>IF((ዕቁብ!CS37/ቦኖ!$C$4&gt;0),1,0)</f>
        <v>0</v>
      </c>
      <c r="CS35" s="38">
        <f>IF((ዕቁብ!CT37/ቦኖ!$C$4&gt;0),1,0)</f>
        <v>0</v>
      </c>
      <c r="CT35" s="38">
        <f>IF((ዕቁብ!CU37/ቦኖ!$C$4&gt;0),1,0)</f>
        <v>0</v>
      </c>
      <c r="CU35" s="38">
        <f>IF((ዕቁብ!CV37/ቦኖ!$C$4&gt;0),1,0)</f>
        <v>0</v>
      </c>
      <c r="CV35" s="38">
        <f>IF((ዕቁብ!CW37/ቦኖ!$C$4&gt;0),1,0)</f>
        <v>0</v>
      </c>
      <c r="CW35" s="38">
        <f>IF((ዕቁብ!CX37/ቦኖ!$C$4&gt;0),1,0)</f>
        <v>0</v>
      </c>
      <c r="CX35" s="38">
        <f>IF((ዕቁብ!CY37/ቦኖ!$C$4&gt;0),1,0)</f>
        <v>0</v>
      </c>
      <c r="CY35" s="38">
        <f>IF((ዕቁብ!CZ37/ቦኖ!$C$4&gt;0),1,0)</f>
        <v>0</v>
      </c>
      <c r="CZ35" s="38">
        <f>IF((ዕቁብ!DA37/ቦኖ!$C$4&gt;0),1,0)</f>
        <v>0</v>
      </c>
      <c r="DA35" s="38">
        <f>IF((ዕቁብ!DB37/ቦኖ!$C$4&gt;0),1,0)</f>
        <v>0</v>
      </c>
      <c r="DB35" s="38">
        <f>IF((ዕቁብ!DC37/ቦኖ!$C$4&gt;0),1,0)</f>
        <v>0</v>
      </c>
      <c r="DC35" s="38">
        <f>IF((ዕቁብ!DD37/ቦኖ!$C$4&gt;0),1,0)</f>
        <v>0</v>
      </c>
      <c r="DD35" s="38">
        <f>IF((ዕቁብ!DE37/ቦኖ!$C$4&gt;0),1,0)</f>
        <v>0</v>
      </c>
      <c r="DE35" s="38">
        <f>IF((ዕቁብ!DF37/ቦኖ!$C$4&gt;0),1,0)</f>
        <v>0</v>
      </c>
      <c r="DF35" s="38">
        <f>IF((ዕቁብ!DG37/ቦኖ!$C$4&gt;0),1,0)</f>
        <v>0</v>
      </c>
      <c r="DG35" s="38">
        <f>IF((ዕቁብ!DH37/ቦኖ!$C$4&gt;0),1,0)</f>
        <v>0</v>
      </c>
      <c r="DH35" s="38">
        <f>IF((ዕቁብ!DI37/ቦኖ!$C$4&gt;0),1,0)</f>
        <v>0</v>
      </c>
      <c r="DI35" s="38">
        <f>IF((ዕቁብ!DJ37/ቦኖ!$C$4&gt;0),1,0)</f>
        <v>0</v>
      </c>
      <c r="DJ35" s="38">
        <f>IF((ዕቁብ!DK37/ቦኖ!$C$4&gt;0),1,0)</f>
        <v>0</v>
      </c>
      <c r="DK35" s="38">
        <f>IF((ዕቁብ!DL37/ቦኖ!$C$4&gt;0),1,0)</f>
        <v>0</v>
      </c>
      <c r="DL35" s="38">
        <f>IF((ዕቁብ!DM37/ቦኖ!$C$4&gt;0),1,0)</f>
        <v>0</v>
      </c>
      <c r="DM35" s="38">
        <f>IF((ዕቁብ!DN37/ቦኖ!$C$4&gt;0),1,0)</f>
        <v>0</v>
      </c>
      <c r="DN35" s="38">
        <f>IF((ዕቁብ!DO37/ቦኖ!$C$4&gt;0),1,0)</f>
        <v>0</v>
      </c>
      <c r="DO35" s="38">
        <f>IF((ዕቁብ!DP37/ቦኖ!$C$4&gt;0),1,0)</f>
        <v>0</v>
      </c>
      <c r="DP35" s="38">
        <f>IF((ዕቁብ!DQ37/ቦኖ!$C$4&gt;0),1,0)</f>
        <v>0</v>
      </c>
      <c r="DQ35" s="38">
        <f>IF((ዕቁብ!DR37/ቦኖ!$C$4&gt;0),1,0)</f>
        <v>0</v>
      </c>
    </row>
    <row r="36" spans="1:121" ht="15.75" customHeight="1" x14ac:dyDescent="0.3">
      <c r="A36" s="33">
        <f>ዕቁብ!A38</f>
        <v>32</v>
      </c>
      <c r="B36" s="33" t="str">
        <f>ዕቁብ!B38</f>
        <v>ዳንኤል ጎሌ</v>
      </c>
      <c r="C36" s="37">
        <f>ዕቁብ!C38</f>
        <v>21000</v>
      </c>
      <c r="D36" s="38">
        <f>IF((ዕቁብ!E38/ቦኖ!$C$4&gt;0),1,0)</f>
        <v>1</v>
      </c>
      <c r="E36" s="38">
        <f>IF((ዕቁብ!F38/ቦኖ!$C$4&gt;0),1,0)</f>
        <v>1</v>
      </c>
      <c r="F36" s="38">
        <f>IF((ዕቁብ!G38/ቦኖ!$C$4&gt;0),1,0)</f>
        <v>1</v>
      </c>
      <c r="G36" s="38">
        <f>IF((ዕቁብ!H38/ቦኖ!$C$4&gt;0),1,0)</f>
        <v>1</v>
      </c>
      <c r="H36" s="38">
        <f>IF((ዕቁብ!I38/ቦኖ!$C$4&gt;0),1,0)</f>
        <v>1</v>
      </c>
      <c r="I36" s="38">
        <f>IF((ዕቁብ!J38/ቦኖ!$C$4&gt;0),1,0)</f>
        <v>1</v>
      </c>
      <c r="J36" s="38">
        <f>IF((ዕቁብ!K38/ቦኖ!$C$4&gt;0),1,0)</f>
        <v>1</v>
      </c>
      <c r="K36" s="38">
        <f>IF((ዕቁብ!L38/ቦኖ!$C$4&gt;0),1,0)</f>
        <v>1</v>
      </c>
      <c r="L36" s="38">
        <f>IF((ዕቁብ!M38/ቦኖ!$C$4&gt;0),1,0)</f>
        <v>1</v>
      </c>
      <c r="M36" s="38">
        <f>IF((ዕቁብ!N38/ቦኖ!$C$4&gt;0),1,0)</f>
        <v>1</v>
      </c>
      <c r="N36" s="38">
        <f>IF((ዕቁብ!O38/ቦኖ!$C$4&gt;0),1,0)</f>
        <v>1</v>
      </c>
      <c r="O36" s="38">
        <f>IF((ዕቁብ!P38/ቦኖ!$C$4&gt;0),1,0)</f>
        <v>1</v>
      </c>
      <c r="P36" s="38">
        <f>IF((ዕቁብ!Q38/ቦኖ!$C$4&gt;0),1,0)</f>
        <v>1</v>
      </c>
      <c r="Q36" s="38">
        <f>IF((ዕቁብ!R38/ቦኖ!$C$4&gt;0),1,0)</f>
        <v>1</v>
      </c>
      <c r="R36" s="38">
        <f>IF((ዕቁብ!S38/ቦኖ!$C$4&gt;0),1,0)</f>
        <v>1</v>
      </c>
      <c r="S36" s="38">
        <f>IF((ዕቁብ!T38/ቦኖ!$C$4&gt;0),1,0)</f>
        <v>1</v>
      </c>
      <c r="T36" s="38">
        <f>IF((ዕቁብ!U38/ቦኖ!$C$4&gt;0),1,0)</f>
        <v>1</v>
      </c>
      <c r="U36" s="38">
        <f>IF((ዕቁብ!V38/ቦኖ!$C$4&gt;0),1,0)</f>
        <v>1</v>
      </c>
      <c r="V36" s="38">
        <f>IF((ዕቁብ!W38/ቦኖ!$C$4&gt;0),1,0)</f>
        <v>1</v>
      </c>
      <c r="W36" s="38">
        <f>IF((ዕቁብ!X38/ቦኖ!$C$4&gt;0),1,0)</f>
        <v>1</v>
      </c>
      <c r="X36" s="38">
        <f>IF((ዕቁብ!Y38/ቦኖ!$C$4&gt;0),1,0)</f>
        <v>1</v>
      </c>
      <c r="Y36" s="38">
        <f>IF((ዕቁብ!Z38/ቦኖ!$C$4&gt;0),1,0)</f>
        <v>1</v>
      </c>
      <c r="Z36" s="38">
        <f>IF((ዕቁብ!AA38/ቦኖ!$C$4&gt;0),1,0)</f>
        <v>1</v>
      </c>
      <c r="AA36" s="38">
        <f>IF((ዕቁብ!AB38/ቦኖ!$C$4&gt;0),1,0)</f>
        <v>1</v>
      </c>
      <c r="AB36" s="38">
        <f>IF((ዕቁብ!AC38/ቦኖ!$C$4&gt;0),1,0)</f>
        <v>1</v>
      </c>
      <c r="AC36" s="38">
        <f>IF((ዕቁብ!AD38/ቦኖ!$C$4&gt;0),1,0)</f>
        <v>1</v>
      </c>
      <c r="AD36" s="38">
        <f>IF((ዕቁብ!AE38/ቦኖ!$C$4&gt;0),1,0)</f>
        <v>1</v>
      </c>
      <c r="AE36" s="38">
        <f>IF((ዕቁብ!AF38/ቦኖ!$C$4&gt;0),1,0)</f>
        <v>1</v>
      </c>
      <c r="AF36" s="38">
        <f>IF((ዕቁብ!AG38/ቦኖ!$C$4&gt;0),1,0)</f>
        <v>1</v>
      </c>
      <c r="AG36" s="38">
        <f>IF((ዕቁብ!AH38/ቦኖ!$C$4&gt;0),1,0)</f>
        <v>1</v>
      </c>
      <c r="AH36" s="38">
        <f>IF((ዕቁብ!AI38/ቦኖ!$C$4&gt;0),1,0)</f>
        <v>1</v>
      </c>
      <c r="AI36" s="38">
        <f>IF((ዕቁብ!AJ38/ቦኖ!$C$4&gt;0),1,0)</f>
        <v>1</v>
      </c>
      <c r="AJ36" s="38">
        <f>IF((ዕቁብ!AK38/ቦኖ!$C$4&gt;0),1,0)</f>
        <v>1</v>
      </c>
      <c r="AK36" s="38">
        <f>IF((ዕቁብ!AL38/ቦኖ!$C$4&gt;0),1,0)</f>
        <v>1</v>
      </c>
      <c r="AL36" s="38">
        <f>IF((ዕቁብ!AM38/ቦኖ!$C$4&gt;0),1,0)</f>
        <v>1</v>
      </c>
      <c r="AM36" s="38">
        <f>IF((ዕቁብ!AN38/ቦኖ!$C$4&gt;0),1,0)</f>
        <v>1</v>
      </c>
      <c r="AN36" s="38">
        <f>IF((ዕቁብ!AO38/ቦኖ!$C$4&gt;0),1,0)</f>
        <v>1</v>
      </c>
      <c r="AO36" s="38">
        <f>IF((ዕቁብ!AP38/ቦኖ!$C$4&gt;0),1,0)</f>
        <v>1</v>
      </c>
      <c r="AP36" s="38">
        <f>IF((ዕቁብ!AQ38/ቦኖ!$C$4&gt;0),1,0)</f>
        <v>1</v>
      </c>
      <c r="AQ36" s="38">
        <f>IF((ዕቁብ!AR38/ቦኖ!$C$4&gt;0),1,0)</f>
        <v>1</v>
      </c>
      <c r="AR36" s="38">
        <f>IF((ዕቁብ!AS38/ቦኖ!$C$4&gt;0),1,0)</f>
        <v>1</v>
      </c>
      <c r="AS36" s="38">
        <f>IF((ዕቁብ!AT38/ቦኖ!$C$4&gt;0),1,0)</f>
        <v>1</v>
      </c>
      <c r="AT36" s="38">
        <f>IF((ዕቁብ!AU38/ቦኖ!$C$4&gt;0),1,0)</f>
        <v>1</v>
      </c>
      <c r="AU36" s="38">
        <f>IF((ዕቁብ!AV38/ቦኖ!$C$4&gt;0),1,0)</f>
        <v>1</v>
      </c>
      <c r="AV36" s="38">
        <f>IF((ዕቁብ!AW38/ቦኖ!$C$4&gt;0),1,0)</f>
        <v>1</v>
      </c>
      <c r="AW36" s="38">
        <f>IF((ዕቁብ!AX38/ቦኖ!$C$4&gt;0),1,0)</f>
        <v>1</v>
      </c>
      <c r="AX36" s="38">
        <f>IF((ዕቁብ!AY38/ቦኖ!$C$4&gt;0),1,0)</f>
        <v>1</v>
      </c>
      <c r="AY36" s="38">
        <f>IF((ዕቁብ!AZ38/ቦኖ!$C$4&gt;0),1,0)</f>
        <v>1</v>
      </c>
      <c r="AZ36" s="38">
        <f>IF((ዕቁብ!BA38/ቦኖ!$C$4&gt;0),1,0)</f>
        <v>1</v>
      </c>
      <c r="BA36" s="38">
        <f>IF((ዕቁብ!BB38/ቦኖ!$C$4&gt;0),1,0)</f>
        <v>1</v>
      </c>
      <c r="BB36" s="38">
        <f>IF((ዕቁብ!BC38/ቦኖ!$C$4&gt;0),1,0)</f>
        <v>1</v>
      </c>
      <c r="BC36" s="38">
        <f>IF((ዕቁብ!BD38/ቦኖ!$C$4&gt;0),1,0)</f>
        <v>1</v>
      </c>
      <c r="BD36" s="38">
        <f>IF((ዕቁብ!BE38/ቦኖ!$C$4&gt;0),1,0)</f>
        <v>1</v>
      </c>
      <c r="BE36" s="38">
        <f>IF((ዕቁብ!BF38/ቦኖ!$C$4&gt;0),1,0)</f>
        <v>1</v>
      </c>
      <c r="BF36" s="38">
        <f>IF((ዕቁብ!BG38/ቦኖ!$C$4&gt;0),1,0)</f>
        <v>1</v>
      </c>
      <c r="BG36" s="38">
        <f>IF((ዕቁብ!BH38/ቦኖ!$C$4&gt;0),1,0)</f>
        <v>1</v>
      </c>
      <c r="BH36" s="38">
        <f>IF((ዕቁብ!BI38/ቦኖ!$C$4&gt;0),1,0)</f>
        <v>1</v>
      </c>
      <c r="BI36" s="38">
        <f>IF((ዕቁብ!BJ38/ቦኖ!$C$4&gt;0),1,0)</f>
        <v>1</v>
      </c>
      <c r="BJ36" s="38">
        <f>IF((ዕቁብ!BK38/ቦኖ!$C$4&gt;0),1,0)</f>
        <v>1</v>
      </c>
      <c r="BK36" s="38">
        <f>IF((ዕቁብ!BL38/ቦኖ!$C$4&gt;0),1,0)</f>
        <v>1</v>
      </c>
      <c r="BL36" s="38">
        <f>IF((ዕቁብ!BM38/ቦኖ!$C$4&gt;0),1,0)</f>
        <v>1</v>
      </c>
      <c r="BM36" s="38">
        <f>IF((ዕቁብ!BN38/ቦኖ!$C$4&gt;0),1,0)</f>
        <v>1</v>
      </c>
      <c r="BN36" s="38">
        <f>IF((ዕቁብ!BO38/ቦኖ!$C$4&gt;0),1,0)</f>
        <v>1</v>
      </c>
      <c r="BO36" s="38">
        <f>IF((ዕቁብ!BP38/ቦኖ!$C$4&gt;0),1,0)</f>
        <v>1</v>
      </c>
      <c r="BP36" s="38">
        <f>IF((ዕቁብ!BQ38/ቦኖ!$C$4&gt;0),1,0)</f>
        <v>1</v>
      </c>
      <c r="BQ36" s="38">
        <f>IF((ዕቁብ!BR38/ቦኖ!$C$4&gt;0),1,0)</f>
        <v>1</v>
      </c>
      <c r="BR36" s="38">
        <f>IF((ዕቁብ!BS38/ቦኖ!$C$4&gt;0),1,0)</f>
        <v>1</v>
      </c>
      <c r="BS36" s="38">
        <f>IF((ዕቁብ!BT38/ቦኖ!$C$4&gt;0),1,0)</f>
        <v>1</v>
      </c>
      <c r="BT36" s="38">
        <f>IF((ዕቁብ!BU38/ቦኖ!$C$4&gt;0),1,0)</f>
        <v>1</v>
      </c>
      <c r="BU36" s="38">
        <f>IF((ዕቁብ!BV38/ቦኖ!$C$4&gt;0),1,0)</f>
        <v>1</v>
      </c>
      <c r="BV36" s="38">
        <f>IF((ዕቁብ!BW38/ቦኖ!$C$4&gt;0),1,0)</f>
        <v>1</v>
      </c>
      <c r="BW36" s="38">
        <f>IF((ዕቁብ!BX38/ቦኖ!$C$4&gt;0),1,0)</f>
        <v>1</v>
      </c>
      <c r="BX36" s="38">
        <f>IF((ዕቁብ!BY38/ቦኖ!$C$4&gt;0),1,0)</f>
        <v>1</v>
      </c>
      <c r="BY36" s="38">
        <f>IF((ዕቁብ!BZ38/ቦኖ!$C$4&gt;0),1,0)</f>
        <v>1</v>
      </c>
      <c r="BZ36" s="38">
        <f>IF((ዕቁብ!CA38/ቦኖ!$C$4&gt;0),1,0)</f>
        <v>1</v>
      </c>
      <c r="CA36" s="38">
        <f>IF((ዕቁብ!CB38/ቦኖ!$C$4&gt;0),1,0)</f>
        <v>1</v>
      </c>
      <c r="CB36" s="38">
        <f>IF((ዕቁብ!CC38/ቦኖ!$C$4&gt;0),1,0)</f>
        <v>1</v>
      </c>
      <c r="CC36" s="38">
        <f>IF((ዕቁብ!CD38/ቦኖ!$C$4&gt;0),1,0)</f>
        <v>1</v>
      </c>
      <c r="CD36" s="38">
        <f>IF((ዕቁብ!CE38/ቦኖ!$C$4&gt;0),1,0)</f>
        <v>1</v>
      </c>
      <c r="CE36" s="38">
        <f>IF((ዕቁብ!CF38/ቦኖ!$C$4&gt;0),1,0)</f>
        <v>1</v>
      </c>
      <c r="CF36" s="38">
        <f>IF((ዕቁብ!CG38/ቦኖ!$C$4&gt;0),1,0)</f>
        <v>1</v>
      </c>
      <c r="CG36" s="38">
        <f>IF((ዕቁብ!CH38/ቦኖ!$C$4&gt;0),1,0)</f>
        <v>0</v>
      </c>
      <c r="CH36" s="38">
        <f>IF((ዕቁብ!CI38/ቦኖ!$C$4&gt;0),1,0)</f>
        <v>1</v>
      </c>
      <c r="CI36" s="38">
        <f>IF((ዕቁብ!CJ38/ቦኖ!$C$4&gt;0),1,0)</f>
        <v>1</v>
      </c>
      <c r="CJ36" s="38">
        <f>IF((ዕቁብ!CK38/ቦኖ!$C$4&gt;0),1,0)</f>
        <v>1</v>
      </c>
      <c r="CK36" s="38">
        <f>IF((ዕቁብ!CL38/ቦኖ!$C$4&gt;0),1,0)</f>
        <v>1</v>
      </c>
      <c r="CL36" s="38">
        <f>IF((ዕቁብ!CM38/ቦኖ!$C$4&gt;0),1,0)</f>
        <v>1</v>
      </c>
      <c r="CM36" s="38">
        <f>IF((ዕቁብ!CN38/ቦኖ!$C$4&gt;0),1,0)</f>
        <v>1</v>
      </c>
      <c r="CN36" s="38">
        <f>IF((ዕቁብ!CO38/ቦኖ!$C$4&gt;0),1,0)</f>
        <v>1</v>
      </c>
      <c r="CO36" s="38">
        <f>IF((ዕቁብ!CP38/ቦኖ!$C$4&gt;0),1,0)</f>
        <v>1</v>
      </c>
      <c r="CP36" s="38">
        <f>IF((ዕቁብ!CQ38/ቦኖ!$C$4&gt;0),1,0)</f>
        <v>1</v>
      </c>
      <c r="CQ36" s="38">
        <f>IF((ዕቁብ!CR38/ቦኖ!$C$4&gt;0),1,0)</f>
        <v>1</v>
      </c>
      <c r="CR36" s="38">
        <f>IF((ዕቁብ!CS38/ቦኖ!$C$4&gt;0),1,0)</f>
        <v>1</v>
      </c>
      <c r="CS36" s="38">
        <f>IF((ዕቁብ!CT38/ቦኖ!$C$4&gt;0),1,0)</f>
        <v>1</v>
      </c>
      <c r="CT36" s="38">
        <f>IF((ዕቁብ!CU38/ቦኖ!$C$4&gt;0),1,0)</f>
        <v>1</v>
      </c>
      <c r="CU36" s="38">
        <f>IF((ዕቁብ!CV38/ቦኖ!$C$4&gt;0),1,0)</f>
        <v>1</v>
      </c>
      <c r="CV36" s="38">
        <f>IF((ዕቁብ!CW38/ቦኖ!$C$4&gt;0),1,0)</f>
        <v>1</v>
      </c>
      <c r="CW36" s="38">
        <f>IF((ዕቁብ!CX38/ቦኖ!$C$4&gt;0),1,0)</f>
        <v>1</v>
      </c>
      <c r="CX36" s="38">
        <f>IF((ዕቁብ!CY38/ቦኖ!$C$4&gt;0),1,0)</f>
        <v>1</v>
      </c>
      <c r="CY36" s="38">
        <f>IF((ዕቁብ!CZ38/ቦኖ!$C$4&gt;0),1,0)</f>
        <v>1</v>
      </c>
      <c r="CZ36" s="38">
        <f>IF((ዕቁብ!DA38/ቦኖ!$C$4&gt;0),1,0)</f>
        <v>1</v>
      </c>
      <c r="DA36" s="38">
        <f>IF((ዕቁብ!DB38/ቦኖ!$C$4&gt;0),1,0)</f>
        <v>1</v>
      </c>
      <c r="DB36" s="38">
        <f>IF((ዕቁብ!DC38/ቦኖ!$C$4&gt;0),1,0)</f>
        <v>1</v>
      </c>
      <c r="DC36" s="38">
        <f>IF((ዕቁብ!DD38/ቦኖ!$C$4&gt;0),1,0)</f>
        <v>1</v>
      </c>
      <c r="DD36" s="38">
        <f>IF((ዕቁብ!DE38/ቦኖ!$C$4&gt;0),1,0)</f>
        <v>1</v>
      </c>
      <c r="DE36" s="38">
        <f>IF((ዕቁብ!DF38/ቦኖ!$C$4&gt;0),1,0)</f>
        <v>1</v>
      </c>
      <c r="DF36" s="38">
        <f>IF((ዕቁብ!DG38/ቦኖ!$C$4&gt;0),1,0)</f>
        <v>1</v>
      </c>
      <c r="DG36" s="38">
        <f>IF((ዕቁብ!DH38/ቦኖ!$C$4&gt;0),1,0)</f>
        <v>1</v>
      </c>
      <c r="DH36" s="38">
        <f>IF((ዕቁብ!DI38/ቦኖ!$C$4&gt;0),1,0)</f>
        <v>0</v>
      </c>
      <c r="DI36" s="38">
        <f>IF((ዕቁብ!DJ38/ቦኖ!$C$4&gt;0),1,0)</f>
        <v>0</v>
      </c>
      <c r="DJ36" s="38">
        <f>IF((ዕቁብ!DK38/ቦኖ!$C$4&gt;0),1,0)</f>
        <v>0</v>
      </c>
      <c r="DK36" s="38">
        <f>IF((ዕቁብ!DL38/ቦኖ!$C$4&gt;0),1,0)</f>
        <v>0</v>
      </c>
      <c r="DL36" s="38">
        <f>IF((ዕቁብ!DM38/ቦኖ!$C$4&gt;0),1,0)</f>
        <v>0</v>
      </c>
      <c r="DM36" s="38">
        <f>IF((ዕቁብ!DN38/ቦኖ!$C$4&gt;0),1,0)</f>
        <v>0</v>
      </c>
      <c r="DN36" s="38">
        <f>IF((ዕቁብ!DO38/ቦኖ!$C$4&gt;0),1,0)</f>
        <v>0</v>
      </c>
      <c r="DO36" s="38">
        <f>IF((ዕቁብ!DP38/ቦኖ!$C$4&gt;0),1,0)</f>
        <v>0</v>
      </c>
      <c r="DP36" s="38">
        <f>IF((ዕቁብ!DQ38/ቦኖ!$C$4&gt;0),1,0)</f>
        <v>0</v>
      </c>
      <c r="DQ36" s="38">
        <f>IF((ዕቁብ!DR38/ቦኖ!$C$4&gt;0),1,0)</f>
        <v>0</v>
      </c>
    </row>
    <row r="37" spans="1:121" ht="15.75" customHeight="1" x14ac:dyDescent="0.3">
      <c r="A37" s="33">
        <f>ዕቁብ!A39</f>
        <v>33</v>
      </c>
      <c r="B37" s="33" t="str">
        <f>ዕቁብ!B39</f>
        <v>አየነዉ ፀጋዩ</v>
      </c>
      <c r="C37" s="37">
        <f>ዕቁብ!C39</f>
        <v>21000</v>
      </c>
      <c r="D37" s="38">
        <f>IF((ዕቁብ!E39/ቦኖ!$C$4&gt;0),1,0)</f>
        <v>1</v>
      </c>
      <c r="E37" s="38">
        <f>IF((ዕቁብ!F39/ቦኖ!$C$4&gt;0),1,0)</f>
        <v>1</v>
      </c>
      <c r="F37" s="38">
        <f>IF((ዕቁብ!G39/ቦኖ!$C$4&gt;0),1,0)</f>
        <v>1</v>
      </c>
      <c r="G37" s="38">
        <f>IF((ዕቁብ!H39/ቦኖ!$C$4&gt;0),1,0)</f>
        <v>1</v>
      </c>
      <c r="H37" s="38">
        <f>IF((ዕቁብ!I39/ቦኖ!$C$4&gt;0),1,0)</f>
        <v>1</v>
      </c>
      <c r="I37" s="38">
        <f>IF((ዕቁብ!J39/ቦኖ!$C$4&gt;0),1,0)</f>
        <v>1</v>
      </c>
      <c r="J37" s="38">
        <f>IF((ዕቁብ!K39/ቦኖ!$C$4&gt;0),1,0)</f>
        <v>1</v>
      </c>
      <c r="K37" s="38">
        <f>IF((ዕቁብ!L39/ቦኖ!$C$4&gt;0),1,0)</f>
        <v>1</v>
      </c>
      <c r="L37" s="38">
        <f>IF((ዕቁብ!M39/ቦኖ!$C$4&gt;0),1,0)</f>
        <v>1</v>
      </c>
      <c r="M37" s="38">
        <f>IF((ዕቁብ!N39/ቦኖ!$C$4&gt;0),1,0)</f>
        <v>1</v>
      </c>
      <c r="N37" s="38">
        <f>IF((ዕቁብ!O39/ቦኖ!$C$4&gt;0),1,0)</f>
        <v>1</v>
      </c>
      <c r="O37" s="38">
        <f>IF((ዕቁብ!P39/ቦኖ!$C$4&gt;0),1,0)</f>
        <v>1</v>
      </c>
      <c r="P37" s="38">
        <f>IF((ዕቁብ!Q39/ቦኖ!$C$4&gt;0),1,0)</f>
        <v>1</v>
      </c>
      <c r="Q37" s="38">
        <f>IF((ዕቁብ!R39/ቦኖ!$C$4&gt;0),1,0)</f>
        <v>1</v>
      </c>
      <c r="R37" s="38">
        <f>IF((ዕቁብ!S39/ቦኖ!$C$4&gt;0),1,0)</f>
        <v>1</v>
      </c>
      <c r="S37" s="38">
        <f>IF((ዕቁብ!T39/ቦኖ!$C$4&gt;0),1,0)</f>
        <v>1</v>
      </c>
      <c r="T37" s="38">
        <f>IF((ዕቁብ!U39/ቦኖ!$C$4&gt;0),1,0)</f>
        <v>1</v>
      </c>
      <c r="U37" s="38">
        <f>IF((ዕቁብ!V39/ቦኖ!$C$4&gt;0),1,0)</f>
        <v>1</v>
      </c>
      <c r="V37" s="38">
        <f>IF((ዕቁብ!W39/ቦኖ!$C$4&gt;0),1,0)</f>
        <v>1</v>
      </c>
      <c r="W37" s="38">
        <f>IF((ዕቁብ!X39/ቦኖ!$C$4&gt;0),1,0)</f>
        <v>1</v>
      </c>
      <c r="X37" s="38">
        <f>IF((ዕቁብ!Y39/ቦኖ!$C$4&gt;0),1,0)</f>
        <v>1</v>
      </c>
      <c r="Y37" s="38">
        <f>IF((ዕቁብ!Z39/ቦኖ!$C$4&gt;0),1,0)</f>
        <v>1</v>
      </c>
      <c r="Z37" s="38">
        <f>IF((ዕቁብ!AA39/ቦኖ!$C$4&gt;0),1,0)</f>
        <v>1</v>
      </c>
      <c r="AA37" s="38">
        <f>IF((ዕቁብ!AB39/ቦኖ!$C$4&gt;0),1,0)</f>
        <v>1</v>
      </c>
      <c r="AB37" s="38">
        <f>IF((ዕቁብ!AC39/ቦኖ!$C$4&gt;0),1,0)</f>
        <v>1</v>
      </c>
      <c r="AC37" s="38">
        <f>IF((ዕቁብ!AD39/ቦኖ!$C$4&gt;0),1,0)</f>
        <v>1</v>
      </c>
      <c r="AD37" s="38">
        <f>IF((ዕቁብ!AE39/ቦኖ!$C$4&gt;0),1,0)</f>
        <v>1</v>
      </c>
      <c r="AE37" s="38">
        <f>IF((ዕቁብ!AF39/ቦኖ!$C$4&gt;0),1,0)</f>
        <v>1</v>
      </c>
      <c r="AF37" s="38">
        <f>IF((ዕቁብ!AG39/ቦኖ!$C$4&gt;0),1,0)</f>
        <v>1</v>
      </c>
      <c r="AG37" s="38">
        <f>IF((ዕቁብ!AH39/ቦኖ!$C$4&gt;0),1,0)</f>
        <v>1</v>
      </c>
      <c r="AH37" s="38">
        <f>IF((ዕቁብ!AI39/ቦኖ!$C$4&gt;0),1,0)</f>
        <v>1</v>
      </c>
      <c r="AI37" s="38">
        <f>IF((ዕቁብ!AJ39/ቦኖ!$C$4&gt;0),1,0)</f>
        <v>1</v>
      </c>
      <c r="AJ37" s="38">
        <f>IF((ዕቁብ!AK39/ቦኖ!$C$4&gt;0),1,0)</f>
        <v>1</v>
      </c>
      <c r="AK37" s="38">
        <f>IF((ዕቁብ!AL39/ቦኖ!$C$4&gt;0),1,0)</f>
        <v>1</v>
      </c>
      <c r="AL37" s="38">
        <f>IF((ዕቁብ!AM39/ቦኖ!$C$4&gt;0),1,0)</f>
        <v>1</v>
      </c>
      <c r="AM37" s="38">
        <f>IF((ዕቁብ!AN39/ቦኖ!$C$4&gt;0),1,0)</f>
        <v>1</v>
      </c>
      <c r="AN37" s="38">
        <f>IF((ዕቁብ!AO39/ቦኖ!$C$4&gt;0),1,0)</f>
        <v>1</v>
      </c>
      <c r="AO37" s="38">
        <f>IF((ዕቁብ!AP39/ቦኖ!$C$4&gt;0),1,0)</f>
        <v>1</v>
      </c>
      <c r="AP37" s="38">
        <f>IF((ዕቁብ!AQ39/ቦኖ!$C$4&gt;0),1,0)</f>
        <v>1</v>
      </c>
      <c r="AQ37" s="38">
        <f>IF((ዕቁብ!AR39/ቦኖ!$C$4&gt;0),1,0)</f>
        <v>1</v>
      </c>
      <c r="AR37" s="38">
        <f>IF((ዕቁብ!AS39/ቦኖ!$C$4&gt;0),1,0)</f>
        <v>1</v>
      </c>
      <c r="AS37" s="38">
        <f>IF((ዕቁብ!AT39/ቦኖ!$C$4&gt;0),1,0)</f>
        <v>1</v>
      </c>
      <c r="AT37" s="38">
        <f>IF((ዕቁብ!AU39/ቦኖ!$C$4&gt;0),1,0)</f>
        <v>1</v>
      </c>
      <c r="AU37" s="38">
        <f>IF((ዕቁብ!AV39/ቦኖ!$C$4&gt;0),1,0)</f>
        <v>1</v>
      </c>
      <c r="AV37" s="38">
        <f>IF((ዕቁብ!AW39/ቦኖ!$C$4&gt;0),1,0)</f>
        <v>1</v>
      </c>
      <c r="AW37" s="38">
        <f>IF((ዕቁብ!AX39/ቦኖ!$C$4&gt;0),1,0)</f>
        <v>1</v>
      </c>
      <c r="AX37" s="38">
        <f>IF((ዕቁብ!AY39/ቦኖ!$C$4&gt;0),1,0)</f>
        <v>1</v>
      </c>
      <c r="AY37" s="38">
        <f>IF((ዕቁብ!AZ39/ቦኖ!$C$4&gt;0),1,0)</f>
        <v>1</v>
      </c>
      <c r="AZ37" s="38">
        <f>IF((ዕቁብ!BA39/ቦኖ!$C$4&gt;0),1,0)</f>
        <v>1</v>
      </c>
      <c r="BA37" s="38">
        <f>IF((ዕቁብ!BB39/ቦኖ!$C$4&gt;0),1,0)</f>
        <v>1</v>
      </c>
      <c r="BB37" s="38">
        <f>IF((ዕቁብ!BC39/ቦኖ!$C$4&gt;0),1,0)</f>
        <v>1</v>
      </c>
      <c r="BC37" s="38">
        <f>IF((ዕቁብ!BD39/ቦኖ!$C$4&gt;0),1,0)</f>
        <v>1</v>
      </c>
      <c r="BD37" s="38">
        <f>IF((ዕቁብ!BE39/ቦኖ!$C$4&gt;0),1,0)</f>
        <v>1</v>
      </c>
      <c r="BE37" s="38">
        <f>IF((ዕቁብ!BF39/ቦኖ!$C$4&gt;0),1,0)</f>
        <v>1</v>
      </c>
      <c r="BF37" s="38">
        <f>IF((ዕቁብ!BG39/ቦኖ!$C$4&gt;0),1,0)</f>
        <v>0</v>
      </c>
      <c r="BG37" s="38">
        <f>IF((ዕቁብ!BH39/ቦኖ!$C$4&gt;0),1,0)</f>
        <v>1</v>
      </c>
      <c r="BH37" s="38">
        <f>IF((ዕቁብ!BI39/ቦኖ!$C$4&gt;0),1,0)</f>
        <v>0</v>
      </c>
      <c r="BI37" s="38">
        <f>IF((ዕቁብ!BJ39/ቦኖ!$C$4&gt;0),1,0)</f>
        <v>1</v>
      </c>
      <c r="BJ37" s="38">
        <f>IF((ዕቁብ!BK39/ቦኖ!$C$4&gt;0),1,0)</f>
        <v>1</v>
      </c>
      <c r="BK37" s="38">
        <f>IF((ዕቁብ!BL39/ቦኖ!$C$4&gt;0),1,0)</f>
        <v>1</v>
      </c>
      <c r="BL37" s="38">
        <f>IF((ዕቁብ!BM39/ቦኖ!$C$4&gt;0),1,0)</f>
        <v>1</v>
      </c>
      <c r="BM37" s="38">
        <f>IF((ዕቁብ!BN39/ቦኖ!$C$4&gt;0),1,0)</f>
        <v>0</v>
      </c>
      <c r="BN37" s="38">
        <f>IF((ዕቁብ!BO39/ቦኖ!$C$4&gt;0),1,0)</f>
        <v>1</v>
      </c>
      <c r="BO37" s="38">
        <f>IF((ዕቁብ!BP39/ቦኖ!$C$4&gt;0),1,0)</f>
        <v>1</v>
      </c>
      <c r="BP37" s="38">
        <f>IF((ዕቁብ!BQ39/ቦኖ!$C$4&gt;0),1,0)</f>
        <v>1</v>
      </c>
      <c r="BQ37" s="38">
        <f>IF((ዕቁብ!BR39/ቦኖ!$C$4&gt;0),1,0)</f>
        <v>0</v>
      </c>
      <c r="BR37" s="38">
        <f>IF((ዕቁብ!BS39/ቦኖ!$C$4&gt;0),1,0)</f>
        <v>1</v>
      </c>
      <c r="BS37" s="38">
        <f>IF((ዕቁብ!BT39/ቦኖ!$C$4&gt;0),1,0)</f>
        <v>1</v>
      </c>
      <c r="BT37" s="38">
        <f>IF((ዕቁብ!BU39/ቦኖ!$C$4&gt;0),1,0)</f>
        <v>0</v>
      </c>
      <c r="BU37" s="38">
        <f>IF((ዕቁብ!BV39/ቦኖ!$C$4&gt;0),1,0)</f>
        <v>1</v>
      </c>
      <c r="BV37" s="38">
        <f>IF((ዕቁብ!BW39/ቦኖ!$C$4&gt;0),1,0)</f>
        <v>0</v>
      </c>
      <c r="BW37" s="38">
        <f>IF((ዕቁብ!BX39/ቦኖ!$C$4&gt;0),1,0)</f>
        <v>1</v>
      </c>
      <c r="BX37" s="38">
        <f>IF((ዕቁብ!BY39/ቦኖ!$C$4&gt;0),1,0)</f>
        <v>1</v>
      </c>
      <c r="BY37" s="38">
        <f>IF((ዕቁብ!BZ39/ቦኖ!$C$4&gt;0),1,0)</f>
        <v>1</v>
      </c>
      <c r="BZ37" s="38">
        <f>IF((ዕቁብ!CA39/ቦኖ!$C$4&gt;0),1,0)</f>
        <v>0</v>
      </c>
      <c r="CA37" s="38">
        <f>IF((ዕቁብ!CB39/ቦኖ!$C$4&gt;0),1,0)</f>
        <v>0</v>
      </c>
      <c r="CB37" s="38">
        <f>IF((ዕቁብ!CC39/ቦኖ!$C$4&gt;0),1,0)</f>
        <v>1</v>
      </c>
      <c r="CC37" s="38">
        <f>IF((ዕቁብ!CD39/ቦኖ!$C$4&gt;0),1,0)</f>
        <v>0</v>
      </c>
      <c r="CD37" s="38">
        <f>IF((ዕቁብ!CE39/ቦኖ!$C$4&gt;0),1,0)</f>
        <v>0</v>
      </c>
      <c r="CE37" s="38">
        <f>IF((ዕቁብ!CF39/ቦኖ!$C$4&gt;0),1,0)</f>
        <v>1</v>
      </c>
      <c r="CF37" s="38">
        <f>IF((ዕቁብ!CG39/ቦኖ!$C$4&gt;0),1,0)</f>
        <v>1</v>
      </c>
      <c r="CG37" s="38">
        <f>IF((ዕቁብ!CH39/ቦኖ!$C$4&gt;0),1,0)</f>
        <v>1</v>
      </c>
      <c r="CH37" s="38">
        <f>IF((ዕቁብ!CI39/ቦኖ!$C$4&gt;0),1,0)</f>
        <v>0</v>
      </c>
      <c r="CI37" s="38">
        <f>IF((ዕቁብ!CJ39/ቦኖ!$C$4&gt;0),1,0)</f>
        <v>0</v>
      </c>
      <c r="CJ37" s="38">
        <f>IF((ዕቁብ!CK39/ቦኖ!$C$4&gt;0),1,0)</f>
        <v>1</v>
      </c>
      <c r="CK37" s="38">
        <f>IF((ዕቁብ!CL39/ቦኖ!$C$4&gt;0),1,0)</f>
        <v>0</v>
      </c>
      <c r="CL37" s="38">
        <f>IF((ዕቁብ!CM39/ቦኖ!$C$4&gt;0),1,0)</f>
        <v>0</v>
      </c>
      <c r="CM37" s="38">
        <f>IF((ዕቁብ!CN39/ቦኖ!$C$4&gt;0),1,0)</f>
        <v>1</v>
      </c>
      <c r="CN37" s="38">
        <f>IF((ዕቁብ!CO39/ቦኖ!$C$4&gt;0),1,0)</f>
        <v>0</v>
      </c>
      <c r="CO37" s="38">
        <f>IF((ዕቁብ!CP39/ቦኖ!$C$4&gt;0),1,0)</f>
        <v>1</v>
      </c>
      <c r="CP37" s="38">
        <f>IF((ዕቁብ!CQ39/ቦኖ!$C$4&gt;0),1,0)</f>
        <v>0</v>
      </c>
      <c r="CQ37" s="38">
        <f>IF((ዕቁብ!CR39/ቦኖ!$C$4&gt;0),1,0)</f>
        <v>1</v>
      </c>
      <c r="CR37" s="38">
        <f>IF((ዕቁብ!CS39/ቦኖ!$C$4&gt;0),1,0)</f>
        <v>0</v>
      </c>
      <c r="CS37" s="38">
        <f>IF((ዕቁብ!CT39/ቦኖ!$C$4&gt;0),1,0)</f>
        <v>1</v>
      </c>
      <c r="CT37" s="38">
        <f>IF((ዕቁብ!CU39/ቦኖ!$C$4&gt;0),1,0)</f>
        <v>0</v>
      </c>
      <c r="CU37" s="38">
        <f>IF((ዕቁብ!CV39/ቦኖ!$C$4&gt;0),1,0)</f>
        <v>0</v>
      </c>
      <c r="CV37" s="38">
        <f>IF((ዕቁብ!CW39/ቦኖ!$C$4&gt;0),1,0)</f>
        <v>1</v>
      </c>
      <c r="CW37" s="38">
        <f>IF((ዕቁብ!CX39/ቦኖ!$C$4&gt;0),1,0)</f>
        <v>0</v>
      </c>
      <c r="CX37" s="38">
        <f>IF((ዕቁብ!CY39/ቦኖ!$C$4&gt;0),1,0)</f>
        <v>0</v>
      </c>
      <c r="CY37" s="38">
        <f>IF((ዕቁብ!CZ39/ቦኖ!$C$4&gt;0),1,0)</f>
        <v>0</v>
      </c>
      <c r="CZ37" s="38">
        <f>IF((ዕቁብ!DA39/ቦኖ!$C$4&gt;0),1,0)</f>
        <v>1</v>
      </c>
      <c r="DA37" s="38">
        <f>IF((ዕቁብ!DB39/ቦኖ!$C$4&gt;0),1,0)</f>
        <v>0</v>
      </c>
      <c r="DB37" s="38">
        <f>IF((ዕቁብ!DC39/ቦኖ!$C$4&gt;0),1,0)</f>
        <v>0</v>
      </c>
      <c r="DC37" s="38">
        <f>IF((ዕቁብ!DD39/ቦኖ!$C$4&gt;0),1,0)</f>
        <v>0</v>
      </c>
      <c r="DD37" s="38">
        <f>IF((ዕቁብ!DE39/ቦኖ!$C$4&gt;0),1,0)</f>
        <v>0</v>
      </c>
      <c r="DE37" s="38">
        <f>IF((ዕቁብ!DF39/ቦኖ!$C$4&gt;0),1,0)</f>
        <v>1</v>
      </c>
      <c r="DF37" s="38">
        <f>IF((ዕቁብ!DG39/ቦኖ!$C$4&gt;0),1,0)</f>
        <v>1</v>
      </c>
      <c r="DG37" s="38">
        <f>IF((ዕቁብ!DH39/ቦኖ!$C$4&gt;0),1,0)</f>
        <v>0</v>
      </c>
      <c r="DH37" s="38">
        <f>IF((ዕቁብ!DI39/ቦኖ!$C$4&gt;0),1,0)</f>
        <v>0</v>
      </c>
      <c r="DI37" s="38">
        <f>IF((ዕቁብ!DJ39/ቦኖ!$C$4&gt;0),1,0)</f>
        <v>0</v>
      </c>
      <c r="DJ37" s="38">
        <f>IF((ዕቁብ!DK39/ቦኖ!$C$4&gt;0),1,0)</f>
        <v>0</v>
      </c>
      <c r="DK37" s="38">
        <f>IF((ዕቁብ!DL39/ቦኖ!$C$4&gt;0),1,0)</f>
        <v>0</v>
      </c>
      <c r="DL37" s="38">
        <f>IF((ዕቁብ!DM39/ቦኖ!$C$4&gt;0),1,0)</f>
        <v>0</v>
      </c>
      <c r="DM37" s="38">
        <f>IF((ዕቁብ!DN39/ቦኖ!$C$4&gt;0),1,0)</f>
        <v>0</v>
      </c>
      <c r="DN37" s="38">
        <f>IF((ዕቁብ!DO39/ቦኖ!$C$4&gt;0),1,0)</f>
        <v>0</v>
      </c>
      <c r="DO37" s="38">
        <f>IF((ዕቁብ!DP39/ቦኖ!$C$4&gt;0),1,0)</f>
        <v>0</v>
      </c>
      <c r="DP37" s="38">
        <f>IF((ዕቁብ!DQ39/ቦኖ!$C$4&gt;0),1,0)</f>
        <v>0</v>
      </c>
      <c r="DQ37" s="38">
        <f>IF((ዕቁብ!DR39/ቦኖ!$C$4&gt;0),1,0)</f>
        <v>0</v>
      </c>
    </row>
    <row r="38" spans="1:121" ht="15.75" customHeight="1" x14ac:dyDescent="0.3">
      <c r="A38" s="33">
        <f>ዕቁብ!A40</f>
        <v>34</v>
      </c>
      <c r="B38" s="33" t="str">
        <f>ዕቁብ!B40</f>
        <v>ደሊል ፍሬው</v>
      </c>
      <c r="C38" s="37">
        <f>ዕቁብ!C40</f>
        <v>21000</v>
      </c>
      <c r="D38" s="38">
        <f>IF((ዕቁብ!E40/ቦኖ!$C$4&gt;0),1,0)</f>
        <v>1</v>
      </c>
      <c r="E38" s="38">
        <f>IF((ዕቁብ!F40/ቦኖ!$C$4&gt;0),1,0)</f>
        <v>1</v>
      </c>
      <c r="F38" s="38">
        <f>IF((ዕቁብ!G40/ቦኖ!$C$4&gt;0),1,0)</f>
        <v>1</v>
      </c>
      <c r="G38" s="38">
        <f>IF((ዕቁብ!H40/ቦኖ!$C$4&gt;0),1,0)</f>
        <v>1</v>
      </c>
      <c r="H38" s="38">
        <f>IF((ዕቁብ!I40/ቦኖ!$C$4&gt;0),1,0)</f>
        <v>1</v>
      </c>
      <c r="I38" s="38">
        <f>IF((ዕቁብ!J40/ቦኖ!$C$4&gt;0),1,0)</f>
        <v>1</v>
      </c>
      <c r="J38" s="38">
        <f>IF((ዕቁብ!K40/ቦኖ!$C$4&gt;0),1,0)</f>
        <v>1</v>
      </c>
      <c r="K38" s="38">
        <f>IF((ዕቁብ!L40/ቦኖ!$C$4&gt;0),1,0)</f>
        <v>1</v>
      </c>
      <c r="L38" s="38">
        <f>IF((ዕቁብ!M40/ቦኖ!$C$4&gt;0),1,0)</f>
        <v>1</v>
      </c>
      <c r="M38" s="38">
        <f>IF((ዕቁብ!N40/ቦኖ!$C$4&gt;0),1,0)</f>
        <v>1</v>
      </c>
      <c r="N38" s="38">
        <f>IF((ዕቁብ!O40/ቦኖ!$C$4&gt;0),1,0)</f>
        <v>1</v>
      </c>
      <c r="O38" s="38">
        <f>IF((ዕቁብ!P40/ቦኖ!$C$4&gt;0),1,0)</f>
        <v>1</v>
      </c>
      <c r="P38" s="38">
        <f>IF((ዕቁብ!Q40/ቦኖ!$C$4&gt;0),1,0)</f>
        <v>1</v>
      </c>
      <c r="Q38" s="38">
        <f>IF((ዕቁብ!R40/ቦኖ!$C$4&gt;0),1,0)</f>
        <v>1</v>
      </c>
      <c r="R38" s="38">
        <f>IF((ዕቁብ!S40/ቦኖ!$C$4&gt;0),1,0)</f>
        <v>1</v>
      </c>
      <c r="S38" s="38">
        <f>IF((ዕቁብ!T40/ቦኖ!$C$4&gt;0),1,0)</f>
        <v>1</v>
      </c>
      <c r="T38" s="38">
        <f>IF((ዕቁብ!U40/ቦኖ!$C$4&gt;0),1,0)</f>
        <v>1</v>
      </c>
      <c r="U38" s="38">
        <f>IF((ዕቁብ!V40/ቦኖ!$C$4&gt;0),1,0)</f>
        <v>1</v>
      </c>
      <c r="V38" s="38">
        <f>IF((ዕቁብ!W40/ቦኖ!$C$4&gt;0),1,0)</f>
        <v>1</v>
      </c>
      <c r="W38" s="38">
        <f>IF((ዕቁብ!X40/ቦኖ!$C$4&gt;0),1,0)</f>
        <v>1</v>
      </c>
      <c r="X38" s="38">
        <f>IF((ዕቁብ!Y40/ቦኖ!$C$4&gt;0),1,0)</f>
        <v>1</v>
      </c>
      <c r="Y38" s="38">
        <f>IF((ዕቁብ!Z40/ቦኖ!$C$4&gt;0),1,0)</f>
        <v>1</v>
      </c>
      <c r="Z38" s="38">
        <f>IF((ዕቁብ!AA40/ቦኖ!$C$4&gt;0),1,0)</f>
        <v>1</v>
      </c>
      <c r="AA38" s="38">
        <f>IF((ዕቁብ!AB40/ቦኖ!$C$4&gt;0),1,0)</f>
        <v>0</v>
      </c>
      <c r="AB38" s="38">
        <f>IF((ዕቁብ!AC40/ቦኖ!$C$4&gt;0),1,0)</f>
        <v>1</v>
      </c>
      <c r="AC38" s="38">
        <f>IF((ዕቁብ!AD40/ቦኖ!$C$4&gt;0),1,0)</f>
        <v>1</v>
      </c>
      <c r="AD38" s="38">
        <f>IF((ዕቁብ!AE40/ቦኖ!$C$4&gt;0),1,0)</f>
        <v>1</v>
      </c>
      <c r="AE38" s="38">
        <f>IF((ዕቁብ!AF40/ቦኖ!$C$4&gt;0),1,0)</f>
        <v>1</v>
      </c>
      <c r="AF38" s="38">
        <f>IF((ዕቁብ!AG40/ቦኖ!$C$4&gt;0),1,0)</f>
        <v>1</v>
      </c>
      <c r="AG38" s="38">
        <f>IF((ዕቁብ!AH40/ቦኖ!$C$4&gt;0),1,0)</f>
        <v>1</v>
      </c>
      <c r="AH38" s="38">
        <f>IF((ዕቁብ!AI40/ቦኖ!$C$4&gt;0),1,0)</f>
        <v>1</v>
      </c>
      <c r="AI38" s="38">
        <f>IF((ዕቁብ!AJ40/ቦኖ!$C$4&gt;0),1,0)</f>
        <v>1</v>
      </c>
      <c r="AJ38" s="38">
        <f>IF((ዕቁብ!AK40/ቦኖ!$C$4&gt;0),1,0)</f>
        <v>1</v>
      </c>
      <c r="AK38" s="38">
        <f>IF((ዕቁብ!AL40/ቦኖ!$C$4&gt;0),1,0)</f>
        <v>1</v>
      </c>
      <c r="AL38" s="38">
        <f>IF((ዕቁብ!AM40/ቦኖ!$C$4&gt;0),1,0)</f>
        <v>1</v>
      </c>
      <c r="AM38" s="38">
        <f>IF((ዕቁብ!AN40/ቦኖ!$C$4&gt;0),1,0)</f>
        <v>1</v>
      </c>
      <c r="AN38" s="38">
        <f>IF((ዕቁብ!AO40/ቦኖ!$C$4&gt;0),1,0)</f>
        <v>1</v>
      </c>
      <c r="AO38" s="38">
        <f>IF((ዕቁብ!AP40/ቦኖ!$C$4&gt;0),1,0)</f>
        <v>1</v>
      </c>
      <c r="AP38" s="38">
        <f>IF((ዕቁብ!AQ40/ቦኖ!$C$4&gt;0),1,0)</f>
        <v>1</v>
      </c>
      <c r="AQ38" s="38">
        <f>IF((ዕቁብ!AR40/ቦኖ!$C$4&gt;0),1,0)</f>
        <v>1</v>
      </c>
      <c r="AR38" s="38">
        <f>IF((ዕቁብ!AS40/ቦኖ!$C$4&gt;0),1,0)</f>
        <v>1</v>
      </c>
      <c r="AS38" s="38">
        <f>IF((ዕቁብ!AT40/ቦኖ!$C$4&gt;0),1,0)</f>
        <v>1</v>
      </c>
      <c r="AT38" s="38">
        <f>IF((ዕቁብ!AU40/ቦኖ!$C$4&gt;0),1,0)</f>
        <v>1</v>
      </c>
      <c r="AU38" s="38">
        <f>IF((ዕቁብ!AV40/ቦኖ!$C$4&gt;0),1,0)</f>
        <v>1</v>
      </c>
      <c r="AV38" s="38">
        <f>IF((ዕቁብ!AW40/ቦኖ!$C$4&gt;0),1,0)</f>
        <v>1</v>
      </c>
      <c r="AW38" s="38">
        <f>IF((ዕቁብ!AX40/ቦኖ!$C$4&gt;0),1,0)</f>
        <v>1</v>
      </c>
      <c r="AX38" s="38">
        <f>IF((ዕቁብ!AY40/ቦኖ!$C$4&gt;0),1,0)</f>
        <v>1</v>
      </c>
      <c r="AY38" s="38">
        <f>IF((ዕቁብ!AZ40/ቦኖ!$C$4&gt;0),1,0)</f>
        <v>1</v>
      </c>
      <c r="AZ38" s="38">
        <f>IF((ዕቁብ!BA40/ቦኖ!$C$4&gt;0),1,0)</f>
        <v>1</v>
      </c>
      <c r="BA38" s="38">
        <f>IF((ዕቁብ!BB40/ቦኖ!$C$4&gt;0),1,0)</f>
        <v>1</v>
      </c>
      <c r="BB38" s="38">
        <f>IF((ዕቁብ!BC40/ቦኖ!$C$4&gt;0),1,0)</f>
        <v>1</v>
      </c>
      <c r="BC38" s="38">
        <f>IF((ዕቁብ!BD40/ቦኖ!$C$4&gt;0),1,0)</f>
        <v>1</v>
      </c>
      <c r="BD38" s="38">
        <f>IF((ዕቁብ!BE40/ቦኖ!$C$4&gt;0),1,0)</f>
        <v>1</v>
      </c>
      <c r="BE38" s="38">
        <f>IF((ዕቁብ!BF40/ቦኖ!$C$4&gt;0),1,0)</f>
        <v>1</v>
      </c>
      <c r="BF38" s="38">
        <f>IF((ዕቁብ!BG40/ቦኖ!$C$4&gt;0),1,0)</f>
        <v>1</v>
      </c>
      <c r="BG38" s="38">
        <f>IF((ዕቁብ!BH40/ቦኖ!$C$4&gt;0),1,0)</f>
        <v>1</v>
      </c>
      <c r="BH38" s="38">
        <f>IF((ዕቁብ!BI40/ቦኖ!$C$4&gt;0),1,0)</f>
        <v>1</v>
      </c>
      <c r="BI38" s="38">
        <f>IF((ዕቁብ!BJ40/ቦኖ!$C$4&gt;0),1,0)</f>
        <v>1</v>
      </c>
      <c r="BJ38" s="38">
        <f>IF((ዕቁብ!BK40/ቦኖ!$C$4&gt;0),1,0)</f>
        <v>1</v>
      </c>
      <c r="BK38" s="38">
        <f>IF((ዕቁብ!BL40/ቦኖ!$C$4&gt;0),1,0)</f>
        <v>1</v>
      </c>
      <c r="BL38" s="38">
        <f>IF((ዕቁብ!BM40/ቦኖ!$C$4&gt;0),1,0)</f>
        <v>1</v>
      </c>
      <c r="BM38" s="38">
        <f>IF((ዕቁብ!BN40/ቦኖ!$C$4&gt;0),1,0)</f>
        <v>1</v>
      </c>
      <c r="BN38" s="38">
        <f>IF((ዕቁብ!BO40/ቦኖ!$C$4&gt;0),1,0)</f>
        <v>1</v>
      </c>
      <c r="BO38" s="38">
        <f>IF((ዕቁብ!BP40/ቦኖ!$C$4&gt;0),1,0)</f>
        <v>1</v>
      </c>
      <c r="BP38" s="38">
        <f>IF((ዕቁብ!BQ40/ቦኖ!$C$4&gt;0),1,0)</f>
        <v>1</v>
      </c>
      <c r="BQ38" s="38">
        <f>IF((ዕቁብ!BR40/ቦኖ!$C$4&gt;0),1,0)</f>
        <v>1</v>
      </c>
      <c r="BR38" s="38">
        <f>IF((ዕቁብ!BS40/ቦኖ!$C$4&gt;0),1,0)</f>
        <v>1</v>
      </c>
      <c r="BS38" s="38">
        <f>IF((ዕቁብ!BT40/ቦኖ!$C$4&gt;0),1,0)</f>
        <v>1</v>
      </c>
      <c r="BT38" s="38">
        <f>IF((ዕቁብ!BU40/ቦኖ!$C$4&gt;0),1,0)</f>
        <v>1</v>
      </c>
      <c r="BU38" s="38">
        <f>IF((ዕቁብ!BV40/ቦኖ!$C$4&gt;0),1,0)</f>
        <v>1</v>
      </c>
      <c r="BV38" s="38">
        <f>IF((ዕቁብ!BW40/ቦኖ!$C$4&gt;0),1,0)</f>
        <v>1</v>
      </c>
      <c r="BW38" s="38">
        <f>IF((ዕቁብ!BX40/ቦኖ!$C$4&gt;0),1,0)</f>
        <v>1</v>
      </c>
      <c r="BX38" s="38">
        <f>IF((ዕቁብ!BY40/ቦኖ!$C$4&gt;0),1,0)</f>
        <v>1</v>
      </c>
      <c r="BY38" s="38">
        <f>IF((ዕቁብ!BZ40/ቦኖ!$C$4&gt;0),1,0)</f>
        <v>1</v>
      </c>
      <c r="BZ38" s="38">
        <f>IF((ዕቁብ!CA40/ቦኖ!$C$4&gt;0),1,0)</f>
        <v>1</v>
      </c>
      <c r="CA38" s="38">
        <f>IF((ዕቁብ!CB40/ቦኖ!$C$4&gt;0),1,0)</f>
        <v>1</v>
      </c>
      <c r="CB38" s="38">
        <f>IF((ዕቁብ!CC40/ቦኖ!$C$4&gt;0),1,0)</f>
        <v>1</v>
      </c>
      <c r="CC38" s="38">
        <f>IF((ዕቁብ!CD40/ቦኖ!$C$4&gt;0),1,0)</f>
        <v>1</v>
      </c>
      <c r="CD38" s="38">
        <f>IF((ዕቁብ!CE40/ቦኖ!$C$4&gt;0),1,0)</f>
        <v>1</v>
      </c>
      <c r="CE38" s="38">
        <f>IF((ዕቁብ!CF40/ቦኖ!$C$4&gt;0),1,0)</f>
        <v>1</v>
      </c>
      <c r="CF38" s="38">
        <f>IF((ዕቁብ!CG40/ቦኖ!$C$4&gt;0),1,0)</f>
        <v>1</v>
      </c>
      <c r="CG38" s="38">
        <f>IF((ዕቁብ!CH40/ቦኖ!$C$4&gt;0),1,0)</f>
        <v>1</v>
      </c>
      <c r="CH38" s="38">
        <f>IF((ዕቁብ!CI40/ቦኖ!$C$4&gt;0),1,0)</f>
        <v>1</v>
      </c>
      <c r="CI38" s="38">
        <f>IF((ዕቁብ!CJ40/ቦኖ!$C$4&gt;0),1,0)</f>
        <v>1</v>
      </c>
      <c r="CJ38" s="38">
        <f>IF((ዕቁብ!CK40/ቦኖ!$C$4&gt;0),1,0)</f>
        <v>1</v>
      </c>
      <c r="CK38" s="38">
        <f>IF((ዕቁብ!CL40/ቦኖ!$C$4&gt;0),1,0)</f>
        <v>1</v>
      </c>
      <c r="CL38" s="38">
        <f>IF((ዕቁብ!CM40/ቦኖ!$C$4&gt;0),1,0)</f>
        <v>1</v>
      </c>
      <c r="CM38" s="38">
        <f>IF((ዕቁብ!CN40/ቦኖ!$C$4&gt;0),1,0)</f>
        <v>1</v>
      </c>
      <c r="CN38" s="38">
        <f>IF((ዕቁብ!CO40/ቦኖ!$C$4&gt;0),1,0)</f>
        <v>1</v>
      </c>
      <c r="CO38" s="38">
        <f>IF((ዕቁብ!CP40/ቦኖ!$C$4&gt;0),1,0)</f>
        <v>1</v>
      </c>
      <c r="CP38" s="38">
        <f>IF((ዕቁብ!CQ40/ቦኖ!$C$4&gt;0),1,0)</f>
        <v>1</v>
      </c>
      <c r="CQ38" s="38">
        <f>IF((ዕቁብ!CR40/ቦኖ!$C$4&gt;0),1,0)</f>
        <v>1</v>
      </c>
      <c r="CR38" s="38">
        <f>IF((ዕቁብ!CS40/ቦኖ!$C$4&gt;0),1,0)</f>
        <v>1</v>
      </c>
      <c r="CS38" s="38">
        <f>IF((ዕቁብ!CT40/ቦኖ!$C$4&gt;0),1,0)</f>
        <v>0</v>
      </c>
      <c r="CT38" s="38">
        <f>IF((ዕቁብ!CU40/ቦኖ!$C$4&gt;0),1,0)</f>
        <v>1</v>
      </c>
      <c r="CU38" s="38">
        <f>IF((ዕቁብ!CV40/ቦኖ!$C$4&gt;0),1,0)</f>
        <v>1</v>
      </c>
      <c r="CV38" s="38">
        <f>IF((ዕቁብ!CW40/ቦኖ!$C$4&gt;0),1,0)</f>
        <v>1</v>
      </c>
      <c r="CW38" s="38">
        <f>IF((ዕቁብ!CX40/ቦኖ!$C$4&gt;0),1,0)</f>
        <v>1</v>
      </c>
      <c r="CX38" s="38">
        <f>IF((ዕቁብ!CY40/ቦኖ!$C$4&gt;0),1,0)</f>
        <v>1</v>
      </c>
      <c r="CY38" s="38">
        <f>IF((ዕቁብ!CZ40/ቦኖ!$C$4&gt;0),1,0)</f>
        <v>1</v>
      </c>
      <c r="CZ38" s="38">
        <f>IF((ዕቁብ!DA40/ቦኖ!$C$4&gt;0),1,0)</f>
        <v>1</v>
      </c>
      <c r="DA38" s="38">
        <f>IF((ዕቁብ!DB40/ቦኖ!$C$4&gt;0),1,0)</f>
        <v>1</v>
      </c>
      <c r="DB38" s="38">
        <f>IF((ዕቁብ!DC40/ቦኖ!$C$4&gt;0),1,0)</f>
        <v>1</v>
      </c>
      <c r="DC38" s="38">
        <f>IF((ዕቁብ!DD40/ቦኖ!$C$4&gt;0),1,0)</f>
        <v>1</v>
      </c>
      <c r="DD38" s="38">
        <f>IF((ዕቁብ!DE40/ቦኖ!$C$4&gt;0),1,0)</f>
        <v>1</v>
      </c>
      <c r="DE38" s="38">
        <f>IF((ዕቁብ!DF40/ቦኖ!$C$4&gt;0),1,0)</f>
        <v>1</v>
      </c>
      <c r="DF38" s="38">
        <f>IF((ዕቁብ!DG40/ቦኖ!$C$4&gt;0),1,0)</f>
        <v>1</v>
      </c>
      <c r="DG38" s="38">
        <f>IF((ዕቁብ!DH40/ቦኖ!$C$4&gt;0),1,0)</f>
        <v>1</v>
      </c>
      <c r="DH38" s="38">
        <f>IF((ዕቁብ!DI40/ቦኖ!$C$4&gt;0),1,0)</f>
        <v>0</v>
      </c>
      <c r="DI38" s="38">
        <f>IF((ዕቁብ!DJ40/ቦኖ!$C$4&gt;0),1,0)</f>
        <v>0</v>
      </c>
      <c r="DJ38" s="38">
        <f>IF((ዕቁብ!DK40/ቦኖ!$C$4&gt;0),1,0)</f>
        <v>0</v>
      </c>
      <c r="DK38" s="38">
        <f>IF((ዕቁብ!DL40/ቦኖ!$C$4&gt;0),1,0)</f>
        <v>0</v>
      </c>
      <c r="DL38" s="38">
        <f>IF((ዕቁብ!DM40/ቦኖ!$C$4&gt;0),1,0)</f>
        <v>0</v>
      </c>
      <c r="DM38" s="38">
        <f>IF((ዕቁብ!DN40/ቦኖ!$C$4&gt;0),1,0)</f>
        <v>0</v>
      </c>
      <c r="DN38" s="38">
        <f>IF((ዕቁብ!DO40/ቦኖ!$C$4&gt;0),1,0)</f>
        <v>0</v>
      </c>
      <c r="DO38" s="38">
        <f>IF((ዕቁብ!DP40/ቦኖ!$C$4&gt;0),1,0)</f>
        <v>0</v>
      </c>
      <c r="DP38" s="38">
        <f>IF((ዕቁብ!DQ40/ቦኖ!$C$4&gt;0),1,0)</f>
        <v>0</v>
      </c>
      <c r="DQ38" s="38">
        <f>IF((ዕቁብ!DR40/ቦኖ!$C$4&gt;0),1,0)</f>
        <v>0</v>
      </c>
    </row>
    <row r="39" spans="1:121" ht="15.75" customHeight="1" x14ac:dyDescent="0.3">
      <c r="A39" s="33">
        <f>ዕቁብ!A41</f>
        <v>35</v>
      </c>
      <c r="B39" s="33" t="str">
        <f>ዕቁብ!B41</f>
        <v>ኤርሚያስ ሲራ</v>
      </c>
      <c r="C39" s="37">
        <f>ዕቁብ!C41</f>
        <v>21000</v>
      </c>
      <c r="D39" s="38">
        <f>IF((ዕቁብ!E41/ቦኖ!$C$4&gt;0),1,0)</f>
        <v>1</v>
      </c>
      <c r="E39" s="38">
        <f>IF((ዕቁብ!F41/ቦኖ!$C$4&gt;0),1,0)</f>
        <v>1</v>
      </c>
      <c r="F39" s="38">
        <f>IF((ዕቁብ!G41/ቦኖ!$C$4&gt;0),1,0)</f>
        <v>1</v>
      </c>
      <c r="G39" s="38">
        <f>IF((ዕቁብ!H41/ቦኖ!$C$4&gt;0),1,0)</f>
        <v>1</v>
      </c>
      <c r="H39" s="38">
        <f>IF((ዕቁብ!I41/ቦኖ!$C$4&gt;0),1,0)</f>
        <v>1</v>
      </c>
      <c r="I39" s="38">
        <f>IF((ዕቁብ!J41/ቦኖ!$C$4&gt;0),1,0)</f>
        <v>1</v>
      </c>
      <c r="J39" s="38">
        <f>IF((ዕቁብ!K41/ቦኖ!$C$4&gt;0),1,0)</f>
        <v>1</v>
      </c>
      <c r="K39" s="38">
        <f>IF((ዕቁብ!L41/ቦኖ!$C$4&gt;0),1,0)</f>
        <v>1</v>
      </c>
      <c r="L39" s="38">
        <f>IF((ዕቁብ!M41/ቦኖ!$C$4&gt;0),1,0)</f>
        <v>1</v>
      </c>
      <c r="M39" s="38">
        <f>IF((ዕቁብ!N41/ቦኖ!$C$4&gt;0),1,0)</f>
        <v>1</v>
      </c>
      <c r="N39" s="38">
        <f>IF((ዕቁብ!O41/ቦኖ!$C$4&gt;0),1,0)</f>
        <v>1</v>
      </c>
      <c r="O39" s="38">
        <f>IF((ዕቁብ!P41/ቦኖ!$C$4&gt;0),1,0)</f>
        <v>1</v>
      </c>
      <c r="P39" s="38">
        <f>IF((ዕቁብ!Q41/ቦኖ!$C$4&gt;0),1,0)</f>
        <v>1</v>
      </c>
      <c r="Q39" s="38">
        <f>IF((ዕቁብ!R41/ቦኖ!$C$4&gt;0),1,0)</f>
        <v>1</v>
      </c>
      <c r="R39" s="38">
        <f>IF((ዕቁብ!S41/ቦኖ!$C$4&gt;0),1,0)</f>
        <v>1</v>
      </c>
      <c r="S39" s="38">
        <f>IF((ዕቁብ!T41/ቦኖ!$C$4&gt;0),1,0)</f>
        <v>1</v>
      </c>
      <c r="T39" s="38">
        <f>IF((ዕቁብ!U41/ቦኖ!$C$4&gt;0),1,0)</f>
        <v>1</v>
      </c>
      <c r="U39" s="38">
        <f>IF((ዕቁብ!V41/ቦኖ!$C$4&gt;0),1,0)</f>
        <v>1</v>
      </c>
      <c r="V39" s="38">
        <f>IF((ዕቁብ!W41/ቦኖ!$C$4&gt;0),1,0)</f>
        <v>1</v>
      </c>
      <c r="W39" s="38">
        <f>IF((ዕቁብ!X41/ቦኖ!$C$4&gt;0),1,0)</f>
        <v>1</v>
      </c>
      <c r="X39" s="38">
        <f>IF((ዕቁብ!Y41/ቦኖ!$C$4&gt;0),1,0)</f>
        <v>1</v>
      </c>
      <c r="Y39" s="38">
        <f>IF((ዕቁብ!Z41/ቦኖ!$C$4&gt;0),1,0)</f>
        <v>1</v>
      </c>
      <c r="Z39" s="38">
        <f>IF((ዕቁብ!AA41/ቦኖ!$C$4&gt;0),1,0)</f>
        <v>1</v>
      </c>
      <c r="AA39" s="38">
        <f>IF((ዕቁብ!AB41/ቦኖ!$C$4&gt;0),1,0)</f>
        <v>1</v>
      </c>
      <c r="AB39" s="38">
        <f>IF((ዕቁብ!AC41/ቦኖ!$C$4&gt;0),1,0)</f>
        <v>1</v>
      </c>
      <c r="AC39" s="38">
        <f>IF((ዕቁብ!AD41/ቦኖ!$C$4&gt;0),1,0)</f>
        <v>1</v>
      </c>
      <c r="AD39" s="38">
        <f>IF((ዕቁብ!AE41/ቦኖ!$C$4&gt;0),1,0)</f>
        <v>1</v>
      </c>
      <c r="AE39" s="38">
        <f>IF((ዕቁብ!AF41/ቦኖ!$C$4&gt;0),1,0)</f>
        <v>1</v>
      </c>
      <c r="AF39" s="38">
        <f>IF((ዕቁብ!AG41/ቦኖ!$C$4&gt;0),1,0)</f>
        <v>1</v>
      </c>
      <c r="AG39" s="38">
        <f>IF((ዕቁብ!AH41/ቦኖ!$C$4&gt;0),1,0)</f>
        <v>1</v>
      </c>
      <c r="AH39" s="38">
        <f>IF((ዕቁብ!AI41/ቦኖ!$C$4&gt;0),1,0)</f>
        <v>1</v>
      </c>
      <c r="AI39" s="38">
        <f>IF((ዕቁብ!AJ41/ቦኖ!$C$4&gt;0),1,0)</f>
        <v>1</v>
      </c>
      <c r="AJ39" s="38">
        <f>IF((ዕቁብ!AK41/ቦኖ!$C$4&gt;0),1,0)</f>
        <v>1</v>
      </c>
      <c r="AK39" s="38">
        <f>IF((ዕቁብ!AL41/ቦኖ!$C$4&gt;0),1,0)</f>
        <v>1</v>
      </c>
      <c r="AL39" s="38">
        <f>IF((ዕቁብ!AM41/ቦኖ!$C$4&gt;0),1,0)</f>
        <v>1</v>
      </c>
      <c r="AM39" s="38">
        <f>IF((ዕቁብ!AN41/ቦኖ!$C$4&gt;0),1,0)</f>
        <v>1</v>
      </c>
      <c r="AN39" s="38">
        <f>IF((ዕቁብ!AO41/ቦኖ!$C$4&gt;0),1,0)</f>
        <v>1</v>
      </c>
      <c r="AO39" s="38">
        <f>IF((ዕቁብ!AP41/ቦኖ!$C$4&gt;0),1,0)</f>
        <v>1</v>
      </c>
      <c r="AP39" s="38">
        <f>IF((ዕቁብ!AQ41/ቦኖ!$C$4&gt;0),1,0)</f>
        <v>1</v>
      </c>
      <c r="AQ39" s="38">
        <f>IF((ዕቁብ!AR41/ቦኖ!$C$4&gt;0),1,0)</f>
        <v>0</v>
      </c>
      <c r="AR39" s="38">
        <f>IF((ዕቁብ!AS41/ቦኖ!$C$4&gt;0),1,0)</f>
        <v>1</v>
      </c>
      <c r="AS39" s="38">
        <f>IF((ዕቁብ!AT41/ቦኖ!$C$4&gt;0),1,0)</f>
        <v>1</v>
      </c>
      <c r="AT39" s="38">
        <f>IF((ዕቁብ!AU41/ቦኖ!$C$4&gt;0),1,0)</f>
        <v>1</v>
      </c>
      <c r="AU39" s="38">
        <f>IF((ዕቁብ!AV41/ቦኖ!$C$4&gt;0),1,0)</f>
        <v>1</v>
      </c>
      <c r="AV39" s="38">
        <f>IF((ዕቁብ!AW41/ቦኖ!$C$4&gt;0),1,0)</f>
        <v>1</v>
      </c>
      <c r="AW39" s="38">
        <f>IF((ዕቁብ!AX41/ቦኖ!$C$4&gt;0),1,0)</f>
        <v>1</v>
      </c>
      <c r="AX39" s="38">
        <f>IF((ዕቁብ!AY41/ቦኖ!$C$4&gt;0),1,0)</f>
        <v>1</v>
      </c>
      <c r="AY39" s="38">
        <f>IF((ዕቁብ!AZ41/ቦኖ!$C$4&gt;0),1,0)</f>
        <v>1</v>
      </c>
      <c r="AZ39" s="38">
        <f>IF((ዕቁብ!BA41/ቦኖ!$C$4&gt;0),1,0)</f>
        <v>1</v>
      </c>
      <c r="BA39" s="38">
        <f>IF((ዕቁብ!BB41/ቦኖ!$C$4&gt;0),1,0)</f>
        <v>1</v>
      </c>
      <c r="BB39" s="38">
        <f>IF((ዕቁብ!BC41/ቦኖ!$C$4&gt;0),1,0)</f>
        <v>1</v>
      </c>
      <c r="BC39" s="38">
        <f>IF((ዕቁብ!BD41/ቦኖ!$C$4&gt;0),1,0)</f>
        <v>1</v>
      </c>
      <c r="BD39" s="38">
        <f>IF((ዕቁብ!BE41/ቦኖ!$C$4&gt;0),1,0)</f>
        <v>0</v>
      </c>
      <c r="BE39" s="38">
        <f>IF((ዕቁብ!BF41/ቦኖ!$C$4&gt;0),1,0)</f>
        <v>1</v>
      </c>
      <c r="BF39" s="38">
        <f>IF((ዕቁብ!BG41/ቦኖ!$C$4&gt;0),1,0)</f>
        <v>1</v>
      </c>
      <c r="BG39" s="38">
        <f>IF((ዕቁብ!BH41/ቦኖ!$C$4&gt;0),1,0)</f>
        <v>1</v>
      </c>
      <c r="BH39" s="38">
        <f>IF((ዕቁብ!BI41/ቦኖ!$C$4&gt;0),1,0)</f>
        <v>0</v>
      </c>
      <c r="BI39" s="38">
        <f>IF((ዕቁብ!BJ41/ቦኖ!$C$4&gt;0),1,0)</f>
        <v>1</v>
      </c>
      <c r="BJ39" s="38">
        <f>IF((ዕቁብ!BK41/ቦኖ!$C$4&gt;0),1,0)</f>
        <v>1</v>
      </c>
      <c r="BK39" s="38">
        <f>IF((ዕቁብ!BL41/ቦኖ!$C$4&gt;0),1,0)</f>
        <v>1</v>
      </c>
      <c r="BL39" s="38">
        <f>IF((ዕቁብ!BM41/ቦኖ!$C$4&gt;0),1,0)</f>
        <v>1</v>
      </c>
      <c r="BM39" s="38">
        <f>IF((ዕቁብ!BN41/ቦኖ!$C$4&gt;0),1,0)</f>
        <v>1</v>
      </c>
      <c r="BN39" s="38">
        <f>IF((ዕቁብ!BO41/ቦኖ!$C$4&gt;0),1,0)</f>
        <v>1</v>
      </c>
      <c r="BO39" s="38">
        <f>IF((ዕቁብ!BP41/ቦኖ!$C$4&gt;0),1,0)</f>
        <v>1</v>
      </c>
      <c r="BP39" s="38">
        <f>IF((ዕቁብ!BQ41/ቦኖ!$C$4&gt;0),1,0)</f>
        <v>0</v>
      </c>
      <c r="BQ39" s="38">
        <f>IF((ዕቁብ!BR41/ቦኖ!$C$4&gt;0),1,0)</f>
        <v>1</v>
      </c>
      <c r="BR39" s="38">
        <f>IF((ዕቁብ!BS41/ቦኖ!$C$4&gt;0),1,0)</f>
        <v>1</v>
      </c>
      <c r="BS39" s="38">
        <f>IF((ዕቁብ!BT41/ቦኖ!$C$4&gt;0),1,0)</f>
        <v>0</v>
      </c>
      <c r="BT39" s="38">
        <f>IF((ዕቁብ!BU41/ቦኖ!$C$4&gt;0),1,0)</f>
        <v>1</v>
      </c>
      <c r="BU39" s="38">
        <f>IF((ዕቁብ!BV41/ቦኖ!$C$4&gt;0),1,0)</f>
        <v>1</v>
      </c>
      <c r="BV39" s="38">
        <f>IF((ዕቁብ!BW41/ቦኖ!$C$4&gt;0),1,0)</f>
        <v>0</v>
      </c>
      <c r="BW39" s="38">
        <f>IF((ዕቁብ!BX41/ቦኖ!$C$4&gt;0),1,0)</f>
        <v>1</v>
      </c>
      <c r="BX39" s="38">
        <f>IF((ዕቁብ!BY41/ቦኖ!$C$4&gt;0),1,0)</f>
        <v>1</v>
      </c>
      <c r="BY39" s="38">
        <f>IF((ዕቁብ!BZ41/ቦኖ!$C$4&gt;0),1,0)</f>
        <v>1</v>
      </c>
      <c r="BZ39" s="38">
        <f>IF((ዕቁብ!CA41/ቦኖ!$C$4&gt;0),1,0)</f>
        <v>0</v>
      </c>
      <c r="CA39" s="38">
        <f>IF((ዕቁብ!CB41/ቦኖ!$C$4&gt;0),1,0)</f>
        <v>1</v>
      </c>
      <c r="CB39" s="38">
        <f>IF((ዕቁብ!CC41/ቦኖ!$C$4&gt;0),1,0)</f>
        <v>1</v>
      </c>
      <c r="CC39" s="38">
        <f>IF((ዕቁብ!CD41/ቦኖ!$C$4&gt;0),1,0)</f>
        <v>0</v>
      </c>
      <c r="CD39" s="38">
        <f>IF((ዕቁብ!CE41/ቦኖ!$C$4&gt;0),1,0)</f>
        <v>1</v>
      </c>
      <c r="CE39" s="38">
        <f>IF((ዕቁብ!CF41/ቦኖ!$C$4&gt;0),1,0)</f>
        <v>0</v>
      </c>
      <c r="CF39" s="38">
        <f>IF((ዕቁብ!CG41/ቦኖ!$C$4&gt;0),1,0)</f>
        <v>0</v>
      </c>
      <c r="CG39" s="38">
        <f>IF((ዕቁብ!CH41/ቦኖ!$C$4&gt;0),1,0)</f>
        <v>1</v>
      </c>
      <c r="CH39" s="38">
        <f>IF((ዕቁብ!CI41/ቦኖ!$C$4&gt;0),1,0)</f>
        <v>1</v>
      </c>
      <c r="CI39" s="38">
        <f>IF((ዕቁብ!CJ41/ቦኖ!$C$4&gt;0),1,0)</f>
        <v>1</v>
      </c>
      <c r="CJ39" s="38">
        <f>IF((ዕቁብ!CK41/ቦኖ!$C$4&gt;0),1,0)</f>
        <v>1</v>
      </c>
      <c r="CK39" s="38">
        <f>IF((ዕቁብ!CL41/ቦኖ!$C$4&gt;0),1,0)</f>
        <v>1</v>
      </c>
      <c r="CL39" s="38">
        <f>IF((ዕቁብ!CM41/ቦኖ!$C$4&gt;0),1,0)</f>
        <v>0</v>
      </c>
      <c r="CM39" s="38">
        <f>IF((ዕቁብ!CN41/ቦኖ!$C$4&gt;0),1,0)</f>
        <v>0</v>
      </c>
      <c r="CN39" s="38">
        <f>IF((ዕቁብ!CO41/ቦኖ!$C$4&gt;0),1,0)</f>
        <v>0</v>
      </c>
      <c r="CO39" s="38">
        <f>IF((ዕቁብ!CP41/ቦኖ!$C$4&gt;0),1,0)</f>
        <v>1</v>
      </c>
      <c r="CP39" s="38">
        <f>IF((ዕቁብ!CQ41/ቦኖ!$C$4&gt;0),1,0)</f>
        <v>0</v>
      </c>
      <c r="CQ39" s="38">
        <f>IF((ዕቁብ!CR41/ቦኖ!$C$4&gt;0),1,0)</f>
        <v>1</v>
      </c>
      <c r="CR39" s="38">
        <f>IF((ዕቁብ!CS41/ቦኖ!$C$4&gt;0),1,0)</f>
        <v>1</v>
      </c>
      <c r="CS39" s="38">
        <f>IF((ዕቁብ!CT41/ቦኖ!$C$4&gt;0),1,0)</f>
        <v>1</v>
      </c>
      <c r="CT39" s="38">
        <f>IF((ዕቁብ!CU41/ቦኖ!$C$4&gt;0),1,0)</f>
        <v>0</v>
      </c>
      <c r="CU39" s="38">
        <f>IF((ዕቁብ!CV41/ቦኖ!$C$4&gt;0),1,0)</f>
        <v>1</v>
      </c>
      <c r="CV39" s="38">
        <f>IF((ዕቁብ!CW41/ቦኖ!$C$4&gt;0),1,0)</f>
        <v>0</v>
      </c>
      <c r="CW39" s="38">
        <f>IF((ዕቁብ!CX41/ቦኖ!$C$4&gt;0),1,0)</f>
        <v>1</v>
      </c>
      <c r="CX39" s="38">
        <f>IF((ዕቁብ!CY41/ቦኖ!$C$4&gt;0),1,0)</f>
        <v>1</v>
      </c>
      <c r="CY39" s="38">
        <f>IF((ዕቁብ!CZ41/ቦኖ!$C$4&gt;0),1,0)</f>
        <v>0</v>
      </c>
      <c r="CZ39" s="38">
        <f>IF((ዕቁብ!DA41/ቦኖ!$C$4&gt;0),1,0)</f>
        <v>1</v>
      </c>
      <c r="DA39" s="38">
        <f>IF((ዕቁብ!DB41/ቦኖ!$C$4&gt;0),1,0)</f>
        <v>0</v>
      </c>
      <c r="DB39" s="38">
        <f>IF((ዕቁብ!DC41/ቦኖ!$C$4&gt;0),1,0)</f>
        <v>0</v>
      </c>
      <c r="DC39" s="38">
        <f>IF((ዕቁብ!DD41/ቦኖ!$C$4&gt;0),1,0)</f>
        <v>1</v>
      </c>
      <c r="DD39" s="38">
        <f>IF((ዕቁብ!DE41/ቦኖ!$C$4&gt;0),1,0)</f>
        <v>0</v>
      </c>
      <c r="DE39" s="38">
        <f>IF((ዕቁብ!DF41/ቦኖ!$C$4&gt;0),1,0)</f>
        <v>0</v>
      </c>
      <c r="DF39" s="38">
        <f>IF((ዕቁብ!DG41/ቦኖ!$C$4&gt;0),1,0)</f>
        <v>1</v>
      </c>
      <c r="DG39" s="38">
        <f>IF((ዕቁብ!DH41/ቦኖ!$C$4&gt;0),1,0)</f>
        <v>0</v>
      </c>
      <c r="DH39" s="38">
        <f>IF((ዕቁብ!DI41/ቦኖ!$C$4&gt;0),1,0)</f>
        <v>0</v>
      </c>
      <c r="DI39" s="38">
        <f>IF((ዕቁብ!DJ41/ቦኖ!$C$4&gt;0),1,0)</f>
        <v>0</v>
      </c>
      <c r="DJ39" s="38">
        <f>IF((ዕቁብ!DK41/ቦኖ!$C$4&gt;0),1,0)</f>
        <v>0</v>
      </c>
      <c r="DK39" s="38">
        <f>IF((ዕቁብ!DL41/ቦኖ!$C$4&gt;0),1,0)</f>
        <v>0</v>
      </c>
      <c r="DL39" s="38">
        <f>IF((ዕቁብ!DM41/ቦኖ!$C$4&gt;0),1,0)</f>
        <v>0</v>
      </c>
      <c r="DM39" s="38">
        <f>IF((ዕቁብ!DN41/ቦኖ!$C$4&gt;0),1,0)</f>
        <v>0</v>
      </c>
      <c r="DN39" s="38">
        <f>IF((ዕቁብ!DO41/ቦኖ!$C$4&gt;0),1,0)</f>
        <v>0</v>
      </c>
      <c r="DO39" s="38">
        <f>IF((ዕቁብ!DP41/ቦኖ!$C$4&gt;0),1,0)</f>
        <v>0</v>
      </c>
      <c r="DP39" s="38">
        <f>IF((ዕቁብ!DQ41/ቦኖ!$C$4&gt;0),1,0)</f>
        <v>0</v>
      </c>
      <c r="DQ39" s="38">
        <f>IF((ዕቁብ!DR41/ቦኖ!$C$4&gt;0),1,0)</f>
        <v>0</v>
      </c>
    </row>
    <row r="40" spans="1:121" ht="15.75" customHeight="1" x14ac:dyDescent="0.3">
      <c r="A40" s="33">
        <f>ዕቁብ!A42</f>
        <v>36</v>
      </c>
      <c r="B40" s="33" t="str">
        <f>ዕቁብ!B42</f>
        <v>ቢልቢሎ ቢንቤ</v>
      </c>
      <c r="C40" s="37">
        <f>ዕቁብ!C42</f>
        <v>21000</v>
      </c>
      <c r="D40" s="38">
        <f>IF((ዕቁብ!E42/ቦኖ!$C$4&gt;0),1,0)</f>
        <v>1</v>
      </c>
      <c r="E40" s="38">
        <f>IF((ዕቁብ!F42/ቦኖ!$C$4&gt;0),1,0)</f>
        <v>1</v>
      </c>
      <c r="F40" s="38">
        <f>IF((ዕቁብ!G42/ቦኖ!$C$4&gt;0),1,0)</f>
        <v>1</v>
      </c>
      <c r="G40" s="38">
        <f>IF((ዕቁብ!H42/ቦኖ!$C$4&gt;0),1,0)</f>
        <v>1</v>
      </c>
      <c r="H40" s="38">
        <f>IF((ዕቁብ!I42/ቦኖ!$C$4&gt;0),1,0)</f>
        <v>1</v>
      </c>
      <c r="I40" s="38">
        <f>IF((ዕቁብ!J42/ቦኖ!$C$4&gt;0),1,0)</f>
        <v>1</v>
      </c>
      <c r="J40" s="38">
        <f>IF((ዕቁብ!K42/ቦኖ!$C$4&gt;0),1,0)</f>
        <v>1</v>
      </c>
      <c r="K40" s="38">
        <f>IF((ዕቁብ!L42/ቦኖ!$C$4&gt;0),1,0)</f>
        <v>1</v>
      </c>
      <c r="L40" s="38">
        <f>IF((ዕቁብ!M42/ቦኖ!$C$4&gt;0),1,0)</f>
        <v>1</v>
      </c>
      <c r="M40" s="38">
        <f>IF((ዕቁብ!N42/ቦኖ!$C$4&gt;0),1,0)</f>
        <v>1</v>
      </c>
      <c r="N40" s="38">
        <f>IF((ዕቁብ!O42/ቦኖ!$C$4&gt;0),1,0)</f>
        <v>1</v>
      </c>
      <c r="O40" s="38">
        <f>IF((ዕቁብ!P42/ቦኖ!$C$4&gt;0),1,0)</f>
        <v>1</v>
      </c>
      <c r="P40" s="38">
        <f>IF((ዕቁብ!Q42/ቦኖ!$C$4&gt;0),1,0)</f>
        <v>1</v>
      </c>
      <c r="Q40" s="38">
        <f>IF((ዕቁብ!R42/ቦኖ!$C$4&gt;0),1,0)</f>
        <v>1</v>
      </c>
      <c r="R40" s="38">
        <f>IF((ዕቁብ!S42/ቦኖ!$C$4&gt;0),1,0)</f>
        <v>1</v>
      </c>
      <c r="S40" s="38">
        <f>IF((ዕቁብ!T42/ቦኖ!$C$4&gt;0),1,0)</f>
        <v>1</v>
      </c>
      <c r="T40" s="38">
        <f>IF((ዕቁብ!U42/ቦኖ!$C$4&gt;0),1,0)</f>
        <v>1</v>
      </c>
      <c r="U40" s="38">
        <f>IF((ዕቁብ!V42/ቦኖ!$C$4&gt;0),1,0)</f>
        <v>1</v>
      </c>
      <c r="V40" s="38">
        <f>IF((ዕቁብ!W42/ቦኖ!$C$4&gt;0),1,0)</f>
        <v>1</v>
      </c>
      <c r="W40" s="38">
        <f>IF((ዕቁብ!X42/ቦኖ!$C$4&gt;0),1,0)</f>
        <v>1</v>
      </c>
      <c r="X40" s="38">
        <f>IF((ዕቁብ!Y42/ቦኖ!$C$4&gt;0),1,0)</f>
        <v>1</v>
      </c>
      <c r="Y40" s="38">
        <f>IF((ዕቁብ!Z42/ቦኖ!$C$4&gt;0),1,0)</f>
        <v>1</v>
      </c>
      <c r="Z40" s="38">
        <f>IF((ዕቁብ!AA42/ቦኖ!$C$4&gt;0),1,0)</f>
        <v>1</v>
      </c>
      <c r="AA40" s="38">
        <f>IF((ዕቁብ!AB42/ቦኖ!$C$4&gt;0),1,0)</f>
        <v>1</v>
      </c>
      <c r="AB40" s="38">
        <f>IF((ዕቁብ!AC42/ቦኖ!$C$4&gt;0),1,0)</f>
        <v>1</v>
      </c>
      <c r="AC40" s="38">
        <f>IF((ዕቁብ!AD42/ቦኖ!$C$4&gt;0),1,0)</f>
        <v>1</v>
      </c>
      <c r="AD40" s="38">
        <f>IF((ዕቁብ!AE42/ቦኖ!$C$4&gt;0),1,0)</f>
        <v>1</v>
      </c>
      <c r="AE40" s="38">
        <f>IF((ዕቁብ!AF42/ቦኖ!$C$4&gt;0),1,0)</f>
        <v>1</v>
      </c>
      <c r="AF40" s="38">
        <f>IF((ዕቁብ!AG42/ቦኖ!$C$4&gt;0),1,0)</f>
        <v>1</v>
      </c>
      <c r="AG40" s="38">
        <f>IF((ዕቁብ!AH42/ቦኖ!$C$4&gt;0),1,0)</f>
        <v>0</v>
      </c>
      <c r="AH40" s="38">
        <f>IF((ዕቁብ!AI42/ቦኖ!$C$4&gt;0),1,0)</f>
        <v>1</v>
      </c>
      <c r="AI40" s="38">
        <f>IF((ዕቁብ!AJ42/ቦኖ!$C$4&gt;0),1,0)</f>
        <v>1</v>
      </c>
      <c r="AJ40" s="38">
        <f>IF((ዕቁብ!AK42/ቦኖ!$C$4&gt;0),1,0)</f>
        <v>1</v>
      </c>
      <c r="AK40" s="38">
        <f>IF((ዕቁብ!AL42/ቦኖ!$C$4&gt;0),1,0)</f>
        <v>0</v>
      </c>
      <c r="AL40" s="38">
        <f>IF((ዕቁብ!AM42/ቦኖ!$C$4&gt;0),1,0)</f>
        <v>1</v>
      </c>
      <c r="AM40" s="38">
        <f>IF((ዕቁብ!AN42/ቦኖ!$C$4&gt;0),1,0)</f>
        <v>1</v>
      </c>
      <c r="AN40" s="38">
        <f>IF((ዕቁብ!AO42/ቦኖ!$C$4&gt;0),1,0)</f>
        <v>1</v>
      </c>
      <c r="AO40" s="38">
        <f>IF((ዕቁብ!AP42/ቦኖ!$C$4&gt;0),1,0)</f>
        <v>1</v>
      </c>
      <c r="AP40" s="38">
        <f>IF((ዕቁብ!AQ42/ቦኖ!$C$4&gt;0),1,0)</f>
        <v>1</v>
      </c>
      <c r="AQ40" s="38">
        <f>IF((ዕቁብ!AR42/ቦኖ!$C$4&gt;0),1,0)</f>
        <v>1</v>
      </c>
      <c r="AR40" s="38">
        <f>IF((ዕቁብ!AS42/ቦኖ!$C$4&gt;0),1,0)</f>
        <v>0</v>
      </c>
      <c r="AS40" s="38">
        <f>IF((ዕቁብ!AT42/ቦኖ!$C$4&gt;0),1,0)</f>
        <v>1</v>
      </c>
      <c r="AT40" s="38">
        <f>IF((ዕቁብ!AU42/ቦኖ!$C$4&gt;0),1,0)</f>
        <v>0</v>
      </c>
      <c r="AU40" s="38">
        <f>IF((ዕቁብ!AV42/ቦኖ!$C$4&gt;0),1,0)</f>
        <v>1</v>
      </c>
      <c r="AV40" s="38">
        <f>IF((ዕቁብ!AW42/ቦኖ!$C$4&gt;0),1,0)</f>
        <v>0</v>
      </c>
      <c r="AW40" s="38">
        <f>IF((ዕቁብ!AX42/ቦኖ!$C$4&gt;0),1,0)</f>
        <v>1</v>
      </c>
      <c r="AX40" s="38">
        <f>IF((ዕቁብ!AY42/ቦኖ!$C$4&gt;0),1,0)</f>
        <v>0</v>
      </c>
      <c r="AY40" s="38">
        <f>IF((ዕቁብ!AZ42/ቦኖ!$C$4&gt;0),1,0)</f>
        <v>1</v>
      </c>
      <c r="AZ40" s="38">
        <f>IF((ዕቁብ!BA42/ቦኖ!$C$4&gt;0),1,0)</f>
        <v>1</v>
      </c>
      <c r="BA40" s="38">
        <f>IF((ዕቁብ!BB42/ቦኖ!$C$4&gt;0),1,0)</f>
        <v>0</v>
      </c>
      <c r="BB40" s="38">
        <f>IF((ዕቁብ!BC42/ቦኖ!$C$4&gt;0),1,0)</f>
        <v>1</v>
      </c>
      <c r="BC40" s="38">
        <f>IF((ዕቁብ!BD42/ቦኖ!$C$4&gt;0),1,0)</f>
        <v>1</v>
      </c>
      <c r="BD40" s="38">
        <f>IF((ዕቁብ!BE42/ቦኖ!$C$4&gt;0),1,0)</f>
        <v>1</v>
      </c>
      <c r="BE40" s="38">
        <f>IF((ዕቁብ!BF42/ቦኖ!$C$4&gt;0),1,0)</f>
        <v>0</v>
      </c>
      <c r="BF40" s="38">
        <f>IF((ዕቁብ!BG42/ቦኖ!$C$4&gt;0),1,0)</f>
        <v>1</v>
      </c>
      <c r="BG40" s="38">
        <f>IF((ዕቁብ!BH42/ቦኖ!$C$4&gt;0),1,0)</f>
        <v>0</v>
      </c>
      <c r="BH40" s="38">
        <f>IF((ዕቁብ!BI42/ቦኖ!$C$4&gt;0),1,0)</f>
        <v>1</v>
      </c>
      <c r="BI40" s="38">
        <f>IF((ዕቁብ!BJ42/ቦኖ!$C$4&gt;0),1,0)</f>
        <v>0</v>
      </c>
      <c r="BJ40" s="38">
        <f>IF((ዕቁብ!BK42/ቦኖ!$C$4&gt;0),1,0)</f>
        <v>1</v>
      </c>
      <c r="BK40" s="38">
        <f>IF((ዕቁብ!BL42/ቦኖ!$C$4&gt;0),1,0)</f>
        <v>0</v>
      </c>
      <c r="BL40" s="38">
        <f>IF((ዕቁብ!BM42/ቦኖ!$C$4&gt;0),1,0)</f>
        <v>0</v>
      </c>
      <c r="BM40" s="38">
        <f>IF((ዕቁብ!BN42/ቦኖ!$C$4&gt;0),1,0)</f>
        <v>0</v>
      </c>
      <c r="BN40" s="38">
        <f>IF((ዕቁብ!BO42/ቦኖ!$C$4&gt;0),1,0)</f>
        <v>1</v>
      </c>
      <c r="BO40" s="38">
        <f>IF((ዕቁብ!BP42/ቦኖ!$C$4&gt;0),1,0)</f>
        <v>0</v>
      </c>
      <c r="BP40" s="38">
        <f>IF((ዕቁብ!BQ42/ቦኖ!$C$4&gt;0),1,0)</f>
        <v>1</v>
      </c>
      <c r="BQ40" s="38">
        <f>IF((ዕቁብ!BR42/ቦኖ!$C$4&gt;0),1,0)</f>
        <v>0</v>
      </c>
      <c r="BR40" s="38">
        <f>IF((ዕቁብ!BS42/ቦኖ!$C$4&gt;0),1,0)</f>
        <v>0</v>
      </c>
      <c r="BS40" s="38">
        <f>IF((ዕቁብ!BT42/ቦኖ!$C$4&gt;0),1,0)</f>
        <v>1</v>
      </c>
      <c r="BT40" s="38">
        <f>IF((ዕቁብ!BU42/ቦኖ!$C$4&gt;0),1,0)</f>
        <v>1</v>
      </c>
      <c r="BU40" s="38">
        <f>IF((ዕቁብ!BV42/ቦኖ!$C$4&gt;0),1,0)</f>
        <v>1</v>
      </c>
      <c r="BV40" s="38">
        <f>IF((ዕቁብ!BW42/ቦኖ!$C$4&gt;0),1,0)</f>
        <v>1</v>
      </c>
      <c r="BW40" s="38">
        <f>IF((ዕቁብ!BX42/ቦኖ!$C$4&gt;0),1,0)</f>
        <v>0</v>
      </c>
      <c r="BX40" s="38">
        <f>IF((ዕቁብ!BY42/ቦኖ!$C$4&gt;0),1,0)</f>
        <v>1</v>
      </c>
      <c r="BY40" s="38">
        <f>IF((ዕቁብ!BZ42/ቦኖ!$C$4&gt;0),1,0)</f>
        <v>0</v>
      </c>
      <c r="BZ40" s="38">
        <f>IF((ዕቁብ!CA42/ቦኖ!$C$4&gt;0),1,0)</f>
        <v>1</v>
      </c>
      <c r="CA40" s="38">
        <f>IF((ዕቁብ!CB42/ቦኖ!$C$4&gt;0),1,0)</f>
        <v>1</v>
      </c>
      <c r="CB40" s="38">
        <f>IF((ዕቁብ!CC42/ቦኖ!$C$4&gt;0),1,0)</f>
        <v>0</v>
      </c>
      <c r="CC40" s="38">
        <f>IF((ዕቁብ!CD42/ቦኖ!$C$4&gt;0),1,0)</f>
        <v>1</v>
      </c>
      <c r="CD40" s="38">
        <f>IF((ዕቁብ!CE42/ቦኖ!$C$4&gt;0),1,0)</f>
        <v>0</v>
      </c>
      <c r="CE40" s="38">
        <f>IF((ዕቁብ!CF42/ቦኖ!$C$4&gt;0),1,0)</f>
        <v>1</v>
      </c>
      <c r="CF40" s="38">
        <f>IF((ዕቁብ!CG42/ቦኖ!$C$4&gt;0),1,0)</f>
        <v>0</v>
      </c>
      <c r="CG40" s="38">
        <f>IF((ዕቁብ!CH42/ቦኖ!$C$4&gt;0),1,0)</f>
        <v>1</v>
      </c>
      <c r="CH40" s="38">
        <f>IF((ዕቁብ!CI42/ቦኖ!$C$4&gt;0),1,0)</f>
        <v>0</v>
      </c>
      <c r="CI40" s="38">
        <f>IF((ዕቁብ!CJ42/ቦኖ!$C$4&gt;0),1,0)</f>
        <v>1</v>
      </c>
      <c r="CJ40" s="38">
        <f>IF((ዕቁብ!CK42/ቦኖ!$C$4&gt;0),1,0)</f>
        <v>0</v>
      </c>
      <c r="CK40" s="38">
        <f>IF((ዕቁብ!CL42/ቦኖ!$C$4&gt;0),1,0)</f>
        <v>1</v>
      </c>
      <c r="CL40" s="38">
        <f>IF((ዕቁብ!CM42/ቦኖ!$C$4&gt;0),1,0)</f>
        <v>0</v>
      </c>
      <c r="CM40" s="38">
        <f>IF((ዕቁብ!CN42/ቦኖ!$C$4&gt;0),1,0)</f>
        <v>1</v>
      </c>
      <c r="CN40" s="38">
        <f>IF((ዕቁብ!CO42/ቦኖ!$C$4&gt;0),1,0)</f>
        <v>1</v>
      </c>
      <c r="CO40" s="38">
        <f>IF((ዕቁብ!CP42/ቦኖ!$C$4&gt;0),1,0)</f>
        <v>1</v>
      </c>
      <c r="CP40" s="38">
        <f>IF((ዕቁብ!CQ42/ቦኖ!$C$4&gt;0),1,0)</f>
        <v>1</v>
      </c>
      <c r="CQ40" s="38">
        <f>IF((ዕቁብ!CR42/ቦኖ!$C$4&gt;0),1,0)</f>
        <v>0</v>
      </c>
      <c r="CR40" s="38">
        <f>IF((ዕቁብ!CS42/ቦኖ!$C$4&gt;0),1,0)</f>
        <v>0</v>
      </c>
      <c r="CS40" s="38">
        <f>IF((ዕቁብ!CT42/ቦኖ!$C$4&gt;0),1,0)</f>
        <v>1</v>
      </c>
      <c r="CT40" s="38">
        <f>IF((ዕቁብ!CU42/ቦኖ!$C$4&gt;0),1,0)</f>
        <v>1</v>
      </c>
      <c r="CU40" s="38">
        <f>IF((ዕቁብ!CV42/ቦኖ!$C$4&gt;0),1,0)</f>
        <v>0</v>
      </c>
      <c r="CV40" s="38">
        <f>IF((ዕቁብ!CW42/ቦኖ!$C$4&gt;0),1,0)</f>
        <v>0</v>
      </c>
      <c r="CW40" s="38">
        <f>IF((ዕቁብ!CX42/ቦኖ!$C$4&gt;0),1,0)</f>
        <v>1</v>
      </c>
      <c r="CX40" s="38">
        <f>IF((ዕቁብ!CY42/ቦኖ!$C$4&gt;0),1,0)</f>
        <v>0</v>
      </c>
      <c r="CY40" s="38">
        <f>IF((ዕቁብ!CZ42/ቦኖ!$C$4&gt;0),1,0)</f>
        <v>1</v>
      </c>
      <c r="CZ40" s="38">
        <f>IF((ዕቁብ!DA42/ቦኖ!$C$4&gt;0),1,0)</f>
        <v>0</v>
      </c>
      <c r="DA40" s="38">
        <f>IF((ዕቁብ!DB42/ቦኖ!$C$4&gt;0),1,0)</f>
        <v>0</v>
      </c>
      <c r="DB40" s="38">
        <f>IF((ዕቁብ!DC42/ቦኖ!$C$4&gt;0),1,0)</f>
        <v>1</v>
      </c>
      <c r="DC40" s="38">
        <f>IF((ዕቁብ!DD42/ቦኖ!$C$4&gt;0),1,0)</f>
        <v>0</v>
      </c>
      <c r="DD40" s="38">
        <f>IF((ዕቁብ!DE42/ቦኖ!$C$4&gt;0),1,0)</f>
        <v>1</v>
      </c>
      <c r="DE40" s="38">
        <f>IF((ዕቁብ!DF42/ቦኖ!$C$4&gt;0),1,0)</f>
        <v>0</v>
      </c>
      <c r="DF40" s="38">
        <f>IF((ዕቁብ!DG42/ቦኖ!$C$4&gt;0),1,0)</f>
        <v>1</v>
      </c>
      <c r="DG40" s="38">
        <f>IF((ዕቁብ!DH42/ቦኖ!$C$4&gt;0),1,0)</f>
        <v>0</v>
      </c>
      <c r="DH40" s="38">
        <f>IF((ዕቁብ!DI42/ቦኖ!$C$4&gt;0),1,0)</f>
        <v>0</v>
      </c>
      <c r="DI40" s="38">
        <f>IF((ዕቁብ!DJ42/ቦኖ!$C$4&gt;0),1,0)</f>
        <v>0</v>
      </c>
      <c r="DJ40" s="38">
        <f>IF((ዕቁብ!DK42/ቦኖ!$C$4&gt;0),1,0)</f>
        <v>0</v>
      </c>
      <c r="DK40" s="38">
        <f>IF((ዕቁብ!DL42/ቦኖ!$C$4&gt;0),1,0)</f>
        <v>0</v>
      </c>
      <c r="DL40" s="38">
        <f>IF((ዕቁብ!DM42/ቦኖ!$C$4&gt;0),1,0)</f>
        <v>0</v>
      </c>
      <c r="DM40" s="38">
        <f>IF((ዕቁብ!DN42/ቦኖ!$C$4&gt;0),1,0)</f>
        <v>0</v>
      </c>
      <c r="DN40" s="38">
        <f>IF((ዕቁብ!DO42/ቦኖ!$C$4&gt;0),1,0)</f>
        <v>0</v>
      </c>
      <c r="DO40" s="38">
        <f>IF((ዕቁብ!DP42/ቦኖ!$C$4&gt;0),1,0)</f>
        <v>0</v>
      </c>
      <c r="DP40" s="38">
        <f>IF((ዕቁብ!DQ42/ቦኖ!$C$4&gt;0),1,0)</f>
        <v>0</v>
      </c>
      <c r="DQ40" s="38">
        <f>IF((ዕቁብ!DR42/ቦኖ!$C$4&gt;0),1,0)</f>
        <v>0</v>
      </c>
    </row>
    <row r="41" spans="1:121" ht="15.75" customHeight="1" x14ac:dyDescent="0.3">
      <c r="A41" s="33">
        <f>ዕቁብ!A43</f>
        <v>37</v>
      </c>
      <c r="B41" s="33" t="str">
        <f>ዕቁብ!B43</f>
        <v>ስንቅነሽ ጃራ</v>
      </c>
      <c r="C41" s="37">
        <f>ዕቁብ!C43</f>
        <v>21000</v>
      </c>
      <c r="D41" s="38">
        <f>IF((ዕቁብ!E43/ቦኖ!$C$4&gt;0),1,0)</f>
        <v>1</v>
      </c>
      <c r="E41" s="38">
        <f>IF((ዕቁብ!F43/ቦኖ!$C$4&gt;0),1,0)</f>
        <v>1</v>
      </c>
      <c r="F41" s="38">
        <f>IF((ዕቁብ!G43/ቦኖ!$C$4&gt;0),1,0)</f>
        <v>1</v>
      </c>
      <c r="G41" s="38">
        <f>IF((ዕቁብ!H43/ቦኖ!$C$4&gt;0),1,0)</f>
        <v>1</v>
      </c>
      <c r="H41" s="38">
        <f>IF((ዕቁብ!I43/ቦኖ!$C$4&gt;0),1,0)</f>
        <v>1</v>
      </c>
      <c r="I41" s="38">
        <f>IF((ዕቁብ!J43/ቦኖ!$C$4&gt;0),1,0)</f>
        <v>1</v>
      </c>
      <c r="J41" s="38">
        <f>IF((ዕቁብ!K43/ቦኖ!$C$4&gt;0),1,0)</f>
        <v>1</v>
      </c>
      <c r="K41" s="38">
        <f>IF((ዕቁብ!L43/ቦኖ!$C$4&gt;0),1,0)</f>
        <v>1</v>
      </c>
      <c r="L41" s="38">
        <f>IF((ዕቁብ!M43/ቦኖ!$C$4&gt;0),1,0)</f>
        <v>1</v>
      </c>
      <c r="M41" s="38">
        <f>IF((ዕቁብ!N43/ቦኖ!$C$4&gt;0),1,0)</f>
        <v>1</v>
      </c>
      <c r="N41" s="38">
        <f>IF((ዕቁብ!O43/ቦኖ!$C$4&gt;0),1,0)</f>
        <v>1</v>
      </c>
      <c r="O41" s="38">
        <f>IF((ዕቁብ!P43/ቦኖ!$C$4&gt;0),1,0)</f>
        <v>1</v>
      </c>
      <c r="P41" s="38">
        <f>IF((ዕቁብ!Q43/ቦኖ!$C$4&gt;0),1,0)</f>
        <v>1</v>
      </c>
      <c r="Q41" s="38">
        <f>IF((ዕቁብ!R43/ቦኖ!$C$4&gt;0),1,0)</f>
        <v>1</v>
      </c>
      <c r="R41" s="38">
        <f>IF((ዕቁብ!S43/ቦኖ!$C$4&gt;0),1,0)</f>
        <v>1</v>
      </c>
      <c r="S41" s="38">
        <f>IF((ዕቁብ!T43/ቦኖ!$C$4&gt;0),1,0)</f>
        <v>1</v>
      </c>
      <c r="T41" s="38">
        <f>IF((ዕቁብ!U43/ቦኖ!$C$4&gt;0),1,0)</f>
        <v>1</v>
      </c>
      <c r="U41" s="38">
        <f>IF((ዕቁብ!V43/ቦኖ!$C$4&gt;0),1,0)</f>
        <v>1</v>
      </c>
      <c r="V41" s="38">
        <f>IF((ዕቁብ!W43/ቦኖ!$C$4&gt;0),1,0)</f>
        <v>1</v>
      </c>
      <c r="W41" s="38">
        <f>IF((ዕቁብ!X43/ቦኖ!$C$4&gt;0),1,0)</f>
        <v>1</v>
      </c>
      <c r="X41" s="38">
        <f>IF((ዕቁብ!Y43/ቦኖ!$C$4&gt;0),1,0)</f>
        <v>1</v>
      </c>
      <c r="Y41" s="38">
        <f>IF((ዕቁብ!Z43/ቦኖ!$C$4&gt;0),1,0)</f>
        <v>0</v>
      </c>
      <c r="Z41" s="38">
        <f>IF((ዕቁብ!AA43/ቦኖ!$C$4&gt;0),1,0)</f>
        <v>1</v>
      </c>
      <c r="AA41" s="38">
        <f>IF((ዕቁብ!AB43/ቦኖ!$C$4&gt;0),1,0)</f>
        <v>0</v>
      </c>
      <c r="AB41" s="38">
        <f>IF((ዕቁብ!AC43/ቦኖ!$C$4&gt;0),1,0)</f>
        <v>1</v>
      </c>
      <c r="AC41" s="38">
        <f>IF((ዕቁብ!AD43/ቦኖ!$C$4&gt;0),1,0)</f>
        <v>0</v>
      </c>
      <c r="AD41" s="38">
        <f>IF((ዕቁብ!AE43/ቦኖ!$C$4&gt;0),1,0)</f>
        <v>1</v>
      </c>
      <c r="AE41" s="38">
        <f>IF((ዕቁብ!AF43/ቦኖ!$C$4&gt;0),1,0)</f>
        <v>1</v>
      </c>
      <c r="AF41" s="38">
        <f>IF((ዕቁብ!AG43/ቦኖ!$C$4&gt;0),1,0)</f>
        <v>1</v>
      </c>
      <c r="AG41" s="38">
        <f>IF((ዕቁብ!AH43/ቦኖ!$C$4&gt;0),1,0)</f>
        <v>1</v>
      </c>
      <c r="AH41" s="38">
        <f>IF((ዕቁብ!AI43/ቦኖ!$C$4&gt;0),1,0)</f>
        <v>1</v>
      </c>
      <c r="AI41" s="38">
        <f>IF((ዕቁብ!AJ43/ቦኖ!$C$4&gt;0),1,0)</f>
        <v>1</v>
      </c>
      <c r="AJ41" s="38">
        <f>IF((ዕቁብ!AK43/ቦኖ!$C$4&gt;0),1,0)</f>
        <v>1</v>
      </c>
      <c r="AK41" s="38">
        <f>IF((ዕቁብ!AL43/ቦኖ!$C$4&gt;0),1,0)</f>
        <v>1</v>
      </c>
      <c r="AL41" s="38">
        <f>IF((ዕቁብ!AM43/ቦኖ!$C$4&gt;0),1,0)</f>
        <v>1</v>
      </c>
      <c r="AM41" s="38">
        <f>IF((ዕቁብ!AN43/ቦኖ!$C$4&gt;0),1,0)</f>
        <v>1</v>
      </c>
      <c r="AN41" s="38">
        <f>IF((ዕቁብ!AO43/ቦኖ!$C$4&gt;0),1,0)</f>
        <v>1</v>
      </c>
      <c r="AO41" s="38">
        <f>IF((ዕቁብ!AP43/ቦኖ!$C$4&gt;0),1,0)</f>
        <v>1</v>
      </c>
      <c r="AP41" s="38">
        <f>IF((ዕቁብ!AQ43/ቦኖ!$C$4&gt;0),1,0)</f>
        <v>0</v>
      </c>
      <c r="AQ41" s="38">
        <f>IF((ዕቁብ!AR43/ቦኖ!$C$4&gt;0),1,0)</f>
        <v>1</v>
      </c>
      <c r="AR41" s="38">
        <f>IF((ዕቁብ!AS43/ቦኖ!$C$4&gt;0),1,0)</f>
        <v>1</v>
      </c>
      <c r="AS41" s="38">
        <f>IF((ዕቁብ!AT43/ቦኖ!$C$4&gt;0),1,0)</f>
        <v>1</v>
      </c>
      <c r="AT41" s="38">
        <f>IF((ዕቁብ!AU43/ቦኖ!$C$4&gt;0),1,0)</f>
        <v>0</v>
      </c>
      <c r="AU41" s="38">
        <f>IF((ዕቁብ!AV43/ቦኖ!$C$4&gt;0),1,0)</f>
        <v>0</v>
      </c>
      <c r="AV41" s="38">
        <f>IF((ዕቁብ!AW43/ቦኖ!$C$4&gt;0),1,0)</f>
        <v>1</v>
      </c>
      <c r="AW41" s="38">
        <f>IF((ዕቁብ!AX43/ቦኖ!$C$4&gt;0),1,0)</f>
        <v>1</v>
      </c>
      <c r="AX41" s="38">
        <f>IF((ዕቁብ!AY43/ቦኖ!$C$4&gt;0),1,0)</f>
        <v>1</v>
      </c>
      <c r="AY41" s="38">
        <f>IF((ዕቁብ!AZ43/ቦኖ!$C$4&gt;0),1,0)</f>
        <v>1</v>
      </c>
      <c r="AZ41" s="38">
        <f>IF((ዕቁብ!BA43/ቦኖ!$C$4&gt;0),1,0)</f>
        <v>1</v>
      </c>
      <c r="BA41" s="38">
        <f>IF((ዕቁብ!BB43/ቦኖ!$C$4&gt;0),1,0)</f>
        <v>0</v>
      </c>
      <c r="BB41" s="38">
        <f>IF((ዕቁብ!BC43/ቦኖ!$C$4&gt;0),1,0)</f>
        <v>1</v>
      </c>
      <c r="BC41" s="38">
        <f>IF((ዕቁብ!BD43/ቦኖ!$C$4&gt;0),1,0)</f>
        <v>1</v>
      </c>
      <c r="BD41" s="38">
        <f>IF((ዕቁብ!BE43/ቦኖ!$C$4&gt;0),1,0)</f>
        <v>1</v>
      </c>
      <c r="BE41" s="38">
        <f>IF((ዕቁብ!BF43/ቦኖ!$C$4&gt;0),1,0)</f>
        <v>1</v>
      </c>
      <c r="BF41" s="38">
        <f>IF((ዕቁብ!BG43/ቦኖ!$C$4&gt;0),1,0)</f>
        <v>1</v>
      </c>
      <c r="BG41" s="38">
        <f>IF((ዕቁብ!BH43/ቦኖ!$C$4&gt;0),1,0)</f>
        <v>1</v>
      </c>
      <c r="BH41" s="38">
        <f>IF((ዕቁብ!BI43/ቦኖ!$C$4&gt;0),1,0)</f>
        <v>1</v>
      </c>
      <c r="BI41" s="38">
        <f>IF((ዕቁብ!BJ43/ቦኖ!$C$4&gt;0),1,0)</f>
        <v>0</v>
      </c>
      <c r="BJ41" s="38">
        <f>IF((ዕቁብ!BK43/ቦኖ!$C$4&gt;0),1,0)</f>
        <v>1</v>
      </c>
      <c r="BK41" s="38">
        <f>IF((ዕቁብ!BL43/ቦኖ!$C$4&gt;0),1,0)</f>
        <v>1</v>
      </c>
      <c r="BL41" s="38">
        <f>IF((ዕቁብ!BM43/ቦኖ!$C$4&gt;0),1,0)</f>
        <v>1</v>
      </c>
      <c r="BM41" s="38">
        <f>IF((ዕቁብ!BN43/ቦኖ!$C$4&gt;0),1,0)</f>
        <v>0</v>
      </c>
      <c r="BN41" s="38">
        <f>IF((ዕቁብ!BO43/ቦኖ!$C$4&gt;0),1,0)</f>
        <v>0</v>
      </c>
      <c r="BO41" s="38">
        <f>IF((ዕቁብ!BP43/ቦኖ!$C$4&gt;0),1,0)</f>
        <v>1</v>
      </c>
      <c r="BP41" s="38">
        <f>IF((ዕቁብ!BQ43/ቦኖ!$C$4&gt;0),1,0)</f>
        <v>1</v>
      </c>
      <c r="BQ41" s="38">
        <f>IF((ዕቁብ!BR43/ቦኖ!$C$4&gt;0),1,0)</f>
        <v>1</v>
      </c>
      <c r="BR41" s="38">
        <f>IF((ዕቁብ!BS43/ቦኖ!$C$4&gt;0),1,0)</f>
        <v>0</v>
      </c>
      <c r="BS41" s="38">
        <f>IF((ዕቁብ!BT43/ቦኖ!$C$4&gt;0),1,0)</f>
        <v>1</v>
      </c>
      <c r="BT41" s="38">
        <f>IF((ዕቁብ!BU43/ቦኖ!$C$4&gt;0),1,0)</f>
        <v>1</v>
      </c>
      <c r="BU41" s="38">
        <f>IF((ዕቁብ!BV43/ቦኖ!$C$4&gt;0),1,0)</f>
        <v>0</v>
      </c>
      <c r="BV41" s="38">
        <f>IF((ዕቁብ!BW43/ቦኖ!$C$4&gt;0),1,0)</f>
        <v>1</v>
      </c>
      <c r="BW41" s="38">
        <f>IF((ዕቁብ!BX43/ቦኖ!$C$4&gt;0),1,0)</f>
        <v>0</v>
      </c>
      <c r="BX41" s="38">
        <f>IF((ዕቁብ!BY43/ቦኖ!$C$4&gt;0),1,0)</f>
        <v>1</v>
      </c>
      <c r="BY41" s="38">
        <f>IF((ዕቁብ!BZ43/ቦኖ!$C$4&gt;0),1,0)</f>
        <v>0</v>
      </c>
      <c r="BZ41" s="38">
        <f>IF((ዕቁብ!CA43/ቦኖ!$C$4&gt;0),1,0)</f>
        <v>1</v>
      </c>
      <c r="CA41" s="38">
        <f>IF((ዕቁብ!CB43/ቦኖ!$C$4&gt;0),1,0)</f>
        <v>1</v>
      </c>
      <c r="CB41" s="38">
        <f>IF((ዕቁብ!CC43/ቦኖ!$C$4&gt;0),1,0)</f>
        <v>0</v>
      </c>
      <c r="CC41" s="38">
        <f>IF((ዕቁብ!CD43/ቦኖ!$C$4&gt;0),1,0)</f>
        <v>0</v>
      </c>
      <c r="CD41" s="38">
        <f>IF((ዕቁብ!CE43/ቦኖ!$C$4&gt;0),1,0)</f>
        <v>1</v>
      </c>
      <c r="CE41" s="38">
        <f>IF((ዕቁብ!CF43/ቦኖ!$C$4&gt;0),1,0)</f>
        <v>0</v>
      </c>
      <c r="CF41" s="38">
        <f>IF((ዕቁብ!CG43/ቦኖ!$C$4&gt;0),1,0)</f>
        <v>1</v>
      </c>
      <c r="CG41" s="38">
        <f>IF((ዕቁብ!CH43/ቦኖ!$C$4&gt;0),1,0)</f>
        <v>1</v>
      </c>
      <c r="CH41" s="38">
        <f>IF((ዕቁብ!CI43/ቦኖ!$C$4&gt;0),1,0)</f>
        <v>0</v>
      </c>
      <c r="CI41" s="38">
        <f>IF((ዕቁብ!CJ43/ቦኖ!$C$4&gt;0),1,0)</f>
        <v>1</v>
      </c>
      <c r="CJ41" s="38">
        <f>IF((ዕቁብ!CK43/ቦኖ!$C$4&gt;0),1,0)</f>
        <v>1</v>
      </c>
      <c r="CK41" s="38">
        <f>IF((ዕቁብ!CL43/ቦኖ!$C$4&gt;0),1,0)</f>
        <v>1</v>
      </c>
      <c r="CL41" s="38">
        <f>IF((ዕቁብ!CM43/ቦኖ!$C$4&gt;0),1,0)</f>
        <v>1</v>
      </c>
      <c r="CM41" s="38">
        <f>IF((ዕቁብ!CN43/ቦኖ!$C$4&gt;0),1,0)</f>
        <v>1</v>
      </c>
      <c r="CN41" s="38">
        <f>IF((ዕቁብ!CO43/ቦኖ!$C$4&gt;0),1,0)</f>
        <v>0</v>
      </c>
      <c r="CO41" s="38">
        <f>IF((ዕቁብ!CP43/ቦኖ!$C$4&gt;0),1,0)</f>
        <v>1</v>
      </c>
      <c r="CP41" s="38">
        <f>IF((ዕቁብ!CQ43/ቦኖ!$C$4&gt;0),1,0)</f>
        <v>0</v>
      </c>
      <c r="CQ41" s="38">
        <f>IF((ዕቁብ!CR43/ቦኖ!$C$4&gt;0),1,0)</f>
        <v>1</v>
      </c>
      <c r="CR41" s="38">
        <f>IF((ዕቁብ!CS43/ቦኖ!$C$4&gt;0),1,0)</f>
        <v>1</v>
      </c>
      <c r="CS41" s="38">
        <f>IF((ዕቁብ!CT43/ቦኖ!$C$4&gt;0),1,0)</f>
        <v>1</v>
      </c>
      <c r="CT41" s="38">
        <f>IF((ዕቁብ!CU43/ቦኖ!$C$4&gt;0),1,0)</f>
        <v>0</v>
      </c>
      <c r="CU41" s="38">
        <f>IF((ዕቁብ!CV43/ቦኖ!$C$4&gt;0),1,0)</f>
        <v>0</v>
      </c>
      <c r="CV41" s="38">
        <f>IF((ዕቁብ!CW43/ቦኖ!$C$4&gt;0),1,0)</f>
        <v>1</v>
      </c>
      <c r="CW41" s="38">
        <f>IF((ዕቁብ!CX43/ቦኖ!$C$4&gt;0),1,0)</f>
        <v>1</v>
      </c>
      <c r="CX41" s="38">
        <f>IF((ዕቁብ!CY43/ቦኖ!$C$4&gt;0),1,0)</f>
        <v>1</v>
      </c>
      <c r="CY41" s="38">
        <f>IF((ዕቁብ!CZ43/ቦኖ!$C$4&gt;0),1,0)</f>
        <v>1</v>
      </c>
      <c r="CZ41" s="38">
        <f>IF((ዕቁብ!DA43/ቦኖ!$C$4&gt;0),1,0)</f>
        <v>1</v>
      </c>
      <c r="DA41" s="38">
        <f>IF((ዕቁብ!DB43/ቦኖ!$C$4&gt;0),1,0)</f>
        <v>1</v>
      </c>
      <c r="DB41" s="38">
        <f>IF((ዕቁብ!DC43/ቦኖ!$C$4&gt;0),1,0)</f>
        <v>0</v>
      </c>
      <c r="DC41" s="38">
        <f>IF((ዕቁብ!DD43/ቦኖ!$C$4&gt;0),1,0)</f>
        <v>1</v>
      </c>
      <c r="DD41" s="38">
        <f>IF((ዕቁብ!DE43/ቦኖ!$C$4&gt;0),1,0)</f>
        <v>0</v>
      </c>
      <c r="DE41" s="38">
        <f>IF((ዕቁብ!DF43/ቦኖ!$C$4&gt;0),1,0)</f>
        <v>1</v>
      </c>
      <c r="DF41" s="38">
        <f>IF((ዕቁብ!DG43/ቦኖ!$C$4&gt;0),1,0)</f>
        <v>1</v>
      </c>
      <c r="DG41" s="38">
        <f>IF((ዕቁብ!DH43/ቦኖ!$C$4&gt;0),1,0)</f>
        <v>0</v>
      </c>
      <c r="DH41" s="38">
        <f>IF((ዕቁብ!DI43/ቦኖ!$C$4&gt;0),1,0)</f>
        <v>0</v>
      </c>
      <c r="DI41" s="38">
        <f>IF((ዕቁብ!DJ43/ቦኖ!$C$4&gt;0),1,0)</f>
        <v>0</v>
      </c>
      <c r="DJ41" s="38">
        <f>IF((ዕቁብ!DK43/ቦኖ!$C$4&gt;0),1,0)</f>
        <v>0</v>
      </c>
      <c r="DK41" s="38">
        <f>IF((ዕቁብ!DL43/ቦኖ!$C$4&gt;0),1,0)</f>
        <v>0</v>
      </c>
      <c r="DL41" s="38">
        <f>IF((ዕቁብ!DM43/ቦኖ!$C$4&gt;0),1,0)</f>
        <v>0</v>
      </c>
      <c r="DM41" s="38">
        <f>IF((ዕቁብ!DN43/ቦኖ!$C$4&gt;0),1,0)</f>
        <v>0</v>
      </c>
      <c r="DN41" s="38">
        <f>IF((ዕቁብ!DO43/ቦኖ!$C$4&gt;0),1,0)</f>
        <v>0</v>
      </c>
      <c r="DO41" s="38">
        <f>IF((ዕቁብ!DP43/ቦኖ!$C$4&gt;0),1,0)</f>
        <v>0</v>
      </c>
      <c r="DP41" s="38">
        <f>IF((ዕቁብ!DQ43/ቦኖ!$C$4&gt;0),1,0)</f>
        <v>0</v>
      </c>
      <c r="DQ41" s="38">
        <f>IF((ዕቁብ!DR43/ቦኖ!$C$4&gt;0),1,0)</f>
        <v>0</v>
      </c>
    </row>
    <row r="42" spans="1:121" ht="15.75" customHeight="1" x14ac:dyDescent="0.3">
      <c r="A42" s="33">
        <f>ዕቁብ!A44</f>
        <v>38</v>
      </c>
      <c r="B42" s="33" t="str">
        <f>ዕቁብ!B44</f>
        <v>ሰለሞን ብርቄ</v>
      </c>
      <c r="C42" s="37">
        <f>ዕቁብ!C44</f>
        <v>21000</v>
      </c>
      <c r="D42" s="38">
        <f>IF((ዕቁብ!E44/ቦኖ!$C$4&gt;0),1,0)</f>
        <v>1</v>
      </c>
      <c r="E42" s="38">
        <f>IF((ዕቁብ!F44/ቦኖ!$C$4&gt;0),1,0)</f>
        <v>1</v>
      </c>
      <c r="F42" s="38">
        <f>IF((ዕቁብ!G44/ቦኖ!$C$4&gt;0),1,0)</f>
        <v>1</v>
      </c>
      <c r="G42" s="38">
        <f>IF((ዕቁብ!H44/ቦኖ!$C$4&gt;0),1,0)</f>
        <v>1</v>
      </c>
      <c r="H42" s="38">
        <f>IF((ዕቁብ!I44/ቦኖ!$C$4&gt;0),1,0)</f>
        <v>1</v>
      </c>
      <c r="I42" s="38">
        <f>IF((ዕቁብ!J44/ቦኖ!$C$4&gt;0),1,0)</f>
        <v>1</v>
      </c>
      <c r="J42" s="38">
        <f>IF((ዕቁብ!K44/ቦኖ!$C$4&gt;0),1,0)</f>
        <v>1</v>
      </c>
      <c r="K42" s="38">
        <f>IF((ዕቁብ!L44/ቦኖ!$C$4&gt;0),1,0)</f>
        <v>1</v>
      </c>
      <c r="L42" s="38">
        <f>IF((ዕቁብ!M44/ቦኖ!$C$4&gt;0),1,0)</f>
        <v>1</v>
      </c>
      <c r="M42" s="38">
        <f>IF((ዕቁብ!N44/ቦኖ!$C$4&gt;0),1,0)</f>
        <v>1</v>
      </c>
      <c r="N42" s="38">
        <f>IF((ዕቁብ!O44/ቦኖ!$C$4&gt;0),1,0)</f>
        <v>1</v>
      </c>
      <c r="O42" s="38">
        <f>IF((ዕቁብ!P44/ቦኖ!$C$4&gt;0),1,0)</f>
        <v>1</v>
      </c>
      <c r="P42" s="38">
        <f>IF((ዕቁብ!Q44/ቦኖ!$C$4&gt;0),1,0)</f>
        <v>1</v>
      </c>
      <c r="Q42" s="38">
        <f>IF((ዕቁብ!R44/ቦኖ!$C$4&gt;0),1,0)</f>
        <v>1</v>
      </c>
      <c r="R42" s="38">
        <f>IF((ዕቁብ!S44/ቦኖ!$C$4&gt;0),1,0)</f>
        <v>1</v>
      </c>
      <c r="S42" s="38">
        <f>IF((ዕቁብ!T44/ቦኖ!$C$4&gt;0),1,0)</f>
        <v>1</v>
      </c>
      <c r="T42" s="38">
        <f>IF((ዕቁብ!U44/ቦኖ!$C$4&gt;0),1,0)</f>
        <v>1</v>
      </c>
      <c r="U42" s="38">
        <f>IF((ዕቁብ!V44/ቦኖ!$C$4&gt;0),1,0)</f>
        <v>1</v>
      </c>
      <c r="V42" s="38">
        <f>IF((ዕቁብ!W44/ቦኖ!$C$4&gt;0),1,0)</f>
        <v>1</v>
      </c>
      <c r="W42" s="38">
        <f>IF((ዕቁብ!X44/ቦኖ!$C$4&gt;0),1,0)</f>
        <v>1</v>
      </c>
      <c r="X42" s="38">
        <f>IF((ዕቁብ!Y44/ቦኖ!$C$4&gt;0),1,0)</f>
        <v>1</v>
      </c>
      <c r="Y42" s="38">
        <f>IF((ዕቁብ!Z44/ቦኖ!$C$4&gt;0),1,0)</f>
        <v>1</v>
      </c>
      <c r="Z42" s="38">
        <f>IF((ዕቁብ!AA44/ቦኖ!$C$4&gt;0),1,0)</f>
        <v>1</v>
      </c>
      <c r="AA42" s="38">
        <f>IF((ዕቁብ!AB44/ቦኖ!$C$4&gt;0),1,0)</f>
        <v>1</v>
      </c>
      <c r="AB42" s="38">
        <f>IF((ዕቁብ!AC44/ቦኖ!$C$4&gt;0),1,0)</f>
        <v>1</v>
      </c>
      <c r="AC42" s="38">
        <f>IF((ዕቁብ!AD44/ቦኖ!$C$4&gt;0),1,0)</f>
        <v>1</v>
      </c>
      <c r="AD42" s="38">
        <f>IF((ዕቁብ!AE44/ቦኖ!$C$4&gt;0),1,0)</f>
        <v>1</v>
      </c>
      <c r="AE42" s="38">
        <f>IF((ዕቁብ!AF44/ቦኖ!$C$4&gt;0),1,0)</f>
        <v>1</v>
      </c>
      <c r="AF42" s="38">
        <f>IF((ዕቁብ!AG44/ቦኖ!$C$4&gt;0),1,0)</f>
        <v>1</v>
      </c>
      <c r="AG42" s="38">
        <f>IF((ዕቁብ!AH44/ቦኖ!$C$4&gt;0),1,0)</f>
        <v>1</v>
      </c>
      <c r="AH42" s="38">
        <f>IF((ዕቁብ!AI44/ቦኖ!$C$4&gt;0),1,0)</f>
        <v>1</v>
      </c>
      <c r="AI42" s="38">
        <f>IF((ዕቁብ!AJ44/ቦኖ!$C$4&gt;0),1,0)</f>
        <v>1</v>
      </c>
      <c r="AJ42" s="38">
        <f>IF((ዕቁብ!AK44/ቦኖ!$C$4&gt;0),1,0)</f>
        <v>1</v>
      </c>
      <c r="AK42" s="38">
        <f>IF((ዕቁብ!AL44/ቦኖ!$C$4&gt;0),1,0)</f>
        <v>1</v>
      </c>
      <c r="AL42" s="38">
        <f>IF((ዕቁብ!AM44/ቦኖ!$C$4&gt;0),1,0)</f>
        <v>1</v>
      </c>
      <c r="AM42" s="38">
        <f>IF((ዕቁብ!AN44/ቦኖ!$C$4&gt;0),1,0)</f>
        <v>1</v>
      </c>
      <c r="AN42" s="38">
        <f>IF((ዕቁብ!AO44/ቦኖ!$C$4&gt;0),1,0)</f>
        <v>1</v>
      </c>
      <c r="AO42" s="38">
        <f>IF((ዕቁብ!AP44/ቦኖ!$C$4&gt;0),1,0)</f>
        <v>1</v>
      </c>
      <c r="AP42" s="38">
        <f>IF((ዕቁብ!AQ44/ቦኖ!$C$4&gt;0),1,0)</f>
        <v>1</v>
      </c>
      <c r="AQ42" s="38">
        <f>IF((ዕቁብ!AR44/ቦኖ!$C$4&gt;0),1,0)</f>
        <v>1</v>
      </c>
      <c r="AR42" s="38">
        <f>IF((ዕቁብ!AS44/ቦኖ!$C$4&gt;0),1,0)</f>
        <v>1</v>
      </c>
      <c r="AS42" s="38">
        <f>IF((ዕቁብ!AT44/ቦኖ!$C$4&gt;0),1,0)</f>
        <v>1</v>
      </c>
      <c r="AT42" s="38">
        <f>IF((ዕቁብ!AU44/ቦኖ!$C$4&gt;0),1,0)</f>
        <v>1</v>
      </c>
      <c r="AU42" s="38">
        <f>IF((ዕቁብ!AV44/ቦኖ!$C$4&gt;0),1,0)</f>
        <v>1</v>
      </c>
      <c r="AV42" s="38">
        <f>IF((ዕቁብ!AW44/ቦኖ!$C$4&gt;0),1,0)</f>
        <v>1</v>
      </c>
      <c r="AW42" s="38">
        <f>IF((ዕቁብ!AX44/ቦኖ!$C$4&gt;0),1,0)</f>
        <v>1</v>
      </c>
      <c r="AX42" s="38">
        <f>IF((ዕቁብ!AY44/ቦኖ!$C$4&gt;0),1,0)</f>
        <v>1</v>
      </c>
      <c r="AY42" s="38">
        <f>IF((ዕቁብ!AZ44/ቦኖ!$C$4&gt;0),1,0)</f>
        <v>1</v>
      </c>
      <c r="AZ42" s="38">
        <f>IF((ዕቁብ!BA44/ቦኖ!$C$4&gt;0),1,0)</f>
        <v>1</v>
      </c>
      <c r="BA42" s="38">
        <f>IF((ዕቁብ!BB44/ቦኖ!$C$4&gt;0),1,0)</f>
        <v>1</v>
      </c>
      <c r="BB42" s="38">
        <f>IF((ዕቁብ!BC44/ቦኖ!$C$4&gt;0),1,0)</f>
        <v>1</v>
      </c>
      <c r="BC42" s="38">
        <f>IF((ዕቁብ!BD44/ቦኖ!$C$4&gt;0),1,0)</f>
        <v>1</v>
      </c>
      <c r="BD42" s="38">
        <f>IF((ዕቁብ!BE44/ቦኖ!$C$4&gt;0),1,0)</f>
        <v>1</v>
      </c>
      <c r="BE42" s="38">
        <f>IF((ዕቁብ!BF44/ቦኖ!$C$4&gt;0),1,0)</f>
        <v>1</v>
      </c>
      <c r="BF42" s="38">
        <f>IF((ዕቁብ!BG44/ቦኖ!$C$4&gt;0),1,0)</f>
        <v>1</v>
      </c>
      <c r="BG42" s="38">
        <f>IF((ዕቁብ!BH44/ቦኖ!$C$4&gt;0),1,0)</f>
        <v>1</v>
      </c>
      <c r="BH42" s="38">
        <f>IF((ዕቁብ!BI44/ቦኖ!$C$4&gt;0),1,0)</f>
        <v>1</v>
      </c>
      <c r="BI42" s="38">
        <f>IF((ዕቁብ!BJ44/ቦኖ!$C$4&gt;0),1,0)</f>
        <v>1</v>
      </c>
      <c r="BJ42" s="38">
        <f>IF((ዕቁብ!BK44/ቦኖ!$C$4&gt;0),1,0)</f>
        <v>1</v>
      </c>
      <c r="BK42" s="38">
        <f>IF((ዕቁብ!BL44/ቦኖ!$C$4&gt;0),1,0)</f>
        <v>1</v>
      </c>
      <c r="BL42" s="38">
        <f>IF((ዕቁብ!BM44/ቦኖ!$C$4&gt;0),1,0)</f>
        <v>1</v>
      </c>
      <c r="BM42" s="38">
        <f>IF((ዕቁብ!BN44/ቦኖ!$C$4&gt;0),1,0)</f>
        <v>1</v>
      </c>
      <c r="BN42" s="38">
        <f>IF((ዕቁብ!BO44/ቦኖ!$C$4&gt;0),1,0)</f>
        <v>1</v>
      </c>
      <c r="BO42" s="38">
        <f>IF((ዕቁብ!BP44/ቦኖ!$C$4&gt;0),1,0)</f>
        <v>1</v>
      </c>
      <c r="BP42" s="38">
        <f>IF((ዕቁብ!BQ44/ቦኖ!$C$4&gt;0),1,0)</f>
        <v>1</v>
      </c>
      <c r="BQ42" s="38">
        <f>IF((ዕቁብ!BR44/ቦኖ!$C$4&gt;0),1,0)</f>
        <v>1</v>
      </c>
      <c r="BR42" s="38">
        <f>IF((ዕቁብ!BS44/ቦኖ!$C$4&gt;0),1,0)</f>
        <v>1</v>
      </c>
      <c r="BS42" s="38">
        <f>IF((ዕቁብ!BT44/ቦኖ!$C$4&gt;0),1,0)</f>
        <v>1</v>
      </c>
      <c r="BT42" s="38">
        <f>IF((ዕቁብ!BU44/ቦኖ!$C$4&gt;0),1,0)</f>
        <v>1</v>
      </c>
      <c r="BU42" s="38">
        <f>IF((ዕቁብ!BV44/ቦኖ!$C$4&gt;0),1,0)</f>
        <v>1</v>
      </c>
      <c r="BV42" s="38">
        <f>IF((ዕቁብ!BW44/ቦኖ!$C$4&gt;0),1,0)</f>
        <v>1</v>
      </c>
      <c r="BW42" s="38">
        <f>IF((ዕቁብ!BX44/ቦኖ!$C$4&gt;0),1,0)</f>
        <v>1</v>
      </c>
      <c r="BX42" s="38">
        <f>IF((ዕቁብ!BY44/ቦኖ!$C$4&gt;0),1,0)</f>
        <v>1</v>
      </c>
      <c r="BY42" s="38">
        <f>IF((ዕቁብ!BZ44/ቦኖ!$C$4&gt;0),1,0)</f>
        <v>1</v>
      </c>
      <c r="BZ42" s="38">
        <f>IF((ዕቁብ!CA44/ቦኖ!$C$4&gt;0),1,0)</f>
        <v>1</v>
      </c>
      <c r="CA42" s="38">
        <f>IF((ዕቁብ!CB44/ቦኖ!$C$4&gt;0),1,0)</f>
        <v>1</v>
      </c>
      <c r="CB42" s="38">
        <f>IF((ዕቁብ!CC44/ቦኖ!$C$4&gt;0),1,0)</f>
        <v>1</v>
      </c>
      <c r="CC42" s="38">
        <f>IF((ዕቁብ!CD44/ቦኖ!$C$4&gt;0),1,0)</f>
        <v>0</v>
      </c>
      <c r="CD42" s="38">
        <f>IF((ዕቁብ!CE44/ቦኖ!$C$4&gt;0),1,0)</f>
        <v>1</v>
      </c>
      <c r="CE42" s="38">
        <f>IF((ዕቁብ!CF44/ቦኖ!$C$4&gt;0),1,0)</f>
        <v>1</v>
      </c>
      <c r="CF42" s="38">
        <f>IF((ዕቁብ!CG44/ቦኖ!$C$4&gt;0),1,0)</f>
        <v>1</v>
      </c>
      <c r="CG42" s="38">
        <f>IF((ዕቁብ!CH44/ቦኖ!$C$4&gt;0),1,0)</f>
        <v>1</v>
      </c>
      <c r="CH42" s="38">
        <f>IF((ዕቁብ!CI44/ቦኖ!$C$4&gt;0),1,0)</f>
        <v>1</v>
      </c>
      <c r="CI42" s="38">
        <f>IF((ዕቁብ!CJ44/ቦኖ!$C$4&gt;0),1,0)</f>
        <v>1</v>
      </c>
      <c r="CJ42" s="38">
        <f>IF((ዕቁብ!CK44/ቦኖ!$C$4&gt;0),1,0)</f>
        <v>1</v>
      </c>
      <c r="CK42" s="38">
        <f>IF((ዕቁብ!CL44/ቦኖ!$C$4&gt;0),1,0)</f>
        <v>1</v>
      </c>
      <c r="CL42" s="38">
        <f>IF((ዕቁብ!CM44/ቦኖ!$C$4&gt;0),1,0)</f>
        <v>1</v>
      </c>
      <c r="CM42" s="38">
        <f>IF((ዕቁብ!CN44/ቦኖ!$C$4&gt;0),1,0)</f>
        <v>1</v>
      </c>
      <c r="CN42" s="38">
        <f>IF((ዕቁብ!CO44/ቦኖ!$C$4&gt;0),1,0)</f>
        <v>1</v>
      </c>
      <c r="CO42" s="38">
        <f>IF((ዕቁብ!CP44/ቦኖ!$C$4&gt;0),1,0)</f>
        <v>1</v>
      </c>
      <c r="CP42" s="38">
        <f>IF((ዕቁብ!CQ44/ቦኖ!$C$4&gt;0),1,0)</f>
        <v>1</v>
      </c>
      <c r="CQ42" s="38">
        <f>IF((ዕቁብ!CR44/ቦኖ!$C$4&gt;0),1,0)</f>
        <v>1</v>
      </c>
      <c r="CR42" s="38">
        <f>IF((ዕቁብ!CS44/ቦኖ!$C$4&gt;0),1,0)</f>
        <v>1</v>
      </c>
      <c r="CS42" s="38">
        <f>IF((ዕቁብ!CT44/ቦኖ!$C$4&gt;0),1,0)</f>
        <v>1</v>
      </c>
      <c r="CT42" s="38">
        <f>IF((ዕቁብ!CU44/ቦኖ!$C$4&gt;0),1,0)</f>
        <v>1</v>
      </c>
      <c r="CU42" s="38">
        <f>IF((ዕቁብ!CV44/ቦኖ!$C$4&gt;0),1,0)</f>
        <v>1</v>
      </c>
      <c r="CV42" s="38">
        <f>IF((ዕቁብ!CW44/ቦኖ!$C$4&gt;0),1,0)</f>
        <v>1</v>
      </c>
      <c r="CW42" s="38">
        <f>IF((ዕቁብ!CX44/ቦኖ!$C$4&gt;0),1,0)</f>
        <v>0</v>
      </c>
      <c r="CX42" s="38">
        <f>IF((ዕቁብ!CY44/ቦኖ!$C$4&gt;0),1,0)</f>
        <v>1</v>
      </c>
      <c r="CY42" s="38">
        <f>IF((ዕቁብ!CZ44/ቦኖ!$C$4&gt;0),1,0)</f>
        <v>0</v>
      </c>
      <c r="CZ42" s="38">
        <f>IF((ዕቁብ!DA44/ቦኖ!$C$4&gt;0),1,0)</f>
        <v>0</v>
      </c>
      <c r="DA42" s="38">
        <f>IF((ዕቁብ!DB44/ቦኖ!$C$4&gt;0),1,0)</f>
        <v>1</v>
      </c>
      <c r="DB42" s="38">
        <f>IF((ዕቁብ!DC44/ቦኖ!$C$4&gt;0),1,0)</f>
        <v>1</v>
      </c>
      <c r="DC42" s="38">
        <f>IF((ዕቁብ!DD44/ቦኖ!$C$4&gt;0),1,0)</f>
        <v>0</v>
      </c>
      <c r="DD42" s="38">
        <f>IF((ዕቁብ!DE44/ቦኖ!$C$4&gt;0),1,0)</f>
        <v>1</v>
      </c>
      <c r="DE42" s="38">
        <f>IF((ዕቁብ!DF44/ቦኖ!$C$4&gt;0),1,0)</f>
        <v>1</v>
      </c>
      <c r="DF42" s="38">
        <f>IF((ዕቁብ!DG44/ቦኖ!$C$4&gt;0),1,0)</f>
        <v>1</v>
      </c>
      <c r="DG42" s="38">
        <f>IF((ዕቁብ!DH44/ቦኖ!$C$4&gt;0),1,0)</f>
        <v>1</v>
      </c>
      <c r="DH42" s="38">
        <f>IF((ዕቁብ!DI44/ቦኖ!$C$4&gt;0),1,0)</f>
        <v>0</v>
      </c>
      <c r="DI42" s="38">
        <f>IF((ዕቁብ!DJ44/ቦኖ!$C$4&gt;0),1,0)</f>
        <v>0</v>
      </c>
      <c r="DJ42" s="38">
        <f>IF((ዕቁብ!DK44/ቦኖ!$C$4&gt;0),1,0)</f>
        <v>0</v>
      </c>
      <c r="DK42" s="38">
        <f>IF((ዕቁብ!DL44/ቦኖ!$C$4&gt;0),1,0)</f>
        <v>0</v>
      </c>
      <c r="DL42" s="38">
        <f>IF((ዕቁብ!DM44/ቦኖ!$C$4&gt;0),1,0)</f>
        <v>0</v>
      </c>
      <c r="DM42" s="38">
        <f>IF((ዕቁብ!DN44/ቦኖ!$C$4&gt;0),1,0)</f>
        <v>0</v>
      </c>
      <c r="DN42" s="38">
        <f>IF((ዕቁብ!DO44/ቦኖ!$C$4&gt;0),1,0)</f>
        <v>0</v>
      </c>
      <c r="DO42" s="38">
        <f>IF((ዕቁብ!DP44/ቦኖ!$C$4&gt;0),1,0)</f>
        <v>0</v>
      </c>
      <c r="DP42" s="38">
        <f>IF((ዕቁብ!DQ44/ቦኖ!$C$4&gt;0),1,0)</f>
        <v>0</v>
      </c>
      <c r="DQ42" s="38">
        <f>IF((ዕቁብ!DR44/ቦኖ!$C$4&gt;0),1,0)</f>
        <v>0</v>
      </c>
    </row>
    <row r="43" spans="1:121" ht="15.75" customHeight="1" x14ac:dyDescent="0.3">
      <c r="A43" s="33">
        <f>ዕቁብ!A45</f>
        <v>39</v>
      </c>
      <c r="B43" s="33" t="str">
        <f>ዕቁብ!B45</f>
        <v>ሲሳይ ባህሩ</v>
      </c>
      <c r="C43" s="37">
        <f>ዕቁብ!C45</f>
        <v>21000</v>
      </c>
      <c r="D43" s="38">
        <f>IF((ዕቁብ!E45/ቦኖ!$C$4&gt;0),1,0)</f>
        <v>1</v>
      </c>
      <c r="E43" s="38">
        <f>IF((ዕቁብ!F45/ቦኖ!$C$4&gt;0),1,0)</f>
        <v>1</v>
      </c>
      <c r="F43" s="38">
        <f>IF((ዕቁብ!G45/ቦኖ!$C$4&gt;0),1,0)</f>
        <v>1</v>
      </c>
      <c r="G43" s="38">
        <f>IF((ዕቁብ!H45/ቦኖ!$C$4&gt;0),1,0)</f>
        <v>1</v>
      </c>
      <c r="H43" s="38">
        <f>IF((ዕቁብ!I45/ቦኖ!$C$4&gt;0),1,0)</f>
        <v>1</v>
      </c>
      <c r="I43" s="38">
        <f>IF((ዕቁብ!J45/ቦኖ!$C$4&gt;0),1,0)</f>
        <v>1</v>
      </c>
      <c r="J43" s="38">
        <f>IF((ዕቁብ!K45/ቦኖ!$C$4&gt;0),1,0)</f>
        <v>1</v>
      </c>
      <c r="K43" s="38">
        <f>IF((ዕቁብ!L45/ቦኖ!$C$4&gt;0),1,0)</f>
        <v>1</v>
      </c>
      <c r="L43" s="38">
        <f>IF((ዕቁብ!M45/ቦኖ!$C$4&gt;0),1,0)</f>
        <v>1</v>
      </c>
      <c r="M43" s="38">
        <f>IF((ዕቁብ!N45/ቦኖ!$C$4&gt;0),1,0)</f>
        <v>1</v>
      </c>
      <c r="N43" s="38">
        <f>IF((ዕቁብ!O45/ቦኖ!$C$4&gt;0),1,0)</f>
        <v>1</v>
      </c>
      <c r="O43" s="38">
        <f>IF((ዕቁብ!P45/ቦኖ!$C$4&gt;0),1,0)</f>
        <v>1</v>
      </c>
      <c r="P43" s="38">
        <f>IF((ዕቁብ!Q45/ቦኖ!$C$4&gt;0),1,0)</f>
        <v>1</v>
      </c>
      <c r="Q43" s="38">
        <f>IF((ዕቁብ!R45/ቦኖ!$C$4&gt;0),1,0)</f>
        <v>1</v>
      </c>
      <c r="R43" s="38">
        <f>IF((ዕቁብ!S45/ቦኖ!$C$4&gt;0),1,0)</f>
        <v>1</v>
      </c>
      <c r="S43" s="38">
        <f>IF((ዕቁብ!T45/ቦኖ!$C$4&gt;0),1,0)</f>
        <v>1</v>
      </c>
      <c r="T43" s="38">
        <f>IF((ዕቁብ!U45/ቦኖ!$C$4&gt;0),1,0)</f>
        <v>1</v>
      </c>
      <c r="U43" s="38">
        <f>IF((ዕቁብ!V45/ቦኖ!$C$4&gt;0),1,0)</f>
        <v>1</v>
      </c>
      <c r="V43" s="38">
        <f>IF((ዕቁብ!W45/ቦኖ!$C$4&gt;0),1,0)</f>
        <v>1</v>
      </c>
      <c r="W43" s="38">
        <f>IF((ዕቁብ!X45/ቦኖ!$C$4&gt;0),1,0)</f>
        <v>1</v>
      </c>
      <c r="X43" s="38">
        <f>IF((ዕቁብ!Y45/ቦኖ!$C$4&gt;0),1,0)</f>
        <v>1</v>
      </c>
      <c r="Y43" s="38">
        <f>IF((ዕቁብ!Z45/ቦኖ!$C$4&gt;0),1,0)</f>
        <v>1</v>
      </c>
      <c r="Z43" s="38">
        <f>IF((ዕቁብ!AA45/ቦኖ!$C$4&gt;0),1,0)</f>
        <v>1</v>
      </c>
      <c r="AA43" s="38">
        <f>IF((ዕቁብ!AB45/ቦኖ!$C$4&gt;0),1,0)</f>
        <v>1</v>
      </c>
      <c r="AB43" s="38">
        <f>IF((ዕቁብ!AC45/ቦኖ!$C$4&gt;0),1,0)</f>
        <v>1</v>
      </c>
      <c r="AC43" s="38">
        <f>IF((ዕቁብ!AD45/ቦኖ!$C$4&gt;0),1,0)</f>
        <v>1</v>
      </c>
      <c r="AD43" s="38">
        <f>IF((ዕቁብ!AE45/ቦኖ!$C$4&gt;0),1,0)</f>
        <v>1</v>
      </c>
      <c r="AE43" s="38">
        <f>IF((ዕቁብ!AF45/ቦኖ!$C$4&gt;0),1,0)</f>
        <v>1</v>
      </c>
      <c r="AF43" s="38">
        <f>IF((ዕቁብ!AG45/ቦኖ!$C$4&gt;0),1,0)</f>
        <v>1</v>
      </c>
      <c r="AG43" s="38">
        <f>IF((ዕቁብ!AH45/ቦኖ!$C$4&gt;0),1,0)</f>
        <v>1</v>
      </c>
      <c r="AH43" s="38">
        <f>IF((ዕቁብ!AI45/ቦኖ!$C$4&gt;0),1,0)</f>
        <v>1</v>
      </c>
      <c r="AI43" s="38">
        <f>IF((ዕቁብ!AJ45/ቦኖ!$C$4&gt;0),1,0)</f>
        <v>1</v>
      </c>
      <c r="AJ43" s="38">
        <f>IF((ዕቁብ!AK45/ቦኖ!$C$4&gt;0),1,0)</f>
        <v>1</v>
      </c>
      <c r="AK43" s="38">
        <f>IF((ዕቁብ!AL45/ቦኖ!$C$4&gt;0),1,0)</f>
        <v>1</v>
      </c>
      <c r="AL43" s="38">
        <f>IF((ዕቁብ!AM45/ቦኖ!$C$4&gt;0),1,0)</f>
        <v>1</v>
      </c>
      <c r="AM43" s="38">
        <f>IF((ዕቁብ!AN45/ቦኖ!$C$4&gt;0),1,0)</f>
        <v>1</v>
      </c>
      <c r="AN43" s="38">
        <f>IF((ዕቁብ!AO45/ቦኖ!$C$4&gt;0),1,0)</f>
        <v>1</v>
      </c>
      <c r="AO43" s="38">
        <f>IF((ዕቁብ!AP45/ቦኖ!$C$4&gt;0),1,0)</f>
        <v>1</v>
      </c>
      <c r="AP43" s="38">
        <f>IF((ዕቁብ!AQ45/ቦኖ!$C$4&gt;0),1,0)</f>
        <v>1</v>
      </c>
      <c r="AQ43" s="38">
        <f>IF((ዕቁብ!AR45/ቦኖ!$C$4&gt;0),1,0)</f>
        <v>1</v>
      </c>
      <c r="AR43" s="38">
        <f>IF((ዕቁብ!AS45/ቦኖ!$C$4&gt;0),1,0)</f>
        <v>1</v>
      </c>
      <c r="AS43" s="38">
        <f>IF((ዕቁብ!AT45/ቦኖ!$C$4&gt;0),1,0)</f>
        <v>1</v>
      </c>
      <c r="AT43" s="38">
        <f>IF((ዕቁብ!AU45/ቦኖ!$C$4&gt;0),1,0)</f>
        <v>1</v>
      </c>
      <c r="AU43" s="38">
        <f>IF((ዕቁብ!AV45/ቦኖ!$C$4&gt;0),1,0)</f>
        <v>1</v>
      </c>
      <c r="AV43" s="38">
        <f>IF((ዕቁብ!AW45/ቦኖ!$C$4&gt;0),1,0)</f>
        <v>1</v>
      </c>
      <c r="AW43" s="38">
        <f>IF((ዕቁብ!AX45/ቦኖ!$C$4&gt;0),1,0)</f>
        <v>1</v>
      </c>
      <c r="AX43" s="38">
        <f>IF((ዕቁብ!AY45/ቦኖ!$C$4&gt;0),1,0)</f>
        <v>1</v>
      </c>
      <c r="AY43" s="38">
        <f>IF((ዕቁብ!AZ45/ቦኖ!$C$4&gt;0),1,0)</f>
        <v>1</v>
      </c>
      <c r="AZ43" s="38">
        <f>IF((ዕቁብ!BA45/ቦኖ!$C$4&gt;0),1,0)</f>
        <v>1</v>
      </c>
      <c r="BA43" s="38">
        <f>IF((ዕቁብ!BB45/ቦኖ!$C$4&gt;0),1,0)</f>
        <v>1</v>
      </c>
      <c r="BB43" s="38">
        <f>IF((ዕቁብ!BC45/ቦኖ!$C$4&gt;0),1,0)</f>
        <v>1</v>
      </c>
      <c r="BC43" s="38">
        <f>IF((ዕቁብ!BD45/ቦኖ!$C$4&gt;0),1,0)</f>
        <v>1</v>
      </c>
      <c r="BD43" s="38">
        <f>IF((ዕቁብ!BE45/ቦኖ!$C$4&gt;0),1,0)</f>
        <v>1</v>
      </c>
      <c r="BE43" s="38">
        <f>IF((ዕቁብ!BF45/ቦኖ!$C$4&gt;0),1,0)</f>
        <v>1</v>
      </c>
      <c r="BF43" s="38">
        <f>IF((ዕቁብ!BG45/ቦኖ!$C$4&gt;0),1,0)</f>
        <v>1</v>
      </c>
      <c r="BG43" s="38">
        <f>IF((ዕቁብ!BH45/ቦኖ!$C$4&gt;0),1,0)</f>
        <v>1</v>
      </c>
      <c r="BH43" s="38">
        <f>IF((ዕቁብ!BI45/ቦኖ!$C$4&gt;0),1,0)</f>
        <v>1</v>
      </c>
      <c r="BI43" s="38">
        <f>IF((ዕቁብ!BJ45/ቦኖ!$C$4&gt;0),1,0)</f>
        <v>1</v>
      </c>
      <c r="BJ43" s="38">
        <f>IF((ዕቁብ!BK45/ቦኖ!$C$4&gt;0),1,0)</f>
        <v>1</v>
      </c>
      <c r="BK43" s="38">
        <f>IF((ዕቁብ!BL45/ቦኖ!$C$4&gt;0),1,0)</f>
        <v>1</v>
      </c>
      <c r="BL43" s="38">
        <f>IF((ዕቁብ!BM45/ቦኖ!$C$4&gt;0),1,0)</f>
        <v>1</v>
      </c>
      <c r="BM43" s="38">
        <f>IF((ዕቁብ!BN45/ቦኖ!$C$4&gt;0),1,0)</f>
        <v>1</v>
      </c>
      <c r="BN43" s="38">
        <f>IF((ዕቁብ!BO45/ቦኖ!$C$4&gt;0),1,0)</f>
        <v>1</v>
      </c>
      <c r="BO43" s="38">
        <f>IF((ዕቁብ!BP45/ቦኖ!$C$4&gt;0),1,0)</f>
        <v>1</v>
      </c>
      <c r="BP43" s="38">
        <f>IF((ዕቁብ!BQ45/ቦኖ!$C$4&gt;0),1,0)</f>
        <v>1</v>
      </c>
      <c r="BQ43" s="38">
        <f>IF((ዕቁብ!BR45/ቦኖ!$C$4&gt;0),1,0)</f>
        <v>1</v>
      </c>
      <c r="BR43" s="38">
        <f>IF((ዕቁብ!BS45/ቦኖ!$C$4&gt;0),1,0)</f>
        <v>1</v>
      </c>
      <c r="BS43" s="38">
        <f>IF((ዕቁብ!BT45/ቦኖ!$C$4&gt;0),1,0)</f>
        <v>1</v>
      </c>
      <c r="BT43" s="38">
        <f>IF((ዕቁብ!BU45/ቦኖ!$C$4&gt;0),1,0)</f>
        <v>1</v>
      </c>
      <c r="BU43" s="38">
        <f>IF((ዕቁብ!BV45/ቦኖ!$C$4&gt;0),1,0)</f>
        <v>1</v>
      </c>
      <c r="BV43" s="38">
        <f>IF((ዕቁብ!BW45/ቦኖ!$C$4&gt;0),1,0)</f>
        <v>1</v>
      </c>
      <c r="BW43" s="38">
        <f>IF((ዕቁብ!BX45/ቦኖ!$C$4&gt;0),1,0)</f>
        <v>1</v>
      </c>
      <c r="BX43" s="38">
        <f>IF((ዕቁብ!BY45/ቦኖ!$C$4&gt;0),1,0)</f>
        <v>1</v>
      </c>
      <c r="BY43" s="38">
        <f>IF((ዕቁብ!BZ45/ቦኖ!$C$4&gt;0),1,0)</f>
        <v>1</v>
      </c>
      <c r="BZ43" s="38">
        <f>IF((ዕቁብ!CA45/ቦኖ!$C$4&gt;0),1,0)</f>
        <v>1</v>
      </c>
      <c r="CA43" s="38">
        <f>IF((ዕቁብ!CB45/ቦኖ!$C$4&gt;0),1,0)</f>
        <v>1</v>
      </c>
      <c r="CB43" s="38">
        <f>IF((ዕቁብ!CC45/ቦኖ!$C$4&gt;0),1,0)</f>
        <v>1</v>
      </c>
      <c r="CC43" s="38">
        <f>IF((ዕቁብ!CD45/ቦኖ!$C$4&gt;0),1,0)</f>
        <v>1</v>
      </c>
      <c r="CD43" s="38">
        <f>IF((ዕቁብ!CE45/ቦኖ!$C$4&gt;0),1,0)</f>
        <v>1</v>
      </c>
      <c r="CE43" s="38">
        <f>IF((ዕቁብ!CF45/ቦኖ!$C$4&gt;0),1,0)</f>
        <v>1</v>
      </c>
      <c r="CF43" s="38">
        <f>IF((ዕቁብ!CG45/ቦኖ!$C$4&gt;0),1,0)</f>
        <v>1</v>
      </c>
      <c r="CG43" s="38">
        <f>IF((ዕቁብ!CH45/ቦኖ!$C$4&gt;0),1,0)</f>
        <v>1</v>
      </c>
      <c r="CH43" s="38">
        <f>IF((ዕቁብ!CI45/ቦኖ!$C$4&gt;0),1,0)</f>
        <v>1</v>
      </c>
      <c r="CI43" s="38">
        <f>IF((ዕቁብ!CJ45/ቦኖ!$C$4&gt;0),1,0)</f>
        <v>1</v>
      </c>
      <c r="CJ43" s="38">
        <f>IF((ዕቁብ!CK45/ቦኖ!$C$4&gt;0),1,0)</f>
        <v>1</v>
      </c>
      <c r="CK43" s="38">
        <f>IF((ዕቁብ!CL45/ቦኖ!$C$4&gt;0),1,0)</f>
        <v>1</v>
      </c>
      <c r="CL43" s="38">
        <f>IF((ዕቁብ!CM45/ቦኖ!$C$4&gt;0),1,0)</f>
        <v>1</v>
      </c>
      <c r="CM43" s="38">
        <f>IF((ዕቁብ!CN45/ቦኖ!$C$4&gt;0),1,0)</f>
        <v>1</v>
      </c>
      <c r="CN43" s="38">
        <f>IF((ዕቁብ!CO45/ቦኖ!$C$4&gt;0),1,0)</f>
        <v>1</v>
      </c>
      <c r="CO43" s="38">
        <f>IF((ዕቁብ!CP45/ቦኖ!$C$4&gt;0),1,0)</f>
        <v>1</v>
      </c>
      <c r="CP43" s="38">
        <f>IF((ዕቁብ!CQ45/ቦኖ!$C$4&gt;0),1,0)</f>
        <v>1</v>
      </c>
      <c r="CQ43" s="38">
        <f>IF((ዕቁብ!CR45/ቦኖ!$C$4&gt;0),1,0)</f>
        <v>1</v>
      </c>
      <c r="CR43" s="38">
        <f>IF((ዕቁብ!CS45/ቦኖ!$C$4&gt;0),1,0)</f>
        <v>1</v>
      </c>
      <c r="CS43" s="38">
        <f>IF((ዕቁብ!CT45/ቦኖ!$C$4&gt;0),1,0)</f>
        <v>1</v>
      </c>
      <c r="CT43" s="38">
        <f>IF((ዕቁብ!CU45/ቦኖ!$C$4&gt;0),1,0)</f>
        <v>1</v>
      </c>
      <c r="CU43" s="38">
        <f>IF((ዕቁብ!CV45/ቦኖ!$C$4&gt;0),1,0)</f>
        <v>1</v>
      </c>
      <c r="CV43" s="38">
        <f>IF((ዕቁብ!CW45/ቦኖ!$C$4&gt;0),1,0)</f>
        <v>1</v>
      </c>
      <c r="CW43" s="38">
        <f>IF((ዕቁብ!CX45/ቦኖ!$C$4&gt;0),1,0)</f>
        <v>1</v>
      </c>
      <c r="CX43" s="38">
        <f>IF((ዕቁብ!CY45/ቦኖ!$C$4&gt;0),1,0)</f>
        <v>1</v>
      </c>
      <c r="CY43" s="38">
        <f>IF((ዕቁብ!CZ45/ቦኖ!$C$4&gt;0),1,0)</f>
        <v>1</v>
      </c>
      <c r="CZ43" s="38">
        <f>IF((ዕቁብ!DA45/ቦኖ!$C$4&gt;0),1,0)</f>
        <v>1</v>
      </c>
      <c r="DA43" s="38">
        <f>IF((ዕቁብ!DB45/ቦኖ!$C$4&gt;0),1,0)</f>
        <v>1</v>
      </c>
      <c r="DB43" s="38">
        <f>IF((ዕቁብ!DC45/ቦኖ!$C$4&gt;0),1,0)</f>
        <v>1</v>
      </c>
      <c r="DC43" s="38">
        <f>IF((ዕቁብ!DD45/ቦኖ!$C$4&gt;0),1,0)</f>
        <v>1</v>
      </c>
      <c r="DD43" s="38">
        <f>IF((ዕቁብ!DE45/ቦኖ!$C$4&gt;0),1,0)</f>
        <v>1</v>
      </c>
      <c r="DE43" s="38">
        <f>IF((ዕቁብ!DF45/ቦኖ!$C$4&gt;0),1,0)</f>
        <v>1</v>
      </c>
      <c r="DF43" s="38">
        <f>IF((ዕቁብ!DG45/ቦኖ!$C$4&gt;0),1,0)</f>
        <v>1</v>
      </c>
      <c r="DG43" s="38">
        <f>IF((ዕቁብ!DH45/ቦኖ!$C$4&gt;0),1,0)</f>
        <v>1</v>
      </c>
      <c r="DH43" s="38">
        <f>IF((ዕቁብ!DI45/ቦኖ!$C$4&gt;0),1,0)</f>
        <v>0</v>
      </c>
      <c r="DI43" s="38">
        <f>IF((ዕቁብ!DJ45/ቦኖ!$C$4&gt;0),1,0)</f>
        <v>0</v>
      </c>
      <c r="DJ43" s="38">
        <f>IF((ዕቁብ!DK45/ቦኖ!$C$4&gt;0),1,0)</f>
        <v>0</v>
      </c>
      <c r="DK43" s="38">
        <f>IF((ዕቁብ!DL45/ቦኖ!$C$4&gt;0),1,0)</f>
        <v>0</v>
      </c>
      <c r="DL43" s="38">
        <f>IF((ዕቁብ!DM45/ቦኖ!$C$4&gt;0),1,0)</f>
        <v>0</v>
      </c>
      <c r="DM43" s="38">
        <f>IF((ዕቁብ!DN45/ቦኖ!$C$4&gt;0),1,0)</f>
        <v>0</v>
      </c>
      <c r="DN43" s="38">
        <f>IF((ዕቁብ!DO45/ቦኖ!$C$4&gt;0),1,0)</f>
        <v>0</v>
      </c>
      <c r="DO43" s="38">
        <f>IF((ዕቁብ!DP45/ቦኖ!$C$4&gt;0),1,0)</f>
        <v>0</v>
      </c>
      <c r="DP43" s="38">
        <f>IF((ዕቁብ!DQ45/ቦኖ!$C$4&gt;0),1,0)</f>
        <v>0</v>
      </c>
      <c r="DQ43" s="38">
        <f>IF((ዕቁብ!DR45/ቦኖ!$C$4&gt;0),1,0)</f>
        <v>0</v>
      </c>
    </row>
    <row r="44" spans="1:121" ht="15.75" customHeight="1" x14ac:dyDescent="0.3">
      <c r="A44" s="33">
        <f>ዕቁብ!A46</f>
        <v>40</v>
      </c>
      <c r="B44" s="33" t="str">
        <f>ዕቁብ!B46</f>
        <v xml:space="preserve">ሽታዬ ቦንጌ </v>
      </c>
      <c r="C44" s="37">
        <f>ዕቁብ!C46</f>
        <v>21000</v>
      </c>
      <c r="D44" s="38">
        <f>IF((ዕቁብ!E46/ቦኖ!$C$4&gt;0),1,0)</f>
        <v>1</v>
      </c>
      <c r="E44" s="38">
        <f>IF((ዕቁብ!F46/ቦኖ!$C$4&gt;0),1,0)</f>
        <v>1</v>
      </c>
      <c r="F44" s="38">
        <f>IF((ዕቁብ!G46/ቦኖ!$C$4&gt;0),1,0)</f>
        <v>1</v>
      </c>
      <c r="G44" s="38">
        <f>IF((ዕቁብ!H46/ቦኖ!$C$4&gt;0),1,0)</f>
        <v>1</v>
      </c>
      <c r="H44" s="38">
        <f>IF((ዕቁብ!I46/ቦኖ!$C$4&gt;0),1,0)</f>
        <v>1</v>
      </c>
      <c r="I44" s="38">
        <f>IF((ዕቁብ!J46/ቦኖ!$C$4&gt;0),1,0)</f>
        <v>1</v>
      </c>
      <c r="J44" s="38">
        <f>IF((ዕቁብ!K46/ቦኖ!$C$4&gt;0),1,0)</f>
        <v>1</v>
      </c>
      <c r="K44" s="38">
        <f>IF((ዕቁብ!L46/ቦኖ!$C$4&gt;0),1,0)</f>
        <v>1</v>
      </c>
      <c r="L44" s="38">
        <f>IF((ዕቁብ!M46/ቦኖ!$C$4&gt;0),1,0)</f>
        <v>1</v>
      </c>
      <c r="M44" s="38">
        <f>IF((ዕቁብ!N46/ቦኖ!$C$4&gt;0),1,0)</f>
        <v>1</v>
      </c>
      <c r="N44" s="38">
        <f>IF((ዕቁብ!O46/ቦኖ!$C$4&gt;0),1,0)</f>
        <v>1</v>
      </c>
      <c r="O44" s="38">
        <f>IF((ዕቁብ!P46/ቦኖ!$C$4&gt;0),1,0)</f>
        <v>1</v>
      </c>
      <c r="P44" s="38">
        <f>IF((ዕቁብ!Q46/ቦኖ!$C$4&gt;0),1,0)</f>
        <v>1</v>
      </c>
      <c r="Q44" s="38">
        <f>IF((ዕቁብ!R46/ቦኖ!$C$4&gt;0),1,0)</f>
        <v>1</v>
      </c>
      <c r="R44" s="38">
        <f>IF((ዕቁብ!S46/ቦኖ!$C$4&gt;0),1,0)</f>
        <v>1</v>
      </c>
      <c r="S44" s="38">
        <f>IF((ዕቁብ!T46/ቦኖ!$C$4&gt;0),1,0)</f>
        <v>1</v>
      </c>
      <c r="T44" s="38">
        <f>IF((ዕቁብ!U46/ቦኖ!$C$4&gt;0),1,0)</f>
        <v>1</v>
      </c>
      <c r="U44" s="38">
        <f>IF((ዕቁብ!V46/ቦኖ!$C$4&gt;0),1,0)</f>
        <v>1</v>
      </c>
      <c r="V44" s="38">
        <f>IF((ዕቁብ!W46/ቦኖ!$C$4&gt;0),1,0)</f>
        <v>1</v>
      </c>
      <c r="W44" s="38">
        <f>IF((ዕቁብ!X46/ቦኖ!$C$4&gt;0),1,0)</f>
        <v>1</v>
      </c>
      <c r="X44" s="38">
        <f>IF((ዕቁብ!Y46/ቦኖ!$C$4&gt;0),1,0)</f>
        <v>1</v>
      </c>
      <c r="Y44" s="38">
        <f>IF((ዕቁብ!Z46/ቦኖ!$C$4&gt;0),1,0)</f>
        <v>1</v>
      </c>
      <c r="Z44" s="38">
        <f>IF((ዕቁብ!AA46/ቦኖ!$C$4&gt;0),1,0)</f>
        <v>1</v>
      </c>
      <c r="AA44" s="38">
        <f>IF((ዕቁብ!AB46/ቦኖ!$C$4&gt;0),1,0)</f>
        <v>1</v>
      </c>
      <c r="AB44" s="38">
        <f>IF((ዕቁብ!AC46/ቦኖ!$C$4&gt;0),1,0)</f>
        <v>1</v>
      </c>
      <c r="AC44" s="38">
        <f>IF((ዕቁብ!AD46/ቦኖ!$C$4&gt;0),1,0)</f>
        <v>1</v>
      </c>
      <c r="AD44" s="38">
        <f>IF((ዕቁብ!AE46/ቦኖ!$C$4&gt;0),1,0)</f>
        <v>1</v>
      </c>
      <c r="AE44" s="38">
        <f>IF((ዕቁብ!AF46/ቦኖ!$C$4&gt;0),1,0)</f>
        <v>1</v>
      </c>
      <c r="AF44" s="38">
        <f>IF((ዕቁብ!AG46/ቦኖ!$C$4&gt;0),1,0)</f>
        <v>1</v>
      </c>
      <c r="AG44" s="38">
        <f>IF((ዕቁብ!AH46/ቦኖ!$C$4&gt;0),1,0)</f>
        <v>1</v>
      </c>
      <c r="AH44" s="38">
        <f>IF((ዕቁብ!AI46/ቦኖ!$C$4&gt;0),1,0)</f>
        <v>1</v>
      </c>
      <c r="AI44" s="38">
        <f>IF((ዕቁብ!AJ46/ቦኖ!$C$4&gt;0),1,0)</f>
        <v>1</v>
      </c>
      <c r="AJ44" s="38">
        <f>IF((ዕቁብ!AK46/ቦኖ!$C$4&gt;0),1,0)</f>
        <v>1</v>
      </c>
      <c r="AK44" s="38">
        <f>IF((ዕቁብ!AL46/ቦኖ!$C$4&gt;0),1,0)</f>
        <v>1</v>
      </c>
      <c r="AL44" s="38">
        <f>IF((ዕቁብ!AM46/ቦኖ!$C$4&gt;0),1,0)</f>
        <v>1</v>
      </c>
      <c r="AM44" s="38">
        <f>IF((ዕቁብ!AN46/ቦኖ!$C$4&gt;0),1,0)</f>
        <v>0</v>
      </c>
      <c r="AN44" s="38">
        <f>IF((ዕቁብ!AO46/ቦኖ!$C$4&gt;0),1,0)</f>
        <v>1</v>
      </c>
      <c r="AO44" s="38">
        <f>IF((ዕቁብ!AP46/ቦኖ!$C$4&gt;0),1,0)</f>
        <v>1</v>
      </c>
      <c r="AP44" s="38">
        <f>IF((ዕቁብ!AQ46/ቦኖ!$C$4&gt;0),1,0)</f>
        <v>1</v>
      </c>
      <c r="AQ44" s="38">
        <f>IF((ዕቁብ!AR46/ቦኖ!$C$4&gt;0),1,0)</f>
        <v>0</v>
      </c>
      <c r="AR44" s="38">
        <f>IF((ዕቁብ!AS46/ቦኖ!$C$4&gt;0),1,0)</f>
        <v>1</v>
      </c>
      <c r="AS44" s="38">
        <f>IF((ዕቁብ!AT46/ቦኖ!$C$4&gt;0),1,0)</f>
        <v>1</v>
      </c>
      <c r="AT44" s="38">
        <f>IF((ዕቁብ!AU46/ቦኖ!$C$4&gt;0),1,0)</f>
        <v>1</v>
      </c>
      <c r="AU44" s="38">
        <f>IF((ዕቁብ!AV46/ቦኖ!$C$4&gt;0),1,0)</f>
        <v>1</v>
      </c>
      <c r="AV44" s="38">
        <f>IF((ዕቁብ!AW46/ቦኖ!$C$4&gt;0),1,0)</f>
        <v>1</v>
      </c>
      <c r="AW44" s="38">
        <f>IF((ዕቁብ!AX46/ቦኖ!$C$4&gt;0),1,0)</f>
        <v>1</v>
      </c>
      <c r="AX44" s="38">
        <f>IF((ዕቁብ!AY46/ቦኖ!$C$4&gt;0),1,0)</f>
        <v>0</v>
      </c>
      <c r="AY44" s="38">
        <f>IF((ዕቁብ!AZ46/ቦኖ!$C$4&gt;0),1,0)</f>
        <v>1</v>
      </c>
      <c r="AZ44" s="38">
        <f>IF((ዕቁብ!BA46/ቦኖ!$C$4&gt;0),1,0)</f>
        <v>1</v>
      </c>
      <c r="BA44" s="38">
        <f>IF((ዕቁብ!BB46/ቦኖ!$C$4&gt;0),1,0)</f>
        <v>1</v>
      </c>
      <c r="BB44" s="38">
        <f>IF((ዕቁብ!BC46/ቦኖ!$C$4&gt;0),1,0)</f>
        <v>1</v>
      </c>
      <c r="BC44" s="38">
        <f>IF((ዕቁብ!BD46/ቦኖ!$C$4&gt;0),1,0)</f>
        <v>1</v>
      </c>
      <c r="BD44" s="38">
        <f>IF((ዕቁብ!BE46/ቦኖ!$C$4&gt;0),1,0)</f>
        <v>1</v>
      </c>
      <c r="BE44" s="38">
        <f>IF((ዕቁብ!BF46/ቦኖ!$C$4&gt;0),1,0)</f>
        <v>1</v>
      </c>
      <c r="BF44" s="38">
        <f>IF((ዕቁብ!BG46/ቦኖ!$C$4&gt;0),1,0)</f>
        <v>1</v>
      </c>
      <c r="BG44" s="38">
        <f>IF((ዕቁብ!BH46/ቦኖ!$C$4&gt;0),1,0)</f>
        <v>1</v>
      </c>
      <c r="BH44" s="38">
        <f>IF((ዕቁብ!BI46/ቦኖ!$C$4&gt;0),1,0)</f>
        <v>1</v>
      </c>
      <c r="BI44" s="38">
        <f>IF((ዕቁብ!BJ46/ቦኖ!$C$4&gt;0),1,0)</f>
        <v>1</v>
      </c>
      <c r="BJ44" s="38">
        <f>IF((ዕቁብ!BK46/ቦኖ!$C$4&gt;0),1,0)</f>
        <v>1</v>
      </c>
      <c r="BK44" s="38">
        <f>IF((ዕቁብ!BL46/ቦኖ!$C$4&gt;0),1,0)</f>
        <v>1</v>
      </c>
      <c r="BL44" s="38">
        <f>IF((ዕቁብ!BM46/ቦኖ!$C$4&gt;0),1,0)</f>
        <v>1</v>
      </c>
      <c r="BM44" s="38">
        <f>IF((ዕቁብ!BN46/ቦኖ!$C$4&gt;0),1,0)</f>
        <v>1</v>
      </c>
      <c r="BN44" s="38">
        <f>IF((ዕቁብ!BO46/ቦኖ!$C$4&gt;0),1,0)</f>
        <v>1</v>
      </c>
      <c r="BO44" s="38">
        <f>IF((ዕቁብ!BP46/ቦኖ!$C$4&gt;0),1,0)</f>
        <v>1</v>
      </c>
      <c r="BP44" s="38">
        <f>IF((ዕቁብ!BQ46/ቦኖ!$C$4&gt;0),1,0)</f>
        <v>1</v>
      </c>
      <c r="BQ44" s="38">
        <f>IF((ዕቁብ!BR46/ቦኖ!$C$4&gt;0),1,0)</f>
        <v>1</v>
      </c>
      <c r="BR44" s="38">
        <f>IF((ዕቁብ!BS46/ቦኖ!$C$4&gt;0),1,0)</f>
        <v>1</v>
      </c>
      <c r="BS44" s="38">
        <f>IF((ዕቁብ!BT46/ቦኖ!$C$4&gt;0),1,0)</f>
        <v>1</v>
      </c>
      <c r="BT44" s="38">
        <f>IF((ዕቁብ!BU46/ቦኖ!$C$4&gt;0),1,0)</f>
        <v>1</v>
      </c>
      <c r="BU44" s="38">
        <f>IF((ዕቁብ!BV46/ቦኖ!$C$4&gt;0),1,0)</f>
        <v>1</v>
      </c>
      <c r="BV44" s="38">
        <f>IF((ዕቁብ!BW46/ቦኖ!$C$4&gt;0),1,0)</f>
        <v>1</v>
      </c>
      <c r="BW44" s="38">
        <f>IF((ዕቁብ!BX46/ቦኖ!$C$4&gt;0),1,0)</f>
        <v>1</v>
      </c>
      <c r="BX44" s="38">
        <f>IF((ዕቁብ!BY46/ቦኖ!$C$4&gt;0),1,0)</f>
        <v>1</v>
      </c>
      <c r="BY44" s="38">
        <f>IF((ዕቁብ!BZ46/ቦኖ!$C$4&gt;0),1,0)</f>
        <v>1</v>
      </c>
      <c r="BZ44" s="38">
        <f>IF((ዕቁብ!CA46/ቦኖ!$C$4&gt;0),1,0)</f>
        <v>1</v>
      </c>
      <c r="CA44" s="38">
        <f>IF((ዕቁብ!CB46/ቦኖ!$C$4&gt;0),1,0)</f>
        <v>1</v>
      </c>
      <c r="CB44" s="38">
        <f>IF((ዕቁብ!CC46/ቦኖ!$C$4&gt;0),1,0)</f>
        <v>1</v>
      </c>
      <c r="CC44" s="38">
        <f>IF((ዕቁብ!CD46/ቦኖ!$C$4&gt;0),1,0)</f>
        <v>1</v>
      </c>
      <c r="CD44" s="38">
        <f>IF((ዕቁብ!CE46/ቦኖ!$C$4&gt;0),1,0)</f>
        <v>1</v>
      </c>
      <c r="CE44" s="38">
        <f>IF((ዕቁብ!CF46/ቦኖ!$C$4&gt;0),1,0)</f>
        <v>1</v>
      </c>
      <c r="CF44" s="38">
        <f>IF((ዕቁብ!CG46/ቦኖ!$C$4&gt;0),1,0)</f>
        <v>1</v>
      </c>
      <c r="CG44" s="38">
        <f>IF((ዕቁብ!CH46/ቦኖ!$C$4&gt;0),1,0)</f>
        <v>0</v>
      </c>
      <c r="CH44" s="38">
        <f>IF((ዕቁብ!CI46/ቦኖ!$C$4&gt;0),1,0)</f>
        <v>1</v>
      </c>
      <c r="CI44" s="38">
        <f>IF((ዕቁብ!CJ46/ቦኖ!$C$4&gt;0),1,0)</f>
        <v>1</v>
      </c>
      <c r="CJ44" s="38">
        <f>IF((ዕቁብ!CK46/ቦኖ!$C$4&gt;0),1,0)</f>
        <v>1</v>
      </c>
      <c r="CK44" s="38">
        <f>IF((ዕቁብ!CL46/ቦኖ!$C$4&gt;0),1,0)</f>
        <v>0</v>
      </c>
      <c r="CL44" s="38">
        <f>IF((ዕቁብ!CM46/ቦኖ!$C$4&gt;0),1,0)</f>
        <v>1</v>
      </c>
      <c r="CM44" s="38">
        <f>IF((ዕቁብ!CN46/ቦኖ!$C$4&gt;0),1,0)</f>
        <v>1</v>
      </c>
      <c r="CN44" s="38">
        <f>IF((ዕቁብ!CO46/ቦኖ!$C$4&gt;0),1,0)</f>
        <v>1</v>
      </c>
      <c r="CO44" s="38">
        <f>IF((ዕቁብ!CP46/ቦኖ!$C$4&gt;0),1,0)</f>
        <v>1</v>
      </c>
      <c r="CP44" s="38">
        <f>IF((ዕቁብ!CQ46/ቦኖ!$C$4&gt;0),1,0)</f>
        <v>0</v>
      </c>
      <c r="CQ44" s="38">
        <f>IF((ዕቁብ!CR46/ቦኖ!$C$4&gt;0),1,0)</f>
        <v>1</v>
      </c>
      <c r="CR44" s="38">
        <f>IF((ዕቁብ!CS46/ቦኖ!$C$4&gt;0),1,0)</f>
        <v>0</v>
      </c>
      <c r="CS44" s="38">
        <f>IF((ዕቁብ!CT46/ቦኖ!$C$4&gt;0),1,0)</f>
        <v>1</v>
      </c>
      <c r="CT44" s="38">
        <f>IF((ዕቁብ!CU46/ቦኖ!$C$4&gt;0),1,0)</f>
        <v>0</v>
      </c>
      <c r="CU44" s="38">
        <f>IF((ዕቁብ!CV46/ቦኖ!$C$4&gt;0),1,0)</f>
        <v>1</v>
      </c>
      <c r="CV44" s="38">
        <f>IF((ዕቁብ!CW46/ቦኖ!$C$4&gt;0),1,0)</f>
        <v>1</v>
      </c>
      <c r="CW44" s="38">
        <f>IF((ዕቁብ!CX46/ቦኖ!$C$4&gt;0),1,0)</f>
        <v>1</v>
      </c>
      <c r="CX44" s="38">
        <f>IF((ዕቁብ!CY46/ቦኖ!$C$4&gt;0),1,0)</f>
        <v>1</v>
      </c>
      <c r="CY44" s="38">
        <f>IF((ዕቁብ!CZ46/ቦኖ!$C$4&gt;0),1,0)</f>
        <v>1</v>
      </c>
      <c r="CZ44" s="38">
        <f>IF((ዕቁብ!DA46/ቦኖ!$C$4&gt;0),1,0)</f>
        <v>1</v>
      </c>
      <c r="DA44" s="38">
        <f>IF((ዕቁብ!DB46/ቦኖ!$C$4&gt;0),1,0)</f>
        <v>1</v>
      </c>
      <c r="DB44" s="38">
        <f>IF((ዕቁብ!DC46/ቦኖ!$C$4&gt;0),1,0)</f>
        <v>0</v>
      </c>
      <c r="DC44" s="38">
        <f>IF((ዕቁብ!DD46/ቦኖ!$C$4&gt;0),1,0)</f>
        <v>1</v>
      </c>
      <c r="DD44" s="38">
        <f>IF((ዕቁብ!DE46/ቦኖ!$C$4&gt;0),1,0)</f>
        <v>1</v>
      </c>
      <c r="DE44" s="38">
        <f>IF((ዕቁብ!DF46/ቦኖ!$C$4&gt;0),1,0)</f>
        <v>1</v>
      </c>
      <c r="DF44" s="38">
        <f>IF((ዕቁብ!DG46/ቦኖ!$C$4&gt;0),1,0)</f>
        <v>1</v>
      </c>
      <c r="DG44" s="38">
        <f>IF((ዕቁብ!DH46/ቦኖ!$C$4&gt;0),1,0)</f>
        <v>1</v>
      </c>
      <c r="DH44" s="38">
        <f>IF((ዕቁብ!DI46/ቦኖ!$C$4&gt;0),1,0)</f>
        <v>0</v>
      </c>
      <c r="DI44" s="38">
        <f>IF((ዕቁብ!DJ46/ቦኖ!$C$4&gt;0),1,0)</f>
        <v>0</v>
      </c>
      <c r="DJ44" s="38">
        <f>IF((ዕቁብ!DK46/ቦኖ!$C$4&gt;0),1,0)</f>
        <v>0</v>
      </c>
      <c r="DK44" s="38">
        <f>IF((ዕቁብ!DL46/ቦኖ!$C$4&gt;0),1,0)</f>
        <v>0</v>
      </c>
      <c r="DL44" s="38">
        <f>IF((ዕቁብ!DM46/ቦኖ!$C$4&gt;0),1,0)</f>
        <v>0</v>
      </c>
      <c r="DM44" s="38">
        <f>IF((ዕቁብ!DN46/ቦኖ!$C$4&gt;0),1,0)</f>
        <v>0</v>
      </c>
      <c r="DN44" s="38">
        <f>IF((ዕቁብ!DO46/ቦኖ!$C$4&gt;0),1,0)</f>
        <v>0</v>
      </c>
      <c r="DO44" s="38">
        <f>IF((ዕቁብ!DP46/ቦኖ!$C$4&gt;0),1,0)</f>
        <v>0</v>
      </c>
      <c r="DP44" s="38">
        <f>IF((ዕቁብ!DQ46/ቦኖ!$C$4&gt;0),1,0)</f>
        <v>0</v>
      </c>
      <c r="DQ44" s="38">
        <f>IF((ዕቁብ!DR46/ቦኖ!$C$4&gt;0),1,0)</f>
        <v>0</v>
      </c>
    </row>
    <row r="45" spans="1:121" ht="15.75" customHeight="1" x14ac:dyDescent="0.3">
      <c r="A45" s="33">
        <f>ዕቁብ!A47</f>
        <v>41</v>
      </c>
      <c r="B45" s="33" t="str">
        <f>ዕቁብ!B47</f>
        <v>ኡሬሳ ኡርሳ</v>
      </c>
      <c r="C45" s="37">
        <f>ዕቁብ!C47</f>
        <v>21000</v>
      </c>
      <c r="D45" s="38">
        <f>IF((ዕቁብ!E47/ቦኖ!$C$4&gt;0),1,0)</f>
        <v>1</v>
      </c>
      <c r="E45" s="38">
        <f>IF((ዕቁብ!F47/ቦኖ!$C$4&gt;0),1,0)</f>
        <v>1</v>
      </c>
      <c r="F45" s="38">
        <f>IF((ዕቁብ!G47/ቦኖ!$C$4&gt;0),1,0)</f>
        <v>1</v>
      </c>
      <c r="G45" s="38">
        <f>IF((ዕቁብ!H47/ቦኖ!$C$4&gt;0),1,0)</f>
        <v>1</v>
      </c>
      <c r="H45" s="38">
        <f>IF((ዕቁብ!I47/ቦኖ!$C$4&gt;0),1,0)</f>
        <v>1</v>
      </c>
      <c r="I45" s="38">
        <f>IF((ዕቁብ!J47/ቦኖ!$C$4&gt;0),1,0)</f>
        <v>1</v>
      </c>
      <c r="J45" s="38">
        <f>IF((ዕቁብ!K47/ቦኖ!$C$4&gt;0),1,0)</f>
        <v>1</v>
      </c>
      <c r="K45" s="38">
        <f>IF((ዕቁብ!L47/ቦኖ!$C$4&gt;0),1,0)</f>
        <v>1</v>
      </c>
      <c r="L45" s="38">
        <f>IF((ዕቁብ!M47/ቦኖ!$C$4&gt;0),1,0)</f>
        <v>1</v>
      </c>
      <c r="M45" s="38">
        <f>IF((ዕቁብ!N47/ቦኖ!$C$4&gt;0),1,0)</f>
        <v>1</v>
      </c>
      <c r="N45" s="38">
        <f>IF((ዕቁብ!O47/ቦኖ!$C$4&gt;0),1,0)</f>
        <v>1</v>
      </c>
      <c r="O45" s="38">
        <f>IF((ዕቁብ!P47/ቦኖ!$C$4&gt;0),1,0)</f>
        <v>1</v>
      </c>
      <c r="P45" s="38">
        <f>IF((ዕቁብ!Q47/ቦኖ!$C$4&gt;0),1,0)</f>
        <v>1</v>
      </c>
      <c r="Q45" s="38">
        <f>IF((ዕቁብ!R47/ቦኖ!$C$4&gt;0),1,0)</f>
        <v>1</v>
      </c>
      <c r="R45" s="38">
        <f>IF((ዕቁብ!S47/ቦኖ!$C$4&gt;0),1,0)</f>
        <v>1</v>
      </c>
      <c r="S45" s="38">
        <f>IF((ዕቁብ!T47/ቦኖ!$C$4&gt;0),1,0)</f>
        <v>1</v>
      </c>
      <c r="T45" s="38">
        <f>IF((ዕቁብ!U47/ቦኖ!$C$4&gt;0),1,0)</f>
        <v>1</v>
      </c>
      <c r="U45" s="38">
        <f>IF((ዕቁብ!V47/ቦኖ!$C$4&gt;0),1,0)</f>
        <v>1</v>
      </c>
      <c r="V45" s="38">
        <f>IF((ዕቁብ!W47/ቦኖ!$C$4&gt;0),1,0)</f>
        <v>1</v>
      </c>
      <c r="W45" s="38">
        <f>IF((ዕቁብ!X47/ቦኖ!$C$4&gt;0),1,0)</f>
        <v>1</v>
      </c>
      <c r="X45" s="38">
        <f>IF((ዕቁብ!Y47/ቦኖ!$C$4&gt;0),1,0)</f>
        <v>1</v>
      </c>
      <c r="Y45" s="38">
        <f>IF((ዕቁብ!Z47/ቦኖ!$C$4&gt;0),1,0)</f>
        <v>1</v>
      </c>
      <c r="Z45" s="38">
        <f>IF((ዕቁብ!AA47/ቦኖ!$C$4&gt;0),1,0)</f>
        <v>1</v>
      </c>
      <c r="AA45" s="38">
        <f>IF((ዕቁብ!AB47/ቦኖ!$C$4&gt;0),1,0)</f>
        <v>1</v>
      </c>
      <c r="AB45" s="38">
        <f>IF((ዕቁብ!AC47/ቦኖ!$C$4&gt;0),1,0)</f>
        <v>1</v>
      </c>
      <c r="AC45" s="38">
        <f>IF((ዕቁብ!AD47/ቦኖ!$C$4&gt;0),1,0)</f>
        <v>1</v>
      </c>
      <c r="AD45" s="38">
        <f>IF((ዕቁብ!AE47/ቦኖ!$C$4&gt;0),1,0)</f>
        <v>1</v>
      </c>
      <c r="AE45" s="38">
        <f>IF((ዕቁብ!AF47/ቦኖ!$C$4&gt;0),1,0)</f>
        <v>0</v>
      </c>
      <c r="AF45" s="38">
        <f>IF((ዕቁብ!AG47/ቦኖ!$C$4&gt;0),1,0)</f>
        <v>1</v>
      </c>
      <c r="AG45" s="38">
        <f>IF((ዕቁብ!AH47/ቦኖ!$C$4&gt;0),1,0)</f>
        <v>1</v>
      </c>
      <c r="AH45" s="38">
        <f>IF((ዕቁብ!AI47/ቦኖ!$C$4&gt;0),1,0)</f>
        <v>1</v>
      </c>
      <c r="AI45" s="38">
        <f>IF((ዕቁብ!AJ47/ቦኖ!$C$4&gt;0),1,0)</f>
        <v>1</v>
      </c>
      <c r="AJ45" s="38">
        <f>IF((ዕቁብ!AK47/ቦኖ!$C$4&gt;0),1,0)</f>
        <v>1</v>
      </c>
      <c r="AK45" s="38">
        <f>IF((ዕቁብ!AL47/ቦኖ!$C$4&gt;0),1,0)</f>
        <v>1</v>
      </c>
      <c r="AL45" s="38">
        <f>IF((ዕቁብ!AM47/ቦኖ!$C$4&gt;0),1,0)</f>
        <v>0</v>
      </c>
      <c r="AM45" s="38">
        <f>IF((ዕቁብ!AN47/ቦኖ!$C$4&gt;0),1,0)</f>
        <v>1</v>
      </c>
      <c r="AN45" s="38">
        <f>IF((ዕቁብ!AO47/ቦኖ!$C$4&gt;0),1,0)</f>
        <v>1</v>
      </c>
      <c r="AO45" s="38">
        <f>IF((ዕቁብ!AP47/ቦኖ!$C$4&gt;0),1,0)</f>
        <v>1</v>
      </c>
      <c r="AP45" s="38">
        <f>IF((ዕቁብ!AQ47/ቦኖ!$C$4&gt;0),1,0)</f>
        <v>1</v>
      </c>
      <c r="AQ45" s="38">
        <f>IF((ዕቁብ!AR47/ቦኖ!$C$4&gt;0),1,0)</f>
        <v>1</v>
      </c>
      <c r="AR45" s="38">
        <f>IF((ዕቁብ!AS47/ቦኖ!$C$4&gt;0),1,0)</f>
        <v>0</v>
      </c>
      <c r="AS45" s="38">
        <f>IF((ዕቁብ!AT47/ቦኖ!$C$4&gt;0),1,0)</f>
        <v>1</v>
      </c>
      <c r="AT45" s="38">
        <f>IF((ዕቁብ!AU47/ቦኖ!$C$4&gt;0),1,0)</f>
        <v>0</v>
      </c>
      <c r="AU45" s="38">
        <f>IF((ዕቁብ!AV47/ቦኖ!$C$4&gt;0),1,0)</f>
        <v>1</v>
      </c>
      <c r="AV45" s="38">
        <f>IF((ዕቁብ!AW47/ቦኖ!$C$4&gt;0),1,0)</f>
        <v>1</v>
      </c>
      <c r="AW45" s="38">
        <f>IF((ዕቁብ!AX47/ቦኖ!$C$4&gt;0),1,0)</f>
        <v>1</v>
      </c>
      <c r="AX45" s="38">
        <f>IF((ዕቁብ!AY47/ቦኖ!$C$4&gt;0),1,0)</f>
        <v>0</v>
      </c>
      <c r="AY45" s="38">
        <f>IF((ዕቁብ!AZ47/ቦኖ!$C$4&gt;0),1,0)</f>
        <v>1</v>
      </c>
      <c r="AZ45" s="38">
        <f>IF((ዕቁብ!BA47/ቦኖ!$C$4&gt;0),1,0)</f>
        <v>0</v>
      </c>
      <c r="BA45" s="38">
        <f>IF((ዕቁብ!BB47/ቦኖ!$C$4&gt;0),1,0)</f>
        <v>1</v>
      </c>
      <c r="BB45" s="38">
        <f>IF((ዕቁብ!BC47/ቦኖ!$C$4&gt;0),1,0)</f>
        <v>1</v>
      </c>
      <c r="BC45" s="38">
        <f>IF((ዕቁብ!BD47/ቦኖ!$C$4&gt;0),1,0)</f>
        <v>0</v>
      </c>
      <c r="BD45" s="38">
        <f>IF((ዕቁብ!BE47/ቦኖ!$C$4&gt;0),1,0)</f>
        <v>1</v>
      </c>
      <c r="BE45" s="38">
        <f>IF((ዕቁብ!BF47/ቦኖ!$C$4&gt;0),1,0)</f>
        <v>0</v>
      </c>
      <c r="BF45" s="38">
        <f>IF((ዕቁብ!BG47/ቦኖ!$C$4&gt;0),1,0)</f>
        <v>1</v>
      </c>
      <c r="BG45" s="38">
        <f>IF((ዕቁብ!BH47/ቦኖ!$C$4&gt;0),1,0)</f>
        <v>1</v>
      </c>
      <c r="BH45" s="38">
        <f>IF((ዕቁብ!BI47/ቦኖ!$C$4&gt;0),1,0)</f>
        <v>1</v>
      </c>
      <c r="BI45" s="38">
        <f>IF((ዕቁብ!BJ47/ቦኖ!$C$4&gt;0),1,0)</f>
        <v>1</v>
      </c>
      <c r="BJ45" s="38">
        <f>IF((ዕቁብ!BK47/ቦኖ!$C$4&gt;0),1,0)</f>
        <v>1</v>
      </c>
      <c r="BK45" s="38">
        <f>IF((ዕቁብ!BL47/ቦኖ!$C$4&gt;0),1,0)</f>
        <v>1</v>
      </c>
      <c r="BL45" s="38">
        <f>IF((ዕቁብ!BM47/ቦኖ!$C$4&gt;0),1,0)</f>
        <v>1</v>
      </c>
      <c r="BM45" s="38">
        <f>IF((ዕቁብ!BN47/ቦኖ!$C$4&gt;0),1,0)</f>
        <v>0</v>
      </c>
      <c r="BN45" s="38">
        <f>IF((ዕቁብ!BO47/ቦኖ!$C$4&gt;0),1,0)</f>
        <v>1</v>
      </c>
      <c r="BO45" s="38">
        <f>IF((ዕቁብ!BP47/ቦኖ!$C$4&gt;0),1,0)</f>
        <v>1</v>
      </c>
      <c r="BP45" s="38">
        <f>IF((ዕቁብ!BQ47/ቦኖ!$C$4&gt;0),1,0)</f>
        <v>1</v>
      </c>
      <c r="BQ45" s="38">
        <f>IF((ዕቁብ!BR47/ቦኖ!$C$4&gt;0),1,0)</f>
        <v>0</v>
      </c>
      <c r="BR45" s="38">
        <f>IF((ዕቁብ!BS47/ቦኖ!$C$4&gt;0),1,0)</f>
        <v>1</v>
      </c>
      <c r="BS45" s="38">
        <f>IF((ዕቁብ!BT47/ቦኖ!$C$4&gt;0),1,0)</f>
        <v>1</v>
      </c>
      <c r="BT45" s="38">
        <f>IF((ዕቁብ!BU47/ቦኖ!$C$4&gt;0),1,0)</f>
        <v>0</v>
      </c>
      <c r="BU45" s="38">
        <f>IF((ዕቁብ!BV47/ቦኖ!$C$4&gt;0),1,0)</f>
        <v>0</v>
      </c>
      <c r="BV45" s="38">
        <f>IF((ዕቁብ!BW47/ቦኖ!$C$4&gt;0),1,0)</f>
        <v>1</v>
      </c>
      <c r="BW45" s="38">
        <f>IF((ዕቁብ!BX47/ቦኖ!$C$4&gt;0),1,0)</f>
        <v>0</v>
      </c>
      <c r="BX45" s="38">
        <f>IF((ዕቁብ!BY47/ቦኖ!$C$4&gt;0),1,0)</f>
        <v>1</v>
      </c>
      <c r="BY45" s="38">
        <f>IF((ዕቁብ!BZ47/ቦኖ!$C$4&gt;0),1,0)</f>
        <v>0</v>
      </c>
      <c r="BZ45" s="38">
        <f>IF((ዕቁብ!CA47/ቦኖ!$C$4&gt;0),1,0)</f>
        <v>0</v>
      </c>
      <c r="CA45" s="38">
        <f>IF((ዕቁብ!CB47/ቦኖ!$C$4&gt;0),1,0)</f>
        <v>1</v>
      </c>
      <c r="CB45" s="38">
        <f>IF((ዕቁብ!CC47/ቦኖ!$C$4&gt;0),1,0)</f>
        <v>1</v>
      </c>
      <c r="CC45" s="38">
        <f>IF((ዕቁብ!CD47/ቦኖ!$C$4&gt;0),1,0)</f>
        <v>1</v>
      </c>
      <c r="CD45" s="38">
        <f>IF((ዕቁብ!CE47/ቦኖ!$C$4&gt;0),1,0)</f>
        <v>0</v>
      </c>
      <c r="CE45" s="38">
        <f>IF((ዕቁብ!CF47/ቦኖ!$C$4&gt;0),1,0)</f>
        <v>0</v>
      </c>
      <c r="CF45" s="38">
        <f>IF((ዕቁብ!CG47/ቦኖ!$C$4&gt;0),1,0)</f>
        <v>1</v>
      </c>
      <c r="CG45" s="38">
        <f>IF((ዕቁብ!CH47/ቦኖ!$C$4&gt;0),1,0)</f>
        <v>1</v>
      </c>
      <c r="CH45" s="38">
        <f>IF((ዕቁብ!CI47/ቦኖ!$C$4&gt;0),1,0)</f>
        <v>1</v>
      </c>
      <c r="CI45" s="38">
        <f>IF((ዕቁብ!CJ47/ቦኖ!$C$4&gt;0),1,0)</f>
        <v>1</v>
      </c>
      <c r="CJ45" s="38">
        <f>IF((ዕቁብ!CK47/ቦኖ!$C$4&gt;0),1,0)</f>
        <v>0</v>
      </c>
      <c r="CK45" s="38">
        <f>IF((ዕቁብ!CL47/ቦኖ!$C$4&gt;0),1,0)</f>
        <v>0</v>
      </c>
      <c r="CL45" s="38">
        <f>IF((ዕቁብ!CM47/ቦኖ!$C$4&gt;0),1,0)</f>
        <v>1</v>
      </c>
      <c r="CM45" s="38">
        <f>IF((ዕቁብ!CN47/ቦኖ!$C$4&gt;0),1,0)</f>
        <v>0</v>
      </c>
      <c r="CN45" s="38">
        <f>IF((ዕቁብ!CO47/ቦኖ!$C$4&gt;0),1,0)</f>
        <v>0</v>
      </c>
      <c r="CO45" s="38">
        <f>IF((ዕቁብ!CP47/ቦኖ!$C$4&gt;0),1,0)</f>
        <v>1</v>
      </c>
      <c r="CP45" s="38">
        <f>IF((ዕቁብ!CQ47/ቦኖ!$C$4&gt;0),1,0)</f>
        <v>0</v>
      </c>
      <c r="CQ45" s="38">
        <f>IF((ዕቁብ!CR47/ቦኖ!$C$4&gt;0),1,0)</f>
        <v>1</v>
      </c>
      <c r="CR45" s="38">
        <f>IF((ዕቁብ!CS47/ቦኖ!$C$4&gt;0),1,0)</f>
        <v>1</v>
      </c>
      <c r="CS45" s="38">
        <f>IF((ዕቁብ!CT47/ቦኖ!$C$4&gt;0),1,0)</f>
        <v>0</v>
      </c>
      <c r="CT45" s="38">
        <f>IF((ዕቁብ!CU47/ቦኖ!$C$4&gt;0),1,0)</f>
        <v>1</v>
      </c>
      <c r="CU45" s="38">
        <f>IF((ዕቁብ!CV47/ቦኖ!$C$4&gt;0),1,0)</f>
        <v>0</v>
      </c>
      <c r="CV45" s="38">
        <f>IF((ዕቁብ!CW47/ቦኖ!$C$4&gt;0),1,0)</f>
        <v>1</v>
      </c>
      <c r="CW45" s="38">
        <f>IF((ዕቁብ!CX47/ቦኖ!$C$4&gt;0),1,0)</f>
        <v>0</v>
      </c>
      <c r="CX45" s="38">
        <f>IF((ዕቁብ!CY47/ቦኖ!$C$4&gt;0),1,0)</f>
        <v>1</v>
      </c>
      <c r="CY45" s="38">
        <f>IF((ዕቁብ!CZ47/ቦኖ!$C$4&gt;0),1,0)</f>
        <v>0</v>
      </c>
      <c r="CZ45" s="38">
        <f>IF((ዕቁብ!DA47/ቦኖ!$C$4&gt;0),1,0)</f>
        <v>1</v>
      </c>
      <c r="DA45" s="38">
        <f>IF((ዕቁብ!DB47/ቦኖ!$C$4&gt;0),1,0)</f>
        <v>1</v>
      </c>
      <c r="DB45" s="38">
        <f>IF((ዕቁብ!DC47/ቦኖ!$C$4&gt;0),1,0)</f>
        <v>0</v>
      </c>
      <c r="DC45" s="38">
        <f>IF((ዕቁብ!DD47/ቦኖ!$C$4&gt;0),1,0)</f>
        <v>1</v>
      </c>
      <c r="DD45" s="38">
        <f>IF((ዕቁብ!DE47/ቦኖ!$C$4&gt;0),1,0)</f>
        <v>0</v>
      </c>
      <c r="DE45" s="38">
        <f>IF((ዕቁብ!DF47/ቦኖ!$C$4&gt;0),1,0)</f>
        <v>1</v>
      </c>
      <c r="DF45" s="38">
        <f>IF((ዕቁብ!DG47/ቦኖ!$C$4&gt;0),1,0)</f>
        <v>0</v>
      </c>
      <c r="DG45" s="38">
        <f>IF((ዕቁብ!DH47/ቦኖ!$C$4&gt;0),1,0)</f>
        <v>1</v>
      </c>
      <c r="DH45" s="38">
        <f>IF((ዕቁብ!DI47/ቦኖ!$C$4&gt;0),1,0)</f>
        <v>0</v>
      </c>
      <c r="DI45" s="38">
        <f>IF((ዕቁብ!DJ47/ቦኖ!$C$4&gt;0),1,0)</f>
        <v>0</v>
      </c>
      <c r="DJ45" s="38">
        <f>IF((ዕቁብ!DK47/ቦኖ!$C$4&gt;0),1,0)</f>
        <v>0</v>
      </c>
      <c r="DK45" s="38">
        <f>IF((ዕቁብ!DL47/ቦኖ!$C$4&gt;0),1,0)</f>
        <v>0</v>
      </c>
      <c r="DL45" s="38">
        <f>IF((ዕቁብ!DM47/ቦኖ!$C$4&gt;0),1,0)</f>
        <v>0</v>
      </c>
      <c r="DM45" s="38">
        <f>IF((ዕቁብ!DN47/ቦኖ!$C$4&gt;0),1,0)</f>
        <v>0</v>
      </c>
      <c r="DN45" s="38">
        <f>IF((ዕቁብ!DO47/ቦኖ!$C$4&gt;0),1,0)</f>
        <v>0</v>
      </c>
      <c r="DO45" s="38">
        <f>IF((ዕቁብ!DP47/ቦኖ!$C$4&gt;0),1,0)</f>
        <v>0</v>
      </c>
      <c r="DP45" s="38">
        <f>IF((ዕቁብ!DQ47/ቦኖ!$C$4&gt;0),1,0)</f>
        <v>0</v>
      </c>
      <c r="DQ45" s="38">
        <f>IF((ዕቁብ!DR47/ቦኖ!$C$4&gt;0),1,0)</f>
        <v>0</v>
      </c>
    </row>
    <row r="46" spans="1:121" ht="15.75" customHeight="1" x14ac:dyDescent="0.3">
      <c r="A46" s="33">
        <f>ዕቁብ!A48</f>
        <v>42</v>
      </c>
      <c r="B46" s="33" t="str">
        <f>ዕቁብ!B48</f>
        <v>አሸናፊ ጨመረ</v>
      </c>
      <c r="C46" s="37">
        <f>ዕቁብ!C48</f>
        <v>21000</v>
      </c>
      <c r="D46" s="38">
        <f>IF((ዕቁብ!E48/ቦኖ!$C$4&gt;0),1,0)</f>
        <v>1</v>
      </c>
      <c r="E46" s="38">
        <f>IF((ዕቁብ!F48/ቦኖ!$C$4&gt;0),1,0)</f>
        <v>1</v>
      </c>
      <c r="F46" s="38">
        <f>IF((ዕቁብ!G48/ቦኖ!$C$4&gt;0),1,0)</f>
        <v>1</v>
      </c>
      <c r="G46" s="38">
        <f>IF((ዕቁብ!H48/ቦኖ!$C$4&gt;0),1,0)</f>
        <v>1</v>
      </c>
      <c r="H46" s="38">
        <f>IF((ዕቁብ!I48/ቦኖ!$C$4&gt;0),1,0)</f>
        <v>1</v>
      </c>
      <c r="I46" s="38">
        <f>IF((ዕቁብ!J48/ቦኖ!$C$4&gt;0),1,0)</f>
        <v>1</v>
      </c>
      <c r="J46" s="38">
        <f>IF((ዕቁብ!K48/ቦኖ!$C$4&gt;0),1,0)</f>
        <v>1</v>
      </c>
      <c r="K46" s="38">
        <f>IF((ዕቁብ!L48/ቦኖ!$C$4&gt;0),1,0)</f>
        <v>1</v>
      </c>
      <c r="L46" s="38">
        <f>IF((ዕቁብ!M48/ቦኖ!$C$4&gt;0),1,0)</f>
        <v>1</v>
      </c>
      <c r="M46" s="38">
        <f>IF((ዕቁብ!N48/ቦኖ!$C$4&gt;0),1,0)</f>
        <v>1</v>
      </c>
      <c r="N46" s="38">
        <f>IF((ዕቁብ!O48/ቦኖ!$C$4&gt;0),1,0)</f>
        <v>1</v>
      </c>
      <c r="O46" s="38">
        <f>IF((ዕቁብ!P48/ቦኖ!$C$4&gt;0),1,0)</f>
        <v>1</v>
      </c>
      <c r="P46" s="38">
        <f>IF((ዕቁብ!Q48/ቦኖ!$C$4&gt;0),1,0)</f>
        <v>1</v>
      </c>
      <c r="Q46" s="38">
        <f>IF((ዕቁብ!R48/ቦኖ!$C$4&gt;0),1,0)</f>
        <v>1</v>
      </c>
      <c r="R46" s="38">
        <f>IF((ዕቁብ!S48/ቦኖ!$C$4&gt;0),1,0)</f>
        <v>1</v>
      </c>
      <c r="S46" s="38">
        <f>IF((ዕቁብ!T48/ቦኖ!$C$4&gt;0),1,0)</f>
        <v>1</v>
      </c>
      <c r="T46" s="38">
        <f>IF((ዕቁብ!U48/ቦኖ!$C$4&gt;0),1,0)</f>
        <v>1</v>
      </c>
      <c r="U46" s="38">
        <f>IF((ዕቁብ!V48/ቦኖ!$C$4&gt;0),1,0)</f>
        <v>1</v>
      </c>
      <c r="V46" s="38">
        <f>IF((ዕቁብ!W48/ቦኖ!$C$4&gt;0),1,0)</f>
        <v>1</v>
      </c>
      <c r="W46" s="38">
        <f>IF((ዕቁብ!X48/ቦኖ!$C$4&gt;0),1,0)</f>
        <v>1</v>
      </c>
      <c r="X46" s="38">
        <f>IF((ዕቁብ!Y48/ቦኖ!$C$4&gt;0),1,0)</f>
        <v>1</v>
      </c>
      <c r="Y46" s="38">
        <f>IF((ዕቁብ!Z48/ቦኖ!$C$4&gt;0),1,0)</f>
        <v>1</v>
      </c>
      <c r="Z46" s="38">
        <f>IF((ዕቁብ!AA48/ቦኖ!$C$4&gt;0),1,0)</f>
        <v>1</v>
      </c>
      <c r="AA46" s="38">
        <f>IF((ዕቁብ!AB48/ቦኖ!$C$4&gt;0),1,0)</f>
        <v>1</v>
      </c>
      <c r="AB46" s="38">
        <f>IF((ዕቁብ!AC48/ቦኖ!$C$4&gt;0),1,0)</f>
        <v>1</v>
      </c>
      <c r="AC46" s="38">
        <f>IF((ዕቁብ!AD48/ቦኖ!$C$4&gt;0),1,0)</f>
        <v>1</v>
      </c>
      <c r="AD46" s="38">
        <f>IF((ዕቁብ!AE48/ቦኖ!$C$4&gt;0),1,0)</f>
        <v>1</v>
      </c>
      <c r="AE46" s="38">
        <f>IF((ዕቁብ!AF48/ቦኖ!$C$4&gt;0),1,0)</f>
        <v>1</v>
      </c>
      <c r="AF46" s="38">
        <f>IF((ዕቁብ!AG48/ቦኖ!$C$4&gt;0),1,0)</f>
        <v>1</v>
      </c>
      <c r="AG46" s="38">
        <f>IF((ዕቁብ!AH48/ቦኖ!$C$4&gt;0),1,0)</f>
        <v>1</v>
      </c>
      <c r="AH46" s="38">
        <f>IF((ዕቁብ!AI48/ቦኖ!$C$4&gt;0),1,0)</f>
        <v>1</v>
      </c>
      <c r="AI46" s="38">
        <f>IF((ዕቁብ!AJ48/ቦኖ!$C$4&gt;0),1,0)</f>
        <v>1</v>
      </c>
      <c r="AJ46" s="38">
        <f>IF((ዕቁብ!AK48/ቦኖ!$C$4&gt;0),1,0)</f>
        <v>1</v>
      </c>
      <c r="AK46" s="38">
        <f>IF((ዕቁብ!AL48/ቦኖ!$C$4&gt;0),1,0)</f>
        <v>1</v>
      </c>
      <c r="AL46" s="38">
        <f>IF((ዕቁብ!AM48/ቦኖ!$C$4&gt;0),1,0)</f>
        <v>1</v>
      </c>
      <c r="AM46" s="38">
        <f>IF((ዕቁብ!AN48/ቦኖ!$C$4&gt;0),1,0)</f>
        <v>1</v>
      </c>
      <c r="AN46" s="38">
        <f>IF((ዕቁብ!AO48/ቦኖ!$C$4&gt;0),1,0)</f>
        <v>1</v>
      </c>
      <c r="AO46" s="38">
        <f>IF((ዕቁብ!AP48/ቦኖ!$C$4&gt;0),1,0)</f>
        <v>1</v>
      </c>
      <c r="AP46" s="38">
        <f>IF((ዕቁብ!AQ48/ቦኖ!$C$4&gt;0),1,0)</f>
        <v>1</v>
      </c>
      <c r="AQ46" s="38">
        <f>IF((ዕቁብ!AR48/ቦኖ!$C$4&gt;0),1,0)</f>
        <v>1</v>
      </c>
      <c r="AR46" s="38">
        <f>IF((ዕቁብ!AS48/ቦኖ!$C$4&gt;0),1,0)</f>
        <v>1</v>
      </c>
      <c r="AS46" s="38">
        <f>IF((ዕቁብ!AT48/ቦኖ!$C$4&gt;0),1,0)</f>
        <v>1</v>
      </c>
      <c r="AT46" s="38">
        <f>IF((ዕቁብ!AU48/ቦኖ!$C$4&gt;0),1,0)</f>
        <v>1</v>
      </c>
      <c r="AU46" s="38">
        <f>IF((ዕቁብ!AV48/ቦኖ!$C$4&gt;0),1,0)</f>
        <v>1</v>
      </c>
      <c r="AV46" s="38">
        <f>IF((ዕቁብ!AW48/ቦኖ!$C$4&gt;0),1,0)</f>
        <v>1</v>
      </c>
      <c r="AW46" s="38">
        <f>IF((ዕቁብ!AX48/ቦኖ!$C$4&gt;0),1,0)</f>
        <v>1</v>
      </c>
      <c r="AX46" s="38">
        <f>IF((ዕቁብ!AY48/ቦኖ!$C$4&gt;0),1,0)</f>
        <v>1</v>
      </c>
      <c r="AY46" s="38">
        <f>IF((ዕቁብ!AZ48/ቦኖ!$C$4&gt;0),1,0)</f>
        <v>1</v>
      </c>
      <c r="AZ46" s="38">
        <f>IF((ዕቁብ!BA48/ቦኖ!$C$4&gt;0),1,0)</f>
        <v>1</v>
      </c>
      <c r="BA46" s="38">
        <f>IF((ዕቁብ!BB48/ቦኖ!$C$4&gt;0),1,0)</f>
        <v>1</v>
      </c>
      <c r="BB46" s="38">
        <f>IF((ዕቁብ!BC48/ቦኖ!$C$4&gt;0),1,0)</f>
        <v>1</v>
      </c>
      <c r="BC46" s="38">
        <f>IF((ዕቁብ!BD48/ቦኖ!$C$4&gt;0),1,0)</f>
        <v>1</v>
      </c>
      <c r="BD46" s="38">
        <f>IF((ዕቁብ!BE48/ቦኖ!$C$4&gt;0),1,0)</f>
        <v>1</v>
      </c>
      <c r="BE46" s="38">
        <f>IF((ዕቁብ!BF48/ቦኖ!$C$4&gt;0),1,0)</f>
        <v>1</v>
      </c>
      <c r="BF46" s="38">
        <f>IF((ዕቁብ!BG48/ቦኖ!$C$4&gt;0),1,0)</f>
        <v>1</v>
      </c>
      <c r="BG46" s="38">
        <f>IF((ዕቁብ!BH48/ቦኖ!$C$4&gt;0),1,0)</f>
        <v>1</v>
      </c>
      <c r="BH46" s="38">
        <f>IF((ዕቁብ!BI48/ቦኖ!$C$4&gt;0),1,0)</f>
        <v>1</v>
      </c>
      <c r="BI46" s="38">
        <f>IF((ዕቁብ!BJ48/ቦኖ!$C$4&gt;0),1,0)</f>
        <v>1</v>
      </c>
      <c r="BJ46" s="38">
        <f>IF((ዕቁብ!BK48/ቦኖ!$C$4&gt;0),1,0)</f>
        <v>1</v>
      </c>
      <c r="BK46" s="38">
        <f>IF((ዕቁብ!BL48/ቦኖ!$C$4&gt;0),1,0)</f>
        <v>1</v>
      </c>
      <c r="BL46" s="38">
        <f>IF((ዕቁብ!BM48/ቦኖ!$C$4&gt;0),1,0)</f>
        <v>1</v>
      </c>
      <c r="BM46" s="38">
        <f>IF((ዕቁብ!BN48/ቦኖ!$C$4&gt;0),1,0)</f>
        <v>1</v>
      </c>
      <c r="BN46" s="38">
        <f>IF((ዕቁብ!BO48/ቦኖ!$C$4&gt;0),1,0)</f>
        <v>1</v>
      </c>
      <c r="BO46" s="38">
        <f>IF((ዕቁብ!BP48/ቦኖ!$C$4&gt;0),1,0)</f>
        <v>1</v>
      </c>
      <c r="BP46" s="38">
        <f>IF((ዕቁብ!BQ48/ቦኖ!$C$4&gt;0),1,0)</f>
        <v>1</v>
      </c>
      <c r="BQ46" s="38">
        <f>IF((ዕቁብ!BR48/ቦኖ!$C$4&gt;0),1,0)</f>
        <v>1</v>
      </c>
      <c r="BR46" s="38">
        <f>IF((ዕቁብ!BS48/ቦኖ!$C$4&gt;0),1,0)</f>
        <v>1</v>
      </c>
      <c r="BS46" s="38">
        <f>IF((ዕቁብ!BT48/ቦኖ!$C$4&gt;0),1,0)</f>
        <v>1</v>
      </c>
      <c r="BT46" s="38">
        <f>IF((ዕቁብ!BU48/ቦኖ!$C$4&gt;0),1,0)</f>
        <v>1</v>
      </c>
      <c r="BU46" s="38">
        <f>IF((ዕቁብ!BV48/ቦኖ!$C$4&gt;0),1,0)</f>
        <v>1</v>
      </c>
      <c r="BV46" s="38">
        <f>IF((ዕቁብ!BW48/ቦኖ!$C$4&gt;0),1,0)</f>
        <v>1</v>
      </c>
      <c r="BW46" s="38">
        <f>IF((ዕቁብ!BX48/ቦኖ!$C$4&gt;0),1,0)</f>
        <v>1</v>
      </c>
      <c r="BX46" s="38">
        <f>IF((ዕቁብ!BY48/ቦኖ!$C$4&gt;0),1,0)</f>
        <v>0</v>
      </c>
      <c r="BY46" s="38">
        <f>IF((ዕቁብ!BZ48/ቦኖ!$C$4&gt;0),1,0)</f>
        <v>1</v>
      </c>
      <c r="BZ46" s="38">
        <f>IF((ዕቁብ!CA48/ቦኖ!$C$4&gt;0),1,0)</f>
        <v>1</v>
      </c>
      <c r="CA46" s="38">
        <f>IF((ዕቁብ!CB48/ቦኖ!$C$4&gt;0),1,0)</f>
        <v>1</v>
      </c>
      <c r="CB46" s="38">
        <f>IF((ዕቁብ!CC48/ቦኖ!$C$4&gt;0),1,0)</f>
        <v>1</v>
      </c>
      <c r="CC46" s="38">
        <f>IF((ዕቁብ!CD48/ቦኖ!$C$4&gt;0),1,0)</f>
        <v>1</v>
      </c>
      <c r="CD46" s="38">
        <f>IF((ዕቁብ!CE48/ቦኖ!$C$4&gt;0),1,0)</f>
        <v>1</v>
      </c>
      <c r="CE46" s="38">
        <f>IF((ዕቁብ!CF48/ቦኖ!$C$4&gt;0),1,0)</f>
        <v>0</v>
      </c>
      <c r="CF46" s="38">
        <f>IF((ዕቁብ!CG48/ቦኖ!$C$4&gt;0),1,0)</f>
        <v>1</v>
      </c>
      <c r="CG46" s="38">
        <f>IF((ዕቁብ!CH48/ቦኖ!$C$4&gt;0),1,0)</f>
        <v>1</v>
      </c>
      <c r="CH46" s="38">
        <f>IF((ዕቁብ!CI48/ቦኖ!$C$4&gt;0),1,0)</f>
        <v>1</v>
      </c>
      <c r="CI46" s="38">
        <f>IF((ዕቁብ!CJ48/ቦኖ!$C$4&gt;0),1,0)</f>
        <v>1</v>
      </c>
      <c r="CJ46" s="38">
        <f>IF((ዕቁብ!CK48/ቦኖ!$C$4&gt;0),1,0)</f>
        <v>1</v>
      </c>
      <c r="CK46" s="38">
        <f>IF((ዕቁብ!CL48/ቦኖ!$C$4&gt;0),1,0)</f>
        <v>1</v>
      </c>
      <c r="CL46" s="38">
        <f>IF((ዕቁብ!CM48/ቦኖ!$C$4&gt;0),1,0)</f>
        <v>1</v>
      </c>
      <c r="CM46" s="38">
        <f>IF((ዕቁብ!CN48/ቦኖ!$C$4&gt;0),1,0)</f>
        <v>1</v>
      </c>
      <c r="CN46" s="38">
        <f>IF((ዕቁብ!CO48/ቦኖ!$C$4&gt;0),1,0)</f>
        <v>1</v>
      </c>
      <c r="CO46" s="38">
        <f>IF((ዕቁብ!CP48/ቦኖ!$C$4&gt;0),1,0)</f>
        <v>1</v>
      </c>
      <c r="CP46" s="38">
        <f>IF((ዕቁብ!CQ48/ቦኖ!$C$4&gt;0),1,0)</f>
        <v>1</v>
      </c>
      <c r="CQ46" s="38">
        <f>IF((ዕቁብ!CR48/ቦኖ!$C$4&gt;0),1,0)</f>
        <v>1</v>
      </c>
      <c r="CR46" s="38">
        <f>IF((ዕቁብ!CS48/ቦኖ!$C$4&gt;0),1,0)</f>
        <v>1</v>
      </c>
      <c r="CS46" s="38">
        <f>IF((ዕቁብ!CT48/ቦኖ!$C$4&gt;0),1,0)</f>
        <v>1</v>
      </c>
      <c r="CT46" s="38">
        <f>IF((ዕቁብ!CU48/ቦኖ!$C$4&gt;0),1,0)</f>
        <v>1</v>
      </c>
      <c r="CU46" s="38">
        <f>IF((ዕቁብ!CV48/ቦኖ!$C$4&gt;0),1,0)</f>
        <v>1</v>
      </c>
      <c r="CV46" s="38">
        <f>IF((ዕቁብ!CW48/ቦኖ!$C$4&gt;0),1,0)</f>
        <v>1</v>
      </c>
      <c r="CW46" s="38">
        <f>IF((ዕቁብ!CX48/ቦኖ!$C$4&gt;0),1,0)</f>
        <v>1</v>
      </c>
      <c r="CX46" s="38">
        <f>IF((ዕቁብ!CY48/ቦኖ!$C$4&gt;0),1,0)</f>
        <v>1</v>
      </c>
      <c r="CY46" s="38">
        <f>IF((ዕቁብ!CZ48/ቦኖ!$C$4&gt;0),1,0)</f>
        <v>1</v>
      </c>
      <c r="CZ46" s="38">
        <f>IF((ዕቁብ!DA48/ቦኖ!$C$4&gt;0),1,0)</f>
        <v>0</v>
      </c>
      <c r="DA46" s="38">
        <f>IF((ዕቁብ!DB48/ቦኖ!$C$4&gt;0),1,0)</f>
        <v>1</v>
      </c>
      <c r="DB46" s="38">
        <f>IF((ዕቁብ!DC48/ቦኖ!$C$4&gt;0),1,0)</f>
        <v>0</v>
      </c>
      <c r="DC46" s="38">
        <f>IF((ዕቁብ!DD48/ቦኖ!$C$4&gt;0),1,0)</f>
        <v>1</v>
      </c>
      <c r="DD46" s="38">
        <f>IF((ዕቁብ!DE48/ቦኖ!$C$4&gt;0),1,0)</f>
        <v>1</v>
      </c>
      <c r="DE46" s="38">
        <f>IF((ዕቁብ!DF48/ቦኖ!$C$4&gt;0),1,0)</f>
        <v>0</v>
      </c>
      <c r="DF46" s="38">
        <f>IF((ዕቁብ!DG48/ቦኖ!$C$4&gt;0),1,0)</f>
        <v>1</v>
      </c>
      <c r="DG46" s="38">
        <f>IF((ዕቁብ!DH48/ቦኖ!$C$4&gt;0),1,0)</f>
        <v>0</v>
      </c>
      <c r="DH46" s="38">
        <f>IF((ዕቁብ!DI48/ቦኖ!$C$4&gt;0),1,0)</f>
        <v>0</v>
      </c>
      <c r="DI46" s="38">
        <f>IF((ዕቁብ!DJ48/ቦኖ!$C$4&gt;0),1,0)</f>
        <v>0</v>
      </c>
      <c r="DJ46" s="38">
        <f>IF((ዕቁብ!DK48/ቦኖ!$C$4&gt;0),1,0)</f>
        <v>0</v>
      </c>
      <c r="DK46" s="38">
        <f>IF((ዕቁብ!DL48/ቦኖ!$C$4&gt;0),1,0)</f>
        <v>0</v>
      </c>
      <c r="DL46" s="38">
        <f>IF((ዕቁብ!DM48/ቦኖ!$C$4&gt;0),1,0)</f>
        <v>0</v>
      </c>
      <c r="DM46" s="38">
        <f>IF((ዕቁብ!DN48/ቦኖ!$C$4&gt;0),1,0)</f>
        <v>0</v>
      </c>
      <c r="DN46" s="38">
        <f>IF((ዕቁብ!DO48/ቦኖ!$C$4&gt;0),1,0)</f>
        <v>0</v>
      </c>
      <c r="DO46" s="38">
        <f>IF((ዕቁብ!DP48/ቦኖ!$C$4&gt;0),1,0)</f>
        <v>0</v>
      </c>
      <c r="DP46" s="38">
        <f>IF((ዕቁብ!DQ48/ቦኖ!$C$4&gt;0),1,0)</f>
        <v>0</v>
      </c>
      <c r="DQ46" s="38">
        <f>IF((ዕቁብ!DR48/ቦኖ!$C$4&gt;0),1,0)</f>
        <v>0</v>
      </c>
    </row>
    <row r="47" spans="1:121" ht="15.75" customHeight="1" x14ac:dyDescent="0.3">
      <c r="A47" s="33">
        <f>ዕቁብ!A49</f>
        <v>43</v>
      </c>
      <c r="B47" s="33" t="str">
        <f>ዕቁብ!B49</f>
        <v>አሸናፊ ጨመረ</v>
      </c>
      <c r="C47" s="37">
        <f>ዕቁብ!C49</f>
        <v>21000</v>
      </c>
      <c r="D47" s="38">
        <f>IF((ዕቁብ!E49/ቦኖ!$C$4&gt;0),1,0)</f>
        <v>1</v>
      </c>
      <c r="E47" s="38">
        <f>IF((ዕቁብ!F49/ቦኖ!$C$4&gt;0),1,0)</f>
        <v>1</v>
      </c>
      <c r="F47" s="38">
        <f>IF((ዕቁብ!G49/ቦኖ!$C$4&gt;0),1,0)</f>
        <v>1</v>
      </c>
      <c r="G47" s="38">
        <f>IF((ዕቁብ!H49/ቦኖ!$C$4&gt;0),1,0)</f>
        <v>1</v>
      </c>
      <c r="H47" s="38">
        <f>IF((ዕቁብ!I49/ቦኖ!$C$4&gt;0),1,0)</f>
        <v>1</v>
      </c>
      <c r="I47" s="38">
        <f>IF((ዕቁብ!J49/ቦኖ!$C$4&gt;0),1,0)</f>
        <v>1</v>
      </c>
      <c r="J47" s="38">
        <f>IF((ዕቁብ!K49/ቦኖ!$C$4&gt;0),1,0)</f>
        <v>1</v>
      </c>
      <c r="K47" s="38">
        <f>IF((ዕቁብ!L49/ቦኖ!$C$4&gt;0),1,0)</f>
        <v>1</v>
      </c>
      <c r="L47" s="38">
        <f>IF((ዕቁብ!M49/ቦኖ!$C$4&gt;0),1,0)</f>
        <v>1</v>
      </c>
      <c r="M47" s="38">
        <f>IF((ዕቁብ!N49/ቦኖ!$C$4&gt;0),1,0)</f>
        <v>1</v>
      </c>
      <c r="N47" s="38">
        <f>IF((ዕቁብ!O49/ቦኖ!$C$4&gt;0),1,0)</f>
        <v>1</v>
      </c>
      <c r="O47" s="38">
        <f>IF((ዕቁብ!P49/ቦኖ!$C$4&gt;0),1,0)</f>
        <v>1</v>
      </c>
      <c r="P47" s="38">
        <f>IF((ዕቁብ!Q49/ቦኖ!$C$4&gt;0),1,0)</f>
        <v>1</v>
      </c>
      <c r="Q47" s="38">
        <f>IF((ዕቁብ!R49/ቦኖ!$C$4&gt;0),1,0)</f>
        <v>1</v>
      </c>
      <c r="R47" s="38">
        <f>IF((ዕቁብ!S49/ቦኖ!$C$4&gt;0),1,0)</f>
        <v>1</v>
      </c>
      <c r="S47" s="38">
        <f>IF((ዕቁብ!T49/ቦኖ!$C$4&gt;0),1,0)</f>
        <v>1</v>
      </c>
      <c r="T47" s="38">
        <f>IF((ዕቁብ!U49/ቦኖ!$C$4&gt;0),1,0)</f>
        <v>1</v>
      </c>
      <c r="U47" s="38">
        <f>IF((ዕቁብ!V49/ቦኖ!$C$4&gt;0),1,0)</f>
        <v>1</v>
      </c>
      <c r="V47" s="38">
        <f>IF((ዕቁብ!W49/ቦኖ!$C$4&gt;0),1,0)</f>
        <v>1</v>
      </c>
      <c r="W47" s="38">
        <f>IF((ዕቁብ!X49/ቦኖ!$C$4&gt;0),1,0)</f>
        <v>1</v>
      </c>
      <c r="X47" s="38">
        <f>IF((ዕቁብ!Y49/ቦኖ!$C$4&gt;0),1,0)</f>
        <v>1</v>
      </c>
      <c r="Y47" s="38">
        <f>IF((ዕቁብ!Z49/ቦኖ!$C$4&gt;0),1,0)</f>
        <v>1</v>
      </c>
      <c r="Z47" s="38">
        <f>IF((ዕቁብ!AA49/ቦኖ!$C$4&gt;0),1,0)</f>
        <v>1</v>
      </c>
      <c r="AA47" s="38">
        <f>IF((ዕቁብ!AB49/ቦኖ!$C$4&gt;0),1,0)</f>
        <v>1</v>
      </c>
      <c r="AB47" s="38">
        <f>IF((ዕቁብ!AC49/ቦኖ!$C$4&gt;0),1,0)</f>
        <v>1</v>
      </c>
      <c r="AC47" s="38">
        <f>IF((ዕቁብ!AD49/ቦኖ!$C$4&gt;0),1,0)</f>
        <v>1</v>
      </c>
      <c r="AD47" s="38">
        <f>IF((ዕቁብ!AE49/ቦኖ!$C$4&gt;0),1,0)</f>
        <v>1</v>
      </c>
      <c r="AE47" s="38">
        <f>IF((ዕቁብ!AF49/ቦኖ!$C$4&gt;0),1,0)</f>
        <v>1</v>
      </c>
      <c r="AF47" s="38">
        <f>IF((ዕቁብ!AG49/ቦኖ!$C$4&gt;0),1,0)</f>
        <v>1</v>
      </c>
      <c r="AG47" s="38">
        <f>IF((ዕቁብ!AH49/ቦኖ!$C$4&gt;0),1,0)</f>
        <v>1</v>
      </c>
      <c r="AH47" s="38">
        <f>IF((ዕቁብ!AI49/ቦኖ!$C$4&gt;0),1,0)</f>
        <v>1</v>
      </c>
      <c r="AI47" s="38">
        <f>IF((ዕቁብ!AJ49/ቦኖ!$C$4&gt;0),1,0)</f>
        <v>1</v>
      </c>
      <c r="AJ47" s="38">
        <f>IF((ዕቁብ!AK49/ቦኖ!$C$4&gt;0),1,0)</f>
        <v>1</v>
      </c>
      <c r="AK47" s="38">
        <f>IF((ዕቁብ!AL49/ቦኖ!$C$4&gt;0),1,0)</f>
        <v>1</v>
      </c>
      <c r="AL47" s="38">
        <f>IF((ዕቁብ!AM49/ቦኖ!$C$4&gt;0),1,0)</f>
        <v>1</v>
      </c>
      <c r="AM47" s="38">
        <f>IF((ዕቁብ!AN49/ቦኖ!$C$4&gt;0),1,0)</f>
        <v>1</v>
      </c>
      <c r="AN47" s="38">
        <f>IF((ዕቁብ!AO49/ቦኖ!$C$4&gt;0),1,0)</f>
        <v>1</v>
      </c>
      <c r="AO47" s="38">
        <f>IF((ዕቁብ!AP49/ቦኖ!$C$4&gt;0),1,0)</f>
        <v>1</v>
      </c>
      <c r="AP47" s="38">
        <f>IF((ዕቁብ!AQ49/ቦኖ!$C$4&gt;0),1,0)</f>
        <v>1</v>
      </c>
      <c r="AQ47" s="38">
        <f>IF((ዕቁብ!AR49/ቦኖ!$C$4&gt;0),1,0)</f>
        <v>1</v>
      </c>
      <c r="AR47" s="38">
        <f>IF((ዕቁብ!AS49/ቦኖ!$C$4&gt;0),1,0)</f>
        <v>1</v>
      </c>
      <c r="AS47" s="38">
        <f>IF((ዕቁብ!AT49/ቦኖ!$C$4&gt;0),1,0)</f>
        <v>1</v>
      </c>
      <c r="AT47" s="38">
        <f>IF((ዕቁብ!AU49/ቦኖ!$C$4&gt;0),1,0)</f>
        <v>1</v>
      </c>
      <c r="AU47" s="38">
        <f>IF((ዕቁብ!AV49/ቦኖ!$C$4&gt;0),1,0)</f>
        <v>1</v>
      </c>
      <c r="AV47" s="38">
        <f>IF((ዕቁብ!AW49/ቦኖ!$C$4&gt;0),1,0)</f>
        <v>1</v>
      </c>
      <c r="AW47" s="38">
        <f>IF((ዕቁብ!AX49/ቦኖ!$C$4&gt;0),1,0)</f>
        <v>1</v>
      </c>
      <c r="AX47" s="38">
        <f>IF((ዕቁብ!AY49/ቦኖ!$C$4&gt;0),1,0)</f>
        <v>1</v>
      </c>
      <c r="AY47" s="38">
        <f>IF((ዕቁብ!AZ49/ቦኖ!$C$4&gt;0),1,0)</f>
        <v>1</v>
      </c>
      <c r="AZ47" s="38">
        <f>IF((ዕቁብ!BA49/ቦኖ!$C$4&gt;0),1,0)</f>
        <v>1</v>
      </c>
      <c r="BA47" s="38">
        <f>IF((ዕቁብ!BB49/ቦኖ!$C$4&gt;0),1,0)</f>
        <v>1</v>
      </c>
      <c r="BB47" s="38">
        <f>IF((ዕቁብ!BC49/ቦኖ!$C$4&gt;0),1,0)</f>
        <v>1</v>
      </c>
      <c r="BC47" s="38">
        <f>IF((ዕቁብ!BD49/ቦኖ!$C$4&gt;0),1,0)</f>
        <v>1</v>
      </c>
      <c r="BD47" s="38">
        <f>IF((ዕቁብ!BE49/ቦኖ!$C$4&gt;0),1,0)</f>
        <v>1</v>
      </c>
      <c r="BE47" s="38">
        <f>IF((ዕቁብ!BF49/ቦኖ!$C$4&gt;0),1,0)</f>
        <v>1</v>
      </c>
      <c r="BF47" s="38">
        <f>IF((ዕቁብ!BG49/ቦኖ!$C$4&gt;0),1,0)</f>
        <v>1</v>
      </c>
      <c r="BG47" s="38">
        <f>IF((ዕቁብ!BH49/ቦኖ!$C$4&gt;0),1,0)</f>
        <v>1</v>
      </c>
      <c r="BH47" s="38">
        <f>IF((ዕቁብ!BI49/ቦኖ!$C$4&gt;0),1,0)</f>
        <v>1</v>
      </c>
      <c r="BI47" s="38">
        <f>IF((ዕቁብ!BJ49/ቦኖ!$C$4&gt;0),1,0)</f>
        <v>1</v>
      </c>
      <c r="BJ47" s="38">
        <f>IF((ዕቁብ!BK49/ቦኖ!$C$4&gt;0),1,0)</f>
        <v>1</v>
      </c>
      <c r="BK47" s="38">
        <f>IF((ዕቁብ!BL49/ቦኖ!$C$4&gt;0),1,0)</f>
        <v>1</v>
      </c>
      <c r="BL47" s="38">
        <f>IF((ዕቁብ!BM49/ቦኖ!$C$4&gt;0),1,0)</f>
        <v>1</v>
      </c>
      <c r="BM47" s="38">
        <f>IF((ዕቁብ!BN49/ቦኖ!$C$4&gt;0),1,0)</f>
        <v>1</v>
      </c>
      <c r="BN47" s="38">
        <f>IF((ዕቁብ!BO49/ቦኖ!$C$4&gt;0),1,0)</f>
        <v>1</v>
      </c>
      <c r="BO47" s="38">
        <f>IF((ዕቁብ!BP49/ቦኖ!$C$4&gt;0),1,0)</f>
        <v>1</v>
      </c>
      <c r="BP47" s="38">
        <f>IF((ዕቁብ!BQ49/ቦኖ!$C$4&gt;0),1,0)</f>
        <v>1</v>
      </c>
      <c r="BQ47" s="38">
        <f>IF((ዕቁብ!BR49/ቦኖ!$C$4&gt;0),1,0)</f>
        <v>1</v>
      </c>
      <c r="BR47" s="38">
        <f>IF((ዕቁብ!BS49/ቦኖ!$C$4&gt;0),1,0)</f>
        <v>1</v>
      </c>
      <c r="BS47" s="38">
        <f>IF((ዕቁብ!BT49/ቦኖ!$C$4&gt;0),1,0)</f>
        <v>1</v>
      </c>
      <c r="BT47" s="38">
        <f>IF((ዕቁብ!BU49/ቦኖ!$C$4&gt;0),1,0)</f>
        <v>1</v>
      </c>
      <c r="BU47" s="38">
        <f>IF((ዕቁብ!BV49/ቦኖ!$C$4&gt;0),1,0)</f>
        <v>1</v>
      </c>
      <c r="BV47" s="38">
        <f>IF((ዕቁብ!BW49/ቦኖ!$C$4&gt;0),1,0)</f>
        <v>1</v>
      </c>
      <c r="BW47" s="38">
        <f>IF((ዕቁብ!BX49/ቦኖ!$C$4&gt;0),1,0)</f>
        <v>1</v>
      </c>
      <c r="BX47" s="38">
        <f>IF((ዕቁብ!BY49/ቦኖ!$C$4&gt;0),1,0)</f>
        <v>0</v>
      </c>
      <c r="BY47" s="38">
        <f>IF((ዕቁብ!BZ49/ቦኖ!$C$4&gt;0),1,0)</f>
        <v>1</v>
      </c>
      <c r="BZ47" s="38">
        <f>IF((ዕቁብ!CA49/ቦኖ!$C$4&gt;0),1,0)</f>
        <v>1</v>
      </c>
      <c r="CA47" s="38">
        <f>IF((ዕቁብ!CB49/ቦኖ!$C$4&gt;0),1,0)</f>
        <v>1</v>
      </c>
      <c r="CB47" s="38">
        <f>IF((ዕቁብ!CC49/ቦኖ!$C$4&gt;0),1,0)</f>
        <v>1</v>
      </c>
      <c r="CC47" s="38">
        <f>IF((ዕቁብ!CD49/ቦኖ!$C$4&gt;0),1,0)</f>
        <v>1</v>
      </c>
      <c r="CD47" s="38">
        <f>IF((ዕቁብ!CE49/ቦኖ!$C$4&gt;0),1,0)</f>
        <v>1</v>
      </c>
      <c r="CE47" s="38">
        <f>IF((ዕቁብ!CF49/ቦኖ!$C$4&gt;0),1,0)</f>
        <v>0</v>
      </c>
      <c r="CF47" s="38">
        <f>IF((ዕቁብ!CG49/ቦኖ!$C$4&gt;0),1,0)</f>
        <v>1</v>
      </c>
      <c r="CG47" s="38">
        <f>IF((ዕቁብ!CH49/ቦኖ!$C$4&gt;0),1,0)</f>
        <v>1</v>
      </c>
      <c r="CH47" s="38">
        <f>IF((ዕቁብ!CI49/ቦኖ!$C$4&gt;0),1,0)</f>
        <v>1</v>
      </c>
      <c r="CI47" s="38">
        <f>IF((ዕቁብ!CJ49/ቦኖ!$C$4&gt;0),1,0)</f>
        <v>1</v>
      </c>
      <c r="CJ47" s="38">
        <f>IF((ዕቁብ!CK49/ቦኖ!$C$4&gt;0),1,0)</f>
        <v>1</v>
      </c>
      <c r="CK47" s="38">
        <f>IF((ዕቁብ!CL49/ቦኖ!$C$4&gt;0),1,0)</f>
        <v>1</v>
      </c>
      <c r="CL47" s="38">
        <f>IF((ዕቁብ!CM49/ቦኖ!$C$4&gt;0),1,0)</f>
        <v>1</v>
      </c>
      <c r="CM47" s="38">
        <f>IF((ዕቁብ!CN49/ቦኖ!$C$4&gt;0),1,0)</f>
        <v>1</v>
      </c>
      <c r="CN47" s="38">
        <f>IF((ዕቁብ!CO49/ቦኖ!$C$4&gt;0),1,0)</f>
        <v>1</v>
      </c>
      <c r="CO47" s="38">
        <f>IF((ዕቁብ!CP49/ቦኖ!$C$4&gt;0),1,0)</f>
        <v>1</v>
      </c>
      <c r="CP47" s="38">
        <f>IF((ዕቁብ!CQ49/ቦኖ!$C$4&gt;0),1,0)</f>
        <v>1</v>
      </c>
      <c r="CQ47" s="38">
        <f>IF((ዕቁብ!CR49/ቦኖ!$C$4&gt;0),1,0)</f>
        <v>1</v>
      </c>
      <c r="CR47" s="38">
        <f>IF((ዕቁብ!CS49/ቦኖ!$C$4&gt;0),1,0)</f>
        <v>1</v>
      </c>
      <c r="CS47" s="38">
        <f>IF((ዕቁብ!CT49/ቦኖ!$C$4&gt;0),1,0)</f>
        <v>1</v>
      </c>
      <c r="CT47" s="38">
        <f>IF((ዕቁብ!CU49/ቦኖ!$C$4&gt;0),1,0)</f>
        <v>1</v>
      </c>
      <c r="CU47" s="38">
        <f>IF((ዕቁብ!CV49/ቦኖ!$C$4&gt;0),1,0)</f>
        <v>1</v>
      </c>
      <c r="CV47" s="38">
        <f>IF((ዕቁብ!CW49/ቦኖ!$C$4&gt;0),1,0)</f>
        <v>1</v>
      </c>
      <c r="CW47" s="38">
        <f>IF((ዕቁብ!CX49/ቦኖ!$C$4&gt;0),1,0)</f>
        <v>1</v>
      </c>
      <c r="CX47" s="38">
        <f>IF((ዕቁብ!CY49/ቦኖ!$C$4&gt;0),1,0)</f>
        <v>1</v>
      </c>
      <c r="CY47" s="38">
        <f>IF((ዕቁብ!CZ49/ቦኖ!$C$4&gt;0),1,0)</f>
        <v>1</v>
      </c>
      <c r="CZ47" s="38">
        <f>IF((ዕቁብ!DA49/ቦኖ!$C$4&gt;0),1,0)</f>
        <v>0</v>
      </c>
      <c r="DA47" s="38">
        <f>IF((ዕቁብ!DB49/ቦኖ!$C$4&gt;0),1,0)</f>
        <v>1</v>
      </c>
      <c r="DB47" s="38">
        <f>IF((ዕቁብ!DC49/ቦኖ!$C$4&gt;0),1,0)</f>
        <v>0</v>
      </c>
      <c r="DC47" s="38">
        <f>IF((ዕቁብ!DD49/ቦኖ!$C$4&gt;0),1,0)</f>
        <v>1</v>
      </c>
      <c r="DD47" s="38">
        <f>IF((ዕቁብ!DE49/ቦኖ!$C$4&gt;0),1,0)</f>
        <v>1</v>
      </c>
      <c r="DE47" s="38">
        <f>IF((ዕቁብ!DF49/ቦኖ!$C$4&gt;0),1,0)</f>
        <v>0</v>
      </c>
      <c r="DF47" s="38">
        <f>IF((ዕቁብ!DG49/ቦኖ!$C$4&gt;0),1,0)</f>
        <v>1</v>
      </c>
      <c r="DG47" s="38">
        <f>IF((ዕቁብ!DH49/ቦኖ!$C$4&gt;0),1,0)</f>
        <v>0</v>
      </c>
      <c r="DH47" s="38">
        <f>IF((ዕቁብ!DI49/ቦኖ!$C$4&gt;0),1,0)</f>
        <v>0</v>
      </c>
      <c r="DI47" s="38">
        <f>IF((ዕቁብ!DJ49/ቦኖ!$C$4&gt;0),1,0)</f>
        <v>0</v>
      </c>
      <c r="DJ47" s="38">
        <f>IF((ዕቁብ!DK49/ቦኖ!$C$4&gt;0),1,0)</f>
        <v>0</v>
      </c>
      <c r="DK47" s="38">
        <f>IF((ዕቁብ!DL49/ቦኖ!$C$4&gt;0),1,0)</f>
        <v>0</v>
      </c>
      <c r="DL47" s="38">
        <f>IF((ዕቁብ!DM49/ቦኖ!$C$4&gt;0),1,0)</f>
        <v>0</v>
      </c>
      <c r="DM47" s="38">
        <f>IF((ዕቁብ!DN49/ቦኖ!$C$4&gt;0),1,0)</f>
        <v>0</v>
      </c>
      <c r="DN47" s="38">
        <f>IF((ዕቁብ!DO49/ቦኖ!$C$4&gt;0),1,0)</f>
        <v>0</v>
      </c>
      <c r="DO47" s="38">
        <f>IF((ዕቁብ!DP49/ቦኖ!$C$4&gt;0),1,0)</f>
        <v>0</v>
      </c>
      <c r="DP47" s="38">
        <f>IF((ዕቁብ!DQ49/ቦኖ!$C$4&gt;0),1,0)</f>
        <v>0</v>
      </c>
      <c r="DQ47" s="38">
        <f>IF((ዕቁብ!DR49/ቦኖ!$C$4&gt;0),1,0)</f>
        <v>0</v>
      </c>
    </row>
    <row r="48" spans="1:121" ht="15.75" customHeight="1" x14ac:dyDescent="0.3">
      <c r="A48" s="33">
        <f>ዕቁብ!A50</f>
        <v>44</v>
      </c>
      <c r="B48" s="33" t="str">
        <f>ዕቁብ!B50</f>
        <v>አሸናፊ ጨመረ</v>
      </c>
      <c r="C48" s="37">
        <f>ዕቁብ!C50</f>
        <v>21000</v>
      </c>
      <c r="D48" s="38">
        <f>IF((ዕቁብ!E50/ቦኖ!$C$4&gt;0),1,0)</f>
        <v>1</v>
      </c>
      <c r="E48" s="38">
        <f>IF((ዕቁብ!F50/ቦኖ!$C$4&gt;0),1,0)</f>
        <v>1</v>
      </c>
      <c r="F48" s="38">
        <f>IF((ዕቁብ!G50/ቦኖ!$C$4&gt;0),1,0)</f>
        <v>1</v>
      </c>
      <c r="G48" s="38">
        <f>IF((ዕቁብ!H50/ቦኖ!$C$4&gt;0),1,0)</f>
        <v>1</v>
      </c>
      <c r="H48" s="38">
        <f>IF((ዕቁብ!I50/ቦኖ!$C$4&gt;0),1,0)</f>
        <v>1</v>
      </c>
      <c r="I48" s="38">
        <f>IF((ዕቁብ!J50/ቦኖ!$C$4&gt;0),1,0)</f>
        <v>1</v>
      </c>
      <c r="J48" s="38">
        <f>IF((ዕቁብ!K50/ቦኖ!$C$4&gt;0),1,0)</f>
        <v>1</v>
      </c>
      <c r="K48" s="38">
        <f>IF((ዕቁብ!L50/ቦኖ!$C$4&gt;0),1,0)</f>
        <v>1</v>
      </c>
      <c r="L48" s="38">
        <f>IF((ዕቁብ!M50/ቦኖ!$C$4&gt;0),1,0)</f>
        <v>1</v>
      </c>
      <c r="M48" s="38">
        <f>IF((ዕቁብ!N50/ቦኖ!$C$4&gt;0),1,0)</f>
        <v>1</v>
      </c>
      <c r="N48" s="38">
        <f>IF((ዕቁብ!O50/ቦኖ!$C$4&gt;0),1,0)</f>
        <v>1</v>
      </c>
      <c r="O48" s="38">
        <f>IF((ዕቁብ!P50/ቦኖ!$C$4&gt;0),1,0)</f>
        <v>1</v>
      </c>
      <c r="P48" s="38">
        <f>IF((ዕቁብ!Q50/ቦኖ!$C$4&gt;0),1,0)</f>
        <v>1</v>
      </c>
      <c r="Q48" s="38">
        <f>IF((ዕቁብ!R50/ቦኖ!$C$4&gt;0),1,0)</f>
        <v>1</v>
      </c>
      <c r="R48" s="38">
        <f>IF((ዕቁብ!S50/ቦኖ!$C$4&gt;0),1,0)</f>
        <v>1</v>
      </c>
      <c r="S48" s="38">
        <f>IF((ዕቁብ!T50/ቦኖ!$C$4&gt;0),1,0)</f>
        <v>1</v>
      </c>
      <c r="T48" s="38">
        <f>IF((ዕቁብ!U50/ቦኖ!$C$4&gt;0),1,0)</f>
        <v>1</v>
      </c>
      <c r="U48" s="38">
        <f>IF((ዕቁብ!V50/ቦኖ!$C$4&gt;0),1,0)</f>
        <v>1</v>
      </c>
      <c r="V48" s="38">
        <f>IF((ዕቁብ!W50/ቦኖ!$C$4&gt;0),1,0)</f>
        <v>1</v>
      </c>
      <c r="W48" s="38">
        <f>IF((ዕቁብ!X50/ቦኖ!$C$4&gt;0),1,0)</f>
        <v>1</v>
      </c>
      <c r="X48" s="38">
        <f>IF((ዕቁብ!Y50/ቦኖ!$C$4&gt;0),1,0)</f>
        <v>1</v>
      </c>
      <c r="Y48" s="38">
        <f>IF((ዕቁብ!Z50/ቦኖ!$C$4&gt;0),1,0)</f>
        <v>1</v>
      </c>
      <c r="Z48" s="38">
        <f>IF((ዕቁብ!AA50/ቦኖ!$C$4&gt;0),1,0)</f>
        <v>1</v>
      </c>
      <c r="AA48" s="38">
        <f>IF((ዕቁብ!AB50/ቦኖ!$C$4&gt;0),1,0)</f>
        <v>1</v>
      </c>
      <c r="AB48" s="38">
        <f>IF((ዕቁብ!AC50/ቦኖ!$C$4&gt;0),1,0)</f>
        <v>1</v>
      </c>
      <c r="AC48" s="38">
        <f>IF((ዕቁብ!AD50/ቦኖ!$C$4&gt;0),1,0)</f>
        <v>1</v>
      </c>
      <c r="AD48" s="38">
        <f>IF((ዕቁብ!AE50/ቦኖ!$C$4&gt;0),1,0)</f>
        <v>1</v>
      </c>
      <c r="AE48" s="38">
        <f>IF((ዕቁብ!AF50/ቦኖ!$C$4&gt;0),1,0)</f>
        <v>1</v>
      </c>
      <c r="AF48" s="38">
        <f>IF((ዕቁብ!AG50/ቦኖ!$C$4&gt;0),1,0)</f>
        <v>1</v>
      </c>
      <c r="AG48" s="38">
        <f>IF((ዕቁብ!AH50/ቦኖ!$C$4&gt;0),1,0)</f>
        <v>1</v>
      </c>
      <c r="AH48" s="38">
        <f>IF((ዕቁብ!AI50/ቦኖ!$C$4&gt;0),1,0)</f>
        <v>1</v>
      </c>
      <c r="AI48" s="38">
        <f>IF((ዕቁብ!AJ50/ቦኖ!$C$4&gt;0),1,0)</f>
        <v>1</v>
      </c>
      <c r="AJ48" s="38">
        <f>IF((ዕቁብ!AK50/ቦኖ!$C$4&gt;0),1,0)</f>
        <v>1</v>
      </c>
      <c r="AK48" s="38">
        <f>IF((ዕቁብ!AL50/ቦኖ!$C$4&gt;0),1,0)</f>
        <v>1</v>
      </c>
      <c r="AL48" s="38">
        <f>IF((ዕቁብ!AM50/ቦኖ!$C$4&gt;0),1,0)</f>
        <v>1</v>
      </c>
      <c r="AM48" s="38">
        <f>IF((ዕቁብ!AN50/ቦኖ!$C$4&gt;0),1,0)</f>
        <v>1</v>
      </c>
      <c r="AN48" s="38">
        <f>IF((ዕቁብ!AO50/ቦኖ!$C$4&gt;0),1,0)</f>
        <v>1</v>
      </c>
      <c r="AO48" s="38">
        <f>IF((ዕቁብ!AP50/ቦኖ!$C$4&gt;0),1,0)</f>
        <v>1</v>
      </c>
      <c r="AP48" s="38">
        <f>IF((ዕቁብ!AQ50/ቦኖ!$C$4&gt;0),1,0)</f>
        <v>1</v>
      </c>
      <c r="AQ48" s="38">
        <f>IF((ዕቁብ!AR50/ቦኖ!$C$4&gt;0),1,0)</f>
        <v>1</v>
      </c>
      <c r="AR48" s="38">
        <f>IF((ዕቁብ!AS50/ቦኖ!$C$4&gt;0),1,0)</f>
        <v>1</v>
      </c>
      <c r="AS48" s="38">
        <f>IF((ዕቁብ!AT50/ቦኖ!$C$4&gt;0),1,0)</f>
        <v>1</v>
      </c>
      <c r="AT48" s="38">
        <f>IF((ዕቁብ!AU50/ቦኖ!$C$4&gt;0),1,0)</f>
        <v>1</v>
      </c>
      <c r="AU48" s="38">
        <f>IF((ዕቁብ!AV50/ቦኖ!$C$4&gt;0),1,0)</f>
        <v>1</v>
      </c>
      <c r="AV48" s="38">
        <f>IF((ዕቁብ!AW50/ቦኖ!$C$4&gt;0),1,0)</f>
        <v>1</v>
      </c>
      <c r="AW48" s="38">
        <f>IF((ዕቁብ!AX50/ቦኖ!$C$4&gt;0),1,0)</f>
        <v>1</v>
      </c>
      <c r="AX48" s="38">
        <f>IF((ዕቁብ!AY50/ቦኖ!$C$4&gt;0),1,0)</f>
        <v>1</v>
      </c>
      <c r="AY48" s="38">
        <f>IF((ዕቁብ!AZ50/ቦኖ!$C$4&gt;0),1,0)</f>
        <v>1</v>
      </c>
      <c r="AZ48" s="38">
        <f>IF((ዕቁብ!BA50/ቦኖ!$C$4&gt;0),1,0)</f>
        <v>1</v>
      </c>
      <c r="BA48" s="38">
        <f>IF((ዕቁብ!BB50/ቦኖ!$C$4&gt;0),1,0)</f>
        <v>1</v>
      </c>
      <c r="BB48" s="38">
        <f>IF((ዕቁብ!BC50/ቦኖ!$C$4&gt;0),1,0)</f>
        <v>1</v>
      </c>
      <c r="BC48" s="38">
        <f>IF((ዕቁብ!BD50/ቦኖ!$C$4&gt;0),1,0)</f>
        <v>1</v>
      </c>
      <c r="BD48" s="38">
        <f>IF((ዕቁብ!BE50/ቦኖ!$C$4&gt;0),1,0)</f>
        <v>1</v>
      </c>
      <c r="BE48" s="38">
        <f>IF((ዕቁብ!BF50/ቦኖ!$C$4&gt;0),1,0)</f>
        <v>1</v>
      </c>
      <c r="BF48" s="38">
        <f>IF((ዕቁብ!BG50/ቦኖ!$C$4&gt;0),1,0)</f>
        <v>1</v>
      </c>
      <c r="BG48" s="38">
        <f>IF((ዕቁብ!BH50/ቦኖ!$C$4&gt;0),1,0)</f>
        <v>1</v>
      </c>
      <c r="BH48" s="38">
        <f>IF((ዕቁብ!BI50/ቦኖ!$C$4&gt;0),1,0)</f>
        <v>1</v>
      </c>
      <c r="BI48" s="38">
        <f>IF((ዕቁብ!BJ50/ቦኖ!$C$4&gt;0),1,0)</f>
        <v>1</v>
      </c>
      <c r="BJ48" s="38">
        <f>IF((ዕቁብ!BK50/ቦኖ!$C$4&gt;0),1,0)</f>
        <v>1</v>
      </c>
      <c r="BK48" s="38">
        <f>IF((ዕቁብ!BL50/ቦኖ!$C$4&gt;0),1,0)</f>
        <v>1</v>
      </c>
      <c r="BL48" s="38">
        <f>IF((ዕቁብ!BM50/ቦኖ!$C$4&gt;0),1,0)</f>
        <v>1</v>
      </c>
      <c r="BM48" s="38">
        <f>IF((ዕቁብ!BN50/ቦኖ!$C$4&gt;0),1,0)</f>
        <v>1</v>
      </c>
      <c r="BN48" s="38">
        <f>IF((ዕቁብ!BO50/ቦኖ!$C$4&gt;0),1,0)</f>
        <v>1</v>
      </c>
      <c r="BO48" s="38">
        <f>IF((ዕቁብ!BP50/ቦኖ!$C$4&gt;0),1,0)</f>
        <v>1</v>
      </c>
      <c r="BP48" s="38">
        <f>IF((ዕቁብ!BQ50/ቦኖ!$C$4&gt;0),1,0)</f>
        <v>1</v>
      </c>
      <c r="BQ48" s="38">
        <f>IF((ዕቁብ!BR50/ቦኖ!$C$4&gt;0),1,0)</f>
        <v>1</v>
      </c>
      <c r="BR48" s="38">
        <f>IF((ዕቁብ!BS50/ቦኖ!$C$4&gt;0),1,0)</f>
        <v>1</v>
      </c>
      <c r="BS48" s="38">
        <f>IF((ዕቁብ!BT50/ቦኖ!$C$4&gt;0),1,0)</f>
        <v>1</v>
      </c>
      <c r="BT48" s="38">
        <f>IF((ዕቁብ!BU50/ቦኖ!$C$4&gt;0),1,0)</f>
        <v>1</v>
      </c>
      <c r="BU48" s="38">
        <f>IF((ዕቁብ!BV50/ቦኖ!$C$4&gt;0),1,0)</f>
        <v>1</v>
      </c>
      <c r="BV48" s="38">
        <f>IF((ዕቁብ!BW50/ቦኖ!$C$4&gt;0),1,0)</f>
        <v>1</v>
      </c>
      <c r="BW48" s="38">
        <f>IF((ዕቁብ!BX50/ቦኖ!$C$4&gt;0),1,0)</f>
        <v>1</v>
      </c>
      <c r="BX48" s="38">
        <f>IF((ዕቁብ!BY50/ቦኖ!$C$4&gt;0),1,0)</f>
        <v>0</v>
      </c>
      <c r="BY48" s="38">
        <f>IF((ዕቁብ!BZ50/ቦኖ!$C$4&gt;0),1,0)</f>
        <v>1</v>
      </c>
      <c r="BZ48" s="38">
        <f>IF((ዕቁብ!CA50/ቦኖ!$C$4&gt;0),1,0)</f>
        <v>1</v>
      </c>
      <c r="CA48" s="38">
        <f>IF((ዕቁብ!CB50/ቦኖ!$C$4&gt;0),1,0)</f>
        <v>1</v>
      </c>
      <c r="CB48" s="38">
        <f>IF((ዕቁብ!CC50/ቦኖ!$C$4&gt;0),1,0)</f>
        <v>1</v>
      </c>
      <c r="CC48" s="38">
        <f>IF((ዕቁብ!CD50/ቦኖ!$C$4&gt;0),1,0)</f>
        <v>1</v>
      </c>
      <c r="CD48" s="38">
        <f>IF((ዕቁብ!CE50/ቦኖ!$C$4&gt;0),1,0)</f>
        <v>1</v>
      </c>
      <c r="CE48" s="38">
        <f>IF((ዕቁብ!CF50/ቦኖ!$C$4&gt;0),1,0)</f>
        <v>0</v>
      </c>
      <c r="CF48" s="38">
        <f>IF((ዕቁብ!CG50/ቦኖ!$C$4&gt;0),1,0)</f>
        <v>1</v>
      </c>
      <c r="CG48" s="38">
        <f>IF((ዕቁብ!CH50/ቦኖ!$C$4&gt;0),1,0)</f>
        <v>1</v>
      </c>
      <c r="CH48" s="38">
        <f>IF((ዕቁብ!CI50/ቦኖ!$C$4&gt;0),1,0)</f>
        <v>1</v>
      </c>
      <c r="CI48" s="38">
        <f>IF((ዕቁብ!CJ50/ቦኖ!$C$4&gt;0),1,0)</f>
        <v>1</v>
      </c>
      <c r="CJ48" s="38">
        <f>IF((ዕቁብ!CK50/ቦኖ!$C$4&gt;0),1,0)</f>
        <v>1</v>
      </c>
      <c r="CK48" s="38">
        <f>IF((ዕቁብ!CL50/ቦኖ!$C$4&gt;0),1,0)</f>
        <v>1</v>
      </c>
      <c r="CL48" s="38">
        <f>IF((ዕቁብ!CM50/ቦኖ!$C$4&gt;0),1,0)</f>
        <v>1</v>
      </c>
      <c r="CM48" s="38">
        <f>IF((ዕቁብ!CN50/ቦኖ!$C$4&gt;0),1,0)</f>
        <v>1</v>
      </c>
      <c r="CN48" s="38">
        <f>IF((ዕቁብ!CO50/ቦኖ!$C$4&gt;0),1,0)</f>
        <v>1</v>
      </c>
      <c r="CO48" s="38">
        <f>IF((ዕቁብ!CP50/ቦኖ!$C$4&gt;0),1,0)</f>
        <v>1</v>
      </c>
      <c r="CP48" s="38">
        <f>IF((ዕቁብ!CQ50/ቦኖ!$C$4&gt;0),1,0)</f>
        <v>1</v>
      </c>
      <c r="CQ48" s="38">
        <f>IF((ዕቁብ!CR50/ቦኖ!$C$4&gt;0),1,0)</f>
        <v>1</v>
      </c>
      <c r="CR48" s="38">
        <f>IF((ዕቁብ!CS50/ቦኖ!$C$4&gt;0),1,0)</f>
        <v>1</v>
      </c>
      <c r="CS48" s="38">
        <f>IF((ዕቁብ!CT50/ቦኖ!$C$4&gt;0),1,0)</f>
        <v>1</v>
      </c>
      <c r="CT48" s="38">
        <f>IF((ዕቁብ!CU50/ቦኖ!$C$4&gt;0),1,0)</f>
        <v>1</v>
      </c>
      <c r="CU48" s="38">
        <f>IF((ዕቁብ!CV50/ቦኖ!$C$4&gt;0),1,0)</f>
        <v>1</v>
      </c>
      <c r="CV48" s="38">
        <f>IF((ዕቁብ!CW50/ቦኖ!$C$4&gt;0),1,0)</f>
        <v>1</v>
      </c>
      <c r="CW48" s="38">
        <f>IF((ዕቁብ!CX50/ቦኖ!$C$4&gt;0),1,0)</f>
        <v>1</v>
      </c>
      <c r="CX48" s="38">
        <f>IF((ዕቁብ!CY50/ቦኖ!$C$4&gt;0),1,0)</f>
        <v>1</v>
      </c>
      <c r="CY48" s="38">
        <f>IF((ዕቁብ!CZ50/ቦኖ!$C$4&gt;0),1,0)</f>
        <v>1</v>
      </c>
      <c r="CZ48" s="38">
        <f>IF((ዕቁብ!DA50/ቦኖ!$C$4&gt;0),1,0)</f>
        <v>0</v>
      </c>
      <c r="DA48" s="38">
        <f>IF((ዕቁብ!DB50/ቦኖ!$C$4&gt;0),1,0)</f>
        <v>1</v>
      </c>
      <c r="DB48" s="38">
        <f>IF((ዕቁብ!DC50/ቦኖ!$C$4&gt;0),1,0)</f>
        <v>0</v>
      </c>
      <c r="DC48" s="38">
        <f>IF((ዕቁብ!DD50/ቦኖ!$C$4&gt;0),1,0)</f>
        <v>1</v>
      </c>
      <c r="DD48" s="38">
        <f>IF((ዕቁብ!DE50/ቦኖ!$C$4&gt;0),1,0)</f>
        <v>1</v>
      </c>
      <c r="DE48" s="38">
        <f>IF((ዕቁብ!DF50/ቦኖ!$C$4&gt;0),1,0)</f>
        <v>0</v>
      </c>
      <c r="DF48" s="38">
        <f>IF((ዕቁብ!DG50/ቦኖ!$C$4&gt;0),1,0)</f>
        <v>1</v>
      </c>
      <c r="DG48" s="38">
        <f>IF((ዕቁብ!DH50/ቦኖ!$C$4&gt;0),1,0)</f>
        <v>0</v>
      </c>
      <c r="DH48" s="38">
        <f>IF((ዕቁብ!DI50/ቦኖ!$C$4&gt;0),1,0)</f>
        <v>0</v>
      </c>
      <c r="DI48" s="38">
        <f>IF((ዕቁብ!DJ50/ቦኖ!$C$4&gt;0),1,0)</f>
        <v>0</v>
      </c>
      <c r="DJ48" s="38">
        <f>IF((ዕቁብ!DK50/ቦኖ!$C$4&gt;0),1,0)</f>
        <v>0</v>
      </c>
      <c r="DK48" s="38">
        <f>IF((ዕቁብ!DL50/ቦኖ!$C$4&gt;0),1,0)</f>
        <v>0</v>
      </c>
      <c r="DL48" s="38">
        <f>IF((ዕቁብ!DM50/ቦኖ!$C$4&gt;0),1,0)</f>
        <v>0</v>
      </c>
      <c r="DM48" s="38">
        <f>IF((ዕቁብ!DN50/ቦኖ!$C$4&gt;0),1,0)</f>
        <v>0</v>
      </c>
      <c r="DN48" s="38">
        <f>IF((ዕቁብ!DO50/ቦኖ!$C$4&gt;0),1,0)</f>
        <v>0</v>
      </c>
      <c r="DO48" s="38">
        <f>IF((ዕቁብ!DP50/ቦኖ!$C$4&gt;0),1,0)</f>
        <v>0</v>
      </c>
      <c r="DP48" s="38">
        <f>IF((ዕቁብ!DQ50/ቦኖ!$C$4&gt;0),1,0)</f>
        <v>0</v>
      </c>
      <c r="DQ48" s="38">
        <f>IF((ዕቁብ!DR50/ቦኖ!$C$4&gt;0),1,0)</f>
        <v>0</v>
      </c>
    </row>
    <row r="49" spans="1:121" ht="15.75" customHeight="1" x14ac:dyDescent="0.3">
      <c r="A49" s="33">
        <f>ዕቁብ!A51</f>
        <v>45</v>
      </c>
      <c r="B49" s="33" t="str">
        <f>ዕቁብ!B51</f>
        <v>አሸናፊ ጨመረ</v>
      </c>
      <c r="C49" s="37">
        <f>ዕቁብ!C51</f>
        <v>21000</v>
      </c>
      <c r="D49" s="38">
        <f>IF((ዕቁብ!E51/ቦኖ!$C$4&gt;0),1,0)</f>
        <v>1</v>
      </c>
      <c r="E49" s="38">
        <f>IF((ዕቁብ!F51/ቦኖ!$C$4&gt;0),1,0)</f>
        <v>1</v>
      </c>
      <c r="F49" s="38">
        <f>IF((ዕቁብ!G51/ቦኖ!$C$4&gt;0),1,0)</f>
        <v>1</v>
      </c>
      <c r="G49" s="38">
        <f>IF((ዕቁብ!H51/ቦኖ!$C$4&gt;0),1,0)</f>
        <v>1</v>
      </c>
      <c r="H49" s="38">
        <f>IF((ዕቁብ!I51/ቦኖ!$C$4&gt;0),1,0)</f>
        <v>1</v>
      </c>
      <c r="I49" s="38">
        <f>IF((ዕቁብ!J51/ቦኖ!$C$4&gt;0),1,0)</f>
        <v>1</v>
      </c>
      <c r="J49" s="38">
        <f>IF((ዕቁብ!K51/ቦኖ!$C$4&gt;0),1,0)</f>
        <v>1</v>
      </c>
      <c r="K49" s="38">
        <f>IF((ዕቁብ!L51/ቦኖ!$C$4&gt;0),1,0)</f>
        <v>1</v>
      </c>
      <c r="L49" s="38">
        <f>IF((ዕቁብ!M51/ቦኖ!$C$4&gt;0),1,0)</f>
        <v>1</v>
      </c>
      <c r="M49" s="38">
        <f>IF((ዕቁብ!N51/ቦኖ!$C$4&gt;0),1,0)</f>
        <v>1</v>
      </c>
      <c r="N49" s="38">
        <f>IF((ዕቁብ!O51/ቦኖ!$C$4&gt;0),1,0)</f>
        <v>1</v>
      </c>
      <c r="O49" s="38">
        <f>IF((ዕቁብ!P51/ቦኖ!$C$4&gt;0),1,0)</f>
        <v>1</v>
      </c>
      <c r="P49" s="38">
        <f>IF((ዕቁብ!Q51/ቦኖ!$C$4&gt;0),1,0)</f>
        <v>1</v>
      </c>
      <c r="Q49" s="38">
        <f>IF((ዕቁብ!R51/ቦኖ!$C$4&gt;0),1,0)</f>
        <v>1</v>
      </c>
      <c r="R49" s="38">
        <f>IF((ዕቁብ!S51/ቦኖ!$C$4&gt;0),1,0)</f>
        <v>1</v>
      </c>
      <c r="S49" s="38">
        <f>IF((ዕቁብ!T51/ቦኖ!$C$4&gt;0),1,0)</f>
        <v>1</v>
      </c>
      <c r="T49" s="38">
        <f>IF((ዕቁብ!U51/ቦኖ!$C$4&gt;0),1,0)</f>
        <v>1</v>
      </c>
      <c r="U49" s="38">
        <f>IF((ዕቁብ!V51/ቦኖ!$C$4&gt;0),1,0)</f>
        <v>1</v>
      </c>
      <c r="V49" s="38">
        <f>IF((ዕቁብ!W51/ቦኖ!$C$4&gt;0),1,0)</f>
        <v>1</v>
      </c>
      <c r="W49" s="38">
        <f>IF((ዕቁብ!X51/ቦኖ!$C$4&gt;0),1,0)</f>
        <v>1</v>
      </c>
      <c r="X49" s="38">
        <f>IF((ዕቁብ!Y51/ቦኖ!$C$4&gt;0),1,0)</f>
        <v>1</v>
      </c>
      <c r="Y49" s="38">
        <f>IF((ዕቁብ!Z51/ቦኖ!$C$4&gt;0),1,0)</f>
        <v>1</v>
      </c>
      <c r="Z49" s="38">
        <f>IF((ዕቁብ!AA51/ቦኖ!$C$4&gt;0),1,0)</f>
        <v>1</v>
      </c>
      <c r="AA49" s="38">
        <f>IF((ዕቁብ!AB51/ቦኖ!$C$4&gt;0),1,0)</f>
        <v>1</v>
      </c>
      <c r="AB49" s="38">
        <f>IF((ዕቁብ!AC51/ቦኖ!$C$4&gt;0),1,0)</f>
        <v>1</v>
      </c>
      <c r="AC49" s="38">
        <f>IF((ዕቁብ!AD51/ቦኖ!$C$4&gt;0),1,0)</f>
        <v>1</v>
      </c>
      <c r="AD49" s="38">
        <f>IF((ዕቁብ!AE51/ቦኖ!$C$4&gt;0),1,0)</f>
        <v>1</v>
      </c>
      <c r="AE49" s="38">
        <f>IF((ዕቁብ!AF51/ቦኖ!$C$4&gt;0),1,0)</f>
        <v>1</v>
      </c>
      <c r="AF49" s="38">
        <f>IF((ዕቁብ!AG51/ቦኖ!$C$4&gt;0),1,0)</f>
        <v>1</v>
      </c>
      <c r="AG49" s="38">
        <f>IF((ዕቁብ!AH51/ቦኖ!$C$4&gt;0),1,0)</f>
        <v>1</v>
      </c>
      <c r="AH49" s="38">
        <f>IF((ዕቁብ!AI51/ቦኖ!$C$4&gt;0),1,0)</f>
        <v>1</v>
      </c>
      <c r="AI49" s="38">
        <f>IF((ዕቁብ!AJ51/ቦኖ!$C$4&gt;0),1,0)</f>
        <v>1</v>
      </c>
      <c r="AJ49" s="38">
        <f>IF((ዕቁብ!AK51/ቦኖ!$C$4&gt;0),1,0)</f>
        <v>1</v>
      </c>
      <c r="AK49" s="38">
        <f>IF((ዕቁብ!AL51/ቦኖ!$C$4&gt;0),1,0)</f>
        <v>1</v>
      </c>
      <c r="AL49" s="38">
        <f>IF((ዕቁብ!AM51/ቦኖ!$C$4&gt;0),1,0)</f>
        <v>1</v>
      </c>
      <c r="AM49" s="38">
        <f>IF((ዕቁብ!AN51/ቦኖ!$C$4&gt;0),1,0)</f>
        <v>1</v>
      </c>
      <c r="AN49" s="38">
        <f>IF((ዕቁብ!AO51/ቦኖ!$C$4&gt;0),1,0)</f>
        <v>1</v>
      </c>
      <c r="AO49" s="38">
        <f>IF((ዕቁብ!AP51/ቦኖ!$C$4&gt;0),1,0)</f>
        <v>1</v>
      </c>
      <c r="AP49" s="38">
        <f>IF((ዕቁብ!AQ51/ቦኖ!$C$4&gt;0),1,0)</f>
        <v>1</v>
      </c>
      <c r="AQ49" s="38">
        <f>IF((ዕቁብ!AR51/ቦኖ!$C$4&gt;0),1,0)</f>
        <v>1</v>
      </c>
      <c r="AR49" s="38">
        <f>IF((ዕቁብ!AS51/ቦኖ!$C$4&gt;0),1,0)</f>
        <v>1</v>
      </c>
      <c r="AS49" s="38">
        <f>IF((ዕቁብ!AT51/ቦኖ!$C$4&gt;0),1,0)</f>
        <v>1</v>
      </c>
      <c r="AT49" s="38">
        <f>IF((ዕቁብ!AU51/ቦኖ!$C$4&gt;0),1,0)</f>
        <v>1</v>
      </c>
      <c r="AU49" s="38">
        <f>IF((ዕቁብ!AV51/ቦኖ!$C$4&gt;0),1,0)</f>
        <v>1</v>
      </c>
      <c r="AV49" s="38">
        <f>IF((ዕቁብ!AW51/ቦኖ!$C$4&gt;0),1,0)</f>
        <v>1</v>
      </c>
      <c r="AW49" s="38">
        <f>IF((ዕቁብ!AX51/ቦኖ!$C$4&gt;0),1,0)</f>
        <v>1</v>
      </c>
      <c r="AX49" s="38">
        <f>IF((ዕቁብ!AY51/ቦኖ!$C$4&gt;0),1,0)</f>
        <v>1</v>
      </c>
      <c r="AY49" s="38">
        <f>IF((ዕቁብ!AZ51/ቦኖ!$C$4&gt;0),1,0)</f>
        <v>1</v>
      </c>
      <c r="AZ49" s="38">
        <f>IF((ዕቁብ!BA51/ቦኖ!$C$4&gt;0),1,0)</f>
        <v>1</v>
      </c>
      <c r="BA49" s="38">
        <f>IF((ዕቁብ!BB51/ቦኖ!$C$4&gt;0),1,0)</f>
        <v>1</v>
      </c>
      <c r="BB49" s="38">
        <f>IF((ዕቁብ!BC51/ቦኖ!$C$4&gt;0),1,0)</f>
        <v>1</v>
      </c>
      <c r="BC49" s="38">
        <f>IF((ዕቁብ!BD51/ቦኖ!$C$4&gt;0),1,0)</f>
        <v>1</v>
      </c>
      <c r="BD49" s="38">
        <f>IF((ዕቁብ!BE51/ቦኖ!$C$4&gt;0),1,0)</f>
        <v>1</v>
      </c>
      <c r="BE49" s="38">
        <f>IF((ዕቁብ!BF51/ቦኖ!$C$4&gt;0),1,0)</f>
        <v>1</v>
      </c>
      <c r="BF49" s="38">
        <f>IF((ዕቁብ!BG51/ቦኖ!$C$4&gt;0),1,0)</f>
        <v>1</v>
      </c>
      <c r="BG49" s="38">
        <f>IF((ዕቁብ!BH51/ቦኖ!$C$4&gt;0),1,0)</f>
        <v>1</v>
      </c>
      <c r="BH49" s="38">
        <f>IF((ዕቁብ!BI51/ቦኖ!$C$4&gt;0),1,0)</f>
        <v>1</v>
      </c>
      <c r="BI49" s="38">
        <f>IF((ዕቁብ!BJ51/ቦኖ!$C$4&gt;0),1,0)</f>
        <v>1</v>
      </c>
      <c r="BJ49" s="38">
        <f>IF((ዕቁብ!BK51/ቦኖ!$C$4&gt;0),1,0)</f>
        <v>1</v>
      </c>
      <c r="BK49" s="38">
        <f>IF((ዕቁብ!BL51/ቦኖ!$C$4&gt;0),1,0)</f>
        <v>1</v>
      </c>
      <c r="BL49" s="38">
        <f>IF((ዕቁብ!BM51/ቦኖ!$C$4&gt;0),1,0)</f>
        <v>1</v>
      </c>
      <c r="BM49" s="38">
        <f>IF((ዕቁብ!BN51/ቦኖ!$C$4&gt;0),1,0)</f>
        <v>1</v>
      </c>
      <c r="BN49" s="38">
        <f>IF((ዕቁብ!BO51/ቦኖ!$C$4&gt;0),1,0)</f>
        <v>1</v>
      </c>
      <c r="BO49" s="38">
        <f>IF((ዕቁብ!BP51/ቦኖ!$C$4&gt;0),1,0)</f>
        <v>1</v>
      </c>
      <c r="BP49" s="38">
        <f>IF((ዕቁብ!BQ51/ቦኖ!$C$4&gt;0),1,0)</f>
        <v>1</v>
      </c>
      <c r="BQ49" s="38">
        <f>IF((ዕቁብ!BR51/ቦኖ!$C$4&gt;0),1,0)</f>
        <v>1</v>
      </c>
      <c r="BR49" s="38">
        <f>IF((ዕቁብ!BS51/ቦኖ!$C$4&gt;0),1,0)</f>
        <v>1</v>
      </c>
      <c r="BS49" s="38">
        <f>IF((ዕቁብ!BT51/ቦኖ!$C$4&gt;0),1,0)</f>
        <v>1</v>
      </c>
      <c r="BT49" s="38">
        <f>IF((ዕቁብ!BU51/ቦኖ!$C$4&gt;0),1,0)</f>
        <v>1</v>
      </c>
      <c r="BU49" s="38">
        <f>IF((ዕቁብ!BV51/ቦኖ!$C$4&gt;0),1,0)</f>
        <v>1</v>
      </c>
      <c r="BV49" s="38">
        <f>IF((ዕቁብ!BW51/ቦኖ!$C$4&gt;0),1,0)</f>
        <v>1</v>
      </c>
      <c r="BW49" s="38">
        <f>IF((ዕቁብ!BX51/ቦኖ!$C$4&gt;0),1,0)</f>
        <v>1</v>
      </c>
      <c r="BX49" s="38">
        <f>IF((ዕቁብ!BY51/ቦኖ!$C$4&gt;0),1,0)</f>
        <v>0</v>
      </c>
      <c r="BY49" s="38">
        <f>IF((ዕቁብ!BZ51/ቦኖ!$C$4&gt;0),1,0)</f>
        <v>1</v>
      </c>
      <c r="BZ49" s="38">
        <f>IF((ዕቁብ!CA51/ቦኖ!$C$4&gt;0),1,0)</f>
        <v>1</v>
      </c>
      <c r="CA49" s="38">
        <f>IF((ዕቁብ!CB51/ቦኖ!$C$4&gt;0),1,0)</f>
        <v>1</v>
      </c>
      <c r="CB49" s="38">
        <f>IF((ዕቁብ!CC51/ቦኖ!$C$4&gt;0),1,0)</f>
        <v>1</v>
      </c>
      <c r="CC49" s="38">
        <f>IF((ዕቁብ!CD51/ቦኖ!$C$4&gt;0),1,0)</f>
        <v>1</v>
      </c>
      <c r="CD49" s="38">
        <f>IF((ዕቁብ!CE51/ቦኖ!$C$4&gt;0),1,0)</f>
        <v>1</v>
      </c>
      <c r="CE49" s="38">
        <f>IF((ዕቁብ!CF51/ቦኖ!$C$4&gt;0),1,0)</f>
        <v>0</v>
      </c>
      <c r="CF49" s="38">
        <f>IF((ዕቁብ!CG51/ቦኖ!$C$4&gt;0),1,0)</f>
        <v>1</v>
      </c>
      <c r="CG49" s="38">
        <f>IF((ዕቁብ!CH51/ቦኖ!$C$4&gt;0),1,0)</f>
        <v>1</v>
      </c>
      <c r="CH49" s="38">
        <f>IF((ዕቁብ!CI51/ቦኖ!$C$4&gt;0),1,0)</f>
        <v>1</v>
      </c>
      <c r="CI49" s="38">
        <f>IF((ዕቁብ!CJ51/ቦኖ!$C$4&gt;0),1,0)</f>
        <v>1</v>
      </c>
      <c r="CJ49" s="38">
        <f>IF((ዕቁብ!CK51/ቦኖ!$C$4&gt;0),1,0)</f>
        <v>1</v>
      </c>
      <c r="CK49" s="38">
        <f>IF((ዕቁብ!CL51/ቦኖ!$C$4&gt;0),1,0)</f>
        <v>1</v>
      </c>
      <c r="CL49" s="38">
        <f>IF((ዕቁብ!CM51/ቦኖ!$C$4&gt;0),1,0)</f>
        <v>1</v>
      </c>
      <c r="CM49" s="38">
        <f>IF((ዕቁብ!CN51/ቦኖ!$C$4&gt;0),1,0)</f>
        <v>1</v>
      </c>
      <c r="CN49" s="38">
        <f>IF((ዕቁብ!CO51/ቦኖ!$C$4&gt;0),1,0)</f>
        <v>1</v>
      </c>
      <c r="CO49" s="38">
        <f>IF((ዕቁብ!CP51/ቦኖ!$C$4&gt;0),1,0)</f>
        <v>1</v>
      </c>
      <c r="CP49" s="38">
        <f>IF((ዕቁብ!CQ51/ቦኖ!$C$4&gt;0),1,0)</f>
        <v>1</v>
      </c>
      <c r="CQ49" s="38">
        <f>IF((ዕቁብ!CR51/ቦኖ!$C$4&gt;0),1,0)</f>
        <v>1</v>
      </c>
      <c r="CR49" s="38">
        <f>IF((ዕቁብ!CS51/ቦኖ!$C$4&gt;0),1,0)</f>
        <v>1</v>
      </c>
      <c r="CS49" s="38">
        <f>IF((ዕቁብ!CT51/ቦኖ!$C$4&gt;0),1,0)</f>
        <v>1</v>
      </c>
      <c r="CT49" s="38">
        <f>IF((ዕቁብ!CU51/ቦኖ!$C$4&gt;0),1,0)</f>
        <v>1</v>
      </c>
      <c r="CU49" s="38">
        <f>IF((ዕቁብ!CV51/ቦኖ!$C$4&gt;0),1,0)</f>
        <v>1</v>
      </c>
      <c r="CV49" s="38">
        <f>IF((ዕቁብ!CW51/ቦኖ!$C$4&gt;0),1,0)</f>
        <v>1</v>
      </c>
      <c r="CW49" s="38">
        <f>IF((ዕቁብ!CX51/ቦኖ!$C$4&gt;0),1,0)</f>
        <v>1</v>
      </c>
      <c r="CX49" s="38">
        <f>IF((ዕቁብ!CY51/ቦኖ!$C$4&gt;0),1,0)</f>
        <v>1</v>
      </c>
      <c r="CY49" s="38">
        <f>IF((ዕቁብ!CZ51/ቦኖ!$C$4&gt;0),1,0)</f>
        <v>1</v>
      </c>
      <c r="CZ49" s="38">
        <f>IF((ዕቁብ!DA51/ቦኖ!$C$4&gt;0),1,0)</f>
        <v>0</v>
      </c>
      <c r="DA49" s="38">
        <f>IF((ዕቁብ!DB51/ቦኖ!$C$4&gt;0),1,0)</f>
        <v>1</v>
      </c>
      <c r="DB49" s="38">
        <f>IF((ዕቁብ!DC51/ቦኖ!$C$4&gt;0),1,0)</f>
        <v>0</v>
      </c>
      <c r="DC49" s="38">
        <f>IF((ዕቁብ!DD51/ቦኖ!$C$4&gt;0),1,0)</f>
        <v>1</v>
      </c>
      <c r="DD49" s="38">
        <f>IF((ዕቁብ!DE51/ቦኖ!$C$4&gt;0),1,0)</f>
        <v>1</v>
      </c>
      <c r="DE49" s="38">
        <f>IF((ዕቁብ!DF51/ቦኖ!$C$4&gt;0),1,0)</f>
        <v>0</v>
      </c>
      <c r="DF49" s="38">
        <f>IF((ዕቁብ!DG51/ቦኖ!$C$4&gt;0),1,0)</f>
        <v>1</v>
      </c>
      <c r="DG49" s="38">
        <f>IF((ዕቁብ!DH51/ቦኖ!$C$4&gt;0),1,0)</f>
        <v>0</v>
      </c>
      <c r="DH49" s="38">
        <f>IF((ዕቁብ!DI51/ቦኖ!$C$4&gt;0),1,0)</f>
        <v>0</v>
      </c>
      <c r="DI49" s="38">
        <f>IF((ዕቁብ!DJ51/ቦኖ!$C$4&gt;0),1,0)</f>
        <v>0</v>
      </c>
      <c r="DJ49" s="38">
        <f>IF((ዕቁብ!DK51/ቦኖ!$C$4&gt;0),1,0)</f>
        <v>0</v>
      </c>
      <c r="DK49" s="38">
        <f>IF((ዕቁብ!DL51/ቦኖ!$C$4&gt;0),1,0)</f>
        <v>0</v>
      </c>
      <c r="DL49" s="38">
        <f>IF((ዕቁብ!DM51/ቦኖ!$C$4&gt;0),1,0)</f>
        <v>0</v>
      </c>
      <c r="DM49" s="38">
        <f>IF((ዕቁብ!DN51/ቦኖ!$C$4&gt;0),1,0)</f>
        <v>0</v>
      </c>
      <c r="DN49" s="38">
        <f>IF((ዕቁብ!DO51/ቦኖ!$C$4&gt;0),1,0)</f>
        <v>0</v>
      </c>
      <c r="DO49" s="38">
        <f>IF((ዕቁብ!DP51/ቦኖ!$C$4&gt;0),1,0)</f>
        <v>0</v>
      </c>
      <c r="DP49" s="38">
        <f>IF((ዕቁብ!DQ51/ቦኖ!$C$4&gt;0),1,0)</f>
        <v>0</v>
      </c>
      <c r="DQ49" s="38">
        <f>IF((ዕቁብ!DR51/ቦኖ!$C$4&gt;0),1,0)</f>
        <v>0</v>
      </c>
    </row>
    <row r="50" spans="1:121" ht="15.75" customHeight="1" x14ac:dyDescent="0.3">
      <c r="A50" s="33">
        <f>ዕቁብ!A52</f>
        <v>46</v>
      </c>
      <c r="B50" s="33" t="str">
        <f>ዕቁብ!B52</f>
        <v>ማሩ ዱቤ</v>
      </c>
      <c r="C50" s="37">
        <f>ዕቁብ!C52</f>
        <v>21000</v>
      </c>
      <c r="D50" s="38">
        <f>IF((ዕቁብ!E52/ቦኖ!$C$4&gt;0),1,0)</f>
        <v>1</v>
      </c>
      <c r="E50" s="38">
        <f>IF((ዕቁብ!F52/ቦኖ!$C$4&gt;0),1,0)</f>
        <v>1</v>
      </c>
      <c r="F50" s="38">
        <f>IF((ዕቁብ!G52/ቦኖ!$C$4&gt;0),1,0)</f>
        <v>1</v>
      </c>
      <c r="G50" s="38">
        <f>IF((ዕቁብ!H52/ቦኖ!$C$4&gt;0),1,0)</f>
        <v>1</v>
      </c>
      <c r="H50" s="38">
        <f>IF((ዕቁብ!I52/ቦኖ!$C$4&gt;0),1,0)</f>
        <v>1</v>
      </c>
      <c r="I50" s="38">
        <f>IF((ዕቁብ!J52/ቦኖ!$C$4&gt;0),1,0)</f>
        <v>1</v>
      </c>
      <c r="J50" s="38">
        <f>IF((ዕቁብ!K52/ቦኖ!$C$4&gt;0),1,0)</f>
        <v>1</v>
      </c>
      <c r="K50" s="38">
        <f>IF((ዕቁብ!L52/ቦኖ!$C$4&gt;0),1,0)</f>
        <v>1</v>
      </c>
      <c r="L50" s="38">
        <f>IF((ዕቁብ!M52/ቦኖ!$C$4&gt;0),1,0)</f>
        <v>1</v>
      </c>
      <c r="M50" s="38">
        <f>IF((ዕቁብ!N52/ቦኖ!$C$4&gt;0),1,0)</f>
        <v>1</v>
      </c>
      <c r="N50" s="38">
        <f>IF((ዕቁብ!O52/ቦኖ!$C$4&gt;0),1,0)</f>
        <v>1</v>
      </c>
      <c r="O50" s="38">
        <f>IF((ዕቁብ!P52/ቦኖ!$C$4&gt;0),1,0)</f>
        <v>1</v>
      </c>
      <c r="P50" s="38">
        <f>IF((ዕቁብ!Q52/ቦኖ!$C$4&gt;0),1,0)</f>
        <v>1</v>
      </c>
      <c r="Q50" s="38">
        <f>IF((ዕቁብ!R52/ቦኖ!$C$4&gt;0),1,0)</f>
        <v>1</v>
      </c>
      <c r="R50" s="38">
        <f>IF((ዕቁብ!S52/ቦኖ!$C$4&gt;0),1,0)</f>
        <v>1</v>
      </c>
      <c r="S50" s="38">
        <f>IF((ዕቁብ!T52/ቦኖ!$C$4&gt;0),1,0)</f>
        <v>1</v>
      </c>
      <c r="T50" s="38">
        <f>IF((ዕቁብ!U52/ቦኖ!$C$4&gt;0),1,0)</f>
        <v>1</v>
      </c>
      <c r="U50" s="38">
        <f>IF((ዕቁብ!V52/ቦኖ!$C$4&gt;0),1,0)</f>
        <v>1</v>
      </c>
      <c r="V50" s="38">
        <f>IF((ዕቁብ!W52/ቦኖ!$C$4&gt;0),1,0)</f>
        <v>1</v>
      </c>
      <c r="W50" s="38">
        <f>IF((ዕቁብ!X52/ቦኖ!$C$4&gt;0),1,0)</f>
        <v>1</v>
      </c>
      <c r="X50" s="38">
        <f>IF((ዕቁብ!Y52/ቦኖ!$C$4&gt;0),1,0)</f>
        <v>1</v>
      </c>
      <c r="Y50" s="38">
        <f>IF((ዕቁብ!Z52/ቦኖ!$C$4&gt;0),1,0)</f>
        <v>1</v>
      </c>
      <c r="Z50" s="38">
        <f>IF((ዕቁብ!AA52/ቦኖ!$C$4&gt;0),1,0)</f>
        <v>1</v>
      </c>
      <c r="AA50" s="38">
        <f>IF((ዕቁብ!AB52/ቦኖ!$C$4&gt;0),1,0)</f>
        <v>1</v>
      </c>
      <c r="AB50" s="38">
        <f>IF((ዕቁብ!AC52/ቦኖ!$C$4&gt;0),1,0)</f>
        <v>1</v>
      </c>
      <c r="AC50" s="38">
        <f>IF((ዕቁብ!AD52/ቦኖ!$C$4&gt;0),1,0)</f>
        <v>1</v>
      </c>
      <c r="AD50" s="38">
        <f>IF((ዕቁብ!AE52/ቦኖ!$C$4&gt;0),1,0)</f>
        <v>1</v>
      </c>
      <c r="AE50" s="38">
        <f>IF((ዕቁብ!AF52/ቦኖ!$C$4&gt;0),1,0)</f>
        <v>1</v>
      </c>
      <c r="AF50" s="38">
        <f>IF((ዕቁብ!AG52/ቦኖ!$C$4&gt;0),1,0)</f>
        <v>1</v>
      </c>
      <c r="AG50" s="38">
        <f>IF((ዕቁብ!AH52/ቦኖ!$C$4&gt;0),1,0)</f>
        <v>1</v>
      </c>
      <c r="AH50" s="38">
        <f>IF((ዕቁብ!AI52/ቦኖ!$C$4&gt;0),1,0)</f>
        <v>1</v>
      </c>
      <c r="AI50" s="38">
        <f>IF((ዕቁብ!AJ52/ቦኖ!$C$4&gt;0),1,0)</f>
        <v>1</v>
      </c>
      <c r="AJ50" s="38">
        <f>IF((ዕቁብ!AK52/ቦኖ!$C$4&gt;0),1,0)</f>
        <v>1</v>
      </c>
      <c r="AK50" s="38">
        <f>IF((ዕቁብ!AL52/ቦኖ!$C$4&gt;0),1,0)</f>
        <v>1</v>
      </c>
      <c r="AL50" s="38">
        <f>IF((ዕቁብ!AM52/ቦኖ!$C$4&gt;0),1,0)</f>
        <v>1</v>
      </c>
      <c r="AM50" s="38">
        <f>IF((ዕቁብ!AN52/ቦኖ!$C$4&gt;0),1,0)</f>
        <v>1</v>
      </c>
      <c r="AN50" s="38">
        <f>IF((ዕቁብ!AO52/ቦኖ!$C$4&gt;0),1,0)</f>
        <v>1</v>
      </c>
      <c r="AO50" s="38">
        <f>IF((ዕቁብ!AP52/ቦኖ!$C$4&gt;0),1,0)</f>
        <v>1</v>
      </c>
      <c r="AP50" s="38">
        <f>IF((ዕቁብ!AQ52/ቦኖ!$C$4&gt;0),1,0)</f>
        <v>1</v>
      </c>
      <c r="AQ50" s="38">
        <f>IF((ዕቁብ!AR52/ቦኖ!$C$4&gt;0),1,0)</f>
        <v>1</v>
      </c>
      <c r="AR50" s="38">
        <f>IF((ዕቁብ!AS52/ቦኖ!$C$4&gt;0),1,0)</f>
        <v>1</v>
      </c>
      <c r="AS50" s="38">
        <f>IF((ዕቁብ!AT52/ቦኖ!$C$4&gt;0),1,0)</f>
        <v>1</v>
      </c>
      <c r="AT50" s="38">
        <f>IF((ዕቁብ!AU52/ቦኖ!$C$4&gt;0),1,0)</f>
        <v>1</v>
      </c>
      <c r="AU50" s="38">
        <f>IF((ዕቁብ!AV52/ቦኖ!$C$4&gt;0),1,0)</f>
        <v>1</v>
      </c>
      <c r="AV50" s="38">
        <f>IF((ዕቁብ!AW52/ቦኖ!$C$4&gt;0),1,0)</f>
        <v>1</v>
      </c>
      <c r="AW50" s="38">
        <f>IF((ዕቁብ!AX52/ቦኖ!$C$4&gt;0),1,0)</f>
        <v>1</v>
      </c>
      <c r="AX50" s="38">
        <f>IF((ዕቁብ!AY52/ቦኖ!$C$4&gt;0),1,0)</f>
        <v>1</v>
      </c>
      <c r="AY50" s="38">
        <f>IF((ዕቁብ!AZ52/ቦኖ!$C$4&gt;0),1,0)</f>
        <v>1</v>
      </c>
      <c r="AZ50" s="38">
        <f>IF((ዕቁብ!BA52/ቦኖ!$C$4&gt;0),1,0)</f>
        <v>1</v>
      </c>
      <c r="BA50" s="38">
        <f>IF((ዕቁብ!BB52/ቦኖ!$C$4&gt;0),1,0)</f>
        <v>1</v>
      </c>
      <c r="BB50" s="38">
        <f>IF((ዕቁብ!BC52/ቦኖ!$C$4&gt;0),1,0)</f>
        <v>1</v>
      </c>
      <c r="BC50" s="38">
        <f>IF((ዕቁብ!BD52/ቦኖ!$C$4&gt;0),1,0)</f>
        <v>1</v>
      </c>
      <c r="BD50" s="38">
        <f>IF((ዕቁብ!BE52/ቦኖ!$C$4&gt;0),1,0)</f>
        <v>1</v>
      </c>
      <c r="BE50" s="38">
        <f>IF((ዕቁብ!BF52/ቦኖ!$C$4&gt;0),1,0)</f>
        <v>1</v>
      </c>
      <c r="BF50" s="38">
        <f>IF((ዕቁብ!BG52/ቦኖ!$C$4&gt;0),1,0)</f>
        <v>1</v>
      </c>
      <c r="BG50" s="38">
        <f>IF((ዕቁብ!BH52/ቦኖ!$C$4&gt;0),1,0)</f>
        <v>1</v>
      </c>
      <c r="BH50" s="38">
        <f>IF((ዕቁብ!BI52/ቦኖ!$C$4&gt;0),1,0)</f>
        <v>1</v>
      </c>
      <c r="BI50" s="38">
        <f>IF((ዕቁብ!BJ52/ቦኖ!$C$4&gt;0),1,0)</f>
        <v>1</v>
      </c>
      <c r="BJ50" s="38">
        <f>IF((ዕቁብ!BK52/ቦኖ!$C$4&gt;0),1,0)</f>
        <v>1</v>
      </c>
      <c r="BK50" s="38">
        <f>IF((ዕቁብ!BL52/ቦኖ!$C$4&gt;0),1,0)</f>
        <v>1</v>
      </c>
      <c r="BL50" s="38">
        <f>IF((ዕቁብ!BM52/ቦኖ!$C$4&gt;0),1,0)</f>
        <v>1</v>
      </c>
      <c r="BM50" s="38">
        <f>IF((ዕቁብ!BN52/ቦኖ!$C$4&gt;0),1,0)</f>
        <v>0</v>
      </c>
      <c r="BN50" s="38">
        <f>IF((ዕቁብ!BO52/ቦኖ!$C$4&gt;0),1,0)</f>
        <v>1</v>
      </c>
      <c r="BO50" s="38">
        <f>IF((ዕቁብ!BP52/ቦኖ!$C$4&gt;0),1,0)</f>
        <v>1</v>
      </c>
      <c r="BP50" s="38">
        <f>IF((ዕቁብ!BQ52/ቦኖ!$C$4&gt;0),1,0)</f>
        <v>1</v>
      </c>
      <c r="BQ50" s="38">
        <f>IF((ዕቁብ!BR52/ቦኖ!$C$4&gt;0),1,0)</f>
        <v>1</v>
      </c>
      <c r="BR50" s="38">
        <f>IF((ዕቁብ!BS52/ቦኖ!$C$4&gt;0),1,0)</f>
        <v>1</v>
      </c>
      <c r="BS50" s="38">
        <f>IF((ዕቁብ!BT52/ቦኖ!$C$4&gt;0),1,0)</f>
        <v>1</v>
      </c>
      <c r="BT50" s="38">
        <f>IF((ዕቁብ!BU52/ቦኖ!$C$4&gt;0),1,0)</f>
        <v>1</v>
      </c>
      <c r="BU50" s="38">
        <f>IF((ዕቁብ!BV52/ቦኖ!$C$4&gt;0),1,0)</f>
        <v>1</v>
      </c>
      <c r="BV50" s="38">
        <f>IF((ዕቁብ!BW52/ቦኖ!$C$4&gt;0),1,0)</f>
        <v>1</v>
      </c>
      <c r="BW50" s="38">
        <f>IF((ዕቁብ!BX52/ቦኖ!$C$4&gt;0),1,0)</f>
        <v>1</v>
      </c>
      <c r="BX50" s="38">
        <f>IF((ዕቁብ!BY52/ቦኖ!$C$4&gt;0),1,0)</f>
        <v>1</v>
      </c>
      <c r="BY50" s="38">
        <f>IF((ዕቁብ!BZ52/ቦኖ!$C$4&gt;0),1,0)</f>
        <v>1</v>
      </c>
      <c r="BZ50" s="38">
        <f>IF((ዕቁብ!CA52/ቦኖ!$C$4&gt;0),1,0)</f>
        <v>1</v>
      </c>
      <c r="CA50" s="38">
        <f>IF((ዕቁብ!CB52/ቦኖ!$C$4&gt;0),1,0)</f>
        <v>1</v>
      </c>
      <c r="CB50" s="38">
        <f>IF((ዕቁብ!CC52/ቦኖ!$C$4&gt;0),1,0)</f>
        <v>1</v>
      </c>
      <c r="CC50" s="38">
        <f>IF((ዕቁብ!CD52/ቦኖ!$C$4&gt;0),1,0)</f>
        <v>1</v>
      </c>
      <c r="CD50" s="38">
        <f>IF((ዕቁብ!CE52/ቦኖ!$C$4&gt;0),1,0)</f>
        <v>1</v>
      </c>
      <c r="CE50" s="38">
        <f>IF((ዕቁብ!CF52/ቦኖ!$C$4&gt;0),1,0)</f>
        <v>1</v>
      </c>
      <c r="CF50" s="38">
        <f>IF((ዕቁብ!CG52/ቦኖ!$C$4&gt;0),1,0)</f>
        <v>1</v>
      </c>
      <c r="CG50" s="38">
        <f>IF((ዕቁብ!CH52/ቦኖ!$C$4&gt;0),1,0)</f>
        <v>1</v>
      </c>
      <c r="CH50" s="38">
        <f>IF((ዕቁብ!CI52/ቦኖ!$C$4&gt;0),1,0)</f>
        <v>1</v>
      </c>
      <c r="CI50" s="38">
        <f>IF((ዕቁብ!CJ52/ቦኖ!$C$4&gt;0),1,0)</f>
        <v>1</v>
      </c>
      <c r="CJ50" s="38">
        <f>IF((ዕቁብ!CK52/ቦኖ!$C$4&gt;0),1,0)</f>
        <v>1</v>
      </c>
      <c r="CK50" s="38">
        <f>IF((ዕቁብ!CL52/ቦኖ!$C$4&gt;0),1,0)</f>
        <v>1</v>
      </c>
      <c r="CL50" s="38">
        <f>IF((ዕቁብ!CM52/ቦኖ!$C$4&gt;0),1,0)</f>
        <v>1</v>
      </c>
      <c r="CM50" s="38">
        <f>IF((ዕቁብ!CN52/ቦኖ!$C$4&gt;0),1,0)</f>
        <v>1</v>
      </c>
      <c r="CN50" s="38">
        <f>IF((ዕቁብ!CO52/ቦኖ!$C$4&gt;0),1,0)</f>
        <v>1</v>
      </c>
      <c r="CO50" s="38">
        <f>IF((ዕቁብ!CP52/ቦኖ!$C$4&gt;0),1,0)</f>
        <v>1</v>
      </c>
      <c r="CP50" s="38">
        <f>IF((ዕቁብ!CQ52/ቦኖ!$C$4&gt;0),1,0)</f>
        <v>1</v>
      </c>
      <c r="CQ50" s="38">
        <f>IF((ዕቁብ!CR52/ቦኖ!$C$4&gt;0),1,0)</f>
        <v>1</v>
      </c>
      <c r="CR50" s="38">
        <f>IF((ዕቁብ!CS52/ቦኖ!$C$4&gt;0),1,0)</f>
        <v>1</v>
      </c>
      <c r="CS50" s="38">
        <f>IF((ዕቁብ!CT52/ቦኖ!$C$4&gt;0),1,0)</f>
        <v>1</v>
      </c>
      <c r="CT50" s="38">
        <f>IF((ዕቁብ!CU52/ቦኖ!$C$4&gt;0),1,0)</f>
        <v>1</v>
      </c>
      <c r="CU50" s="38">
        <f>IF((ዕቁብ!CV52/ቦኖ!$C$4&gt;0),1,0)</f>
        <v>1</v>
      </c>
      <c r="CV50" s="38">
        <f>IF((ዕቁብ!CW52/ቦኖ!$C$4&gt;0),1,0)</f>
        <v>1</v>
      </c>
      <c r="CW50" s="38">
        <f>IF((ዕቁብ!CX52/ቦኖ!$C$4&gt;0),1,0)</f>
        <v>1</v>
      </c>
      <c r="CX50" s="38">
        <f>IF((ዕቁብ!CY52/ቦኖ!$C$4&gt;0),1,0)</f>
        <v>1</v>
      </c>
      <c r="CY50" s="38">
        <f>IF((ዕቁብ!CZ52/ቦኖ!$C$4&gt;0),1,0)</f>
        <v>1</v>
      </c>
      <c r="CZ50" s="38">
        <f>IF((ዕቁብ!DA52/ቦኖ!$C$4&gt;0),1,0)</f>
        <v>1</v>
      </c>
      <c r="DA50" s="38">
        <f>IF((ዕቁብ!DB52/ቦኖ!$C$4&gt;0),1,0)</f>
        <v>1</v>
      </c>
      <c r="DB50" s="38">
        <f>IF((ዕቁብ!DC52/ቦኖ!$C$4&gt;0),1,0)</f>
        <v>1</v>
      </c>
      <c r="DC50" s="38">
        <f>IF((ዕቁብ!DD52/ቦኖ!$C$4&gt;0),1,0)</f>
        <v>1</v>
      </c>
      <c r="DD50" s="38">
        <f>IF((ዕቁብ!DE52/ቦኖ!$C$4&gt;0),1,0)</f>
        <v>1</v>
      </c>
      <c r="DE50" s="38">
        <f>IF((ዕቁብ!DF52/ቦኖ!$C$4&gt;0),1,0)</f>
        <v>1</v>
      </c>
      <c r="DF50" s="38">
        <f>IF((ዕቁብ!DG52/ቦኖ!$C$4&gt;0),1,0)</f>
        <v>1</v>
      </c>
      <c r="DG50" s="38">
        <f>IF((ዕቁብ!DH52/ቦኖ!$C$4&gt;0),1,0)</f>
        <v>1</v>
      </c>
      <c r="DH50" s="38">
        <f>IF((ዕቁብ!DI52/ቦኖ!$C$4&gt;0),1,0)</f>
        <v>0</v>
      </c>
      <c r="DI50" s="38">
        <f>IF((ዕቁብ!DJ52/ቦኖ!$C$4&gt;0),1,0)</f>
        <v>0</v>
      </c>
      <c r="DJ50" s="38">
        <f>IF((ዕቁብ!DK52/ቦኖ!$C$4&gt;0),1,0)</f>
        <v>0</v>
      </c>
      <c r="DK50" s="38">
        <f>IF((ዕቁብ!DL52/ቦኖ!$C$4&gt;0),1,0)</f>
        <v>0</v>
      </c>
      <c r="DL50" s="38">
        <f>IF((ዕቁብ!DM52/ቦኖ!$C$4&gt;0),1,0)</f>
        <v>0</v>
      </c>
      <c r="DM50" s="38">
        <f>IF((ዕቁብ!DN52/ቦኖ!$C$4&gt;0),1,0)</f>
        <v>0</v>
      </c>
      <c r="DN50" s="38">
        <f>IF((ዕቁብ!DO52/ቦኖ!$C$4&gt;0),1,0)</f>
        <v>0</v>
      </c>
      <c r="DO50" s="38">
        <f>IF((ዕቁብ!DP52/ቦኖ!$C$4&gt;0),1,0)</f>
        <v>0</v>
      </c>
      <c r="DP50" s="38">
        <f>IF((ዕቁብ!DQ52/ቦኖ!$C$4&gt;0),1,0)</f>
        <v>0</v>
      </c>
      <c r="DQ50" s="38">
        <f>IF((ዕቁብ!DR52/ቦኖ!$C$4&gt;0),1,0)</f>
        <v>0</v>
      </c>
    </row>
    <row r="51" spans="1:121" ht="15.75" customHeight="1" x14ac:dyDescent="0.3">
      <c r="A51" s="33">
        <f>ዕቁብ!A53</f>
        <v>47</v>
      </c>
      <c r="B51" s="33" t="str">
        <f>ዕቁብ!B53</f>
        <v xml:space="preserve">ሞገስ ግርማ </v>
      </c>
      <c r="C51" s="37">
        <f>ዕቁብ!C53</f>
        <v>21000</v>
      </c>
      <c r="D51" s="38">
        <f>IF((ዕቁብ!E53/ቦኖ!$C$4&gt;0),1,0)</f>
        <v>1</v>
      </c>
      <c r="E51" s="38">
        <f>IF((ዕቁብ!F53/ቦኖ!$C$4&gt;0),1,0)</f>
        <v>1</v>
      </c>
      <c r="F51" s="38">
        <f>IF((ዕቁብ!G53/ቦኖ!$C$4&gt;0),1,0)</f>
        <v>1</v>
      </c>
      <c r="G51" s="38">
        <f>IF((ዕቁብ!H53/ቦኖ!$C$4&gt;0),1,0)</f>
        <v>1</v>
      </c>
      <c r="H51" s="38">
        <f>IF((ዕቁብ!I53/ቦኖ!$C$4&gt;0),1,0)</f>
        <v>1</v>
      </c>
      <c r="I51" s="38">
        <f>IF((ዕቁብ!J53/ቦኖ!$C$4&gt;0),1,0)</f>
        <v>1</v>
      </c>
      <c r="J51" s="38">
        <f>IF((ዕቁብ!K53/ቦኖ!$C$4&gt;0),1,0)</f>
        <v>1</v>
      </c>
      <c r="K51" s="38">
        <f>IF((ዕቁብ!L53/ቦኖ!$C$4&gt;0),1,0)</f>
        <v>1</v>
      </c>
      <c r="L51" s="38">
        <f>IF((ዕቁብ!M53/ቦኖ!$C$4&gt;0),1,0)</f>
        <v>1</v>
      </c>
      <c r="M51" s="38">
        <f>IF((ዕቁብ!N53/ቦኖ!$C$4&gt;0),1,0)</f>
        <v>1</v>
      </c>
      <c r="N51" s="38">
        <f>IF((ዕቁብ!O53/ቦኖ!$C$4&gt;0),1,0)</f>
        <v>1</v>
      </c>
      <c r="O51" s="38">
        <f>IF((ዕቁብ!P53/ቦኖ!$C$4&gt;0),1,0)</f>
        <v>1</v>
      </c>
      <c r="P51" s="38">
        <f>IF((ዕቁብ!Q53/ቦኖ!$C$4&gt;0),1,0)</f>
        <v>1</v>
      </c>
      <c r="Q51" s="38">
        <f>IF((ዕቁብ!R53/ቦኖ!$C$4&gt;0),1,0)</f>
        <v>1</v>
      </c>
      <c r="R51" s="38">
        <f>IF((ዕቁብ!S53/ቦኖ!$C$4&gt;0),1,0)</f>
        <v>1</v>
      </c>
      <c r="S51" s="38">
        <f>IF((ዕቁብ!T53/ቦኖ!$C$4&gt;0),1,0)</f>
        <v>1</v>
      </c>
      <c r="T51" s="38">
        <f>IF((ዕቁብ!U53/ቦኖ!$C$4&gt;0),1,0)</f>
        <v>1</v>
      </c>
      <c r="U51" s="38">
        <f>IF((ዕቁብ!V53/ቦኖ!$C$4&gt;0),1,0)</f>
        <v>1</v>
      </c>
      <c r="V51" s="38">
        <f>IF((ዕቁብ!W53/ቦኖ!$C$4&gt;0),1,0)</f>
        <v>1</v>
      </c>
      <c r="W51" s="38">
        <f>IF((ዕቁብ!X53/ቦኖ!$C$4&gt;0),1,0)</f>
        <v>1</v>
      </c>
      <c r="X51" s="38">
        <f>IF((ዕቁብ!Y53/ቦኖ!$C$4&gt;0),1,0)</f>
        <v>1</v>
      </c>
      <c r="Y51" s="38">
        <f>IF((ዕቁብ!Z53/ቦኖ!$C$4&gt;0),1,0)</f>
        <v>1</v>
      </c>
      <c r="Z51" s="38">
        <f>IF((ዕቁብ!AA53/ቦኖ!$C$4&gt;0),1,0)</f>
        <v>1</v>
      </c>
      <c r="AA51" s="38">
        <f>IF((ዕቁብ!AB53/ቦኖ!$C$4&gt;0),1,0)</f>
        <v>1</v>
      </c>
      <c r="AB51" s="38">
        <f>IF((ዕቁብ!AC53/ቦኖ!$C$4&gt;0),1,0)</f>
        <v>1</v>
      </c>
      <c r="AC51" s="38">
        <f>IF((ዕቁብ!AD53/ቦኖ!$C$4&gt;0),1,0)</f>
        <v>1</v>
      </c>
      <c r="AD51" s="38">
        <f>IF((ዕቁብ!AE53/ቦኖ!$C$4&gt;0),1,0)</f>
        <v>1</v>
      </c>
      <c r="AE51" s="38">
        <f>IF((ዕቁብ!AF53/ቦኖ!$C$4&gt;0),1,0)</f>
        <v>1</v>
      </c>
      <c r="AF51" s="38">
        <f>IF((ዕቁብ!AG53/ቦኖ!$C$4&gt;0),1,0)</f>
        <v>1</v>
      </c>
      <c r="AG51" s="38">
        <f>IF((ዕቁብ!AH53/ቦኖ!$C$4&gt;0),1,0)</f>
        <v>1</v>
      </c>
      <c r="AH51" s="38">
        <f>IF((ዕቁብ!AI53/ቦኖ!$C$4&gt;0),1,0)</f>
        <v>1</v>
      </c>
      <c r="AI51" s="38">
        <f>IF((ዕቁብ!AJ53/ቦኖ!$C$4&gt;0),1,0)</f>
        <v>1</v>
      </c>
      <c r="AJ51" s="38">
        <f>IF((ዕቁብ!AK53/ቦኖ!$C$4&gt;0),1,0)</f>
        <v>1</v>
      </c>
      <c r="AK51" s="38">
        <f>IF((ዕቁብ!AL53/ቦኖ!$C$4&gt;0),1,0)</f>
        <v>1</v>
      </c>
      <c r="AL51" s="38">
        <f>IF((ዕቁብ!AM53/ቦኖ!$C$4&gt;0),1,0)</f>
        <v>1</v>
      </c>
      <c r="AM51" s="38">
        <f>IF((ዕቁብ!AN53/ቦኖ!$C$4&gt;0),1,0)</f>
        <v>1</v>
      </c>
      <c r="AN51" s="38">
        <f>IF((ዕቁብ!AO53/ቦኖ!$C$4&gt;0),1,0)</f>
        <v>1</v>
      </c>
      <c r="AO51" s="38">
        <f>IF((ዕቁብ!AP53/ቦኖ!$C$4&gt;0),1,0)</f>
        <v>1</v>
      </c>
      <c r="AP51" s="38">
        <f>IF((ዕቁብ!AQ53/ቦኖ!$C$4&gt;0),1,0)</f>
        <v>1</v>
      </c>
      <c r="AQ51" s="38">
        <f>IF((ዕቁብ!AR53/ቦኖ!$C$4&gt;0),1,0)</f>
        <v>1</v>
      </c>
      <c r="AR51" s="38">
        <f>IF((ዕቁብ!AS53/ቦኖ!$C$4&gt;0),1,0)</f>
        <v>1</v>
      </c>
      <c r="AS51" s="38">
        <f>IF((ዕቁብ!AT53/ቦኖ!$C$4&gt;0),1,0)</f>
        <v>1</v>
      </c>
      <c r="AT51" s="38">
        <f>IF((ዕቁብ!AU53/ቦኖ!$C$4&gt;0),1,0)</f>
        <v>1</v>
      </c>
      <c r="AU51" s="38">
        <f>IF((ዕቁብ!AV53/ቦኖ!$C$4&gt;0),1,0)</f>
        <v>1</v>
      </c>
      <c r="AV51" s="38">
        <f>IF((ዕቁብ!AW53/ቦኖ!$C$4&gt;0),1,0)</f>
        <v>1</v>
      </c>
      <c r="AW51" s="38">
        <f>IF((ዕቁብ!AX53/ቦኖ!$C$4&gt;0),1,0)</f>
        <v>1</v>
      </c>
      <c r="AX51" s="38">
        <f>IF((ዕቁብ!AY53/ቦኖ!$C$4&gt;0),1,0)</f>
        <v>1</v>
      </c>
      <c r="AY51" s="38">
        <f>IF((ዕቁብ!AZ53/ቦኖ!$C$4&gt;0),1,0)</f>
        <v>0</v>
      </c>
      <c r="AZ51" s="38">
        <f>IF((ዕቁብ!BA53/ቦኖ!$C$4&gt;0),1,0)</f>
        <v>1</v>
      </c>
      <c r="BA51" s="38">
        <f>IF((ዕቁብ!BB53/ቦኖ!$C$4&gt;0),1,0)</f>
        <v>1</v>
      </c>
      <c r="BB51" s="38">
        <f>IF((ዕቁብ!BC53/ቦኖ!$C$4&gt;0),1,0)</f>
        <v>1</v>
      </c>
      <c r="BC51" s="38">
        <f>IF((ዕቁብ!BD53/ቦኖ!$C$4&gt;0),1,0)</f>
        <v>1</v>
      </c>
      <c r="BD51" s="38">
        <f>IF((ዕቁብ!BE53/ቦኖ!$C$4&gt;0),1,0)</f>
        <v>1</v>
      </c>
      <c r="BE51" s="38">
        <f>IF((ዕቁብ!BF53/ቦኖ!$C$4&gt;0),1,0)</f>
        <v>1</v>
      </c>
      <c r="BF51" s="38">
        <f>IF((ዕቁብ!BG53/ቦኖ!$C$4&gt;0),1,0)</f>
        <v>1</v>
      </c>
      <c r="BG51" s="38">
        <f>IF((ዕቁብ!BH53/ቦኖ!$C$4&gt;0),1,0)</f>
        <v>1</v>
      </c>
      <c r="BH51" s="38">
        <f>IF((ዕቁብ!BI53/ቦኖ!$C$4&gt;0),1,0)</f>
        <v>1</v>
      </c>
      <c r="BI51" s="38">
        <f>IF((ዕቁብ!BJ53/ቦኖ!$C$4&gt;0),1,0)</f>
        <v>1</v>
      </c>
      <c r="BJ51" s="38">
        <f>IF((ዕቁብ!BK53/ቦኖ!$C$4&gt;0),1,0)</f>
        <v>1</v>
      </c>
      <c r="BK51" s="38">
        <f>IF((ዕቁብ!BL53/ቦኖ!$C$4&gt;0),1,0)</f>
        <v>1</v>
      </c>
      <c r="BL51" s="38">
        <f>IF((ዕቁብ!BM53/ቦኖ!$C$4&gt;0),1,0)</f>
        <v>1</v>
      </c>
      <c r="BM51" s="38">
        <f>IF((ዕቁብ!BN53/ቦኖ!$C$4&gt;0),1,0)</f>
        <v>0</v>
      </c>
      <c r="BN51" s="38">
        <f>IF((ዕቁብ!BO53/ቦኖ!$C$4&gt;0),1,0)</f>
        <v>1</v>
      </c>
      <c r="BO51" s="38">
        <f>IF((ዕቁብ!BP53/ቦኖ!$C$4&gt;0),1,0)</f>
        <v>1</v>
      </c>
      <c r="BP51" s="38">
        <f>IF((ዕቁብ!BQ53/ቦኖ!$C$4&gt;0),1,0)</f>
        <v>1</v>
      </c>
      <c r="BQ51" s="38">
        <f>IF((ዕቁብ!BR53/ቦኖ!$C$4&gt;0),1,0)</f>
        <v>1</v>
      </c>
      <c r="BR51" s="38">
        <f>IF((ዕቁብ!BS53/ቦኖ!$C$4&gt;0),1,0)</f>
        <v>1</v>
      </c>
      <c r="BS51" s="38">
        <f>IF((ዕቁብ!BT53/ቦኖ!$C$4&gt;0),1,0)</f>
        <v>1</v>
      </c>
      <c r="BT51" s="38">
        <f>IF((ዕቁብ!BU53/ቦኖ!$C$4&gt;0),1,0)</f>
        <v>1</v>
      </c>
      <c r="BU51" s="38">
        <f>IF((ዕቁብ!BV53/ቦኖ!$C$4&gt;0),1,0)</f>
        <v>1</v>
      </c>
      <c r="BV51" s="38">
        <f>IF((ዕቁብ!BW53/ቦኖ!$C$4&gt;0),1,0)</f>
        <v>1</v>
      </c>
      <c r="BW51" s="38">
        <f>IF((ዕቁብ!BX53/ቦኖ!$C$4&gt;0),1,0)</f>
        <v>1</v>
      </c>
      <c r="BX51" s="38">
        <f>IF((ዕቁብ!BY53/ቦኖ!$C$4&gt;0),1,0)</f>
        <v>1</v>
      </c>
      <c r="BY51" s="38">
        <f>IF((ዕቁብ!BZ53/ቦኖ!$C$4&gt;0),1,0)</f>
        <v>1</v>
      </c>
      <c r="BZ51" s="38">
        <f>IF((ዕቁብ!CA53/ቦኖ!$C$4&gt;0),1,0)</f>
        <v>1</v>
      </c>
      <c r="CA51" s="38">
        <f>IF((ዕቁብ!CB53/ቦኖ!$C$4&gt;0),1,0)</f>
        <v>1</v>
      </c>
      <c r="CB51" s="38">
        <f>IF((ዕቁብ!CC53/ቦኖ!$C$4&gt;0),1,0)</f>
        <v>1</v>
      </c>
      <c r="CC51" s="38">
        <f>IF((ዕቁብ!CD53/ቦኖ!$C$4&gt;0),1,0)</f>
        <v>1</v>
      </c>
      <c r="CD51" s="38">
        <f>IF((ዕቁብ!CE53/ቦኖ!$C$4&gt;0),1,0)</f>
        <v>1</v>
      </c>
      <c r="CE51" s="38">
        <f>IF((ዕቁብ!CF53/ቦኖ!$C$4&gt;0),1,0)</f>
        <v>1</v>
      </c>
      <c r="CF51" s="38">
        <f>IF((ዕቁብ!CG53/ቦኖ!$C$4&gt;0),1,0)</f>
        <v>1</v>
      </c>
      <c r="CG51" s="38">
        <f>IF((ዕቁብ!CH53/ቦኖ!$C$4&gt;0),1,0)</f>
        <v>1</v>
      </c>
      <c r="CH51" s="38">
        <f>IF((ዕቁብ!CI53/ቦኖ!$C$4&gt;0),1,0)</f>
        <v>1</v>
      </c>
      <c r="CI51" s="38">
        <f>IF((ዕቁብ!CJ53/ቦኖ!$C$4&gt;0),1,0)</f>
        <v>1</v>
      </c>
      <c r="CJ51" s="38">
        <f>IF((ዕቁብ!CK53/ቦኖ!$C$4&gt;0),1,0)</f>
        <v>1</v>
      </c>
      <c r="CK51" s="38">
        <f>IF((ዕቁብ!CL53/ቦኖ!$C$4&gt;0),1,0)</f>
        <v>1</v>
      </c>
      <c r="CL51" s="38">
        <f>IF((ዕቁብ!CM53/ቦኖ!$C$4&gt;0),1,0)</f>
        <v>1</v>
      </c>
      <c r="CM51" s="38">
        <f>IF((ዕቁብ!CN53/ቦኖ!$C$4&gt;0),1,0)</f>
        <v>0</v>
      </c>
      <c r="CN51" s="38">
        <f>IF((ዕቁብ!CO53/ቦኖ!$C$4&gt;0),1,0)</f>
        <v>1</v>
      </c>
      <c r="CO51" s="38">
        <f>IF((ዕቁብ!CP53/ቦኖ!$C$4&gt;0),1,0)</f>
        <v>1</v>
      </c>
      <c r="CP51" s="38">
        <f>IF((ዕቁብ!CQ53/ቦኖ!$C$4&gt;0),1,0)</f>
        <v>1</v>
      </c>
      <c r="CQ51" s="38">
        <f>IF((ዕቁብ!CR53/ቦኖ!$C$4&gt;0),1,0)</f>
        <v>1</v>
      </c>
      <c r="CR51" s="38">
        <f>IF((ዕቁብ!CS53/ቦኖ!$C$4&gt;0),1,0)</f>
        <v>0</v>
      </c>
      <c r="CS51" s="38">
        <f>IF((ዕቁብ!CT53/ቦኖ!$C$4&gt;0),1,0)</f>
        <v>1</v>
      </c>
      <c r="CT51" s="38">
        <f>IF((ዕቁብ!CU53/ቦኖ!$C$4&gt;0),1,0)</f>
        <v>1</v>
      </c>
      <c r="CU51" s="38">
        <f>IF((ዕቁብ!CV53/ቦኖ!$C$4&gt;0),1,0)</f>
        <v>1</v>
      </c>
      <c r="CV51" s="38">
        <f>IF((ዕቁብ!CW53/ቦኖ!$C$4&gt;0),1,0)</f>
        <v>1</v>
      </c>
      <c r="CW51" s="38">
        <f>IF((ዕቁብ!CX53/ቦኖ!$C$4&gt;0),1,0)</f>
        <v>1</v>
      </c>
      <c r="CX51" s="38">
        <f>IF((ዕቁብ!CY53/ቦኖ!$C$4&gt;0),1,0)</f>
        <v>1</v>
      </c>
      <c r="CY51" s="38">
        <f>IF((ዕቁብ!CZ53/ቦኖ!$C$4&gt;0),1,0)</f>
        <v>1</v>
      </c>
      <c r="CZ51" s="38">
        <f>IF((ዕቁብ!DA53/ቦኖ!$C$4&gt;0),1,0)</f>
        <v>1</v>
      </c>
      <c r="DA51" s="38">
        <f>IF((ዕቁብ!DB53/ቦኖ!$C$4&gt;0),1,0)</f>
        <v>1</v>
      </c>
      <c r="DB51" s="38">
        <f>IF((ዕቁብ!DC53/ቦኖ!$C$4&gt;0),1,0)</f>
        <v>1</v>
      </c>
      <c r="DC51" s="38">
        <f>IF((ዕቁብ!DD53/ቦኖ!$C$4&gt;0),1,0)</f>
        <v>1</v>
      </c>
      <c r="DD51" s="38">
        <f>IF((ዕቁብ!DE53/ቦኖ!$C$4&gt;0),1,0)</f>
        <v>1</v>
      </c>
      <c r="DE51" s="38">
        <f>IF((ዕቁብ!DF53/ቦኖ!$C$4&gt;0),1,0)</f>
        <v>1</v>
      </c>
      <c r="DF51" s="38">
        <f>IF((ዕቁብ!DG53/ቦኖ!$C$4&gt;0),1,0)</f>
        <v>1</v>
      </c>
      <c r="DG51" s="38">
        <f>IF((ዕቁብ!DH53/ቦኖ!$C$4&gt;0),1,0)</f>
        <v>1</v>
      </c>
      <c r="DH51" s="38">
        <f>IF((ዕቁብ!DI53/ቦኖ!$C$4&gt;0),1,0)</f>
        <v>0</v>
      </c>
      <c r="DI51" s="38">
        <f>IF((ዕቁብ!DJ53/ቦኖ!$C$4&gt;0),1,0)</f>
        <v>0</v>
      </c>
      <c r="DJ51" s="38">
        <f>IF((ዕቁብ!DK53/ቦኖ!$C$4&gt;0),1,0)</f>
        <v>0</v>
      </c>
      <c r="DK51" s="38">
        <f>IF((ዕቁብ!DL53/ቦኖ!$C$4&gt;0),1,0)</f>
        <v>0</v>
      </c>
      <c r="DL51" s="38">
        <f>IF((ዕቁብ!DM53/ቦኖ!$C$4&gt;0),1,0)</f>
        <v>0</v>
      </c>
      <c r="DM51" s="38">
        <f>IF((ዕቁብ!DN53/ቦኖ!$C$4&gt;0),1,0)</f>
        <v>0</v>
      </c>
      <c r="DN51" s="38">
        <f>IF((ዕቁብ!DO53/ቦኖ!$C$4&gt;0),1,0)</f>
        <v>0</v>
      </c>
      <c r="DO51" s="38">
        <f>IF((ዕቁብ!DP53/ቦኖ!$C$4&gt;0),1,0)</f>
        <v>0</v>
      </c>
      <c r="DP51" s="38">
        <f>IF((ዕቁብ!DQ53/ቦኖ!$C$4&gt;0),1,0)</f>
        <v>0</v>
      </c>
      <c r="DQ51" s="38">
        <f>IF((ዕቁብ!DR53/ቦኖ!$C$4&gt;0),1,0)</f>
        <v>0</v>
      </c>
    </row>
    <row r="52" spans="1:121" ht="15.75" customHeight="1" x14ac:dyDescent="0.3">
      <c r="A52" s="33">
        <f>ዕቁብ!A54</f>
        <v>48</v>
      </c>
      <c r="B52" s="33" t="str">
        <f>ዕቁብ!B54</f>
        <v>ደርጋሶ ደንዴ</v>
      </c>
      <c r="C52" s="37">
        <f>ዕቁብ!C54</f>
        <v>21000</v>
      </c>
      <c r="D52" s="38">
        <f>IF((ዕቁብ!E54/ቦኖ!$C$4&gt;0),1,0)</f>
        <v>1</v>
      </c>
      <c r="E52" s="38">
        <f>IF((ዕቁብ!F54/ቦኖ!$C$4&gt;0),1,0)</f>
        <v>1</v>
      </c>
      <c r="F52" s="38">
        <f>IF((ዕቁብ!G54/ቦኖ!$C$4&gt;0),1,0)</f>
        <v>1</v>
      </c>
      <c r="G52" s="38">
        <f>IF((ዕቁብ!H54/ቦኖ!$C$4&gt;0),1,0)</f>
        <v>1</v>
      </c>
      <c r="H52" s="38">
        <f>IF((ዕቁብ!I54/ቦኖ!$C$4&gt;0),1,0)</f>
        <v>1</v>
      </c>
      <c r="I52" s="38">
        <f>IF((ዕቁብ!J54/ቦኖ!$C$4&gt;0),1,0)</f>
        <v>1</v>
      </c>
      <c r="J52" s="38">
        <f>IF((ዕቁብ!K54/ቦኖ!$C$4&gt;0),1,0)</f>
        <v>1</v>
      </c>
      <c r="K52" s="38">
        <f>IF((ዕቁብ!L54/ቦኖ!$C$4&gt;0),1,0)</f>
        <v>1</v>
      </c>
      <c r="L52" s="38">
        <f>IF((ዕቁብ!M54/ቦኖ!$C$4&gt;0),1,0)</f>
        <v>1</v>
      </c>
      <c r="M52" s="38">
        <f>IF((ዕቁብ!N54/ቦኖ!$C$4&gt;0),1,0)</f>
        <v>1</v>
      </c>
      <c r="N52" s="38">
        <f>IF((ዕቁብ!O54/ቦኖ!$C$4&gt;0),1,0)</f>
        <v>1</v>
      </c>
      <c r="O52" s="38">
        <f>IF((ዕቁብ!P54/ቦኖ!$C$4&gt;0),1,0)</f>
        <v>1</v>
      </c>
      <c r="P52" s="38">
        <f>IF((ዕቁብ!Q54/ቦኖ!$C$4&gt;0),1,0)</f>
        <v>1</v>
      </c>
      <c r="Q52" s="38">
        <f>IF((ዕቁብ!R54/ቦኖ!$C$4&gt;0),1,0)</f>
        <v>1</v>
      </c>
      <c r="R52" s="38">
        <f>IF((ዕቁብ!S54/ቦኖ!$C$4&gt;0),1,0)</f>
        <v>1</v>
      </c>
      <c r="S52" s="38">
        <f>IF((ዕቁብ!T54/ቦኖ!$C$4&gt;0),1,0)</f>
        <v>1</v>
      </c>
      <c r="T52" s="38">
        <f>IF((ዕቁብ!U54/ቦኖ!$C$4&gt;0),1,0)</f>
        <v>1</v>
      </c>
      <c r="U52" s="38">
        <f>IF((ዕቁብ!V54/ቦኖ!$C$4&gt;0),1,0)</f>
        <v>1</v>
      </c>
      <c r="V52" s="38">
        <f>IF((ዕቁብ!W54/ቦኖ!$C$4&gt;0),1,0)</f>
        <v>1</v>
      </c>
      <c r="W52" s="38">
        <f>IF((ዕቁብ!X54/ቦኖ!$C$4&gt;0),1,0)</f>
        <v>1</v>
      </c>
      <c r="X52" s="38">
        <f>IF((ዕቁብ!Y54/ቦኖ!$C$4&gt;0),1,0)</f>
        <v>1</v>
      </c>
      <c r="Y52" s="38">
        <f>IF((ዕቁብ!Z54/ቦኖ!$C$4&gt;0),1,0)</f>
        <v>1</v>
      </c>
      <c r="Z52" s="38">
        <f>IF((ዕቁብ!AA54/ቦኖ!$C$4&gt;0),1,0)</f>
        <v>1</v>
      </c>
      <c r="AA52" s="38">
        <f>IF((ዕቁብ!AB54/ቦኖ!$C$4&gt;0),1,0)</f>
        <v>1</v>
      </c>
      <c r="AB52" s="38">
        <f>IF((ዕቁብ!AC54/ቦኖ!$C$4&gt;0),1,0)</f>
        <v>1</v>
      </c>
      <c r="AC52" s="38">
        <f>IF((ዕቁብ!AD54/ቦኖ!$C$4&gt;0),1,0)</f>
        <v>1</v>
      </c>
      <c r="AD52" s="38">
        <f>IF((ዕቁብ!AE54/ቦኖ!$C$4&gt;0),1,0)</f>
        <v>1</v>
      </c>
      <c r="AE52" s="38">
        <f>IF((ዕቁብ!AF54/ቦኖ!$C$4&gt;0),1,0)</f>
        <v>1</v>
      </c>
      <c r="AF52" s="38">
        <f>IF((ዕቁብ!AG54/ቦኖ!$C$4&gt;0),1,0)</f>
        <v>1</v>
      </c>
      <c r="AG52" s="38">
        <f>IF((ዕቁብ!AH54/ቦኖ!$C$4&gt;0),1,0)</f>
        <v>1</v>
      </c>
      <c r="AH52" s="38">
        <f>IF((ዕቁብ!AI54/ቦኖ!$C$4&gt;0),1,0)</f>
        <v>1</v>
      </c>
      <c r="AI52" s="38">
        <f>IF((ዕቁብ!AJ54/ቦኖ!$C$4&gt;0),1,0)</f>
        <v>1</v>
      </c>
      <c r="AJ52" s="38">
        <f>IF((ዕቁብ!AK54/ቦኖ!$C$4&gt;0),1,0)</f>
        <v>1</v>
      </c>
      <c r="AK52" s="38">
        <f>IF((ዕቁብ!AL54/ቦኖ!$C$4&gt;0),1,0)</f>
        <v>0</v>
      </c>
      <c r="AL52" s="38">
        <f>IF((ዕቁብ!AM54/ቦኖ!$C$4&gt;0),1,0)</f>
        <v>1</v>
      </c>
      <c r="AM52" s="38">
        <f>IF((ዕቁብ!AN54/ቦኖ!$C$4&gt;0),1,0)</f>
        <v>1</v>
      </c>
      <c r="AN52" s="38">
        <f>IF((ዕቁብ!AO54/ቦኖ!$C$4&gt;0),1,0)</f>
        <v>0</v>
      </c>
      <c r="AO52" s="38">
        <f>IF((ዕቁብ!AP54/ቦኖ!$C$4&gt;0),1,0)</f>
        <v>1</v>
      </c>
      <c r="AP52" s="38">
        <f>IF((ዕቁብ!AQ54/ቦኖ!$C$4&gt;0),1,0)</f>
        <v>0</v>
      </c>
      <c r="AQ52" s="38">
        <f>IF((ዕቁብ!AR54/ቦኖ!$C$4&gt;0),1,0)</f>
        <v>1</v>
      </c>
      <c r="AR52" s="38">
        <f>IF((ዕቁብ!AS54/ቦኖ!$C$4&gt;0),1,0)</f>
        <v>1</v>
      </c>
      <c r="AS52" s="38">
        <f>IF((ዕቁብ!AT54/ቦኖ!$C$4&gt;0),1,0)</f>
        <v>0</v>
      </c>
      <c r="AT52" s="38">
        <f>IF((ዕቁብ!AU54/ቦኖ!$C$4&gt;0),1,0)</f>
        <v>1</v>
      </c>
      <c r="AU52" s="38">
        <f>IF((ዕቁብ!AV54/ቦኖ!$C$4&gt;0),1,0)</f>
        <v>0</v>
      </c>
      <c r="AV52" s="38">
        <f>IF((ዕቁብ!AW54/ቦኖ!$C$4&gt;0),1,0)</f>
        <v>1</v>
      </c>
      <c r="AW52" s="38">
        <f>IF((ዕቁብ!AX54/ቦኖ!$C$4&gt;0),1,0)</f>
        <v>0</v>
      </c>
      <c r="AX52" s="38">
        <f>IF((ዕቁብ!AY54/ቦኖ!$C$4&gt;0),1,0)</f>
        <v>1</v>
      </c>
      <c r="AY52" s="38">
        <f>IF((ዕቁብ!AZ54/ቦኖ!$C$4&gt;0),1,0)</f>
        <v>1</v>
      </c>
      <c r="AZ52" s="38">
        <f>IF((ዕቁብ!BA54/ቦኖ!$C$4&gt;0),1,0)</f>
        <v>1</v>
      </c>
      <c r="BA52" s="38">
        <f>IF((ዕቁብ!BB54/ቦኖ!$C$4&gt;0),1,0)</f>
        <v>1</v>
      </c>
      <c r="BB52" s="38">
        <f>IF((ዕቁብ!BC54/ቦኖ!$C$4&gt;0),1,0)</f>
        <v>1</v>
      </c>
      <c r="BC52" s="38">
        <f>IF((ዕቁብ!BD54/ቦኖ!$C$4&gt;0),1,0)</f>
        <v>1</v>
      </c>
      <c r="BD52" s="38">
        <f>IF((ዕቁብ!BE54/ቦኖ!$C$4&gt;0),1,0)</f>
        <v>0</v>
      </c>
      <c r="BE52" s="38">
        <f>IF((ዕቁብ!BF54/ቦኖ!$C$4&gt;0),1,0)</f>
        <v>1</v>
      </c>
      <c r="BF52" s="38">
        <f>IF((ዕቁብ!BG54/ቦኖ!$C$4&gt;0),1,0)</f>
        <v>1</v>
      </c>
      <c r="BG52" s="38">
        <f>IF((ዕቁብ!BH54/ቦኖ!$C$4&gt;0),1,0)</f>
        <v>1</v>
      </c>
      <c r="BH52" s="38">
        <f>IF((ዕቁብ!BI54/ቦኖ!$C$4&gt;0),1,0)</f>
        <v>1</v>
      </c>
      <c r="BI52" s="38">
        <f>IF((ዕቁብ!BJ54/ቦኖ!$C$4&gt;0),1,0)</f>
        <v>1</v>
      </c>
      <c r="BJ52" s="38">
        <f>IF((ዕቁብ!BK54/ቦኖ!$C$4&gt;0),1,0)</f>
        <v>1</v>
      </c>
      <c r="BK52" s="38">
        <f>IF((ዕቁብ!BL54/ቦኖ!$C$4&gt;0),1,0)</f>
        <v>1</v>
      </c>
      <c r="BL52" s="38">
        <f>IF((ዕቁብ!BM54/ቦኖ!$C$4&gt;0),1,0)</f>
        <v>1</v>
      </c>
      <c r="BM52" s="38">
        <f>IF((ዕቁብ!BN54/ቦኖ!$C$4&gt;0),1,0)</f>
        <v>1</v>
      </c>
      <c r="BN52" s="38">
        <f>IF((ዕቁብ!BO54/ቦኖ!$C$4&gt;0),1,0)</f>
        <v>1</v>
      </c>
      <c r="BO52" s="38">
        <f>IF((ዕቁብ!BP54/ቦኖ!$C$4&gt;0),1,0)</f>
        <v>0</v>
      </c>
      <c r="BP52" s="38">
        <f>IF((ዕቁብ!BQ54/ቦኖ!$C$4&gt;0),1,0)</f>
        <v>1</v>
      </c>
      <c r="BQ52" s="38">
        <f>IF((ዕቁብ!BR54/ቦኖ!$C$4&gt;0),1,0)</f>
        <v>1</v>
      </c>
      <c r="BR52" s="38">
        <f>IF((ዕቁብ!BS54/ቦኖ!$C$4&gt;0),1,0)</f>
        <v>1</v>
      </c>
      <c r="BS52" s="38">
        <f>IF((ዕቁብ!BT54/ቦኖ!$C$4&gt;0),1,0)</f>
        <v>1</v>
      </c>
      <c r="BT52" s="38">
        <f>IF((ዕቁብ!BU54/ቦኖ!$C$4&gt;0),1,0)</f>
        <v>1</v>
      </c>
      <c r="BU52" s="38">
        <f>IF((ዕቁብ!BV54/ቦኖ!$C$4&gt;0),1,0)</f>
        <v>1</v>
      </c>
      <c r="BV52" s="38">
        <f>IF((ዕቁብ!BW54/ቦኖ!$C$4&gt;0),1,0)</f>
        <v>1</v>
      </c>
      <c r="BW52" s="38">
        <f>IF((ዕቁብ!BX54/ቦኖ!$C$4&gt;0),1,0)</f>
        <v>0</v>
      </c>
      <c r="BX52" s="38">
        <f>IF((ዕቁብ!BY54/ቦኖ!$C$4&gt;0),1,0)</f>
        <v>0</v>
      </c>
      <c r="BY52" s="38">
        <f>IF((ዕቁብ!BZ54/ቦኖ!$C$4&gt;0),1,0)</f>
        <v>0</v>
      </c>
      <c r="BZ52" s="38">
        <f>IF((ዕቁብ!CA54/ቦኖ!$C$4&gt;0),1,0)</f>
        <v>0</v>
      </c>
      <c r="CA52" s="38">
        <f>IF((ዕቁብ!CB54/ቦኖ!$C$4&gt;0),1,0)</f>
        <v>1</v>
      </c>
      <c r="CB52" s="38">
        <f>IF((ዕቁብ!CC54/ቦኖ!$C$4&gt;0),1,0)</f>
        <v>0</v>
      </c>
      <c r="CC52" s="38">
        <f>IF((ዕቁብ!CD54/ቦኖ!$C$4&gt;0),1,0)</f>
        <v>0</v>
      </c>
      <c r="CD52" s="38">
        <f>IF((ዕቁብ!CE54/ቦኖ!$C$4&gt;0),1,0)</f>
        <v>0</v>
      </c>
      <c r="CE52" s="38">
        <f>IF((ዕቁብ!CF54/ቦኖ!$C$4&gt;0),1,0)</f>
        <v>1</v>
      </c>
      <c r="CF52" s="38">
        <f>IF((ዕቁብ!CG54/ቦኖ!$C$4&gt;0),1,0)</f>
        <v>0</v>
      </c>
      <c r="CG52" s="38">
        <f>IF((ዕቁብ!CH54/ቦኖ!$C$4&gt;0),1,0)</f>
        <v>1</v>
      </c>
      <c r="CH52" s="38">
        <f>IF((ዕቁብ!CI54/ቦኖ!$C$4&gt;0),1,0)</f>
        <v>0</v>
      </c>
      <c r="CI52" s="38">
        <f>IF((ዕቁብ!CJ54/ቦኖ!$C$4&gt;0),1,0)</f>
        <v>1</v>
      </c>
      <c r="CJ52" s="38">
        <f>IF((ዕቁብ!CK54/ቦኖ!$C$4&gt;0),1,0)</f>
        <v>0</v>
      </c>
      <c r="CK52" s="38">
        <f>IF((ዕቁብ!CL54/ቦኖ!$C$4&gt;0),1,0)</f>
        <v>0</v>
      </c>
      <c r="CL52" s="38">
        <f>IF((ዕቁብ!CM54/ቦኖ!$C$4&gt;0),1,0)</f>
        <v>0</v>
      </c>
      <c r="CM52" s="38">
        <f>IF((ዕቁብ!CN54/ቦኖ!$C$4&gt;0),1,0)</f>
        <v>1</v>
      </c>
      <c r="CN52" s="38">
        <f>IF((ዕቁብ!CO54/ቦኖ!$C$4&gt;0),1,0)</f>
        <v>0</v>
      </c>
      <c r="CO52" s="38">
        <f>IF((ዕቁብ!CP54/ቦኖ!$C$4&gt;0),1,0)</f>
        <v>0</v>
      </c>
      <c r="CP52" s="38">
        <f>IF((ዕቁብ!CQ54/ቦኖ!$C$4&gt;0),1,0)</f>
        <v>0</v>
      </c>
      <c r="CQ52" s="38">
        <f>IF((ዕቁብ!CR54/ቦኖ!$C$4&gt;0),1,0)</f>
        <v>0</v>
      </c>
      <c r="CR52" s="38">
        <f>IF((ዕቁብ!CS54/ቦኖ!$C$4&gt;0),1,0)</f>
        <v>1</v>
      </c>
      <c r="CS52" s="38">
        <f>IF((ዕቁብ!CT54/ቦኖ!$C$4&gt;0),1,0)</f>
        <v>0</v>
      </c>
      <c r="CT52" s="38">
        <f>IF((ዕቁብ!CU54/ቦኖ!$C$4&gt;0),1,0)</f>
        <v>0</v>
      </c>
      <c r="CU52" s="38">
        <f>IF((ዕቁብ!CV54/ቦኖ!$C$4&gt;0),1,0)</f>
        <v>0</v>
      </c>
      <c r="CV52" s="38">
        <f>IF((ዕቁብ!CW54/ቦኖ!$C$4&gt;0),1,0)</f>
        <v>0</v>
      </c>
      <c r="CW52" s="38">
        <f>IF((ዕቁብ!CX54/ቦኖ!$C$4&gt;0),1,0)</f>
        <v>1</v>
      </c>
      <c r="CX52" s="38">
        <f>IF((ዕቁብ!CY54/ቦኖ!$C$4&gt;0),1,0)</f>
        <v>0</v>
      </c>
      <c r="CY52" s="38">
        <f>IF((ዕቁብ!CZ54/ቦኖ!$C$4&gt;0),1,0)</f>
        <v>0</v>
      </c>
      <c r="CZ52" s="38">
        <f>IF((ዕቁብ!DA54/ቦኖ!$C$4&gt;0),1,0)</f>
        <v>1</v>
      </c>
      <c r="DA52" s="38">
        <f>IF((ዕቁብ!DB54/ቦኖ!$C$4&gt;0),1,0)</f>
        <v>0</v>
      </c>
      <c r="DB52" s="38">
        <f>IF((ዕቁብ!DC54/ቦኖ!$C$4&gt;0),1,0)</f>
        <v>0</v>
      </c>
      <c r="DC52" s="38">
        <f>IF((ዕቁብ!DD54/ቦኖ!$C$4&gt;0),1,0)</f>
        <v>0</v>
      </c>
      <c r="DD52" s="38">
        <f>IF((ዕቁብ!DE54/ቦኖ!$C$4&gt;0),1,0)</f>
        <v>0</v>
      </c>
      <c r="DE52" s="38">
        <f>IF((ዕቁብ!DF54/ቦኖ!$C$4&gt;0),1,0)</f>
        <v>1</v>
      </c>
      <c r="DF52" s="38">
        <f>IF((ዕቁብ!DG54/ቦኖ!$C$4&gt;0),1,0)</f>
        <v>0</v>
      </c>
      <c r="DG52" s="38">
        <f>IF((ዕቁብ!DH54/ቦኖ!$C$4&gt;0),1,0)</f>
        <v>0</v>
      </c>
      <c r="DH52" s="38">
        <f>IF((ዕቁብ!DI54/ቦኖ!$C$4&gt;0),1,0)</f>
        <v>0</v>
      </c>
      <c r="DI52" s="38">
        <f>IF((ዕቁብ!DJ54/ቦኖ!$C$4&gt;0),1,0)</f>
        <v>0</v>
      </c>
      <c r="DJ52" s="38">
        <f>IF((ዕቁብ!DK54/ቦኖ!$C$4&gt;0),1,0)</f>
        <v>0</v>
      </c>
      <c r="DK52" s="38">
        <f>IF((ዕቁብ!DL54/ቦኖ!$C$4&gt;0),1,0)</f>
        <v>0</v>
      </c>
      <c r="DL52" s="38">
        <f>IF((ዕቁብ!DM54/ቦኖ!$C$4&gt;0),1,0)</f>
        <v>0</v>
      </c>
      <c r="DM52" s="38">
        <f>IF((ዕቁብ!DN54/ቦኖ!$C$4&gt;0),1,0)</f>
        <v>0</v>
      </c>
      <c r="DN52" s="38">
        <f>IF((ዕቁብ!DO54/ቦኖ!$C$4&gt;0),1,0)</f>
        <v>0</v>
      </c>
      <c r="DO52" s="38">
        <f>IF((ዕቁብ!DP54/ቦኖ!$C$4&gt;0),1,0)</f>
        <v>0</v>
      </c>
      <c r="DP52" s="38">
        <f>IF((ዕቁብ!DQ54/ቦኖ!$C$4&gt;0),1,0)</f>
        <v>0</v>
      </c>
      <c r="DQ52" s="38">
        <f>IF((ዕቁብ!DR54/ቦኖ!$C$4&gt;0),1,0)</f>
        <v>0</v>
      </c>
    </row>
    <row r="53" spans="1:121" ht="15.75" customHeight="1" x14ac:dyDescent="0.3">
      <c r="A53" s="33">
        <f>ዕቁብ!A55</f>
        <v>49</v>
      </c>
      <c r="B53" s="33" t="str">
        <f>ዕቁብ!B55</f>
        <v>ተረፈ ዓለሙ</v>
      </c>
      <c r="C53" s="37">
        <f>ዕቁብ!C55</f>
        <v>21000</v>
      </c>
      <c r="D53" s="38">
        <f>IF((ዕቁብ!E55/ቦኖ!$C$4&gt;0),1,0)</f>
        <v>1</v>
      </c>
      <c r="E53" s="38">
        <f>IF((ዕቁብ!F55/ቦኖ!$C$4&gt;0),1,0)</f>
        <v>1</v>
      </c>
      <c r="F53" s="38">
        <f>IF((ዕቁብ!G55/ቦኖ!$C$4&gt;0),1,0)</f>
        <v>1</v>
      </c>
      <c r="G53" s="38">
        <f>IF((ዕቁብ!H55/ቦኖ!$C$4&gt;0),1,0)</f>
        <v>1</v>
      </c>
      <c r="H53" s="38">
        <f>IF((ዕቁብ!I55/ቦኖ!$C$4&gt;0),1,0)</f>
        <v>1</v>
      </c>
      <c r="I53" s="38">
        <f>IF((ዕቁብ!J55/ቦኖ!$C$4&gt;0),1,0)</f>
        <v>1</v>
      </c>
      <c r="J53" s="38">
        <f>IF((ዕቁብ!K55/ቦኖ!$C$4&gt;0),1,0)</f>
        <v>1</v>
      </c>
      <c r="K53" s="38">
        <f>IF((ዕቁብ!L55/ቦኖ!$C$4&gt;0),1,0)</f>
        <v>1</v>
      </c>
      <c r="L53" s="38">
        <f>IF((ዕቁብ!M55/ቦኖ!$C$4&gt;0),1,0)</f>
        <v>1</v>
      </c>
      <c r="M53" s="38">
        <f>IF((ዕቁብ!N55/ቦኖ!$C$4&gt;0),1,0)</f>
        <v>1</v>
      </c>
      <c r="N53" s="38">
        <f>IF((ዕቁብ!O55/ቦኖ!$C$4&gt;0),1,0)</f>
        <v>1</v>
      </c>
      <c r="O53" s="38">
        <f>IF((ዕቁብ!P55/ቦኖ!$C$4&gt;0),1,0)</f>
        <v>1</v>
      </c>
      <c r="P53" s="38">
        <f>IF((ዕቁብ!Q55/ቦኖ!$C$4&gt;0),1,0)</f>
        <v>1</v>
      </c>
      <c r="Q53" s="38">
        <f>IF((ዕቁብ!R55/ቦኖ!$C$4&gt;0),1,0)</f>
        <v>1</v>
      </c>
      <c r="R53" s="38">
        <f>IF((ዕቁብ!S55/ቦኖ!$C$4&gt;0),1,0)</f>
        <v>1</v>
      </c>
      <c r="S53" s="38">
        <f>IF((ዕቁብ!T55/ቦኖ!$C$4&gt;0),1,0)</f>
        <v>1</v>
      </c>
      <c r="T53" s="38">
        <f>IF((ዕቁብ!U55/ቦኖ!$C$4&gt;0),1,0)</f>
        <v>1</v>
      </c>
      <c r="U53" s="38">
        <f>IF((ዕቁብ!V55/ቦኖ!$C$4&gt;0),1,0)</f>
        <v>1</v>
      </c>
      <c r="V53" s="38">
        <f>IF((ዕቁብ!W55/ቦኖ!$C$4&gt;0),1,0)</f>
        <v>1</v>
      </c>
      <c r="W53" s="38">
        <f>IF((ዕቁብ!X55/ቦኖ!$C$4&gt;0),1,0)</f>
        <v>0</v>
      </c>
      <c r="X53" s="38">
        <f>IF((ዕቁብ!Y55/ቦኖ!$C$4&gt;0),1,0)</f>
        <v>1</v>
      </c>
      <c r="Y53" s="38">
        <f>IF((ዕቁብ!Z55/ቦኖ!$C$4&gt;0),1,0)</f>
        <v>1</v>
      </c>
      <c r="Z53" s="38">
        <f>IF((ዕቁብ!AA55/ቦኖ!$C$4&gt;0),1,0)</f>
        <v>1</v>
      </c>
      <c r="AA53" s="38">
        <f>IF((ዕቁብ!AB55/ቦኖ!$C$4&gt;0),1,0)</f>
        <v>1</v>
      </c>
      <c r="AB53" s="38">
        <f>IF((ዕቁብ!AC55/ቦኖ!$C$4&gt;0),1,0)</f>
        <v>1</v>
      </c>
      <c r="AC53" s="38">
        <f>IF((ዕቁብ!AD55/ቦኖ!$C$4&gt;0),1,0)</f>
        <v>1</v>
      </c>
      <c r="AD53" s="38">
        <f>IF((ዕቁብ!AE55/ቦኖ!$C$4&gt;0),1,0)</f>
        <v>1</v>
      </c>
      <c r="AE53" s="38">
        <f>IF((ዕቁብ!AF55/ቦኖ!$C$4&gt;0),1,0)</f>
        <v>1</v>
      </c>
      <c r="AF53" s="38">
        <f>IF((ዕቁብ!AG55/ቦኖ!$C$4&gt;0),1,0)</f>
        <v>1</v>
      </c>
      <c r="AG53" s="38">
        <f>IF((ዕቁብ!AH55/ቦኖ!$C$4&gt;0),1,0)</f>
        <v>1</v>
      </c>
      <c r="AH53" s="38">
        <f>IF((ዕቁብ!AI55/ቦኖ!$C$4&gt;0),1,0)</f>
        <v>1</v>
      </c>
      <c r="AI53" s="38">
        <f>IF((ዕቁብ!AJ55/ቦኖ!$C$4&gt;0),1,0)</f>
        <v>1</v>
      </c>
      <c r="AJ53" s="38">
        <f>IF((ዕቁብ!AK55/ቦኖ!$C$4&gt;0),1,0)</f>
        <v>1</v>
      </c>
      <c r="AK53" s="38">
        <f>IF((ዕቁብ!AL55/ቦኖ!$C$4&gt;0),1,0)</f>
        <v>1</v>
      </c>
      <c r="AL53" s="38">
        <f>IF((ዕቁብ!AM55/ቦኖ!$C$4&gt;0),1,0)</f>
        <v>1</v>
      </c>
      <c r="AM53" s="38">
        <f>IF((ዕቁብ!AN55/ቦኖ!$C$4&gt;0),1,0)</f>
        <v>1</v>
      </c>
      <c r="AN53" s="38">
        <f>IF((ዕቁብ!AO55/ቦኖ!$C$4&gt;0),1,0)</f>
        <v>1</v>
      </c>
      <c r="AO53" s="38">
        <f>IF((ዕቁብ!AP55/ቦኖ!$C$4&gt;0),1,0)</f>
        <v>1</v>
      </c>
      <c r="AP53" s="38">
        <f>IF((ዕቁብ!AQ55/ቦኖ!$C$4&gt;0),1,0)</f>
        <v>1</v>
      </c>
      <c r="AQ53" s="38">
        <f>IF((ዕቁብ!AR55/ቦኖ!$C$4&gt;0),1,0)</f>
        <v>1</v>
      </c>
      <c r="AR53" s="38">
        <f>IF((ዕቁብ!AS55/ቦኖ!$C$4&gt;0),1,0)</f>
        <v>1</v>
      </c>
      <c r="AS53" s="38">
        <f>IF((ዕቁብ!AT55/ቦኖ!$C$4&gt;0),1,0)</f>
        <v>1</v>
      </c>
      <c r="AT53" s="38">
        <f>IF((ዕቁብ!AU55/ቦኖ!$C$4&gt;0),1,0)</f>
        <v>1</v>
      </c>
      <c r="AU53" s="38">
        <f>IF((ዕቁብ!AV55/ቦኖ!$C$4&gt;0),1,0)</f>
        <v>1</v>
      </c>
      <c r="AV53" s="38">
        <f>IF((ዕቁብ!AW55/ቦኖ!$C$4&gt;0),1,0)</f>
        <v>1</v>
      </c>
      <c r="AW53" s="38">
        <f>IF((ዕቁብ!AX55/ቦኖ!$C$4&gt;0),1,0)</f>
        <v>1</v>
      </c>
      <c r="AX53" s="38">
        <f>IF((ዕቁብ!AY55/ቦኖ!$C$4&gt;0),1,0)</f>
        <v>1</v>
      </c>
      <c r="AY53" s="38">
        <f>IF((ዕቁብ!AZ55/ቦኖ!$C$4&gt;0),1,0)</f>
        <v>1</v>
      </c>
      <c r="AZ53" s="38">
        <f>IF((ዕቁብ!BA55/ቦኖ!$C$4&gt;0),1,0)</f>
        <v>1</v>
      </c>
      <c r="BA53" s="38">
        <f>IF((ዕቁብ!BB55/ቦኖ!$C$4&gt;0),1,0)</f>
        <v>1</v>
      </c>
      <c r="BB53" s="38">
        <f>IF((ዕቁብ!BC55/ቦኖ!$C$4&gt;0),1,0)</f>
        <v>1</v>
      </c>
      <c r="BC53" s="38">
        <f>IF((ዕቁብ!BD55/ቦኖ!$C$4&gt;0),1,0)</f>
        <v>1</v>
      </c>
      <c r="BD53" s="38">
        <f>IF((ዕቁብ!BE55/ቦኖ!$C$4&gt;0),1,0)</f>
        <v>1</v>
      </c>
      <c r="BE53" s="38">
        <f>IF((ዕቁብ!BF55/ቦኖ!$C$4&gt;0),1,0)</f>
        <v>1</v>
      </c>
      <c r="BF53" s="38">
        <f>IF((ዕቁብ!BG55/ቦኖ!$C$4&gt;0),1,0)</f>
        <v>1</v>
      </c>
      <c r="BG53" s="38">
        <f>IF((ዕቁብ!BH55/ቦኖ!$C$4&gt;0),1,0)</f>
        <v>1</v>
      </c>
      <c r="BH53" s="38">
        <f>IF((ዕቁብ!BI55/ቦኖ!$C$4&gt;0),1,0)</f>
        <v>1</v>
      </c>
      <c r="BI53" s="38">
        <f>IF((ዕቁብ!BJ55/ቦኖ!$C$4&gt;0),1,0)</f>
        <v>0</v>
      </c>
      <c r="BJ53" s="38">
        <f>IF((ዕቁብ!BK55/ቦኖ!$C$4&gt;0),1,0)</f>
        <v>1</v>
      </c>
      <c r="BK53" s="38">
        <f>IF((ዕቁብ!BL55/ቦኖ!$C$4&gt;0),1,0)</f>
        <v>1</v>
      </c>
      <c r="BL53" s="38">
        <f>IF((ዕቁብ!BM55/ቦኖ!$C$4&gt;0),1,0)</f>
        <v>1</v>
      </c>
      <c r="BM53" s="38">
        <f>IF((ዕቁብ!BN55/ቦኖ!$C$4&gt;0),1,0)</f>
        <v>0</v>
      </c>
      <c r="BN53" s="38">
        <f>IF((ዕቁብ!BO55/ቦኖ!$C$4&gt;0),1,0)</f>
        <v>1</v>
      </c>
      <c r="BO53" s="38">
        <f>IF((ዕቁብ!BP55/ቦኖ!$C$4&gt;0),1,0)</f>
        <v>0</v>
      </c>
      <c r="BP53" s="38">
        <f>IF((ዕቁብ!BQ55/ቦኖ!$C$4&gt;0),1,0)</f>
        <v>1</v>
      </c>
      <c r="BQ53" s="38">
        <f>IF((ዕቁብ!BR55/ቦኖ!$C$4&gt;0),1,0)</f>
        <v>1</v>
      </c>
      <c r="BR53" s="38">
        <f>IF((ዕቁብ!BS55/ቦኖ!$C$4&gt;0),1,0)</f>
        <v>1</v>
      </c>
      <c r="BS53" s="38">
        <f>IF((ዕቁብ!BT55/ቦኖ!$C$4&gt;0),1,0)</f>
        <v>1</v>
      </c>
      <c r="BT53" s="38">
        <f>IF((ዕቁብ!BU55/ቦኖ!$C$4&gt;0),1,0)</f>
        <v>1</v>
      </c>
      <c r="BU53" s="38">
        <f>IF((ዕቁብ!BV55/ቦኖ!$C$4&gt;0),1,0)</f>
        <v>1</v>
      </c>
      <c r="BV53" s="38">
        <f>IF((ዕቁብ!BW55/ቦኖ!$C$4&gt;0),1,0)</f>
        <v>1</v>
      </c>
      <c r="BW53" s="38">
        <f>IF((ዕቁብ!BX55/ቦኖ!$C$4&gt;0),1,0)</f>
        <v>1</v>
      </c>
      <c r="BX53" s="38">
        <f>IF((ዕቁብ!BY55/ቦኖ!$C$4&gt;0),1,0)</f>
        <v>1</v>
      </c>
      <c r="BY53" s="38">
        <f>IF((ዕቁብ!BZ55/ቦኖ!$C$4&gt;0),1,0)</f>
        <v>0</v>
      </c>
      <c r="BZ53" s="38">
        <f>IF((ዕቁብ!CA55/ቦኖ!$C$4&gt;0),1,0)</f>
        <v>1</v>
      </c>
      <c r="CA53" s="38">
        <f>IF((ዕቁብ!CB55/ቦኖ!$C$4&gt;0),1,0)</f>
        <v>1</v>
      </c>
      <c r="CB53" s="38">
        <f>IF((ዕቁብ!CC55/ቦኖ!$C$4&gt;0),1,0)</f>
        <v>0</v>
      </c>
      <c r="CC53" s="38">
        <f>IF((ዕቁብ!CD55/ቦኖ!$C$4&gt;0),1,0)</f>
        <v>1</v>
      </c>
      <c r="CD53" s="38">
        <f>IF((ዕቁብ!CE55/ቦኖ!$C$4&gt;0),1,0)</f>
        <v>0</v>
      </c>
      <c r="CE53" s="38">
        <f>IF((ዕቁብ!CF55/ቦኖ!$C$4&gt;0),1,0)</f>
        <v>1</v>
      </c>
      <c r="CF53" s="38">
        <f>IF((ዕቁብ!CG55/ቦኖ!$C$4&gt;0),1,0)</f>
        <v>1</v>
      </c>
      <c r="CG53" s="38">
        <f>IF((ዕቁብ!CH55/ቦኖ!$C$4&gt;0),1,0)</f>
        <v>1</v>
      </c>
      <c r="CH53" s="38">
        <f>IF((ዕቁብ!CI55/ቦኖ!$C$4&gt;0),1,0)</f>
        <v>1</v>
      </c>
      <c r="CI53" s="38">
        <f>IF((ዕቁብ!CJ55/ቦኖ!$C$4&gt;0),1,0)</f>
        <v>1</v>
      </c>
      <c r="CJ53" s="38">
        <f>IF((ዕቁብ!CK55/ቦኖ!$C$4&gt;0),1,0)</f>
        <v>1</v>
      </c>
      <c r="CK53" s="38">
        <f>IF((ዕቁብ!CL55/ቦኖ!$C$4&gt;0),1,0)</f>
        <v>1</v>
      </c>
      <c r="CL53" s="38">
        <f>IF((ዕቁብ!CM55/ቦኖ!$C$4&gt;0),1,0)</f>
        <v>1</v>
      </c>
      <c r="CM53" s="38">
        <f>IF((ዕቁብ!CN55/ቦኖ!$C$4&gt;0),1,0)</f>
        <v>0</v>
      </c>
      <c r="CN53" s="38">
        <f>IF((ዕቁብ!CO55/ቦኖ!$C$4&gt;0),1,0)</f>
        <v>1</v>
      </c>
      <c r="CO53" s="38">
        <f>IF((ዕቁብ!CP55/ቦኖ!$C$4&gt;0),1,0)</f>
        <v>1</v>
      </c>
      <c r="CP53" s="38">
        <f>IF((ዕቁብ!CQ55/ቦኖ!$C$4&gt;0),1,0)</f>
        <v>1</v>
      </c>
      <c r="CQ53" s="38">
        <f>IF((ዕቁብ!CR55/ቦኖ!$C$4&gt;0),1,0)</f>
        <v>0</v>
      </c>
      <c r="CR53" s="38">
        <f>IF((ዕቁብ!CS55/ቦኖ!$C$4&gt;0),1,0)</f>
        <v>1</v>
      </c>
      <c r="CS53" s="38">
        <f>IF((ዕቁብ!CT55/ቦኖ!$C$4&gt;0),1,0)</f>
        <v>0</v>
      </c>
      <c r="CT53" s="38">
        <f>IF((ዕቁብ!CU55/ቦኖ!$C$4&gt;0),1,0)</f>
        <v>1</v>
      </c>
      <c r="CU53" s="38">
        <f>IF((ዕቁብ!CV55/ቦኖ!$C$4&gt;0),1,0)</f>
        <v>1</v>
      </c>
      <c r="CV53" s="38">
        <f>IF((ዕቁብ!CW55/ቦኖ!$C$4&gt;0),1,0)</f>
        <v>0</v>
      </c>
      <c r="CW53" s="38">
        <f>IF((ዕቁብ!CX55/ቦኖ!$C$4&gt;0),1,0)</f>
        <v>1</v>
      </c>
      <c r="CX53" s="38">
        <f>IF((ዕቁብ!CY55/ቦኖ!$C$4&gt;0),1,0)</f>
        <v>1</v>
      </c>
      <c r="CY53" s="38">
        <f>IF((ዕቁብ!CZ55/ቦኖ!$C$4&gt;0),1,0)</f>
        <v>0</v>
      </c>
      <c r="CZ53" s="38">
        <f>IF((ዕቁብ!DA55/ቦኖ!$C$4&gt;0),1,0)</f>
        <v>1</v>
      </c>
      <c r="DA53" s="38">
        <f>IF((ዕቁብ!DB55/ቦኖ!$C$4&gt;0),1,0)</f>
        <v>1</v>
      </c>
      <c r="DB53" s="38">
        <f>IF((ዕቁብ!DC55/ቦኖ!$C$4&gt;0),1,0)</f>
        <v>1</v>
      </c>
      <c r="DC53" s="38">
        <f>IF((ዕቁብ!DD55/ቦኖ!$C$4&gt;0),1,0)</f>
        <v>1</v>
      </c>
      <c r="DD53" s="38">
        <f>IF((ዕቁብ!DE55/ቦኖ!$C$4&gt;0),1,0)</f>
        <v>1</v>
      </c>
      <c r="DE53" s="38">
        <f>IF((ዕቁብ!DF55/ቦኖ!$C$4&gt;0),1,0)</f>
        <v>1</v>
      </c>
      <c r="DF53" s="38">
        <f>IF((ዕቁብ!DG55/ቦኖ!$C$4&gt;0),1,0)</f>
        <v>1</v>
      </c>
      <c r="DG53" s="38">
        <f>IF((ዕቁብ!DH55/ቦኖ!$C$4&gt;0),1,0)</f>
        <v>1</v>
      </c>
      <c r="DH53" s="38">
        <f>IF((ዕቁብ!DI55/ቦኖ!$C$4&gt;0),1,0)</f>
        <v>0</v>
      </c>
      <c r="DI53" s="38">
        <f>IF((ዕቁብ!DJ55/ቦኖ!$C$4&gt;0),1,0)</f>
        <v>0</v>
      </c>
      <c r="DJ53" s="38">
        <f>IF((ዕቁብ!DK55/ቦኖ!$C$4&gt;0),1,0)</f>
        <v>0</v>
      </c>
      <c r="DK53" s="38">
        <f>IF((ዕቁብ!DL55/ቦኖ!$C$4&gt;0),1,0)</f>
        <v>0</v>
      </c>
      <c r="DL53" s="38">
        <f>IF((ዕቁብ!DM55/ቦኖ!$C$4&gt;0),1,0)</f>
        <v>0</v>
      </c>
      <c r="DM53" s="38">
        <f>IF((ዕቁብ!DN55/ቦኖ!$C$4&gt;0),1,0)</f>
        <v>0</v>
      </c>
      <c r="DN53" s="38">
        <f>IF((ዕቁብ!DO55/ቦኖ!$C$4&gt;0),1,0)</f>
        <v>0</v>
      </c>
      <c r="DO53" s="38">
        <f>IF((ዕቁብ!DP55/ቦኖ!$C$4&gt;0),1,0)</f>
        <v>0</v>
      </c>
      <c r="DP53" s="38">
        <f>IF((ዕቁብ!DQ55/ቦኖ!$C$4&gt;0),1,0)</f>
        <v>0</v>
      </c>
      <c r="DQ53" s="38">
        <f>IF((ዕቁብ!DR55/ቦኖ!$C$4&gt;0),1,0)</f>
        <v>0</v>
      </c>
    </row>
    <row r="54" spans="1:121" ht="15.75" customHeight="1" x14ac:dyDescent="0.3">
      <c r="A54" s="33">
        <f>ዕቁብ!A56</f>
        <v>50</v>
      </c>
      <c r="B54" s="33" t="str">
        <f>ዕቁብ!B56</f>
        <v>ሀብታሙ አበራ</v>
      </c>
      <c r="C54" s="37">
        <f>ዕቁብ!C56</f>
        <v>21000</v>
      </c>
      <c r="D54" s="38">
        <f>IF((ዕቁብ!E56/ቦኖ!$C$4&gt;0),1,0)</f>
        <v>1</v>
      </c>
      <c r="E54" s="38">
        <f>IF((ዕቁብ!F56/ቦኖ!$C$4&gt;0),1,0)</f>
        <v>1</v>
      </c>
      <c r="F54" s="38">
        <f>IF((ዕቁብ!G56/ቦኖ!$C$4&gt;0),1,0)</f>
        <v>1</v>
      </c>
      <c r="G54" s="38">
        <f>IF((ዕቁብ!H56/ቦኖ!$C$4&gt;0),1,0)</f>
        <v>1</v>
      </c>
      <c r="H54" s="38">
        <f>IF((ዕቁብ!I56/ቦኖ!$C$4&gt;0),1,0)</f>
        <v>1</v>
      </c>
      <c r="I54" s="38">
        <f>IF((ዕቁብ!J56/ቦኖ!$C$4&gt;0),1,0)</f>
        <v>1</v>
      </c>
      <c r="J54" s="38">
        <f>IF((ዕቁብ!K56/ቦኖ!$C$4&gt;0),1,0)</f>
        <v>1</v>
      </c>
      <c r="K54" s="38">
        <f>IF((ዕቁብ!L56/ቦኖ!$C$4&gt;0),1,0)</f>
        <v>1</v>
      </c>
      <c r="L54" s="38">
        <f>IF((ዕቁብ!M56/ቦኖ!$C$4&gt;0),1,0)</f>
        <v>1</v>
      </c>
      <c r="M54" s="38">
        <f>IF((ዕቁብ!N56/ቦኖ!$C$4&gt;0),1,0)</f>
        <v>1</v>
      </c>
      <c r="N54" s="38">
        <f>IF((ዕቁብ!O56/ቦኖ!$C$4&gt;0),1,0)</f>
        <v>1</v>
      </c>
      <c r="O54" s="38">
        <f>IF((ዕቁብ!P56/ቦኖ!$C$4&gt;0),1,0)</f>
        <v>1</v>
      </c>
      <c r="P54" s="38">
        <f>IF((ዕቁብ!Q56/ቦኖ!$C$4&gt;0),1,0)</f>
        <v>1</v>
      </c>
      <c r="Q54" s="38">
        <f>IF((ዕቁብ!R56/ቦኖ!$C$4&gt;0),1,0)</f>
        <v>1</v>
      </c>
      <c r="R54" s="38">
        <f>IF((ዕቁብ!S56/ቦኖ!$C$4&gt;0),1,0)</f>
        <v>1</v>
      </c>
      <c r="S54" s="38">
        <f>IF((ዕቁብ!T56/ቦኖ!$C$4&gt;0),1,0)</f>
        <v>1</v>
      </c>
      <c r="T54" s="38">
        <f>IF((ዕቁብ!U56/ቦኖ!$C$4&gt;0),1,0)</f>
        <v>1</v>
      </c>
      <c r="U54" s="38">
        <f>IF((ዕቁብ!V56/ቦኖ!$C$4&gt;0),1,0)</f>
        <v>1</v>
      </c>
      <c r="V54" s="38">
        <f>IF((ዕቁብ!W56/ቦኖ!$C$4&gt;0),1,0)</f>
        <v>1</v>
      </c>
      <c r="W54" s="38">
        <f>IF((ዕቁብ!X56/ቦኖ!$C$4&gt;0),1,0)</f>
        <v>1</v>
      </c>
      <c r="X54" s="38">
        <f>IF((ዕቁብ!Y56/ቦኖ!$C$4&gt;0),1,0)</f>
        <v>1</v>
      </c>
      <c r="Y54" s="38">
        <f>IF((ዕቁብ!Z56/ቦኖ!$C$4&gt;0),1,0)</f>
        <v>1</v>
      </c>
      <c r="Z54" s="38">
        <f>IF((ዕቁብ!AA56/ቦኖ!$C$4&gt;0),1,0)</f>
        <v>1</v>
      </c>
      <c r="AA54" s="38">
        <f>IF((ዕቁብ!AB56/ቦኖ!$C$4&gt;0),1,0)</f>
        <v>0</v>
      </c>
      <c r="AB54" s="38">
        <f>IF((ዕቁብ!AC56/ቦኖ!$C$4&gt;0),1,0)</f>
        <v>1</v>
      </c>
      <c r="AC54" s="38">
        <f>IF((ዕቁብ!AD56/ቦኖ!$C$4&gt;0),1,0)</f>
        <v>1</v>
      </c>
      <c r="AD54" s="38">
        <f>IF((ዕቁብ!AE56/ቦኖ!$C$4&gt;0),1,0)</f>
        <v>1</v>
      </c>
      <c r="AE54" s="38">
        <f>IF((ዕቁብ!AF56/ቦኖ!$C$4&gt;0),1,0)</f>
        <v>1</v>
      </c>
      <c r="AF54" s="38">
        <f>IF((ዕቁብ!AG56/ቦኖ!$C$4&gt;0),1,0)</f>
        <v>1</v>
      </c>
      <c r="AG54" s="38">
        <f>IF((ዕቁብ!AH56/ቦኖ!$C$4&gt;0),1,0)</f>
        <v>1</v>
      </c>
      <c r="AH54" s="38">
        <f>IF((ዕቁብ!AI56/ቦኖ!$C$4&gt;0),1,0)</f>
        <v>1</v>
      </c>
      <c r="AI54" s="38">
        <f>IF((ዕቁብ!AJ56/ቦኖ!$C$4&gt;0),1,0)</f>
        <v>1</v>
      </c>
      <c r="AJ54" s="38">
        <f>IF((ዕቁብ!AK56/ቦኖ!$C$4&gt;0),1,0)</f>
        <v>1</v>
      </c>
      <c r="AK54" s="38">
        <f>IF((ዕቁብ!AL56/ቦኖ!$C$4&gt;0),1,0)</f>
        <v>1</v>
      </c>
      <c r="AL54" s="38">
        <f>IF((ዕቁብ!AM56/ቦኖ!$C$4&gt;0),1,0)</f>
        <v>1</v>
      </c>
      <c r="AM54" s="38">
        <f>IF((ዕቁብ!AN56/ቦኖ!$C$4&gt;0),1,0)</f>
        <v>1</v>
      </c>
      <c r="AN54" s="38">
        <f>IF((ዕቁብ!AO56/ቦኖ!$C$4&gt;0),1,0)</f>
        <v>1</v>
      </c>
      <c r="AO54" s="38">
        <f>IF((ዕቁብ!AP56/ቦኖ!$C$4&gt;0),1,0)</f>
        <v>1</v>
      </c>
      <c r="AP54" s="38">
        <f>IF((ዕቁብ!AQ56/ቦኖ!$C$4&gt;0),1,0)</f>
        <v>1</v>
      </c>
      <c r="AQ54" s="38">
        <f>IF((ዕቁብ!AR56/ቦኖ!$C$4&gt;0),1,0)</f>
        <v>1</v>
      </c>
      <c r="AR54" s="38">
        <f>IF((ዕቁብ!AS56/ቦኖ!$C$4&gt;0),1,0)</f>
        <v>1</v>
      </c>
      <c r="AS54" s="38">
        <f>IF((ዕቁብ!AT56/ቦኖ!$C$4&gt;0),1,0)</f>
        <v>1</v>
      </c>
      <c r="AT54" s="38">
        <f>IF((ዕቁብ!AU56/ቦኖ!$C$4&gt;0),1,0)</f>
        <v>1</v>
      </c>
      <c r="AU54" s="38">
        <f>IF((ዕቁብ!AV56/ቦኖ!$C$4&gt;0),1,0)</f>
        <v>1</v>
      </c>
      <c r="AV54" s="38">
        <f>IF((ዕቁብ!AW56/ቦኖ!$C$4&gt;0),1,0)</f>
        <v>0</v>
      </c>
      <c r="AW54" s="38">
        <f>IF((ዕቁብ!AX56/ቦኖ!$C$4&gt;0),1,0)</f>
        <v>1</v>
      </c>
      <c r="AX54" s="38">
        <f>IF((ዕቁብ!AY56/ቦኖ!$C$4&gt;0),1,0)</f>
        <v>1</v>
      </c>
      <c r="AY54" s="38">
        <f>IF((ዕቁብ!AZ56/ቦኖ!$C$4&gt;0),1,0)</f>
        <v>1</v>
      </c>
      <c r="AZ54" s="38">
        <f>IF((ዕቁብ!BA56/ቦኖ!$C$4&gt;0),1,0)</f>
        <v>0</v>
      </c>
      <c r="BA54" s="38">
        <f>IF((ዕቁብ!BB56/ቦኖ!$C$4&gt;0),1,0)</f>
        <v>1</v>
      </c>
      <c r="BB54" s="38">
        <f>IF((ዕቁብ!BC56/ቦኖ!$C$4&gt;0),1,0)</f>
        <v>0</v>
      </c>
      <c r="BC54" s="38">
        <f>IF((ዕቁብ!BD56/ቦኖ!$C$4&gt;0),1,0)</f>
        <v>1</v>
      </c>
      <c r="BD54" s="38">
        <f>IF((ዕቁብ!BE56/ቦኖ!$C$4&gt;0),1,0)</f>
        <v>0</v>
      </c>
      <c r="BE54" s="38">
        <f>IF((ዕቁብ!BF56/ቦኖ!$C$4&gt;0),1,0)</f>
        <v>1</v>
      </c>
      <c r="BF54" s="38">
        <f>IF((ዕቁብ!BG56/ቦኖ!$C$4&gt;0),1,0)</f>
        <v>1</v>
      </c>
      <c r="BG54" s="38">
        <f>IF((ዕቁብ!BH56/ቦኖ!$C$4&gt;0),1,0)</f>
        <v>1</v>
      </c>
      <c r="BH54" s="38">
        <f>IF((ዕቁብ!BI56/ቦኖ!$C$4&gt;0),1,0)</f>
        <v>0</v>
      </c>
      <c r="BI54" s="38">
        <f>IF((ዕቁብ!BJ56/ቦኖ!$C$4&gt;0),1,0)</f>
        <v>1</v>
      </c>
      <c r="BJ54" s="38">
        <f>IF((ዕቁብ!BK56/ቦኖ!$C$4&gt;0),1,0)</f>
        <v>1</v>
      </c>
      <c r="BK54" s="38">
        <f>IF((ዕቁብ!BL56/ቦኖ!$C$4&gt;0),1,0)</f>
        <v>0</v>
      </c>
      <c r="BL54" s="38">
        <f>IF((ዕቁብ!BM56/ቦኖ!$C$4&gt;0),1,0)</f>
        <v>1</v>
      </c>
      <c r="BM54" s="38">
        <f>IF((ዕቁብ!BN56/ቦኖ!$C$4&gt;0),1,0)</f>
        <v>1</v>
      </c>
      <c r="BN54" s="38">
        <f>IF((ዕቁብ!BO56/ቦኖ!$C$4&gt;0),1,0)</f>
        <v>0</v>
      </c>
      <c r="BO54" s="38">
        <f>IF((ዕቁብ!BP56/ቦኖ!$C$4&gt;0),1,0)</f>
        <v>0</v>
      </c>
      <c r="BP54" s="38">
        <f>IF((ዕቁብ!BQ56/ቦኖ!$C$4&gt;0),1,0)</f>
        <v>1</v>
      </c>
      <c r="BQ54" s="38">
        <f>IF((ዕቁብ!BR56/ቦኖ!$C$4&gt;0),1,0)</f>
        <v>0</v>
      </c>
      <c r="BR54" s="38">
        <f>IF((ዕቁብ!BS56/ቦኖ!$C$4&gt;0),1,0)</f>
        <v>1</v>
      </c>
      <c r="BS54" s="38">
        <f>IF((ዕቁብ!BT56/ቦኖ!$C$4&gt;0),1,0)</f>
        <v>0</v>
      </c>
      <c r="BT54" s="38">
        <f>IF((ዕቁብ!BU56/ቦኖ!$C$4&gt;0),1,0)</f>
        <v>1</v>
      </c>
      <c r="BU54" s="38">
        <f>IF((ዕቁብ!BV56/ቦኖ!$C$4&gt;0),1,0)</f>
        <v>1</v>
      </c>
      <c r="BV54" s="38">
        <f>IF((ዕቁብ!BW56/ቦኖ!$C$4&gt;0),1,0)</f>
        <v>1</v>
      </c>
      <c r="BW54" s="38">
        <f>IF((ዕቁብ!BX56/ቦኖ!$C$4&gt;0),1,0)</f>
        <v>1</v>
      </c>
      <c r="BX54" s="38">
        <f>IF((ዕቁብ!BY56/ቦኖ!$C$4&gt;0),1,0)</f>
        <v>1</v>
      </c>
      <c r="BY54" s="38">
        <f>IF((ዕቁብ!BZ56/ቦኖ!$C$4&gt;0),1,0)</f>
        <v>1</v>
      </c>
      <c r="BZ54" s="38">
        <f>IF((ዕቁብ!CA56/ቦኖ!$C$4&gt;0),1,0)</f>
        <v>1</v>
      </c>
      <c r="CA54" s="38">
        <f>IF((ዕቁብ!CB56/ቦኖ!$C$4&gt;0),1,0)</f>
        <v>1</v>
      </c>
      <c r="CB54" s="38">
        <f>IF((ዕቁብ!CC56/ቦኖ!$C$4&gt;0),1,0)</f>
        <v>1</v>
      </c>
      <c r="CC54" s="38">
        <f>IF((ዕቁብ!CD56/ቦኖ!$C$4&gt;0),1,0)</f>
        <v>1</v>
      </c>
      <c r="CD54" s="38">
        <f>IF((ዕቁብ!CE56/ቦኖ!$C$4&gt;0),1,0)</f>
        <v>1</v>
      </c>
      <c r="CE54" s="38">
        <f>IF((ዕቁብ!CF56/ቦኖ!$C$4&gt;0),1,0)</f>
        <v>1</v>
      </c>
      <c r="CF54" s="38">
        <f>IF((ዕቁብ!CG56/ቦኖ!$C$4&gt;0),1,0)</f>
        <v>1</v>
      </c>
      <c r="CG54" s="38">
        <f>IF((ዕቁብ!CH56/ቦኖ!$C$4&gt;0),1,0)</f>
        <v>1</v>
      </c>
      <c r="CH54" s="38">
        <f>IF((ዕቁብ!CI56/ቦኖ!$C$4&gt;0),1,0)</f>
        <v>1</v>
      </c>
      <c r="CI54" s="38">
        <f>IF((ዕቁብ!CJ56/ቦኖ!$C$4&gt;0),1,0)</f>
        <v>1</v>
      </c>
      <c r="CJ54" s="38">
        <f>IF((ዕቁብ!CK56/ቦኖ!$C$4&gt;0),1,0)</f>
        <v>1</v>
      </c>
      <c r="CK54" s="38">
        <f>IF((ዕቁብ!CL56/ቦኖ!$C$4&gt;0),1,0)</f>
        <v>0</v>
      </c>
      <c r="CL54" s="38">
        <f>IF((ዕቁብ!CM56/ቦኖ!$C$4&gt;0),1,0)</f>
        <v>1</v>
      </c>
      <c r="CM54" s="38">
        <f>IF((ዕቁብ!CN56/ቦኖ!$C$4&gt;0),1,0)</f>
        <v>0</v>
      </c>
      <c r="CN54" s="38">
        <f>IF((ዕቁብ!CO56/ቦኖ!$C$4&gt;0),1,0)</f>
        <v>1</v>
      </c>
      <c r="CO54" s="38">
        <f>IF((ዕቁብ!CP56/ቦኖ!$C$4&gt;0),1,0)</f>
        <v>1</v>
      </c>
      <c r="CP54" s="38">
        <f>IF((ዕቁብ!CQ56/ቦኖ!$C$4&gt;0),1,0)</f>
        <v>1</v>
      </c>
      <c r="CQ54" s="38">
        <f>IF((ዕቁብ!CR56/ቦኖ!$C$4&gt;0),1,0)</f>
        <v>1</v>
      </c>
      <c r="CR54" s="38">
        <f>IF((ዕቁብ!CS56/ቦኖ!$C$4&gt;0),1,0)</f>
        <v>1</v>
      </c>
      <c r="CS54" s="38">
        <f>IF((ዕቁብ!CT56/ቦኖ!$C$4&gt;0),1,0)</f>
        <v>1</v>
      </c>
      <c r="CT54" s="38">
        <f>IF((ዕቁብ!CU56/ቦኖ!$C$4&gt;0),1,0)</f>
        <v>1</v>
      </c>
      <c r="CU54" s="38">
        <f>IF((ዕቁብ!CV56/ቦኖ!$C$4&gt;0),1,0)</f>
        <v>1</v>
      </c>
      <c r="CV54" s="38">
        <f>IF((ዕቁብ!CW56/ቦኖ!$C$4&gt;0),1,0)</f>
        <v>1</v>
      </c>
      <c r="CW54" s="38">
        <f>IF((ዕቁብ!CX56/ቦኖ!$C$4&gt;0),1,0)</f>
        <v>1</v>
      </c>
      <c r="CX54" s="38">
        <f>IF((ዕቁብ!CY56/ቦኖ!$C$4&gt;0),1,0)</f>
        <v>1</v>
      </c>
      <c r="CY54" s="38">
        <f>IF((ዕቁብ!CZ56/ቦኖ!$C$4&gt;0),1,0)</f>
        <v>1</v>
      </c>
      <c r="CZ54" s="38">
        <f>IF((ዕቁብ!DA56/ቦኖ!$C$4&gt;0),1,0)</f>
        <v>1</v>
      </c>
      <c r="DA54" s="38">
        <f>IF((ዕቁብ!DB56/ቦኖ!$C$4&gt;0),1,0)</f>
        <v>1</v>
      </c>
      <c r="DB54" s="38">
        <f>IF((ዕቁብ!DC56/ቦኖ!$C$4&gt;0),1,0)</f>
        <v>1</v>
      </c>
      <c r="DC54" s="38">
        <f>IF((ዕቁብ!DD56/ቦኖ!$C$4&gt;0),1,0)</f>
        <v>1</v>
      </c>
      <c r="DD54" s="38">
        <f>IF((ዕቁብ!DE56/ቦኖ!$C$4&gt;0),1,0)</f>
        <v>1</v>
      </c>
      <c r="DE54" s="38">
        <f>IF((ዕቁብ!DF56/ቦኖ!$C$4&gt;0),1,0)</f>
        <v>1</v>
      </c>
      <c r="DF54" s="38">
        <f>IF((ዕቁብ!DG56/ቦኖ!$C$4&gt;0),1,0)</f>
        <v>1</v>
      </c>
      <c r="DG54" s="38">
        <f>IF((ዕቁብ!DH56/ቦኖ!$C$4&gt;0),1,0)</f>
        <v>1</v>
      </c>
      <c r="DH54" s="38">
        <f>IF((ዕቁብ!DI56/ቦኖ!$C$4&gt;0),1,0)</f>
        <v>0</v>
      </c>
      <c r="DI54" s="38">
        <f>IF((ዕቁብ!DJ56/ቦኖ!$C$4&gt;0),1,0)</f>
        <v>0</v>
      </c>
      <c r="DJ54" s="38">
        <f>IF((ዕቁብ!DK56/ቦኖ!$C$4&gt;0),1,0)</f>
        <v>0</v>
      </c>
      <c r="DK54" s="38">
        <f>IF((ዕቁብ!DL56/ቦኖ!$C$4&gt;0),1,0)</f>
        <v>0</v>
      </c>
      <c r="DL54" s="38">
        <f>IF((ዕቁብ!DM56/ቦኖ!$C$4&gt;0),1,0)</f>
        <v>0</v>
      </c>
      <c r="DM54" s="38">
        <f>IF((ዕቁብ!DN56/ቦኖ!$C$4&gt;0),1,0)</f>
        <v>0</v>
      </c>
      <c r="DN54" s="38">
        <f>IF((ዕቁብ!DO56/ቦኖ!$C$4&gt;0),1,0)</f>
        <v>0</v>
      </c>
      <c r="DO54" s="38">
        <f>IF((ዕቁብ!DP56/ቦኖ!$C$4&gt;0),1,0)</f>
        <v>0</v>
      </c>
      <c r="DP54" s="38">
        <f>IF((ዕቁብ!DQ56/ቦኖ!$C$4&gt;0),1,0)</f>
        <v>0</v>
      </c>
      <c r="DQ54" s="38">
        <f>IF((ዕቁብ!DR56/ቦኖ!$C$4&gt;0),1,0)</f>
        <v>0</v>
      </c>
    </row>
    <row r="55" spans="1:121" ht="15.75" customHeight="1" x14ac:dyDescent="0.3">
      <c r="A55" s="33">
        <f>ዕቁብ!A57</f>
        <v>51</v>
      </c>
      <c r="B55" s="33" t="str">
        <f>ዕቁብ!B57</f>
        <v>ሳምሶን ጀማል</v>
      </c>
      <c r="C55" s="37">
        <f>ዕቁብ!C57</f>
        <v>21000</v>
      </c>
      <c r="D55" s="38">
        <f>IF((ዕቁብ!E57/ቦኖ!$C$4&gt;0),1,0)</f>
        <v>1</v>
      </c>
      <c r="E55" s="38">
        <f>IF((ዕቁብ!F57/ቦኖ!$C$4&gt;0),1,0)</f>
        <v>1</v>
      </c>
      <c r="F55" s="38">
        <f>IF((ዕቁብ!G57/ቦኖ!$C$4&gt;0),1,0)</f>
        <v>1</v>
      </c>
      <c r="G55" s="38">
        <f>IF((ዕቁብ!H57/ቦኖ!$C$4&gt;0),1,0)</f>
        <v>1</v>
      </c>
      <c r="H55" s="38">
        <f>IF((ዕቁብ!I57/ቦኖ!$C$4&gt;0),1,0)</f>
        <v>1</v>
      </c>
      <c r="I55" s="38">
        <f>IF((ዕቁብ!J57/ቦኖ!$C$4&gt;0),1,0)</f>
        <v>1</v>
      </c>
      <c r="J55" s="38">
        <f>IF((ዕቁብ!K57/ቦኖ!$C$4&gt;0),1,0)</f>
        <v>1</v>
      </c>
      <c r="K55" s="38">
        <f>IF((ዕቁብ!L57/ቦኖ!$C$4&gt;0),1,0)</f>
        <v>1</v>
      </c>
      <c r="L55" s="38">
        <f>IF((ዕቁብ!M57/ቦኖ!$C$4&gt;0),1,0)</f>
        <v>1</v>
      </c>
      <c r="M55" s="38">
        <f>IF((ዕቁብ!N57/ቦኖ!$C$4&gt;0),1,0)</f>
        <v>1</v>
      </c>
      <c r="N55" s="38">
        <f>IF((ዕቁብ!O57/ቦኖ!$C$4&gt;0),1,0)</f>
        <v>1</v>
      </c>
      <c r="O55" s="38">
        <f>IF((ዕቁብ!P57/ቦኖ!$C$4&gt;0),1,0)</f>
        <v>1</v>
      </c>
      <c r="P55" s="38">
        <f>IF((ዕቁብ!Q57/ቦኖ!$C$4&gt;0),1,0)</f>
        <v>1</v>
      </c>
      <c r="Q55" s="38">
        <f>IF((ዕቁብ!R57/ቦኖ!$C$4&gt;0),1,0)</f>
        <v>1</v>
      </c>
      <c r="R55" s="38">
        <f>IF((ዕቁብ!S57/ቦኖ!$C$4&gt;0),1,0)</f>
        <v>1</v>
      </c>
      <c r="S55" s="38">
        <f>IF((ዕቁብ!T57/ቦኖ!$C$4&gt;0),1,0)</f>
        <v>1</v>
      </c>
      <c r="T55" s="38">
        <f>IF((ዕቁብ!U57/ቦኖ!$C$4&gt;0),1,0)</f>
        <v>1</v>
      </c>
      <c r="U55" s="38">
        <f>IF((ዕቁብ!V57/ቦኖ!$C$4&gt;0),1,0)</f>
        <v>1</v>
      </c>
      <c r="V55" s="38">
        <f>IF((ዕቁብ!W57/ቦኖ!$C$4&gt;0),1,0)</f>
        <v>1</v>
      </c>
      <c r="W55" s="38">
        <f>IF((ዕቁብ!X57/ቦኖ!$C$4&gt;0),1,0)</f>
        <v>1</v>
      </c>
      <c r="X55" s="38">
        <f>IF((ዕቁብ!Y57/ቦኖ!$C$4&gt;0),1,0)</f>
        <v>1</v>
      </c>
      <c r="Y55" s="38">
        <f>IF((ዕቁብ!Z57/ቦኖ!$C$4&gt;0),1,0)</f>
        <v>1</v>
      </c>
      <c r="Z55" s="38">
        <f>IF((ዕቁብ!AA57/ቦኖ!$C$4&gt;0),1,0)</f>
        <v>1</v>
      </c>
      <c r="AA55" s="38">
        <f>IF((ዕቁብ!AB57/ቦኖ!$C$4&gt;0),1,0)</f>
        <v>1</v>
      </c>
      <c r="AB55" s="38">
        <f>IF((ዕቁብ!AC57/ቦኖ!$C$4&gt;0),1,0)</f>
        <v>1</v>
      </c>
      <c r="AC55" s="38">
        <f>IF((ዕቁብ!AD57/ቦኖ!$C$4&gt;0),1,0)</f>
        <v>1</v>
      </c>
      <c r="AD55" s="38">
        <f>IF((ዕቁብ!AE57/ቦኖ!$C$4&gt;0),1,0)</f>
        <v>1</v>
      </c>
      <c r="AE55" s="38">
        <f>IF((ዕቁብ!AF57/ቦኖ!$C$4&gt;0),1,0)</f>
        <v>1</v>
      </c>
      <c r="AF55" s="38">
        <f>IF((ዕቁብ!AG57/ቦኖ!$C$4&gt;0),1,0)</f>
        <v>1</v>
      </c>
      <c r="AG55" s="38">
        <f>IF((ዕቁብ!AH57/ቦኖ!$C$4&gt;0),1,0)</f>
        <v>1</v>
      </c>
      <c r="AH55" s="38">
        <f>IF((ዕቁብ!AI57/ቦኖ!$C$4&gt;0),1,0)</f>
        <v>0</v>
      </c>
      <c r="AI55" s="38">
        <f>IF((ዕቁብ!AJ57/ቦኖ!$C$4&gt;0),1,0)</f>
        <v>1</v>
      </c>
      <c r="AJ55" s="38">
        <f>IF((ዕቁብ!AK57/ቦኖ!$C$4&gt;0),1,0)</f>
        <v>0</v>
      </c>
      <c r="AK55" s="38">
        <f>IF((ዕቁብ!AL57/ቦኖ!$C$4&gt;0),1,0)</f>
        <v>1</v>
      </c>
      <c r="AL55" s="38">
        <f>IF((ዕቁብ!AM57/ቦኖ!$C$4&gt;0),1,0)</f>
        <v>0</v>
      </c>
      <c r="AM55" s="38">
        <f>IF((ዕቁብ!AN57/ቦኖ!$C$4&gt;0),1,0)</f>
        <v>1</v>
      </c>
      <c r="AN55" s="38">
        <f>IF((ዕቁብ!AO57/ቦኖ!$C$4&gt;0),1,0)</f>
        <v>0</v>
      </c>
      <c r="AO55" s="38">
        <f>IF((ዕቁብ!AP57/ቦኖ!$C$4&gt;0),1,0)</f>
        <v>1</v>
      </c>
      <c r="AP55" s="38">
        <f>IF((ዕቁብ!AQ57/ቦኖ!$C$4&gt;0),1,0)</f>
        <v>1</v>
      </c>
      <c r="AQ55" s="38">
        <f>IF((ዕቁብ!AR57/ቦኖ!$C$4&gt;0),1,0)</f>
        <v>1</v>
      </c>
      <c r="AR55" s="38">
        <f>IF((ዕቁብ!AS57/ቦኖ!$C$4&gt;0),1,0)</f>
        <v>0</v>
      </c>
      <c r="AS55" s="38">
        <f>IF((ዕቁብ!AT57/ቦኖ!$C$4&gt;0),1,0)</f>
        <v>1</v>
      </c>
      <c r="AT55" s="38">
        <f>IF((ዕቁብ!AU57/ቦኖ!$C$4&gt;0),1,0)</f>
        <v>1</v>
      </c>
      <c r="AU55" s="38">
        <f>IF((ዕቁብ!AV57/ቦኖ!$C$4&gt;0),1,0)</f>
        <v>0</v>
      </c>
      <c r="AV55" s="38">
        <f>IF((ዕቁብ!AW57/ቦኖ!$C$4&gt;0),1,0)</f>
        <v>0</v>
      </c>
      <c r="AW55" s="38">
        <f>IF((ዕቁብ!AX57/ቦኖ!$C$4&gt;0),1,0)</f>
        <v>0</v>
      </c>
      <c r="AX55" s="38">
        <f>IF((ዕቁብ!AY57/ቦኖ!$C$4&gt;0),1,0)</f>
        <v>0</v>
      </c>
      <c r="AY55" s="38">
        <f>IF((ዕቁብ!AZ57/ቦኖ!$C$4&gt;0),1,0)</f>
        <v>0</v>
      </c>
      <c r="AZ55" s="38">
        <f>IF((ዕቁብ!BA57/ቦኖ!$C$4&gt;0),1,0)</f>
        <v>1</v>
      </c>
      <c r="BA55" s="38">
        <f>IF((ዕቁብ!BB57/ቦኖ!$C$4&gt;0),1,0)</f>
        <v>0</v>
      </c>
      <c r="BB55" s="38">
        <f>IF((ዕቁብ!BC57/ቦኖ!$C$4&gt;0),1,0)</f>
        <v>1</v>
      </c>
      <c r="BC55" s="38">
        <f>IF((ዕቁብ!BD57/ቦኖ!$C$4&gt;0),1,0)</f>
        <v>1</v>
      </c>
      <c r="BD55" s="38">
        <f>IF((ዕቁብ!BE57/ቦኖ!$C$4&gt;0),1,0)</f>
        <v>1</v>
      </c>
      <c r="BE55" s="38">
        <f>IF((ዕቁብ!BF57/ቦኖ!$C$4&gt;0),1,0)</f>
        <v>1</v>
      </c>
      <c r="BF55" s="38">
        <f>IF((ዕቁብ!BG57/ቦኖ!$C$4&gt;0),1,0)</f>
        <v>1</v>
      </c>
      <c r="BG55" s="38">
        <f>IF((ዕቁብ!BH57/ቦኖ!$C$4&gt;0),1,0)</f>
        <v>0</v>
      </c>
      <c r="BH55" s="38">
        <f>IF((ዕቁብ!BI57/ቦኖ!$C$4&gt;0),1,0)</f>
        <v>1</v>
      </c>
      <c r="BI55" s="38">
        <f>IF((ዕቁብ!BJ57/ቦኖ!$C$4&gt;0),1,0)</f>
        <v>0</v>
      </c>
      <c r="BJ55" s="38">
        <f>IF((ዕቁብ!BK57/ቦኖ!$C$4&gt;0),1,0)</f>
        <v>1</v>
      </c>
      <c r="BK55" s="38">
        <f>IF((ዕቁብ!BL57/ቦኖ!$C$4&gt;0),1,0)</f>
        <v>1</v>
      </c>
      <c r="BL55" s="38">
        <f>IF((ዕቁብ!BM57/ቦኖ!$C$4&gt;0),1,0)</f>
        <v>1</v>
      </c>
      <c r="BM55" s="38">
        <f>IF((ዕቁብ!BN57/ቦኖ!$C$4&gt;0),1,0)</f>
        <v>1</v>
      </c>
      <c r="BN55" s="38">
        <f>IF((ዕቁብ!BO57/ቦኖ!$C$4&gt;0),1,0)</f>
        <v>1</v>
      </c>
      <c r="BO55" s="38">
        <f>IF((ዕቁብ!BP57/ቦኖ!$C$4&gt;0),1,0)</f>
        <v>1</v>
      </c>
      <c r="BP55" s="38">
        <f>IF((ዕቁብ!BQ57/ቦኖ!$C$4&gt;0),1,0)</f>
        <v>0</v>
      </c>
      <c r="BQ55" s="38">
        <f>IF((ዕቁብ!BR57/ቦኖ!$C$4&gt;0),1,0)</f>
        <v>1</v>
      </c>
      <c r="BR55" s="38">
        <f>IF((ዕቁብ!BS57/ቦኖ!$C$4&gt;0),1,0)</f>
        <v>1</v>
      </c>
      <c r="BS55" s="38">
        <f>IF((ዕቁብ!BT57/ቦኖ!$C$4&gt;0),1,0)</f>
        <v>1</v>
      </c>
      <c r="BT55" s="38">
        <f>IF((ዕቁብ!BU57/ቦኖ!$C$4&gt;0),1,0)</f>
        <v>0</v>
      </c>
      <c r="BU55" s="38">
        <f>IF((ዕቁብ!BV57/ቦኖ!$C$4&gt;0),1,0)</f>
        <v>1</v>
      </c>
      <c r="BV55" s="38">
        <f>IF((ዕቁብ!BW57/ቦኖ!$C$4&gt;0),1,0)</f>
        <v>1</v>
      </c>
      <c r="BW55" s="38">
        <f>IF((ዕቁብ!BX57/ቦኖ!$C$4&gt;0),1,0)</f>
        <v>1</v>
      </c>
      <c r="BX55" s="38">
        <f>IF((ዕቁብ!BY57/ቦኖ!$C$4&gt;0),1,0)</f>
        <v>1</v>
      </c>
      <c r="BY55" s="38">
        <f>IF((ዕቁብ!BZ57/ቦኖ!$C$4&gt;0),1,0)</f>
        <v>1</v>
      </c>
      <c r="BZ55" s="38">
        <f>IF((ዕቁብ!CA57/ቦኖ!$C$4&gt;0),1,0)</f>
        <v>0</v>
      </c>
      <c r="CA55" s="38">
        <f>IF((ዕቁብ!CB57/ቦኖ!$C$4&gt;0),1,0)</f>
        <v>1</v>
      </c>
      <c r="CB55" s="38">
        <f>IF((ዕቁብ!CC57/ቦኖ!$C$4&gt;0),1,0)</f>
        <v>0</v>
      </c>
      <c r="CC55" s="38">
        <f>IF((ዕቁብ!CD57/ቦኖ!$C$4&gt;0),1,0)</f>
        <v>1</v>
      </c>
      <c r="CD55" s="38">
        <f>IF((ዕቁብ!CE57/ቦኖ!$C$4&gt;0),1,0)</f>
        <v>0</v>
      </c>
      <c r="CE55" s="38">
        <f>IF((ዕቁብ!CF57/ቦኖ!$C$4&gt;0),1,0)</f>
        <v>1</v>
      </c>
      <c r="CF55" s="38">
        <f>IF((ዕቁብ!CG57/ቦኖ!$C$4&gt;0),1,0)</f>
        <v>0</v>
      </c>
      <c r="CG55" s="38">
        <f>IF((ዕቁብ!CH57/ቦኖ!$C$4&gt;0),1,0)</f>
        <v>1</v>
      </c>
      <c r="CH55" s="38">
        <f>IF((ዕቁብ!CI57/ቦኖ!$C$4&gt;0),1,0)</f>
        <v>0</v>
      </c>
      <c r="CI55" s="38">
        <f>IF((ዕቁብ!CJ57/ቦኖ!$C$4&gt;0),1,0)</f>
        <v>1</v>
      </c>
      <c r="CJ55" s="38">
        <f>IF((ዕቁብ!CK57/ቦኖ!$C$4&gt;0),1,0)</f>
        <v>1</v>
      </c>
      <c r="CK55" s="38">
        <f>IF((ዕቁብ!CL57/ቦኖ!$C$4&gt;0),1,0)</f>
        <v>1</v>
      </c>
      <c r="CL55" s="38">
        <f>IF((ዕቁብ!CM57/ቦኖ!$C$4&gt;0),1,0)</f>
        <v>1</v>
      </c>
      <c r="CM55" s="38">
        <f>IF((ዕቁብ!CN57/ቦኖ!$C$4&gt;0),1,0)</f>
        <v>1</v>
      </c>
      <c r="CN55" s="38">
        <f>IF((ዕቁብ!CO57/ቦኖ!$C$4&gt;0),1,0)</f>
        <v>0</v>
      </c>
      <c r="CO55" s="38">
        <f>IF((ዕቁብ!CP57/ቦኖ!$C$4&gt;0),1,0)</f>
        <v>0</v>
      </c>
      <c r="CP55" s="38">
        <f>IF((ዕቁብ!CQ57/ቦኖ!$C$4&gt;0),1,0)</f>
        <v>1</v>
      </c>
      <c r="CQ55" s="38">
        <f>IF((ዕቁብ!CR57/ቦኖ!$C$4&gt;0),1,0)</f>
        <v>1</v>
      </c>
      <c r="CR55" s="38">
        <f>IF((ዕቁብ!CS57/ቦኖ!$C$4&gt;0),1,0)</f>
        <v>0</v>
      </c>
      <c r="CS55" s="38">
        <f>IF((ዕቁብ!CT57/ቦኖ!$C$4&gt;0),1,0)</f>
        <v>1</v>
      </c>
      <c r="CT55" s="38">
        <f>IF((ዕቁብ!CU57/ቦኖ!$C$4&gt;0),1,0)</f>
        <v>1</v>
      </c>
      <c r="CU55" s="38">
        <f>IF((ዕቁብ!CV57/ቦኖ!$C$4&gt;0),1,0)</f>
        <v>0</v>
      </c>
      <c r="CV55" s="38">
        <f>IF((ዕቁብ!CW57/ቦኖ!$C$4&gt;0),1,0)</f>
        <v>0</v>
      </c>
      <c r="CW55" s="38">
        <f>IF((ዕቁብ!CX57/ቦኖ!$C$4&gt;0),1,0)</f>
        <v>0</v>
      </c>
      <c r="CX55" s="38">
        <f>IF((ዕቁብ!CY57/ቦኖ!$C$4&gt;0),1,0)</f>
        <v>0</v>
      </c>
      <c r="CY55" s="38">
        <f>IF((ዕቁብ!CZ57/ቦኖ!$C$4&gt;0),1,0)</f>
        <v>0</v>
      </c>
      <c r="CZ55" s="38">
        <f>IF((ዕቁብ!DA57/ቦኖ!$C$4&gt;0),1,0)</f>
        <v>1</v>
      </c>
      <c r="DA55" s="38">
        <f>IF((ዕቁብ!DB57/ቦኖ!$C$4&gt;0),1,0)</f>
        <v>1</v>
      </c>
      <c r="DB55" s="38">
        <f>IF((ዕቁብ!DC57/ቦኖ!$C$4&gt;0),1,0)</f>
        <v>0</v>
      </c>
      <c r="DC55" s="38">
        <f>IF((ዕቁብ!DD57/ቦኖ!$C$4&gt;0),1,0)</f>
        <v>1</v>
      </c>
      <c r="DD55" s="38">
        <f>IF((ዕቁብ!DE57/ቦኖ!$C$4&gt;0),1,0)</f>
        <v>1</v>
      </c>
      <c r="DE55" s="38">
        <f>IF((ዕቁብ!DF57/ቦኖ!$C$4&gt;0),1,0)</f>
        <v>0</v>
      </c>
      <c r="DF55" s="38">
        <f>IF((ዕቁብ!DG57/ቦኖ!$C$4&gt;0),1,0)</f>
        <v>1</v>
      </c>
      <c r="DG55" s="38">
        <f>IF((ዕቁብ!DH57/ቦኖ!$C$4&gt;0),1,0)</f>
        <v>0</v>
      </c>
      <c r="DH55" s="38">
        <f>IF((ዕቁብ!DI57/ቦኖ!$C$4&gt;0),1,0)</f>
        <v>0</v>
      </c>
      <c r="DI55" s="38">
        <f>IF((ዕቁብ!DJ57/ቦኖ!$C$4&gt;0),1,0)</f>
        <v>0</v>
      </c>
      <c r="DJ55" s="38">
        <f>IF((ዕቁብ!DK57/ቦኖ!$C$4&gt;0),1,0)</f>
        <v>0</v>
      </c>
      <c r="DK55" s="38">
        <f>IF((ዕቁብ!DL57/ቦኖ!$C$4&gt;0),1,0)</f>
        <v>0</v>
      </c>
      <c r="DL55" s="38">
        <f>IF((ዕቁብ!DM57/ቦኖ!$C$4&gt;0),1,0)</f>
        <v>0</v>
      </c>
      <c r="DM55" s="38">
        <f>IF((ዕቁብ!DN57/ቦኖ!$C$4&gt;0),1,0)</f>
        <v>0</v>
      </c>
      <c r="DN55" s="38">
        <f>IF((ዕቁብ!DO57/ቦኖ!$C$4&gt;0),1,0)</f>
        <v>0</v>
      </c>
      <c r="DO55" s="38">
        <f>IF((ዕቁብ!DP57/ቦኖ!$C$4&gt;0),1,0)</f>
        <v>0</v>
      </c>
      <c r="DP55" s="38">
        <f>IF((ዕቁብ!DQ57/ቦኖ!$C$4&gt;0),1,0)</f>
        <v>0</v>
      </c>
      <c r="DQ55" s="38">
        <f>IF((ዕቁብ!DR57/ቦኖ!$C$4&gt;0),1,0)</f>
        <v>0</v>
      </c>
    </row>
    <row r="56" spans="1:121" ht="15.75" customHeight="1" x14ac:dyDescent="0.3">
      <c r="A56" s="33">
        <f>ዕቁብ!A58</f>
        <v>52</v>
      </c>
      <c r="B56" s="33" t="str">
        <f>ዕቁብ!B58</f>
        <v>ኤርሚያስ ፊሎ</v>
      </c>
      <c r="C56" s="37">
        <f>ዕቁብ!C58</f>
        <v>21000</v>
      </c>
      <c r="D56" s="38">
        <f>IF((ዕቁብ!E58/ቦኖ!$C$4&gt;0),1,0)</f>
        <v>1</v>
      </c>
      <c r="E56" s="38">
        <f>IF((ዕቁብ!F58/ቦኖ!$C$4&gt;0),1,0)</f>
        <v>1</v>
      </c>
      <c r="F56" s="38">
        <f>IF((ዕቁብ!G58/ቦኖ!$C$4&gt;0),1,0)</f>
        <v>1</v>
      </c>
      <c r="G56" s="38">
        <f>IF((ዕቁብ!H58/ቦኖ!$C$4&gt;0),1,0)</f>
        <v>1</v>
      </c>
      <c r="H56" s="38">
        <f>IF((ዕቁብ!I58/ቦኖ!$C$4&gt;0),1,0)</f>
        <v>1</v>
      </c>
      <c r="I56" s="38">
        <f>IF((ዕቁብ!J58/ቦኖ!$C$4&gt;0),1,0)</f>
        <v>1</v>
      </c>
      <c r="J56" s="38">
        <f>IF((ዕቁብ!K58/ቦኖ!$C$4&gt;0),1,0)</f>
        <v>1</v>
      </c>
      <c r="K56" s="38">
        <f>IF((ዕቁብ!L58/ቦኖ!$C$4&gt;0),1,0)</f>
        <v>1</v>
      </c>
      <c r="L56" s="38">
        <f>IF((ዕቁብ!M58/ቦኖ!$C$4&gt;0),1,0)</f>
        <v>1</v>
      </c>
      <c r="M56" s="38">
        <f>IF((ዕቁብ!N58/ቦኖ!$C$4&gt;0),1,0)</f>
        <v>1</v>
      </c>
      <c r="N56" s="38">
        <f>IF((ዕቁብ!O58/ቦኖ!$C$4&gt;0),1,0)</f>
        <v>1</v>
      </c>
      <c r="O56" s="38">
        <f>IF((ዕቁብ!P58/ቦኖ!$C$4&gt;0),1,0)</f>
        <v>1</v>
      </c>
      <c r="P56" s="38">
        <f>IF((ዕቁብ!Q58/ቦኖ!$C$4&gt;0),1,0)</f>
        <v>1</v>
      </c>
      <c r="Q56" s="38">
        <f>IF((ዕቁብ!R58/ቦኖ!$C$4&gt;0),1,0)</f>
        <v>1</v>
      </c>
      <c r="R56" s="38">
        <f>IF((ዕቁብ!S58/ቦኖ!$C$4&gt;0),1,0)</f>
        <v>1</v>
      </c>
      <c r="S56" s="38">
        <f>IF((ዕቁብ!T58/ቦኖ!$C$4&gt;0),1,0)</f>
        <v>1</v>
      </c>
      <c r="T56" s="38">
        <f>IF((ዕቁብ!U58/ቦኖ!$C$4&gt;0),1,0)</f>
        <v>1</v>
      </c>
      <c r="U56" s="38">
        <f>IF((ዕቁብ!V58/ቦኖ!$C$4&gt;0),1,0)</f>
        <v>1</v>
      </c>
      <c r="V56" s="38">
        <f>IF((ዕቁብ!W58/ቦኖ!$C$4&gt;0),1,0)</f>
        <v>1</v>
      </c>
      <c r="W56" s="38">
        <f>IF((ዕቁብ!X58/ቦኖ!$C$4&gt;0),1,0)</f>
        <v>1</v>
      </c>
      <c r="X56" s="38">
        <f>IF((ዕቁብ!Y58/ቦኖ!$C$4&gt;0),1,0)</f>
        <v>1</v>
      </c>
      <c r="Y56" s="38">
        <f>IF((ዕቁብ!Z58/ቦኖ!$C$4&gt;0),1,0)</f>
        <v>1</v>
      </c>
      <c r="Z56" s="38">
        <f>IF((ዕቁብ!AA58/ቦኖ!$C$4&gt;0),1,0)</f>
        <v>1</v>
      </c>
      <c r="AA56" s="38">
        <f>IF((ዕቁብ!AB58/ቦኖ!$C$4&gt;0),1,0)</f>
        <v>1</v>
      </c>
      <c r="AB56" s="38">
        <f>IF((ዕቁብ!AC58/ቦኖ!$C$4&gt;0),1,0)</f>
        <v>1</v>
      </c>
      <c r="AC56" s="38">
        <f>IF((ዕቁብ!AD58/ቦኖ!$C$4&gt;0),1,0)</f>
        <v>1</v>
      </c>
      <c r="AD56" s="38">
        <f>IF((ዕቁብ!AE58/ቦኖ!$C$4&gt;0),1,0)</f>
        <v>1</v>
      </c>
      <c r="AE56" s="38">
        <f>IF((ዕቁብ!AF58/ቦኖ!$C$4&gt;0),1,0)</f>
        <v>1</v>
      </c>
      <c r="AF56" s="38">
        <f>IF((ዕቁብ!AG58/ቦኖ!$C$4&gt;0),1,0)</f>
        <v>1</v>
      </c>
      <c r="AG56" s="38">
        <f>IF((ዕቁብ!AH58/ቦኖ!$C$4&gt;0),1,0)</f>
        <v>1</v>
      </c>
      <c r="AH56" s="38">
        <f>IF((ዕቁብ!AI58/ቦኖ!$C$4&gt;0),1,0)</f>
        <v>1</v>
      </c>
      <c r="AI56" s="38">
        <f>IF((ዕቁብ!AJ58/ቦኖ!$C$4&gt;0),1,0)</f>
        <v>1</v>
      </c>
      <c r="AJ56" s="38">
        <f>IF((ዕቁብ!AK58/ቦኖ!$C$4&gt;0),1,0)</f>
        <v>1</v>
      </c>
      <c r="AK56" s="38">
        <f>IF((ዕቁብ!AL58/ቦኖ!$C$4&gt;0),1,0)</f>
        <v>1</v>
      </c>
      <c r="AL56" s="38">
        <f>IF((ዕቁብ!AM58/ቦኖ!$C$4&gt;0),1,0)</f>
        <v>1</v>
      </c>
      <c r="AM56" s="38">
        <f>IF((ዕቁብ!AN58/ቦኖ!$C$4&gt;0),1,0)</f>
        <v>1</v>
      </c>
      <c r="AN56" s="38">
        <f>IF((ዕቁብ!AO58/ቦኖ!$C$4&gt;0),1,0)</f>
        <v>1</v>
      </c>
      <c r="AO56" s="38">
        <f>IF((ዕቁብ!AP58/ቦኖ!$C$4&gt;0),1,0)</f>
        <v>1</v>
      </c>
      <c r="AP56" s="38">
        <f>IF((ዕቁብ!AQ58/ቦኖ!$C$4&gt;0),1,0)</f>
        <v>1</v>
      </c>
      <c r="AQ56" s="38">
        <f>IF((ዕቁብ!AR58/ቦኖ!$C$4&gt;0),1,0)</f>
        <v>1</v>
      </c>
      <c r="AR56" s="38">
        <f>IF((ዕቁብ!AS58/ቦኖ!$C$4&gt;0),1,0)</f>
        <v>1</v>
      </c>
      <c r="AS56" s="38">
        <f>IF((ዕቁብ!AT58/ቦኖ!$C$4&gt;0),1,0)</f>
        <v>1</v>
      </c>
      <c r="AT56" s="38">
        <f>IF((ዕቁብ!AU58/ቦኖ!$C$4&gt;0),1,0)</f>
        <v>1</v>
      </c>
      <c r="AU56" s="38">
        <f>IF((ዕቁብ!AV58/ቦኖ!$C$4&gt;0),1,0)</f>
        <v>0</v>
      </c>
      <c r="AV56" s="38">
        <f>IF((ዕቁብ!AW58/ቦኖ!$C$4&gt;0),1,0)</f>
        <v>1</v>
      </c>
      <c r="AW56" s="38">
        <f>IF((ዕቁብ!AX58/ቦኖ!$C$4&gt;0),1,0)</f>
        <v>1</v>
      </c>
      <c r="AX56" s="38">
        <f>IF((ዕቁብ!AY58/ቦኖ!$C$4&gt;0),1,0)</f>
        <v>1</v>
      </c>
      <c r="AY56" s="38">
        <f>IF((ዕቁብ!AZ58/ቦኖ!$C$4&gt;0),1,0)</f>
        <v>1</v>
      </c>
      <c r="AZ56" s="38">
        <f>IF((ዕቁብ!BA58/ቦኖ!$C$4&gt;0),1,0)</f>
        <v>1</v>
      </c>
      <c r="BA56" s="38">
        <f>IF((ዕቁብ!BB58/ቦኖ!$C$4&gt;0),1,0)</f>
        <v>1</v>
      </c>
      <c r="BB56" s="38">
        <f>IF((ዕቁብ!BC58/ቦኖ!$C$4&gt;0),1,0)</f>
        <v>0</v>
      </c>
      <c r="BC56" s="38">
        <f>IF((ዕቁብ!BD58/ቦኖ!$C$4&gt;0),1,0)</f>
        <v>1</v>
      </c>
      <c r="BD56" s="38">
        <f>IF((ዕቁብ!BE58/ቦኖ!$C$4&gt;0),1,0)</f>
        <v>1</v>
      </c>
      <c r="BE56" s="38">
        <f>IF((ዕቁብ!BF58/ቦኖ!$C$4&gt;0),1,0)</f>
        <v>1</v>
      </c>
      <c r="BF56" s="38">
        <f>IF((ዕቁብ!BG58/ቦኖ!$C$4&gt;0),1,0)</f>
        <v>1</v>
      </c>
      <c r="BG56" s="38">
        <f>IF((ዕቁብ!BH58/ቦኖ!$C$4&gt;0),1,0)</f>
        <v>0</v>
      </c>
      <c r="BH56" s="38">
        <f>IF((ዕቁብ!BI58/ቦኖ!$C$4&gt;0),1,0)</f>
        <v>1</v>
      </c>
      <c r="BI56" s="38">
        <f>IF((ዕቁብ!BJ58/ቦኖ!$C$4&gt;0),1,0)</f>
        <v>1</v>
      </c>
      <c r="BJ56" s="38">
        <f>IF((ዕቁብ!BK58/ቦኖ!$C$4&gt;0),1,0)</f>
        <v>0</v>
      </c>
      <c r="BK56" s="38">
        <f>IF((ዕቁብ!BL58/ቦኖ!$C$4&gt;0),1,0)</f>
        <v>1</v>
      </c>
      <c r="BL56" s="38">
        <f>IF((ዕቁብ!BM58/ቦኖ!$C$4&gt;0),1,0)</f>
        <v>1</v>
      </c>
      <c r="BM56" s="38">
        <f>IF((ዕቁብ!BN58/ቦኖ!$C$4&gt;0),1,0)</f>
        <v>1</v>
      </c>
      <c r="BN56" s="38">
        <f>IF((ዕቁብ!BO58/ቦኖ!$C$4&gt;0),1,0)</f>
        <v>1</v>
      </c>
      <c r="BO56" s="38">
        <f>IF((ዕቁብ!BP58/ቦኖ!$C$4&gt;0),1,0)</f>
        <v>1</v>
      </c>
      <c r="BP56" s="38">
        <f>IF((ዕቁብ!BQ58/ቦኖ!$C$4&gt;0),1,0)</f>
        <v>1</v>
      </c>
      <c r="BQ56" s="38">
        <f>IF((ዕቁብ!BR58/ቦኖ!$C$4&gt;0),1,0)</f>
        <v>1</v>
      </c>
      <c r="BR56" s="38">
        <f>IF((ዕቁብ!BS58/ቦኖ!$C$4&gt;0),1,0)</f>
        <v>1</v>
      </c>
      <c r="BS56" s="38">
        <f>IF((ዕቁብ!BT58/ቦኖ!$C$4&gt;0),1,0)</f>
        <v>1</v>
      </c>
      <c r="BT56" s="38">
        <f>IF((ዕቁብ!BU58/ቦኖ!$C$4&gt;0),1,0)</f>
        <v>1</v>
      </c>
      <c r="BU56" s="38">
        <f>IF((ዕቁብ!BV58/ቦኖ!$C$4&gt;0),1,0)</f>
        <v>1</v>
      </c>
      <c r="BV56" s="38">
        <f>IF((ዕቁብ!BW58/ቦኖ!$C$4&gt;0),1,0)</f>
        <v>1</v>
      </c>
      <c r="BW56" s="38">
        <f>IF((ዕቁብ!BX58/ቦኖ!$C$4&gt;0),1,0)</f>
        <v>1</v>
      </c>
      <c r="BX56" s="38">
        <f>IF((ዕቁብ!BY58/ቦኖ!$C$4&gt;0),1,0)</f>
        <v>1</v>
      </c>
      <c r="BY56" s="38">
        <f>IF((ዕቁብ!BZ58/ቦኖ!$C$4&gt;0),1,0)</f>
        <v>1</v>
      </c>
      <c r="BZ56" s="38">
        <f>IF((ዕቁብ!CA58/ቦኖ!$C$4&gt;0),1,0)</f>
        <v>1</v>
      </c>
      <c r="CA56" s="38">
        <f>IF((ዕቁብ!CB58/ቦኖ!$C$4&gt;0),1,0)</f>
        <v>1</v>
      </c>
      <c r="CB56" s="38">
        <f>IF((ዕቁብ!CC58/ቦኖ!$C$4&gt;0),1,0)</f>
        <v>1</v>
      </c>
      <c r="CC56" s="38">
        <f>IF((ዕቁብ!CD58/ቦኖ!$C$4&gt;0),1,0)</f>
        <v>1</v>
      </c>
      <c r="CD56" s="38">
        <f>IF((ዕቁብ!CE58/ቦኖ!$C$4&gt;0),1,0)</f>
        <v>1</v>
      </c>
      <c r="CE56" s="38">
        <f>IF((ዕቁብ!CF58/ቦኖ!$C$4&gt;0),1,0)</f>
        <v>1</v>
      </c>
      <c r="CF56" s="38">
        <f>IF((ዕቁብ!CG58/ቦኖ!$C$4&gt;0),1,0)</f>
        <v>0</v>
      </c>
      <c r="CG56" s="38">
        <f>IF((ዕቁብ!CH58/ቦኖ!$C$4&gt;0),1,0)</f>
        <v>1</v>
      </c>
      <c r="CH56" s="38">
        <f>IF((ዕቁብ!CI58/ቦኖ!$C$4&gt;0),1,0)</f>
        <v>1</v>
      </c>
      <c r="CI56" s="38">
        <f>IF((ዕቁብ!CJ58/ቦኖ!$C$4&gt;0),1,0)</f>
        <v>1</v>
      </c>
      <c r="CJ56" s="38">
        <f>IF((ዕቁብ!CK58/ቦኖ!$C$4&gt;0),1,0)</f>
        <v>1</v>
      </c>
      <c r="CK56" s="38">
        <f>IF((ዕቁብ!CL58/ቦኖ!$C$4&gt;0),1,0)</f>
        <v>1</v>
      </c>
      <c r="CL56" s="38">
        <f>IF((ዕቁብ!CM58/ቦኖ!$C$4&gt;0),1,0)</f>
        <v>1</v>
      </c>
      <c r="CM56" s="38">
        <f>IF((ዕቁብ!CN58/ቦኖ!$C$4&gt;0),1,0)</f>
        <v>1</v>
      </c>
      <c r="CN56" s="38">
        <f>IF((ዕቁብ!CO58/ቦኖ!$C$4&gt;0),1,0)</f>
        <v>1</v>
      </c>
      <c r="CO56" s="38">
        <f>IF((ዕቁብ!CP58/ቦኖ!$C$4&gt;0),1,0)</f>
        <v>1</v>
      </c>
      <c r="CP56" s="38">
        <f>IF((ዕቁብ!CQ58/ቦኖ!$C$4&gt;0),1,0)</f>
        <v>1</v>
      </c>
      <c r="CQ56" s="38">
        <f>IF((ዕቁብ!CR58/ቦኖ!$C$4&gt;0),1,0)</f>
        <v>1</v>
      </c>
      <c r="CR56" s="38">
        <f>IF((ዕቁብ!CS58/ቦኖ!$C$4&gt;0),1,0)</f>
        <v>1</v>
      </c>
      <c r="CS56" s="38">
        <f>IF((ዕቁብ!CT58/ቦኖ!$C$4&gt;0),1,0)</f>
        <v>1</v>
      </c>
      <c r="CT56" s="38">
        <f>IF((ዕቁብ!CU58/ቦኖ!$C$4&gt;0),1,0)</f>
        <v>1</v>
      </c>
      <c r="CU56" s="38">
        <f>IF((ዕቁብ!CV58/ቦኖ!$C$4&gt;0),1,0)</f>
        <v>1</v>
      </c>
      <c r="CV56" s="38">
        <f>IF((ዕቁብ!CW58/ቦኖ!$C$4&gt;0),1,0)</f>
        <v>0</v>
      </c>
      <c r="CW56" s="38">
        <f>IF((ዕቁብ!CX58/ቦኖ!$C$4&gt;0),1,0)</f>
        <v>1</v>
      </c>
      <c r="CX56" s="38">
        <f>IF((ዕቁብ!CY58/ቦኖ!$C$4&gt;0),1,0)</f>
        <v>1</v>
      </c>
      <c r="CY56" s="38">
        <f>IF((ዕቁብ!CZ58/ቦኖ!$C$4&gt;0),1,0)</f>
        <v>1</v>
      </c>
      <c r="CZ56" s="38">
        <f>IF((ዕቁብ!DA58/ቦኖ!$C$4&gt;0),1,0)</f>
        <v>1</v>
      </c>
      <c r="DA56" s="38">
        <f>IF((ዕቁብ!DB58/ቦኖ!$C$4&gt;0),1,0)</f>
        <v>1</v>
      </c>
      <c r="DB56" s="38">
        <f>IF((ዕቁብ!DC58/ቦኖ!$C$4&gt;0),1,0)</f>
        <v>1</v>
      </c>
      <c r="DC56" s="38">
        <f>IF((ዕቁብ!DD58/ቦኖ!$C$4&gt;0),1,0)</f>
        <v>1</v>
      </c>
      <c r="DD56" s="38">
        <f>IF((ዕቁብ!DE58/ቦኖ!$C$4&gt;0),1,0)</f>
        <v>1</v>
      </c>
      <c r="DE56" s="38">
        <f>IF((ዕቁብ!DF58/ቦኖ!$C$4&gt;0),1,0)</f>
        <v>0</v>
      </c>
      <c r="DF56" s="38">
        <f>IF((ዕቁብ!DG58/ቦኖ!$C$4&gt;0),1,0)</f>
        <v>1</v>
      </c>
      <c r="DG56" s="38">
        <f>IF((ዕቁብ!DH58/ቦኖ!$C$4&gt;0),1,0)</f>
        <v>1</v>
      </c>
      <c r="DH56" s="38">
        <f>IF((ዕቁብ!DI58/ቦኖ!$C$4&gt;0),1,0)</f>
        <v>0</v>
      </c>
      <c r="DI56" s="38">
        <f>IF((ዕቁብ!DJ58/ቦኖ!$C$4&gt;0),1,0)</f>
        <v>0</v>
      </c>
      <c r="DJ56" s="38">
        <f>IF((ዕቁብ!DK58/ቦኖ!$C$4&gt;0),1,0)</f>
        <v>0</v>
      </c>
      <c r="DK56" s="38">
        <f>IF((ዕቁብ!DL58/ቦኖ!$C$4&gt;0),1,0)</f>
        <v>0</v>
      </c>
      <c r="DL56" s="38">
        <f>IF((ዕቁብ!DM58/ቦኖ!$C$4&gt;0),1,0)</f>
        <v>0</v>
      </c>
      <c r="DM56" s="38">
        <f>IF((ዕቁብ!DN58/ቦኖ!$C$4&gt;0),1,0)</f>
        <v>0</v>
      </c>
      <c r="DN56" s="38">
        <f>IF((ዕቁብ!DO58/ቦኖ!$C$4&gt;0),1,0)</f>
        <v>0</v>
      </c>
      <c r="DO56" s="38">
        <f>IF((ዕቁብ!DP58/ቦኖ!$C$4&gt;0),1,0)</f>
        <v>0</v>
      </c>
      <c r="DP56" s="38">
        <f>IF((ዕቁብ!DQ58/ቦኖ!$C$4&gt;0),1,0)</f>
        <v>0</v>
      </c>
      <c r="DQ56" s="38">
        <f>IF((ዕቁብ!DR58/ቦኖ!$C$4&gt;0),1,0)</f>
        <v>0</v>
      </c>
    </row>
    <row r="57" spans="1:121" ht="15.75" customHeight="1" x14ac:dyDescent="0.3">
      <c r="A57" s="33">
        <f>ዕቁብ!A59</f>
        <v>53</v>
      </c>
      <c r="B57" s="33" t="str">
        <f>ዕቁብ!B59</f>
        <v>ሙሴ ዳንኤል</v>
      </c>
      <c r="C57" s="37">
        <f>ዕቁብ!C59</f>
        <v>21000</v>
      </c>
      <c r="D57" s="38">
        <f>IF((ዕቁብ!E59/ቦኖ!$C$4&gt;0),1,0)</f>
        <v>1</v>
      </c>
      <c r="E57" s="38">
        <f>IF((ዕቁብ!F59/ቦኖ!$C$4&gt;0),1,0)</f>
        <v>1</v>
      </c>
      <c r="F57" s="38">
        <f>IF((ዕቁብ!G59/ቦኖ!$C$4&gt;0),1,0)</f>
        <v>1</v>
      </c>
      <c r="G57" s="38">
        <f>IF((ዕቁብ!H59/ቦኖ!$C$4&gt;0),1,0)</f>
        <v>1</v>
      </c>
      <c r="H57" s="38">
        <f>IF((ዕቁብ!I59/ቦኖ!$C$4&gt;0),1,0)</f>
        <v>1</v>
      </c>
      <c r="I57" s="38">
        <f>IF((ዕቁብ!J59/ቦኖ!$C$4&gt;0),1,0)</f>
        <v>1</v>
      </c>
      <c r="J57" s="38">
        <f>IF((ዕቁብ!K59/ቦኖ!$C$4&gt;0),1,0)</f>
        <v>1</v>
      </c>
      <c r="K57" s="38">
        <f>IF((ዕቁብ!L59/ቦኖ!$C$4&gt;0),1,0)</f>
        <v>1</v>
      </c>
      <c r="L57" s="38">
        <f>IF((ዕቁብ!M59/ቦኖ!$C$4&gt;0),1,0)</f>
        <v>1</v>
      </c>
      <c r="M57" s="38">
        <f>IF((ዕቁብ!N59/ቦኖ!$C$4&gt;0),1,0)</f>
        <v>1</v>
      </c>
      <c r="N57" s="38">
        <f>IF((ዕቁብ!O59/ቦኖ!$C$4&gt;0),1,0)</f>
        <v>1</v>
      </c>
      <c r="O57" s="38">
        <f>IF((ዕቁብ!P59/ቦኖ!$C$4&gt;0),1,0)</f>
        <v>1</v>
      </c>
      <c r="P57" s="38">
        <f>IF((ዕቁብ!Q59/ቦኖ!$C$4&gt;0),1,0)</f>
        <v>1</v>
      </c>
      <c r="Q57" s="38">
        <f>IF((ዕቁብ!R59/ቦኖ!$C$4&gt;0),1,0)</f>
        <v>1</v>
      </c>
      <c r="R57" s="38">
        <f>IF((ዕቁብ!S59/ቦኖ!$C$4&gt;0),1,0)</f>
        <v>1</v>
      </c>
      <c r="S57" s="38">
        <f>IF((ዕቁብ!T59/ቦኖ!$C$4&gt;0),1,0)</f>
        <v>1</v>
      </c>
      <c r="T57" s="38">
        <f>IF((ዕቁብ!U59/ቦኖ!$C$4&gt;0),1,0)</f>
        <v>1</v>
      </c>
      <c r="U57" s="38">
        <f>IF((ዕቁብ!V59/ቦኖ!$C$4&gt;0),1,0)</f>
        <v>1</v>
      </c>
      <c r="V57" s="38">
        <f>IF((ዕቁብ!W59/ቦኖ!$C$4&gt;0),1,0)</f>
        <v>1</v>
      </c>
      <c r="W57" s="38">
        <f>IF((ዕቁብ!X59/ቦኖ!$C$4&gt;0),1,0)</f>
        <v>1</v>
      </c>
      <c r="X57" s="38">
        <f>IF((ዕቁብ!Y59/ቦኖ!$C$4&gt;0),1,0)</f>
        <v>1</v>
      </c>
      <c r="Y57" s="38">
        <f>IF((ዕቁብ!Z59/ቦኖ!$C$4&gt;0),1,0)</f>
        <v>0</v>
      </c>
      <c r="Z57" s="38">
        <f>IF((ዕቁብ!AA59/ቦኖ!$C$4&gt;0),1,0)</f>
        <v>1</v>
      </c>
      <c r="AA57" s="38">
        <f>IF((ዕቁብ!AB59/ቦኖ!$C$4&gt;0),1,0)</f>
        <v>0</v>
      </c>
      <c r="AB57" s="38">
        <f>IF((ዕቁብ!AC59/ቦኖ!$C$4&gt;0),1,0)</f>
        <v>1</v>
      </c>
      <c r="AC57" s="38">
        <f>IF((ዕቁብ!AD59/ቦኖ!$C$4&gt;0),1,0)</f>
        <v>0</v>
      </c>
      <c r="AD57" s="38">
        <f>IF((ዕቁብ!AE59/ቦኖ!$C$4&gt;0),1,0)</f>
        <v>1</v>
      </c>
      <c r="AE57" s="38">
        <f>IF((ዕቁብ!AF59/ቦኖ!$C$4&gt;0),1,0)</f>
        <v>1</v>
      </c>
      <c r="AF57" s="38">
        <f>IF((ዕቁብ!AG59/ቦኖ!$C$4&gt;0),1,0)</f>
        <v>0</v>
      </c>
      <c r="AG57" s="38">
        <f>IF((ዕቁብ!AH59/ቦኖ!$C$4&gt;0),1,0)</f>
        <v>1</v>
      </c>
      <c r="AH57" s="38">
        <f>IF((ዕቁብ!AI59/ቦኖ!$C$4&gt;0),1,0)</f>
        <v>1</v>
      </c>
      <c r="AI57" s="38">
        <f>IF((ዕቁብ!AJ59/ቦኖ!$C$4&gt;0),1,0)</f>
        <v>0</v>
      </c>
      <c r="AJ57" s="38">
        <f>IF((ዕቁብ!AK59/ቦኖ!$C$4&gt;0),1,0)</f>
        <v>0</v>
      </c>
      <c r="AK57" s="38">
        <f>IF((ዕቁብ!AL59/ቦኖ!$C$4&gt;0),1,0)</f>
        <v>1</v>
      </c>
      <c r="AL57" s="38">
        <f>IF((ዕቁብ!AM59/ቦኖ!$C$4&gt;0),1,0)</f>
        <v>1</v>
      </c>
      <c r="AM57" s="38">
        <f>IF((ዕቁብ!AN59/ቦኖ!$C$4&gt;0),1,0)</f>
        <v>1</v>
      </c>
      <c r="AN57" s="38">
        <f>IF((ዕቁብ!AO59/ቦኖ!$C$4&gt;0),1,0)</f>
        <v>0</v>
      </c>
      <c r="AO57" s="38">
        <f>IF((ዕቁብ!AP59/ቦኖ!$C$4&gt;0),1,0)</f>
        <v>1</v>
      </c>
      <c r="AP57" s="38">
        <f>IF((ዕቁብ!AQ59/ቦኖ!$C$4&gt;0),1,0)</f>
        <v>1</v>
      </c>
      <c r="AQ57" s="38">
        <f>IF((ዕቁብ!AR59/ቦኖ!$C$4&gt;0),1,0)</f>
        <v>1</v>
      </c>
      <c r="AR57" s="38">
        <f>IF((ዕቁብ!AS59/ቦኖ!$C$4&gt;0),1,0)</f>
        <v>1</v>
      </c>
      <c r="AS57" s="38">
        <f>IF((ዕቁብ!AT59/ቦኖ!$C$4&gt;0),1,0)</f>
        <v>1</v>
      </c>
      <c r="AT57" s="38">
        <f>IF((ዕቁብ!AU59/ቦኖ!$C$4&gt;0),1,0)</f>
        <v>1</v>
      </c>
      <c r="AU57" s="38">
        <f>IF((ዕቁብ!AV59/ቦኖ!$C$4&gt;0),1,0)</f>
        <v>1</v>
      </c>
      <c r="AV57" s="38">
        <f>IF((ዕቁብ!AW59/ቦኖ!$C$4&gt;0),1,0)</f>
        <v>1</v>
      </c>
      <c r="AW57" s="38">
        <f>IF((ዕቁብ!AX59/ቦኖ!$C$4&gt;0),1,0)</f>
        <v>1</v>
      </c>
      <c r="AX57" s="38">
        <f>IF((ዕቁብ!AY59/ቦኖ!$C$4&gt;0),1,0)</f>
        <v>1</v>
      </c>
      <c r="AY57" s="38">
        <f>IF((ዕቁብ!AZ59/ቦኖ!$C$4&gt;0),1,0)</f>
        <v>1</v>
      </c>
      <c r="AZ57" s="38">
        <f>IF((ዕቁብ!BA59/ቦኖ!$C$4&gt;0),1,0)</f>
        <v>1</v>
      </c>
      <c r="BA57" s="38">
        <f>IF((ዕቁብ!BB59/ቦኖ!$C$4&gt;0),1,0)</f>
        <v>1</v>
      </c>
      <c r="BB57" s="38">
        <f>IF((ዕቁብ!BC59/ቦኖ!$C$4&gt;0),1,0)</f>
        <v>1</v>
      </c>
      <c r="BC57" s="38">
        <f>IF((ዕቁብ!BD59/ቦኖ!$C$4&gt;0),1,0)</f>
        <v>0</v>
      </c>
      <c r="BD57" s="38">
        <f>IF((ዕቁብ!BE59/ቦኖ!$C$4&gt;0),1,0)</f>
        <v>1</v>
      </c>
      <c r="BE57" s="38">
        <f>IF((ዕቁብ!BF59/ቦኖ!$C$4&gt;0),1,0)</f>
        <v>1</v>
      </c>
      <c r="BF57" s="38">
        <f>IF((ዕቁብ!BG59/ቦኖ!$C$4&gt;0),1,0)</f>
        <v>1</v>
      </c>
      <c r="BG57" s="38">
        <f>IF((ዕቁብ!BH59/ቦኖ!$C$4&gt;0),1,0)</f>
        <v>0</v>
      </c>
      <c r="BH57" s="38">
        <f>IF((ዕቁብ!BI59/ቦኖ!$C$4&gt;0),1,0)</f>
        <v>1</v>
      </c>
      <c r="BI57" s="38">
        <f>IF((ዕቁብ!BJ59/ቦኖ!$C$4&gt;0),1,0)</f>
        <v>1</v>
      </c>
      <c r="BJ57" s="38">
        <f>IF((ዕቁብ!BK59/ቦኖ!$C$4&gt;0),1,0)</f>
        <v>1</v>
      </c>
      <c r="BK57" s="38">
        <f>IF((ዕቁብ!BL59/ቦኖ!$C$4&gt;0),1,0)</f>
        <v>1</v>
      </c>
      <c r="BL57" s="38">
        <f>IF((ዕቁብ!BM59/ቦኖ!$C$4&gt;0),1,0)</f>
        <v>1</v>
      </c>
      <c r="BM57" s="38">
        <f>IF((ዕቁብ!BN59/ቦኖ!$C$4&gt;0),1,0)</f>
        <v>0</v>
      </c>
      <c r="BN57" s="38">
        <f>IF((ዕቁብ!BO59/ቦኖ!$C$4&gt;0),1,0)</f>
        <v>1</v>
      </c>
      <c r="BO57" s="38">
        <f>IF((ዕቁብ!BP59/ቦኖ!$C$4&gt;0),1,0)</f>
        <v>1</v>
      </c>
      <c r="BP57" s="38">
        <f>IF((ዕቁብ!BQ59/ቦኖ!$C$4&gt;0),1,0)</f>
        <v>1</v>
      </c>
      <c r="BQ57" s="38">
        <f>IF((ዕቁብ!BR59/ቦኖ!$C$4&gt;0),1,0)</f>
        <v>0</v>
      </c>
      <c r="BR57" s="38">
        <f>IF((ዕቁብ!BS59/ቦኖ!$C$4&gt;0),1,0)</f>
        <v>1</v>
      </c>
      <c r="BS57" s="38">
        <f>IF((ዕቁብ!BT59/ቦኖ!$C$4&gt;0),1,0)</f>
        <v>1</v>
      </c>
      <c r="BT57" s="38">
        <f>IF((ዕቁብ!BU59/ቦኖ!$C$4&gt;0),1,0)</f>
        <v>1</v>
      </c>
      <c r="BU57" s="38">
        <f>IF((ዕቁብ!BV59/ቦኖ!$C$4&gt;0),1,0)</f>
        <v>0</v>
      </c>
      <c r="BV57" s="38">
        <f>IF((ዕቁብ!BW59/ቦኖ!$C$4&gt;0),1,0)</f>
        <v>0</v>
      </c>
      <c r="BW57" s="38">
        <f>IF((ዕቁብ!BX59/ቦኖ!$C$4&gt;0),1,0)</f>
        <v>1</v>
      </c>
      <c r="BX57" s="38">
        <f>IF((ዕቁብ!BY59/ቦኖ!$C$4&gt;0),1,0)</f>
        <v>0</v>
      </c>
      <c r="BY57" s="38">
        <f>IF((ዕቁብ!BZ59/ቦኖ!$C$4&gt;0),1,0)</f>
        <v>0</v>
      </c>
      <c r="BZ57" s="38">
        <f>IF((ዕቁብ!CA59/ቦኖ!$C$4&gt;0),1,0)</f>
        <v>1</v>
      </c>
      <c r="CA57" s="38">
        <f>IF((ዕቁብ!CB59/ቦኖ!$C$4&gt;0),1,0)</f>
        <v>1</v>
      </c>
      <c r="CB57" s="38">
        <f>IF((ዕቁብ!CC59/ቦኖ!$C$4&gt;0),1,0)</f>
        <v>1</v>
      </c>
      <c r="CC57" s="38">
        <f>IF((ዕቁብ!CD59/ቦኖ!$C$4&gt;0),1,0)</f>
        <v>1</v>
      </c>
      <c r="CD57" s="38">
        <f>IF((ዕቁብ!CE59/ቦኖ!$C$4&gt;0),1,0)</f>
        <v>0</v>
      </c>
      <c r="CE57" s="38">
        <f>IF((ዕቁብ!CF59/ቦኖ!$C$4&gt;0),1,0)</f>
        <v>1</v>
      </c>
      <c r="CF57" s="38">
        <f>IF((ዕቁብ!CG59/ቦኖ!$C$4&gt;0),1,0)</f>
        <v>0</v>
      </c>
      <c r="CG57" s="38">
        <f>IF((ዕቁብ!CH59/ቦኖ!$C$4&gt;0),1,0)</f>
        <v>1</v>
      </c>
      <c r="CH57" s="38">
        <f>IF((ዕቁብ!CI59/ቦኖ!$C$4&gt;0),1,0)</f>
        <v>0</v>
      </c>
      <c r="CI57" s="38">
        <f>IF((ዕቁብ!CJ59/ቦኖ!$C$4&gt;0),1,0)</f>
        <v>1</v>
      </c>
      <c r="CJ57" s="38">
        <f>IF((ዕቁብ!CK59/ቦኖ!$C$4&gt;0),1,0)</f>
        <v>0</v>
      </c>
      <c r="CK57" s="38">
        <f>IF((ዕቁብ!CL59/ቦኖ!$C$4&gt;0),1,0)</f>
        <v>0</v>
      </c>
      <c r="CL57" s="38">
        <f>IF((ዕቁብ!CM59/ቦኖ!$C$4&gt;0),1,0)</f>
        <v>1</v>
      </c>
      <c r="CM57" s="38">
        <f>IF((ዕቁብ!CN59/ቦኖ!$C$4&gt;0),1,0)</f>
        <v>1</v>
      </c>
      <c r="CN57" s="38">
        <f>IF((ዕቁብ!CO59/ቦኖ!$C$4&gt;0),1,0)</f>
        <v>1</v>
      </c>
      <c r="CO57" s="38">
        <f>IF((ዕቁብ!CP59/ቦኖ!$C$4&gt;0),1,0)</f>
        <v>0</v>
      </c>
      <c r="CP57" s="38">
        <f>IF((ዕቁብ!CQ59/ቦኖ!$C$4&gt;0),1,0)</f>
        <v>1</v>
      </c>
      <c r="CQ57" s="38">
        <f>IF((ዕቁብ!CR59/ቦኖ!$C$4&gt;0),1,0)</f>
        <v>1</v>
      </c>
      <c r="CR57" s="38">
        <f>IF((ዕቁብ!CS59/ቦኖ!$C$4&gt;0),1,0)</f>
        <v>1</v>
      </c>
      <c r="CS57" s="38">
        <f>IF((ዕቁብ!CT59/ቦኖ!$C$4&gt;0),1,0)</f>
        <v>1</v>
      </c>
      <c r="CT57" s="38">
        <f>IF((ዕቁብ!CU59/ቦኖ!$C$4&gt;0),1,0)</f>
        <v>0</v>
      </c>
      <c r="CU57" s="38">
        <f>IF((ዕቁብ!CV59/ቦኖ!$C$4&gt;0),1,0)</f>
        <v>1</v>
      </c>
      <c r="CV57" s="38">
        <f>IF((ዕቁብ!CW59/ቦኖ!$C$4&gt;0),1,0)</f>
        <v>1</v>
      </c>
      <c r="CW57" s="38">
        <f>IF((ዕቁብ!CX59/ቦኖ!$C$4&gt;0),1,0)</f>
        <v>1</v>
      </c>
      <c r="CX57" s="38">
        <f>IF((ዕቁብ!CY59/ቦኖ!$C$4&gt;0),1,0)</f>
        <v>0</v>
      </c>
      <c r="CY57" s="38">
        <f>IF((ዕቁብ!CZ59/ቦኖ!$C$4&gt;0),1,0)</f>
        <v>1</v>
      </c>
      <c r="CZ57" s="38">
        <f>IF((ዕቁብ!DA59/ቦኖ!$C$4&gt;0),1,0)</f>
        <v>1</v>
      </c>
      <c r="DA57" s="38">
        <f>IF((ዕቁብ!DB59/ቦኖ!$C$4&gt;0),1,0)</f>
        <v>1</v>
      </c>
      <c r="DB57" s="38">
        <f>IF((ዕቁብ!DC59/ቦኖ!$C$4&gt;0),1,0)</f>
        <v>0</v>
      </c>
      <c r="DC57" s="38">
        <f>IF((ዕቁብ!DD59/ቦኖ!$C$4&gt;0),1,0)</f>
        <v>1</v>
      </c>
      <c r="DD57" s="38">
        <f>IF((ዕቁብ!DE59/ቦኖ!$C$4&gt;0),1,0)</f>
        <v>1</v>
      </c>
      <c r="DE57" s="38">
        <f>IF((ዕቁብ!DF59/ቦኖ!$C$4&gt;0),1,0)</f>
        <v>0</v>
      </c>
      <c r="DF57" s="38">
        <f>IF((ዕቁብ!DG59/ቦኖ!$C$4&gt;0),1,0)</f>
        <v>0</v>
      </c>
      <c r="DG57" s="38">
        <f>IF((ዕቁብ!DH59/ቦኖ!$C$4&gt;0),1,0)</f>
        <v>1</v>
      </c>
      <c r="DH57" s="38">
        <f>IF((ዕቁብ!DI59/ቦኖ!$C$4&gt;0),1,0)</f>
        <v>0</v>
      </c>
      <c r="DI57" s="38">
        <f>IF((ዕቁብ!DJ59/ቦኖ!$C$4&gt;0),1,0)</f>
        <v>0</v>
      </c>
      <c r="DJ57" s="38">
        <f>IF((ዕቁብ!DK59/ቦኖ!$C$4&gt;0),1,0)</f>
        <v>0</v>
      </c>
      <c r="DK57" s="38">
        <f>IF((ዕቁብ!DL59/ቦኖ!$C$4&gt;0),1,0)</f>
        <v>0</v>
      </c>
      <c r="DL57" s="38">
        <f>IF((ዕቁብ!DM59/ቦኖ!$C$4&gt;0),1,0)</f>
        <v>0</v>
      </c>
      <c r="DM57" s="38">
        <f>IF((ዕቁብ!DN59/ቦኖ!$C$4&gt;0),1,0)</f>
        <v>0</v>
      </c>
      <c r="DN57" s="38">
        <f>IF((ዕቁብ!DO59/ቦኖ!$C$4&gt;0),1,0)</f>
        <v>0</v>
      </c>
      <c r="DO57" s="38">
        <f>IF((ዕቁብ!DP59/ቦኖ!$C$4&gt;0),1,0)</f>
        <v>0</v>
      </c>
      <c r="DP57" s="38">
        <f>IF((ዕቁብ!DQ59/ቦኖ!$C$4&gt;0),1,0)</f>
        <v>0</v>
      </c>
      <c r="DQ57" s="38">
        <f>IF((ዕቁብ!DR59/ቦኖ!$C$4&gt;0),1,0)</f>
        <v>0</v>
      </c>
    </row>
    <row r="58" spans="1:121" ht="15.75" customHeight="1" x14ac:dyDescent="0.3">
      <c r="A58" s="33">
        <f>ዕቁብ!A60</f>
        <v>54</v>
      </c>
      <c r="B58" s="33" t="str">
        <f>ዕቁብ!B60</f>
        <v>ሽመልስ ሽብሩ</v>
      </c>
      <c r="C58" s="37">
        <f>ዕቁብ!C60</f>
        <v>21000</v>
      </c>
      <c r="D58" s="38">
        <f>IF((ዕቁብ!E60/ቦኖ!$C$4&gt;0),1,0)</f>
        <v>1</v>
      </c>
      <c r="E58" s="38">
        <f>IF((ዕቁብ!F60/ቦኖ!$C$4&gt;0),1,0)</f>
        <v>1</v>
      </c>
      <c r="F58" s="38">
        <f>IF((ዕቁብ!G60/ቦኖ!$C$4&gt;0),1,0)</f>
        <v>1</v>
      </c>
      <c r="G58" s="38">
        <f>IF((ዕቁብ!H60/ቦኖ!$C$4&gt;0),1,0)</f>
        <v>1</v>
      </c>
      <c r="H58" s="38">
        <f>IF((ዕቁብ!I60/ቦኖ!$C$4&gt;0),1,0)</f>
        <v>1</v>
      </c>
      <c r="I58" s="38">
        <f>IF((ዕቁብ!J60/ቦኖ!$C$4&gt;0),1,0)</f>
        <v>1</v>
      </c>
      <c r="J58" s="38">
        <f>IF((ዕቁብ!K60/ቦኖ!$C$4&gt;0),1,0)</f>
        <v>1</v>
      </c>
      <c r="K58" s="38">
        <f>IF((ዕቁብ!L60/ቦኖ!$C$4&gt;0),1,0)</f>
        <v>1</v>
      </c>
      <c r="L58" s="38">
        <f>IF((ዕቁብ!M60/ቦኖ!$C$4&gt;0),1,0)</f>
        <v>1</v>
      </c>
      <c r="M58" s="38">
        <f>IF((ዕቁብ!N60/ቦኖ!$C$4&gt;0),1,0)</f>
        <v>1</v>
      </c>
      <c r="N58" s="38">
        <f>IF((ዕቁብ!O60/ቦኖ!$C$4&gt;0),1,0)</f>
        <v>1</v>
      </c>
      <c r="O58" s="38">
        <f>IF((ዕቁብ!P60/ቦኖ!$C$4&gt;0),1,0)</f>
        <v>1</v>
      </c>
      <c r="P58" s="38">
        <f>IF((ዕቁብ!Q60/ቦኖ!$C$4&gt;0),1,0)</f>
        <v>1</v>
      </c>
      <c r="Q58" s="38">
        <f>IF((ዕቁብ!R60/ቦኖ!$C$4&gt;0),1,0)</f>
        <v>1</v>
      </c>
      <c r="R58" s="38">
        <f>IF((ዕቁብ!S60/ቦኖ!$C$4&gt;0),1,0)</f>
        <v>1</v>
      </c>
      <c r="S58" s="38">
        <f>IF((ዕቁብ!T60/ቦኖ!$C$4&gt;0),1,0)</f>
        <v>1</v>
      </c>
      <c r="T58" s="38">
        <f>IF((ዕቁብ!U60/ቦኖ!$C$4&gt;0),1,0)</f>
        <v>1</v>
      </c>
      <c r="U58" s="38">
        <f>IF((ዕቁብ!V60/ቦኖ!$C$4&gt;0),1,0)</f>
        <v>1</v>
      </c>
      <c r="V58" s="38">
        <f>IF((ዕቁብ!W60/ቦኖ!$C$4&gt;0),1,0)</f>
        <v>1</v>
      </c>
      <c r="W58" s="38">
        <f>IF((ዕቁብ!X60/ቦኖ!$C$4&gt;0),1,0)</f>
        <v>1</v>
      </c>
      <c r="X58" s="38">
        <f>IF((ዕቁብ!Y60/ቦኖ!$C$4&gt;0),1,0)</f>
        <v>1</v>
      </c>
      <c r="Y58" s="38">
        <f>IF((ዕቁብ!Z60/ቦኖ!$C$4&gt;0),1,0)</f>
        <v>1</v>
      </c>
      <c r="Z58" s="38">
        <f>IF((ዕቁብ!AA60/ቦኖ!$C$4&gt;0),1,0)</f>
        <v>1</v>
      </c>
      <c r="AA58" s="38">
        <f>IF((ዕቁብ!AB60/ቦኖ!$C$4&gt;0),1,0)</f>
        <v>1</v>
      </c>
      <c r="AB58" s="38">
        <f>IF((ዕቁብ!AC60/ቦኖ!$C$4&gt;0),1,0)</f>
        <v>1</v>
      </c>
      <c r="AC58" s="38">
        <f>IF((ዕቁብ!AD60/ቦኖ!$C$4&gt;0),1,0)</f>
        <v>1</v>
      </c>
      <c r="AD58" s="38">
        <f>IF((ዕቁብ!AE60/ቦኖ!$C$4&gt;0),1,0)</f>
        <v>1</v>
      </c>
      <c r="AE58" s="38">
        <f>IF((ዕቁብ!AF60/ቦኖ!$C$4&gt;0),1,0)</f>
        <v>1</v>
      </c>
      <c r="AF58" s="38">
        <f>IF((ዕቁብ!AG60/ቦኖ!$C$4&gt;0),1,0)</f>
        <v>1</v>
      </c>
      <c r="AG58" s="38">
        <f>IF((ዕቁብ!AH60/ቦኖ!$C$4&gt;0),1,0)</f>
        <v>1</v>
      </c>
      <c r="AH58" s="38">
        <f>IF((ዕቁብ!AI60/ቦኖ!$C$4&gt;0),1,0)</f>
        <v>1</v>
      </c>
      <c r="AI58" s="38">
        <f>IF((ዕቁብ!AJ60/ቦኖ!$C$4&gt;0),1,0)</f>
        <v>1</v>
      </c>
      <c r="AJ58" s="38">
        <f>IF((ዕቁብ!AK60/ቦኖ!$C$4&gt;0),1,0)</f>
        <v>0</v>
      </c>
      <c r="AK58" s="38">
        <f>IF((ዕቁብ!AL60/ቦኖ!$C$4&gt;0),1,0)</f>
        <v>1</v>
      </c>
      <c r="AL58" s="38">
        <f>IF((ዕቁብ!AM60/ቦኖ!$C$4&gt;0),1,0)</f>
        <v>0</v>
      </c>
      <c r="AM58" s="38">
        <f>IF((ዕቁብ!AN60/ቦኖ!$C$4&gt;0),1,0)</f>
        <v>1</v>
      </c>
      <c r="AN58" s="38">
        <f>IF((ዕቁብ!AO60/ቦኖ!$C$4&gt;0),1,0)</f>
        <v>1</v>
      </c>
      <c r="AO58" s="38">
        <f>IF((ዕቁብ!AP60/ቦኖ!$C$4&gt;0),1,0)</f>
        <v>1</v>
      </c>
      <c r="AP58" s="38">
        <f>IF((ዕቁብ!AQ60/ቦኖ!$C$4&gt;0),1,0)</f>
        <v>0</v>
      </c>
      <c r="AQ58" s="38">
        <f>IF((ዕቁብ!AR60/ቦኖ!$C$4&gt;0),1,0)</f>
        <v>1</v>
      </c>
      <c r="AR58" s="38">
        <f>IF((ዕቁብ!AS60/ቦኖ!$C$4&gt;0),1,0)</f>
        <v>0</v>
      </c>
      <c r="AS58" s="38">
        <f>IF((ዕቁብ!AT60/ቦኖ!$C$4&gt;0),1,0)</f>
        <v>1</v>
      </c>
      <c r="AT58" s="38">
        <f>IF((ዕቁብ!AU60/ቦኖ!$C$4&gt;0),1,0)</f>
        <v>1</v>
      </c>
      <c r="AU58" s="38">
        <f>IF((ዕቁብ!AV60/ቦኖ!$C$4&gt;0),1,0)</f>
        <v>0</v>
      </c>
      <c r="AV58" s="38">
        <f>IF((ዕቁብ!AW60/ቦኖ!$C$4&gt;0),1,0)</f>
        <v>0</v>
      </c>
      <c r="AW58" s="38">
        <f>IF((ዕቁብ!AX60/ቦኖ!$C$4&gt;0),1,0)</f>
        <v>0</v>
      </c>
      <c r="AX58" s="38">
        <f>IF((ዕቁብ!AY60/ቦኖ!$C$4&gt;0),1,0)</f>
        <v>0</v>
      </c>
      <c r="AY58" s="38">
        <f>IF((ዕቁብ!AZ60/ቦኖ!$C$4&gt;0),1,0)</f>
        <v>0</v>
      </c>
      <c r="AZ58" s="38">
        <f>IF((ዕቁብ!BA60/ቦኖ!$C$4&gt;0),1,0)</f>
        <v>0</v>
      </c>
      <c r="BA58" s="38">
        <f>IF((ዕቁብ!BB60/ቦኖ!$C$4&gt;0),1,0)</f>
        <v>0</v>
      </c>
      <c r="BB58" s="38">
        <f>IF((ዕቁብ!BC60/ቦኖ!$C$4&gt;0),1,0)</f>
        <v>0</v>
      </c>
      <c r="BC58" s="38">
        <f>IF((ዕቁብ!BD60/ቦኖ!$C$4&gt;0),1,0)</f>
        <v>0</v>
      </c>
      <c r="BD58" s="38">
        <f>IF((ዕቁብ!BE60/ቦኖ!$C$4&gt;0),1,0)</f>
        <v>0</v>
      </c>
      <c r="BE58" s="38">
        <f>IF((ዕቁብ!BF60/ቦኖ!$C$4&gt;0),1,0)</f>
        <v>0</v>
      </c>
      <c r="BF58" s="38">
        <f>IF((ዕቁብ!BG60/ቦኖ!$C$4&gt;0),1,0)</f>
        <v>0</v>
      </c>
      <c r="BG58" s="38">
        <f>IF((ዕቁብ!BH60/ቦኖ!$C$4&gt;0),1,0)</f>
        <v>0</v>
      </c>
      <c r="BH58" s="38">
        <f>IF((ዕቁብ!BI60/ቦኖ!$C$4&gt;0),1,0)</f>
        <v>0</v>
      </c>
      <c r="BI58" s="38">
        <f>IF((ዕቁብ!BJ60/ቦኖ!$C$4&gt;0),1,0)</f>
        <v>0</v>
      </c>
      <c r="BJ58" s="38">
        <f>IF((ዕቁብ!BK60/ቦኖ!$C$4&gt;0),1,0)</f>
        <v>0</v>
      </c>
      <c r="BK58" s="38">
        <f>IF((ዕቁብ!BL60/ቦኖ!$C$4&gt;0),1,0)</f>
        <v>1</v>
      </c>
      <c r="BL58" s="38">
        <f>IF((ዕቁብ!BM60/ቦኖ!$C$4&gt;0),1,0)</f>
        <v>0</v>
      </c>
      <c r="BM58" s="38">
        <f>IF((ዕቁብ!BN60/ቦኖ!$C$4&gt;0),1,0)</f>
        <v>0</v>
      </c>
      <c r="BN58" s="38">
        <f>IF((ዕቁብ!BO60/ቦኖ!$C$4&gt;0),1,0)</f>
        <v>0</v>
      </c>
      <c r="BO58" s="38">
        <f>IF((ዕቁብ!BP60/ቦኖ!$C$4&gt;0),1,0)</f>
        <v>0</v>
      </c>
      <c r="BP58" s="38">
        <f>IF((ዕቁብ!BQ60/ቦኖ!$C$4&gt;0),1,0)</f>
        <v>1</v>
      </c>
      <c r="BQ58" s="38">
        <f>IF((ዕቁብ!BR60/ቦኖ!$C$4&gt;0),1,0)</f>
        <v>0</v>
      </c>
      <c r="BR58" s="38">
        <f>IF((ዕቁብ!BS60/ቦኖ!$C$4&gt;0),1,0)</f>
        <v>0</v>
      </c>
      <c r="BS58" s="38">
        <f>IF((ዕቁብ!BT60/ቦኖ!$C$4&gt;0),1,0)</f>
        <v>1</v>
      </c>
      <c r="BT58" s="38">
        <f>IF((ዕቁብ!BU60/ቦኖ!$C$4&gt;0),1,0)</f>
        <v>0</v>
      </c>
      <c r="BU58" s="38">
        <f>IF((ዕቁብ!BV60/ቦኖ!$C$4&gt;0),1,0)</f>
        <v>0</v>
      </c>
      <c r="BV58" s="38">
        <f>IF((ዕቁብ!BW60/ቦኖ!$C$4&gt;0),1,0)</f>
        <v>1</v>
      </c>
      <c r="BW58" s="38">
        <f>IF((ዕቁብ!BX60/ቦኖ!$C$4&gt;0),1,0)</f>
        <v>0</v>
      </c>
      <c r="BX58" s="38">
        <f>IF((ዕቁብ!BY60/ቦኖ!$C$4&gt;0),1,0)</f>
        <v>0</v>
      </c>
      <c r="BY58" s="38">
        <f>IF((ዕቁብ!BZ60/ቦኖ!$C$4&gt;0),1,0)</f>
        <v>0</v>
      </c>
      <c r="BZ58" s="38">
        <f>IF((ዕቁብ!CA60/ቦኖ!$C$4&gt;0),1,0)</f>
        <v>0</v>
      </c>
      <c r="CA58" s="38">
        <f>IF((ዕቁብ!CB60/ቦኖ!$C$4&gt;0),1,0)</f>
        <v>0</v>
      </c>
      <c r="CB58" s="38">
        <f>IF((ዕቁብ!CC60/ቦኖ!$C$4&gt;0),1,0)</f>
        <v>0</v>
      </c>
      <c r="CC58" s="38">
        <f>IF((ዕቁብ!CD60/ቦኖ!$C$4&gt;0),1,0)</f>
        <v>0</v>
      </c>
      <c r="CD58" s="38">
        <f>IF((ዕቁብ!CE60/ቦኖ!$C$4&gt;0),1,0)</f>
        <v>0</v>
      </c>
      <c r="CE58" s="38">
        <f>IF((ዕቁብ!CF60/ቦኖ!$C$4&gt;0),1,0)</f>
        <v>0</v>
      </c>
      <c r="CF58" s="38">
        <f>IF((ዕቁብ!CG60/ቦኖ!$C$4&gt;0),1,0)</f>
        <v>0</v>
      </c>
      <c r="CG58" s="38">
        <f>IF((ዕቁብ!CH60/ቦኖ!$C$4&gt;0),1,0)</f>
        <v>0</v>
      </c>
      <c r="CH58" s="38">
        <f>IF((ዕቁብ!CI60/ቦኖ!$C$4&gt;0),1,0)</f>
        <v>0</v>
      </c>
      <c r="CI58" s="38">
        <f>IF((ዕቁብ!CJ60/ቦኖ!$C$4&gt;0),1,0)</f>
        <v>0</v>
      </c>
      <c r="CJ58" s="38">
        <f>IF((ዕቁብ!CK60/ቦኖ!$C$4&gt;0),1,0)</f>
        <v>1</v>
      </c>
      <c r="CK58" s="38">
        <f>IF((ዕቁብ!CL60/ቦኖ!$C$4&gt;0),1,0)</f>
        <v>0</v>
      </c>
      <c r="CL58" s="38">
        <f>IF((ዕቁብ!CM60/ቦኖ!$C$4&gt;0),1,0)</f>
        <v>0</v>
      </c>
      <c r="CM58" s="38">
        <f>IF((ዕቁብ!CN60/ቦኖ!$C$4&gt;0),1,0)</f>
        <v>0</v>
      </c>
      <c r="CN58" s="38">
        <f>IF((ዕቁብ!CO60/ቦኖ!$C$4&gt;0),1,0)</f>
        <v>0</v>
      </c>
      <c r="CO58" s="38">
        <f>IF((ዕቁብ!CP60/ቦኖ!$C$4&gt;0),1,0)</f>
        <v>0</v>
      </c>
      <c r="CP58" s="38">
        <f>IF((ዕቁብ!CQ60/ቦኖ!$C$4&gt;0),1,0)</f>
        <v>0</v>
      </c>
      <c r="CQ58" s="38">
        <f>IF((ዕቁብ!CR60/ቦኖ!$C$4&gt;0),1,0)</f>
        <v>0</v>
      </c>
      <c r="CR58" s="38">
        <f>IF((ዕቁብ!CS60/ቦኖ!$C$4&gt;0),1,0)</f>
        <v>0</v>
      </c>
      <c r="CS58" s="38">
        <f>IF((ዕቁብ!CT60/ቦኖ!$C$4&gt;0),1,0)</f>
        <v>0</v>
      </c>
      <c r="CT58" s="38">
        <f>IF((ዕቁብ!CU60/ቦኖ!$C$4&gt;0),1,0)</f>
        <v>0</v>
      </c>
      <c r="CU58" s="38">
        <f>IF((ዕቁብ!CV60/ቦኖ!$C$4&gt;0),1,0)</f>
        <v>0</v>
      </c>
      <c r="CV58" s="38">
        <f>IF((ዕቁብ!CW60/ቦኖ!$C$4&gt;0),1,0)</f>
        <v>0</v>
      </c>
      <c r="CW58" s="38">
        <f>IF((ዕቁብ!CX60/ቦኖ!$C$4&gt;0),1,0)</f>
        <v>0</v>
      </c>
      <c r="CX58" s="38">
        <f>IF((ዕቁብ!CY60/ቦኖ!$C$4&gt;0),1,0)</f>
        <v>0</v>
      </c>
      <c r="CY58" s="38">
        <f>IF((ዕቁብ!CZ60/ቦኖ!$C$4&gt;0),1,0)</f>
        <v>0</v>
      </c>
      <c r="CZ58" s="38">
        <f>IF((ዕቁብ!DA60/ቦኖ!$C$4&gt;0),1,0)</f>
        <v>0</v>
      </c>
      <c r="DA58" s="38">
        <f>IF((ዕቁብ!DB60/ቦኖ!$C$4&gt;0),1,0)</f>
        <v>0</v>
      </c>
      <c r="DB58" s="38">
        <f>IF((ዕቁብ!DC60/ቦኖ!$C$4&gt;0),1,0)</f>
        <v>0</v>
      </c>
      <c r="DC58" s="38">
        <f>IF((ዕቁብ!DD60/ቦኖ!$C$4&gt;0),1,0)</f>
        <v>0</v>
      </c>
      <c r="DD58" s="38">
        <f>IF((ዕቁብ!DE60/ቦኖ!$C$4&gt;0),1,0)</f>
        <v>0</v>
      </c>
      <c r="DE58" s="38">
        <f>IF((ዕቁብ!DF60/ቦኖ!$C$4&gt;0),1,0)</f>
        <v>0</v>
      </c>
      <c r="DF58" s="38">
        <f>IF((ዕቁብ!DG60/ቦኖ!$C$4&gt;0),1,0)</f>
        <v>0</v>
      </c>
      <c r="DG58" s="38">
        <f>IF((ዕቁብ!DH60/ቦኖ!$C$4&gt;0),1,0)</f>
        <v>1</v>
      </c>
      <c r="DH58" s="38">
        <f>IF((ዕቁብ!DI60/ቦኖ!$C$4&gt;0),1,0)</f>
        <v>0</v>
      </c>
      <c r="DI58" s="38">
        <f>IF((ዕቁብ!DJ60/ቦኖ!$C$4&gt;0),1,0)</f>
        <v>0</v>
      </c>
      <c r="DJ58" s="38">
        <f>IF((ዕቁብ!DK60/ቦኖ!$C$4&gt;0),1,0)</f>
        <v>0</v>
      </c>
      <c r="DK58" s="38">
        <f>IF((ዕቁብ!DL60/ቦኖ!$C$4&gt;0),1,0)</f>
        <v>0</v>
      </c>
      <c r="DL58" s="38">
        <f>IF((ዕቁብ!DM60/ቦኖ!$C$4&gt;0),1,0)</f>
        <v>0</v>
      </c>
      <c r="DM58" s="38">
        <f>IF((ዕቁብ!DN60/ቦኖ!$C$4&gt;0),1,0)</f>
        <v>0</v>
      </c>
      <c r="DN58" s="38">
        <f>IF((ዕቁብ!DO60/ቦኖ!$C$4&gt;0),1,0)</f>
        <v>0</v>
      </c>
      <c r="DO58" s="38">
        <f>IF((ዕቁብ!DP60/ቦኖ!$C$4&gt;0),1,0)</f>
        <v>0</v>
      </c>
      <c r="DP58" s="38">
        <f>IF((ዕቁብ!DQ60/ቦኖ!$C$4&gt;0),1,0)</f>
        <v>0</v>
      </c>
      <c r="DQ58" s="38">
        <f>IF((ዕቁብ!DR60/ቦኖ!$C$4&gt;0),1,0)</f>
        <v>0</v>
      </c>
    </row>
    <row r="59" spans="1:121" ht="15.75" customHeight="1" x14ac:dyDescent="0.3">
      <c r="A59" s="33">
        <f>ዕቁብ!A61</f>
        <v>55</v>
      </c>
      <c r="B59" s="33" t="str">
        <f>ዕቁብ!B61</f>
        <v>ጌታቸው በቀለ</v>
      </c>
      <c r="C59" s="37">
        <f>ዕቁብ!C61</f>
        <v>21000</v>
      </c>
      <c r="D59" s="38">
        <f>IF((ዕቁብ!E61/ቦኖ!$C$4&gt;0),1,0)</f>
        <v>1</v>
      </c>
      <c r="E59" s="38">
        <f>IF((ዕቁብ!F61/ቦኖ!$C$4&gt;0),1,0)</f>
        <v>1</v>
      </c>
      <c r="F59" s="38">
        <f>IF((ዕቁብ!G61/ቦኖ!$C$4&gt;0),1,0)</f>
        <v>1</v>
      </c>
      <c r="G59" s="38">
        <f>IF((ዕቁብ!H61/ቦኖ!$C$4&gt;0),1,0)</f>
        <v>1</v>
      </c>
      <c r="H59" s="38">
        <f>IF((ዕቁብ!I61/ቦኖ!$C$4&gt;0),1,0)</f>
        <v>1</v>
      </c>
      <c r="I59" s="38">
        <f>IF((ዕቁብ!J61/ቦኖ!$C$4&gt;0),1,0)</f>
        <v>1</v>
      </c>
      <c r="J59" s="38">
        <f>IF((ዕቁብ!K61/ቦኖ!$C$4&gt;0),1,0)</f>
        <v>1</v>
      </c>
      <c r="K59" s="38">
        <f>IF((ዕቁብ!L61/ቦኖ!$C$4&gt;0),1,0)</f>
        <v>1</v>
      </c>
      <c r="L59" s="38">
        <f>IF((ዕቁብ!M61/ቦኖ!$C$4&gt;0),1,0)</f>
        <v>1</v>
      </c>
      <c r="M59" s="38">
        <f>IF((ዕቁብ!N61/ቦኖ!$C$4&gt;0),1,0)</f>
        <v>1</v>
      </c>
      <c r="N59" s="38">
        <f>IF((ዕቁብ!O61/ቦኖ!$C$4&gt;0),1,0)</f>
        <v>1</v>
      </c>
      <c r="O59" s="38">
        <f>IF((ዕቁብ!P61/ቦኖ!$C$4&gt;0),1,0)</f>
        <v>1</v>
      </c>
      <c r="P59" s="38">
        <f>IF((ዕቁብ!Q61/ቦኖ!$C$4&gt;0),1,0)</f>
        <v>1</v>
      </c>
      <c r="Q59" s="38">
        <f>IF((ዕቁብ!R61/ቦኖ!$C$4&gt;0),1,0)</f>
        <v>1</v>
      </c>
      <c r="R59" s="38">
        <f>IF((ዕቁብ!S61/ቦኖ!$C$4&gt;0),1,0)</f>
        <v>1</v>
      </c>
      <c r="S59" s="38">
        <f>IF((ዕቁብ!T61/ቦኖ!$C$4&gt;0),1,0)</f>
        <v>1</v>
      </c>
      <c r="T59" s="38">
        <f>IF((ዕቁብ!U61/ቦኖ!$C$4&gt;0),1,0)</f>
        <v>1</v>
      </c>
      <c r="U59" s="38">
        <f>IF((ዕቁብ!V61/ቦኖ!$C$4&gt;0),1,0)</f>
        <v>1</v>
      </c>
      <c r="V59" s="38">
        <f>IF((ዕቁብ!W61/ቦኖ!$C$4&gt;0),1,0)</f>
        <v>1</v>
      </c>
      <c r="W59" s="38">
        <f>IF((ዕቁብ!X61/ቦኖ!$C$4&gt;0),1,0)</f>
        <v>1</v>
      </c>
      <c r="X59" s="38">
        <f>IF((ዕቁብ!Y61/ቦኖ!$C$4&gt;0),1,0)</f>
        <v>1</v>
      </c>
      <c r="Y59" s="38">
        <f>IF((ዕቁብ!Z61/ቦኖ!$C$4&gt;0),1,0)</f>
        <v>1</v>
      </c>
      <c r="Z59" s="38">
        <f>IF((ዕቁብ!AA61/ቦኖ!$C$4&gt;0),1,0)</f>
        <v>1</v>
      </c>
      <c r="AA59" s="38">
        <f>IF((ዕቁብ!AB61/ቦኖ!$C$4&gt;0),1,0)</f>
        <v>1</v>
      </c>
      <c r="AB59" s="38">
        <f>IF((ዕቁብ!AC61/ቦኖ!$C$4&gt;0),1,0)</f>
        <v>1</v>
      </c>
      <c r="AC59" s="38">
        <f>IF((ዕቁብ!AD61/ቦኖ!$C$4&gt;0),1,0)</f>
        <v>1</v>
      </c>
      <c r="AD59" s="38">
        <f>IF((ዕቁብ!AE61/ቦኖ!$C$4&gt;0),1,0)</f>
        <v>0</v>
      </c>
      <c r="AE59" s="38">
        <f>IF((ዕቁብ!AF61/ቦኖ!$C$4&gt;0),1,0)</f>
        <v>1</v>
      </c>
      <c r="AF59" s="38">
        <f>IF((ዕቁብ!AG61/ቦኖ!$C$4&gt;0),1,0)</f>
        <v>1</v>
      </c>
      <c r="AG59" s="38">
        <f>IF((ዕቁብ!AH61/ቦኖ!$C$4&gt;0),1,0)</f>
        <v>1</v>
      </c>
      <c r="AH59" s="38">
        <f>IF((ዕቁብ!AI61/ቦኖ!$C$4&gt;0),1,0)</f>
        <v>1</v>
      </c>
      <c r="AI59" s="38">
        <f>IF((ዕቁብ!AJ61/ቦኖ!$C$4&gt;0),1,0)</f>
        <v>1</v>
      </c>
      <c r="AJ59" s="38">
        <f>IF((ዕቁብ!AK61/ቦኖ!$C$4&gt;0),1,0)</f>
        <v>1</v>
      </c>
      <c r="AK59" s="38">
        <f>IF((ዕቁብ!AL61/ቦኖ!$C$4&gt;0),1,0)</f>
        <v>1</v>
      </c>
      <c r="AL59" s="38">
        <f>IF((ዕቁብ!AM61/ቦኖ!$C$4&gt;0),1,0)</f>
        <v>1</v>
      </c>
      <c r="AM59" s="38">
        <f>IF((ዕቁብ!AN61/ቦኖ!$C$4&gt;0),1,0)</f>
        <v>1</v>
      </c>
      <c r="AN59" s="38">
        <f>IF((ዕቁብ!AO61/ቦኖ!$C$4&gt;0),1,0)</f>
        <v>1</v>
      </c>
      <c r="AO59" s="38">
        <f>IF((ዕቁብ!AP61/ቦኖ!$C$4&gt;0),1,0)</f>
        <v>1</v>
      </c>
      <c r="AP59" s="38">
        <f>IF((ዕቁብ!AQ61/ቦኖ!$C$4&gt;0),1,0)</f>
        <v>1</v>
      </c>
      <c r="AQ59" s="38">
        <f>IF((ዕቁብ!AR61/ቦኖ!$C$4&gt;0),1,0)</f>
        <v>1</v>
      </c>
      <c r="AR59" s="38">
        <f>IF((ዕቁብ!AS61/ቦኖ!$C$4&gt;0),1,0)</f>
        <v>1</v>
      </c>
      <c r="AS59" s="38">
        <f>IF((ዕቁብ!AT61/ቦኖ!$C$4&gt;0),1,0)</f>
        <v>1</v>
      </c>
      <c r="AT59" s="38">
        <f>IF((ዕቁብ!AU61/ቦኖ!$C$4&gt;0),1,0)</f>
        <v>1</v>
      </c>
      <c r="AU59" s="38">
        <f>IF((ዕቁብ!AV61/ቦኖ!$C$4&gt;0),1,0)</f>
        <v>1</v>
      </c>
      <c r="AV59" s="38">
        <f>IF((ዕቁብ!AW61/ቦኖ!$C$4&gt;0),1,0)</f>
        <v>1</v>
      </c>
      <c r="AW59" s="38">
        <f>IF((ዕቁብ!AX61/ቦኖ!$C$4&gt;0),1,0)</f>
        <v>1</v>
      </c>
      <c r="AX59" s="38">
        <f>IF((ዕቁብ!AY61/ቦኖ!$C$4&gt;0),1,0)</f>
        <v>1</v>
      </c>
      <c r="AY59" s="38">
        <f>IF((ዕቁብ!AZ61/ቦኖ!$C$4&gt;0),1,0)</f>
        <v>1</v>
      </c>
      <c r="AZ59" s="38">
        <f>IF((ዕቁብ!BA61/ቦኖ!$C$4&gt;0),1,0)</f>
        <v>1</v>
      </c>
      <c r="BA59" s="38">
        <f>IF((ዕቁብ!BB61/ቦኖ!$C$4&gt;0),1,0)</f>
        <v>1</v>
      </c>
      <c r="BB59" s="38">
        <f>IF((ዕቁብ!BC61/ቦኖ!$C$4&gt;0),1,0)</f>
        <v>1</v>
      </c>
      <c r="BC59" s="38">
        <f>IF((ዕቁብ!BD61/ቦኖ!$C$4&gt;0),1,0)</f>
        <v>1</v>
      </c>
      <c r="BD59" s="38">
        <f>IF((ዕቁብ!BE61/ቦኖ!$C$4&gt;0),1,0)</f>
        <v>1</v>
      </c>
      <c r="BE59" s="38">
        <f>IF((ዕቁብ!BF61/ቦኖ!$C$4&gt;0),1,0)</f>
        <v>1</v>
      </c>
      <c r="BF59" s="38">
        <f>IF((ዕቁብ!BG61/ቦኖ!$C$4&gt;0),1,0)</f>
        <v>1</v>
      </c>
      <c r="BG59" s="38">
        <f>IF((ዕቁብ!BH61/ቦኖ!$C$4&gt;0),1,0)</f>
        <v>1</v>
      </c>
      <c r="BH59" s="38">
        <f>IF((ዕቁብ!BI61/ቦኖ!$C$4&gt;0),1,0)</f>
        <v>1</v>
      </c>
      <c r="BI59" s="38">
        <f>IF((ዕቁብ!BJ61/ቦኖ!$C$4&gt;0),1,0)</f>
        <v>1</v>
      </c>
      <c r="BJ59" s="38">
        <f>IF((ዕቁብ!BK61/ቦኖ!$C$4&gt;0),1,0)</f>
        <v>1</v>
      </c>
      <c r="BK59" s="38">
        <f>IF((ዕቁብ!BL61/ቦኖ!$C$4&gt;0),1,0)</f>
        <v>1</v>
      </c>
      <c r="BL59" s="38">
        <f>IF((ዕቁብ!BM61/ቦኖ!$C$4&gt;0),1,0)</f>
        <v>1</v>
      </c>
      <c r="BM59" s="38">
        <f>IF((ዕቁብ!BN61/ቦኖ!$C$4&gt;0),1,0)</f>
        <v>1</v>
      </c>
      <c r="BN59" s="38">
        <f>IF((ዕቁብ!BO61/ቦኖ!$C$4&gt;0),1,0)</f>
        <v>1</v>
      </c>
      <c r="BO59" s="38">
        <f>IF((ዕቁብ!BP61/ቦኖ!$C$4&gt;0),1,0)</f>
        <v>1</v>
      </c>
      <c r="BP59" s="38">
        <f>IF((ዕቁብ!BQ61/ቦኖ!$C$4&gt;0),1,0)</f>
        <v>1</v>
      </c>
      <c r="BQ59" s="38">
        <f>IF((ዕቁብ!BR61/ቦኖ!$C$4&gt;0),1,0)</f>
        <v>1</v>
      </c>
      <c r="BR59" s="38">
        <f>IF((ዕቁብ!BS61/ቦኖ!$C$4&gt;0),1,0)</f>
        <v>1</v>
      </c>
      <c r="BS59" s="38">
        <f>IF((ዕቁብ!BT61/ቦኖ!$C$4&gt;0),1,0)</f>
        <v>1</v>
      </c>
      <c r="BT59" s="38">
        <f>IF((ዕቁብ!BU61/ቦኖ!$C$4&gt;0),1,0)</f>
        <v>1</v>
      </c>
      <c r="BU59" s="38">
        <f>IF((ዕቁብ!BV61/ቦኖ!$C$4&gt;0),1,0)</f>
        <v>1</v>
      </c>
      <c r="BV59" s="38">
        <f>IF((ዕቁብ!BW61/ቦኖ!$C$4&gt;0),1,0)</f>
        <v>0</v>
      </c>
      <c r="BW59" s="38">
        <f>IF((ዕቁብ!BX61/ቦኖ!$C$4&gt;0),1,0)</f>
        <v>1</v>
      </c>
      <c r="BX59" s="38">
        <f>IF((ዕቁብ!BY61/ቦኖ!$C$4&gt;0),1,0)</f>
        <v>1</v>
      </c>
      <c r="BY59" s="38">
        <f>IF((ዕቁብ!BZ61/ቦኖ!$C$4&gt;0),1,0)</f>
        <v>0</v>
      </c>
      <c r="BZ59" s="38">
        <f>IF((ዕቁብ!CA61/ቦኖ!$C$4&gt;0),1,0)</f>
        <v>1</v>
      </c>
      <c r="CA59" s="38">
        <f>IF((ዕቁብ!CB61/ቦኖ!$C$4&gt;0),1,0)</f>
        <v>1</v>
      </c>
      <c r="CB59" s="38">
        <f>IF((ዕቁብ!CC61/ቦኖ!$C$4&gt;0),1,0)</f>
        <v>1</v>
      </c>
      <c r="CC59" s="38">
        <f>IF((ዕቁብ!CD61/ቦኖ!$C$4&gt;0),1,0)</f>
        <v>1</v>
      </c>
      <c r="CD59" s="38">
        <f>IF((ዕቁብ!CE61/ቦኖ!$C$4&gt;0),1,0)</f>
        <v>1</v>
      </c>
      <c r="CE59" s="38">
        <f>IF((ዕቁብ!CF61/ቦኖ!$C$4&gt;0),1,0)</f>
        <v>1</v>
      </c>
      <c r="CF59" s="38">
        <f>IF((ዕቁብ!CG61/ቦኖ!$C$4&gt;0),1,0)</f>
        <v>1</v>
      </c>
      <c r="CG59" s="38">
        <f>IF((ዕቁብ!CH61/ቦኖ!$C$4&gt;0),1,0)</f>
        <v>1</v>
      </c>
      <c r="CH59" s="38">
        <f>IF((ዕቁብ!CI61/ቦኖ!$C$4&gt;0),1,0)</f>
        <v>1</v>
      </c>
      <c r="CI59" s="38">
        <f>IF((ዕቁብ!CJ61/ቦኖ!$C$4&gt;0),1,0)</f>
        <v>1</v>
      </c>
      <c r="CJ59" s="38">
        <f>IF((ዕቁብ!CK61/ቦኖ!$C$4&gt;0),1,0)</f>
        <v>1</v>
      </c>
      <c r="CK59" s="38">
        <f>IF((ዕቁብ!CL61/ቦኖ!$C$4&gt;0),1,0)</f>
        <v>1</v>
      </c>
      <c r="CL59" s="38">
        <f>IF((ዕቁብ!CM61/ቦኖ!$C$4&gt;0),1,0)</f>
        <v>0</v>
      </c>
      <c r="CM59" s="38">
        <f>IF((ዕቁብ!CN61/ቦኖ!$C$4&gt;0),1,0)</f>
        <v>1</v>
      </c>
      <c r="CN59" s="38">
        <f>IF((ዕቁብ!CO61/ቦኖ!$C$4&gt;0),1,0)</f>
        <v>1</v>
      </c>
      <c r="CO59" s="38">
        <f>IF((ዕቁብ!CP61/ቦኖ!$C$4&gt;0),1,0)</f>
        <v>1</v>
      </c>
      <c r="CP59" s="38">
        <f>IF((ዕቁብ!CQ61/ቦኖ!$C$4&gt;0),1,0)</f>
        <v>1</v>
      </c>
      <c r="CQ59" s="38">
        <f>IF((ዕቁብ!CR61/ቦኖ!$C$4&gt;0),1,0)</f>
        <v>1</v>
      </c>
      <c r="CR59" s="38">
        <f>IF((ዕቁብ!CS61/ቦኖ!$C$4&gt;0),1,0)</f>
        <v>1</v>
      </c>
      <c r="CS59" s="38">
        <f>IF((ዕቁብ!CT61/ቦኖ!$C$4&gt;0),1,0)</f>
        <v>1</v>
      </c>
      <c r="CT59" s="38">
        <f>IF((ዕቁብ!CU61/ቦኖ!$C$4&gt;0),1,0)</f>
        <v>1</v>
      </c>
      <c r="CU59" s="38">
        <f>IF((ዕቁብ!CV61/ቦኖ!$C$4&gt;0),1,0)</f>
        <v>1</v>
      </c>
      <c r="CV59" s="38">
        <f>IF((ዕቁብ!CW61/ቦኖ!$C$4&gt;0),1,0)</f>
        <v>1</v>
      </c>
      <c r="CW59" s="38">
        <f>IF((ዕቁብ!CX61/ቦኖ!$C$4&gt;0),1,0)</f>
        <v>0</v>
      </c>
      <c r="CX59" s="38">
        <f>IF((ዕቁብ!CY61/ቦኖ!$C$4&gt;0),1,0)</f>
        <v>1</v>
      </c>
      <c r="CY59" s="38">
        <f>IF((ዕቁብ!CZ61/ቦኖ!$C$4&gt;0),1,0)</f>
        <v>0</v>
      </c>
      <c r="CZ59" s="38">
        <f>IF((ዕቁብ!DA61/ቦኖ!$C$4&gt;0),1,0)</f>
        <v>1</v>
      </c>
      <c r="DA59" s="38">
        <f>IF((ዕቁብ!DB61/ቦኖ!$C$4&gt;0),1,0)</f>
        <v>1</v>
      </c>
      <c r="DB59" s="38">
        <f>IF((ዕቁብ!DC61/ቦኖ!$C$4&gt;0),1,0)</f>
        <v>0</v>
      </c>
      <c r="DC59" s="38">
        <f>IF((ዕቁብ!DD61/ቦኖ!$C$4&gt;0),1,0)</f>
        <v>1</v>
      </c>
      <c r="DD59" s="38">
        <f>IF((ዕቁብ!DE61/ቦኖ!$C$4&gt;0),1,0)</f>
        <v>1</v>
      </c>
      <c r="DE59" s="38">
        <f>IF((ዕቁብ!DF61/ቦኖ!$C$4&gt;0),1,0)</f>
        <v>0</v>
      </c>
      <c r="DF59" s="38">
        <f>IF((ዕቁብ!DG61/ቦኖ!$C$4&gt;0),1,0)</f>
        <v>1</v>
      </c>
      <c r="DG59" s="38">
        <f>IF((ዕቁብ!DH61/ቦኖ!$C$4&gt;0),1,0)</f>
        <v>0</v>
      </c>
      <c r="DH59" s="38">
        <f>IF((ዕቁብ!DI61/ቦኖ!$C$4&gt;0),1,0)</f>
        <v>0</v>
      </c>
      <c r="DI59" s="38">
        <f>IF((ዕቁብ!DJ61/ቦኖ!$C$4&gt;0),1,0)</f>
        <v>0</v>
      </c>
      <c r="DJ59" s="38">
        <f>IF((ዕቁብ!DK61/ቦኖ!$C$4&gt;0),1,0)</f>
        <v>0</v>
      </c>
      <c r="DK59" s="38">
        <f>IF((ዕቁብ!DL61/ቦኖ!$C$4&gt;0),1,0)</f>
        <v>0</v>
      </c>
      <c r="DL59" s="38">
        <f>IF((ዕቁብ!DM61/ቦኖ!$C$4&gt;0),1,0)</f>
        <v>0</v>
      </c>
      <c r="DM59" s="38">
        <f>IF((ዕቁብ!DN61/ቦኖ!$C$4&gt;0),1,0)</f>
        <v>0</v>
      </c>
      <c r="DN59" s="38">
        <f>IF((ዕቁብ!DO61/ቦኖ!$C$4&gt;0),1,0)</f>
        <v>0</v>
      </c>
      <c r="DO59" s="38">
        <f>IF((ዕቁብ!DP61/ቦኖ!$C$4&gt;0),1,0)</f>
        <v>0</v>
      </c>
      <c r="DP59" s="38">
        <f>IF((ዕቁብ!DQ61/ቦኖ!$C$4&gt;0),1,0)</f>
        <v>0</v>
      </c>
      <c r="DQ59" s="38">
        <f>IF((ዕቁብ!DR61/ቦኖ!$C$4&gt;0),1,0)</f>
        <v>0</v>
      </c>
    </row>
    <row r="60" spans="1:121" ht="15.75" customHeight="1" x14ac:dyDescent="0.3">
      <c r="A60" s="33">
        <f>ዕቁብ!A62</f>
        <v>56</v>
      </c>
      <c r="B60" s="33" t="str">
        <f>ዕቁብ!B62</f>
        <v>ከፈለኝ ፃዲቁ</v>
      </c>
      <c r="C60" s="37">
        <f>ዕቁብ!C62</f>
        <v>21000</v>
      </c>
      <c r="D60" s="38">
        <f>IF((ዕቁብ!E62/ቦኖ!$C$4&gt;0),1,0)</f>
        <v>0</v>
      </c>
      <c r="E60" s="38">
        <f>IF((ዕቁብ!F62/ቦኖ!$C$4&gt;0),1,0)</f>
        <v>0</v>
      </c>
      <c r="F60" s="38">
        <f>IF((ዕቁብ!G62/ቦኖ!$C$4&gt;0),1,0)</f>
        <v>0</v>
      </c>
      <c r="G60" s="38">
        <f>IF((ዕቁብ!H62/ቦኖ!$C$4&gt;0),1,0)</f>
        <v>0</v>
      </c>
      <c r="H60" s="38">
        <f>IF((ዕቁብ!I62/ቦኖ!$C$4&gt;0),1,0)</f>
        <v>0</v>
      </c>
      <c r="I60" s="38">
        <f>IF((ዕቁብ!J62/ቦኖ!$C$4&gt;0),1,0)</f>
        <v>0</v>
      </c>
      <c r="J60" s="38">
        <f>IF((ዕቁብ!K62/ቦኖ!$C$4&gt;0),1,0)</f>
        <v>0</v>
      </c>
      <c r="K60" s="38">
        <f>IF((ዕቁብ!L62/ቦኖ!$C$4&gt;0),1,0)</f>
        <v>0</v>
      </c>
      <c r="L60" s="38">
        <f>IF((ዕቁብ!M62/ቦኖ!$C$4&gt;0),1,0)</f>
        <v>0</v>
      </c>
      <c r="M60" s="38">
        <f>IF((ዕቁብ!N62/ቦኖ!$C$4&gt;0),1,0)</f>
        <v>0</v>
      </c>
      <c r="N60" s="38">
        <f>IF((ዕቁብ!O62/ቦኖ!$C$4&gt;0),1,0)</f>
        <v>0</v>
      </c>
      <c r="O60" s="38">
        <f>IF((ዕቁብ!P62/ቦኖ!$C$4&gt;0),1,0)</f>
        <v>0</v>
      </c>
      <c r="P60" s="38">
        <f>IF((ዕቁብ!Q62/ቦኖ!$C$4&gt;0),1,0)</f>
        <v>0</v>
      </c>
      <c r="Q60" s="38">
        <f>IF((ዕቁብ!R62/ቦኖ!$C$4&gt;0),1,0)</f>
        <v>0</v>
      </c>
      <c r="R60" s="38">
        <f>IF((ዕቁብ!S62/ቦኖ!$C$4&gt;0),1,0)</f>
        <v>0</v>
      </c>
      <c r="S60" s="38">
        <f>IF((ዕቁብ!T62/ቦኖ!$C$4&gt;0),1,0)</f>
        <v>0</v>
      </c>
      <c r="T60" s="38">
        <f>IF((ዕቁብ!U62/ቦኖ!$C$4&gt;0),1,0)</f>
        <v>0</v>
      </c>
      <c r="U60" s="38">
        <f>IF((ዕቁብ!V62/ቦኖ!$C$4&gt;0),1,0)</f>
        <v>0</v>
      </c>
      <c r="V60" s="38">
        <f>IF((ዕቁብ!W62/ቦኖ!$C$4&gt;0),1,0)</f>
        <v>0</v>
      </c>
      <c r="W60" s="38">
        <f>IF((ዕቁብ!X62/ቦኖ!$C$4&gt;0),1,0)</f>
        <v>0</v>
      </c>
      <c r="X60" s="38">
        <f>IF((ዕቁብ!Y62/ቦኖ!$C$4&gt;0),1,0)</f>
        <v>0</v>
      </c>
      <c r="Y60" s="38">
        <f>IF((ዕቁብ!Z62/ቦኖ!$C$4&gt;0),1,0)</f>
        <v>0</v>
      </c>
      <c r="Z60" s="38">
        <f>IF((ዕቁብ!AA62/ቦኖ!$C$4&gt;0),1,0)</f>
        <v>0</v>
      </c>
      <c r="AA60" s="38">
        <f>IF((ዕቁብ!AB62/ቦኖ!$C$4&gt;0),1,0)</f>
        <v>0</v>
      </c>
      <c r="AB60" s="38">
        <f>IF((ዕቁብ!AC62/ቦኖ!$C$4&gt;0),1,0)</f>
        <v>0</v>
      </c>
      <c r="AC60" s="38">
        <f>IF((ዕቁብ!AD62/ቦኖ!$C$4&gt;0),1,0)</f>
        <v>0</v>
      </c>
      <c r="AD60" s="38">
        <f>IF((ዕቁብ!AE62/ቦኖ!$C$4&gt;0),1,0)</f>
        <v>0</v>
      </c>
      <c r="AE60" s="38">
        <f>IF((ዕቁብ!AF62/ቦኖ!$C$4&gt;0),1,0)</f>
        <v>0</v>
      </c>
      <c r="AF60" s="38">
        <f>IF((ዕቁብ!AG62/ቦኖ!$C$4&gt;0),1,0)</f>
        <v>0</v>
      </c>
      <c r="AG60" s="38">
        <f>IF((ዕቁብ!AH62/ቦኖ!$C$4&gt;0),1,0)</f>
        <v>0</v>
      </c>
      <c r="AH60" s="38">
        <f>IF((ዕቁብ!AI62/ቦኖ!$C$4&gt;0),1,0)</f>
        <v>0</v>
      </c>
      <c r="AI60" s="38">
        <f>IF((ዕቁብ!AJ62/ቦኖ!$C$4&gt;0),1,0)</f>
        <v>0</v>
      </c>
      <c r="AJ60" s="38">
        <f>IF((ዕቁብ!AK62/ቦኖ!$C$4&gt;0),1,0)</f>
        <v>0</v>
      </c>
      <c r="AK60" s="38">
        <f>IF((ዕቁብ!AL62/ቦኖ!$C$4&gt;0),1,0)</f>
        <v>0</v>
      </c>
      <c r="AL60" s="38">
        <f>IF((ዕቁብ!AM62/ቦኖ!$C$4&gt;0),1,0)</f>
        <v>0</v>
      </c>
      <c r="AM60" s="38">
        <f>IF((ዕቁብ!AN62/ቦኖ!$C$4&gt;0),1,0)</f>
        <v>0</v>
      </c>
      <c r="AN60" s="38">
        <f>IF((ዕቁብ!AO62/ቦኖ!$C$4&gt;0),1,0)</f>
        <v>0</v>
      </c>
      <c r="AO60" s="38">
        <f>IF((ዕቁብ!AP62/ቦኖ!$C$4&gt;0),1,0)</f>
        <v>0</v>
      </c>
      <c r="AP60" s="38">
        <f>IF((ዕቁብ!AQ62/ቦኖ!$C$4&gt;0),1,0)</f>
        <v>0</v>
      </c>
      <c r="AQ60" s="38">
        <f>IF((ዕቁብ!AR62/ቦኖ!$C$4&gt;0),1,0)</f>
        <v>0</v>
      </c>
      <c r="AR60" s="38">
        <f>IF((ዕቁብ!AS62/ቦኖ!$C$4&gt;0),1,0)</f>
        <v>0</v>
      </c>
      <c r="AS60" s="38">
        <f>IF((ዕቁብ!AT62/ቦኖ!$C$4&gt;0),1,0)</f>
        <v>0</v>
      </c>
      <c r="AT60" s="38">
        <f>IF((ዕቁብ!AU62/ቦኖ!$C$4&gt;0),1,0)</f>
        <v>0</v>
      </c>
      <c r="AU60" s="38">
        <f>IF((ዕቁብ!AV62/ቦኖ!$C$4&gt;0),1,0)</f>
        <v>0</v>
      </c>
      <c r="AV60" s="38">
        <f>IF((ዕቁብ!AW62/ቦኖ!$C$4&gt;0),1,0)</f>
        <v>0</v>
      </c>
      <c r="AW60" s="38">
        <f>IF((ዕቁብ!AX62/ቦኖ!$C$4&gt;0),1,0)</f>
        <v>0</v>
      </c>
      <c r="AX60" s="38">
        <f>IF((ዕቁብ!AY62/ቦኖ!$C$4&gt;0),1,0)</f>
        <v>0</v>
      </c>
      <c r="AY60" s="38">
        <f>IF((ዕቁብ!AZ62/ቦኖ!$C$4&gt;0),1,0)</f>
        <v>0</v>
      </c>
      <c r="AZ60" s="38">
        <f>IF((ዕቁብ!BA62/ቦኖ!$C$4&gt;0),1,0)</f>
        <v>0</v>
      </c>
      <c r="BA60" s="38">
        <f>IF((ዕቁብ!BB62/ቦኖ!$C$4&gt;0),1,0)</f>
        <v>0</v>
      </c>
      <c r="BB60" s="38">
        <f>IF((ዕቁብ!BC62/ቦኖ!$C$4&gt;0),1,0)</f>
        <v>0</v>
      </c>
      <c r="BC60" s="38">
        <f>IF((ዕቁብ!BD62/ቦኖ!$C$4&gt;0),1,0)</f>
        <v>0</v>
      </c>
      <c r="BD60" s="38">
        <f>IF((ዕቁብ!BE62/ቦኖ!$C$4&gt;0),1,0)</f>
        <v>0</v>
      </c>
      <c r="BE60" s="38">
        <f>IF((ዕቁብ!BF62/ቦኖ!$C$4&gt;0),1,0)</f>
        <v>0</v>
      </c>
      <c r="BF60" s="38">
        <f>IF((ዕቁብ!BG62/ቦኖ!$C$4&gt;0),1,0)</f>
        <v>0</v>
      </c>
      <c r="BG60" s="38">
        <f>IF((ዕቁብ!BH62/ቦኖ!$C$4&gt;0),1,0)</f>
        <v>0</v>
      </c>
      <c r="BH60" s="38">
        <f>IF((ዕቁብ!BI62/ቦኖ!$C$4&gt;0),1,0)</f>
        <v>0</v>
      </c>
      <c r="BI60" s="38">
        <f>IF((ዕቁብ!BJ62/ቦኖ!$C$4&gt;0),1,0)</f>
        <v>0</v>
      </c>
      <c r="BJ60" s="38">
        <f>IF((ዕቁብ!BK62/ቦኖ!$C$4&gt;0),1,0)</f>
        <v>0</v>
      </c>
      <c r="BK60" s="38">
        <f>IF((ዕቁብ!BL62/ቦኖ!$C$4&gt;0),1,0)</f>
        <v>0</v>
      </c>
      <c r="BL60" s="38">
        <f>IF((ዕቁብ!BM62/ቦኖ!$C$4&gt;0),1,0)</f>
        <v>0</v>
      </c>
      <c r="BM60" s="38">
        <f>IF((ዕቁብ!BN62/ቦኖ!$C$4&gt;0),1,0)</f>
        <v>0</v>
      </c>
      <c r="BN60" s="38">
        <f>IF((ዕቁብ!BO62/ቦኖ!$C$4&gt;0),1,0)</f>
        <v>0</v>
      </c>
      <c r="BO60" s="38">
        <f>IF((ዕቁብ!BP62/ቦኖ!$C$4&gt;0),1,0)</f>
        <v>0</v>
      </c>
      <c r="BP60" s="38">
        <f>IF((ዕቁብ!BQ62/ቦኖ!$C$4&gt;0),1,0)</f>
        <v>0</v>
      </c>
      <c r="BQ60" s="38">
        <f>IF((ዕቁብ!BR62/ቦኖ!$C$4&gt;0),1,0)</f>
        <v>0</v>
      </c>
      <c r="BR60" s="38">
        <f>IF((ዕቁብ!BS62/ቦኖ!$C$4&gt;0),1,0)</f>
        <v>0</v>
      </c>
      <c r="BS60" s="38">
        <f>IF((ዕቁብ!BT62/ቦኖ!$C$4&gt;0),1,0)</f>
        <v>0</v>
      </c>
      <c r="BT60" s="38">
        <f>IF((ዕቁብ!BU62/ቦኖ!$C$4&gt;0),1,0)</f>
        <v>0</v>
      </c>
      <c r="BU60" s="38">
        <f>IF((ዕቁብ!BV62/ቦኖ!$C$4&gt;0),1,0)</f>
        <v>0</v>
      </c>
      <c r="BV60" s="38">
        <f>IF((ዕቁብ!BW62/ቦኖ!$C$4&gt;0),1,0)</f>
        <v>0</v>
      </c>
      <c r="BW60" s="38">
        <f>IF((ዕቁብ!BX62/ቦኖ!$C$4&gt;0),1,0)</f>
        <v>0</v>
      </c>
      <c r="BX60" s="38">
        <f>IF((ዕቁብ!BY62/ቦኖ!$C$4&gt;0),1,0)</f>
        <v>0</v>
      </c>
      <c r="BY60" s="38">
        <f>IF((ዕቁብ!BZ62/ቦኖ!$C$4&gt;0),1,0)</f>
        <v>0</v>
      </c>
      <c r="BZ60" s="38">
        <f>IF((ዕቁብ!CA62/ቦኖ!$C$4&gt;0),1,0)</f>
        <v>0</v>
      </c>
      <c r="CA60" s="38">
        <f>IF((ዕቁብ!CB62/ቦኖ!$C$4&gt;0),1,0)</f>
        <v>0</v>
      </c>
      <c r="CB60" s="38">
        <f>IF((ዕቁብ!CC62/ቦኖ!$C$4&gt;0),1,0)</f>
        <v>0</v>
      </c>
      <c r="CC60" s="38">
        <f>IF((ዕቁብ!CD62/ቦኖ!$C$4&gt;0),1,0)</f>
        <v>0</v>
      </c>
      <c r="CD60" s="38">
        <f>IF((ዕቁብ!CE62/ቦኖ!$C$4&gt;0),1,0)</f>
        <v>0</v>
      </c>
      <c r="CE60" s="38">
        <f>IF((ዕቁብ!CF62/ቦኖ!$C$4&gt;0),1,0)</f>
        <v>0</v>
      </c>
      <c r="CF60" s="38">
        <f>IF((ዕቁብ!CG62/ቦኖ!$C$4&gt;0),1,0)</f>
        <v>0</v>
      </c>
      <c r="CG60" s="38">
        <f>IF((ዕቁብ!CH62/ቦኖ!$C$4&gt;0),1,0)</f>
        <v>0</v>
      </c>
      <c r="CH60" s="38">
        <f>IF((ዕቁብ!CI62/ቦኖ!$C$4&gt;0),1,0)</f>
        <v>0</v>
      </c>
      <c r="CI60" s="38">
        <f>IF((ዕቁብ!CJ62/ቦኖ!$C$4&gt;0),1,0)</f>
        <v>0</v>
      </c>
      <c r="CJ60" s="38">
        <f>IF((ዕቁብ!CK62/ቦኖ!$C$4&gt;0),1,0)</f>
        <v>0</v>
      </c>
      <c r="CK60" s="38">
        <f>IF((ዕቁብ!CL62/ቦኖ!$C$4&gt;0),1,0)</f>
        <v>0</v>
      </c>
      <c r="CL60" s="38">
        <f>IF((ዕቁብ!CM62/ቦኖ!$C$4&gt;0),1,0)</f>
        <v>0</v>
      </c>
      <c r="CM60" s="38">
        <f>IF((ዕቁብ!CN62/ቦኖ!$C$4&gt;0),1,0)</f>
        <v>0</v>
      </c>
      <c r="CN60" s="38">
        <f>IF((ዕቁብ!CO62/ቦኖ!$C$4&gt;0),1,0)</f>
        <v>0</v>
      </c>
      <c r="CO60" s="38">
        <f>IF((ዕቁብ!CP62/ቦኖ!$C$4&gt;0),1,0)</f>
        <v>0</v>
      </c>
      <c r="CP60" s="38">
        <f>IF((ዕቁብ!CQ62/ቦኖ!$C$4&gt;0),1,0)</f>
        <v>0</v>
      </c>
      <c r="CQ60" s="38">
        <f>IF((ዕቁብ!CR62/ቦኖ!$C$4&gt;0),1,0)</f>
        <v>0</v>
      </c>
      <c r="CR60" s="38">
        <f>IF((ዕቁብ!CS62/ቦኖ!$C$4&gt;0),1,0)</f>
        <v>0</v>
      </c>
      <c r="CS60" s="38">
        <f>IF((ዕቁብ!CT62/ቦኖ!$C$4&gt;0),1,0)</f>
        <v>0</v>
      </c>
      <c r="CT60" s="38">
        <f>IF((ዕቁብ!CU62/ቦኖ!$C$4&gt;0),1,0)</f>
        <v>0</v>
      </c>
      <c r="CU60" s="38">
        <f>IF((ዕቁብ!CV62/ቦኖ!$C$4&gt;0),1,0)</f>
        <v>0</v>
      </c>
      <c r="CV60" s="38">
        <f>IF((ዕቁብ!CW62/ቦኖ!$C$4&gt;0),1,0)</f>
        <v>0</v>
      </c>
      <c r="CW60" s="38">
        <f>IF((ዕቁብ!CX62/ቦኖ!$C$4&gt;0),1,0)</f>
        <v>0</v>
      </c>
      <c r="CX60" s="38">
        <f>IF((ዕቁብ!CY62/ቦኖ!$C$4&gt;0),1,0)</f>
        <v>0</v>
      </c>
      <c r="CY60" s="38">
        <f>IF((ዕቁብ!CZ62/ቦኖ!$C$4&gt;0),1,0)</f>
        <v>0</v>
      </c>
      <c r="CZ60" s="38">
        <f>IF((ዕቁብ!DA62/ቦኖ!$C$4&gt;0),1,0)</f>
        <v>0</v>
      </c>
      <c r="DA60" s="38">
        <f>IF((ዕቁብ!DB62/ቦኖ!$C$4&gt;0),1,0)</f>
        <v>0</v>
      </c>
      <c r="DB60" s="38">
        <f>IF((ዕቁብ!DC62/ቦኖ!$C$4&gt;0),1,0)</f>
        <v>0</v>
      </c>
      <c r="DC60" s="38">
        <f>IF((ዕቁብ!DD62/ቦኖ!$C$4&gt;0),1,0)</f>
        <v>0</v>
      </c>
      <c r="DD60" s="38">
        <f>IF((ዕቁብ!DE62/ቦኖ!$C$4&gt;0),1,0)</f>
        <v>0</v>
      </c>
      <c r="DE60" s="38">
        <f>IF((ዕቁብ!DF62/ቦኖ!$C$4&gt;0),1,0)</f>
        <v>0</v>
      </c>
      <c r="DF60" s="38">
        <f>IF((ዕቁብ!DG62/ቦኖ!$C$4&gt;0),1,0)</f>
        <v>0</v>
      </c>
      <c r="DG60" s="38">
        <f>IF((ዕቁብ!DH62/ቦኖ!$C$4&gt;0),1,0)</f>
        <v>0</v>
      </c>
      <c r="DH60" s="38">
        <f>IF((ዕቁብ!DI62/ቦኖ!$C$4&gt;0),1,0)</f>
        <v>0</v>
      </c>
      <c r="DI60" s="38">
        <f>IF((ዕቁብ!DJ62/ቦኖ!$C$4&gt;0),1,0)</f>
        <v>0</v>
      </c>
      <c r="DJ60" s="38">
        <f>IF((ዕቁብ!DK62/ቦኖ!$C$4&gt;0),1,0)</f>
        <v>0</v>
      </c>
      <c r="DK60" s="38">
        <f>IF((ዕቁብ!DL62/ቦኖ!$C$4&gt;0),1,0)</f>
        <v>0</v>
      </c>
      <c r="DL60" s="38">
        <f>IF((ዕቁብ!DM62/ቦኖ!$C$4&gt;0),1,0)</f>
        <v>0</v>
      </c>
      <c r="DM60" s="38">
        <f>IF((ዕቁብ!DN62/ቦኖ!$C$4&gt;0),1,0)</f>
        <v>0</v>
      </c>
      <c r="DN60" s="38">
        <f>IF((ዕቁብ!DO62/ቦኖ!$C$4&gt;0),1,0)</f>
        <v>0</v>
      </c>
      <c r="DO60" s="38">
        <f>IF((ዕቁብ!DP62/ቦኖ!$C$4&gt;0),1,0)</f>
        <v>0</v>
      </c>
      <c r="DP60" s="38">
        <f>IF((ዕቁብ!DQ62/ቦኖ!$C$4&gt;0),1,0)</f>
        <v>0</v>
      </c>
      <c r="DQ60" s="38">
        <f>IF((ዕቁብ!DR62/ቦኖ!$C$4&gt;0),1,0)</f>
        <v>0</v>
      </c>
    </row>
    <row r="61" spans="1:121" ht="15.75" customHeight="1" x14ac:dyDescent="0.3">
      <c r="A61" s="33">
        <f>ዕቁብ!A63</f>
        <v>57</v>
      </c>
      <c r="B61" s="33" t="str">
        <f>ዕቁብ!B63</f>
        <v>ተዘራ ታመነ</v>
      </c>
      <c r="C61" s="37">
        <f>ዕቁብ!C63</f>
        <v>21000</v>
      </c>
      <c r="D61" s="38">
        <f>IF((ዕቁብ!E63/ቦኖ!$C$4&gt;0),1,0)</f>
        <v>1</v>
      </c>
      <c r="E61" s="38">
        <f>IF((ዕቁብ!F63/ቦኖ!$C$4&gt;0),1,0)</f>
        <v>1</v>
      </c>
      <c r="F61" s="38">
        <f>IF((ዕቁብ!G63/ቦኖ!$C$4&gt;0),1,0)</f>
        <v>1</v>
      </c>
      <c r="G61" s="38">
        <f>IF((ዕቁብ!H63/ቦኖ!$C$4&gt;0),1,0)</f>
        <v>1</v>
      </c>
      <c r="H61" s="38">
        <f>IF((ዕቁብ!I63/ቦኖ!$C$4&gt;0),1,0)</f>
        <v>1</v>
      </c>
      <c r="I61" s="38">
        <f>IF((ዕቁብ!J63/ቦኖ!$C$4&gt;0),1,0)</f>
        <v>1</v>
      </c>
      <c r="J61" s="38">
        <f>IF((ዕቁብ!K63/ቦኖ!$C$4&gt;0),1,0)</f>
        <v>1</v>
      </c>
      <c r="K61" s="38">
        <f>IF((ዕቁብ!L63/ቦኖ!$C$4&gt;0),1,0)</f>
        <v>1</v>
      </c>
      <c r="L61" s="38">
        <f>IF((ዕቁብ!M63/ቦኖ!$C$4&gt;0),1,0)</f>
        <v>1</v>
      </c>
      <c r="M61" s="38">
        <f>IF((ዕቁብ!N63/ቦኖ!$C$4&gt;0),1,0)</f>
        <v>1</v>
      </c>
      <c r="N61" s="38">
        <f>IF((ዕቁብ!O63/ቦኖ!$C$4&gt;0),1,0)</f>
        <v>1</v>
      </c>
      <c r="O61" s="38">
        <f>IF((ዕቁብ!P63/ቦኖ!$C$4&gt;0),1,0)</f>
        <v>1</v>
      </c>
      <c r="P61" s="38">
        <f>IF((ዕቁብ!Q63/ቦኖ!$C$4&gt;0),1,0)</f>
        <v>1</v>
      </c>
      <c r="Q61" s="38">
        <f>IF((ዕቁብ!R63/ቦኖ!$C$4&gt;0),1,0)</f>
        <v>1</v>
      </c>
      <c r="R61" s="38">
        <f>IF((ዕቁብ!S63/ቦኖ!$C$4&gt;0),1,0)</f>
        <v>1</v>
      </c>
      <c r="S61" s="38">
        <f>IF((ዕቁብ!T63/ቦኖ!$C$4&gt;0),1,0)</f>
        <v>1</v>
      </c>
      <c r="T61" s="38">
        <f>IF((ዕቁብ!U63/ቦኖ!$C$4&gt;0),1,0)</f>
        <v>1</v>
      </c>
      <c r="U61" s="38">
        <f>IF((ዕቁብ!V63/ቦኖ!$C$4&gt;0),1,0)</f>
        <v>1</v>
      </c>
      <c r="V61" s="38">
        <f>IF((ዕቁብ!W63/ቦኖ!$C$4&gt;0),1,0)</f>
        <v>1</v>
      </c>
      <c r="W61" s="38">
        <f>IF((ዕቁብ!X63/ቦኖ!$C$4&gt;0),1,0)</f>
        <v>1</v>
      </c>
      <c r="X61" s="38">
        <f>IF((ዕቁብ!Y63/ቦኖ!$C$4&gt;0),1,0)</f>
        <v>0</v>
      </c>
      <c r="Y61" s="38">
        <f>IF((ዕቁብ!Z63/ቦኖ!$C$4&gt;0),1,0)</f>
        <v>0</v>
      </c>
      <c r="Z61" s="38">
        <f>IF((ዕቁብ!AA63/ቦኖ!$C$4&gt;0),1,0)</f>
        <v>1</v>
      </c>
      <c r="AA61" s="38">
        <f>IF((ዕቁብ!AB63/ቦኖ!$C$4&gt;0),1,0)</f>
        <v>0</v>
      </c>
      <c r="AB61" s="38">
        <f>IF((ዕቁብ!AC63/ቦኖ!$C$4&gt;0),1,0)</f>
        <v>1</v>
      </c>
      <c r="AC61" s="38">
        <f>IF((ዕቁብ!AD63/ቦኖ!$C$4&gt;0),1,0)</f>
        <v>0</v>
      </c>
      <c r="AD61" s="38">
        <f>IF((ዕቁብ!AE63/ቦኖ!$C$4&gt;0),1,0)</f>
        <v>1</v>
      </c>
      <c r="AE61" s="38">
        <f>IF((ዕቁብ!AF63/ቦኖ!$C$4&gt;0),1,0)</f>
        <v>0</v>
      </c>
      <c r="AF61" s="38">
        <f>IF((ዕቁብ!AG63/ቦኖ!$C$4&gt;0),1,0)</f>
        <v>1</v>
      </c>
      <c r="AG61" s="38">
        <f>IF((ዕቁብ!AH63/ቦኖ!$C$4&gt;0),1,0)</f>
        <v>0</v>
      </c>
      <c r="AH61" s="38">
        <f>IF((ዕቁብ!AI63/ቦኖ!$C$4&gt;0),1,0)</f>
        <v>1</v>
      </c>
      <c r="AI61" s="38">
        <f>IF((ዕቁብ!AJ63/ቦኖ!$C$4&gt;0),1,0)</f>
        <v>0</v>
      </c>
      <c r="AJ61" s="38">
        <f>IF((ዕቁብ!AK63/ቦኖ!$C$4&gt;0),1,0)</f>
        <v>0</v>
      </c>
      <c r="AK61" s="38">
        <f>IF((ዕቁብ!AL63/ቦኖ!$C$4&gt;0),1,0)</f>
        <v>1</v>
      </c>
      <c r="AL61" s="38">
        <f>IF((ዕቁብ!AM63/ቦኖ!$C$4&gt;0),1,0)</f>
        <v>0</v>
      </c>
      <c r="AM61" s="38">
        <f>IF((ዕቁብ!AN63/ቦኖ!$C$4&gt;0),1,0)</f>
        <v>1</v>
      </c>
      <c r="AN61" s="38">
        <f>IF((ዕቁብ!AO63/ቦኖ!$C$4&gt;0),1,0)</f>
        <v>0</v>
      </c>
      <c r="AO61" s="38">
        <f>IF((ዕቁብ!AP63/ቦኖ!$C$4&gt;0),1,0)</f>
        <v>1</v>
      </c>
      <c r="AP61" s="38">
        <f>IF((ዕቁብ!AQ63/ቦኖ!$C$4&gt;0),1,0)</f>
        <v>0</v>
      </c>
      <c r="AQ61" s="38">
        <f>IF((ዕቁብ!AR63/ቦኖ!$C$4&gt;0),1,0)</f>
        <v>1</v>
      </c>
      <c r="AR61" s="38">
        <f>IF((ዕቁብ!AS63/ቦኖ!$C$4&gt;0),1,0)</f>
        <v>0</v>
      </c>
      <c r="AS61" s="38">
        <f>IF((ዕቁብ!AT63/ቦኖ!$C$4&gt;0),1,0)</f>
        <v>1</v>
      </c>
      <c r="AT61" s="38">
        <f>IF((ዕቁብ!AU63/ቦኖ!$C$4&gt;0),1,0)</f>
        <v>0</v>
      </c>
      <c r="AU61" s="38">
        <f>IF((ዕቁብ!AV63/ቦኖ!$C$4&gt;0),1,0)</f>
        <v>1</v>
      </c>
      <c r="AV61" s="38">
        <f>IF((ዕቁብ!AW63/ቦኖ!$C$4&gt;0),1,0)</f>
        <v>0</v>
      </c>
      <c r="AW61" s="38">
        <f>IF((ዕቁብ!AX63/ቦኖ!$C$4&gt;0),1,0)</f>
        <v>0</v>
      </c>
      <c r="AX61" s="38">
        <f>IF((ዕቁብ!AY63/ቦኖ!$C$4&gt;0),1,0)</f>
        <v>0</v>
      </c>
      <c r="AY61" s="38">
        <f>IF((ዕቁብ!AZ63/ቦኖ!$C$4&gt;0),1,0)</f>
        <v>1</v>
      </c>
      <c r="AZ61" s="38">
        <f>IF((ዕቁብ!BA63/ቦኖ!$C$4&gt;0),1,0)</f>
        <v>0</v>
      </c>
      <c r="BA61" s="38">
        <f>IF((ዕቁብ!BB63/ቦኖ!$C$4&gt;0),1,0)</f>
        <v>0</v>
      </c>
      <c r="BB61" s="38">
        <f>IF((ዕቁብ!BC63/ቦኖ!$C$4&gt;0),1,0)</f>
        <v>0</v>
      </c>
      <c r="BC61" s="38">
        <f>IF((ዕቁብ!BD63/ቦኖ!$C$4&gt;0),1,0)</f>
        <v>0</v>
      </c>
      <c r="BD61" s="38">
        <f>IF((ዕቁብ!BE63/ቦኖ!$C$4&gt;0),1,0)</f>
        <v>1</v>
      </c>
      <c r="BE61" s="38">
        <f>IF((ዕቁብ!BF63/ቦኖ!$C$4&gt;0),1,0)</f>
        <v>0</v>
      </c>
      <c r="BF61" s="38">
        <f>IF((ዕቁብ!BG63/ቦኖ!$C$4&gt;0),1,0)</f>
        <v>0</v>
      </c>
      <c r="BG61" s="38">
        <f>IF((ዕቁብ!BH63/ቦኖ!$C$4&gt;0),1,0)</f>
        <v>0</v>
      </c>
      <c r="BH61" s="38">
        <f>IF((ዕቁብ!BI63/ቦኖ!$C$4&gt;0),1,0)</f>
        <v>0</v>
      </c>
      <c r="BI61" s="38">
        <f>IF((ዕቁብ!BJ63/ቦኖ!$C$4&gt;0),1,0)</f>
        <v>0</v>
      </c>
      <c r="BJ61" s="38">
        <f>IF((ዕቁብ!BK63/ቦኖ!$C$4&gt;0),1,0)</f>
        <v>1</v>
      </c>
      <c r="BK61" s="38">
        <f>IF((ዕቁብ!BL63/ቦኖ!$C$4&gt;0),1,0)</f>
        <v>0</v>
      </c>
      <c r="BL61" s="38">
        <f>IF((ዕቁብ!BM63/ቦኖ!$C$4&gt;0),1,0)</f>
        <v>0</v>
      </c>
      <c r="BM61" s="38">
        <f>IF((ዕቁብ!BN63/ቦኖ!$C$4&gt;0),1,0)</f>
        <v>0</v>
      </c>
      <c r="BN61" s="38">
        <f>IF((ዕቁብ!BO63/ቦኖ!$C$4&gt;0),1,0)</f>
        <v>1</v>
      </c>
      <c r="BO61" s="38">
        <f>IF((ዕቁብ!BP63/ቦኖ!$C$4&gt;0),1,0)</f>
        <v>0</v>
      </c>
      <c r="BP61" s="38">
        <f>IF((ዕቁብ!BQ63/ቦኖ!$C$4&gt;0),1,0)</f>
        <v>0</v>
      </c>
      <c r="BQ61" s="38">
        <f>IF((ዕቁብ!BR63/ቦኖ!$C$4&gt;0),1,0)</f>
        <v>1</v>
      </c>
      <c r="BR61" s="38">
        <f>IF((ዕቁብ!BS63/ቦኖ!$C$4&gt;0),1,0)</f>
        <v>0</v>
      </c>
      <c r="BS61" s="38">
        <f>IF((ዕቁብ!BT63/ቦኖ!$C$4&gt;0),1,0)</f>
        <v>1</v>
      </c>
      <c r="BT61" s="38">
        <f>IF((ዕቁብ!BU63/ቦኖ!$C$4&gt;0),1,0)</f>
        <v>1</v>
      </c>
      <c r="BU61" s="38">
        <f>IF((ዕቁብ!BV63/ቦኖ!$C$4&gt;0),1,0)</f>
        <v>0</v>
      </c>
      <c r="BV61" s="38">
        <f>IF((ዕቁብ!BW63/ቦኖ!$C$4&gt;0),1,0)</f>
        <v>0</v>
      </c>
      <c r="BW61" s="38">
        <f>IF((ዕቁብ!BX63/ቦኖ!$C$4&gt;0),1,0)</f>
        <v>0</v>
      </c>
      <c r="BX61" s="38">
        <f>IF((ዕቁብ!BY63/ቦኖ!$C$4&gt;0),1,0)</f>
        <v>1</v>
      </c>
      <c r="BY61" s="38">
        <f>IF((ዕቁብ!BZ63/ቦኖ!$C$4&gt;0),1,0)</f>
        <v>0</v>
      </c>
      <c r="BZ61" s="38">
        <f>IF((ዕቁብ!CA63/ቦኖ!$C$4&gt;0),1,0)</f>
        <v>0</v>
      </c>
      <c r="CA61" s="38">
        <f>IF((ዕቁብ!CB63/ቦኖ!$C$4&gt;0),1,0)</f>
        <v>0</v>
      </c>
      <c r="CB61" s="38">
        <f>IF((ዕቁብ!CC63/ቦኖ!$C$4&gt;0),1,0)</f>
        <v>1</v>
      </c>
      <c r="CC61" s="38">
        <f>IF((ዕቁብ!CD63/ቦኖ!$C$4&gt;0),1,0)</f>
        <v>0</v>
      </c>
      <c r="CD61" s="38">
        <f>IF((ዕቁብ!CE63/ቦኖ!$C$4&gt;0),1,0)</f>
        <v>0</v>
      </c>
      <c r="CE61" s="38">
        <f>IF((ዕቁብ!CF63/ቦኖ!$C$4&gt;0),1,0)</f>
        <v>0</v>
      </c>
      <c r="CF61" s="38">
        <f>IF((ዕቁብ!CG63/ቦኖ!$C$4&gt;0),1,0)</f>
        <v>1</v>
      </c>
      <c r="CG61" s="38">
        <f>IF((ዕቁብ!CH63/ቦኖ!$C$4&gt;0),1,0)</f>
        <v>0</v>
      </c>
      <c r="CH61" s="38">
        <f>IF((ዕቁብ!CI63/ቦኖ!$C$4&gt;0),1,0)</f>
        <v>0</v>
      </c>
      <c r="CI61" s="38">
        <f>IF((ዕቁብ!CJ63/ቦኖ!$C$4&gt;0),1,0)</f>
        <v>1</v>
      </c>
      <c r="CJ61" s="38">
        <f>IF((ዕቁብ!CK63/ቦኖ!$C$4&gt;0),1,0)</f>
        <v>0</v>
      </c>
      <c r="CK61" s="38">
        <f>IF((ዕቁብ!CL63/ቦኖ!$C$4&gt;0),1,0)</f>
        <v>0</v>
      </c>
      <c r="CL61" s="38">
        <f>IF((ዕቁብ!CM63/ቦኖ!$C$4&gt;0),1,0)</f>
        <v>1</v>
      </c>
      <c r="CM61" s="38">
        <f>IF((ዕቁብ!CN63/ቦኖ!$C$4&gt;0),1,0)</f>
        <v>0</v>
      </c>
      <c r="CN61" s="38">
        <f>IF((ዕቁብ!CO63/ቦኖ!$C$4&gt;0),1,0)</f>
        <v>1</v>
      </c>
      <c r="CO61" s="38">
        <f>IF((ዕቁብ!CP63/ቦኖ!$C$4&gt;0),1,0)</f>
        <v>0</v>
      </c>
      <c r="CP61" s="38">
        <f>IF((ዕቁብ!CQ63/ቦኖ!$C$4&gt;0),1,0)</f>
        <v>0</v>
      </c>
      <c r="CQ61" s="38">
        <f>IF((ዕቁብ!CR63/ቦኖ!$C$4&gt;0),1,0)</f>
        <v>1</v>
      </c>
      <c r="CR61" s="38">
        <f>IF((ዕቁብ!CS63/ቦኖ!$C$4&gt;0),1,0)</f>
        <v>0</v>
      </c>
      <c r="CS61" s="38">
        <f>IF((ዕቁብ!CT63/ቦኖ!$C$4&gt;0),1,0)</f>
        <v>0</v>
      </c>
      <c r="CT61" s="38">
        <f>IF((ዕቁብ!CU63/ቦኖ!$C$4&gt;0),1,0)</f>
        <v>0</v>
      </c>
      <c r="CU61" s="38">
        <f>IF((ዕቁብ!CV63/ቦኖ!$C$4&gt;0),1,0)</f>
        <v>1</v>
      </c>
      <c r="CV61" s="38">
        <f>IF((ዕቁብ!CW63/ቦኖ!$C$4&gt;0),1,0)</f>
        <v>1</v>
      </c>
      <c r="CW61" s="38">
        <f>IF((ዕቁብ!CX63/ቦኖ!$C$4&gt;0),1,0)</f>
        <v>0</v>
      </c>
      <c r="CX61" s="38">
        <f>IF((ዕቁብ!CY63/ቦኖ!$C$4&gt;0),1,0)</f>
        <v>1</v>
      </c>
      <c r="CY61" s="38">
        <f>IF((ዕቁብ!CZ63/ቦኖ!$C$4&gt;0),1,0)</f>
        <v>0</v>
      </c>
      <c r="CZ61" s="38">
        <f>IF((ዕቁብ!DA63/ቦኖ!$C$4&gt;0),1,0)</f>
        <v>1</v>
      </c>
      <c r="DA61" s="38">
        <f>IF((ዕቁብ!DB63/ቦኖ!$C$4&gt;0),1,0)</f>
        <v>1</v>
      </c>
      <c r="DB61" s="38">
        <f>IF((ዕቁብ!DC63/ቦኖ!$C$4&gt;0),1,0)</f>
        <v>0</v>
      </c>
      <c r="DC61" s="38">
        <f>IF((ዕቁብ!DD63/ቦኖ!$C$4&gt;0),1,0)</f>
        <v>0</v>
      </c>
      <c r="DD61" s="38">
        <f>IF((ዕቁብ!DE63/ቦኖ!$C$4&gt;0),1,0)</f>
        <v>0</v>
      </c>
      <c r="DE61" s="38">
        <f>IF((ዕቁብ!DF63/ቦኖ!$C$4&gt;0),1,0)</f>
        <v>1</v>
      </c>
      <c r="DF61" s="38">
        <f>IF((ዕቁብ!DG63/ቦኖ!$C$4&gt;0),1,0)</f>
        <v>0</v>
      </c>
      <c r="DG61" s="38">
        <f>IF((ዕቁብ!DH63/ቦኖ!$C$4&gt;0),1,0)</f>
        <v>0</v>
      </c>
      <c r="DH61" s="38">
        <f>IF((ዕቁብ!DI63/ቦኖ!$C$4&gt;0),1,0)</f>
        <v>0</v>
      </c>
      <c r="DI61" s="38">
        <f>IF((ዕቁብ!DJ63/ቦኖ!$C$4&gt;0),1,0)</f>
        <v>0</v>
      </c>
      <c r="DJ61" s="38">
        <f>IF((ዕቁብ!DK63/ቦኖ!$C$4&gt;0),1,0)</f>
        <v>0</v>
      </c>
      <c r="DK61" s="38">
        <f>IF((ዕቁብ!DL63/ቦኖ!$C$4&gt;0),1,0)</f>
        <v>0</v>
      </c>
      <c r="DL61" s="38">
        <f>IF((ዕቁብ!DM63/ቦኖ!$C$4&gt;0),1,0)</f>
        <v>0</v>
      </c>
      <c r="DM61" s="38">
        <f>IF((ዕቁብ!DN63/ቦኖ!$C$4&gt;0),1,0)</f>
        <v>0</v>
      </c>
      <c r="DN61" s="38">
        <f>IF((ዕቁብ!DO63/ቦኖ!$C$4&gt;0),1,0)</f>
        <v>0</v>
      </c>
      <c r="DO61" s="38">
        <f>IF((ዕቁብ!DP63/ቦኖ!$C$4&gt;0),1,0)</f>
        <v>0</v>
      </c>
      <c r="DP61" s="38">
        <f>IF((ዕቁብ!DQ63/ቦኖ!$C$4&gt;0),1,0)</f>
        <v>0</v>
      </c>
      <c r="DQ61" s="38">
        <f>IF((ዕቁብ!DR63/ቦኖ!$C$4&gt;0),1,0)</f>
        <v>0</v>
      </c>
    </row>
    <row r="62" spans="1:121" ht="15.75" customHeight="1" x14ac:dyDescent="0.3">
      <c r="A62" s="33">
        <f>ዕቁብ!A64</f>
        <v>58</v>
      </c>
      <c r="B62" s="33" t="str">
        <f>ዕቁብ!B64</f>
        <v>ሙሉስው ዘገየ</v>
      </c>
      <c r="C62" s="37">
        <f>ዕቁብ!C64</f>
        <v>21000</v>
      </c>
      <c r="D62" s="38">
        <f>IF((ዕቁብ!E64/ቦኖ!$C$4&gt;0),1,0)</f>
        <v>1</v>
      </c>
      <c r="E62" s="38">
        <f>IF((ዕቁብ!F64/ቦኖ!$C$4&gt;0),1,0)</f>
        <v>1</v>
      </c>
      <c r="F62" s="38">
        <f>IF((ዕቁብ!G64/ቦኖ!$C$4&gt;0),1,0)</f>
        <v>1</v>
      </c>
      <c r="G62" s="38">
        <f>IF((ዕቁብ!H64/ቦኖ!$C$4&gt;0),1,0)</f>
        <v>1</v>
      </c>
      <c r="H62" s="38">
        <f>IF((ዕቁብ!I64/ቦኖ!$C$4&gt;0),1,0)</f>
        <v>1</v>
      </c>
      <c r="I62" s="38">
        <f>IF((ዕቁብ!J64/ቦኖ!$C$4&gt;0),1,0)</f>
        <v>1</v>
      </c>
      <c r="J62" s="38">
        <f>IF((ዕቁብ!K64/ቦኖ!$C$4&gt;0),1,0)</f>
        <v>1</v>
      </c>
      <c r="K62" s="38">
        <f>IF((ዕቁብ!L64/ቦኖ!$C$4&gt;0),1,0)</f>
        <v>1</v>
      </c>
      <c r="L62" s="38">
        <f>IF((ዕቁብ!M64/ቦኖ!$C$4&gt;0),1,0)</f>
        <v>1</v>
      </c>
      <c r="M62" s="38">
        <f>IF((ዕቁብ!N64/ቦኖ!$C$4&gt;0),1,0)</f>
        <v>1</v>
      </c>
      <c r="N62" s="38">
        <f>IF((ዕቁብ!O64/ቦኖ!$C$4&gt;0),1,0)</f>
        <v>1</v>
      </c>
      <c r="O62" s="38">
        <f>IF((ዕቁብ!P64/ቦኖ!$C$4&gt;0),1,0)</f>
        <v>1</v>
      </c>
      <c r="P62" s="38">
        <f>IF((ዕቁብ!Q64/ቦኖ!$C$4&gt;0),1,0)</f>
        <v>1</v>
      </c>
      <c r="Q62" s="38">
        <f>IF((ዕቁብ!R64/ቦኖ!$C$4&gt;0),1,0)</f>
        <v>1</v>
      </c>
      <c r="R62" s="38">
        <f>IF((ዕቁብ!S64/ቦኖ!$C$4&gt;0),1,0)</f>
        <v>1</v>
      </c>
      <c r="S62" s="38">
        <f>IF((ዕቁብ!T64/ቦኖ!$C$4&gt;0),1,0)</f>
        <v>1</v>
      </c>
      <c r="T62" s="38">
        <f>IF((ዕቁብ!U64/ቦኖ!$C$4&gt;0),1,0)</f>
        <v>1</v>
      </c>
      <c r="U62" s="38">
        <f>IF((ዕቁብ!V64/ቦኖ!$C$4&gt;0),1,0)</f>
        <v>1</v>
      </c>
      <c r="V62" s="38">
        <f>IF((ዕቁብ!W64/ቦኖ!$C$4&gt;0),1,0)</f>
        <v>1</v>
      </c>
      <c r="W62" s="38">
        <f>IF((ዕቁብ!X64/ቦኖ!$C$4&gt;0),1,0)</f>
        <v>1</v>
      </c>
      <c r="X62" s="38">
        <f>IF((ዕቁብ!Y64/ቦኖ!$C$4&gt;0),1,0)</f>
        <v>1</v>
      </c>
      <c r="Y62" s="38">
        <f>IF((ዕቁብ!Z64/ቦኖ!$C$4&gt;0),1,0)</f>
        <v>1</v>
      </c>
      <c r="Z62" s="38">
        <f>IF((ዕቁብ!AA64/ቦኖ!$C$4&gt;0),1,0)</f>
        <v>1</v>
      </c>
      <c r="AA62" s="38">
        <f>IF((ዕቁብ!AB64/ቦኖ!$C$4&gt;0),1,0)</f>
        <v>1</v>
      </c>
      <c r="AB62" s="38">
        <f>IF((ዕቁብ!AC64/ቦኖ!$C$4&gt;0),1,0)</f>
        <v>1</v>
      </c>
      <c r="AC62" s="38">
        <f>IF((ዕቁብ!AD64/ቦኖ!$C$4&gt;0),1,0)</f>
        <v>1</v>
      </c>
      <c r="AD62" s="38">
        <f>IF((ዕቁብ!AE64/ቦኖ!$C$4&gt;0),1,0)</f>
        <v>1</v>
      </c>
      <c r="AE62" s="38">
        <f>IF((ዕቁብ!AF64/ቦኖ!$C$4&gt;0),1,0)</f>
        <v>1</v>
      </c>
      <c r="AF62" s="38">
        <f>IF((ዕቁብ!AG64/ቦኖ!$C$4&gt;0),1,0)</f>
        <v>1</v>
      </c>
      <c r="AG62" s="38">
        <f>IF((ዕቁብ!AH64/ቦኖ!$C$4&gt;0),1,0)</f>
        <v>1</v>
      </c>
      <c r="AH62" s="38">
        <f>IF((ዕቁብ!AI64/ቦኖ!$C$4&gt;0),1,0)</f>
        <v>1</v>
      </c>
      <c r="AI62" s="38">
        <f>IF((ዕቁብ!AJ64/ቦኖ!$C$4&gt;0),1,0)</f>
        <v>1</v>
      </c>
      <c r="AJ62" s="38">
        <f>IF((ዕቁብ!AK64/ቦኖ!$C$4&gt;0),1,0)</f>
        <v>1</v>
      </c>
      <c r="AK62" s="38">
        <f>IF((ዕቁብ!AL64/ቦኖ!$C$4&gt;0),1,0)</f>
        <v>1</v>
      </c>
      <c r="AL62" s="38">
        <f>IF((ዕቁብ!AM64/ቦኖ!$C$4&gt;0),1,0)</f>
        <v>1</v>
      </c>
      <c r="AM62" s="38">
        <f>IF((ዕቁብ!AN64/ቦኖ!$C$4&gt;0),1,0)</f>
        <v>1</v>
      </c>
      <c r="AN62" s="38">
        <f>IF((ዕቁብ!AO64/ቦኖ!$C$4&gt;0),1,0)</f>
        <v>1</v>
      </c>
      <c r="AO62" s="38">
        <f>IF((ዕቁብ!AP64/ቦኖ!$C$4&gt;0),1,0)</f>
        <v>1</v>
      </c>
      <c r="AP62" s="38">
        <f>IF((ዕቁብ!AQ64/ቦኖ!$C$4&gt;0),1,0)</f>
        <v>1</v>
      </c>
      <c r="AQ62" s="38">
        <f>IF((ዕቁብ!AR64/ቦኖ!$C$4&gt;0),1,0)</f>
        <v>1</v>
      </c>
      <c r="AR62" s="38">
        <f>IF((ዕቁብ!AS64/ቦኖ!$C$4&gt;0),1,0)</f>
        <v>1</v>
      </c>
      <c r="AS62" s="38">
        <f>IF((ዕቁብ!AT64/ቦኖ!$C$4&gt;0),1,0)</f>
        <v>1</v>
      </c>
      <c r="AT62" s="38">
        <f>IF((ዕቁብ!AU64/ቦኖ!$C$4&gt;0),1,0)</f>
        <v>1</v>
      </c>
      <c r="AU62" s="38">
        <f>IF((ዕቁብ!AV64/ቦኖ!$C$4&gt;0),1,0)</f>
        <v>1</v>
      </c>
      <c r="AV62" s="38">
        <f>IF((ዕቁብ!AW64/ቦኖ!$C$4&gt;0),1,0)</f>
        <v>1</v>
      </c>
      <c r="AW62" s="38">
        <f>IF((ዕቁብ!AX64/ቦኖ!$C$4&gt;0),1,0)</f>
        <v>1</v>
      </c>
      <c r="AX62" s="38">
        <f>IF((ዕቁብ!AY64/ቦኖ!$C$4&gt;0),1,0)</f>
        <v>1</v>
      </c>
      <c r="AY62" s="38">
        <f>IF((ዕቁብ!AZ64/ቦኖ!$C$4&gt;0),1,0)</f>
        <v>1</v>
      </c>
      <c r="AZ62" s="38">
        <f>IF((ዕቁብ!BA64/ቦኖ!$C$4&gt;0),1,0)</f>
        <v>1</v>
      </c>
      <c r="BA62" s="38">
        <f>IF((ዕቁብ!BB64/ቦኖ!$C$4&gt;0),1,0)</f>
        <v>1</v>
      </c>
      <c r="BB62" s="38">
        <f>IF((ዕቁብ!BC64/ቦኖ!$C$4&gt;0),1,0)</f>
        <v>1</v>
      </c>
      <c r="BC62" s="38">
        <f>IF((ዕቁብ!BD64/ቦኖ!$C$4&gt;0),1,0)</f>
        <v>1</v>
      </c>
      <c r="BD62" s="38">
        <f>IF((ዕቁብ!BE64/ቦኖ!$C$4&gt;0),1,0)</f>
        <v>1</v>
      </c>
      <c r="BE62" s="38">
        <f>IF((ዕቁብ!BF64/ቦኖ!$C$4&gt;0),1,0)</f>
        <v>1</v>
      </c>
      <c r="BF62" s="38">
        <f>IF((ዕቁብ!BG64/ቦኖ!$C$4&gt;0),1,0)</f>
        <v>1</v>
      </c>
      <c r="BG62" s="38">
        <f>IF((ዕቁብ!BH64/ቦኖ!$C$4&gt;0),1,0)</f>
        <v>1</v>
      </c>
      <c r="BH62" s="38">
        <f>IF((ዕቁብ!BI64/ቦኖ!$C$4&gt;0),1,0)</f>
        <v>1</v>
      </c>
      <c r="BI62" s="38">
        <f>IF((ዕቁብ!BJ64/ቦኖ!$C$4&gt;0),1,0)</f>
        <v>1</v>
      </c>
      <c r="BJ62" s="38">
        <f>IF((ዕቁብ!BK64/ቦኖ!$C$4&gt;0),1,0)</f>
        <v>1</v>
      </c>
      <c r="BK62" s="38">
        <f>IF((ዕቁብ!BL64/ቦኖ!$C$4&gt;0),1,0)</f>
        <v>1</v>
      </c>
      <c r="BL62" s="38">
        <f>IF((ዕቁብ!BM64/ቦኖ!$C$4&gt;0),1,0)</f>
        <v>1</v>
      </c>
      <c r="BM62" s="38">
        <f>IF((ዕቁብ!BN64/ቦኖ!$C$4&gt;0),1,0)</f>
        <v>1</v>
      </c>
      <c r="BN62" s="38">
        <f>IF((ዕቁብ!BO64/ቦኖ!$C$4&gt;0),1,0)</f>
        <v>1</v>
      </c>
      <c r="BO62" s="38">
        <f>IF((ዕቁብ!BP64/ቦኖ!$C$4&gt;0),1,0)</f>
        <v>1</v>
      </c>
      <c r="BP62" s="38">
        <f>IF((ዕቁብ!BQ64/ቦኖ!$C$4&gt;0),1,0)</f>
        <v>1</v>
      </c>
      <c r="BQ62" s="38">
        <f>IF((ዕቁብ!BR64/ቦኖ!$C$4&gt;0),1,0)</f>
        <v>1</v>
      </c>
      <c r="BR62" s="38">
        <f>IF((ዕቁብ!BS64/ቦኖ!$C$4&gt;0),1,0)</f>
        <v>1</v>
      </c>
      <c r="BS62" s="38">
        <f>IF((ዕቁብ!BT64/ቦኖ!$C$4&gt;0),1,0)</f>
        <v>1</v>
      </c>
      <c r="BT62" s="38">
        <f>IF((ዕቁብ!BU64/ቦኖ!$C$4&gt;0),1,0)</f>
        <v>1</v>
      </c>
      <c r="BU62" s="38">
        <f>IF((ዕቁብ!BV64/ቦኖ!$C$4&gt;0),1,0)</f>
        <v>1</v>
      </c>
      <c r="BV62" s="38">
        <f>IF((ዕቁብ!BW64/ቦኖ!$C$4&gt;0),1,0)</f>
        <v>1</v>
      </c>
      <c r="BW62" s="38">
        <f>IF((ዕቁብ!BX64/ቦኖ!$C$4&gt;0),1,0)</f>
        <v>1</v>
      </c>
      <c r="BX62" s="38">
        <f>IF((ዕቁብ!BY64/ቦኖ!$C$4&gt;0),1,0)</f>
        <v>1</v>
      </c>
      <c r="BY62" s="38">
        <f>IF((ዕቁብ!BZ64/ቦኖ!$C$4&gt;0),1,0)</f>
        <v>1</v>
      </c>
      <c r="BZ62" s="38">
        <f>IF((ዕቁብ!CA64/ቦኖ!$C$4&gt;0),1,0)</f>
        <v>1</v>
      </c>
      <c r="CA62" s="38">
        <f>IF((ዕቁብ!CB64/ቦኖ!$C$4&gt;0),1,0)</f>
        <v>1</v>
      </c>
      <c r="CB62" s="38">
        <f>IF((ዕቁብ!CC64/ቦኖ!$C$4&gt;0),1,0)</f>
        <v>1</v>
      </c>
      <c r="CC62" s="38">
        <f>IF((ዕቁብ!CD64/ቦኖ!$C$4&gt;0),1,0)</f>
        <v>0</v>
      </c>
      <c r="CD62" s="38">
        <f>IF((ዕቁብ!CE64/ቦኖ!$C$4&gt;0),1,0)</f>
        <v>1</v>
      </c>
      <c r="CE62" s="38">
        <f>IF((ዕቁብ!CF64/ቦኖ!$C$4&gt;0),1,0)</f>
        <v>1</v>
      </c>
      <c r="CF62" s="38">
        <f>IF((ዕቁብ!CG64/ቦኖ!$C$4&gt;0),1,0)</f>
        <v>1</v>
      </c>
      <c r="CG62" s="38">
        <f>IF((ዕቁብ!CH64/ቦኖ!$C$4&gt;0),1,0)</f>
        <v>1</v>
      </c>
      <c r="CH62" s="38">
        <f>IF((ዕቁብ!CI64/ቦኖ!$C$4&gt;0),1,0)</f>
        <v>1</v>
      </c>
      <c r="CI62" s="38">
        <f>IF((ዕቁብ!CJ64/ቦኖ!$C$4&gt;0),1,0)</f>
        <v>1</v>
      </c>
      <c r="CJ62" s="38">
        <f>IF((ዕቁብ!CK64/ቦኖ!$C$4&gt;0),1,0)</f>
        <v>1</v>
      </c>
      <c r="CK62" s="38">
        <f>IF((ዕቁብ!CL64/ቦኖ!$C$4&gt;0),1,0)</f>
        <v>1</v>
      </c>
      <c r="CL62" s="38">
        <f>IF((ዕቁብ!CM64/ቦኖ!$C$4&gt;0),1,0)</f>
        <v>1</v>
      </c>
      <c r="CM62" s="38">
        <f>IF((ዕቁብ!CN64/ቦኖ!$C$4&gt;0),1,0)</f>
        <v>1</v>
      </c>
      <c r="CN62" s="38">
        <f>IF((ዕቁብ!CO64/ቦኖ!$C$4&gt;0),1,0)</f>
        <v>1</v>
      </c>
      <c r="CO62" s="38">
        <f>IF((ዕቁብ!CP64/ቦኖ!$C$4&gt;0),1,0)</f>
        <v>1</v>
      </c>
      <c r="CP62" s="38">
        <f>IF((ዕቁብ!CQ64/ቦኖ!$C$4&gt;0),1,0)</f>
        <v>1</v>
      </c>
      <c r="CQ62" s="38">
        <f>IF((ዕቁብ!CR64/ቦኖ!$C$4&gt;0),1,0)</f>
        <v>1</v>
      </c>
      <c r="CR62" s="38">
        <f>IF((ዕቁብ!CS64/ቦኖ!$C$4&gt;0),1,0)</f>
        <v>0</v>
      </c>
      <c r="CS62" s="38">
        <f>IF((ዕቁብ!CT64/ቦኖ!$C$4&gt;0),1,0)</f>
        <v>1</v>
      </c>
      <c r="CT62" s="38">
        <f>IF((ዕቁብ!CU64/ቦኖ!$C$4&gt;0),1,0)</f>
        <v>1</v>
      </c>
      <c r="CU62" s="38">
        <f>IF((ዕቁብ!CV64/ቦኖ!$C$4&gt;0),1,0)</f>
        <v>1</v>
      </c>
      <c r="CV62" s="38">
        <f>IF((ዕቁብ!CW64/ቦኖ!$C$4&gt;0),1,0)</f>
        <v>0</v>
      </c>
      <c r="CW62" s="38">
        <f>IF((ዕቁብ!CX64/ቦኖ!$C$4&gt;0),1,0)</f>
        <v>0</v>
      </c>
      <c r="CX62" s="38">
        <f>IF((ዕቁብ!CY64/ቦኖ!$C$4&gt;0),1,0)</f>
        <v>1</v>
      </c>
      <c r="CY62" s="38">
        <f>IF((ዕቁብ!CZ64/ቦኖ!$C$4&gt;0),1,0)</f>
        <v>1</v>
      </c>
      <c r="CZ62" s="38">
        <f>IF((ዕቁብ!DA64/ቦኖ!$C$4&gt;0),1,0)</f>
        <v>1</v>
      </c>
      <c r="DA62" s="38">
        <f>IF((ዕቁብ!DB64/ቦኖ!$C$4&gt;0),1,0)</f>
        <v>1</v>
      </c>
      <c r="DB62" s="38">
        <f>IF((ዕቁብ!DC64/ቦኖ!$C$4&gt;0),1,0)</f>
        <v>1</v>
      </c>
      <c r="DC62" s="38">
        <f>IF((ዕቁብ!DD64/ቦኖ!$C$4&gt;0),1,0)</f>
        <v>1</v>
      </c>
      <c r="DD62" s="38">
        <f>IF((ዕቁብ!DE64/ቦኖ!$C$4&gt;0),1,0)</f>
        <v>1</v>
      </c>
      <c r="DE62" s="38">
        <f>IF((ዕቁብ!DF64/ቦኖ!$C$4&gt;0),1,0)</f>
        <v>1</v>
      </c>
      <c r="DF62" s="38">
        <f>IF((ዕቁብ!DG64/ቦኖ!$C$4&gt;0),1,0)</f>
        <v>1</v>
      </c>
      <c r="DG62" s="38">
        <f>IF((ዕቁብ!DH64/ቦኖ!$C$4&gt;0),1,0)</f>
        <v>1</v>
      </c>
      <c r="DH62" s="38">
        <f>IF((ዕቁብ!DI64/ቦኖ!$C$4&gt;0),1,0)</f>
        <v>0</v>
      </c>
      <c r="DI62" s="38">
        <f>IF((ዕቁብ!DJ64/ቦኖ!$C$4&gt;0),1,0)</f>
        <v>0</v>
      </c>
      <c r="DJ62" s="38">
        <f>IF((ዕቁብ!DK64/ቦኖ!$C$4&gt;0),1,0)</f>
        <v>0</v>
      </c>
      <c r="DK62" s="38">
        <f>IF((ዕቁብ!DL64/ቦኖ!$C$4&gt;0),1,0)</f>
        <v>0</v>
      </c>
      <c r="DL62" s="38">
        <f>IF((ዕቁብ!DM64/ቦኖ!$C$4&gt;0),1,0)</f>
        <v>0</v>
      </c>
      <c r="DM62" s="38">
        <f>IF((ዕቁብ!DN64/ቦኖ!$C$4&gt;0),1,0)</f>
        <v>0</v>
      </c>
      <c r="DN62" s="38">
        <f>IF((ዕቁብ!DO64/ቦኖ!$C$4&gt;0),1,0)</f>
        <v>0</v>
      </c>
      <c r="DO62" s="38">
        <f>IF((ዕቁብ!DP64/ቦኖ!$C$4&gt;0),1,0)</f>
        <v>0</v>
      </c>
      <c r="DP62" s="38">
        <f>IF((ዕቁብ!DQ64/ቦኖ!$C$4&gt;0),1,0)</f>
        <v>0</v>
      </c>
      <c r="DQ62" s="38">
        <f>IF((ዕቁብ!DR64/ቦኖ!$C$4&gt;0),1,0)</f>
        <v>0</v>
      </c>
    </row>
    <row r="63" spans="1:121" ht="15.75" customHeight="1" x14ac:dyDescent="0.3">
      <c r="A63" s="33">
        <f>ዕቁብ!A65</f>
        <v>59</v>
      </c>
      <c r="B63" s="33" t="str">
        <f>ዕቁብ!B65</f>
        <v>ገነት ገ /ፃዲቅ</v>
      </c>
      <c r="C63" s="37">
        <f>ዕቁብ!C65</f>
        <v>21000</v>
      </c>
      <c r="D63" s="38">
        <f>IF((ዕቁብ!E65/ቦኖ!$C$4&gt;0),1,0)</f>
        <v>1</v>
      </c>
      <c r="E63" s="38">
        <f>IF((ዕቁብ!F65/ቦኖ!$C$4&gt;0),1,0)</f>
        <v>1</v>
      </c>
      <c r="F63" s="38">
        <f>IF((ዕቁብ!G65/ቦኖ!$C$4&gt;0),1,0)</f>
        <v>1</v>
      </c>
      <c r="G63" s="38">
        <f>IF((ዕቁብ!H65/ቦኖ!$C$4&gt;0),1,0)</f>
        <v>1</v>
      </c>
      <c r="H63" s="38">
        <f>IF((ዕቁብ!I65/ቦኖ!$C$4&gt;0),1,0)</f>
        <v>1</v>
      </c>
      <c r="I63" s="38">
        <f>IF((ዕቁብ!J65/ቦኖ!$C$4&gt;0),1,0)</f>
        <v>1</v>
      </c>
      <c r="J63" s="38">
        <f>IF((ዕቁብ!K65/ቦኖ!$C$4&gt;0),1,0)</f>
        <v>1</v>
      </c>
      <c r="K63" s="38">
        <f>IF((ዕቁብ!L65/ቦኖ!$C$4&gt;0),1,0)</f>
        <v>1</v>
      </c>
      <c r="L63" s="38">
        <f>IF((ዕቁብ!M65/ቦኖ!$C$4&gt;0),1,0)</f>
        <v>1</v>
      </c>
      <c r="M63" s="38">
        <f>IF((ዕቁብ!N65/ቦኖ!$C$4&gt;0),1,0)</f>
        <v>1</v>
      </c>
      <c r="N63" s="38">
        <f>IF((ዕቁብ!O65/ቦኖ!$C$4&gt;0),1,0)</f>
        <v>1</v>
      </c>
      <c r="O63" s="38">
        <f>IF((ዕቁብ!P65/ቦኖ!$C$4&gt;0),1,0)</f>
        <v>1</v>
      </c>
      <c r="P63" s="38">
        <f>IF((ዕቁብ!Q65/ቦኖ!$C$4&gt;0),1,0)</f>
        <v>1</v>
      </c>
      <c r="Q63" s="38">
        <f>IF((ዕቁብ!R65/ቦኖ!$C$4&gt;0),1,0)</f>
        <v>1</v>
      </c>
      <c r="R63" s="38">
        <f>IF((ዕቁብ!S65/ቦኖ!$C$4&gt;0),1,0)</f>
        <v>1</v>
      </c>
      <c r="S63" s="38">
        <f>IF((ዕቁብ!T65/ቦኖ!$C$4&gt;0),1,0)</f>
        <v>1</v>
      </c>
      <c r="T63" s="38">
        <f>IF((ዕቁብ!U65/ቦኖ!$C$4&gt;0),1,0)</f>
        <v>1</v>
      </c>
      <c r="U63" s="38">
        <f>IF((ዕቁብ!V65/ቦኖ!$C$4&gt;0),1,0)</f>
        <v>1</v>
      </c>
      <c r="V63" s="38">
        <f>IF((ዕቁብ!W65/ቦኖ!$C$4&gt;0),1,0)</f>
        <v>1</v>
      </c>
      <c r="W63" s="38">
        <f>IF((ዕቁብ!X65/ቦኖ!$C$4&gt;0),1,0)</f>
        <v>1</v>
      </c>
      <c r="X63" s="38">
        <f>IF((ዕቁብ!Y65/ቦኖ!$C$4&gt;0),1,0)</f>
        <v>1</v>
      </c>
      <c r="Y63" s="38">
        <f>IF((ዕቁብ!Z65/ቦኖ!$C$4&gt;0),1,0)</f>
        <v>1</v>
      </c>
      <c r="Z63" s="38">
        <f>IF((ዕቁብ!AA65/ቦኖ!$C$4&gt;0),1,0)</f>
        <v>1</v>
      </c>
      <c r="AA63" s="38">
        <f>IF((ዕቁብ!AB65/ቦኖ!$C$4&gt;0),1,0)</f>
        <v>1</v>
      </c>
      <c r="AB63" s="38">
        <f>IF((ዕቁብ!AC65/ቦኖ!$C$4&gt;0),1,0)</f>
        <v>1</v>
      </c>
      <c r="AC63" s="38">
        <f>IF((ዕቁብ!AD65/ቦኖ!$C$4&gt;0),1,0)</f>
        <v>1</v>
      </c>
      <c r="AD63" s="38">
        <f>IF((ዕቁብ!AE65/ቦኖ!$C$4&gt;0),1,0)</f>
        <v>1</v>
      </c>
      <c r="AE63" s="38">
        <f>IF((ዕቁብ!AF65/ቦኖ!$C$4&gt;0),1,0)</f>
        <v>1</v>
      </c>
      <c r="AF63" s="38">
        <f>IF((ዕቁብ!AG65/ቦኖ!$C$4&gt;0),1,0)</f>
        <v>1</v>
      </c>
      <c r="AG63" s="38">
        <f>IF((ዕቁብ!AH65/ቦኖ!$C$4&gt;0),1,0)</f>
        <v>1</v>
      </c>
      <c r="AH63" s="38">
        <f>IF((ዕቁብ!AI65/ቦኖ!$C$4&gt;0),1,0)</f>
        <v>1</v>
      </c>
      <c r="AI63" s="38">
        <f>IF((ዕቁብ!AJ65/ቦኖ!$C$4&gt;0),1,0)</f>
        <v>1</v>
      </c>
      <c r="AJ63" s="38">
        <f>IF((ዕቁብ!AK65/ቦኖ!$C$4&gt;0),1,0)</f>
        <v>1</v>
      </c>
      <c r="AK63" s="38">
        <f>IF((ዕቁብ!AL65/ቦኖ!$C$4&gt;0),1,0)</f>
        <v>1</v>
      </c>
      <c r="AL63" s="38">
        <f>IF((ዕቁብ!AM65/ቦኖ!$C$4&gt;0),1,0)</f>
        <v>1</v>
      </c>
      <c r="AM63" s="38">
        <f>IF((ዕቁብ!AN65/ቦኖ!$C$4&gt;0),1,0)</f>
        <v>1</v>
      </c>
      <c r="AN63" s="38">
        <f>IF((ዕቁብ!AO65/ቦኖ!$C$4&gt;0),1,0)</f>
        <v>1</v>
      </c>
      <c r="AO63" s="38">
        <f>IF((ዕቁብ!AP65/ቦኖ!$C$4&gt;0),1,0)</f>
        <v>1</v>
      </c>
      <c r="AP63" s="38">
        <f>IF((ዕቁብ!AQ65/ቦኖ!$C$4&gt;0),1,0)</f>
        <v>1</v>
      </c>
      <c r="AQ63" s="38">
        <f>IF((ዕቁብ!AR65/ቦኖ!$C$4&gt;0),1,0)</f>
        <v>1</v>
      </c>
      <c r="AR63" s="38">
        <f>IF((ዕቁብ!AS65/ቦኖ!$C$4&gt;0),1,0)</f>
        <v>1</v>
      </c>
      <c r="AS63" s="38">
        <f>IF((ዕቁብ!AT65/ቦኖ!$C$4&gt;0),1,0)</f>
        <v>1</v>
      </c>
      <c r="AT63" s="38">
        <f>IF((ዕቁብ!AU65/ቦኖ!$C$4&gt;0),1,0)</f>
        <v>1</v>
      </c>
      <c r="AU63" s="38">
        <f>IF((ዕቁብ!AV65/ቦኖ!$C$4&gt;0),1,0)</f>
        <v>1</v>
      </c>
      <c r="AV63" s="38">
        <f>IF((ዕቁብ!AW65/ቦኖ!$C$4&gt;0),1,0)</f>
        <v>1</v>
      </c>
      <c r="AW63" s="38">
        <f>IF((ዕቁብ!AX65/ቦኖ!$C$4&gt;0),1,0)</f>
        <v>1</v>
      </c>
      <c r="AX63" s="38">
        <f>IF((ዕቁብ!AY65/ቦኖ!$C$4&gt;0),1,0)</f>
        <v>1</v>
      </c>
      <c r="AY63" s="38">
        <f>IF((ዕቁብ!AZ65/ቦኖ!$C$4&gt;0),1,0)</f>
        <v>1</v>
      </c>
      <c r="AZ63" s="38">
        <f>IF((ዕቁብ!BA65/ቦኖ!$C$4&gt;0),1,0)</f>
        <v>1</v>
      </c>
      <c r="BA63" s="38">
        <f>IF((ዕቁብ!BB65/ቦኖ!$C$4&gt;0),1,0)</f>
        <v>1</v>
      </c>
      <c r="BB63" s="38">
        <f>IF((ዕቁብ!BC65/ቦኖ!$C$4&gt;0),1,0)</f>
        <v>1</v>
      </c>
      <c r="BC63" s="38">
        <f>IF((ዕቁብ!BD65/ቦኖ!$C$4&gt;0),1,0)</f>
        <v>1</v>
      </c>
      <c r="BD63" s="38">
        <f>IF((ዕቁብ!BE65/ቦኖ!$C$4&gt;0),1,0)</f>
        <v>1</v>
      </c>
      <c r="BE63" s="38">
        <f>IF((ዕቁብ!BF65/ቦኖ!$C$4&gt;0),1,0)</f>
        <v>1</v>
      </c>
      <c r="BF63" s="38">
        <f>IF((ዕቁብ!BG65/ቦኖ!$C$4&gt;0),1,0)</f>
        <v>1</v>
      </c>
      <c r="BG63" s="38">
        <f>IF((ዕቁብ!BH65/ቦኖ!$C$4&gt;0),1,0)</f>
        <v>1</v>
      </c>
      <c r="BH63" s="38">
        <f>IF((ዕቁብ!BI65/ቦኖ!$C$4&gt;0),1,0)</f>
        <v>1</v>
      </c>
      <c r="BI63" s="38">
        <f>IF((ዕቁብ!BJ65/ቦኖ!$C$4&gt;0),1,0)</f>
        <v>1</v>
      </c>
      <c r="BJ63" s="38">
        <f>IF((ዕቁብ!BK65/ቦኖ!$C$4&gt;0),1,0)</f>
        <v>1</v>
      </c>
      <c r="BK63" s="38">
        <f>IF((ዕቁብ!BL65/ቦኖ!$C$4&gt;0),1,0)</f>
        <v>1</v>
      </c>
      <c r="BL63" s="38">
        <f>IF((ዕቁብ!BM65/ቦኖ!$C$4&gt;0),1,0)</f>
        <v>1</v>
      </c>
      <c r="BM63" s="38">
        <f>IF((ዕቁብ!BN65/ቦኖ!$C$4&gt;0),1,0)</f>
        <v>0</v>
      </c>
      <c r="BN63" s="38">
        <f>IF((ዕቁብ!BO65/ቦኖ!$C$4&gt;0),1,0)</f>
        <v>1</v>
      </c>
      <c r="BO63" s="38">
        <f>IF((ዕቁብ!BP65/ቦኖ!$C$4&gt;0),1,0)</f>
        <v>1</v>
      </c>
      <c r="BP63" s="38">
        <f>IF((ዕቁብ!BQ65/ቦኖ!$C$4&gt;0),1,0)</f>
        <v>1</v>
      </c>
      <c r="BQ63" s="38">
        <f>IF((ዕቁብ!BR65/ቦኖ!$C$4&gt;0),1,0)</f>
        <v>1</v>
      </c>
      <c r="BR63" s="38">
        <f>IF((ዕቁብ!BS65/ቦኖ!$C$4&gt;0),1,0)</f>
        <v>1</v>
      </c>
      <c r="BS63" s="38">
        <f>IF((ዕቁብ!BT65/ቦኖ!$C$4&gt;0),1,0)</f>
        <v>1</v>
      </c>
      <c r="BT63" s="38">
        <f>IF((ዕቁብ!BU65/ቦኖ!$C$4&gt;0),1,0)</f>
        <v>1</v>
      </c>
      <c r="BU63" s="38">
        <f>IF((ዕቁብ!BV65/ቦኖ!$C$4&gt;0),1,0)</f>
        <v>1</v>
      </c>
      <c r="BV63" s="38">
        <f>IF((ዕቁብ!BW65/ቦኖ!$C$4&gt;0),1,0)</f>
        <v>1</v>
      </c>
      <c r="BW63" s="38">
        <f>IF((ዕቁብ!BX65/ቦኖ!$C$4&gt;0),1,0)</f>
        <v>1</v>
      </c>
      <c r="BX63" s="38">
        <f>IF((ዕቁብ!BY65/ቦኖ!$C$4&gt;0),1,0)</f>
        <v>1</v>
      </c>
      <c r="BY63" s="38">
        <f>IF((ዕቁብ!BZ65/ቦኖ!$C$4&gt;0),1,0)</f>
        <v>1</v>
      </c>
      <c r="BZ63" s="38">
        <f>IF((ዕቁብ!CA65/ቦኖ!$C$4&gt;0),1,0)</f>
        <v>1</v>
      </c>
      <c r="CA63" s="38">
        <f>IF((ዕቁብ!CB65/ቦኖ!$C$4&gt;0),1,0)</f>
        <v>1</v>
      </c>
      <c r="CB63" s="38">
        <f>IF((ዕቁብ!CC65/ቦኖ!$C$4&gt;0),1,0)</f>
        <v>1</v>
      </c>
      <c r="CC63" s="38">
        <f>IF((ዕቁብ!CD65/ቦኖ!$C$4&gt;0),1,0)</f>
        <v>1</v>
      </c>
      <c r="CD63" s="38">
        <f>IF((ዕቁብ!CE65/ቦኖ!$C$4&gt;0),1,0)</f>
        <v>1</v>
      </c>
      <c r="CE63" s="38">
        <f>IF((ዕቁብ!CF65/ቦኖ!$C$4&gt;0),1,0)</f>
        <v>1</v>
      </c>
      <c r="CF63" s="38">
        <f>IF((ዕቁብ!CG65/ቦኖ!$C$4&gt;0),1,0)</f>
        <v>1</v>
      </c>
      <c r="CG63" s="38">
        <f>IF((ዕቁብ!CH65/ቦኖ!$C$4&gt;0),1,0)</f>
        <v>1</v>
      </c>
      <c r="CH63" s="38">
        <f>IF((ዕቁብ!CI65/ቦኖ!$C$4&gt;0),1,0)</f>
        <v>1</v>
      </c>
      <c r="CI63" s="38">
        <f>IF((ዕቁብ!CJ65/ቦኖ!$C$4&gt;0),1,0)</f>
        <v>1</v>
      </c>
      <c r="CJ63" s="38">
        <f>IF((ዕቁብ!CK65/ቦኖ!$C$4&gt;0),1,0)</f>
        <v>1</v>
      </c>
      <c r="CK63" s="38">
        <f>IF((ዕቁብ!CL65/ቦኖ!$C$4&gt;0),1,0)</f>
        <v>1</v>
      </c>
      <c r="CL63" s="38">
        <f>IF((ዕቁብ!CM65/ቦኖ!$C$4&gt;0),1,0)</f>
        <v>1</v>
      </c>
      <c r="CM63" s="38">
        <f>IF((ዕቁብ!CN65/ቦኖ!$C$4&gt;0),1,0)</f>
        <v>1</v>
      </c>
      <c r="CN63" s="38">
        <f>IF((ዕቁብ!CO65/ቦኖ!$C$4&gt;0),1,0)</f>
        <v>1</v>
      </c>
      <c r="CO63" s="38">
        <f>IF((ዕቁብ!CP65/ቦኖ!$C$4&gt;0),1,0)</f>
        <v>1</v>
      </c>
      <c r="CP63" s="38">
        <f>IF((ዕቁብ!CQ65/ቦኖ!$C$4&gt;0),1,0)</f>
        <v>1</v>
      </c>
      <c r="CQ63" s="38">
        <f>IF((ዕቁብ!CR65/ቦኖ!$C$4&gt;0),1,0)</f>
        <v>1</v>
      </c>
      <c r="CR63" s="38">
        <f>IF((ዕቁብ!CS65/ቦኖ!$C$4&gt;0),1,0)</f>
        <v>1</v>
      </c>
      <c r="CS63" s="38">
        <f>IF((ዕቁብ!CT65/ቦኖ!$C$4&gt;0),1,0)</f>
        <v>1</v>
      </c>
      <c r="CT63" s="38">
        <f>IF((ዕቁብ!CU65/ቦኖ!$C$4&gt;0),1,0)</f>
        <v>1</v>
      </c>
      <c r="CU63" s="38">
        <f>IF((ዕቁብ!CV65/ቦኖ!$C$4&gt;0),1,0)</f>
        <v>1</v>
      </c>
      <c r="CV63" s="38">
        <f>IF((ዕቁብ!CW65/ቦኖ!$C$4&gt;0),1,0)</f>
        <v>1</v>
      </c>
      <c r="CW63" s="38">
        <f>IF((ዕቁብ!CX65/ቦኖ!$C$4&gt;0),1,0)</f>
        <v>1</v>
      </c>
      <c r="CX63" s="38">
        <f>IF((ዕቁብ!CY65/ቦኖ!$C$4&gt;0),1,0)</f>
        <v>1</v>
      </c>
      <c r="CY63" s="38">
        <f>IF((ዕቁብ!CZ65/ቦኖ!$C$4&gt;0),1,0)</f>
        <v>1</v>
      </c>
      <c r="CZ63" s="38">
        <f>IF((ዕቁብ!DA65/ቦኖ!$C$4&gt;0),1,0)</f>
        <v>1</v>
      </c>
      <c r="DA63" s="38">
        <f>IF((ዕቁብ!DB65/ቦኖ!$C$4&gt;0),1,0)</f>
        <v>1</v>
      </c>
      <c r="DB63" s="38">
        <f>IF((ዕቁብ!DC65/ቦኖ!$C$4&gt;0),1,0)</f>
        <v>1</v>
      </c>
      <c r="DC63" s="38">
        <f>IF((ዕቁብ!DD65/ቦኖ!$C$4&gt;0),1,0)</f>
        <v>1</v>
      </c>
      <c r="DD63" s="38">
        <f>IF((ዕቁብ!DE65/ቦኖ!$C$4&gt;0),1,0)</f>
        <v>1</v>
      </c>
      <c r="DE63" s="38">
        <f>IF((ዕቁብ!DF65/ቦኖ!$C$4&gt;0),1,0)</f>
        <v>1</v>
      </c>
      <c r="DF63" s="38">
        <f>IF((ዕቁብ!DG65/ቦኖ!$C$4&gt;0),1,0)</f>
        <v>1</v>
      </c>
      <c r="DG63" s="38">
        <f>IF((ዕቁብ!DH65/ቦኖ!$C$4&gt;0),1,0)</f>
        <v>1</v>
      </c>
      <c r="DH63" s="38">
        <f>IF((ዕቁብ!DI65/ቦኖ!$C$4&gt;0),1,0)</f>
        <v>0</v>
      </c>
      <c r="DI63" s="38">
        <f>IF((ዕቁብ!DJ65/ቦኖ!$C$4&gt;0),1,0)</f>
        <v>0</v>
      </c>
      <c r="DJ63" s="38">
        <f>IF((ዕቁብ!DK65/ቦኖ!$C$4&gt;0),1,0)</f>
        <v>0</v>
      </c>
      <c r="DK63" s="38">
        <f>IF((ዕቁብ!DL65/ቦኖ!$C$4&gt;0),1,0)</f>
        <v>0</v>
      </c>
      <c r="DL63" s="38">
        <f>IF((ዕቁብ!DM65/ቦኖ!$C$4&gt;0),1,0)</f>
        <v>0</v>
      </c>
      <c r="DM63" s="38">
        <f>IF((ዕቁብ!DN65/ቦኖ!$C$4&gt;0),1,0)</f>
        <v>0</v>
      </c>
      <c r="DN63" s="38">
        <f>IF((ዕቁብ!DO65/ቦኖ!$C$4&gt;0),1,0)</f>
        <v>0</v>
      </c>
      <c r="DO63" s="38">
        <f>IF((ዕቁብ!DP65/ቦኖ!$C$4&gt;0),1,0)</f>
        <v>0</v>
      </c>
      <c r="DP63" s="38">
        <f>IF((ዕቁብ!DQ65/ቦኖ!$C$4&gt;0),1,0)</f>
        <v>0</v>
      </c>
      <c r="DQ63" s="38">
        <f>IF((ዕቁብ!DR65/ቦኖ!$C$4&gt;0),1,0)</f>
        <v>0</v>
      </c>
    </row>
    <row r="64" spans="1:121" ht="15.75" customHeight="1" x14ac:dyDescent="0.3">
      <c r="A64" s="33">
        <f>ዕቁብ!A66</f>
        <v>60</v>
      </c>
      <c r="B64" s="33" t="str">
        <f>ዕቁብ!B66</f>
        <v>አለሙ ሽመልስ</v>
      </c>
      <c r="C64" s="37">
        <f>ዕቁብ!C66</f>
        <v>21000</v>
      </c>
      <c r="D64" s="38">
        <f>IF((ዕቁብ!E66/ቦኖ!$C$4&gt;0),1,0)</f>
        <v>1</v>
      </c>
      <c r="E64" s="38">
        <f>IF((ዕቁብ!F66/ቦኖ!$C$4&gt;0),1,0)</f>
        <v>1</v>
      </c>
      <c r="F64" s="38">
        <f>IF((ዕቁብ!G66/ቦኖ!$C$4&gt;0),1,0)</f>
        <v>1</v>
      </c>
      <c r="G64" s="38">
        <f>IF((ዕቁብ!H66/ቦኖ!$C$4&gt;0),1,0)</f>
        <v>1</v>
      </c>
      <c r="H64" s="38">
        <f>IF((ዕቁብ!I66/ቦኖ!$C$4&gt;0),1,0)</f>
        <v>1</v>
      </c>
      <c r="I64" s="38">
        <f>IF((ዕቁብ!J66/ቦኖ!$C$4&gt;0),1,0)</f>
        <v>1</v>
      </c>
      <c r="J64" s="38">
        <f>IF((ዕቁብ!K66/ቦኖ!$C$4&gt;0),1,0)</f>
        <v>1</v>
      </c>
      <c r="K64" s="38">
        <f>IF((ዕቁብ!L66/ቦኖ!$C$4&gt;0),1,0)</f>
        <v>1</v>
      </c>
      <c r="L64" s="38">
        <f>IF((ዕቁብ!M66/ቦኖ!$C$4&gt;0),1,0)</f>
        <v>1</v>
      </c>
      <c r="M64" s="38">
        <f>IF((ዕቁብ!N66/ቦኖ!$C$4&gt;0),1,0)</f>
        <v>1</v>
      </c>
      <c r="N64" s="38">
        <f>IF((ዕቁብ!O66/ቦኖ!$C$4&gt;0),1,0)</f>
        <v>1</v>
      </c>
      <c r="O64" s="38">
        <f>IF((ዕቁብ!P66/ቦኖ!$C$4&gt;0),1,0)</f>
        <v>1</v>
      </c>
      <c r="P64" s="38">
        <f>IF((ዕቁብ!Q66/ቦኖ!$C$4&gt;0),1,0)</f>
        <v>1</v>
      </c>
      <c r="Q64" s="38">
        <f>IF((ዕቁብ!R66/ቦኖ!$C$4&gt;0),1,0)</f>
        <v>1</v>
      </c>
      <c r="R64" s="38">
        <f>IF((ዕቁብ!S66/ቦኖ!$C$4&gt;0),1,0)</f>
        <v>1</v>
      </c>
      <c r="S64" s="38">
        <f>IF((ዕቁብ!T66/ቦኖ!$C$4&gt;0),1,0)</f>
        <v>1</v>
      </c>
      <c r="T64" s="38">
        <f>IF((ዕቁብ!U66/ቦኖ!$C$4&gt;0),1,0)</f>
        <v>1</v>
      </c>
      <c r="U64" s="38">
        <f>IF((ዕቁብ!V66/ቦኖ!$C$4&gt;0),1,0)</f>
        <v>1</v>
      </c>
      <c r="V64" s="38">
        <f>IF((ዕቁብ!W66/ቦኖ!$C$4&gt;0),1,0)</f>
        <v>1</v>
      </c>
      <c r="W64" s="38">
        <f>IF((ዕቁብ!X66/ቦኖ!$C$4&gt;0),1,0)</f>
        <v>1</v>
      </c>
      <c r="X64" s="38">
        <f>IF((ዕቁብ!Y66/ቦኖ!$C$4&gt;0),1,0)</f>
        <v>1</v>
      </c>
      <c r="Y64" s="38">
        <f>IF((ዕቁብ!Z66/ቦኖ!$C$4&gt;0),1,0)</f>
        <v>1</v>
      </c>
      <c r="Z64" s="38">
        <f>IF((ዕቁብ!AA66/ቦኖ!$C$4&gt;0),1,0)</f>
        <v>1</v>
      </c>
      <c r="AA64" s="38">
        <f>IF((ዕቁብ!AB66/ቦኖ!$C$4&gt;0),1,0)</f>
        <v>1</v>
      </c>
      <c r="AB64" s="38">
        <f>IF((ዕቁብ!AC66/ቦኖ!$C$4&gt;0),1,0)</f>
        <v>1</v>
      </c>
      <c r="AC64" s="38">
        <f>IF((ዕቁብ!AD66/ቦኖ!$C$4&gt;0),1,0)</f>
        <v>1</v>
      </c>
      <c r="AD64" s="38">
        <f>IF((ዕቁብ!AE66/ቦኖ!$C$4&gt;0),1,0)</f>
        <v>1</v>
      </c>
      <c r="AE64" s="38">
        <f>IF((ዕቁብ!AF66/ቦኖ!$C$4&gt;0),1,0)</f>
        <v>1</v>
      </c>
      <c r="AF64" s="38">
        <f>IF((ዕቁብ!AG66/ቦኖ!$C$4&gt;0),1,0)</f>
        <v>0</v>
      </c>
      <c r="AG64" s="38">
        <f>IF((ዕቁብ!AH66/ቦኖ!$C$4&gt;0),1,0)</f>
        <v>1</v>
      </c>
      <c r="AH64" s="38">
        <f>IF((ዕቁብ!AI66/ቦኖ!$C$4&gt;0),1,0)</f>
        <v>1</v>
      </c>
      <c r="AI64" s="38">
        <f>IF((ዕቁብ!AJ66/ቦኖ!$C$4&gt;0),1,0)</f>
        <v>1</v>
      </c>
      <c r="AJ64" s="38">
        <f>IF((ዕቁብ!AK66/ቦኖ!$C$4&gt;0),1,0)</f>
        <v>1</v>
      </c>
      <c r="AK64" s="38">
        <f>IF((ዕቁብ!AL66/ቦኖ!$C$4&gt;0),1,0)</f>
        <v>1</v>
      </c>
      <c r="AL64" s="38">
        <f>IF((ዕቁብ!AM66/ቦኖ!$C$4&gt;0),1,0)</f>
        <v>1</v>
      </c>
      <c r="AM64" s="38">
        <f>IF((ዕቁብ!AN66/ቦኖ!$C$4&gt;0),1,0)</f>
        <v>1</v>
      </c>
      <c r="AN64" s="38">
        <f>IF((ዕቁብ!AO66/ቦኖ!$C$4&gt;0),1,0)</f>
        <v>1</v>
      </c>
      <c r="AO64" s="38">
        <f>IF((ዕቁብ!AP66/ቦኖ!$C$4&gt;0),1,0)</f>
        <v>1</v>
      </c>
      <c r="AP64" s="38">
        <f>IF((ዕቁብ!AQ66/ቦኖ!$C$4&gt;0),1,0)</f>
        <v>1</v>
      </c>
      <c r="AQ64" s="38">
        <f>IF((ዕቁብ!AR66/ቦኖ!$C$4&gt;0),1,0)</f>
        <v>1</v>
      </c>
      <c r="AR64" s="38">
        <f>IF((ዕቁብ!AS66/ቦኖ!$C$4&gt;0),1,0)</f>
        <v>1</v>
      </c>
      <c r="AS64" s="38">
        <f>IF((ዕቁብ!AT66/ቦኖ!$C$4&gt;0),1,0)</f>
        <v>1</v>
      </c>
      <c r="AT64" s="38">
        <f>IF((ዕቁብ!AU66/ቦኖ!$C$4&gt;0),1,0)</f>
        <v>1</v>
      </c>
      <c r="AU64" s="38">
        <f>IF((ዕቁብ!AV66/ቦኖ!$C$4&gt;0),1,0)</f>
        <v>1</v>
      </c>
      <c r="AV64" s="38">
        <f>IF((ዕቁብ!AW66/ቦኖ!$C$4&gt;0),1,0)</f>
        <v>1</v>
      </c>
      <c r="AW64" s="38">
        <f>IF((ዕቁብ!AX66/ቦኖ!$C$4&gt;0),1,0)</f>
        <v>1</v>
      </c>
      <c r="AX64" s="38">
        <f>IF((ዕቁብ!AY66/ቦኖ!$C$4&gt;0),1,0)</f>
        <v>1</v>
      </c>
      <c r="AY64" s="38">
        <f>IF((ዕቁብ!AZ66/ቦኖ!$C$4&gt;0),1,0)</f>
        <v>1</v>
      </c>
      <c r="AZ64" s="38">
        <f>IF((ዕቁብ!BA66/ቦኖ!$C$4&gt;0),1,0)</f>
        <v>1</v>
      </c>
      <c r="BA64" s="38">
        <f>IF((ዕቁብ!BB66/ቦኖ!$C$4&gt;0),1,0)</f>
        <v>1</v>
      </c>
      <c r="BB64" s="38">
        <f>IF((ዕቁብ!BC66/ቦኖ!$C$4&gt;0),1,0)</f>
        <v>1</v>
      </c>
      <c r="BC64" s="38">
        <f>IF((ዕቁብ!BD66/ቦኖ!$C$4&gt;0),1,0)</f>
        <v>1</v>
      </c>
      <c r="BD64" s="38">
        <f>IF((ዕቁብ!BE66/ቦኖ!$C$4&gt;0),1,0)</f>
        <v>1</v>
      </c>
      <c r="BE64" s="38">
        <f>IF((ዕቁብ!BF66/ቦኖ!$C$4&gt;0),1,0)</f>
        <v>1</v>
      </c>
      <c r="BF64" s="38">
        <f>IF((ዕቁብ!BG66/ቦኖ!$C$4&gt;0),1,0)</f>
        <v>1</v>
      </c>
      <c r="BG64" s="38">
        <f>IF((ዕቁብ!BH66/ቦኖ!$C$4&gt;0),1,0)</f>
        <v>1</v>
      </c>
      <c r="BH64" s="38">
        <f>IF((ዕቁብ!BI66/ቦኖ!$C$4&gt;0),1,0)</f>
        <v>1</v>
      </c>
      <c r="BI64" s="38">
        <f>IF((ዕቁብ!BJ66/ቦኖ!$C$4&gt;0),1,0)</f>
        <v>1</v>
      </c>
      <c r="BJ64" s="38">
        <f>IF((ዕቁብ!BK66/ቦኖ!$C$4&gt;0),1,0)</f>
        <v>1</v>
      </c>
      <c r="BK64" s="38">
        <f>IF((ዕቁብ!BL66/ቦኖ!$C$4&gt;0),1,0)</f>
        <v>1</v>
      </c>
      <c r="BL64" s="38">
        <f>IF((ዕቁብ!BM66/ቦኖ!$C$4&gt;0),1,0)</f>
        <v>1</v>
      </c>
      <c r="BM64" s="38">
        <f>IF((ዕቁብ!BN66/ቦኖ!$C$4&gt;0),1,0)</f>
        <v>1</v>
      </c>
      <c r="BN64" s="38">
        <f>IF((ዕቁብ!BO66/ቦኖ!$C$4&gt;0),1,0)</f>
        <v>1</v>
      </c>
      <c r="BO64" s="38">
        <f>IF((ዕቁብ!BP66/ቦኖ!$C$4&gt;0),1,0)</f>
        <v>0</v>
      </c>
      <c r="BP64" s="38">
        <f>IF((ዕቁብ!BQ66/ቦኖ!$C$4&gt;0),1,0)</f>
        <v>1</v>
      </c>
      <c r="BQ64" s="38">
        <f>IF((ዕቁብ!BR66/ቦኖ!$C$4&gt;0),1,0)</f>
        <v>1</v>
      </c>
      <c r="BR64" s="38">
        <f>IF((ዕቁብ!BS66/ቦኖ!$C$4&gt;0),1,0)</f>
        <v>1</v>
      </c>
      <c r="BS64" s="38">
        <f>IF((ዕቁብ!BT66/ቦኖ!$C$4&gt;0),1,0)</f>
        <v>1</v>
      </c>
      <c r="BT64" s="38">
        <f>IF((ዕቁብ!BU66/ቦኖ!$C$4&gt;0),1,0)</f>
        <v>1</v>
      </c>
      <c r="BU64" s="38">
        <f>IF((ዕቁብ!BV66/ቦኖ!$C$4&gt;0),1,0)</f>
        <v>1</v>
      </c>
      <c r="BV64" s="38">
        <f>IF((ዕቁብ!BW66/ቦኖ!$C$4&gt;0),1,0)</f>
        <v>1</v>
      </c>
      <c r="BW64" s="38">
        <f>IF((ዕቁብ!BX66/ቦኖ!$C$4&gt;0),1,0)</f>
        <v>1</v>
      </c>
      <c r="BX64" s="38">
        <f>IF((ዕቁብ!BY66/ቦኖ!$C$4&gt;0),1,0)</f>
        <v>1</v>
      </c>
      <c r="BY64" s="38">
        <f>IF((ዕቁብ!BZ66/ቦኖ!$C$4&gt;0),1,0)</f>
        <v>1</v>
      </c>
      <c r="BZ64" s="38">
        <f>IF((ዕቁብ!CA66/ቦኖ!$C$4&gt;0),1,0)</f>
        <v>1</v>
      </c>
      <c r="CA64" s="38">
        <f>IF((ዕቁብ!CB66/ቦኖ!$C$4&gt;0),1,0)</f>
        <v>1</v>
      </c>
      <c r="CB64" s="38">
        <f>IF((ዕቁብ!CC66/ቦኖ!$C$4&gt;0),1,0)</f>
        <v>1</v>
      </c>
      <c r="CC64" s="38">
        <f>IF((ዕቁብ!CD66/ቦኖ!$C$4&gt;0),1,0)</f>
        <v>1</v>
      </c>
      <c r="CD64" s="38">
        <f>IF((ዕቁብ!CE66/ቦኖ!$C$4&gt;0),1,0)</f>
        <v>1</v>
      </c>
      <c r="CE64" s="38">
        <f>IF((ዕቁብ!CF66/ቦኖ!$C$4&gt;0),1,0)</f>
        <v>1</v>
      </c>
      <c r="CF64" s="38">
        <f>IF((ዕቁብ!CG66/ቦኖ!$C$4&gt;0),1,0)</f>
        <v>1</v>
      </c>
      <c r="CG64" s="38">
        <f>IF((ዕቁብ!CH66/ቦኖ!$C$4&gt;0),1,0)</f>
        <v>1</v>
      </c>
      <c r="CH64" s="38">
        <f>IF((ዕቁብ!CI66/ቦኖ!$C$4&gt;0),1,0)</f>
        <v>1</v>
      </c>
      <c r="CI64" s="38">
        <f>IF((ዕቁብ!CJ66/ቦኖ!$C$4&gt;0),1,0)</f>
        <v>1</v>
      </c>
      <c r="CJ64" s="38">
        <f>IF((ዕቁብ!CK66/ቦኖ!$C$4&gt;0),1,0)</f>
        <v>1</v>
      </c>
      <c r="CK64" s="38">
        <f>IF((ዕቁብ!CL66/ቦኖ!$C$4&gt;0),1,0)</f>
        <v>1</v>
      </c>
      <c r="CL64" s="38">
        <f>IF((ዕቁብ!CM66/ቦኖ!$C$4&gt;0),1,0)</f>
        <v>1</v>
      </c>
      <c r="CM64" s="38">
        <f>IF((ዕቁብ!CN66/ቦኖ!$C$4&gt;0),1,0)</f>
        <v>1</v>
      </c>
      <c r="CN64" s="38">
        <f>IF((ዕቁብ!CO66/ቦኖ!$C$4&gt;0),1,0)</f>
        <v>1</v>
      </c>
      <c r="CO64" s="38">
        <f>IF((ዕቁብ!CP66/ቦኖ!$C$4&gt;0),1,0)</f>
        <v>1</v>
      </c>
      <c r="CP64" s="38">
        <f>IF((ዕቁብ!CQ66/ቦኖ!$C$4&gt;0),1,0)</f>
        <v>1</v>
      </c>
      <c r="CQ64" s="38">
        <f>IF((ዕቁብ!CR66/ቦኖ!$C$4&gt;0),1,0)</f>
        <v>1</v>
      </c>
      <c r="CR64" s="38">
        <f>IF((ዕቁብ!CS66/ቦኖ!$C$4&gt;0),1,0)</f>
        <v>1</v>
      </c>
      <c r="CS64" s="38">
        <f>IF((ዕቁብ!CT66/ቦኖ!$C$4&gt;0),1,0)</f>
        <v>1</v>
      </c>
      <c r="CT64" s="38">
        <f>IF((ዕቁብ!CU66/ቦኖ!$C$4&gt;0),1,0)</f>
        <v>1</v>
      </c>
      <c r="CU64" s="38">
        <f>IF((ዕቁብ!CV66/ቦኖ!$C$4&gt;0),1,0)</f>
        <v>1</v>
      </c>
      <c r="CV64" s="38">
        <f>IF((ዕቁብ!CW66/ቦኖ!$C$4&gt;0),1,0)</f>
        <v>1</v>
      </c>
      <c r="CW64" s="38">
        <f>IF((ዕቁብ!CX66/ቦኖ!$C$4&gt;0),1,0)</f>
        <v>1</v>
      </c>
      <c r="CX64" s="38">
        <f>IF((ዕቁብ!CY66/ቦኖ!$C$4&gt;0),1,0)</f>
        <v>1</v>
      </c>
      <c r="CY64" s="38">
        <f>IF((ዕቁብ!CZ66/ቦኖ!$C$4&gt;0),1,0)</f>
        <v>1</v>
      </c>
      <c r="CZ64" s="38">
        <f>IF((ዕቁብ!DA66/ቦኖ!$C$4&gt;0),1,0)</f>
        <v>1</v>
      </c>
      <c r="DA64" s="38">
        <f>IF((ዕቁብ!DB66/ቦኖ!$C$4&gt;0),1,0)</f>
        <v>1</v>
      </c>
      <c r="DB64" s="38">
        <f>IF((ዕቁብ!DC66/ቦኖ!$C$4&gt;0),1,0)</f>
        <v>1</v>
      </c>
      <c r="DC64" s="38">
        <f>IF((ዕቁብ!DD66/ቦኖ!$C$4&gt;0),1,0)</f>
        <v>1</v>
      </c>
      <c r="DD64" s="38">
        <f>IF((ዕቁብ!DE66/ቦኖ!$C$4&gt;0),1,0)</f>
        <v>1</v>
      </c>
      <c r="DE64" s="38">
        <f>IF((ዕቁብ!DF66/ቦኖ!$C$4&gt;0),1,0)</f>
        <v>1</v>
      </c>
      <c r="DF64" s="38">
        <f>IF((ዕቁብ!DG66/ቦኖ!$C$4&gt;0),1,0)</f>
        <v>1</v>
      </c>
      <c r="DG64" s="38">
        <f>IF((ዕቁብ!DH66/ቦኖ!$C$4&gt;0),1,0)</f>
        <v>1</v>
      </c>
      <c r="DH64" s="38">
        <f>IF((ዕቁብ!DI66/ቦኖ!$C$4&gt;0),1,0)</f>
        <v>0</v>
      </c>
      <c r="DI64" s="38">
        <f>IF((ዕቁብ!DJ66/ቦኖ!$C$4&gt;0),1,0)</f>
        <v>0</v>
      </c>
      <c r="DJ64" s="38">
        <f>IF((ዕቁብ!DK66/ቦኖ!$C$4&gt;0),1,0)</f>
        <v>0</v>
      </c>
      <c r="DK64" s="38">
        <f>IF((ዕቁብ!DL66/ቦኖ!$C$4&gt;0),1,0)</f>
        <v>0</v>
      </c>
      <c r="DL64" s="38">
        <f>IF((ዕቁብ!DM66/ቦኖ!$C$4&gt;0),1,0)</f>
        <v>0</v>
      </c>
      <c r="DM64" s="38">
        <f>IF((ዕቁብ!DN66/ቦኖ!$C$4&gt;0),1,0)</f>
        <v>0</v>
      </c>
      <c r="DN64" s="38">
        <f>IF((ዕቁብ!DO66/ቦኖ!$C$4&gt;0),1,0)</f>
        <v>0</v>
      </c>
      <c r="DO64" s="38">
        <f>IF((ዕቁብ!DP66/ቦኖ!$C$4&gt;0),1,0)</f>
        <v>0</v>
      </c>
      <c r="DP64" s="38">
        <f>IF((ዕቁብ!DQ66/ቦኖ!$C$4&gt;0),1,0)</f>
        <v>0</v>
      </c>
      <c r="DQ64" s="38">
        <f>IF((ዕቁብ!DR66/ቦኖ!$C$4&gt;0),1,0)</f>
        <v>0</v>
      </c>
    </row>
    <row r="65" spans="1:121" ht="15.75" customHeight="1" x14ac:dyDescent="0.3">
      <c r="A65" s="33">
        <f>ዕቁብ!A67</f>
        <v>61</v>
      </c>
      <c r="B65" s="33" t="str">
        <f>ዕቁብ!B67</f>
        <v>አልማዝ ደምሴ</v>
      </c>
      <c r="C65" s="37">
        <f>ዕቁብ!C67</f>
        <v>21000</v>
      </c>
      <c r="D65" s="38">
        <f>IF((ዕቁብ!E67/ቦኖ!$C$4&gt;0),1,0)</f>
        <v>1</v>
      </c>
      <c r="E65" s="38">
        <f>IF((ዕቁብ!F67/ቦኖ!$C$4&gt;0),1,0)</f>
        <v>1</v>
      </c>
      <c r="F65" s="38">
        <f>IF((ዕቁብ!G67/ቦኖ!$C$4&gt;0),1,0)</f>
        <v>1</v>
      </c>
      <c r="G65" s="38">
        <f>IF((ዕቁብ!H67/ቦኖ!$C$4&gt;0),1,0)</f>
        <v>1</v>
      </c>
      <c r="H65" s="38">
        <f>IF((ዕቁብ!I67/ቦኖ!$C$4&gt;0),1,0)</f>
        <v>1</v>
      </c>
      <c r="I65" s="38">
        <f>IF((ዕቁብ!J67/ቦኖ!$C$4&gt;0),1,0)</f>
        <v>1</v>
      </c>
      <c r="J65" s="38">
        <f>IF((ዕቁብ!K67/ቦኖ!$C$4&gt;0),1,0)</f>
        <v>1</v>
      </c>
      <c r="K65" s="38">
        <f>IF((ዕቁብ!L67/ቦኖ!$C$4&gt;0),1,0)</f>
        <v>1</v>
      </c>
      <c r="L65" s="38">
        <f>IF((ዕቁብ!M67/ቦኖ!$C$4&gt;0),1,0)</f>
        <v>1</v>
      </c>
      <c r="M65" s="38">
        <f>IF((ዕቁብ!N67/ቦኖ!$C$4&gt;0),1,0)</f>
        <v>1</v>
      </c>
      <c r="N65" s="38">
        <f>IF((ዕቁብ!O67/ቦኖ!$C$4&gt;0),1,0)</f>
        <v>1</v>
      </c>
      <c r="O65" s="38">
        <f>IF((ዕቁብ!P67/ቦኖ!$C$4&gt;0),1,0)</f>
        <v>1</v>
      </c>
      <c r="P65" s="38">
        <f>IF((ዕቁብ!Q67/ቦኖ!$C$4&gt;0),1,0)</f>
        <v>1</v>
      </c>
      <c r="Q65" s="38">
        <f>IF((ዕቁብ!R67/ቦኖ!$C$4&gt;0),1,0)</f>
        <v>1</v>
      </c>
      <c r="R65" s="38">
        <f>IF((ዕቁብ!S67/ቦኖ!$C$4&gt;0),1,0)</f>
        <v>1</v>
      </c>
      <c r="S65" s="38">
        <f>IF((ዕቁብ!T67/ቦኖ!$C$4&gt;0),1,0)</f>
        <v>1</v>
      </c>
      <c r="T65" s="38">
        <f>IF((ዕቁብ!U67/ቦኖ!$C$4&gt;0),1,0)</f>
        <v>1</v>
      </c>
      <c r="U65" s="38">
        <f>IF((ዕቁብ!V67/ቦኖ!$C$4&gt;0),1,0)</f>
        <v>1</v>
      </c>
      <c r="V65" s="38">
        <f>IF((ዕቁብ!W67/ቦኖ!$C$4&gt;0),1,0)</f>
        <v>1</v>
      </c>
      <c r="W65" s="38">
        <f>IF((ዕቁብ!X67/ቦኖ!$C$4&gt;0),1,0)</f>
        <v>0</v>
      </c>
      <c r="X65" s="38">
        <f>IF((ዕቁብ!Y67/ቦኖ!$C$4&gt;0),1,0)</f>
        <v>0</v>
      </c>
      <c r="Y65" s="38">
        <f>IF((ዕቁብ!Z67/ቦኖ!$C$4&gt;0),1,0)</f>
        <v>1</v>
      </c>
      <c r="Z65" s="38">
        <f>IF((ዕቁብ!AA67/ቦኖ!$C$4&gt;0),1,0)</f>
        <v>0</v>
      </c>
      <c r="AA65" s="38">
        <f>IF((ዕቁብ!AB67/ቦኖ!$C$4&gt;0),1,0)</f>
        <v>1</v>
      </c>
      <c r="AB65" s="38">
        <f>IF((ዕቁብ!AC67/ቦኖ!$C$4&gt;0),1,0)</f>
        <v>1</v>
      </c>
      <c r="AC65" s="38">
        <f>IF((ዕቁብ!AD67/ቦኖ!$C$4&gt;0),1,0)</f>
        <v>1</v>
      </c>
      <c r="AD65" s="38">
        <f>IF((ዕቁብ!AE67/ቦኖ!$C$4&gt;0),1,0)</f>
        <v>1</v>
      </c>
      <c r="AE65" s="38">
        <f>IF((ዕቁብ!AF67/ቦኖ!$C$4&gt;0),1,0)</f>
        <v>1</v>
      </c>
      <c r="AF65" s="38">
        <f>IF((ዕቁብ!AG67/ቦኖ!$C$4&gt;0),1,0)</f>
        <v>1</v>
      </c>
      <c r="AG65" s="38">
        <f>IF((ዕቁብ!AH67/ቦኖ!$C$4&gt;0),1,0)</f>
        <v>1</v>
      </c>
      <c r="AH65" s="38">
        <f>IF((ዕቁብ!AI67/ቦኖ!$C$4&gt;0),1,0)</f>
        <v>1</v>
      </c>
      <c r="AI65" s="38">
        <f>IF((ዕቁብ!AJ67/ቦኖ!$C$4&gt;0),1,0)</f>
        <v>1</v>
      </c>
      <c r="AJ65" s="38">
        <f>IF((ዕቁብ!AK67/ቦኖ!$C$4&gt;0),1,0)</f>
        <v>1</v>
      </c>
      <c r="AK65" s="38">
        <f>IF((ዕቁብ!AL67/ቦኖ!$C$4&gt;0),1,0)</f>
        <v>0</v>
      </c>
      <c r="AL65" s="38">
        <f>IF((ዕቁብ!AM67/ቦኖ!$C$4&gt;0),1,0)</f>
        <v>1</v>
      </c>
      <c r="AM65" s="38">
        <f>IF((ዕቁብ!AN67/ቦኖ!$C$4&gt;0),1,0)</f>
        <v>1</v>
      </c>
      <c r="AN65" s="38">
        <f>IF((ዕቁብ!AO67/ቦኖ!$C$4&gt;0),1,0)</f>
        <v>1</v>
      </c>
      <c r="AO65" s="38">
        <f>IF((ዕቁብ!AP67/ቦኖ!$C$4&gt;0),1,0)</f>
        <v>1</v>
      </c>
      <c r="AP65" s="38">
        <f>IF((ዕቁብ!AQ67/ቦኖ!$C$4&gt;0),1,0)</f>
        <v>1</v>
      </c>
      <c r="AQ65" s="38">
        <f>IF((ዕቁብ!AR67/ቦኖ!$C$4&gt;0),1,0)</f>
        <v>1</v>
      </c>
      <c r="AR65" s="38">
        <f>IF((ዕቁብ!AS67/ቦኖ!$C$4&gt;0),1,0)</f>
        <v>0</v>
      </c>
      <c r="AS65" s="38">
        <f>IF((ዕቁብ!AT67/ቦኖ!$C$4&gt;0),1,0)</f>
        <v>1</v>
      </c>
      <c r="AT65" s="38">
        <f>IF((ዕቁብ!AU67/ቦኖ!$C$4&gt;0),1,0)</f>
        <v>1</v>
      </c>
      <c r="AU65" s="38">
        <f>IF((ዕቁብ!AV67/ቦኖ!$C$4&gt;0),1,0)</f>
        <v>1</v>
      </c>
      <c r="AV65" s="38">
        <f>IF((ዕቁብ!AW67/ቦኖ!$C$4&gt;0),1,0)</f>
        <v>1</v>
      </c>
      <c r="AW65" s="38">
        <f>IF((ዕቁብ!AX67/ቦኖ!$C$4&gt;0),1,0)</f>
        <v>1</v>
      </c>
      <c r="AX65" s="38">
        <f>IF((ዕቁብ!AY67/ቦኖ!$C$4&gt;0),1,0)</f>
        <v>1</v>
      </c>
      <c r="AY65" s="38">
        <f>IF((ዕቁብ!AZ67/ቦኖ!$C$4&gt;0),1,0)</f>
        <v>1</v>
      </c>
      <c r="AZ65" s="38">
        <f>IF((ዕቁብ!BA67/ቦኖ!$C$4&gt;0),1,0)</f>
        <v>1</v>
      </c>
      <c r="BA65" s="38">
        <f>IF((ዕቁብ!BB67/ቦኖ!$C$4&gt;0),1,0)</f>
        <v>1</v>
      </c>
      <c r="BB65" s="38">
        <f>IF((ዕቁብ!BC67/ቦኖ!$C$4&gt;0),1,0)</f>
        <v>1</v>
      </c>
      <c r="BC65" s="38">
        <f>IF((ዕቁብ!BD67/ቦኖ!$C$4&gt;0),1,0)</f>
        <v>1</v>
      </c>
      <c r="BD65" s="38">
        <f>IF((ዕቁብ!BE67/ቦኖ!$C$4&gt;0),1,0)</f>
        <v>1</v>
      </c>
      <c r="BE65" s="38">
        <f>IF((ዕቁብ!BF67/ቦኖ!$C$4&gt;0),1,0)</f>
        <v>1</v>
      </c>
      <c r="BF65" s="38">
        <f>IF((ዕቁብ!BG67/ቦኖ!$C$4&gt;0),1,0)</f>
        <v>1</v>
      </c>
      <c r="BG65" s="38">
        <f>IF((ዕቁብ!BH67/ቦኖ!$C$4&gt;0),1,0)</f>
        <v>1</v>
      </c>
      <c r="BH65" s="38">
        <f>IF((ዕቁብ!BI67/ቦኖ!$C$4&gt;0),1,0)</f>
        <v>1</v>
      </c>
      <c r="BI65" s="38">
        <f>IF((ዕቁብ!BJ67/ቦኖ!$C$4&gt;0),1,0)</f>
        <v>1</v>
      </c>
      <c r="BJ65" s="38">
        <f>IF((ዕቁብ!BK67/ቦኖ!$C$4&gt;0),1,0)</f>
        <v>1</v>
      </c>
      <c r="BK65" s="38">
        <f>IF((ዕቁብ!BL67/ቦኖ!$C$4&gt;0),1,0)</f>
        <v>0</v>
      </c>
      <c r="BL65" s="38">
        <f>IF((ዕቁብ!BM67/ቦኖ!$C$4&gt;0),1,0)</f>
        <v>1</v>
      </c>
      <c r="BM65" s="38">
        <f>IF((ዕቁብ!BN67/ቦኖ!$C$4&gt;0),1,0)</f>
        <v>1</v>
      </c>
      <c r="BN65" s="38">
        <f>IF((ዕቁብ!BO67/ቦኖ!$C$4&gt;0),1,0)</f>
        <v>0</v>
      </c>
      <c r="BO65" s="38">
        <f>IF((ዕቁብ!BP67/ቦኖ!$C$4&gt;0),1,0)</f>
        <v>1</v>
      </c>
      <c r="BP65" s="38">
        <f>IF((ዕቁብ!BQ67/ቦኖ!$C$4&gt;0),1,0)</f>
        <v>1</v>
      </c>
      <c r="BQ65" s="38">
        <f>IF((ዕቁብ!BR67/ቦኖ!$C$4&gt;0),1,0)</f>
        <v>1</v>
      </c>
      <c r="BR65" s="38">
        <f>IF((ዕቁብ!BS67/ቦኖ!$C$4&gt;0),1,0)</f>
        <v>1</v>
      </c>
      <c r="BS65" s="38">
        <f>IF((ዕቁብ!BT67/ቦኖ!$C$4&gt;0),1,0)</f>
        <v>1</v>
      </c>
      <c r="BT65" s="38">
        <f>IF((ዕቁብ!BU67/ቦኖ!$C$4&gt;0),1,0)</f>
        <v>1</v>
      </c>
      <c r="BU65" s="38">
        <f>IF((ዕቁብ!BV67/ቦኖ!$C$4&gt;0),1,0)</f>
        <v>0</v>
      </c>
      <c r="BV65" s="38">
        <f>IF((ዕቁብ!BW67/ቦኖ!$C$4&gt;0),1,0)</f>
        <v>1</v>
      </c>
      <c r="BW65" s="38">
        <f>IF((ዕቁብ!BX67/ቦኖ!$C$4&gt;0),1,0)</f>
        <v>0</v>
      </c>
      <c r="BX65" s="38">
        <f>IF((ዕቁብ!BY67/ቦኖ!$C$4&gt;0),1,0)</f>
        <v>1</v>
      </c>
      <c r="BY65" s="38">
        <f>IF((ዕቁብ!BZ67/ቦኖ!$C$4&gt;0),1,0)</f>
        <v>1</v>
      </c>
      <c r="BZ65" s="38">
        <f>IF((ዕቁብ!CA67/ቦኖ!$C$4&gt;0),1,0)</f>
        <v>1</v>
      </c>
      <c r="CA65" s="38">
        <f>IF((ዕቁብ!CB67/ቦኖ!$C$4&gt;0),1,0)</f>
        <v>1</v>
      </c>
      <c r="CB65" s="38">
        <f>IF((ዕቁብ!CC67/ቦኖ!$C$4&gt;0),1,0)</f>
        <v>1</v>
      </c>
      <c r="CC65" s="38">
        <f>IF((ዕቁብ!CD67/ቦኖ!$C$4&gt;0),1,0)</f>
        <v>0</v>
      </c>
      <c r="CD65" s="38">
        <f>IF((ዕቁብ!CE67/ቦኖ!$C$4&gt;0),1,0)</f>
        <v>1</v>
      </c>
      <c r="CE65" s="38">
        <f>IF((ዕቁብ!CF67/ቦኖ!$C$4&gt;0),1,0)</f>
        <v>1</v>
      </c>
      <c r="CF65" s="38">
        <f>IF((ዕቁብ!CG67/ቦኖ!$C$4&gt;0),1,0)</f>
        <v>1</v>
      </c>
      <c r="CG65" s="38">
        <f>IF((ዕቁብ!CH67/ቦኖ!$C$4&gt;0),1,0)</f>
        <v>1</v>
      </c>
      <c r="CH65" s="38">
        <f>IF((ዕቁብ!CI67/ቦኖ!$C$4&gt;0),1,0)</f>
        <v>1</v>
      </c>
      <c r="CI65" s="38">
        <f>IF((ዕቁብ!CJ67/ቦኖ!$C$4&gt;0),1,0)</f>
        <v>1</v>
      </c>
      <c r="CJ65" s="38">
        <f>IF((ዕቁብ!CK67/ቦኖ!$C$4&gt;0),1,0)</f>
        <v>1</v>
      </c>
      <c r="CK65" s="38">
        <f>IF((ዕቁብ!CL67/ቦኖ!$C$4&gt;0),1,0)</f>
        <v>1</v>
      </c>
      <c r="CL65" s="38">
        <f>IF((ዕቁብ!CM67/ቦኖ!$C$4&gt;0),1,0)</f>
        <v>1</v>
      </c>
      <c r="CM65" s="38">
        <f>IF((ዕቁብ!CN67/ቦኖ!$C$4&gt;0),1,0)</f>
        <v>1</v>
      </c>
      <c r="CN65" s="38">
        <f>IF((ዕቁብ!CO67/ቦኖ!$C$4&gt;0),1,0)</f>
        <v>1</v>
      </c>
      <c r="CO65" s="38">
        <f>IF((ዕቁብ!CP67/ቦኖ!$C$4&gt;0),1,0)</f>
        <v>1</v>
      </c>
      <c r="CP65" s="38">
        <f>IF((ዕቁብ!CQ67/ቦኖ!$C$4&gt;0),1,0)</f>
        <v>1</v>
      </c>
      <c r="CQ65" s="38">
        <f>IF((ዕቁብ!CR67/ቦኖ!$C$4&gt;0),1,0)</f>
        <v>1</v>
      </c>
      <c r="CR65" s="38">
        <f>IF((ዕቁብ!CS67/ቦኖ!$C$4&gt;0),1,0)</f>
        <v>0</v>
      </c>
      <c r="CS65" s="38">
        <f>IF((ዕቁብ!CT67/ቦኖ!$C$4&gt;0),1,0)</f>
        <v>0</v>
      </c>
      <c r="CT65" s="38">
        <f>IF((ዕቁብ!CU67/ቦኖ!$C$4&gt;0),1,0)</f>
        <v>1</v>
      </c>
      <c r="CU65" s="38">
        <f>IF((ዕቁብ!CV67/ቦኖ!$C$4&gt;0),1,0)</f>
        <v>1</v>
      </c>
      <c r="CV65" s="38">
        <f>IF((ዕቁብ!CW67/ቦኖ!$C$4&gt;0),1,0)</f>
        <v>0</v>
      </c>
      <c r="CW65" s="38">
        <f>IF((ዕቁብ!CX67/ቦኖ!$C$4&gt;0),1,0)</f>
        <v>1</v>
      </c>
      <c r="CX65" s="38">
        <f>IF((ዕቁብ!CY67/ቦኖ!$C$4&gt;0),1,0)</f>
        <v>1</v>
      </c>
      <c r="CY65" s="38">
        <f>IF((ዕቁብ!CZ67/ቦኖ!$C$4&gt;0),1,0)</f>
        <v>1</v>
      </c>
      <c r="CZ65" s="38">
        <f>IF((ዕቁብ!DA67/ቦኖ!$C$4&gt;0),1,0)</f>
        <v>1</v>
      </c>
      <c r="DA65" s="38">
        <f>IF((ዕቁብ!DB67/ቦኖ!$C$4&gt;0),1,0)</f>
        <v>1</v>
      </c>
      <c r="DB65" s="38">
        <f>IF((ዕቁብ!DC67/ቦኖ!$C$4&gt;0),1,0)</f>
        <v>0</v>
      </c>
      <c r="DC65" s="38">
        <f>IF((ዕቁብ!DD67/ቦኖ!$C$4&gt;0),1,0)</f>
        <v>1</v>
      </c>
      <c r="DD65" s="38">
        <f>IF((ዕቁብ!DE67/ቦኖ!$C$4&gt;0),1,0)</f>
        <v>1</v>
      </c>
      <c r="DE65" s="38">
        <f>IF((ዕቁብ!DF67/ቦኖ!$C$4&gt;0),1,0)</f>
        <v>1</v>
      </c>
      <c r="DF65" s="38">
        <f>IF((ዕቁብ!DG67/ቦኖ!$C$4&gt;0),1,0)</f>
        <v>0</v>
      </c>
      <c r="DG65" s="38">
        <f>IF((ዕቁብ!DH67/ቦኖ!$C$4&gt;0),1,0)</f>
        <v>0</v>
      </c>
      <c r="DH65" s="38">
        <f>IF((ዕቁብ!DI67/ቦኖ!$C$4&gt;0),1,0)</f>
        <v>0</v>
      </c>
      <c r="DI65" s="38">
        <f>IF((ዕቁብ!DJ67/ቦኖ!$C$4&gt;0),1,0)</f>
        <v>0</v>
      </c>
      <c r="DJ65" s="38">
        <f>IF((ዕቁብ!DK67/ቦኖ!$C$4&gt;0),1,0)</f>
        <v>0</v>
      </c>
      <c r="DK65" s="38">
        <f>IF((ዕቁብ!DL67/ቦኖ!$C$4&gt;0),1,0)</f>
        <v>0</v>
      </c>
      <c r="DL65" s="38">
        <f>IF((ዕቁብ!DM67/ቦኖ!$C$4&gt;0),1,0)</f>
        <v>0</v>
      </c>
      <c r="DM65" s="38">
        <f>IF((ዕቁብ!DN67/ቦኖ!$C$4&gt;0),1,0)</f>
        <v>0</v>
      </c>
      <c r="DN65" s="38">
        <f>IF((ዕቁብ!DO67/ቦኖ!$C$4&gt;0),1,0)</f>
        <v>0</v>
      </c>
      <c r="DO65" s="38">
        <f>IF((ዕቁብ!DP67/ቦኖ!$C$4&gt;0),1,0)</f>
        <v>0</v>
      </c>
      <c r="DP65" s="38">
        <f>IF((ዕቁብ!DQ67/ቦኖ!$C$4&gt;0),1,0)</f>
        <v>0</v>
      </c>
      <c r="DQ65" s="38">
        <f>IF((ዕቁብ!DR67/ቦኖ!$C$4&gt;0),1,0)</f>
        <v>0</v>
      </c>
    </row>
    <row r="66" spans="1:121" ht="15.75" customHeight="1" x14ac:dyDescent="0.3">
      <c r="A66" s="33">
        <f>ዕቁብ!A68</f>
        <v>62</v>
      </c>
      <c r="B66" s="33" t="str">
        <f>ዕቁብ!B68</f>
        <v>ዳንኤል ጎሌ</v>
      </c>
      <c r="C66" s="37">
        <f>ዕቁብ!C68</f>
        <v>21000</v>
      </c>
      <c r="D66" s="38">
        <f>IF((ዕቁብ!E68/ቦኖ!$C$4&gt;0),1,0)</f>
        <v>1</v>
      </c>
      <c r="E66" s="38">
        <f>IF((ዕቁብ!F68/ቦኖ!$C$4&gt;0),1,0)</f>
        <v>1</v>
      </c>
      <c r="F66" s="38">
        <f>IF((ዕቁብ!G68/ቦኖ!$C$4&gt;0),1,0)</f>
        <v>1</v>
      </c>
      <c r="G66" s="38">
        <f>IF((ዕቁብ!H68/ቦኖ!$C$4&gt;0),1,0)</f>
        <v>1</v>
      </c>
      <c r="H66" s="38">
        <f>IF((ዕቁብ!I68/ቦኖ!$C$4&gt;0),1,0)</f>
        <v>1</v>
      </c>
      <c r="I66" s="38">
        <f>IF((ዕቁብ!J68/ቦኖ!$C$4&gt;0),1,0)</f>
        <v>1</v>
      </c>
      <c r="J66" s="38">
        <f>IF((ዕቁብ!K68/ቦኖ!$C$4&gt;0),1,0)</f>
        <v>1</v>
      </c>
      <c r="K66" s="38">
        <f>IF((ዕቁብ!L68/ቦኖ!$C$4&gt;0),1,0)</f>
        <v>1</v>
      </c>
      <c r="L66" s="38">
        <f>IF((ዕቁብ!M68/ቦኖ!$C$4&gt;0),1,0)</f>
        <v>1</v>
      </c>
      <c r="M66" s="38">
        <f>IF((ዕቁብ!N68/ቦኖ!$C$4&gt;0),1,0)</f>
        <v>1</v>
      </c>
      <c r="N66" s="38">
        <f>IF((ዕቁብ!O68/ቦኖ!$C$4&gt;0),1,0)</f>
        <v>1</v>
      </c>
      <c r="O66" s="38">
        <f>IF((ዕቁብ!P68/ቦኖ!$C$4&gt;0),1,0)</f>
        <v>1</v>
      </c>
      <c r="P66" s="38">
        <f>IF((ዕቁብ!Q68/ቦኖ!$C$4&gt;0),1,0)</f>
        <v>1</v>
      </c>
      <c r="Q66" s="38">
        <f>IF((ዕቁብ!R68/ቦኖ!$C$4&gt;0),1,0)</f>
        <v>1</v>
      </c>
      <c r="R66" s="38">
        <f>IF((ዕቁብ!S68/ቦኖ!$C$4&gt;0),1,0)</f>
        <v>1</v>
      </c>
      <c r="S66" s="38">
        <f>IF((ዕቁብ!T68/ቦኖ!$C$4&gt;0),1,0)</f>
        <v>1</v>
      </c>
      <c r="T66" s="38">
        <f>IF((ዕቁብ!U68/ቦኖ!$C$4&gt;0),1,0)</f>
        <v>1</v>
      </c>
      <c r="U66" s="38">
        <f>IF((ዕቁብ!V68/ቦኖ!$C$4&gt;0),1,0)</f>
        <v>1</v>
      </c>
      <c r="V66" s="38">
        <f>IF((ዕቁብ!W68/ቦኖ!$C$4&gt;0),1,0)</f>
        <v>1</v>
      </c>
      <c r="W66" s="38">
        <f>IF((ዕቁብ!X68/ቦኖ!$C$4&gt;0),1,0)</f>
        <v>1</v>
      </c>
      <c r="X66" s="38">
        <f>IF((ዕቁብ!Y68/ቦኖ!$C$4&gt;0),1,0)</f>
        <v>1</v>
      </c>
      <c r="Y66" s="38">
        <f>IF((ዕቁብ!Z68/ቦኖ!$C$4&gt;0),1,0)</f>
        <v>1</v>
      </c>
      <c r="Z66" s="38">
        <f>IF((ዕቁብ!AA68/ቦኖ!$C$4&gt;0),1,0)</f>
        <v>1</v>
      </c>
      <c r="AA66" s="38">
        <f>IF((ዕቁብ!AB68/ቦኖ!$C$4&gt;0),1,0)</f>
        <v>1</v>
      </c>
      <c r="AB66" s="38">
        <f>IF((ዕቁብ!AC68/ቦኖ!$C$4&gt;0),1,0)</f>
        <v>1</v>
      </c>
      <c r="AC66" s="38">
        <f>IF((ዕቁብ!AD68/ቦኖ!$C$4&gt;0),1,0)</f>
        <v>1</v>
      </c>
      <c r="AD66" s="38">
        <f>IF((ዕቁብ!AE68/ቦኖ!$C$4&gt;0),1,0)</f>
        <v>1</v>
      </c>
      <c r="AE66" s="38">
        <f>IF((ዕቁብ!AF68/ቦኖ!$C$4&gt;0),1,0)</f>
        <v>1</v>
      </c>
      <c r="AF66" s="38">
        <f>IF((ዕቁብ!AG68/ቦኖ!$C$4&gt;0),1,0)</f>
        <v>1</v>
      </c>
      <c r="AG66" s="38">
        <f>IF((ዕቁብ!AH68/ቦኖ!$C$4&gt;0),1,0)</f>
        <v>1</v>
      </c>
      <c r="AH66" s="38">
        <f>IF((ዕቁብ!AI68/ቦኖ!$C$4&gt;0),1,0)</f>
        <v>1</v>
      </c>
      <c r="AI66" s="38">
        <f>IF((ዕቁብ!AJ68/ቦኖ!$C$4&gt;0),1,0)</f>
        <v>1</v>
      </c>
      <c r="AJ66" s="38">
        <f>IF((ዕቁብ!AK68/ቦኖ!$C$4&gt;0),1,0)</f>
        <v>1</v>
      </c>
      <c r="AK66" s="38">
        <f>IF((ዕቁብ!AL68/ቦኖ!$C$4&gt;0),1,0)</f>
        <v>1</v>
      </c>
      <c r="AL66" s="38">
        <f>IF((ዕቁብ!AM68/ቦኖ!$C$4&gt;0),1,0)</f>
        <v>1</v>
      </c>
      <c r="AM66" s="38">
        <f>IF((ዕቁብ!AN68/ቦኖ!$C$4&gt;0),1,0)</f>
        <v>1</v>
      </c>
      <c r="AN66" s="38">
        <f>IF((ዕቁብ!AO68/ቦኖ!$C$4&gt;0),1,0)</f>
        <v>1</v>
      </c>
      <c r="AO66" s="38">
        <f>IF((ዕቁብ!AP68/ቦኖ!$C$4&gt;0),1,0)</f>
        <v>1</v>
      </c>
      <c r="AP66" s="38">
        <f>IF((ዕቁብ!AQ68/ቦኖ!$C$4&gt;0),1,0)</f>
        <v>1</v>
      </c>
      <c r="AQ66" s="38">
        <f>IF((ዕቁብ!AR68/ቦኖ!$C$4&gt;0),1,0)</f>
        <v>1</v>
      </c>
      <c r="AR66" s="38">
        <f>IF((ዕቁብ!AS68/ቦኖ!$C$4&gt;0),1,0)</f>
        <v>1</v>
      </c>
      <c r="AS66" s="38">
        <f>IF((ዕቁብ!AT68/ቦኖ!$C$4&gt;0),1,0)</f>
        <v>1</v>
      </c>
      <c r="AT66" s="38">
        <f>IF((ዕቁብ!AU68/ቦኖ!$C$4&gt;0),1,0)</f>
        <v>1</v>
      </c>
      <c r="AU66" s="38">
        <f>IF((ዕቁብ!AV68/ቦኖ!$C$4&gt;0),1,0)</f>
        <v>1</v>
      </c>
      <c r="AV66" s="38">
        <f>IF((ዕቁብ!AW68/ቦኖ!$C$4&gt;0),1,0)</f>
        <v>1</v>
      </c>
      <c r="AW66" s="38">
        <f>IF((ዕቁብ!AX68/ቦኖ!$C$4&gt;0),1,0)</f>
        <v>1</v>
      </c>
      <c r="AX66" s="38">
        <f>IF((ዕቁብ!AY68/ቦኖ!$C$4&gt;0),1,0)</f>
        <v>1</v>
      </c>
      <c r="AY66" s="38">
        <f>IF((ዕቁብ!AZ68/ቦኖ!$C$4&gt;0),1,0)</f>
        <v>1</v>
      </c>
      <c r="AZ66" s="38">
        <f>IF((ዕቁብ!BA68/ቦኖ!$C$4&gt;0),1,0)</f>
        <v>1</v>
      </c>
      <c r="BA66" s="38">
        <f>IF((ዕቁብ!BB68/ቦኖ!$C$4&gt;0),1,0)</f>
        <v>1</v>
      </c>
      <c r="BB66" s="38">
        <f>IF((ዕቁብ!BC68/ቦኖ!$C$4&gt;0),1,0)</f>
        <v>1</v>
      </c>
      <c r="BC66" s="38">
        <f>IF((ዕቁብ!BD68/ቦኖ!$C$4&gt;0),1,0)</f>
        <v>1</v>
      </c>
      <c r="BD66" s="38">
        <f>IF((ዕቁብ!BE68/ቦኖ!$C$4&gt;0),1,0)</f>
        <v>1</v>
      </c>
      <c r="BE66" s="38">
        <f>IF((ዕቁብ!BF68/ቦኖ!$C$4&gt;0),1,0)</f>
        <v>1</v>
      </c>
      <c r="BF66" s="38">
        <f>IF((ዕቁብ!BG68/ቦኖ!$C$4&gt;0),1,0)</f>
        <v>1</v>
      </c>
      <c r="BG66" s="38">
        <f>IF((ዕቁብ!BH68/ቦኖ!$C$4&gt;0),1,0)</f>
        <v>1</v>
      </c>
      <c r="BH66" s="38">
        <f>IF((ዕቁብ!BI68/ቦኖ!$C$4&gt;0),1,0)</f>
        <v>1</v>
      </c>
      <c r="BI66" s="38">
        <f>IF((ዕቁብ!BJ68/ቦኖ!$C$4&gt;0),1,0)</f>
        <v>1</v>
      </c>
      <c r="BJ66" s="38">
        <f>IF((ዕቁብ!BK68/ቦኖ!$C$4&gt;0),1,0)</f>
        <v>1</v>
      </c>
      <c r="BK66" s="38">
        <f>IF((ዕቁብ!BL68/ቦኖ!$C$4&gt;0),1,0)</f>
        <v>1</v>
      </c>
      <c r="BL66" s="38">
        <f>IF((ዕቁብ!BM68/ቦኖ!$C$4&gt;0),1,0)</f>
        <v>1</v>
      </c>
      <c r="BM66" s="38">
        <f>IF((ዕቁብ!BN68/ቦኖ!$C$4&gt;0),1,0)</f>
        <v>1</v>
      </c>
      <c r="BN66" s="38">
        <f>IF((ዕቁብ!BO68/ቦኖ!$C$4&gt;0),1,0)</f>
        <v>1</v>
      </c>
      <c r="BO66" s="38">
        <f>IF((ዕቁብ!BP68/ቦኖ!$C$4&gt;0),1,0)</f>
        <v>1</v>
      </c>
      <c r="BP66" s="38">
        <f>IF((ዕቁብ!BQ68/ቦኖ!$C$4&gt;0),1,0)</f>
        <v>1</v>
      </c>
      <c r="BQ66" s="38">
        <f>IF((ዕቁብ!BR68/ቦኖ!$C$4&gt;0),1,0)</f>
        <v>1</v>
      </c>
      <c r="BR66" s="38">
        <f>IF((ዕቁብ!BS68/ቦኖ!$C$4&gt;0),1,0)</f>
        <v>1</v>
      </c>
      <c r="BS66" s="38">
        <f>IF((ዕቁብ!BT68/ቦኖ!$C$4&gt;0),1,0)</f>
        <v>1</v>
      </c>
      <c r="BT66" s="38">
        <f>IF((ዕቁብ!BU68/ቦኖ!$C$4&gt;0),1,0)</f>
        <v>1</v>
      </c>
      <c r="BU66" s="38">
        <f>IF((ዕቁብ!BV68/ቦኖ!$C$4&gt;0),1,0)</f>
        <v>1</v>
      </c>
      <c r="BV66" s="38">
        <f>IF((ዕቁብ!BW68/ቦኖ!$C$4&gt;0),1,0)</f>
        <v>1</v>
      </c>
      <c r="BW66" s="38">
        <f>IF((ዕቁብ!BX68/ቦኖ!$C$4&gt;0),1,0)</f>
        <v>1</v>
      </c>
      <c r="BX66" s="38">
        <f>IF((ዕቁብ!BY68/ቦኖ!$C$4&gt;0),1,0)</f>
        <v>1</v>
      </c>
      <c r="BY66" s="38">
        <f>IF((ዕቁብ!BZ68/ቦኖ!$C$4&gt;0),1,0)</f>
        <v>1</v>
      </c>
      <c r="BZ66" s="38">
        <f>IF((ዕቁብ!CA68/ቦኖ!$C$4&gt;0),1,0)</f>
        <v>1</v>
      </c>
      <c r="CA66" s="38">
        <f>IF((ዕቁብ!CB68/ቦኖ!$C$4&gt;0),1,0)</f>
        <v>1</v>
      </c>
      <c r="CB66" s="38">
        <f>IF((ዕቁብ!CC68/ቦኖ!$C$4&gt;0),1,0)</f>
        <v>1</v>
      </c>
      <c r="CC66" s="38">
        <f>IF((ዕቁብ!CD68/ቦኖ!$C$4&gt;0),1,0)</f>
        <v>1</v>
      </c>
      <c r="CD66" s="38">
        <f>IF((ዕቁብ!CE68/ቦኖ!$C$4&gt;0),1,0)</f>
        <v>1</v>
      </c>
      <c r="CE66" s="38">
        <f>IF((ዕቁብ!CF68/ቦኖ!$C$4&gt;0),1,0)</f>
        <v>1</v>
      </c>
      <c r="CF66" s="38">
        <f>IF((ዕቁብ!CG68/ቦኖ!$C$4&gt;0),1,0)</f>
        <v>1</v>
      </c>
      <c r="CG66" s="38">
        <f>IF((ዕቁብ!CH68/ቦኖ!$C$4&gt;0),1,0)</f>
        <v>0</v>
      </c>
      <c r="CH66" s="38">
        <f>IF((ዕቁብ!CI68/ቦኖ!$C$4&gt;0),1,0)</f>
        <v>1</v>
      </c>
      <c r="CI66" s="38">
        <f>IF((ዕቁብ!CJ68/ቦኖ!$C$4&gt;0),1,0)</f>
        <v>1</v>
      </c>
      <c r="CJ66" s="38">
        <f>IF((ዕቁብ!CK68/ቦኖ!$C$4&gt;0),1,0)</f>
        <v>1</v>
      </c>
      <c r="CK66" s="38">
        <f>IF((ዕቁብ!CL68/ቦኖ!$C$4&gt;0),1,0)</f>
        <v>1</v>
      </c>
      <c r="CL66" s="38">
        <f>IF((ዕቁብ!CM68/ቦኖ!$C$4&gt;0),1,0)</f>
        <v>1</v>
      </c>
      <c r="CM66" s="38">
        <f>IF((ዕቁብ!CN68/ቦኖ!$C$4&gt;0),1,0)</f>
        <v>1</v>
      </c>
      <c r="CN66" s="38">
        <f>IF((ዕቁብ!CO68/ቦኖ!$C$4&gt;0),1,0)</f>
        <v>1</v>
      </c>
      <c r="CO66" s="38">
        <f>IF((ዕቁብ!CP68/ቦኖ!$C$4&gt;0),1,0)</f>
        <v>1</v>
      </c>
      <c r="CP66" s="38">
        <f>IF((ዕቁብ!CQ68/ቦኖ!$C$4&gt;0),1,0)</f>
        <v>1</v>
      </c>
      <c r="CQ66" s="38">
        <f>IF((ዕቁብ!CR68/ቦኖ!$C$4&gt;0),1,0)</f>
        <v>1</v>
      </c>
      <c r="CR66" s="38">
        <f>IF((ዕቁብ!CS68/ቦኖ!$C$4&gt;0),1,0)</f>
        <v>1</v>
      </c>
      <c r="CS66" s="38">
        <f>IF((ዕቁብ!CT68/ቦኖ!$C$4&gt;0),1,0)</f>
        <v>1</v>
      </c>
      <c r="CT66" s="38">
        <f>IF((ዕቁብ!CU68/ቦኖ!$C$4&gt;0),1,0)</f>
        <v>1</v>
      </c>
      <c r="CU66" s="38">
        <f>IF((ዕቁብ!CV68/ቦኖ!$C$4&gt;0),1,0)</f>
        <v>1</v>
      </c>
      <c r="CV66" s="38">
        <f>IF((ዕቁብ!CW68/ቦኖ!$C$4&gt;0),1,0)</f>
        <v>1</v>
      </c>
      <c r="CW66" s="38">
        <f>IF((ዕቁብ!CX68/ቦኖ!$C$4&gt;0),1,0)</f>
        <v>1</v>
      </c>
      <c r="CX66" s="38">
        <f>IF((ዕቁብ!CY68/ቦኖ!$C$4&gt;0),1,0)</f>
        <v>1</v>
      </c>
      <c r="CY66" s="38">
        <f>IF((ዕቁብ!CZ68/ቦኖ!$C$4&gt;0),1,0)</f>
        <v>1</v>
      </c>
      <c r="CZ66" s="38">
        <f>IF((ዕቁብ!DA68/ቦኖ!$C$4&gt;0),1,0)</f>
        <v>1</v>
      </c>
      <c r="DA66" s="38">
        <f>IF((ዕቁብ!DB68/ቦኖ!$C$4&gt;0),1,0)</f>
        <v>1</v>
      </c>
      <c r="DB66" s="38">
        <f>IF((ዕቁብ!DC68/ቦኖ!$C$4&gt;0),1,0)</f>
        <v>1</v>
      </c>
      <c r="DC66" s="38">
        <f>IF((ዕቁብ!DD68/ቦኖ!$C$4&gt;0),1,0)</f>
        <v>1</v>
      </c>
      <c r="DD66" s="38">
        <f>IF((ዕቁብ!DE68/ቦኖ!$C$4&gt;0),1,0)</f>
        <v>1</v>
      </c>
      <c r="DE66" s="38">
        <f>IF((ዕቁብ!DF68/ቦኖ!$C$4&gt;0),1,0)</f>
        <v>1</v>
      </c>
      <c r="DF66" s="38">
        <f>IF((ዕቁብ!DG68/ቦኖ!$C$4&gt;0),1,0)</f>
        <v>1</v>
      </c>
      <c r="DG66" s="38">
        <f>IF((ዕቁብ!DH68/ቦኖ!$C$4&gt;0),1,0)</f>
        <v>1</v>
      </c>
      <c r="DH66" s="38">
        <f>IF((ዕቁብ!DI68/ቦኖ!$C$4&gt;0),1,0)</f>
        <v>0</v>
      </c>
      <c r="DI66" s="38">
        <f>IF((ዕቁብ!DJ68/ቦኖ!$C$4&gt;0),1,0)</f>
        <v>0</v>
      </c>
      <c r="DJ66" s="38">
        <f>IF((ዕቁብ!DK68/ቦኖ!$C$4&gt;0),1,0)</f>
        <v>0</v>
      </c>
      <c r="DK66" s="38">
        <f>IF((ዕቁብ!DL68/ቦኖ!$C$4&gt;0),1,0)</f>
        <v>0</v>
      </c>
      <c r="DL66" s="38">
        <f>IF((ዕቁብ!DM68/ቦኖ!$C$4&gt;0),1,0)</f>
        <v>0</v>
      </c>
      <c r="DM66" s="38">
        <f>IF((ዕቁብ!DN68/ቦኖ!$C$4&gt;0),1,0)</f>
        <v>0</v>
      </c>
      <c r="DN66" s="38">
        <f>IF((ዕቁብ!DO68/ቦኖ!$C$4&gt;0),1,0)</f>
        <v>0</v>
      </c>
      <c r="DO66" s="38">
        <f>IF((ዕቁብ!DP68/ቦኖ!$C$4&gt;0),1,0)</f>
        <v>0</v>
      </c>
      <c r="DP66" s="38">
        <f>IF((ዕቁብ!DQ68/ቦኖ!$C$4&gt;0),1,0)</f>
        <v>0</v>
      </c>
      <c r="DQ66" s="38">
        <f>IF((ዕቁብ!DR68/ቦኖ!$C$4&gt;0),1,0)</f>
        <v>0</v>
      </c>
    </row>
    <row r="67" spans="1:121" ht="15.75" customHeight="1" x14ac:dyDescent="0.3">
      <c r="A67" s="33">
        <f>ዕቁብ!A69</f>
        <v>63</v>
      </c>
      <c r="B67" s="33" t="str">
        <f>ዕቁብ!B69</f>
        <v>ፍቅሩ ሰጋሮ</v>
      </c>
      <c r="C67" s="37">
        <f>ዕቁብ!C69</f>
        <v>21000</v>
      </c>
      <c r="D67" s="38">
        <f>IF((ዕቁብ!E69/ቦኖ!$C$4&gt;0),1,0)</f>
        <v>1</v>
      </c>
      <c r="E67" s="38">
        <f>IF((ዕቁብ!F69/ቦኖ!$C$4&gt;0),1,0)</f>
        <v>1</v>
      </c>
      <c r="F67" s="38">
        <f>IF((ዕቁብ!G69/ቦኖ!$C$4&gt;0),1,0)</f>
        <v>1</v>
      </c>
      <c r="G67" s="38">
        <f>IF((ዕቁብ!H69/ቦኖ!$C$4&gt;0),1,0)</f>
        <v>1</v>
      </c>
      <c r="H67" s="38">
        <f>IF((ዕቁብ!I69/ቦኖ!$C$4&gt;0),1,0)</f>
        <v>1</v>
      </c>
      <c r="I67" s="38">
        <f>IF((ዕቁብ!J69/ቦኖ!$C$4&gt;0),1,0)</f>
        <v>1</v>
      </c>
      <c r="J67" s="38">
        <f>IF((ዕቁብ!K69/ቦኖ!$C$4&gt;0),1,0)</f>
        <v>1</v>
      </c>
      <c r="K67" s="38">
        <f>IF((ዕቁብ!L69/ቦኖ!$C$4&gt;0),1,0)</f>
        <v>1</v>
      </c>
      <c r="L67" s="38">
        <f>IF((ዕቁብ!M69/ቦኖ!$C$4&gt;0),1,0)</f>
        <v>1</v>
      </c>
      <c r="M67" s="38">
        <f>IF((ዕቁብ!N69/ቦኖ!$C$4&gt;0),1,0)</f>
        <v>1</v>
      </c>
      <c r="N67" s="38">
        <f>IF((ዕቁብ!O69/ቦኖ!$C$4&gt;0),1,0)</f>
        <v>1</v>
      </c>
      <c r="O67" s="38">
        <f>IF((ዕቁብ!P69/ቦኖ!$C$4&gt;0),1,0)</f>
        <v>1</v>
      </c>
      <c r="P67" s="38">
        <f>IF((ዕቁብ!Q69/ቦኖ!$C$4&gt;0),1,0)</f>
        <v>1</v>
      </c>
      <c r="Q67" s="38">
        <f>IF((ዕቁብ!R69/ቦኖ!$C$4&gt;0),1,0)</f>
        <v>1</v>
      </c>
      <c r="R67" s="38">
        <f>IF((ዕቁብ!S69/ቦኖ!$C$4&gt;0),1,0)</f>
        <v>1</v>
      </c>
      <c r="S67" s="38">
        <f>IF((ዕቁብ!T69/ቦኖ!$C$4&gt;0),1,0)</f>
        <v>1</v>
      </c>
      <c r="T67" s="38">
        <f>IF((ዕቁብ!U69/ቦኖ!$C$4&gt;0),1,0)</f>
        <v>1</v>
      </c>
      <c r="U67" s="38">
        <f>IF((ዕቁብ!V69/ቦኖ!$C$4&gt;0),1,0)</f>
        <v>1</v>
      </c>
      <c r="V67" s="38">
        <f>IF((ዕቁብ!W69/ቦኖ!$C$4&gt;0),1,0)</f>
        <v>1</v>
      </c>
      <c r="W67" s="38">
        <f>IF((ዕቁብ!X69/ቦኖ!$C$4&gt;0),1,0)</f>
        <v>1</v>
      </c>
      <c r="X67" s="38">
        <f>IF((ዕቁብ!Y69/ቦኖ!$C$4&gt;0),1,0)</f>
        <v>1</v>
      </c>
      <c r="Y67" s="38">
        <f>IF((ዕቁብ!Z69/ቦኖ!$C$4&gt;0),1,0)</f>
        <v>1</v>
      </c>
      <c r="Z67" s="38">
        <f>IF((ዕቁብ!AA69/ቦኖ!$C$4&gt;0),1,0)</f>
        <v>1</v>
      </c>
      <c r="AA67" s="38">
        <f>IF((ዕቁብ!AB69/ቦኖ!$C$4&gt;0),1,0)</f>
        <v>0</v>
      </c>
      <c r="AB67" s="38">
        <f>IF((ዕቁብ!AC69/ቦኖ!$C$4&gt;0),1,0)</f>
        <v>1</v>
      </c>
      <c r="AC67" s="38">
        <f>IF((ዕቁብ!AD69/ቦኖ!$C$4&gt;0),1,0)</f>
        <v>1</v>
      </c>
      <c r="AD67" s="38">
        <f>IF((ዕቁብ!AE69/ቦኖ!$C$4&gt;0),1,0)</f>
        <v>1</v>
      </c>
      <c r="AE67" s="38">
        <f>IF((ዕቁብ!AF69/ቦኖ!$C$4&gt;0),1,0)</f>
        <v>1</v>
      </c>
      <c r="AF67" s="38">
        <f>IF((ዕቁብ!AG69/ቦኖ!$C$4&gt;0),1,0)</f>
        <v>1</v>
      </c>
      <c r="AG67" s="38">
        <f>IF((ዕቁብ!AH69/ቦኖ!$C$4&gt;0),1,0)</f>
        <v>1</v>
      </c>
      <c r="AH67" s="38">
        <f>IF((ዕቁብ!AI69/ቦኖ!$C$4&gt;0),1,0)</f>
        <v>1</v>
      </c>
      <c r="AI67" s="38">
        <f>IF((ዕቁብ!AJ69/ቦኖ!$C$4&gt;0),1,0)</f>
        <v>1</v>
      </c>
      <c r="AJ67" s="38">
        <f>IF((ዕቁብ!AK69/ቦኖ!$C$4&gt;0),1,0)</f>
        <v>1</v>
      </c>
      <c r="AK67" s="38">
        <f>IF((ዕቁብ!AL69/ቦኖ!$C$4&gt;0),1,0)</f>
        <v>1</v>
      </c>
      <c r="AL67" s="38">
        <f>IF((ዕቁብ!AM69/ቦኖ!$C$4&gt;0),1,0)</f>
        <v>1</v>
      </c>
      <c r="AM67" s="38">
        <f>IF((ዕቁብ!AN69/ቦኖ!$C$4&gt;0),1,0)</f>
        <v>1</v>
      </c>
      <c r="AN67" s="38">
        <f>IF((ዕቁብ!AO69/ቦኖ!$C$4&gt;0),1,0)</f>
        <v>1</v>
      </c>
      <c r="AO67" s="38">
        <f>IF((ዕቁብ!AP69/ቦኖ!$C$4&gt;0),1,0)</f>
        <v>1</v>
      </c>
      <c r="AP67" s="38">
        <f>IF((ዕቁብ!AQ69/ቦኖ!$C$4&gt;0),1,0)</f>
        <v>1</v>
      </c>
      <c r="AQ67" s="38">
        <f>IF((ዕቁብ!AR69/ቦኖ!$C$4&gt;0),1,0)</f>
        <v>1</v>
      </c>
      <c r="AR67" s="38">
        <f>IF((ዕቁብ!AS69/ቦኖ!$C$4&gt;0),1,0)</f>
        <v>1</v>
      </c>
      <c r="AS67" s="38">
        <f>IF((ዕቁብ!AT69/ቦኖ!$C$4&gt;0),1,0)</f>
        <v>1</v>
      </c>
      <c r="AT67" s="38">
        <f>IF((ዕቁብ!AU69/ቦኖ!$C$4&gt;0),1,0)</f>
        <v>1</v>
      </c>
      <c r="AU67" s="38">
        <f>IF((ዕቁብ!AV69/ቦኖ!$C$4&gt;0),1,0)</f>
        <v>1</v>
      </c>
      <c r="AV67" s="38">
        <f>IF((ዕቁብ!AW69/ቦኖ!$C$4&gt;0),1,0)</f>
        <v>1</v>
      </c>
      <c r="AW67" s="38">
        <f>IF((ዕቁብ!AX69/ቦኖ!$C$4&gt;0),1,0)</f>
        <v>1</v>
      </c>
      <c r="AX67" s="38">
        <f>IF((ዕቁብ!AY69/ቦኖ!$C$4&gt;0),1,0)</f>
        <v>1</v>
      </c>
      <c r="AY67" s="38">
        <f>IF((ዕቁብ!AZ69/ቦኖ!$C$4&gt;0),1,0)</f>
        <v>1</v>
      </c>
      <c r="AZ67" s="38">
        <f>IF((ዕቁብ!BA69/ቦኖ!$C$4&gt;0),1,0)</f>
        <v>1</v>
      </c>
      <c r="BA67" s="38">
        <f>IF((ዕቁብ!BB69/ቦኖ!$C$4&gt;0),1,0)</f>
        <v>1</v>
      </c>
      <c r="BB67" s="38">
        <f>IF((ዕቁብ!BC69/ቦኖ!$C$4&gt;0),1,0)</f>
        <v>1</v>
      </c>
      <c r="BC67" s="38">
        <f>IF((ዕቁብ!BD69/ቦኖ!$C$4&gt;0),1,0)</f>
        <v>1</v>
      </c>
      <c r="BD67" s="38">
        <f>IF((ዕቁብ!BE69/ቦኖ!$C$4&gt;0),1,0)</f>
        <v>1</v>
      </c>
      <c r="BE67" s="38">
        <f>IF((ዕቁብ!BF69/ቦኖ!$C$4&gt;0),1,0)</f>
        <v>1</v>
      </c>
      <c r="BF67" s="38">
        <f>IF((ዕቁብ!BG69/ቦኖ!$C$4&gt;0),1,0)</f>
        <v>1</v>
      </c>
      <c r="BG67" s="38">
        <f>IF((ዕቁብ!BH69/ቦኖ!$C$4&gt;0),1,0)</f>
        <v>1</v>
      </c>
      <c r="BH67" s="38">
        <f>IF((ዕቁብ!BI69/ቦኖ!$C$4&gt;0),1,0)</f>
        <v>1</v>
      </c>
      <c r="BI67" s="38">
        <f>IF((ዕቁብ!BJ69/ቦኖ!$C$4&gt;0),1,0)</f>
        <v>1</v>
      </c>
      <c r="BJ67" s="38">
        <f>IF((ዕቁብ!BK69/ቦኖ!$C$4&gt;0),1,0)</f>
        <v>1</v>
      </c>
      <c r="BK67" s="38">
        <f>IF((ዕቁብ!BL69/ቦኖ!$C$4&gt;0),1,0)</f>
        <v>1</v>
      </c>
      <c r="BL67" s="38">
        <f>IF((ዕቁብ!BM69/ቦኖ!$C$4&gt;0),1,0)</f>
        <v>0</v>
      </c>
      <c r="BM67" s="38">
        <f>IF((ዕቁብ!BN69/ቦኖ!$C$4&gt;0),1,0)</f>
        <v>0</v>
      </c>
      <c r="BN67" s="38">
        <f>IF((ዕቁብ!BO69/ቦኖ!$C$4&gt;0),1,0)</f>
        <v>1</v>
      </c>
      <c r="BO67" s="38">
        <f>IF((ዕቁብ!BP69/ቦኖ!$C$4&gt;0),1,0)</f>
        <v>0</v>
      </c>
      <c r="BP67" s="38">
        <f>IF((ዕቁብ!BQ69/ቦኖ!$C$4&gt;0),1,0)</f>
        <v>1</v>
      </c>
      <c r="BQ67" s="38">
        <f>IF((ዕቁብ!BR69/ቦኖ!$C$4&gt;0),1,0)</f>
        <v>1</v>
      </c>
      <c r="BR67" s="38">
        <f>IF((ዕቁብ!BS69/ቦኖ!$C$4&gt;0),1,0)</f>
        <v>1</v>
      </c>
      <c r="BS67" s="38">
        <f>IF((ዕቁብ!BT69/ቦኖ!$C$4&gt;0),1,0)</f>
        <v>0</v>
      </c>
      <c r="BT67" s="38">
        <f>IF((ዕቁብ!BU69/ቦኖ!$C$4&gt;0),1,0)</f>
        <v>1</v>
      </c>
      <c r="BU67" s="38">
        <f>IF((ዕቁብ!BV69/ቦኖ!$C$4&gt;0),1,0)</f>
        <v>0</v>
      </c>
      <c r="BV67" s="38">
        <f>IF((ዕቁብ!BW69/ቦኖ!$C$4&gt;0),1,0)</f>
        <v>1</v>
      </c>
      <c r="BW67" s="38">
        <f>IF((ዕቁብ!BX69/ቦኖ!$C$4&gt;0),1,0)</f>
        <v>1</v>
      </c>
      <c r="BX67" s="38">
        <f>IF((ዕቁብ!BY69/ቦኖ!$C$4&gt;0),1,0)</f>
        <v>1</v>
      </c>
      <c r="BY67" s="38">
        <f>IF((ዕቁብ!BZ69/ቦኖ!$C$4&gt;0),1,0)</f>
        <v>1</v>
      </c>
      <c r="BZ67" s="38">
        <f>IF((ዕቁብ!CA69/ቦኖ!$C$4&gt;0),1,0)</f>
        <v>1</v>
      </c>
      <c r="CA67" s="38">
        <f>IF((ዕቁብ!CB69/ቦኖ!$C$4&gt;0),1,0)</f>
        <v>1</v>
      </c>
      <c r="CB67" s="38">
        <f>IF((ዕቁብ!CC69/ቦኖ!$C$4&gt;0),1,0)</f>
        <v>1</v>
      </c>
      <c r="CC67" s="38">
        <f>IF((ዕቁብ!CD69/ቦኖ!$C$4&gt;0),1,0)</f>
        <v>1</v>
      </c>
      <c r="CD67" s="38">
        <f>IF((ዕቁብ!CE69/ቦኖ!$C$4&gt;0),1,0)</f>
        <v>0</v>
      </c>
      <c r="CE67" s="38">
        <f>IF((ዕቁብ!CF69/ቦኖ!$C$4&gt;0),1,0)</f>
        <v>1</v>
      </c>
      <c r="CF67" s="38">
        <f>IF((ዕቁብ!CG69/ቦኖ!$C$4&gt;0),1,0)</f>
        <v>1</v>
      </c>
      <c r="CG67" s="38">
        <f>IF((ዕቁብ!CH69/ቦኖ!$C$4&gt;0),1,0)</f>
        <v>1</v>
      </c>
      <c r="CH67" s="38">
        <f>IF((ዕቁብ!CI69/ቦኖ!$C$4&gt;0),1,0)</f>
        <v>0</v>
      </c>
      <c r="CI67" s="38">
        <f>IF((ዕቁብ!CJ69/ቦኖ!$C$4&gt;0),1,0)</f>
        <v>1</v>
      </c>
      <c r="CJ67" s="38">
        <f>IF((ዕቁብ!CK69/ቦኖ!$C$4&gt;0),1,0)</f>
        <v>0</v>
      </c>
      <c r="CK67" s="38">
        <f>IF((ዕቁብ!CL69/ቦኖ!$C$4&gt;0),1,0)</f>
        <v>1</v>
      </c>
      <c r="CL67" s="38">
        <f>IF((ዕቁብ!CM69/ቦኖ!$C$4&gt;0),1,0)</f>
        <v>0</v>
      </c>
      <c r="CM67" s="38">
        <f>IF((ዕቁብ!CN69/ቦኖ!$C$4&gt;0),1,0)</f>
        <v>1</v>
      </c>
      <c r="CN67" s="38">
        <f>IF((ዕቁብ!CO69/ቦኖ!$C$4&gt;0),1,0)</f>
        <v>0</v>
      </c>
      <c r="CO67" s="38">
        <f>IF((ዕቁብ!CP69/ቦኖ!$C$4&gt;0),1,0)</f>
        <v>1</v>
      </c>
      <c r="CP67" s="38">
        <f>IF((ዕቁብ!CQ69/ቦኖ!$C$4&gt;0),1,0)</f>
        <v>0</v>
      </c>
      <c r="CQ67" s="38">
        <f>IF((ዕቁብ!CR69/ቦኖ!$C$4&gt;0),1,0)</f>
        <v>1</v>
      </c>
      <c r="CR67" s="38">
        <f>IF((ዕቁብ!CS69/ቦኖ!$C$4&gt;0),1,0)</f>
        <v>0</v>
      </c>
      <c r="CS67" s="38">
        <f>IF((ዕቁብ!CT69/ቦኖ!$C$4&gt;0),1,0)</f>
        <v>1</v>
      </c>
      <c r="CT67" s="38">
        <f>IF((ዕቁብ!CU69/ቦኖ!$C$4&gt;0),1,0)</f>
        <v>0</v>
      </c>
      <c r="CU67" s="38">
        <f>IF((ዕቁብ!CV69/ቦኖ!$C$4&gt;0),1,0)</f>
        <v>1</v>
      </c>
      <c r="CV67" s="38">
        <f>IF((ዕቁብ!CW69/ቦኖ!$C$4&gt;0),1,0)</f>
        <v>1</v>
      </c>
      <c r="CW67" s="38">
        <f>IF((ዕቁብ!CX69/ቦኖ!$C$4&gt;0),1,0)</f>
        <v>0</v>
      </c>
      <c r="CX67" s="38">
        <f>IF((ዕቁብ!CY69/ቦኖ!$C$4&gt;0),1,0)</f>
        <v>1</v>
      </c>
      <c r="CY67" s="38">
        <f>IF((ዕቁብ!CZ69/ቦኖ!$C$4&gt;0),1,0)</f>
        <v>0</v>
      </c>
      <c r="CZ67" s="38">
        <f>IF((ዕቁብ!DA69/ቦኖ!$C$4&gt;0),1,0)</f>
        <v>1</v>
      </c>
      <c r="DA67" s="38">
        <f>IF((ዕቁብ!DB69/ቦኖ!$C$4&gt;0),1,0)</f>
        <v>0</v>
      </c>
      <c r="DB67" s="38">
        <f>IF((ዕቁብ!DC69/ቦኖ!$C$4&gt;0),1,0)</f>
        <v>1</v>
      </c>
      <c r="DC67" s="38">
        <f>IF((ዕቁብ!DD69/ቦኖ!$C$4&gt;0),1,0)</f>
        <v>1</v>
      </c>
      <c r="DD67" s="38">
        <f>IF((ዕቁብ!DE69/ቦኖ!$C$4&gt;0),1,0)</f>
        <v>0</v>
      </c>
      <c r="DE67" s="38">
        <f>IF((ዕቁብ!DF69/ቦኖ!$C$4&gt;0),1,0)</f>
        <v>1</v>
      </c>
      <c r="DF67" s="38">
        <f>IF((ዕቁብ!DG69/ቦኖ!$C$4&gt;0),1,0)</f>
        <v>0</v>
      </c>
      <c r="DG67" s="38">
        <f>IF((ዕቁብ!DH69/ቦኖ!$C$4&gt;0),1,0)</f>
        <v>1</v>
      </c>
      <c r="DH67" s="38">
        <f>IF((ዕቁብ!DI69/ቦኖ!$C$4&gt;0),1,0)</f>
        <v>0</v>
      </c>
      <c r="DI67" s="38">
        <f>IF((ዕቁብ!DJ69/ቦኖ!$C$4&gt;0),1,0)</f>
        <v>0</v>
      </c>
      <c r="DJ67" s="38">
        <f>IF((ዕቁብ!DK69/ቦኖ!$C$4&gt;0),1,0)</f>
        <v>0</v>
      </c>
      <c r="DK67" s="38">
        <f>IF((ዕቁብ!DL69/ቦኖ!$C$4&gt;0),1,0)</f>
        <v>0</v>
      </c>
      <c r="DL67" s="38">
        <f>IF((ዕቁብ!DM69/ቦኖ!$C$4&gt;0),1,0)</f>
        <v>0</v>
      </c>
      <c r="DM67" s="38">
        <f>IF((ዕቁብ!DN69/ቦኖ!$C$4&gt;0),1,0)</f>
        <v>0</v>
      </c>
      <c r="DN67" s="38">
        <f>IF((ዕቁብ!DO69/ቦኖ!$C$4&gt;0),1,0)</f>
        <v>0</v>
      </c>
      <c r="DO67" s="38">
        <f>IF((ዕቁብ!DP69/ቦኖ!$C$4&gt;0),1,0)</f>
        <v>0</v>
      </c>
      <c r="DP67" s="38">
        <f>IF((ዕቁብ!DQ69/ቦኖ!$C$4&gt;0),1,0)</f>
        <v>0</v>
      </c>
      <c r="DQ67" s="38">
        <f>IF((ዕቁብ!DR69/ቦኖ!$C$4&gt;0),1,0)</f>
        <v>0</v>
      </c>
    </row>
    <row r="68" spans="1:121" ht="15.75" customHeight="1" x14ac:dyDescent="0.3">
      <c r="A68" s="33">
        <f>ዕቁብ!A70</f>
        <v>64</v>
      </c>
      <c r="B68" s="33" t="str">
        <f>ዕቁብ!B70</f>
        <v xml:space="preserve">ቴዎድሮስ ጌታቸው </v>
      </c>
      <c r="C68" s="37">
        <f>ዕቁብ!C70</f>
        <v>21000</v>
      </c>
      <c r="D68" s="38">
        <f>IF((ዕቁብ!E70/ቦኖ!$C$4&gt;0),1,0)</f>
        <v>1</v>
      </c>
      <c r="E68" s="38">
        <f>IF((ዕቁብ!F70/ቦኖ!$C$4&gt;0),1,0)</f>
        <v>1</v>
      </c>
      <c r="F68" s="38">
        <f>IF((ዕቁብ!G70/ቦኖ!$C$4&gt;0),1,0)</f>
        <v>1</v>
      </c>
      <c r="G68" s="38">
        <f>IF((ዕቁብ!H70/ቦኖ!$C$4&gt;0),1,0)</f>
        <v>1</v>
      </c>
      <c r="H68" s="38">
        <f>IF((ዕቁብ!I70/ቦኖ!$C$4&gt;0),1,0)</f>
        <v>1</v>
      </c>
      <c r="I68" s="38">
        <f>IF((ዕቁብ!J70/ቦኖ!$C$4&gt;0),1,0)</f>
        <v>1</v>
      </c>
      <c r="J68" s="38">
        <f>IF((ዕቁብ!K70/ቦኖ!$C$4&gt;0),1,0)</f>
        <v>1</v>
      </c>
      <c r="K68" s="38">
        <f>IF((ዕቁብ!L70/ቦኖ!$C$4&gt;0),1,0)</f>
        <v>1</v>
      </c>
      <c r="L68" s="38">
        <f>IF((ዕቁብ!M70/ቦኖ!$C$4&gt;0),1,0)</f>
        <v>1</v>
      </c>
      <c r="M68" s="38">
        <f>IF((ዕቁብ!N70/ቦኖ!$C$4&gt;0),1,0)</f>
        <v>1</v>
      </c>
      <c r="N68" s="38">
        <f>IF((ዕቁብ!O70/ቦኖ!$C$4&gt;0),1,0)</f>
        <v>1</v>
      </c>
      <c r="O68" s="38">
        <f>IF((ዕቁብ!P70/ቦኖ!$C$4&gt;0),1,0)</f>
        <v>1</v>
      </c>
      <c r="P68" s="38">
        <f>IF((ዕቁብ!Q70/ቦኖ!$C$4&gt;0),1,0)</f>
        <v>1</v>
      </c>
      <c r="Q68" s="38">
        <f>IF((ዕቁብ!R70/ቦኖ!$C$4&gt;0),1,0)</f>
        <v>1</v>
      </c>
      <c r="R68" s="38">
        <f>IF((ዕቁብ!S70/ቦኖ!$C$4&gt;0),1,0)</f>
        <v>1</v>
      </c>
      <c r="S68" s="38">
        <f>IF((ዕቁብ!T70/ቦኖ!$C$4&gt;0),1,0)</f>
        <v>1</v>
      </c>
      <c r="T68" s="38">
        <f>IF((ዕቁብ!U70/ቦኖ!$C$4&gt;0),1,0)</f>
        <v>1</v>
      </c>
      <c r="U68" s="38">
        <f>IF((ዕቁብ!V70/ቦኖ!$C$4&gt;0),1,0)</f>
        <v>1</v>
      </c>
      <c r="V68" s="38">
        <f>IF((ዕቁብ!W70/ቦኖ!$C$4&gt;0),1,0)</f>
        <v>1</v>
      </c>
      <c r="W68" s="38">
        <f>IF((ዕቁብ!X70/ቦኖ!$C$4&gt;0),1,0)</f>
        <v>1</v>
      </c>
      <c r="X68" s="38">
        <f>IF((ዕቁብ!Y70/ቦኖ!$C$4&gt;0),1,0)</f>
        <v>1</v>
      </c>
      <c r="Y68" s="38">
        <f>IF((ዕቁብ!Z70/ቦኖ!$C$4&gt;0),1,0)</f>
        <v>1</v>
      </c>
      <c r="Z68" s="38">
        <f>IF((ዕቁብ!AA70/ቦኖ!$C$4&gt;0),1,0)</f>
        <v>1</v>
      </c>
      <c r="AA68" s="38">
        <f>IF((ዕቁብ!AB70/ቦኖ!$C$4&gt;0),1,0)</f>
        <v>1</v>
      </c>
      <c r="AB68" s="38">
        <f>IF((ዕቁብ!AC70/ቦኖ!$C$4&gt;0),1,0)</f>
        <v>1</v>
      </c>
      <c r="AC68" s="38">
        <f>IF((ዕቁብ!AD70/ቦኖ!$C$4&gt;0),1,0)</f>
        <v>1</v>
      </c>
      <c r="AD68" s="38">
        <f>IF((ዕቁብ!AE70/ቦኖ!$C$4&gt;0),1,0)</f>
        <v>1</v>
      </c>
      <c r="AE68" s="38">
        <f>IF((ዕቁብ!AF70/ቦኖ!$C$4&gt;0),1,0)</f>
        <v>1</v>
      </c>
      <c r="AF68" s="38">
        <f>IF((ዕቁብ!AG70/ቦኖ!$C$4&gt;0),1,0)</f>
        <v>1</v>
      </c>
      <c r="AG68" s="38">
        <f>IF((ዕቁብ!AH70/ቦኖ!$C$4&gt;0),1,0)</f>
        <v>1</v>
      </c>
      <c r="AH68" s="38">
        <f>IF((ዕቁብ!AI70/ቦኖ!$C$4&gt;0),1,0)</f>
        <v>1</v>
      </c>
      <c r="AI68" s="38">
        <f>IF((ዕቁብ!AJ70/ቦኖ!$C$4&gt;0),1,0)</f>
        <v>1</v>
      </c>
      <c r="AJ68" s="38">
        <f>IF((ዕቁብ!AK70/ቦኖ!$C$4&gt;0),1,0)</f>
        <v>1</v>
      </c>
      <c r="AK68" s="38">
        <f>IF((ዕቁብ!AL70/ቦኖ!$C$4&gt;0),1,0)</f>
        <v>1</v>
      </c>
      <c r="AL68" s="38">
        <f>IF((ዕቁብ!AM70/ቦኖ!$C$4&gt;0),1,0)</f>
        <v>1</v>
      </c>
      <c r="AM68" s="38">
        <f>IF((ዕቁብ!AN70/ቦኖ!$C$4&gt;0),1,0)</f>
        <v>1</v>
      </c>
      <c r="AN68" s="38">
        <f>IF((ዕቁብ!AO70/ቦኖ!$C$4&gt;0),1,0)</f>
        <v>1</v>
      </c>
      <c r="AO68" s="38">
        <f>IF((ዕቁብ!AP70/ቦኖ!$C$4&gt;0),1,0)</f>
        <v>1</v>
      </c>
      <c r="AP68" s="38">
        <f>IF((ዕቁብ!AQ70/ቦኖ!$C$4&gt;0),1,0)</f>
        <v>1</v>
      </c>
      <c r="AQ68" s="38">
        <f>IF((ዕቁብ!AR70/ቦኖ!$C$4&gt;0),1,0)</f>
        <v>1</v>
      </c>
      <c r="AR68" s="38">
        <f>IF((ዕቁብ!AS70/ቦኖ!$C$4&gt;0),1,0)</f>
        <v>1</v>
      </c>
      <c r="AS68" s="38">
        <f>IF((ዕቁብ!AT70/ቦኖ!$C$4&gt;0),1,0)</f>
        <v>1</v>
      </c>
      <c r="AT68" s="38">
        <f>IF((ዕቁብ!AU70/ቦኖ!$C$4&gt;0),1,0)</f>
        <v>1</v>
      </c>
      <c r="AU68" s="38">
        <f>IF((ዕቁብ!AV70/ቦኖ!$C$4&gt;0),1,0)</f>
        <v>1</v>
      </c>
      <c r="AV68" s="38">
        <f>IF((ዕቁብ!AW70/ቦኖ!$C$4&gt;0),1,0)</f>
        <v>1</v>
      </c>
      <c r="AW68" s="38">
        <f>IF((ዕቁብ!AX70/ቦኖ!$C$4&gt;0),1,0)</f>
        <v>1</v>
      </c>
      <c r="AX68" s="38">
        <f>IF((ዕቁብ!AY70/ቦኖ!$C$4&gt;0),1,0)</f>
        <v>1</v>
      </c>
      <c r="AY68" s="38">
        <f>IF((ዕቁብ!AZ70/ቦኖ!$C$4&gt;0),1,0)</f>
        <v>1</v>
      </c>
      <c r="AZ68" s="38">
        <f>IF((ዕቁብ!BA70/ቦኖ!$C$4&gt;0),1,0)</f>
        <v>1</v>
      </c>
      <c r="BA68" s="38">
        <f>IF((ዕቁብ!BB70/ቦኖ!$C$4&gt;0),1,0)</f>
        <v>1</v>
      </c>
      <c r="BB68" s="38">
        <f>IF((ዕቁብ!BC70/ቦኖ!$C$4&gt;0),1,0)</f>
        <v>1</v>
      </c>
      <c r="BC68" s="38">
        <f>IF((ዕቁብ!BD70/ቦኖ!$C$4&gt;0),1,0)</f>
        <v>1</v>
      </c>
      <c r="BD68" s="38">
        <f>IF((ዕቁብ!BE70/ቦኖ!$C$4&gt;0),1,0)</f>
        <v>1</v>
      </c>
      <c r="BE68" s="38">
        <f>IF((ዕቁብ!BF70/ቦኖ!$C$4&gt;0),1,0)</f>
        <v>1</v>
      </c>
      <c r="BF68" s="38">
        <f>IF((ዕቁብ!BG70/ቦኖ!$C$4&gt;0),1,0)</f>
        <v>1</v>
      </c>
      <c r="BG68" s="38">
        <f>IF((ዕቁብ!BH70/ቦኖ!$C$4&gt;0),1,0)</f>
        <v>1</v>
      </c>
      <c r="BH68" s="38">
        <f>IF((ዕቁብ!BI70/ቦኖ!$C$4&gt;0),1,0)</f>
        <v>1</v>
      </c>
      <c r="BI68" s="38">
        <f>IF((ዕቁብ!BJ70/ቦኖ!$C$4&gt;0),1,0)</f>
        <v>1</v>
      </c>
      <c r="BJ68" s="38">
        <f>IF((ዕቁብ!BK70/ቦኖ!$C$4&gt;0),1,0)</f>
        <v>0</v>
      </c>
      <c r="BK68" s="38">
        <f>IF((ዕቁብ!BL70/ቦኖ!$C$4&gt;0),1,0)</f>
        <v>1</v>
      </c>
      <c r="BL68" s="38">
        <f>IF((ዕቁብ!BM70/ቦኖ!$C$4&gt;0),1,0)</f>
        <v>1</v>
      </c>
      <c r="BM68" s="38">
        <f>IF((ዕቁብ!BN70/ቦኖ!$C$4&gt;0),1,0)</f>
        <v>1</v>
      </c>
      <c r="BN68" s="38">
        <f>IF((ዕቁብ!BO70/ቦኖ!$C$4&gt;0),1,0)</f>
        <v>1</v>
      </c>
      <c r="BO68" s="38">
        <f>IF((ዕቁብ!BP70/ቦኖ!$C$4&gt;0),1,0)</f>
        <v>1</v>
      </c>
      <c r="BP68" s="38">
        <f>IF((ዕቁብ!BQ70/ቦኖ!$C$4&gt;0),1,0)</f>
        <v>1</v>
      </c>
      <c r="BQ68" s="38">
        <f>IF((ዕቁብ!BR70/ቦኖ!$C$4&gt;0),1,0)</f>
        <v>1</v>
      </c>
      <c r="BR68" s="38">
        <f>IF((ዕቁብ!BS70/ቦኖ!$C$4&gt;0),1,0)</f>
        <v>1</v>
      </c>
      <c r="BS68" s="38">
        <f>IF((ዕቁብ!BT70/ቦኖ!$C$4&gt;0),1,0)</f>
        <v>1</v>
      </c>
      <c r="BT68" s="38">
        <f>IF((ዕቁብ!BU70/ቦኖ!$C$4&gt;0),1,0)</f>
        <v>1</v>
      </c>
      <c r="BU68" s="38">
        <f>IF((ዕቁብ!BV70/ቦኖ!$C$4&gt;0),1,0)</f>
        <v>1</v>
      </c>
      <c r="BV68" s="38">
        <f>IF((ዕቁብ!BW70/ቦኖ!$C$4&gt;0),1,0)</f>
        <v>1</v>
      </c>
      <c r="BW68" s="38">
        <f>IF((ዕቁብ!BX70/ቦኖ!$C$4&gt;0),1,0)</f>
        <v>1</v>
      </c>
      <c r="BX68" s="38">
        <f>IF((ዕቁብ!BY70/ቦኖ!$C$4&gt;0),1,0)</f>
        <v>1</v>
      </c>
      <c r="BY68" s="38">
        <f>IF((ዕቁብ!BZ70/ቦኖ!$C$4&gt;0),1,0)</f>
        <v>1</v>
      </c>
      <c r="BZ68" s="38">
        <f>IF((ዕቁብ!CA70/ቦኖ!$C$4&gt;0),1,0)</f>
        <v>1</v>
      </c>
      <c r="CA68" s="38">
        <f>IF((ዕቁብ!CB70/ቦኖ!$C$4&gt;0),1,0)</f>
        <v>1</v>
      </c>
      <c r="CB68" s="38">
        <f>IF((ዕቁብ!CC70/ቦኖ!$C$4&gt;0),1,0)</f>
        <v>1</v>
      </c>
      <c r="CC68" s="38">
        <f>IF((ዕቁብ!CD70/ቦኖ!$C$4&gt;0),1,0)</f>
        <v>1</v>
      </c>
      <c r="CD68" s="38">
        <f>IF((ዕቁብ!CE70/ቦኖ!$C$4&gt;0),1,0)</f>
        <v>1</v>
      </c>
      <c r="CE68" s="38">
        <f>IF((ዕቁብ!CF70/ቦኖ!$C$4&gt;0),1,0)</f>
        <v>1</v>
      </c>
      <c r="CF68" s="38">
        <f>IF((ዕቁብ!CG70/ቦኖ!$C$4&gt;0),1,0)</f>
        <v>1</v>
      </c>
      <c r="CG68" s="38">
        <f>IF((ዕቁብ!CH70/ቦኖ!$C$4&gt;0),1,0)</f>
        <v>1</v>
      </c>
      <c r="CH68" s="38">
        <f>IF((ዕቁብ!CI70/ቦኖ!$C$4&gt;0),1,0)</f>
        <v>1</v>
      </c>
      <c r="CI68" s="38">
        <f>IF((ዕቁብ!CJ70/ቦኖ!$C$4&gt;0),1,0)</f>
        <v>1</v>
      </c>
      <c r="CJ68" s="38">
        <f>IF((ዕቁብ!CK70/ቦኖ!$C$4&gt;0),1,0)</f>
        <v>1</v>
      </c>
      <c r="CK68" s="38">
        <f>IF((ዕቁብ!CL70/ቦኖ!$C$4&gt;0),1,0)</f>
        <v>1</v>
      </c>
      <c r="CL68" s="38">
        <f>IF((ዕቁብ!CM70/ቦኖ!$C$4&gt;0),1,0)</f>
        <v>1</v>
      </c>
      <c r="CM68" s="38">
        <f>IF((ዕቁብ!CN70/ቦኖ!$C$4&gt;0),1,0)</f>
        <v>1</v>
      </c>
      <c r="CN68" s="38">
        <f>IF((ዕቁብ!CO70/ቦኖ!$C$4&gt;0),1,0)</f>
        <v>1</v>
      </c>
      <c r="CO68" s="38">
        <f>IF((ዕቁብ!CP70/ቦኖ!$C$4&gt;0),1,0)</f>
        <v>1</v>
      </c>
      <c r="CP68" s="38">
        <f>IF((ዕቁብ!CQ70/ቦኖ!$C$4&gt;0),1,0)</f>
        <v>1</v>
      </c>
      <c r="CQ68" s="38">
        <f>IF((ዕቁብ!CR70/ቦኖ!$C$4&gt;0),1,0)</f>
        <v>1</v>
      </c>
      <c r="CR68" s="38">
        <f>IF((ዕቁብ!CS70/ቦኖ!$C$4&gt;0),1,0)</f>
        <v>1</v>
      </c>
      <c r="CS68" s="38">
        <f>IF((ዕቁብ!CT70/ቦኖ!$C$4&gt;0),1,0)</f>
        <v>1</v>
      </c>
      <c r="CT68" s="38">
        <f>IF((ዕቁብ!CU70/ቦኖ!$C$4&gt;0),1,0)</f>
        <v>1</v>
      </c>
      <c r="CU68" s="38">
        <f>IF((ዕቁብ!CV70/ቦኖ!$C$4&gt;0),1,0)</f>
        <v>1</v>
      </c>
      <c r="CV68" s="38">
        <f>IF((ዕቁብ!CW70/ቦኖ!$C$4&gt;0),1,0)</f>
        <v>1</v>
      </c>
      <c r="CW68" s="38">
        <f>IF((ዕቁብ!CX70/ቦኖ!$C$4&gt;0),1,0)</f>
        <v>1</v>
      </c>
      <c r="CX68" s="38">
        <f>IF((ዕቁብ!CY70/ቦኖ!$C$4&gt;0),1,0)</f>
        <v>1</v>
      </c>
      <c r="CY68" s="38">
        <f>IF((ዕቁብ!CZ70/ቦኖ!$C$4&gt;0),1,0)</f>
        <v>1</v>
      </c>
      <c r="CZ68" s="38">
        <f>IF((ዕቁብ!DA70/ቦኖ!$C$4&gt;0),1,0)</f>
        <v>1</v>
      </c>
      <c r="DA68" s="38">
        <f>IF((ዕቁብ!DB70/ቦኖ!$C$4&gt;0),1,0)</f>
        <v>1</v>
      </c>
      <c r="DB68" s="38">
        <f>IF((ዕቁብ!DC70/ቦኖ!$C$4&gt;0),1,0)</f>
        <v>1</v>
      </c>
      <c r="DC68" s="38">
        <f>IF((ዕቁብ!DD70/ቦኖ!$C$4&gt;0),1,0)</f>
        <v>1</v>
      </c>
      <c r="DD68" s="38">
        <f>IF((ዕቁብ!DE70/ቦኖ!$C$4&gt;0),1,0)</f>
        <v>1</v>
      </c>
      <c r="DE68" s="38">
        <f>IF((ዕቁብ!DF70/ቦኖ!$C$4&gt;0),1,0)</f>
        <v>1</v>
      </c>
      <c r="DF68" s="38">
        <f>IF((ዕቁብ!DG70/ቦኖ!$C$4&gt;0),1,0)</f>
        <v>1</v>
      </c>
      <c r="DG68" s="38">
        <f>IF((ዕቁብ!DH70/ቦኖ!$C$4&gt;0),1,0)</f>
        <v>1</v>
      </c>
      <c r="DH68" s="38">
        <f>IF((ዕቁብ!DI70/ቦኖ!$C$4&gt;0),1,0)</f>
        <v>0</v>
      </c>
      <c r="DI68" s="38">
        <f>IF((ዕቁብ!DJ70/ቦኖ!$C$4&gt;0),1,0)</f>
        <v>0</v>
      </c>
      <c r="DJ68" s="38">
        <f>IF((ዕቁብ!DK70/ቦኖ!$C$4&gt;0),1,0)</f>
        <v>0</v>
      </c>
      <c r="DK68" s="38">
        <f>IF((ዕቁብ!DL70/ቦኖ!$C$4&gt;0),1,0)</f>
        <v>0</v>
      </c>
      <c r="DL68" s="38">
        <f>IF((ዕቁብ!DM70/ቦኖ!$C$4&gt;0),1,0)</f>
        <v>0</v>
      </c>
      <c r="DM68" s="38">
        <f>IF((ዕቁብ!DN70/ቦኖ!$C$4&gt;0),1,0)</f>
        <v>0</v>
      </c>
      <c r="DN68" s="38">
        <f>IF((ዕቁብ!DO70/ቦኖ!$C$4&gt;0),1,0)</f>
        <v>0</v>
      </c>
      <c r="DO68" s="38">
        <f>IF((ዕቁብ!DP70/ቦኖ!$C$4&gt;0),1,0)</f>
        <v>0</v>
      </c>
      <c r="DP68" s="38">
        <f>IF((ዕቁብ!DQ70/ቦኖ!$C$4&gt;0),1,0)</f>
        <v>0</v>
      </c>
      <c r="DQ68" s="38">
        <f>IF((ዕቁብ!DR70/ቦኖ!$C$4&gt;0),1,0)</f>
        <v>0</v>
      </c>
    </row>
    <row r="69" spans="1:121" ht="15.75" customHeight="1" x14ac:dyDescent="0.3">
      <c r="A69" s="33">
        <f>ዕቁብ!A71</f>
        <v>65</v>
      </c>
      <c r="B69" s="33" t="str">
        <f>ዕቁብ!B71</f>
        <v>ሀጊርሶ ጤሴጎ</v>
      </c>
      <c r="C69" s="37">
        <f>ዕቁብ!C71</f>
        <v>21000</v>
      </c>
      <c r="D69" s="38">
        <f>IF((ዕቁብ!E71/ቦኖ!$C$4&gt;0),1,0)</f>
        <v>1</v>
      </c>
      <c r="E69" s="38">
        <f>IF((ዕቁብ!F71/ቦኖ!$C$4&gt;0),1,0)</f>
        <v>1</v>
      </c>
      <c r="F69" s="38">
        <f>IF((ዕቁብ!G71/ቦኖ!$C$4&gt;0),1,0)</f>
        <v>1</v>
      </c>
      <c r="G69" s="38">
        <f>IF((ዕቁብ!H71/ቦኖ!$C$4&gt;0),1,0)</f>
        <v>1</v>
      </c>
      <c r="H69" s="38">
        <f>IF((ዕቁብ!I71/ቦኖ!$C$4&gt;0),1,0)</f>
        <v>1</v>
      </c>
      <c r="I69" s="38">
        <f>IF((ዕቁብ!J71/ቦኖ!$C$4&gt;0),1,0)</f>
        <v>1</v>
      </c>
      <c r="J69" s="38">
        <f>IF((ዕቁብ!K71/ቦኖ!$C$4&gt;0),1,0)</f>
        <v>1</v>
      </c>
      <c r="K69" s="38">
        <f>IF((ዕቁብ!L71/ቦኖ!$C$4&gt;0),1,0)</f>
        <v>1</v>
      </c>
      <c r="L69" s="38">
        <f>IF((ዕቁብ!M71/ቦኖ!$C$4&gt;0),1,0)</f>
        <v>1</v>
      </c>
      <c r="M69" s="38">
        <f>IF((ዕቁብ!N71/ቦኖ!$C$4&gt;0),1,0)</f>
        <v>1</v>
      </c>
      <c r="N69" s="38">
        <f>IF((ዕቁብ!O71/ቦኖ!$C$4&gt;0),1,0)</f>
        <v>1</v>
      </c>
      <c r="O69" s="38">
        <f>IF((ዕቁብ!P71/ቦኖ!$C$4&gt;0),1,0)</f>
        <v>1</v>
      </c>
      <c r="P69" s="38">
        <f>IF((ዕቁብ!Q71/ቦኖ!$C$4&gt;0),1,0)</f>
        <v>1</v>
      </c>
      <c r="Q69" s="38">
        <f>IF((ዕቁብ!R71/ቦኖ!$C$4&gt;0),1,0)</f>
        <v>1</v>
      </c>
      <c r="R69" s="38">
        <f>IF((ዕቁብ!S71/ቦኖ!$C$4&gt;0),1,0)</f>
        <v>1</v>
      </c>
      <c r="S69" s="38">
        <f>IF((ዕቁብ!T71/ቦኖ!$C$4&gt;0),1,0)</f>
        <v>1</v>
      </c>
      <c r="T69" s="38">
        <f>IF((ዕቁብ!U71/ቦኖ!$C$4&gt;0),1,0)</f>
        <v>1</v>
      </c>
      <c r="U69" s="38">
        <f>IF((ዕቁብ!V71/ቦኖ!$C$4&gt;0),1,0)</f>
        <v>1</v>
      </c>
      <c r="V69" s="38">
        <f>IF((ዕቁብ!W71/ቦኖ!$C$4&gt;0),1,0)</f>
        <v>1</v>
      </c>
      <c r="W69" s="38">
        <f>IF((ዕቁብ!X71/ቦኖ!$C$4&gt;0),1,0)</f>
        <v>1</v>
      </c>
      <c r="X69" s="38">
        <f>IF((ዕቁብ!Y71/ቦኖ!$C$4&gt;0),1,0)</f>
        <v>1</v>
      </c>
      <c r="Y69" s="38">
        <f>IF((ዕቁብ!Z71/ቦኖ!$C$4&gt;0),1,0)</f>
        <v>1</v>
      </c>
      <c r="Z69" s="38">
        <f>IF((ዕቁብ!AA71/ቦኖ!$C$4&gt;0),1,0)</f>
        <v>1</v>
      </c>
      <c r="AA69" s="38">
        <f>IF((ዕቁብ!AB71/ቦኖ!$C$4&gt;0),1,0)</f>
        <v>1</v>
      </c>
      <c r="AB69" s="38">
        <f>IF((ዕቁብ!AC71/ቦኖ!$C$4&gt;0),1,0)</f>
        <v>1</v>
      </c>
      <c r="AC69" s="38">
        <f>IF((ዕቁብ!AD71/ቦኖ!$C$4&gt;0),1,0)</f>
        <v>1</v>
      </c>
      <c r="AD69" s="38">
        <f>IF((ዕቁብ!AE71/ቦኖ!$C$4&gt;0),1,0)</f>
        <v>1</v>
      </c>
      <c r="AE69" s="38">
        <f>IF((ዕቁብ!AF71/ቦኖ!$C$4&gt;0),1,0)</f>
        <v>1</v>
      </c>
      <c r="AF69" s="38">
        <f>IF((ዕቁብ!AG71/ቦኖ!$C$4&gt;0),1,0)</f>
        <v>1</v>
      </c>
      <c r="AG69" s="38">
        <f>IF((ዕቁብ!AH71/ቦኖ!$C$4&gt;0),1,0)</f>
        <v>1</v>
      </c>
      <c r="AH69" s="38">
        <f>IF((ዕቁብ!AI71/ቦኖ!$C$4&gt;0),1,0)</f>
        <v>1</v>
      </c>
      <c r="AI69" s="38">
        <f>IF((ዕቁብ!AJ71/ቦኖ!$C$4&gt;0),1,0)</f>
        <v>1</v>
      </c>
      <c r="AJ69" s="38">
        <f>IF((ዕቁብ!AK71/ቦኖ!$C$4&gt;0),1,0)</f>
        <v>1</v>
      </c>
      <c r="AK69" s="38">
        <f>IF((ዕቁብ!AL71/ቦኖ!$C$4&gt;0),1,0)</f>
        <v>0</v>
      </c>
      <c r="AL69" s="38">
        <f>IF((ዕቁብ!AM71/ቦኖ!$C$4&gt;0),1,0)</f>
        <v>1</v>
      </c>
      <c r="AM69" s="38">
        <f>IF((ዕቁብ!AN71/ቦኖ!$C$4&gt;0),1,0)</f>
        <v>1</v>
      </c>
      <c r="AN69" s="38">
        <f>IF((ዕቁብ!AO71/ቦኖ!$C$4&gt;0),1,0)</f>
        <v>0</v>
      </c>
      <c r="AO69" s="38">
        <f>IF((ዕቁብ!AP71/ቦኖ!$C$4&gt;0),1,0)</f>
        <v>1</v>
      </c>
      <c r="AP69" s="38">
        <f>IF((ዕቁብ!AQ71/ቦኖ!$C$4&gt;0),1,0)</f>
        <v>1</v>
      </c>
      <c r="AQ69" s="38">
        <f>IF((ዕቁብ!AR71/ቦኖ!$C$4&gt;0),1,0)</f>
        <v>1</v>
      </c>
      <c r="AR69" s="38">
        <f>IF((ዕቁብ!AS71/ቦኖ!$C$4&gt;0),1,0)</f>
        <v>1</v>
      </c>
      <c r="AS69" s="38">
        <f>IF((ዕቁብ!AT71/ቦኖ!$C$4&gt;0),1,0)</f>
        <v>1</v>
      </c>
      <c r="AT69" s="38">
        <f>IF((ዕቁብ!AU71/ቦኖ!$C$4&gt;0),1,0)</f>
        <v>1</v>
      </c>
      <c r="AU69" s="38">
        <f>IF((ዕቁብ!AV71/ቦኖ!$C$4&gt;0),1,0)</f>
        <v>0</v>
      </c>
      <c r="AV69" s="38">
        <f>IF((ዕቁብ!AW71/ቦኖ!$C$4&gt;0),1,0)</f>
        <v>1</v>
      </c>
      <c r="AW69" s="38">
        <f>IF((ዕቁብ!AX71/ቦኖ!$C$4&gt;0),1,0)</f>
        <v>1</v>
      </c>
      <c r="AX69" s="38">
        <f>IF((ዕቁብ!AY71/ቦኖ!$C$4&gt;0),1,0)</f>
        <v>0</v>
      </c>
      <c r="AY69" s="38">
        <f>IF((ዕቁብ!AZ71/ቦኖ!$C$4&gt;0),1,0)</f>
        <v>1</v>
      </c>
      <c r="AZ69" s="38">
        <f>IF((ዕቁብ!BA71/ቦኖ!$C$4&gt;0),1,0)</f>
        <v>1</v>
      </c>
      <c r="BA69" s="38">
        <f>IF((ዕቁብ!BB71/ቦኖ!$C$4&gt;0),1,0)</f>
        <v>1</v>
      </c>
      <c r="BB69" s="38">
        <f>IF((ዕቁብ!BC71/ቦኖ!$C$4&gt;0),1,0)</f>
        <v>0</v>
      </c>
      <c r="BC69" s="38">
        <f>IF((ዕቁብ!BD71/ቦኖ!$C$4&gt;0),1,0)</f>
        <v>1</v>
      </c>
      <c r="BD69" s="38">
        <f>IF((ዕቁብ!BE71/ቦኖ!$C$4&gt;0),1,0)</f>
        <v>0</v>
      </c>
      <c r="BE69" s="38">
        <f>IF((ዕቁብ!BF71/ቦኖ!$C$4&gt;0),1,0)</f>
        <v>1</v>
      </c>
      <c r="BF69" s="38">
        <f>IF((ዕቁብ!BG71/ቦኖ!$C$4&gt;0),1,0)</f>
        <v>1</v>
      </c>
      <c r="BG69" s="38">
        <f>IF((ዕቁብ!BH71/ቦኖ!$C$4&gt;0),1,0)</f>
        <v>1</v>
      </c>
      <c r="BH69" s="38">
        <f>IF((ዕቁብ!BI71/ቦኖ!$C$4&gt;0),1,0)</f>
        <v>0</v>
      </c>
      <c r="BI69" s="38">
        <f>IF((ዕቁብ!BJ71/ቦኖ!$C$4&gt;0),1,0)</f>
        <v>1</v>
      </c>
      <c r="BJ69" s="38">
        <f>IF((ዕቁብ!BK71/ቦኖ!$C$4&gt;0),1,0)</f>
        <v>1</v>
      </c>
      <c r="BK69" s="38">
        <f>IF((ዕቁብ!BL71/ቦኖ!$C$4&gt;0),1,0)</f>
        <v>1</v>
      </c>
      <c r="BL69" s="38">
        <f>IF((ዕቁብ!BM71/ቦኖ!$C$4&gt;0),1,0)</f>
        <v>1</v>
      </c>
      <c r="BM69" s="38">
        <f>IF((ዕቁብ!BN71/ቦኖ!$C$4&gt;0),1,0)</f>
        <v>0</v>
      </c>
      <c r="BN69" s="38">
        <f>IF((ዕቁብ!BO71/ቦኖ!$C$4&gt;0),1,0)</f>
        <v>1</v>
      </c>
      <c r="BO69" s="38">
        <f>IF((ዕቁብ!BP71/ቦኖ!$C$4&gt;0),1,0)</f>
        <v>1</v>
      </c>
      <c r="BP69" s="38">
        <f>IF((ዕቁብ!BQ71/ቦኖ!$C$4&gt;0),1,0)</f>
        <v>1</v>
      </c>
      <c r="BQ69" s="38">
        <f>IF((ዕቁብ!BR71/ቦኖ!$C$4&gt;0),1,0)</f>
        <v>0</v>
      </c>
      <c r="BR69" s="38">
        <f>IF((ዕቁብ!BS71/ቦኖ!$C$4&gt;0),1,0)</f>
        <v>1</v>
      </c>
      <c r="BS69" s="38">
        <f>IF((ዕቁብ!BT71/ቦኖ!$C$4&gt;0),1,0)</f>
        <v>1</v>
      </c>
      <c r="BT69" s="38">
        <f>IF((ዕቁብ!BU71/ቦኖ!$C$4&gt;0),1,0)</f>
        <v>1</v>
      </c>
      <c r="BU69" s="38">
        <f>IF((ዕቁብ!BV71/ቦኖ!$C$4&gt;0),1,0)</f>
        <v>1</v>
      </c>
      <c r="BV69" s="38">
        <f>IF((ዕቁብ!BW71/ቦኖ!$C$4&gt;0),1,0)</f>
        <v>0</v>
      </c>
      <c r="BW69" s="38">
        <f>IF((ዕቁብ!BX71/ቦኖ!$C$4&gt;0),1,0)</f>
        <v>1</v>
      </c>
      <c r="BX69" s="38">
        <f>IF((ዕቁብ!BY71/ቦኖ!$C$4&gt;0),1,0)</f>
        <v>1</v>
      </c>
      <c r="BY69" s="38">
        <f>IF((ዕቁብ!BZ71/ቦኖ!$C$4&gt;0),1,0)</f>
        <v>1</v>
      </c>
      <c r="BZ69" s="38">
        <f>IF((ዕቁብ!CA71/ቦኖ!$C$4&gt;0),1,0)</f>
        <v>0</v>
      </c>
      <c r="CA69" s="38">
        <f>IF((ዕቁብ!CB71/ቦኖ!$C$4&gt;0),1,0)</f>
        <v>0</v>
      </c>
      <c r="CB69" s="38">
        <f>IF((ዕቁብ!CC71/ቦኖ!$C$4&gt;0),1,0)</f>
        <v>1</v>
      </c>
      <c r="CC69" s="38">
        <f>IF((ዕቁብ!CD71/ቦኖ!$C$4&gt;0),1,0)</f>
        <v>0</v>
      </c>
      <c r="CD69" s="38">
        <f>IF((ዕቁብ!CE71/ቦኖ!$C$4&gt;0),1,0)</f>
        <v>0</v>
      </c>
      <c r="CE69" s="38">
        <f>IF((ዕቁብ!CF71/ቦኖ!$C$4&gt;0),1,0)</f>
        <v>1</v>
      </c>
      <c r="CF69" s="38">
        <f>IF((ዕቁብ!CG71/ቦኖ!$C$4&gt;0),1,0)</f>
        <v>1</v>
      </c>
      <c r="CG69" s="38">
        <f>IF((ዕቁብ!CH71/ቦኖ!$C$4&gt;0),1,0)</f>
        <v>1</v>
      </c>
      <c r="CH69" s="38">
        <f>IF((ዕቁብ!CI71/ቦኖ!$C$4&gt;0),1,0)</f>
        <v>0</v>
      </c>
      <c r="CI69" s="38">
        <f>IF((ዕቁብ!CJ71/ቦኖ!$C$4&gt;0),1,0)</f>
        <v>1</v>
      </c>
      <c r="CJ69" s="38">
        <f>IF((ዕቁብ!CK71/ቦኖ!$C$4&gt;0),1,0)</f>
        <v>1</v>
      </c>
      <c r="CK69" s="38">
        <f>IF((ዕቁብ!CL71/ቦኖ!$C$4&gt;0),1,0)</f>
        <v>0</v>
      </c>
      <c r="CL69" s="38">
        <f>IF((ዕቁብ!CM71/ቦኖ!$C$4&gt;0),1,0)</f>
        <v>1</v>
      </c>
      <c r="CM69" s="38">
        <f>IF((ዕቁብ!CN71/ቦኖ!$C$4&gt;0),1,0)</f>
        <v>0</v>
      </c>
      <c r="CN69" s="38">
        <f>IF((ዕቁብ!CO71/ቦኖ!$C$4&gt;0),1,0)</f>
        <v>1</v>
      </c>
      <c r="CO69" s="38">
        <f>IF((ዕቁብ!CP71/ቦኖ!$C$4&gt;0),1,0)</f>
        <v>1</v>
      </c>
      <c r="CP69" s="38">
        <f>IF((ዕቁብ!CQ71/ቦኖ!$C$4&gt;0),1,0)</f>
        <v>0</v>
      </c>
      <c r="CQ69" s="38">
        <f>IF((ዕቁብ!CR71/ቦኖ!$C$4&gt;0),1,0)</f>
        <v>1</v>
      </c>
      <c r="CR69" s="38">
        <f>IF((ዕቁብ!CS71/ቦኖ!$C$4&gt;0),1,0)</f>
        <v>0</v>
      </c>
      <c r="CS69" s="38">
        <f>IF((ዕቁብ!CT71/ቦኖ!$C$4&gt;0),1,0)</f>
        <v>1</v>
      </c>
      <c r="CT69" s="38">
        <f>IF((ዕቁብ!CU71/ቦኖ!$C$4&gt;0),1,0)</f>
        <v>0</v>
      </c>
      <c r="CU69" s="38">
        <f>IF((ዕቁብ!CV71/ቦኖ!$C$4&gt;0),1,0)</f>
        <v>1</v>
      </c>
      <c r="CV69" s="38">
        <f>IF((ዕቁብ!CW71/ቦኖ!$C$4&gt;0),1,0)</f>
        <v>0</v>
      </c>
      <c r="CW69" s="38">
        <f>IF((ዕቁብ!CX71/ቦኖ!$C$4&gt;0),1,0)</f>
        <v>1</v>
      </c>
      <c r="CX69" s="38">
        <f>IF((ዕቁብ!CY71/ቦኖ!$C$4&gt;0),1,0)</f>
        <v>1</v>
      </c>
      <c r="CY69" s="38">
        <f>IF((ዕቁብ!CZ71/ቦኖ!$C$4&gt;0),1,0)</f>
        <v>0</v>
      </c>
      <c r="CZ69" s="38">
        <f>IF((ዕቁብ!DA71/ቦኖ!$C$4&gt;0),1,0)</f>
        <v>0</v>
      </c>
      <c r="DA69" s="38">
        <f>IF((ዕቁብ!DB71/ቦኖ!$C$4&gt;0),1,0)</f>
        <v>1</v>
      </c>
      <c r="DB69" s="38">
        <f>IF((ዕቁብ!DC71/ቦኖ!$C$4&gt;0),1,0)</f>
        <v>1</v>
      </c>
      <c r="DC69" s="38">
        <f>IF((ዕቁብ!DD71/ቦኖ!$C$4&gt;0),1,0)</f>
        <v>1</v>
      </c>
      <c r="DD69" s="38">
        <f>IF((ዕቁብ!DE71/ቦኖ!$C$4&gt;0),1,0)</f>
        <v>0</v>
      </c>
      <c r="DE69" s="38">
        <f>IF((ዕቁብ!DF71/ቦኖ!$C$4&gt;0),1,0)</f>
        <v>0</v>
      </c>
      <c r="DF69" s="38">
        <f>IF((ዕቁብ!DG71/ቦኖ!$C$4&gt;0),1,0)</f>
        <v>1</v>
      </c>
      <c r="DG69" s="38">
        <f>IF((ዕቁብ!DH71/ቦኖ!$C$4&gt;0),1,0)</f>
        <v>0</v>
      </c>
      <c r="DH69" s="38">
        <f>IF((ዕቁብ!DI71/ቦኖ!$C$4&gt;0),1,0)</f>
        <v>0</v>
      </c>
      <c r="DI69" s="38">
        <f>IF((ዕቁብ!DJ71/ቦኖ!$C$4&gt;0),1,0)</f>
        <v>0</v>
      </c>
      <c r="DJ69" s="38">
        <f>IF((ዕቁብ!DK71/ቦኖ!$C$4&gt;0),1,0)</f>
        <v>0</v>
      </c>
      <c r="DK69" s="38">
        <f>IF((ዕቁብ!DL71/ቦኖ!$C$4&gt;0),1,0)</f>
        <v>0</v>
      </c>
      <c r="DL69" s="38">
        <f>IF((ዕቁብ!DM71/ቦኖ!$C$4&gt;0),1,0)</f>
        <v>0</v>
      </c>
      <c r="DM69" s="38">
        <f>IF((ዕቁብ!DN71/ቦኖ!$C$4&gt;0),1,0)</f>
        <v>0</v>
      </c>
      <c r="DN69" s="38">
        <f>IF((ዕቁብ!DO71/ቦኖ!$C$4&gt;0),1,0)</f>
        <v>0</v>
      </c>
      <c r="DO69" s="38">
        <f>IF((ዕቁብ!DP71/ቦኖ!$C$4&gt;0),1,0)</f>
        <v>0</v>
      </c>
      <c r="DP69" s="38">
        <f>IF((ዕቁብ!DQ71/ቦኖ!$C$4&gt;0),1,0)</f>
        <v>0</v>
      </c>
      <c r="DQ69" s="38">
        <f>IF((ዕቁብ!DR71/ቦኖ!$C$4&gt;0),1,0)</f>
        <v>0</v>
      </c>
    </row>
    <row r="70" spans="1:121" ht="15.75" customHeight="1" x14ac:dyDescent="0.3">
      <c r="A70" s="33">
        <f>ዕቁብ!A72</f>
        <v>66</v>
      </c>
      <c r="B70" s="33" t="str">
        <f>ዕቁብ!B72</f>
        <v>ለገሰ አሸናፊ</v>
      </c>
      <c r="C70" s="37">
        <f>ዕቁብ!C72</f>
        <v>21000</v>
      </c>
      <c r="D70" s="38">
        <f>IF((ዕቁብ!E72/ቦኖ!$C$4&gt;0),1,0)</f>
        <v>1</v>
      </c>
      <c r="E70" s="38">
        <f>IF((ዕቁብ!F72/ቦኖ!$C$4&gt;0),1,0)</f>
        <v>1</v>
      </c>
      <c r="F70" s="38">
        <f>IF((ዕቁብ!G72/ቦኖ!$C$4&gt;0),1,0)</f>
        <v>1</v>
      </c>
      <c r="G70" s="38">
        <f>IF((ዕቁብ!H72/ቦኖ!$C$4&gt;0),1,0)</f>
        <v>1</v>
      </c>
      <c r="H70" s="38">
        <f>IF((ዕቁብ!I72/ቦኖ!$C$4&gt;0),1,0)</f>
        <v>1</v>
      </c>
      <c r="I70" s="38">
        <f>IF((ዕቁብ!J72/ቦኖ!$C$4&gt;0),1,0)</f>
        <v>1</v>
      </c>
      <c r="J70" s="38">
        <f>IF((ዕቁብ!K72/ቦኖ!$C$4&gt;0),1,0)</f>
        <v>1</v>
      </c>
      <c r="K70" s="38">
        <f>IF((ዕቁብ!L72/ቦኖ!$C$4&gt;0),1,0)</f>
        <v>1</v>
      </c>
      <c r="L70" s="38">
        <f>IF((ዕቁብ!M72/ቦኖ!$C$4&gt;0),1,0)</f>
        <v>1</v>
      </c>
      <c r="M70" s="38">
        <f>IF((ዕቁብ!N72/ቦኖ!$C$4&gt;0),1,0)</f>
        <v>1</v>
      </c>
      <c r="N70" s="38">
        <f>IF((ዕቁብ!O72/ቦኖ!$C$4&gt;0),1,0)</f>
        <v>1</v>
      </c>
      <c r="O70" s="38">
        <f>IF((ዕቁብ!P72/ቦኖ!$C$4&gt;0),1,0)</f>
        <v>1</v>
      </c>
      <c r="P70" s="38">
        <f>IF((ዕቁብ!Q72/ቦኖ!$C$4&gt;0),1,0)</f>
        <v>1</v>
      </c>
      <c r="Q70" s="38">
        <f>IF((ዕቁብ!R72/ቦኖ!$C$4&gt;0),1,0)</f>
        <v>1</v>
      </c>
      <c r="R70" s="38">
        <f>IF((ዕቁብ!S72/ቦኖ!$C$4&gt;0),1,0)</f>
        <v>1</v>
      </c>
      <c r="S70" s="38">
        <f>IF((ዕቁብ!T72/ቦኖ!$C$4&gt;0),1,0)</f>
        <v>1</v>
      </c>
      <c r="T70" s="38">
        <f>IF((ዕቁብ!U72/ቦኖ!$C$4&gt;0),1,0)</f>
        <v>1</v>
      </c>
      <c r="U70" s="38">
        <f>IF((ዕቁብ!V72/ቦኖ!$C$4&gt;0),1,0)</f>
        <v>1</v>
      </c>
      <c r="V70" s="38">
        <f>IF((ዕቁብ!W72/ቦኖ!$C$4&gt;0),1,0)</f>
        <v>1</v>
      </c>
      <c r="W70" s="38">
        <f>IF((ዕቁብ!X72/ቦኖ!$C$4&gt;0),1,0)</f>
        <v>1</v>
      </c>
      <c r="X70" s="38">
        <f>IF((ዕቁብ!Y72/ቦኖ!$C$4&gt;0),1,0)</f>
        <v>1</v>
      </c>
      <c r="Y70" s="38">
        <f>IF((ዕቁብ!Z72/ቦኖ!$C$4&gt;0),1,0)</f>
        <v>1</v>
      </c>
      <c r="Z70" s="38">
        <f>IF((ዕቁብ!AA72/ቦኖ!$C$4&gt;0),1,0)</f>
        <v>1</v>
      </c>
      <c r="AA70" s="38">
        <f>IF((ዕቁብ!AB72/ቦኖ!$C$4&gt;0),1,0)</f>
        <v>1</v>
      </c>
      <c r="AB70" s="38">
        <f>IF((ዕቁብ!AC72/ቦኖ!$C$4&gt;0),1,0)</f>
        <v>1</v>
      </c>
      <c r="AC70" s="38">
        <f>IF((ዕቁብ!AD72/ቦኖ!$C$4&gt;0),1,0)</f>
        <v>1</v>
      </c>
      <c r="AD70" s="38">
        <f>IF((ዕቁብ!AE72/ቦኖ!$C$4&gt;0),1,0)</f>
        <v>1</v>
      </c>
      <c r="AE70" s="38">
        <f>IF((ዕቁብ!AF72/ቦኖ!$C$4&gt;0),1,0)</f>
        <v>1</v>
      </c>
      <c r="AF70" s="38">
        <f>IF((ዕቁብ!AG72/ቦኖ!$C$4&gt;0),1,0)</f>
        <v>1</v>
      </c>
      <c r="AG70" s="38">
        <f>IF((ዕቁብ!AH72/ቦኖ!$C$4&gt;0),1,0)</f>
        <v>1</v>
      </c>
      <c r="AH70" s="38">
        <f>IF((ዕቁብ!AI72/ቦኖ!$C$4&gt;0),1,0)</f>
        <v>1</v>
      </c>
      <c r="AI70" s="38">
        <f>IF((ዕቁብ!AJ72/ቦኖ!$C$4&gt;0),1,0)</f>
        <v>1</v>
      </c>
      <c r="AJ70" s="38">
        <f>IF((ዕቁብ!AK72/ቦኖ!$C$4&gt;0),1,0)</f>
        <v>1</v>
      </c>
      <c r="AK70" s="38">
        <f>IF((ዕቁብ!AL72/ቦኖ!$C$4&gt;0),1,0)</f>
        <v>1</v>
      </c>
      <c r="AL70" s="38">
        <f>IF((ዕቁብ!AM72/ቦኖ!$C$4&gt;0),1,0)</f>
        <v>1</v>
      </c>
      <c r="AM70" s="38">
        <f>IF((ዕቁብ!AN72/ቦኖ!$C$4&gt;0),1,0)</f>
        <v>1</v>
      </c>
      <c r="AN70" s="38">
        <f>IF((ዕቁብ!AO72/ቦኖ!$C$4&gt;0),1,0)</f>
        <v>1</v>
      </c>
      <c r="AO70" s="38">
        <f>IF((ዕቁብ!AP72/ቦኖ!$C$4&gt;0),1,0)</f>
        <v>1</v>
      </c>
      <c r="AP70" s="38">
        <f>IF((ዕቁብ!AQ72/ቦኖ!$C$4&gt;0),1,0)</f>
        <v>1</v>
      </c>
      <c r="AQ70" s="38">
        <f>IF((ዕቁብ!AR72/ቦኖ!$C$4&gt;0),1,0)</f>
        <v>1</v>
      </c>
      <c r="AR70" s="38">
        <f>IF((ዕቁብ!AS72/ቦኖ!$C$4&gt;0),1,0)</f>
        <v>1</v>
      </c>
      <c r="AS70" s="38">
        <f>IF((ዕቁብ!AT72/ቦኖ!$C$4&gt;0),1,0)</f>
        <v>1</v>
      </c>
      <c r="AT70" s="38">
        <f>IF((ዕቁብ!AU72/ቦኖ!$C$4&gt;0),1,0)</f>
        <v>1</v>
      </c>
      <c r="AU70" s="38">
        <f>IF((ዕቁብ!AV72/ቦኖ!$C$4&gt;0),1,0)</f>
        <v>1</v>
      </c>
      <c r="AV70" s="38">
        <f>IF((ዕቁብ!AW72/ቦኖ!$C$4&gt;0),1,0)</f>
        <v>1</v>
      </c>
      <c r="AW70" s="38">
        <f>IF((ዕቁብ!AX72/ቦኖ!$C$4&gt;0),1,0)</f>
        <v>1</v>
      </c>
      <c r="AX70" s="38">
        <f>IF((ዕቁብ!AY72/ቦኖ!$C$4&gt;0),1,0)</f>
        <v>1</v>
      </c>
      <c r="AY70" s="38">
        <f>IF((ዕቁብ!AZ72/ቦኖ!$C$4&gt;0),1,0)</f>
        <v>1</v>
      </c>
      <c r="AZ70" s="38">
        <f>IF((ዕቁብ!BA72/ቦኖ!$C$4&gt;0),1,0)</f>
        <v>1</v>
      </c>
      <c r="BA70" s="38">
        <f>IF((ዕቁብ!BB72/ቦኖ!$C$4&gt;0),1,0)</f>
        <v>1</v>
      </c>
      <c r="BB70" s="38">
        <f>IF((ዕቁብ!BC72/ቦኖ!$C$4&gt;0),1,0)</f>
        <v>1</v>
      </c>
      <c r="BC70" s="38">
        <f>IF((ዕቁብ!BD72/ቦኖ!$C$4&gt;0),1,0)</f>
        <v>1</v>
      </c>
      <c r="BD70" s="38">
        <f>IF((ዕቁብ!BE72/ቦኖ!$C$4&gt;0),1,0)</f>
        <v>0</v>
      </c>
      <c r="BE70" s="38">
        <f>IF((ዕቁብ!BF72/ቦኖ!$C$4&gt;0),1,0)</f>
        <v>0</v>
      </c>
      <c r="BF70" s="38">
        <f>IF((ዕቁብ!BG72/ቦኖ!$C$4&gt;0),1,0)</f>
        <v>0</v>
      </c>
      <c r="BG70" s="38">
        <f>IF((ዕቁብ!BH72/ቦኖ!$C$4&gt;0),1,0)</f>
        <v>0</v>
      </c>
      <c r="BH70" s="38">
        <f>IF((ዕቁብ!BI72/ቦኖ!$C$4&gt;0),1,0)</f>
        <v>0</v>
      </c>
      <c r="BI70" s="38">
        <f>IF((ዕቁብ!BJ72/ቦኖ!$C$4&gt;0),1,0)</f>
        <v>0</v>
      </c>
      <c r="BJ70" s="38">
        <f>IF((ዕቁብ!BK72/ቦኖ!$C$4&gt;0),1,0)</f>
        <v>0</v>
      </c>
      <c r="BK70" s="38">
        <f>IF((ዕቁብ!BL72/ቦኖ!$C$4&gt;0),1,0)</f>
        <v>0</v>
      </c>
      <c r="BL70" s="38">
        <f>IF((ዕቁብ!BM72/ቦኖ!$C$4&gt;0),1,0)</f>
        <v>0</v>
      </c>
      <c r="BM70" s="38">
        <f>IF((ዕቁብ!BN72/ቦኖ!$C$4&gt;0),1,0)</f>
        <v>0</v>
      </c>
      <c r="BN70" s="38">
        <f>IF((ዕቁብ!BO72/ቦኖ!$C$4&gt;0),1,0)</f>
        <v>0</v>
      </c>
      <c r="BO70" s="38">
        <f>IF((ዕቁብ!BP72/ቦኖ!$C$4&gt;0),1,0)</f>
        <v>0</v>
      </c>
      <c r="BP70" s="38">
        <f>IF((ዕቁብ!BQ72/ቦኖ!$C$4&gt;0),1,0)</f>
        <v>0</v>
      </c>
      <c r="BQ70" s="38">
        <f>IF((ዕቁብ!BR72/ቦኖ!$C$4&gt;0),1,0)</f>
        <v>0</v>
      </c>
      <c r="BR70" s="38">
        <f>IF((ዕቁብ!BS72/ቦኖ!$C$4&gt;0),1,0)</f>
        <v>0</v>
      </c>
      <c r="BS70" s="38">
        <f>IF((ዕቁብ!BT72/ቦኖ!$C$4&gt;0),1,0)</f>
        <v>0</v>
      </c>
      <c r="BT70" s="38">
        <f>IF((ዕቁብ!BU72/ቦኖ!$C$4&gt;0),1,0)</f>
        <v>0</v>
      </c>
      <c r="BU70" s="38">
        <f>IF((ዕቁብ!BV72/ቦኖ!$C$4&gt;0),1,0)</f>
        <v>1</v>
      </c>
      <c r="BV70" s="38">
        <f>IF((ዕቁብ!BW72/ቦኖ!$C$4&gt;0),1,0)</f>
        <v>0</v>
      </c>
      <c r="BW70" s="38">
        <f>IF((ዕቁብ!BX72/ቦኖ!$C$4&gt;0),1,0)</f>
        <v>0</v>
      </c>
      <c r="BX70" s="38">
        <f>IF((ዕቁብ!BY72/ቦኖ!$C$4&gt;0),1,0)</f>
        <v>0</v>
      </c>
      <c r="BY70" s="38">
        <f>IF((ዕቁብ!BZ72/ቦኖ!$C$4&gt;0),1,0)</f>
        <v>0</v>
      </c>
      <c r="BZ70" s="38">
        <f>IF((ዕቁብ!CA72/ቦኖ!$C$4&gt;0),1,0)</f>
        <v>0</v>
      </c>
      <c r="CA70" s="38">
        <f>IF((ዕቁብ!CB72/ቦኖ!$C$4&gt;0),1,0)</f>
        <v>0</v>
      </c>
      <c r="CB70" s="38">
        <f>IF((ዕቁብ!CC72/ቦኖ!$C$4&gt;0),1,0)</f>
        <v>0</v>
      </c>
      <c r="CC70" s="38">
        <f>IF((ዕቁብ!CD72/ቦኖ!$C$4&gt;0),1,0)</f>
        <v>0</v>
      </c>
      <c r="CD70" s="38">
        <f>IF((ዕቁብ!CE72/ቦኖ!$C$4&gt;0),1,0)</f>
        <v>0</v>
      </c>
      <c r="CE70" s="38">
        <f>IF((ዕቁብ!CF72/ቦኖ!$C$4&gt;0),1,0)</f>
        <v>0</v>
      </c>
      <c r="CF70" s="38">
        <f>IF((ዕቁብ!CG72/ቦኖ!$C$4&gt;0),1,0)</f>
        <v>0</v>
      </c>
      <c r="CG70" s="38">
        <f>IF((ዕቁብ!CH72/ቦኖ!$C$4&gt;0),1,0)</f>
        <v>0</v>
      </c>
      <c r="CH70" s="38">
        <f>IF((ዕቁብ!CI72/ቦኖ!$C$4&gt;0),1,0)</f>
        <v>0</v>
      </c>
      <c r="CI70" s="38">
        <f>IF((ዕቁብ!CJ72/ቦኖ!$C$4&gt;0),1,0)</f>
        <v>0</v>
      </c>
      <c r="CJ70" s="38">
        <f>IF((ዕቁብ!CK72/ቦኖ!$C$4&gt;0),1,0)</f>
        <v>0</v>
      </c>
      <c r="CK70" s="38">
        <f>IF((ዕቁብ!CL72/ቦኖ!$C$4&gt;0),1,0)</f>
        <v>0</v>
      </c>
      <c r="CL70" s="38">
        <f>IF((ዕቁብ!CM72/ቦኖ!$C$4&gt;0),1,0)</f>
        <v>0</v>
      </c>
      <c r="CM70" s="38">
        <f>IF((ዕቁብ!CN72/ቦኖ!$C$4&gt;0),1,0)</f>
        <v>0</v>
      </c>
      <c r="CN70" s="38">
        <f>IF((ዕቁብ!CO72/ቦኖ!$C$4&gt;0),1,0)</f>
        <v>0</v>
      </c>
      <c r="CO70" s="38">
        <f>IF((ዕቁብ!CP72/ቦኖ!$C$4&gt;0),1,0)</f>
        <v>0</v>
      </c>
      <c r="CP70" s="38">
        <f>IF((ዕቁብ!CQ72/ቦኖ!$C$4&gt;0),1,0)</f>
        <v>0</v>
      </c>
      <c r="CQ70" s="38">
        <f>IF((ዕቁብ!CR72/ቦኖ!$C$4&gt;0),1,0)</f>
        <v>0</v>
      </c>
      <c r="CR70" s="38">
        <f>IF((ዕቁብ!CS72/ቦኖ!$C$4&gt;0),1,0)</f>
        <v>0</v>
      </c>
      <c r="CS70" s="38">
        <f>IF((ዕቁብ!CT72/ቦኖ!$C$4&gt;0),1,0)</f>
        <v>0</v>
      </c>
      <c r="CT70" s="38">
        <f>IF((ዕቁብ!CU72/ቦኖ!$C$4&gt;0),1,0)</f>
        <v>0</v>
      </c>
      <c r="CU70" s="38">
        <f>IF((ዕቁብ!CV72/ቦኖ!$C$4&gt;0),1,0)</f>
        <v>0</v>
      </c>
      <c r="CV70" s="38">
        <f>IF((ዕቁብ!CW72/ቦኖ!$C$4&gt;0),1,0)</f>
        <v>0</v>
      </c>
      <c r="CW70" s="38">
        <f>IF((ዕቁብ!CX72/ቦኖ!$C$4&gt;0),1,0)</f>
        <v>0</v>
      </c>
      <c r="CX70" s="38">
        <f>IF((ዕቁብ!CY72/ቦኖ!$C$4&gt;0),1,0)</f>
        <v>0</v>
      </c>
      <c r="CY70" s="38">
        <f>IF((ዕቁብ!CZ72/ቦኖ!$C$4&gt;0),1,0)</f>
        <v>0</v>
      </c>
      <c r="CZ70" s="38">
        <f>IF((ዕቁብ!DA72/ቦኖ!$C$4&gt;0),1,0)</f>
        <v>0</v>
      </c>
      <c r="DA70" s="38">
        <f>IF((ዕቁብ!DB72/ቦኖ!$C$4&gt;0),1,0)</f>
        <v>0</v>
      </c>
      <c r="DB70" s="38">
        <f>IF((ዕቁብ!DC72/ቦኖ!$C$4&gt;0),1,0)</f>
        <v>0</v>
      </c>
      <c r="DC70" s="38">
        <f>IF((ዕቁብ!DD72/ቦኖ!$C$4&gt;0),1,0)</f>
        <v>0</v>
      </c>
      <c r="DD70" s="38">
        <f>IF((ዕቁብ!DE72/ቦኖ!$C$4&gt;0),1,0)</f>
        <v>0</v>
      </c>
      <c r="DE70" s="38">
        <f>IF((ዕቁብ!DF72/ቦኖ!$C$4&gt;0),1,0)</f>
        <v>0</v>
      </c>
      <c r="DF70" s="38">
        <f>IF((ዕቁብ!DG72/ቦኖ!$C$4&gt;0),1,0)</f>
        <v>0</v>
      </c>
      <c r="DG70" s="38">
        <f>IF((ዕቁብ!DH72/ቦኖ!$C$4&gt;0),1,0)</f>
        <v>0</v>
      </c>
      <c r="DH70" s="38">
        <f>IF((ዕቁብ!DI72/ቦኖ!$C$4&gt;0),1,0)</f>
        <v>0</v>
      </c>
      <c r="DI70" s="38">
        <f>IF((ዕቁብ!DJ72/ቦኖ!$C$4&gt;0),1,0)</f>
        <v>0</v>
      </c>
      <c r="DJ70" s="38">
        <f>IF((ዕቁብ!DK72/ቦኖ!$C$4&gt;0),1,0)</f>
        <v>0</v>
      </c>
      <c r="DK70" s="38">
        <f>IF((ዕቁብ!DL72/ቦኖ!$C$4&gt;0),1,0)</f>
        <v>0</v>
      </c>
      <c r="DL70" s="38">
        <f>IF((ዕቁብ!DM72/ቦኖ!$C$4&gt;0),1,0)</f>
        <v>0</v>
      </c>
      <c r="DM70" s="38">
        <f>IF((ዕቁብ!DN72/ቦኖ!$C$4&gt;0),1,0)</f>
        <v>0</v>
      </c>
      <c r="DN70" s="38">
        <f>IF((ዕቁብ!DO72/ቦኖ!$C$4&gt;0),1,0)</f>
        <v>0</v>
      </c>
      <c r="DO70" s="38">
        <f>IF((ዕቁብ!DP72/ቦኖ!$C$4&gt;0),1,0)</f>
        <v>0</v>
      </c>
      <c r="DP70" s="38">
        <f>IF((ዕቁብ!DQ72/ቦኖ!$C$4&gt;0),1,0)</f>
        <v>0</v>
      </c>
      <c r="DQ70" s="38">
        <f>IF((ዕቁብ!DR72/ቦኖ!$C$4&gt;0),1,0)</f>
        <v>0</v>
      </c>
    </row>
    <row r="71" spans="1:121" ht="15.75" customHeight="1" x14ac:dyDescent="0.3">
      <c r="A71" s="33">
        <f>ዕቁብ!A73</f>
        <v>67</v>
      </c>
      <c r="B71" s="33" t="str">
        <f>ዕቁብ!B73</f>
        <v>ሽፈራው ወርቁ</v>
      </c>
      <c r="C71" s="37">
        <f>ዕቁብ!C73</f>
        <v>21000</v>
      </c>
      <c r="D71" s="38">
        <f>IF((ዕቁብ!E73/ቦኖ!$C$4&gt;0),1,0)</f>
        <v>1</v>
      </c>
      <c r="E71" s="38">
        <f>IF((ዕቁብ!F73/ቦኖ!$C$4&gt;0),1,0)</f>
        <v>1</v>
      </c>
      <c r="F71" s="38">
        <f>IF((ዕቁብ!G73/ቦኖ!$C$4&gt;0),1,0)</f>
        <v>1</v>
      </c>
      <c r="G71" s="38">
        <f>IF((ዕቁብ!H73/ቦኖ!$C$4&gt;0),1,0)</f>
        <v>1</v>
      </c>
      <c r="H71" s="38">
        <f>IF((ዕቁብ!I73/ቦኖ!$C$4&gt;0),1,0)</f>
        <v>1</v>
      </c>
      <c r="I71" s="38">
        <f>IF((ዕቁብ!J73/ቦኖ!$C$4&gt;0),1,0)</f>
        <v>1</v>
      </c>
      <c r="J71" s="38">
        <f>IF((ዕቁብ!K73/ቦኖ!$C$4&gt;0),1,0)</f>
        <v>1</v>
      </c>
      <c r="K71" s="38">
        <f>IF((ዕቁብ!L73/ቦኖ!$C$4&gt;0),1,0)</f>
        <v>1</v>
      </c>
      <c r="L71" s="38">
        <f>IF((ዕቁብ!M73/ቦኖ!$C$4&gt;0),1,0)</f>
        <v>1</v>
      </c>
      <c r="M71" s="38">
        <f>IF((ዕቁብ!N73/ቦኖ!$C$4&gt;0),1,0)</f>
        <v>1</v>
      </c>
      <c r="N71" s="38">
        <f>IF((ዕቁብ!O73/ቦኖ!$C$4&gt;0),1,0)</f>
        <v>1</v>
      </c>
      <c r="O71" s="38">
        <f>IF((ዕቁብ!P73/ቦኖ!$C$4&gt;0),1,0)</f>
        <v>1</v>
      </c>
      <c r="P71" s="38">
        <f>IF((ዕቁብ!Q73/ቦኖ!$C$4&gt;0),1,0)</f>
        <v>1</v>
      </c>
      <c r="Q71" s="38">
        <f>IF((ዕቁብ!R73/ቦኖ!$C$4&gt;0),1,0)</f>
        <v>1</v>
      </c>
      <c r="R71" s="38">
        <f>IF((ዕቁብ!S73/ቦኖ!$C$4&gt;0),1,0)</f>
        <v>1</v>
      </c>
      <c r="S71" s="38">
        <f>IF((ዕቁብ!T73/ቦኖ!$C$4&gt;0),1,0)</f>
        <v>1</v>
      </c>
      <c r="T71" s="38">
        <f>IF((ዕቁብ!U73/ቦኖ!$C$4&gt;0),1,0)</f>
        <v>1</v>
      </c>
      <c r="U71" s="38">
        <f>IF((ዕቁብ!V73/ቦኖ!$C$4&gt;0),1,0)</f>
        <v>1</v>
      </c>
      <c r="V71" s="38">
        <f>IF((ዕቁብ!W73/ቦኖ!$C$4&gt;0),1,0)</f>
        <v>1</v>
      </c>
      <c r="W71" s="38">
        <f>IF((ዕቁብ!X73/ቦኖ!$C$4&gt;0),1,0)</f>
        <v>1</v>
      </c>
      <c r="X71" s="38">
        <f>IF((ዕቁብ!Y73/ቦኖ!$C$4&gt;0),1,0)</f>
        <v>1</v>
      </c>
      <c r="Y71" s="38">
        <f>IF((ዕቁብ!Z73/ቦኖ!$C$4&gt;0),1,0)</f>
        <v>1</v>
      </c>
      <c r="Z71" s="38">
        <f>IF((ዕቁብ!AA73/ቦኖ!$C$4&gt;0),1,0)</f>
        <v>1</v>
      </c>
      <c r="AA71" s="38">
        <f>IF((ዕቁብ!AB73/ቦኖ!$C$4&gt;0),1,0)</f>
        <v>1</v>
      </c>
      <c r="AB71" s="38">
        <f>IF((ዕቁብ!AC73/ቦኖ!$C$4&gt;0),1,0)</f>
        <v>1</v>
      </c>
      <c r="AC71" s="38">
        <f>IF((ዕቁብ!AD73/ቦኖ!$C$4&gt;0),1,0)</f>
        <v>1</v>
      </c>
      <c r="AD71" s="38">
        <f>IF((ዕቁብ!AE73/ቦኖ!$C$4&gt;0),1,0)</f>
        <v>1</v>
      </c>
      <c r="AE71" s="38">
        <f>IF((ዕቁብ!AF73/ቦኖ!$C$4&gt;0),1,0)</f>
        <v>1</v>
      </c>
      <c r="AF71" s="38">
        <f>IF((ዕቁብ!AG73/ቦኖ!$C$4&gt;0),1,0)</f>
        <v>1</v>
      </c>
      <c r="AG71" s="38">
        <f>IF((ዕቁብ!AH73/ቦኖ!$C$4&gt;0),1,0)</f>
        <v>1</v>
      </c>
      <c r="AH71" s="38">
        <f>IF((ዕቁብ!AI73/ቦኖ!$C$4&gt;0),1,0)</f>
        <v>1</v>
      </c>
      <c r="AI71" s="38">
        <f>IF((ዕቁብ!AJ73/ቦኖ!$C$4&gt;0),1,0)</f>
        <v>1</v>
      </c>
      <c r="AJ71" s="38">
        <f>IF((ዕቁብ!AK73/ቦኖ!$C$4&gt;0),1,0)</f>
        <v>1</v>
      </c>
      <c r="AK71" s="38">
        <f>IF((ዕቁብ!AL73/ቦኖ!$C$4&gt;0),1,0)</f>
        <v>1</v>
      </c>
      <c r="AL71" s="38">
        <f>IF((ዕቁብ!AM73/ቦኖ!$C$4&gt;0),1,0)</f>
        <v>0</v>
      </c>
      <c r="AM71" s="38">
        <f>IF((ዕቁብ!AN73/ቦኖ!$C$4&gt;0),1,0)</f>
        <v>1</v>
      </c>
      <c r="AN71" s="38">
        <f>IF((ዕቁብ!AO73/ቦኖ!$C$4&gt;0),1,0)</f>
        <v>1</v>
      </c>
      <c r="AO71" s="38">
        <f>IF((ዕቁብ!AP73/ቦኖ!$C$4&gt;0),1,0)</f>
        <v>1</v>
      </c>
      <c r="AP71" s="38">
        <f>IF((ዕቁብ!AQ73/ቦኖ!$C$4&gt;0),1,0)</f>
        <v>1</v>
      </c>
      <c r="AQ71" s="38">
        <f>IF((ዕቁብ!AR73/ቦኖ!$C$4&gt;0),1,0)</f>
        <v>1</v>
      </c>
      <c r="AR71" s="38">
        <f>IF((ዕቁብ!AS73/ቦኖ!$C$4&gt;0),1,0)</f>
        <v>0</v>
      </c>
      <c r="AS71" s="38">
        <f>IF((ዕቁብ!AT73/ቦኖ!$C$4&gt;0),1,0)</f>
        <v>1</v>
      </c>
      <c r="AT71" s="38">
        <f>IF((ዕቁብ!AU73/ቦኖ!$C$4&gt;0),1,0)</f>
        <v>1</v>
      </c>
      <c r="AU71" s="38">
        <f>IF((ዕቁብ!AV73/ቦኖ!$C$4&gt;0),1,0)</f>
        <v>1</v>
      </c>
      <c r="AV71" s="38">
        <f>IF((ዕቁብ!AW73/ቦኖ!$C$4&gt;0),1,0)</f>
        <v>1</v>
      </c>
      <c r="AW71" s="38">
        <f>IF((ዕቁብ!AX73/ቦኖ!$C$4&gt;0),1,0)</f>
        <v>1</v>
      </c>
      <c r="AX71" s="38">
        <f>IF((ዕቁብ!AY73/ቦኖ!$C$4&gt;0),1,0)</f>
        <v>1</v>
      </c>
      <c r="AY71" s="38">
        <f>IF((ዕቁብ!AZ73/ቦኖ!$C$4&gt;0),1,0)</f>
        <v>1</v>
      </c>
      <c r="AZ71" s="38">
        <f>IF((ዕቁብ!BA73/ቦኖ!$C$4&gt;0),1,0)</f>
        <v>1</v>
      </c>
      <c r="BA71" s="38">
        <f>IF((ዕቁብ!BB73/ቦኖ!$C$4&gt;0),1,0)</f>
        <v>1</v>
      </c>
      <c r="BB71" s="38">
        <f>IF((ዕቁብ!BC73/ቦኖ!$C$4&gt;0),1,0)</f>
        <v>1</v>
      </c>
      <c r="BC71" s="38">
        <f>IF((ዕቁብ!BD73/ቦኖ!$C$4&gt;0),1,0)</f>
        <v>1</v>
      </c>
      <c r="BD71" s="38">
        <f>IF((ዕቁብ!BE73/ቦኖ!$C$4&gt;0),1,0)</f>
        <v>1</v>
      </c>
      <c r="BE71" s="38">
        <f>IF((ዕቁብ!BF73/ቦኖ!$C$4&gt;0),1,0)</f>
        <v>1</v>
      </c>
      <c r="BF71" s="38">
        <f>IF((ዕቁብ!BG73/ቦኖ!$C$4&gt;0),1,0)</f>
        <v>1</v>
      </c>
      <c r="BG71" s="38">
        <f>IF((ዕቁብ!BH73/ቦኖ!$C$4&gt;0),1,0)</f>
        <v>1</v>
      </c>
      <c r="BH71" s="38">
        <f>IF((ዕቁብ!BI73/ቦኖ!$C$4&gt;0),1,0)</f>
        <v>1</v>
      </c>
      <c r="BI71" s="38">
        <f>IF((ዕቁብ!BJ73/ቦኖ!$C$4&gt;0),1,0)</f>
        <v>1</v>
      </c>
      <c r="BJ71" s="38">
        <f>IF((ዕቁብ!BK73/ቦኖ!$C$4&gt;0),1,0)</f>
        <v>1</v>
      </c>
      <c r="BK71" s="38">
        <f>IF((ዕቁብ!BL73/ቦኖ!$C$4&gt;0),1,0)</f>
        <v>1</v>
      </c>
      <c r="BL71" s="38">
        <f>IF((ዕቁብ!BM73/ቦኖ!$C$4&gt;0),1,0)</f>
        <v>1</v>
      </c>
      <c r="BM71" s="38">
        <f>IF((ዕቁብ!BN73/ቦኖ!$C$4&gt;0),1,0)</f>
        <v>1</v>
      </c>
      <c r="BN71" s="38">
        <f>IF((ዕቁብ!BO73/ቦኖ!$C$4&gt;0),1,0)</f>
        <v>1</v>
      </c>
      <c r="BO71" s="38">
        <f>IF((ዕቁብ!BP73/ቦኖ!$C$4&gt;0),1,0)</f>
        <v>1</v>
      </c>
      <c r="BP71" s="38">
        <f>IF((ዕቁብ!BQ73/ቦኖ!$C$4&gt;0),1,0)</f>
        <v>1</v>
      </c>
      <c r="BQ71" s="38">
        <f>IF((ዕቁብ!BR73/ቦኖ!$C$4&gt;0),1,0)</f>
        <v>1</v>
      </c>
      <c r="BR71" s="38">
        <f>IF((ዕቁብ!BS73/ቦኖ!$C$4&gt;0),1,0)</f>
        <v>1</v>
      </c>
      <c r="BS71" s="38">
        <f>IF((ዕቁብ!BT73/ቦኖ!$C$4&gt;0),1,0)</f>
        <v>1</v>
      </c>
      <c r="BT71" s="38">
        <f>IF((ዕቁብ!BU73/ቦኖ!$C$4&gt;0),1,0)</f>
        <v>1</v>
      </c>
      <c r="BU71" s="38">
        <f>IF((ዕቁብ!BV73/ቦኖ!$C$4&gt;0),1,0)</f>
        <v>1</v>
      </c>
      <c r="BV71" s="38">
        <f>IF((ዕቁብ!BW73/ቦኖ!$C$4&gt;0),1,0)</f>
        <v>1</v>
      </c>
      <c r="BW71" s="38">
        <f>IF((ዕቁብ!BX73/ቦኖ!$C$4&gt;0),1,0)</f>
        <v>1</v>
      </c>
      <c r="BX71" s="38">
        <f>IF((ዕቁብ!BY73/ቦኖ!$C$4&gt;0),1,0)</f>
        <v>1</v>
      </c>
      <c r="BY71" s="38">
        <f>IF((ዕቁብ!BZ73/ቦኖ!$C$4&gt;0),1,0)</f>
        <v>1</v>
      </c>
      <c r="BZ71" s="38">
        <f>IF((ዕቁብ!CA73/ቦኖ!$C$4&gt;0),1,0)</f>
        <v>1</v>
      </c>
      <c r="CA71" s="38">
        <f>IF((ዕቁብ!CB73/ቦኖ!$C$4&gt;0),1,0)</f>
        <v>1</v>
      </c>
      <c r="CB71" s="38">
        <f>IF((ዕቁብ!CC73/ቦኖ!$C$4&gt;0),1,0)</f>
        <v>1</v>
      </c>
      <c r="CC71" s="38">
        <f>IF((ዕቁብ!CD73/ቦኖ!$C$4&gt;0),1,0)</f>
        <v>1</v>
      </c>
      <c r="CD71" s="38">
        <f>IF((ዕቁብ!CE73/ቦኖ!$C$4&gt;0),1,0)</f>
        <v>1</v>
      </c>
      <c r="CE71" s="38">
        <f>IF((ዕቁብ!CF73/ቦኖ!$C$4&gt;0),1,0)</f>
        <v>1</v>
      </c>
      <c r="CF71" s="38">
        <f>IF((ዕቁብ!CG73/ቦኖ!$C$4&gt;0),1,0)</f>
        <v>1</v>
      </c>
      <c r="CG71" s="38">
        <f>IF((ዕቁብ!CH73/ቦኖ!$C$4&gt;0),1,0)</f>
        <v>1</v>
      </c>
      <c r="CH71" s="38">
        <f>IF((ዕቁብ!CI73/ቦኖ!$C$4&gt;0),1,0)</f>
        <v>1</v>
      </c>
      <c r="CI71" s="38">
        <f>IF((ዕቁብ!CJ73/ቦኖ!$C$4&gt;0),1,0)</f>
        <v>1</v>
      </c>
      <c r="CJ71" s="38">
        <f>IF((ዕቁብ!CK73/ቦኖ!$C$4&gt;0),1,0)</f>
        <v>1</v>
      </c>
      <c r="CK71" s="38">
        <f>IF((ዕቁብ!CL73/ቦኖ!$C$4&gt;0),1,0)</f>
        <v>1</v>
      </c>
      <c r="CL71" s="38">
        <f>IF((ዕቁብ!CM73/ቦኖ!$C$4&gt;0),1,0)</f>
        <v>0</v>
      </c>
      <c r="CM71" s="38">
        <f>IF((ዕቁብ!CN73/ቦኖ!$C$4&gt;0),1,0)</f>
        <v>1</v>
      </c>
      <c r="CN71" s="38">
        <f>IF((ዕቁብ!CO73/ቦኖ!$C$4&gt;0),1,0)</f>
        <v>1</v>
      </c>
      <c r="CO71" s="38">
        <f>IF((ዕቁብ!CP73/ቦኖ!$C$4&gt;0),1,0)</f>
        <v>1</v>
      </c>
      <c r="CP71" s="38">
        <f>IF((ዕቁብ!CQ73/ቦኖ!$C$4&gt;0),1,0)</f>
        <v>1</v>
      </c>
      <c r="CQ71" s="38">
        <f>IF((ዕቁብ!CR73/ቦኖ!$C$4&gt;0),1,0)</f>
        <v>1</v>
      </c>
      <c r="CR71" s="38">
        <f>IF((ዕቁብ!CS73/ቦኖ!$C$4&gt;0),1,0)</f>
        <v>1</v>
      </c>
      <c r="CS71" s="38">
        <f>IF((ዕቁብ!CT73/ቦኖ!$C$4&gt;0),1,0)</f>
        <v>1</v>
      </c>
      <c r="CT71" s="38">
        <f>IF((ዕቁብ!CU73/ቦኖ!$C$4&gt;0),1,0)</f>
        <v>1</v>
      </c>
      <c r="CU71" s="38">
        <f>IF((ዕቁብ!CV73/ቦኖ!$C$4&gt;0),1,0)</f>
        <v>1</v>
      </c>
      <c r="CV71" s="38">
        <f>IF((ዕቁብ!CW73/ቦኖ!$C$4&gt;0),1,0)</f>
        <v>1</v>
      </c>
      <c r="CW71" s="38">
        <f>IF((ዕቁብ!CX73/ቦኖ!$C$4&gt;0),1,0)</f>
        <v>1</v>
      </c>
      <c r="CX71" s="38">
        <f>IF((ዕቁብ!CY73/ቦኖ!$C$4&gt;0),1,0)</f>
        <v>1</v>
      </c>
      <c r="CY71" s="38">
        <f>IF((ዕቁብ!CZ73/ቦኖ!$C$4&gt;0),1,0)</f>
        <v>1</v>
      </c>
      <c r="CZ71" s="38">
        <f>IF((ዕቁብ!DA73/ቦኖ!$C$4&gt;0),1,0)</f>
        <v>1</v>
      </c>
      <c r="DA71" s="38">
        <f>IF((ዕቁብ!DB73/ቦኖ!$C$4&gt;0),1,0)</f>
        <v>1</v>
      </c>
      <c r="DB71" s="38">
        <f>IF((ዕቁብ!DC73/ቦኖ!$C$4&gt;0),1,0)</f>
        <v>1</v>
      </c>
      <c r="DC71" s="38">
        <f>IF((ዕቁብ!DD73/ቦኖ!$C$4&gt;0),1,0)</f>
        <v>1</v>
      </c>
      <c r="DD71" s="38">
        <f>IF((ዕቁብ!DE73/ቦኖ!$C$4&gt;0),1,0)</f>
        <v>0</v>
      </c>
      <c r="DE71" s="38">
        <f>IF((ዕቁብ!DF73/ቦኖ!$C$4&gt;0),1,0)</f>
        <v>1</v>
      </c>
      <c r="DF71" s="38">
        <f>IF((ዕቁብ!DG73/ቦኖ!$C$4&gt;0),1,0)</f>
        <v>1</v>
      </c>
      <c r="DG71" s="38">
        <f>IF((ዕቁብ!DH73/ቦኖ!$C$4&gt;0),1,0)</f>
        <v>1</v>
      </c>
      <c r="DH71" s="38">
        <f>IF((ዕቁብ!DI73/ቦኖ!$C$4&gt;0),1,0)</f>
        <v>0</v>
      </c>
      <c r="DI71" s="38">
        <f>IF((ዕቁብ!DJ73/ቦኖ!$C$4&gt;0),1,0)</f>
        <v>0</v>
      </c>
      <c r="DJ71" s="38">
        <f>IF((ዕቁብ!DK73/ቦኖ!$C$4&gt;0),1,0)</f>
        <v>0</v>
      </c>
      <c r="DK71" s="38">
        <f>IF((ዕቁብ!DL73/ቦኖ!$C$4&gt;0),1,0)</f>
        <v>0</v>
      </c>
      <c r="DL71" s="38">
        <f>IF((ዕቁብ!DM73/ቦኖ!$C$4&gt;0),1,0)</f>
        <v>0</v>
      </c>
      <c r="DM71" s="38">
        <f>IF((ዕቁብ!DN73/ቦኖ!$C$4&gt;0),1,0)</f>
        <v>0</v>
      </c>
      <c r="DN71" s="38">
        <f>IF((ዕቁብ!DO73/ቦኖ!$C$4&gt;0),1,0)</f>
        <v>0</v>
      </c>
      <c r="DO71" s="38">
        <f>IF((ዕቁብ!DP73/ቦኖ!$C$4&gt;0),1,0)</f>
        <v>0</v>
      </c>
      <c r="DP71" s="38">
        <f>IF((ዕቁብ!DQ73/ቦኖ!$C$4&gt;0),1,0)</f>
        <v>0</v>
      </c>
      <c r="DQ71" s="38">
        <f>IF((ዕቁብ!DR73/ቦኖ!$C$4&gt;0),1,0)</f>
        <v>0</v>
      </c>
    </row>
    <row r="72" spans="1:121" ht="15.75" customHeight="1" x14ac:dyDescent="0.3">
      <c r="A72" s="33">
        <f>ዕቁብ!A74</f>
        <v>68</v>
      </c>
      <c r="B72" s="33" t="str">
        <f>ዕቁብ!B74</f>
        <v>አማረ ወርቁ</v>
      </c>
      <c r="C72" s="37">
        <f>ዕቁብ!C74</f>
        <v>21000</v>
      </c>
      <c r="D72" s="38">
        <f>IF((ዕቁብ!E74/ቦኖ!$C$4&gt;0),1,0)</f>
        <v>1</v>
      </c>
      <c r="E72" s="38">
        <f>IF((ዕቁብ!F74/ቦኖ!$C$4&gt;0),1,0)</f>
        <v>1</v>
      </c>
      <c r="F72" s="38">
        <f>IF((ዕቁብ!G74/ቦኖ!$C$4&gt;0),1,0)</f>
        <v>1</v>
      </c>
      <c r="G72" s="38">
        <f>IF((ዕቁብ!H74/ቦኖ!$C$4&gt;0),1,0)</f>
        <v>1</v>
      </c>
      <c r="H72" s="38">
        <f>IF((ዕቁብ!I74/ቦኖ!$C$4&gt;0),1,0)</f>
        <v>1</v>
      </c>
      <c r="I72" s="38">
        <f>IF((ዕቁብ!J74/ቦኖ!$C$4&gt;0),1,0)</f>
        <v>1</v>
      </c>
      <c r="J72" s="38">
        <f>IF((ዕቁብ!K74/ቦኖ!$C$4&gt;0),1,0)</f>
        <v>1</v>
      </c>
      <c r="K72" s="38">
        <f>IF((ዕቁብ!L74/ቦኖ!$C$4&gt;0),1,0)</f>
        <v>1</v>
      </c>
      <c r="L72" s="38">
        <f>IF((ዕቁብ!M74/ቦኖ!$C$4&gt;0),1,0)</f>
        <v>1</v>
      </c>
      <c r="M72" s="38">
        <f>IF((ዕቁብ!N74/ቦኖ!$C$4&gt;0),1,0)</f>
        <v>1</v>
      </c>
      <c r="N72" s="38">
        <f>IF((ዕቁብ!O74/ቦኖ!$C$4&gt;0),1,0)</f>
        <v>1</v>
      </c>
      <c r="O72" s="38">
        <f>IF((ዕቁብ!P74/ቦኖ!$C$4&gt;0),1,0)</f>
        <v>1</v>
      </c>
      <c r="P72" s="38">
        <f>IF((ዕቁብ!Q74/ቦኖ!$C$4&gt;0),1,0)</f>
        <v>1</v>
      </c>
      <c r="Q72" s="38">
        <f>IF((ዕቁብ!R74/ቦኖ!$C$4&gt;0),1,0)</f>
        <v>1</v>
      </c>
      <c r="R72" s="38">
        <f>IF((ዕቁብ!S74/ቦኖ!$C$4&gt;0),1,0)</f>
        <v>1</v>
      </c>
      <c r="S72" s="38">
        <f>IF((ዕቁብ!T74/ቦኖ!$C$4&gt;0),1,0)</f>
        <v>1</v>
      </c>
      <c r="T72" s="38">
        <f>IF((ዕቁብ!U74/ቦኖ!$C$4&gt;0),1,0)</f>
        <v>1</v>
      </c>
      <c r="U72" s="38">
        <f>IF((ዕቁብ!V74/ቦኖ!$C$4&gt;0),1,0)</f>
        <v>1</v>
      </c>
      <c r="V72" s="38">
        <f>IF((ዕቁብ!W74/ቦኖ!$C$4&gt;0),1,0)</f>
        <v>1</v>
      </c>
      <c r="W72" s="38">
        <f>IF((ዕቁብ!X74/ቦኖ!$C$4&gt;0),1,0)</f>
        <v>1</v>
      </c>
      <c r="X72" s="38">
        <f>IF((ዕቁብ!Y74/ቦኖ!$C$4&gt;0),1,0)</f>
        <v>1</v>
      </c>
      <c r="Y72" s="38">
        <f>IF((ዕቁብ!Z74/ቦኖ!$C$4&gt;0),1,0)</f>
        <v>1</v>
      </c>
      <c r="Z72" s="38">
        <f>IF((ዕቁብ!AA74/ቦኖ!$C$4&gt;0),1,0)</f>
        <v>1</v>
      </c>
      <c r="AA72" s="38">
        <f>IF((ዕቁብ!AB74/ቦኖ!$C$4&gt;0),1,0)</f>
        <v>1</v>
      </c>
      <c r="AB72" s="38">
        <f>IF((ዕቁብ!AC74/ቦኖ!$C$4&gt;0),1,0)</f>
        <v>1</v>
      </c>
      <c r="AC72" s="38">
        <f>IF((ዕቁብ!AD74/ቦኖ!$C$4&gt;0),1,0)</f>
        <v>1</v>
      </c>
      <c r="AD72" s="38">
        <f>IF((ዕቁብ!AE74/ቦኖ!$C$4&gt;0),1,0)</f>
        <v>1</v>
      </c>
      <c r="AE72" s="38">
        <f>IF((ዕቁብ!AF74/ቦኖ!$C$4&gt;0),1,0)</f>
        <v>1</v>
      </c>
      <c r="AF72" s="38">
        <f>IF((ዕቁብ!AG74/ቦኖ!$C$4&gt;0),1,0)</f>
        <v>1</v>
      </c>
      <c r="AG72" s="38">
        <f>IF((ዕቁብ!AH74/ቦኖ!$C$4&gt;0),1,0)</f>
        <v>1</v>
      </c>
      <c r="AH72" s="38">
        <f>IF((ዕቁብ!AI74/ቦኖ!$C$4&gt;0),1,0)</f>
        <v>1</v>
      </c>
      <c r="AI72" s="38">
        <f>IF((ዕቁብ!AJ74/ቦኖ!$C$4&gt;0),1,0)</f>
        <v>1</v>
      </c>
      <c r="AJ72" s="38">
        <f>IF((ዕቁብ!AK74/ቦኖ!$C$4&gt;0),1,0)</f>
        <v>1</v>
      </c>
      <c r="AK72" s="38">
        <f>IF((ዕቁብ!AL74/ቦኖ!$C$4&gt;0),1,0)</f>
        <v>1</v>
      </c>
      <c r="AL72" s="38">
        <f>IF((ዕቁብ!AM74/ቦኖ!$C$4&gt;0),1,0)</f>
        <v>1</v>
      </c>
      <c r="AM72" s="38">
        <f>IF((ዕቁብ!AN74/ቦኖ!$C$4&gt;0),1,0)</f>
        <v>1</v>
      </c>
      <c r="AN72" s="38">
        <f>IF((ዕቁብ!AO74/ቦኖ!$C$4&gt;0),1,0)</f>
        <v>1</v>
      </c>
      <c r="AO72" s="38">
        <f>IF((ዕቁብ!AP74/ቦኖ!$C$4&gt;0),1,0)</f>
        <v>1</v>
      </c>
      <c r="AP72" s="38">
        <f>IF((ዕቁብ!AQ74/ቦኖ!$C$4&gt;0),1,0)</f>
        <v>1</v>
      </c>
      <c r="AQ72" s="38">
        <f>IF((ዕቁብ!AR74/ቦኖ!$C$4&gt;0),1,0)</f>
        <v>1</v>
      </c>
      <c r="AR72" s="38">
        <f>IF((ዕቁብ!AS74/ቦኖ!$C$4&gt;0),1,0)</f>
        <v>1</v>
      </c>
      <c r="AS72" s="38">
        <f>IF((ዕቁብ!AT74/ቦኖ!$C$4&gt;0),1,0)</f>
        <v>1</v>
      </c>
      <c r="AT72" s="38">
        <f>IF((ዕቁብ!AU74/ቦኖ!$C$4&gt;0),1,0)</f>
        <v>1</v>
      </c>
      <c r="AU72" s="38">
        <f>IF((ዕቁብ!AV74/ቦኖ!$C$4&gt;0),1,0)</f>
        <v>1</v>
      </c>
      <c r="AV72" s="38">
        <f>IF((ዕቁብ!AW74/ቦኖ!$C$4&gt;0),1,0)</f>
        <v>0</v>
      </c>
      <c r="AW72" s="38">
        <f>IF((ዕቁብ!AX74/ቦኖ!$C$4&gt;0),1,0)</f>
        <v>0</v>
      </c>
      <c r="AX72" s="38">
        <f>IF((ዕቁብ!AY74/ቦኖ!$C$4&gt;0),1,0)</f>
        <v>0</v>
      </c>
      <c r="AY72" s="38">
        <f>IF((ዕቁብ!AZ74/ቦኖ!$C$4&gt;0),1,0)</f>
        <v>1</v>
      </c>
      <c r="AZ72" s="38">
        <f>IF((ዕቁብ!BA74/ቦኖ!$C$4&gt;0),1,0)</f>
        <v>1</v>
      </c>
      <c r="BA72" s="38">
        <f>IF((ዕቁብ!BB74/ቦኖ!$C$4&gt;0),1,0)</f>
        <v>0</v>
      </c>
      <c r="BB72" s="38">
        <f>IF((ዕቁብ!BC74/ቦኖ!$C$4&gt;0),1,0)</f>
        <v>1</v>
      </c>
      <c r="BC72" s="38">
        <f>IF((ዕቁብ!BD74/ቦኖ!$C$4&gt;0),1,0)</f>
        <v>1</v>
      </c>
      <c r="BD72" s="38">
        <f>IF((ዕቁብ!BE74/ቦኖ!$C$4&gt;0),1,0)</f>
        <v>1</v>
      </c>
      <c r="BE72" s="38">
        <f>IF((ዕቁብ!BF74/ቦኖ!$C$4&gt;0),1,0)</f>
        <v>1</v>
      </c>
      <c r="BF72" s="38">
        <f>IF((ዕቁብ!BG74/ቦኖ!$C$4&gt;0),1,0)</f>
        <v>1</v>
      </c>
      <c r="BG72" s="38">
        <f>IF((ዕቁብ!BH74/ቦኖ!$C$4&gt;0),1,0)</f>
        <v>0</v>
      </c>
      <c r="BH72" s="38">
        <f>IF((ዕቁብ!BI74/ቦኖ!$C$4&gt;0),1,0)</f>
        <v>0</v>
      </c>
      <c r="BI72" s="38">
        <f>IF((ዕቁብ!BJ74/ቦኖ!$C$4&gt;0),1,0)</f>
        <v>0</v>
      </c>
      <c r="BJ72" s="38">
        <f>IF((ዕቁብ!BK74/ቦኖ!$C$4&gt;0),1,0)</f>
        <v>1</v>
      </c>
      <c r="BK72" s="38">
        <f>IF((ዕቁብ!BL74/ቦኖ!$C$4&gt;0),1,0)</f>
        <v>0</v>
      </c>
      <c r="BL72" s="38">
        <f>IF((ዕቁብ!BM74/ቦኖ!$C$4&gt;0),1,0)</f>
        <v>0</v>
      </c>
      <c r="BM72" s="38">
        <f>IF((ዕቁብ!BN74/ቦኖ!$C$4&gt;0),1,0)</f>
        <v>0</v>
      </c>
      <c r="BN72" s="38">
        <f>IF((ዕቁብ!BO74/ቦኖ!$C$4&gt;0),1,0)</f>
        <v>0</v>
      </c>
      <c r="BO72" s="38">
        <f>IF((ዕቁብ!BP74/ቦኖ!$C$4&gt;0),1,0)</f>
        <v>0</v>
      </c>
      <c r="BP72" s="38">
        <f>IF((ዕቁብ!BQ74/ቦኖ!$C$4&gt;0),1,0)</f>
        <v>1</v>
      </c>
      <c r="BQ72" s="38">
        <f>IF((ዕቁብ!BR74/ቦኖ!$C$4&gt;0),1,0)</f>
        <v>1</v>
      </c>
      <c r="BR72" s="38">
        <f>IF((ዕቁብ!BS74/ቦኖ!$C$4&gt;0),1,0)</f>
        <v>0</v>
      </c>
      <c r="BS72" s="38">
        <f>IF((ዕቁብ!BT74/ቦኖ!$C$4&gt;0),1,0)</f>
        <v>1</v>
      </c>
      <c r="BT72" s="38">
        <f>IF((ዕቁብ!BU74/ቦኖ!$C$4&gt;0),1,0)</f>
        <v>0</v>
      </c>
      <c r="BU72" s="38">
        <f>IF((ዕቁብ!BV74/ቦኖ!$C$4&gt;0),1,0)</f>
        <v>0</v>
      </c>
      <c r="BV72" s="38">
        <f>IF((ዕቁብ!BW74/ቦኖ!$C$4&gt;0),1,0)</f>
        <v>0</v>
      </c>
      <c r="BW72" s="38">
        <f>IF((ዕቁብ!BX74/ቦኖ!$C$4&gt;0),1,0)</f>
        <v>0</v>
      </c>
      <c r="BX72" s="38">
        <f>IF((ዕቁብ!BY74/ቦኖ!$C$4&gt;0),1,0)</f>
        <v>0</v>
      </c>
      <c r="BY72" s="38">
        <f>IF((ዕቁብ!BZ74/ቦኖ!$C$4&gt;0),1,0)</f>
        <v>0</v>
      </c>
      <c r="BZ72" s="38">
        <f>IF((ዕቁብ!CA74/ቦኖ!$C$4&gt;0),1,0)</f>
        <v>0</v>
      </c>
      <c r="CA72" s="38">
        <f>IF((ዕቁብ!CB74/ቦኖ!$C$4&gt;0),1,0)</f>
        <v>0</v>
      </c>
      <c r="CB72" s="38">
        <f>IF((ዕቁብ!CC74/ቦኖ!$C$4&gt;0),1,0)</f>
        <v>0</v>
      </c>
      <c r="CC72" s="38">
        <f>IF((ዕቁብ!CD74/ቦኖ!$C$4&gt;0),1,0)</f>
        <v>0</v>
      </c>
      <c r="CD72" s="38">
        <f>IF((ዕቁብ!CE74/ቦኖ!$C$4&gt;0),1,0)</f>
        <v>0</v>
      </c>
      <c r="CE72" s="38">
        <f>IF((ዕቁብ!CF74/ቦኖ!$C$4&gt;0),1,0)</f>
        <v>0</v>
      </c>
      <c r="CF72" s="38">
        <f>IF((ዕቁብ!CG74/ቦኖ!$C$4&gt;0),1,0)</f>
        <v>0</v>
      </c>
      <c r="CG72" s="38">
        <f>IF((ዕቁብ!CH74/ቦኖ!$C$4&gt;0),1,0)</f>
        <v>0</v>
      </c>
      <c r="CH72" s="38">
        <f>IF((ዕቁብ!CI74/ቦኖ!$C$4&gt;0),1,0)</f>
        <v>0</v>
      </c>
      <c r="CI72" s="38">
        <f>IF((ዕቁብ!CJ74/ቦኖ!$C$4&gt;0),1,0)</f>
        <v>0</v>
      </c>
      <c r="CJ72" s="38">
        <f>IF((ዕቁብ!CK74/ቦኖ!$C$4&gt;0),1,0)</f>
        <v>0</v>
      </c>
      <c r="CK72" s="38">
        <f>IF((ዕቁብ!CL74/ቦኖ!$C$4&gt;0),1,0)</f>
        <v>0</v>
      </c>
      <c r="CL72" s="38">
        <f>IF((ዕቁብ!CM74/ቦኖ!$C$4&gt;0),1,0)</f>
        <v>1</v>
      </c>
      <c r="CM72" s="38">
        <f>IF((ዕቁብ!CN74/ቦኖ!$C$4&gt;0),1,0)</f>
        <v>0</v>
      </c>
      <c r="CN72" s="38">
        <f>IF((ዕቁብ!CO74/ቦኖ!$C$4&gt;0),1,0)</f>
        <v>0</v>
      </c>
      <c r="CO72" s="38">
        <f>IF((ዕቁብ!CP74/ቦኖ!$C$4&gt;0),1,0)</f>
        <v>1</v>
      </c>
      <c r="CP72" s="38">
        <f>IF((ዕቁብ!CQ74/ቦኖ!$C$4&gt;0),1,0)</f>
        <v>1</v>
      </c>
      <c r="CQ72" s="38">
        <f>IF((ዕቁብ!CR74/ቦኖ!$C$4&gt;0),1,0)</f>
        <v>0</v>
      </c>
      <c r="CR72" s="38">
        <f>IF((ዕቁብ!CS74/ቦኖ!$C$4&gt;0),1,0)</f>
        <v>0</v>
      </c>
      <c r="CS72" s="38">
        <f>IF((ዕቁብ!CT74/ቦኖ!$C$4&gt;0),1,0)</f>
        <v>0</v>
      </c>
      <c r="CT72" s="38">
        <f>IF((ዕቁብ!CU74/ቦኖ!$C$4&gt;0),1,0)</f>
        <v>0</v>
      </c>
      <c r="CU72" s="38">
        <f>IF((ዕቁብ!CV74/ቦኖ!$C$4&gt;0),1,0)</f>
        <v>0</v>
      </c>
      <c r="CV72" s="38">
        <f>IF((ዕቁብ!CW74/ቦኖ!$C$4&gt;0),1,0)</f>
        <v>0</v>
      </c>
      <c r="CW72" s="38">
        <f>IF((ዕቁብ!CX74/ቦኖ!$C$4&gt;0),1,0)</f>
        <v>0</v>
      </c>
      <c r="CX72" s="38">
        <f>IF((ዕቁብ!CY74/ቦኖ!$C$4&gt;0),1,0)</f>
        <v>0</v>
      </c>
      <c r="CY72" s="38">
        <f>IF((ዕቁብ!CZ74/ቦኖ!$C$4&gt;0),1,0)</f>
        <v>0</v>
      </c>
      <c r="CZ72" s="38">
        <f>IF((ዕቁብ!DA74/ቦኖ!$C$4&gt;0),1,0)</f>
        <v>1</v>
      </c>
      <c r="DA72" s="38">
        <f>IF((ዕቁብ!DB74/ቦኖ!$C$4&gt;0),1,0)</f>
        <v>0</v>
      </c>
      <c r="DB72" s="38">
        <f>IF((ዕቁብ!DC74/ቦኖ!$C$4&gt;0),1,0)</f>
        <v>0</v>
      </c>
      <c r="DC72" s="38">
        <f>IF((ዕቁብ!DD74/ቦኖ!$C$4&gt;0),1,0)</f>
        <v>0</v>
      </c>
      <c r="DD72" s="38">
        <f>IF((ዕቁብ!DE74/ቦኖ!$C$4&gt;0),1,0)</f>
        <v>0</v>
      </c>
      <c r="DE72" s="38">
        <f>IF((ዕቁብ!DF74/ቦኖ!$C$4&gt;0),1,0)</f>
        <v>0</v>
      </c>
      <c r="DF72" s="38">
        <f>IF((ዕቁብ!DG74/ቦኖ!$C$4&gt;0),1,0)</f>
        <v>0</v>
      </c>
      <c r="DG72" s="38">
        <f>IF((ዕቁብ!DH74/ቦኖ!$C$4&gt;0),1,0)</f>
        <v>0</v>
      </c>
      <c r="DH72" s="38">
        <f>IF((ዕቁብ!DI74/ቦኖ!$C$4&gt;0),1,0)</f>
        <v>0</v>
      </c>
      <c r="DI72" s="38">
        <f>IF((ዕቁብ!DJ74/ቦኖ!$C$4&gt;0),1,0)</f>
        <v>0</v>
      </c>
      <c r="DJ72" s="38">
        <f>IF((ዕቁብ!DK74/ቦኖ!$C$4&gt;0),1,0)</f>
        <v>0</v>
      </c>
      <c r="DK72" s="38">
        <f>IF((ዕቁብ!DL74/ቦኖ!$C$4&gt;0),1,0)</f>
        <v>0</v>
      </c>
      <c r="DL72" s="38">
        <f>IF((ዕቁብ!DM74/ቦኖ!$C$4&gt;0),1,0)</f>
        <v>0</v>
      </c>
      <c r="DM72" s="38">
        <f>IF((ዕቁብ!DN74/ቦኖ!$C$4&gt;0),1,0)</f>
        <v>0</v>
      </c>
      <c r="DN72" s="38">
        <f>IF((ዕቁብ!DO74/ቦኖ!$C$4&gt;0),1,0)</f>
        <v>0</v>
      </c>
      <c r="DO72" s="38">
        <f>IF((ዕቁብ!DP74/ቦኖ!$C$4&gt;0),1,0)</f>
        <v>0</v>
      </c>
      <c r="DP72" s="38">
        <f>IF((ዕቁብ!DQ74/ቦኖ!$C$4&gt;0),1,0)</f>
        <v>0</v>
      </c>
      <c r="DQ72" s="38">
        <f>IF((ዕቁብ!DR74/ቦኖ!$C$4&gt;0),1,0)</f>
        <v>0</v>
      </c>
    </row>
    <row r="73" spans="1:121" ht="15.75" customHeight="1" x14ac:dyDescent="0.3">
      <c r="A73" s="33">
        <f>ዕቁብ!A75</f>
        <v>69</v>
      </c>
      <c r="B73" s="33" t="str">
        <f>ዕቁብ!B75</f>
        <v>ሄኖክ በቀለ</v>
      </c>
      <c r="C73" s="37">
        <f>ዕቁብ!C75</f>
        <v>21000</v>
      </c>
      <c r="D73" s="38">
        <f>IF((ዕቁብ!E75/ቦኖ!$C$4&gt;0),1,0)</f>
        <v>1</v>
      </c>
      <c r="E73" s="38">
        <f>IF((ዕቁብ!F75/ቦኖ!$C$4&gt;0),1,0)</f>
        <v>1</v>
      </c>
      <c r="F73" s="38">
        <f>IF((ዕቁብ!G75/ቦኖ!$C$4&gt;0),1,0)</f>
        <v>1</v>
      </c>
      <c r="G73" s="38">
        <f>IF((ዕቁብ!H75/ቦኖ!$C$4&gt;0),1,0)</f>
        <v>1</v>
      </c>
      <c r="H73" s="38">
        <f>IF((ዕቁብ!I75/ቦኖ!$C$4&gt;0),1,0)</f>
        <v>1</v>
      </c>
      <c r="I73" s="38">
        <f>IF((ዕቁብ!J75/ቦኖ!$C$4&gt;0),1,0)</f>
        <v>1</v>
      </c>
      <c r="J73" s="38">
        <f>IF((ዕቁብ!K75/ቦኖ!$C$4&gt;0),1,0)</f>
        <v>1</v>
      </c>
      <c r="K73" s="38">
        <f>IF((ዕቁብ!L75/ቦኖ!$C$4&gt;0),1,0)</f>
        <v>1</v>
      </c>
      <c r="L73" s="38">
        <f>IF((ዕቁብ!M75/ቦኖ!$C$4&gt;0),1,0)</f>
        <v>1</v>
      </c>
      <c r="M73" s="38">
        <f>IF((ዕቁብ!N75/ቦኖ!$C$4&gt;0),1,0)</f>
        <v>1</v>
      </c>
      <c r="N73" s="38">
        <f>IF((ዕቁብ!O75/ቦኖ!$C$4&gt;0),1,0)</f>
        <v>1</v>
      </c>
      <c r="O73" s="38">
        <f>IF((ዕቁብ!P75/ቦኖ!$C$4&gt;0),1,0)</f>
        <v>1</v>
      </c>
      <c r="P73" s="38">
        <f>IF((ዕቁብ!Q75/ቦኖ!$C$4&gt;0),1,0)</f>
        <v>1</v>
      </c>
      <c r="Q73" s="38">
        <f>IF((ዕቁብ!R75/ቦኖ!$C$4&gt;0),1,0)</f>
        <v>1</v>
      </c>
      <c r="R73" s="38">
        <f>IF((ዕቁብ!S75/ቦኖ!$C$4&gt;0),1,0)</f>
        <v>1</v>
      </c>
      <c r="S73" s="38">
        <f>IF((ዕቁብ!T75/ቦኖ!$C$4&gt;0),1,0)</f>
        <v>1</v>
      </c>
      <c r="T73" s="38">
        <f>IF((ዕቁብ!U75/ቦኖ!$C$4&gt;0),1,0)</f>
        <v>1</v>
      </c>
      <c r="U73" s="38">
        <f>IF((ዕቁብ!V75/ቦኖ!$C$4&gt;0),1,0)</f>
        <v>1</v>
      </c>
      <c r="V73" s="38">
        <f>IF((ዕቁብ!W75/ቦኖ!$C$4&gt;0),1,0)</f>
        <v>1</v>
      </c>
      <c r="W73" s="38">
        <f>IF((ዕቁብ!X75/ቦኖ!$C$4&gt;0),1,0)</f>
        <v>1</v>
      </c>
      <c r="X73" s="38">
        <f>IF((ዕቁብ!Y75/ቦኖ!$C$4&gt;0),1,0)</f>
        <v>1</v>
      </c>
      <c r="Y73" s="38">
        <f>IF((ዕቁብ!Z75/ቦኖ!$C$4&gt;0),1,0)</f>
        <v>1</v>
      </c>
      <c r="Z73" s="38">
        <f>IF((ዕቁብ!AA75/ቦኖ!$C$4&gt;0),1,0)</f>
        <v>1</v>
      </c>
      <c r="AA73" s="38">
        <f>IF((ዕቁብ!AB75/ቦኖ!$C$4&gt;0),1,0)</f>
        <v>1</v>
      </c>
      <c r="AB73" s="38">
        <f>IF((ዕቁብ!AC75/ቦኖ!$C$4&gt;0),1,0)</f>
        <v>1</v>
      </c>
      <c r="AC73" s="38">
        <f>IF((ዕቁብ!AD75/ቦኖ!$C$4&gt;0),1,0)</f>
        <v>1</v>
      </c>
      <c r="AD73" s="38">
        <f>IF((ዕቁብ!AE75/ቦኖ!$C$4&gt;0),1,0)</f>
        <v>1</v>
      </c>
      <c r="AE73" s="38">
        <f>IF((ዕቁብ!AF75/ቦኖ!$C$4&gt;0),1,0)</f>
        <v>1</v>
      </c>
      <c r="AF73" s="38">
        <f>IF((ዕቁብ!AG75/ቦኖ!$C$4&gt;0),1,0)</f>
        <v>0</v>
      </c>
      <c r="AG73" s="38">
        <f>IF((ዕቁብ!AH75/ቦኖ!$C$4&gt;0),1,0)</f>
        <v>1</v>
      </c>
      <c r="AH73" s="38">
        <f>IF((ዕቁብ!AI75/ቦኖ!$C$4&gt;0),1,0)</f>
        <v>1</v>
      </c>
      <c r="AI73" s="38">
        <f>IF((ዕቁብ!AJ75/ቦኖ!$C$4&gt;0),1,0)</f>
        <v>1</v>
      </c>
      <c r="AJ73" s="38">
        <f>IF((ዕቁብ!AK75/ቦኖ!$C$4&gt;0),1,0)</f>
        <v>1</v>
      </c>
      <c r="AK73" s="38">
        <f>IF((ዕቁብ!AL75/ቦኖ!$C$4&gt;0),1,0)</f>
        <v>1</v>
      </c>
      <c r="AL73" s="38">
        <f>IF((ዕቁብ!AM75/ቦኖ!$C$4&gt;0),1,0)</f>
        <v>1</v>
      </c>
      <c r="AM73" s="38">
        <f>IF((ዕቁብ!AN75/ቦኖ!$C$4&gt;0),1,0)</f>
        <v>1</v>
      </c>
      <c r="AN73" s="38">
        <f>IF((ዕቁብ!AO75/ቦኖ!$C$4&gt;0),1,0)</f>
        <v>1</v>
      </c>
      <c r="AO73" s="38">
        <f>IF((ዕቁብ!AP75/ቦኖ!$C$4&gt;0),1,0)</f>
        <v>1</v>
      </c>
      <c r="AP73" s="38">
        <f>IF((ዕቁብ!AQ75/ቦኖ!$C$4&gt;0),1,0)</f>
        <v>1</v>
      </c>
      <c r="AQ73" s="38">
        <f>IF((ዕቁብ!AR75/ቦኖ!$C$4&gt;0),1,0)</f>
        <v>1</v>
      </c>
      <c r="AR73" s="38">
        <f>IF((ዕቁብ!AS75/ቦኖ!$C$4&gt;0),1,0)</f>
        <v>1</v>
      </c>
      <c r="AS73" s="38">
        <f>IF((ዕቁብ!AT75/ቦኖ!$C$4&gt;0),1,0)</f>
        <v>1</v>
      </c>
      <c r="AT73" s="38">
        <f>IF((ዕቁብ!AU75/ቦኖ!$C$4&gt;0),1,0)</f>
        <v>1</v>
      </c>
      <c r="AU73" s="38">
        <f>IF((ዕቁብ!AV75/ቦኖ!$C$4&gt;0),1,0)</f>
        <v>0</v>
      </c>
      <c r="AV73" s="38">
        <f>IF((ዕቁብ!AW75/ቦኖ!$C$4&gt;0),1,0)</f>
        <v>1</v>
      </c>
      <c r="AW73" s="38">
        <f>IF((ዕቁብ!AX75/ቦኖ!$C$4&gt;0),1,0)</f>
        <v>1</v>
      </c>
      <c r="AX73" s="38">
        <f>IF((ዕቁብ!AY75/ቦኖ!$C$4&gt;0),1,0)</f>
        <v>1</v>
      </c>
      <c r="AY73" s="38">
        <f>IF((ዕቁብ!AZ75/ቦኖ!$C$4&gt;0),1,0)</f>
        <v>1</v>
      </c>
      <c r="AZ73" s="38">
        <f>IF((ዕቁብ!BA75/ቦኖ!$C$4&gt;0),1,0)</f>
        <v>1</v>
      </c>
      <c r="BA73" s="38">
        <f>IF((ዕቁብ!BB75/ቦኖ!$C$4&gt;0),1,0)</f>
        <v>1</v>
      </c>
      <c r="BB73" s="38">
        <f>IF((ዕቁብ!BC75/ቦኖ!$C$4&gt;0),1,0)</f>
        <v>1</v>
      </c>
      <c r="BC73" s="38">
        <f>IF((ዕቁብ!BD75/ቦኖ!$C$4&gt;0),1,0)</f>
        <v>0</v>
      </c>
      <c r="BD73" s="38">
        <f>IF((ዕቁብ!BE75/ቦኖ!$C$4&gt;0),1,0)</f>
        <v>1</v>
      </c>
      <c r="BE73" s="38">
        <f>IF((ዕቁብ!BF75/ቦኖ!$C$4&gt;0),1,0)</f>
        <v>1</v>
      </c>
      <c r="BF73" s="38">
        <f>IF((ዕቁብ!BG75/ቦኖ!$C$4&gt;0),1,0)</f>
        <v>1</v>
      </c>
      <c r="BG73" s="38">
        <f>IF((ዕቁብ!BH75/ቦኖ!$C$4&gt;0),1,0)</f>
        <v>1</v>
      </c>
      <c r="BH73" s="38">
        <f>IF((ዕቁብ!BI75/ቦኖ!$C$4&gt;0),1,0)</f>
        <v>1</v>
      </c>
      <c r="BI73" s="38">
        <f>IF((ዕቁብ!BJ75/ቦኖ!$C$4&gt;0),1,0)</f>
        <v>1</v>
      </c>
      <c r="BJ73" s="38">
        <f>IF((ዕቁብ!BK75/ቦኖ!$C$4&gt;0),1,0)</f>
        <v>1</v>
      </c>
      <c r="BK73" s="38">
        <f>IF((ዕቁብ!BL75/ቦኖ!$C$4&gt;0),1,0)</f>
        <v>1</v>
      </c>
      <c r="BL73" s="38">
        <f>IF((ዕቁብ!BM75/ቦኖ!$C$4&gt;0),1,0)</f>
        <v>1</v>
      </c>
      <c r="BM73" s="38">
        <f>IF((ዕቁብ!BN75/ቦኖ!$C$4&gt;0),1,0)</f>
        <v>0</v>
      </c>
      <c r="BN73" s="38">
        <f>IF((ዕቁብ!BO75/ቦኖ!$C$4&gt;0),1,0)</f>
        <v>1</v>
      </c>
      <c r="BO73" s="38">
        <f>IF((ዕቁብ!BP75/ቦኖ!$C$4&gt;0),1,0)</f>
        <v>1</v>
      </c>
      <c r="BP73" s="38">
        <f>IF((ዕቁብ!BQ75/ቦኖ!$C$4&gt;0),1,0)</f>
        <v>1</v>
      </c>
      <c r="BQ73" s="38">
        <f>IF((ዕቁብ!BR75/ቦኖ!$C$4&gt;0),1,0)</f>
        <v>1</v>
      </c>
      <c r="BR73" s="38">
        <f>IF((ዕቁብ!BS75/ቦኖ!$C$4&gt;0),1,0)</f>
        <v>1</v>
      </c>
      <c r="BS73" s="38">
        <f>IF((ዕቁብ!BT75/ቦኖ!$C$4&gt;0),1,0)</f>
        <v>1</v>
      </c>
      <c r="BT73" s="38">
        <f>IF((ዕቁብ!BU75/ቦኖ!$C$4&gt;0),1,0)</f>
        <v>1</v>
      </c>
      <c r="BU73" s="38">
        <f>IF((ዕቁብ!BV75/ቦኖ!$C$4&gt;0),1,0)</f>
        <v>1</v>
      </c>
      <c r="BV73" s="38">
        <f>IF((ዕቁብ!BW75/ቦኖ!$C$4&gt;0),1,0)</f>
        <v>1</v>
      </c>
      <c r="BW73" s="38">
        <f>IF((ዕቁብ!BX75/ቦኖ!$C$4&gt;0),1,0)</f>
        <v>0</v>
      </c>
      <c r="BX73" s="38">
        <f>IF((ዕቁብ!BY75/ቦኖ!$C$4&gt;0),1,0)</f>
        <v>1</v>
      </c>
      <c r="BY73" s="38">
        <f>IF((ዕቁብ!BZ75/ቦኖ!$C$4&gt;0),1,0)</f>
        <v>0</v>
      </c>
      <c r="BZ73" s="38">
        <f>IF((ዕቁብ!CA75/ቦኖ!$C$4&gt;0),1,0)</f>
        <v>0</v>
      </c>
      <c r="CA73" s="38">
        <f>IF((ዕቁብ!CB75/ቦኖ!$C$4&gt;0),1,0)</f>
        <v>0</v>
      </c>
      <c r="CB73" s="38">
        <f>IF((ዕቁብ!CC75/ቦኖ!$C$4&gt;0),1,0)</f>
        <v>0</v>
      </c>
      <c r="CC73" s="38">
        <f>IF((ዕቁብ!CD75/ቦኖ!$C$4&gt;0),1,0)</f>
        <v>0</v>
      </c>
      <c r="CD73" s="38">
        <f>IF((ዕቁብ!CE75/ቦኖ!$C$4&gt;0),1,0)</f>
        <v>0</v>
      </c>
      <c r="CE73" s="38">
        <f>IF((ዕቁብ!CF75/ቦኖ!$C$4&gt;0),1,0)</f>
        <v>1</v>
      </c>
      <c r="CF73" s="38">
        <f>IF((ዕቁብ!CG75/ቦኖ!$C$4&gt;0),1,0)</f>
        <v>1</v>
      </c>
      <c r="CG73" s="38">
        <f>IF((ዕቁብ!CH75/ቦኖ!$C$4&gt;0),1,0)</f>
        <v>1</v>
      </c>
      <c r="CH73" s="38">
        <f>IF((ዕቁብ!CI75/ቦኖ!$C$4&gt;0),1,0)</f>
        <v>1</v>
      </c>
      <c r="CI73" s="38">
        <f>IF((ዕቁብ!CJ75/ቦኖ!$C$4&gt;0),1,0)</f>
        <v>1</v>
      </c>
      <c r="CJ73" s="38">
        <f>IF((ዕቁብ!CK75/ቦኖ!$C$4&gt;0),1,0)</f>
        <v>0</v>
      </c>
      <c r="CK73" s="38">
        <f>IF((ዕቁብ!CL75/ቦኖ!$C$4&gt;0),1,0)</f>
        <v>0</v>
      </c>
      <c r="CL73" s="38">
        <f>IF((ዕቁብ!CM75/ቦኖ!$C$4&gt;0),1,0)</f>
        <v>1</v>
      </c>
      <c r="CM73" s="38">
        <f>IF((ዕቁብ!CN75/ቦኖ!$C$4&gt;0),1,0)</f>
        <v>1</v>
      </c>
      <c r="CN73" s="38">
        <f>IF((ዕቁብ!CO75/ቦኖ!$C$4&gt;0),1,0)</f>
        <v>0</v>
      </c>
      <c r="CO73" s="38">
        <f>IF((ዕቁብ!CP75/ቦኖ!$C$4&gt;0),1,0)</f>
        <v>0</v>
      </c>
      <c r="CP73" s="38">
        <f>IF((ዕቁብ!CQ75/ቦኖ!$C$4&gt;0),1,0)</f>
        <v>0</v>
      </c>
      <c r="CQ73" s="38">
        <f>IF((ዕቁብ!CR75/ቦኖ!$C$4&gt;0),1,0)</f>
        <v>1</v>
      </c>
      <c r="CR73" s="38">
        <f>IF((ዕቁብ!CS75/ቦኖ!$C$4&gt;0),1,0)</f>
        <v>0</v>
      </c>
      <c r="CS73" s="38">
        <f>IF((ዕቁብ!CT75/ቦኖ!$C$4&gt;0),1,0)</f>
        <v>1</v>
      </c>
      <c r="CT73" s="38">
        <f>IF((ዕቁብ!CU75/ቦኖ!$C$4&gt;0),1,0)</f>
        <v>0</v>
      </c>
      <c r="CU73" s="38">
        <f>IF((ዕቁብ!CV75/ቦኖ!$C$4&gt;0),1,0)</f>
        <v>1</v>
      </c>
      <c r="CV73" s="38">
        <f>IF((ዕቁብ!CW75/ቦኖ!$C$4&gt;0),1,0)</f>
        <v>0</v>
      </c>
      <c r="CW73" s="38">
        <f>IF((ዕቁብ!CX75/ቦኖ!$C$4&gt;0),1,0)</f>
        <v>1</v>
      </c>
      <c r="CX73" s="38">
        <f>IF((ዕቁብ!CY75/ቦኖ!$C$4&gt;0),1,0)</f>
        <v>1</v>
      </c>
      <c r="CY73" s="38">
        <f>IF((ዕቁብ!CZ75/ቦኖ!$C$4&gt;0),1,0)</f>
        <v>1</v>
      </c>
      <c r="CZ73" s="38">
        <f>IF((ዕቁብ!DA75/ቦኖ!$C$4&gt;0),1,0)</f>
        <v>1</v>
      </c>
      <c r="DA73" s="38">
        <f>IF((ዕቁብ!DB75/ቦኖ!$C$4&gt;0),1,0)</f>
        <v>1</v>
      </c>
      <c r="DB73" s="38">
        <f>IF((ዕቁብ!DC75/ቦኖ!$C$4&gt;0),1,0)</f>
        <v>0</v>
      </c>
      <c r="DC73" s="38">
        <f>IF((ዕቁብ!DD75/ቦኖ!$C$4&gt;0),1,0)</f>
        <v>1</v>
      </c>
      <c r="DD73" s="38">
        <f>IF((ዕቁብ!DE75/ቦኖ!$C$4&gt;0),1,0)</f>
        <v>1</v>
      </c>
      <c r="DE73" s="38">
        <f>IF((ዕቁብ!DF75/ቦኖ!$C$4&gt;0),1,0)</f>
        <v>0</v>
      </c>
      <c r="DF73" s="38">
        <f>IF((ዕቁብ!DG75/ቦኖ!$C$4&gt;0),1,0)</f>
        <v>1</v>
      </c>
      <c r="DG73" s="38">
        <f>IF((ዕቁብ!DH75/ቦኖ!$C$4&gt;0),1,0)</f>
        <v>1</v>
      </c>
      <c r="DH73" s="38">
        <f>IF((ዕቁብ!DI75/ቦኖ!$C$4&gt;0),1,0)</f>
        <v>0</v>
      </c>
      <c r="DI73" s="38">
        <f>IF((ዕቁብ!DJ75/ቦኖ!$C$4&gt;0),1,0)</f>
        <v>0</v>
      </c>
      <c r="DJ73" s="38">
        <f>IF((ዕቁብ!DK75/ቦኖ!$C$4&gt;0),1,0)</f>
        <v>0</v>
      </c>
      <c r="DK73" s="38">
        <f>IF((ዕቁብ!DL75/ቦኖ!$C$4&gt;0),1,0)</f>
        <v>0</v>
      </c>
      <c r="DL73" s="38">
        <f>IF((ዕቁብ!DM75/ቦኖ!$C$4&gt;0),1,0)</f>
        <v>0</v>
      </c>
      <c r="DM73" s="38">
        <f>IF((ዕቁብ!DN75/ቦኖ!$C$4&gt;0),1,0)</f>
        <v>0</v>
      </c>
      <c r="DN73" s="38">
        <f>IF((ዕቁብ!DO75/ቦኖ!$C$4&gt;0),1,0)</f>
        <v>0</v>
      </c>
      <c r="DO73" s="38">
        <f>IF((ዕቁብ!DP75/ቦኖ!$C$4&gt;0),1,0)</f>
        <v>0</v>
      </c>
      <c r="DP73" s="38">
        <f>IF((ዕቁብ!DQ75/ቦኖ!$C$4&gt;0),1,0)</f>
        <v>0</v>
      </c>
      <c r="DQ73" s="38">
        <f>IF((ዕቁብ!DR75/ቦኖ!$C$4&gt;0),1,0)</f>
        <v>0</v>
      </c>
    </row>
    <row r="74" spans="1:121" ht="15.75" customHeight="1" x14ac:dyDescent="0.3">
      <c r="A74" s="33">
        <f>ዕቁብ!A76</f>
        <v>70</v>
      </c>
      <c r="B74" s="33" t="str">
        <f>ዕቁብ!B76</f>
        <v>ጥሩወርቅ አንዳርጌ</v>
      </c>
      <c r="C74" s="37">
        <f>ዕቁብ!C76</f>
        <v>21000</v>
      </c>
      <c r="D74" s="38">
        <f>IF((ዕቁብ!E76/ቦኖ!$C$4&gt;0),1,0)</f>
        <v>1</v>
      </c>
      <c r="E74" s="38">
        <f>IF((ዕቁብ!F76/ቦኖ!$C$4&gt;0),1,0)</f>
        <v>1</v>
      </c>
      <c r="F74" s="38">
        <f>IF((ዕቁብ!G76/ቦኖ!$C$4&gt;0),1,0)</f>
        <v>1</v>
      </c>
      <c r="G74" s="38">
        <f>IF((ዕቁብ!H76/ቦኖ!$C$4&gt;0),1,0)</f>
        <v>1</v>
      </c>
      <c r="H74" s="38">
        <f>IF((ዕቁብ!I76/ቦኖ!$C$4&gt;0),1,0)</f>
        <v>1</v>
      </c>
      <c r="I74" s="38">
        <f>IF((ዕቁብ!J76/ቦኖ!$C$4&gt;0),1,0)</f>
        <v>1</v>
      </c>
      <c r="J74" s="38">
        <f>IF((ዕቁብ!K76/ቦኖ!$C$4&gt;0),1,0)</f>
        <v>1</v>
      </c>
      <c r="K74" s="38">
        <f>IF((ዕቁብ!L76/ቦኖ!$C$4&gt;0),1,0)</f>
        <v>1</v>
      </c>
      <c r="L74" s="38">
        <f>IF((ዕቁብ!M76/ቦኖ!$C$4&gt;0),1,0)</f>
        <v>1</v>
      </c>
      <c r="M74" s="38">
        <f>IF((ዕቁብ!N76/ቦኖ!$C$4&gt;0),1,0)</f>
        <v>1</v>
      </c>
      <c r="N74" s="38">
        <f>IF((ዕቁብ!O76/ቦኖ!$C$4&gt;0),1,0)</f>
        <v>1</v>
      </c>
      <c r="O74" s="38">
        <f>IF((ዕቁብ!P76/ቦኖ!$C$4&gt;0),1,0)</f>
        <v>1</v>
      </c>
      <c r="P74" s="38">
        <f>IF((ዕቁብ!Q76/ቦኖ!$C$4&gt;0),1,0)</f>
        <v>1</v>
      </c>
      <c r="Q74" s="38">
        <f>IF((ዕቁብ!R76/ቦኖ!$C$4&gt;0),1,0)</f>
        <v>1</v>
      </c>
      <c r="R74" s="38">
        <f>IF((ዕቁብ!S76/ቦኖ!$C$4&gt;0),1,0)</f>
        <v>1</v>
      </c>
      <c r="S74" s="38">
        <f>IF((ዕቁብ!T76/ቦኖ!$C$4&gt;0),1,0)</f>
        <v>1</v>
      </c>
      <c r="T74" s="38">
        <f>IF((ዕቁብ!U76/ቦኖ!$C$4&gt;0),1,0)</f>
        <v>1</v>
      </c>
      <c r="U74" s="38">
        <f>IF((ዕቁብ!V76/ቦኖ!$C$4&gt;0),1,0)</f>
        <v>1</v>
      </c>
      <c r="V74" s="38">
        <f>IF((ዕቁብ!W76/ቦኖ!$C$4&gt;0),1,0)</f>
        <v>1</v>
      </c>
      <c r="W74" s="38">
        <f>IF((ዕቁብ!X76/ቦኖ!$C$4&gt;0),1,0)</f>
        <v>1</v>
      </c>
      <c r="X74" s="38">
        <f>IF((ዕቁብ!Y76/ቦኖ!$C$4&gt;0),1,0)</f>
        <v>1</v>
      </c>
      <c r="Y74" s="38">
        <f>IF((ዕቁብ!Z76/ቦኖ!$C$4&gt;0),1,0)</f>
        <v>1</v>
      </c>
      <c r="Z74" s="38">
        <f>IF((ዕቁብ!AA76/ቦኖ!$C$4&gt;0),1,0)</f>
        <v>1</v>
      </c>
      <c r="AA74" s="38">
        <f>IF((ዕቁብ!AB76/ቦኖ!$C$4&gt;0),1,0)</f>
        <v>1</v>
      </c>
      <c r="AB74" s="38">
        <f>IF((ዕቁብ!AC76/ቦኖ!$C$4&gt;0),1,0)</f>
        <v>1</v>
      </c>
      <c r="AC74" s="38">
        <f>IF((ዕቁብ!AD76/ቦኖ!$C$4&gt;0),1,0)</f>
        <v>1</v>
      </c>
      <c r="AD74" s="38">
        <f>IF((ዕቁብ!AE76/ቦኖ!$C$4&gt;0),1,0)</f>
        <v>1</v>
      </c>
      <c r="AE74" s="38">
        <f>IF((ዕቁብ!AF76/ቦኖ!$C$4&gt;0),1,0)</f>
        <v>1</v>
      </c>
      <c r="AF74" s="38">
        <f>IF((ዕቁብ!AG76/ቦኖ!$C$4&gt;0),1,0)</f>
        <v>1</v>
      </c>
      <c r="AG74" s="38">
        <f>IF((ዕቁብ!AH76/ቦኖ!$C$4&gt;0),1,0)</f>
        <v>1</v>
      </c>
      <c r="AH74" s="38">
        <f>IF((ዕቁብ!AI76/ቦኖ!$C$4&gt;0),1,0)</f>
        <v>1</v>
      </c>
      <c r="AI74" s="38">
        <f>IF((ዕቁብ!AJ76/ቦኖ!$C$4&gt;0),1,0)</f>
        <v>1</v>
      </c>
      <c r="AJ74" s="38">
        <f>IF((ዕቁብ!AK76/ቦኖ!$C$4&gt;0),1,0)</f>
        <v>1</v>
      </c>
      <c r="AK74" s="38">
        <f>IF((ዕቁብ!AL76/ቦኖ!$C$4&gt;0),1,0)</f>
        <v>1</v>
      </c>
      <c r="AL74" s="38">
        <f>IF((ዕቁብ!AM76/ቦኖ!$C$4&gt;0),1,0)</f>
        <v>1</v>
      </c>
      <c r="AM74" s="38">
        <f>IF((ዕቁብ!AN76/ቦኖ!$C$4&gt;0),1,0)</f>
        <v>1</v>
      </c>
      <c r="AN74" s="38">
        <f>IF((ዕቁብ!AO76/ቦኖ!$C$4&gt;0),1,0)</f>
        <v>1</v>
      </c>
      <c r="AO74" s="38">
        <f>IF((ዕቁብ!AP76/ቦኖ!$C$4&gt;0),1,0)</f>
        <v>1</v>
      </c>
      <c r="AP74" s="38">
        <f>IF((ዕቁብ!AQ76/ቦኖ!$C$4&gt;0),1,0)</f>
        <v>1</v>
      </c>
      <c r="AQ74" s="38">
        <f>IF((ዕቁብ!AR76/ቦኖ!$C$4&gt;0),1,0)</f>
        <v>1</v>
      </c>
      <c r="AR74" s="38">
        <f>IF((ዕቁብ!AS76/ቦኖ!$C$4&gt;0),1,0)</f>
        <v>1</v>
      </c>
      <c r="AS74" s="38">
        <f>IF((ዕቁብ!AT76/ቦኖ!$C$4&gt;0),1,0)</f>
        <v>1</v>
      </c>
      <c r="AT74" s="38">
        <f>IF((ዕቁብ!AU76/ቦኖ!$C$4&gt;0),1,0)</f>
        <v>1</v>
      </c>
      <c r="AU74" s="38">
        <f>IF((ዕቁብ!AV76/ቦኖ!$C$4&gt;0),1,0)</f>
        <v>0</v>
      </c>
      <c r="AV74" s="38">
        <f>IF((ዕቁብ!AW76/ቦኖ!$C$4&gt;0),1,0)</f>
        <v>1</v>
      </c>
      <c r="AW74" s="38">
        <f>IF((ዕቁብ!AX76/ቦኖ!$C$4&gt;0),1,0)</f>
        <v>1</v>
      </c>
      <c r="AX74" s="38">
        <f>IF((ዕቁብ!AY76/ቦኖ!$C$4&gt;0),1,0)</f>
        <v>1</v>
      </c>
      <c r="AY74" s="38">
        <f>IF((ዕቁብ!AZ76/ቦኖ!$C$4&gt;0),1,0)</f>
        <v>1</v>
      </c>
      <c r="AZ74" s="38">
        <f>IF((ዕቁብ!BA76/ቦኖ!$C$4&gt;0),1,0)</f>
        <v>1</v>
      </c>
      <c r="BA74" s="38">
        <f>IF((ዕቁብ!BB76/ቦኖ!$C$4&gt;0),1,0)</f>
        <v>1</v>
      </c>
      <c r="BB74" s="38">
        <f>IF((ዕቁብ!BC76/ቦኖ!$C$4&gt;0),1,0)</f>
        <v>1</v>
      </c>
      <c r="BC74" s="38">
        <f>IF((ዕቁብ!BD76/ቦኖ!$C$4&gt;0),1,0)</f>
        <v>1</v>
      </c>
      <c r="BD74" s="38">
        <f>IF((ዕቁብ!BE76/ቦኖ!$C$4&gt;0),1,0)</f>
        <v>1</v>
      </c>
      <c r="BE74" s="38">
        <f>IF((ዕቁብ!BF76/ቦኖ!$C$4&gt;0),1,0)</f>
        <v>1</v>
      </c>
      <c r="BF74" s="38">
        <f>IF((ዕቁብ!BG76/ቦኖ!$C$4&gt;0),1,0)</f>
        <v>1</v>
      </c>
      <c r="BG74" s="38">
        <f>IF((ዕቁብ!BH76/ቦኖ!$C$4&gt;0),1,0)</f>
        <v>1</v>
      </c>
      <c r="BH74" s="38">
        <f>IF((ዕቁብ!BI76/ቦኖ!$C$4&gt;0),1,0)</f>
        <v>1</v>
      </c>
      <c r="BI74" s="38">
        <f>IF((ዕቁብ!BJ76/ቦኖ!$C$4&gt;0),1,0)</f>
        <v>0</v>
      </c>
      <c r="BJ74" s="38">
        <f>IF((ዕቁብ!BK76/ቦኖ!$C$4&gt;0),1,0)</f>
        <v>1</v>
      </c>
      <c r="BK74" s="38">
        <f>IF((ዕቁብ!BL76/ቦኖ!$C$4&gt;0),1,0)</f>
        <v>1</v>
      </c>
      <c r="BL74" s="38">
        <f>IF((ዕቁብ!BM76/ቦኖ!$C$4&gt;0),1,0)</f>
        <v>1</v>
      </c>
      <c r="BM74" s="38">
        <f>IF((ዕቁብ!BN76/ቦኖ!$C$4&gt;0),1,0)</f>
        <v>0</v>
      </c>
      <c r="BN74" s="38">
        <f>IF((ዕቁብ!BO76/ቦኖ!$C$4&gt;0),1,0)</f>
        <v>1</v>
      </c>
      <c r="BO74" s="38">
        <f>IF((ዕቁብ!BP76/ቦኖ!$C$4&gt;0),1,0)</f>
        <v>0</v>
      </c>
      <c r="BP74" s="38">
        <f>IF((ዕቁብ!BQ76/ቦኖ!$C$4&gt;0),1,0)</f>
        <v>1</v>
      </c>
      <c r="BQ74" s="38">
        <f>IF((ዕቁብ!BR76/ቦኖ!$C$4&gt;0),1,0)</f>
        <v>1</v>
      </c>
      <c r="BR74" s="38">
        <f>IF((ዕቁብ!BS76/ቦኖ!$C$4&gt;0),1,0)</f>
        <v>0</v>
      </c>
      <c r="BS74" s="38">
        <f>IF((ዕቁብ!BT76/ቦኖ!$C$4&gt;0),1,0)</f>
        <v>1</v>
      </c>
      <c r="BT74" s="38">
        <f>IF((ዕቁብ!BU76/ቦኖ!$C$4&gt;0),1,0)</f>
        <v>1</v>
      </c>
      <c r="BU74" s="38">
        <f>IF((ዕቁብ!BV76/ቦኖ!$C$4&gt;0),1,0)</f>
        <v>1</v>
      </c>
      <c r="BV74" s="38">
        <f>IF((ዕቁብ!BW76/ቦኖ!$C$4&gt;0),1,0)</f>
        <v>0</v>
      </c>
      <c r="BW74" s="38">
        <f>IF((ዕቁብ!BX76/ቦኖ!$C$4&gt;0),1,0)</f>
        <v>1</v>
      </c>
      <c r="BX74" s="38">
        <f>IF((ዕቁብ!BY76/ቦኖ!$C$4&gt;0),1,0)</f>
        <v>1</v>
      </c>
      <c r="BY74" s="38">
        <f>IF((ዕቁብ!BZ76/ቦኖ!$C$4&gt;0),1,0)</f>
        <v>1</v>
      </c>
      <c r="BZ74" s="38">
        <f>IF((ዕቁብ!CA76/ቦኖ!$C$4&gt;0),1,0)</f>
        <v>1</v>
      </c>
      <c r="CA74" s="38">
        <f>IF((ዕቁብ!CB76/ቦኖ!$C$4&gt;0),1,0)</f>
        <v>1</v>
      </c>
      <c r="CB74" s="38">
        <f>IF((ዕቁብ!CC76/ቦኖ!$C$4&gt;0),1,0)</f>
        <v>1</v>
      </c>
      <c r="CC74" s="38">
        <f>IF((ዕቁብ!CD76/ቦኖ!$C$4&gt;0),1,0)</f>
        <v>1</v>
      </c>
      <c r="CD74" s="38">
        <f>IF((ዕቁብ!CE76/ቦኖ!$C$4&gt;0),1,0)</f>
        <v>0</v>
      </c>
      <c r="CE74" s="38">
        <f>IF((ዕቁብ!CF76/ቦኖ!$C$4&gt;0),1,0)</f>
        <v>1</v>
      </c>
      <c r="CF74" s="38">
        <f>IF((ዕቁብ!CG76/ቦኖ!$C$4&gt;0),1,0)</f>
        <v>1</v>
      </c>
      <c r="CG74" s="38">
        <f>IF((ዕቁብ!CH76/ቦኖ!$C$4&gt;0),1,0)</f>
        <v>1</v>
      </c>
      <c r="CH74" s="38">
        <f>IF((ዕቁብ!CI76/ቦኖ!$C$4&gt;0),1,0)</f>
        <v>1</v>
      </c>
      <c r="CI74" s="38">
        <f>IF((ዕቁብ!CJ76/ቦኖ!$C$4&gt;0),1,0)</f>
        <v>0</v>
      </c>
      <c r="CJ74" s="38">
        <f>IF((ዕቁብ!CK76/ቦኖ!$C$4&gt;0),1,0)</f>
        <v>1</v>
      </c>
      <c r="CK74" s="38">
        <f>IF((ዕቁብ!CL76/ቦኖ!$C$4&gt;0),1,0)</f>
        <v>1</v>
      </c>
      <c r="CL74" s="38">
        <f>IF((ዕቁብ!CM76/ቦኖ!$C$4&gt;0),1,0)</f>
        <v>1</v>
      </c>
      <c r="CM74" s="38">
        <f>IF((ዕቁብ!CN76/ቦኖ!$C$4&gt;0),1,0)</f>
        <v>1</v>
      </c>
      <c r="CN74" s="38">
        <f>IF((ዕቁብ!CO76/ቦኖ!$C$4&gt;0),1,0)</f>
        <v>1</v>
      </c>
      <c r="CO74" s="38">
        <f>IF((ዕቁብ!CP76/ቦኖ!$C$4&gt;0),1,0)</f>
        <v>1</v>
      </c>
      <c r="CP74" s="38">
        <f>IF((ዕቁብ!CQ76/ቦኖ!$C$4&gt;0),1,0)</f>
        <v>1</v>
      </c>
      <c r="CQ74" s="38">
        <f>IF((ዕቁብ!CR76/ቦኖ!$C$4&gt;0),1,0)</f>
        <v>0</v>
      </c>
      <c r="CR74" s="38">
        <f>IF((ዕቁብ!CS76/ቦኖ!$C$4&gt;0),1,0)</f>
        <v>0</v>
      </c>
      <c r="CS74" s="38">
        <f>IF((ዕቁብ!CT76/ቦኖ!$C$4&gt;0),1,0)</f>
        <v>1</v>
      </c>
      <c r="CT74" s="38">
        <f>IF((ዕቁብ!CU76/ቦኖ!$C$4&gt;0),1,0)</f>
        <v>0</v>
      </c>
      <c r="CU74" s="38">
        <f>IF((ዕቁብ!CV76/ቦኖ!$C$4&gt;0),1,0)</f>
        <v>1</v>
      </c>
      <c r="CV74" s="38">
        <f>IF((ዕቁብ!CW76/ቦኖ!$C$4&gt;0),1,0)</f>
        <v>1</v>
      </c>
      <c r="CW74" s="38">
        <f>IF((ዕቁብ!CX76/ቦኖ!$C$4&gt;0),1,0)</f>
        <v>1</v>
      </c>
      <c r="CX74" s="38">
        <f>IF((ዕቁብ!CY76/ቦኖ!$C$4&gt;0),1,0)</f>
        <v>1</v>
      </c>
      <c r="CY74" s="38">
        <f>IF((ዕቁብ!CZ76/ቦኖ!$C$4&gt;0),1,0)</f>
        <v>0</v>
      </c>
      <c r="CZ74" s="38">
        <f>IF((ዕቁብ!DA76/ቦኖ!$C$4&gt;0),1,0)</f>
        <v>1</v>
      </c>
      <c r="DA74" s="38">
        <f>IF((ዕቁብ!DB76/ቦኖ!$C$4&gt;0),1,0)</f>
        <v>1</v>
      </c>
      <c r="DB74" s="38">
        <f>IF((ዕቁብ!DC76/ቦኖ!$C$4&gt;0),1,0)</f>
        <v>1</v>
      </c>
      <c r="DC74" s="38">
        <f>IF((ዕቁብ!DD76/ቦኖ!$C$4&gt;0),1,0)</f>
        <v>1</v>
      </c>
      <c r="DD74" s="38">
        <f>IF((ዕቁብ!DE76/ቦኖ!$C$4&gt;0),1,0)</f>
        <v>1</v>
      </c>
      <c r="DE74" s="38">
        <f>IF((ዕቁብ!DF76/ቦኖ!$C$4&gt;0),1,0)</f>
        <v>0</v>
      </c>
      <c r="DF74" s="38">
        <f>IF((ዕቁብ!DG76/ቦኖ!$C$4&gt;0),1,0)</f>
        <v>0</v>
      </c>
      <c r="DG74" s="38">
        <f>IF((ዕቁብ!DH76/ቦኖ!$C$4&gt;0),1,0)</f>
        <v>0</v>
      </c>
      <c r="DH74" s="38">
        <f>IF((ዕቁብ!DI76/ቦኖ!$C$4&gt;0),1,0)</f>
        <v>0</v>
      </c>
      <c r="DI74" s="38">
        <f>IF((ዕቁብ!DJ76/ቦኖ!$C$4&gt;0),1,0)</f>
        <v>0</v>
      </c>
      <c r="DJ74" s="38">
        <f>IF((ዕቁብ!DK76/ቦኖ!$C$4&gt;0),1,0)</f>
        <v>0</v>
      </c>
      <c r="DK74" s="38">
        <f>IF((ዕቁብ!DL76/ቦኖ!$C$4&gt;0),1,0)</f>
        <v>0</v>
      </c>
      <c r="DL74" s="38">
        <f>IF((ዕቁብ!DM76/ቦኖ!$C$4&gt;0),1,0)</f>
        <v>0</v>
      </c>
      <c r="DM74" s="38">
        <f>IF((ዕቁብ!DN76/ቦኖ!$C$4&gt;0),1,0)</f>
        <v>0</v>
      </c>
      <c r="DN74" s="38">
        <f>IF((ዕቁብ!DO76/ቦኖ!$C$4&gt;0),1,0)</f>
        <v>0</v>
      </c>
      <c r="DO74" s="38">
        <f>IF((ዕቁብ!DP76/ቦኖ!$C$4&gt;0),1,0)</f>
        <v>0</v>
      </c>
      <c r="DP74" s="38">
        <f>IF((ዕቁብ!DQ76/ቦኖ!$C$4&gt;0),1,0)</f>
        <v>0</v>
      </c>
      <c r="DQ74" s="38">
        <f>IF((ዕቁብ!DR76/ቦኖ!$C$4&gt;0),1,0)</f>
        <v>0</v>
      </c>
    </row>
    <row r="75" spans="1:121" ht="15.75" customHeight="1" x14ac:dyDescent="0.3">
      <c r="A75" s="33">
        <f>ዕቁብ!A77</f>
        <v>71</v>
      </c>
      <c r="B75" s="33" t="str">
        <f>ዕቁብ!B77</f>
        <v>እስራኤል ዩናስ</v>
      </c>
      <c r="C75" s="37">
        <f>ዕቁብ!C77</f>
        <v>21000</v>
      </c>
      <c r="D75" s="38">
        <f>IF((ዕቁብ!E77/ቦኖ!$C$4&gt;0),1,0)</f>
        <v>1</v>
      </c>
      <c r="E75" s="38">
        <f>IF((ዕቁብ!F77/ቦኖ!$C$4&gt;0),1,0)</f>
        <v>1</v>
      </c>
      <c r="F75" s="38">
        <f>IF((ዕቁብ!G77/ቦኖ!$C$4&gt;0),1,0)</f>
        <v>1</v>
      </c>
      <c r="G75" s="38">
        <f>IF((ዕቁብ!H77/ቦኖ!$C$4&gt;0),1,0)</f>
        <v>1</v>
      </c>
      <c r="H75" s="38">
        <f>IF((ዕቁብ!I77/ቦኖ!$C$4&gt;0),1,0)</f>
        <v>1</v>
      </c>
      <c r="I75" s="38">
        <f>IF((ዕቁብ!J77/ቦኖ!$C$4&gt;0),1,0)</f>
        <v>1</v>
      </c>
      <c r="J75" s="38">
        <f>IF((ዕቁብ!K77/ቦኖ!$C$4&gt;0),1,0)</f>
        <v>1</v>
      </c>
      <c r="K75" s="38">
        <f>IF((ዕቁብ!L77/ቦኖ!$C$4&gt;0),1,0)</f>
        <v>1</v>
      </c>
      <c r="L75" s="38">
        <f>IF((ዕቁብ!M77/ቦኖ!$C$4&gt;0),1,0)</f>
        <v>1</v>
      </c>
      <c r="M75" s="38">
        <f>IF((ዕቁብ!N77/ቦኖ!$C$4&gt;0),1,0)</f>
        <v>1</v>
      </c>
      <c r="N75" s="38">
        <f>IF((ዕቁብ!O77/ቦኖ!$C$4&gt;0),1,0)</f>
        <v>1</v>
      </c>
      <c r="O75" s="38">
        <f>IF((ዕቁብ!P77/ቦኖ!$C$4&gt;0),1,0)</f>
        <v>1</v>
      </c>
      <c r="P75" s="38">
        <f>IF((ዕቁብ!Q77/ቦኖ!$C$4&gt;0),1,0)</f>
        <v>1</v>
      </c>
      <c r="Q75" s="38">
        <f>IF((ዕቁብ!R77/ቦኖ!$C$4&gt;0),1,0)</f>
        <v>1</v>
      </c>
      <c r="R75" s="38">
        <f>IF((ዕቁብ!S77/ቦኖ!$C$4&gt;0),1,0)</f>
        <v>1</v>
      </c>
      <c r="S75" s="38">
        <f>IF((ዕቁብ!T77/ቦኖ!$C$4&gt;0),1,0)</f>
        <v>1</v>
      </c>
      <c r="T75" s="38">
        <f>IF((ዕቁብ!U77/ቦኖ!$C$4&gt;0),1,0)</f>
        <v>1</v>
      </c>
      <c r="U75" s="38">
        <f>IF((ዕቁብ!V77/ቦኖ!$C$4&gt;0),1,0)</f>
        <v>1</v>
      </c>
      <c r="V75" s="38">
        <f>IF((ዕቁብ!W77/ቦኖ!$C$4&gt;0),1,0)</f>
        <v>1</v>
      </c>
      <c r="W75" s="38">
        <f>IF((ዕቁብ!X77/ቦኖ!$C$4&gt;0),1,0)</f>
        <v>1</v>
      </c>
      <c r="X75" s="38">
        <f>IF((ዕቁብ!Y77/ቦኖ!$C$4&gt;0),1,0)</f>
        <v>0</v>
      </c>
      <c r="Y75" s="38">
        <f>IF((ዕቁብ!Z77/ቦኖ!$C$4&gt;0),1,0)</f>
        <v>1</v>
      </c>
      <c r="Z75" s="38">
        <f>IF((ዕቁብ!AA77/ቦኖ!$C$4&gt;0),1,0)</f>
        <v>1</v>
      </c>
      <c r="AA75" s="38">
        <f>IF((ዕቁብ!AB77/ቦኖ!$C$4&gt;0),1,0)</f>
        <v>1</v>
      </c>
      <c r="AB75" s="38">
        <f>IF((ዕቁብ!AC77/ቦኖ!$C$4&gt;0),1,0)</f>
        <v>1</v>
      </c>
      <c r="AC75" s="38">
        <f>IF((ዕቁብ!AD77/ቦኖ!$C$4&gt;0),1,0)</f>
        <v>1</v>
      </c>
      <c r="AD75" s="38">
        <f>IF((ዕቁብ!AE77/ቦኖ!$C$4&gt;0),1,0)</f>
        <v>1</v>
      </c>
      <c r="AE75" s="38">
        <f>IF((ዕቁብ!AF77/ቦኖ!$C$4&gt;0),1,0)</f>
        <v>1</v>
      </c>
      <c r="AF75" s="38">
        <f>IF((ዕቁብ!AG77/ቦኖ!$C$4&gt;0),1,0)</f>
        <v>1</v>
      </c>
      <c r="AG75" s="38">
        <f>IF((ዕቁብ!AH77/ቦኖ!$C$4&gt;0),1,0)</f>
        <v>1</v>
      </c>
      <c r="AH75" s="38">
        <f>IF((ዕቁብ!AI77/ቦኖ!$C$4&gt;0),1,0)</f>
        <v>1</v>
      </c>
      <c r="AI75" s="38">
        <f>IF((ዕቁብ!AJ77/ቦኖ!$C$4&gt;0),1,0)</f>
        <v>1</v>
      </c>
      <c r="AJ75" s="38">
        <f>IF((ዕቁብ!AK77/ቦኖ!$C$4&gt;0),1,0)</f>
        <v>1</v>
      </c>
      <c r="AK75" s="38">
        <f>IF((ዕቁብ!AL77/ቦኖ!$C$4&gt;0),1,0)</f>
        <v>1</v>
      </c>
      <c r="AL75" s="38">
        <f>IF((ዕቁብ!AM77/ቦኖ!$C$4&gt;0),1,0)</f>
        <v>1</v>
      </c>
      <c r="AM75" s="38">
        <f>IF((ዕቁብ!AN77/ቦኖ!$C$4&gt;0),1,0)</f>
        <v>1</v>
      </c>
      <c r="AN75" s="38">
        <f>IF((ዕቁብ!AO77/ቦኖ!$C$4&gt;0),1,0)</f>
        <v>1</v>
      </c>
      <c r="AO75" s="38">
        <f>IF((ዕቁብ!AP77/ቦኖ!$C$4&gt;0),1,0)</f>
        <v>1</v>
      </c>
      <c r="AP75" s="38">
        <f>IF((ዕቁብ!AQ77/ቦኖ!$C$4&gt;0),1,0)</f>
        <v>1</v>
      </c>
      <c r="AQ75" s="38">
        <f>IF((ዕቁብ!AR77/ቦኖ!$C$4&gt;0),1,0)</f>
        <v>1</v>
      </c>
      <c r="AR75" s="38">
        <f>IF((ዕቁብ!AS77/ቦኖ!$C$4&gt;0),1,0)</f>
        <v>1</v>
      </c>
      <c r="AS75" s="38">
        <f>IF((ዕቁብ!AT77/ቦኖ!$C$4&gt;0),1,0)</f>
        <v>1</v>
      </c>
      <c r="AT75" s="38">
        <f>IF((ዕቁብ!AU77/ቦኖ!$C$4&gt;0),1,0)</f>
        <v>1</v>
      </c>
      <c r="AU75" s="38">
        <f>IF((ዕቁብ!AV77/ቦኖ!$C$4&gt;0),1,0)</f>
        <v>1</v>
      </c>
      <c r="AV75" s="38">
        <f>IF((ዕቁብ!AW77/ቦኖ!$C$4&gt;0),1,0)</f>
        <v>0</v>
      </c>
      <c r="AW75" s="38">
        <f>IF((ዕቁብ!AX77/ቦኖ!$C$4&gt;0),1,0)</f>
        <v>1</v>
      </c>
      <c r="AX75" s="38">
        <f>IF((ዕቁብ!AY77/ቦኖ!$C$4&gt;0),1,0)</f>
        <v>1</v>
      </c>
      <c r="AY75" s="38">
        <f>IF((ዕቁብ!AZ77/ቦኖ!$C$4&gt;0),1,0)</f>
        <v>0</v>
      </c>
      <c r="AZ75" s="38">
        <f>IF((ዕቁብ!BA77/ቦኖ!$C$4&gt;0),1,0)</f>
        <v>1</v>
      </c>
      <c r="BA75" s="38">
        <f>IF((ዕቁብ!BB77/ቦኖ!$C$4&gt;0),1,0)</f>
        <v>1</v>
      </c>
      <c r="BB75" s="38">
        <f>IF((ዕቁብ!BC77/ቦኖ!$C$4&gt;0),1,0)</f>
        <v>1</v>
      </c>
      <c r="BC75" s="38">
        <f>IF((ዕቁብ!BD77/ቦኖ!$C$4&gt;0),1,0)</f>
        <v>1</v>
      </c>
      <c r="BD75" s="38">
        <f>IF((ዕቁብ!BE77/ቦኖ!$C$4&gt;0),1,0)</f>
        <v>1</v>
      </c>
      <c r="BE75" s="38">
        <f>IF((ዕቁብ!BF77/ቦኖ!$C$4&gt;0),1,0)</f>
        <v>1</v>
      </c>
      <c r="BF75" s="38">
        <f>IF((ዕቁብ!BG77/ቦኖ!$C$4&gt;0),1,0)</f>
        <v>1</v>
      </c>
      <c r="BG75" s="38">
        <f>IF((ዕቁብ!BH77/ቦኖ!$C$4&gt;0),1,0)</f>
        <v>1</v>
      </c>
      <c r="BH75" s="38">
        <f>IF((ዕቁብ!BI77/ቦኖ!$C$4&gt;0),1,0)</f>
        <v>1</v>
      </c>
      <c r="BI75" s="38">
        <f>IF((ዕቁብ!BJ77/ቦኖ!$C$4&gt;0),1,0)</f>
        <v>1</v>
      </c>
      <c r="BJ75" s="38">
        <f>IF((ዕቁብ!BK77/ቦኖ!$C$4&gt;0),1,0)</f>
        <v>1</v>
      </c>
      <c r="BK75" s="38">
        <f>IF((ዕቁብ!BL77/ቦኖ!$C$4&gt;0),1,0)</f>
        <v>1</v>
      </c>
      <c r="BL75" s="38">
        <f>IF((ዕቁብ!BM77/ቦኖ!$C$4&gt;0),1,0)</f>
        <v>1</v>
      </c>
      <c r="BM75" s="38">
        <f>IF((ዕቁብ!BN77/ቦኖ!$C$4&gt;0),1,0)</f>
        <v>1</v>
      </c>
      <c r="BN75" s="38">
        <f>IF((ዕቁብ!BO77/ቦኖ!$C$4&gt;0),1,0)</f>
        <v>1</v>
      </c>
      <c r="BO75" s="38">
        <f>IF((ዕቁብ!BP77/ቦኖ!$C$4&gt;0),1,0)</f>
        <v>0</v>
      </c>
      <c r="BP75" s="38">
        <f>IF((ዕቁብ!BQ77/ቦኖ!$C$4&gt;0),1,0)</f>
        <v>1</v>
      </c>
      <c r="BQ75" s="38">
        <f>IF((ዕቁብ!BR77/ቦኖ!$C$4&gt;0),1,0)</f>
        <v>1</v>
      </c>
      <c r="BR75" s="38">
        <f>IF((ዕቁብ!BS77/ቦኖ!$C$4&gt;0),1,0)</f>
        <v>1</v>
      </c>
      <c r="BS75" s="38">
        <f>IF((ዕቁብ!BT77/ቦኖ!$C$4&gt;0),1,0)</f>
        <v>0</v>
      </c>
      <c r="BT75" s="38">
        <f>IF((ዕቁብ!BU77/ቦኖ!$C$4&gt;0),1,0)</f>
        <v>1</v>
      </c>
      <c r="BU75" s="38">
        <f>IF((ዕቁብ!BV77/ቦኖ!$C$4&gt;0),1,0)</f>
        <v>1</v>
      </c>
      <c r="BV75" s="38">
        <f>IF((ዕቁብ!BW77/ቦኖ!$C$4&gt;0),1,0)</f>
        <v>1</v>
      </c>
      <c r="BW75" s="38">
        <f>IF((ዕቁብ!BX77/ቦኖ!$C$4&gt;0),1,0)</f>
        <v>0</v>
      </c>
      <c r="BX75" s="38">
        <f>IF((ዕቁብ!BY77/ቦኖ!$C$4&gt;0),1,0)</f>
        <v>0</v>
      </c>
      <c r="BY75" s="38">
        <f>IF((ዕቁብ!BZ77/ቦኖ!$C$4&gt;0),1,0)</f>
        <v>0</v>
      </c>
      <c r="BZ75" s="38">
        <f>IF((ዕቁብ!CA77/ቦኖ!$C$4&gt;0),1,0)</f>
        <v>0</v>
      </c>
      <c r="CA75" s="38">
        <f>IF((ዕቁብ!CB77/ቦኖ!$C$4&gt;0),1,0)</f>
        <v>0</v>
      </c>
      <c r="CB75" s="38">
        <f>IF((ዕቁብ!CC77/ቦኖ!$C$4&gt;0),1,0)</f>
        <v>1</v>
      </c>
      <c r="CC75" s="38">
        <f>IF((ዕቁብ!CD77/ቦኖ!$C$4&gt;0),1,0)</f>
        <v>0</v>
      </c>
      <c r="CD75" s="38">
        <f>IF((ዕቁብ!CE77/ቦኖ!$C$4&gt;0),1,0)</f>
        <v>0</v>
      </c>
      <c r="CE75" s="38">
        <f>IF((ዕቁብ!CF77/ቦኖ!$C$4&gt;0),1,0)</f>
        <v>1</v>
      </c>
      <c r="CF75" s="38">
        <f>IF((ዕቁብ!CG77/ቦኖ!$C$4&gt;0),1,0)</f>
        <v>0</v>
      </c>
      <c r="CG75" s="38">
        <f>IF((ዕቁብ!CH77/ቦኖ!$C$4&gt;0),1,0)</f>
        <v>0</v>
      </c>
      <c r="CH75" s="38">
        <f>IF((ዕቁብ!CI77/ቦኖ!$C$4&gt;0),1,0)</f>
        <v>0</v>
      </c>
      <c r="CI75" s="38">
        <f>IF((ዕቁብ!CJ77/ቦኖ!$C$4&gt;0),1,0)</f>
        <v>0</v>
      </c>
      <c r="CJ75" s="38">
        <f>IF((ዕቁብ!CK77/ቦኖ!$C$4&gt;0),1,0)</f>
        <v>1</v>
      </c>
      <c r="CK75" s="38">
        <f>IF((ዕቁብ!CL77/ቦኖ!$C$4&gt;0),1,0)</f>
        <v>0</v>
      </c>
      <c r="CL75" s="38">
        <f>IF((ዕቁብ!CM77/ቦኖ!$C$4&gt;0),1,0)</f>
        <v>0</v>
      </c>
      <c r="CM75" s="38">
        <f>IF((ዕቁብ!CN77/ቦኖ!$C$4&gt;0),1,0)</f>
        <v>1</v>
      </c>
      <c r="CN75" s="38">
        <f>IF((ዕቁብ!CO77/ቦኖ!$C$4&gt;0),1,0)</f>
        <v>0</v>
      </c>
      <c r="CO75" s="38">
        <f>IF((ዕቁብ!CP77/ቦኖ!$C$4&gt;0),1,0)</f>
        <v>1</v>
      </c>
      <c r="CP75" s="38">
        <f>IF((ዕቁብ!CQ77/ቦኖ!$C$4&gt;0),1,0)</f>
        <v>0</v>
      </c>
      <c r="CQ75" s="38">
        <f>IF((ዕቁብ!CR77/ቦኖ!$C$4&gt;0),1,0)</f>
        <v>0</v>
      </c>
      <c r="CR75" s="38">
        <f>IF((ዕቁብ!CS77/ቦኖ!$C$4&gt;0),1,0)</f>
        <v>1</v>
      </c>
      <c r="CS75" s="38">
        <f>IF((ዕቁብ!CT77/ቦኖ!$C$4&gt;0),1,0)</f>
        <v>0</v>
      </c>
      <c r="CT75" s="38">
        <f>IF((ዕቁብ!CU77/ቦኖ!$C$4&gt;0),1,0)</f>
        <v>1</v>
      </c>
      <c r="CU75" s="38">
        <f>IF((ዕቁብ!CV77/ቦኖ!$C$4&gt;0),1,0)</f>
        <v>0</v>
      </c>
      <c r="CV75" s="38">
        <f>IF((ዕቁብ!CW77/ቦኖ!$C$4&gt;0),1,0)</f>
        <v>0</v>
      </c>
      <c r="CW75" s="38">
        <f>IF((ዕቁብ!CX77/ቦኖ!$C$4&gt;0),1,0)</f>
        <v>1</v>
      </c>
      <c r="CX75" s="38">
        <f>IF((ዕቁብ!CY77/ቦኖ!$C$4&gt;0),1,0)</f>
        <v>0</v>
      </c>
      <c r="CY75" s="38">
        <f>IF((ዕቁብ!CZ77/ቦኖ!$C$4&gt;0),1,0)</f>
        <v>0</v>
      </c>
      <c r="CZ75" s="38">
        <f>IF((ዕቁብ!DA77/ቦኖ!$C$4&gt;0),1,0)</f>
        <v>1</v>
      </c>
      <c r="DA75" s="38">
        <f>IF((ዕቁብ!DB77/ቦኖ!$C$4&gt;0),1,0)</f>
        <v>0</v>
      </c>
      <c r="DB75" s="38">
        <f>IF((ዕቁብ!DC77/ቦኖ!$C$4&gt;0),1,0)</f>
        <v>0</v>
      </c>
      <c r="DC75" s="38">
        <f>IF((ዕቁብ!DD77/ቦኖ!$C$4&gt;0),1,0)</f>
        <v>0</v>
      </c>
      <c r="DD75" s="38">
        <f>IF((ዕቁብ!DE77/ቦኖ!$C$4&gt;0),1,0)</f>
        <v>1</v>
      </c>
      <c r="DE75" s="38">
        <f>IF((ዕቁብ!DF77/ቦኖ!$C$4&gt;0),1,0)</f>
        <v>0</v>
      </c>
      <c r="DF75" s="38">
        <f>IF((ዕቁብ!DG77/ቦኖ!$C$4&gt;0),1,0)</f>
        <v>0</v>
      </c>
      <c r="DG75" s="38">
        <f>IF((ዕቁብ!DH77/ቦኖ!$C$4&gt;0),1,0)</f>
        <v>0</v>
      </c>
      <c r="DH75" s="38">
        <f>IF((ዕቁብ!DI77/ቦኖ!$C$4&gt;0),1,0)</f>
        <v>0</v>
      </c>
      <c r="DI75" s="38">
        <f>IF((ዕቁብ!DJ77/ቦኖ!$C$4&gt;0),1,0)</f>
        <v>0</v>
      </c>
      <c r="DJ75" s="38">
        <f>IF((ዕቁብ!DK77/ቦኖ!$C$4&gt;0),1,0)</f>
        <v>0</v>
      </c>
      <c r="DK75" s="38">
        <f>IF((ዕቁብ!DL77/ቦኖ!$C$4&gt;0),1,0)</f>
        <v>0</v>
      </c>
      <c r="DL75" s="38">
        <f>IF((ዕቁብ!DM77/ቦኖ!$C$4&gt;0),1,0)</f>
        <v>0</v>
      </c>
      <c r="DM75" s="38">
        <f>IF((ዕቁብ!DN77/ቦኖ!$C$4&gt;0),1,0)</f>
        <v>0</v>
      </c>
      <c r="DN75" s="38">
        <f>IF((ዕቁብ!DO77/ቦኖ!$C$4&gt;0),1,0)</f>
        <v>0</v>
      </c>
      <c r="DO75" s="38">
        <f>IF((ዕቁብ!DP77/ቦኖ!$C$4&gt;0),1,0)</f>
        <v>0</v>
      </c>
      <c r="DP75" s="38">
        <f>IF((ዕቁብ!DQ77/ቦኖ!$C$4&gt;0),1,0)</f>
        <v>0</v>
      </c>
      <c r="DQ75" s="38">
        <f>IF((ዕቁብ!DR77/ቦኖ!$C$4&gt;0),1,0)</f>
        <v>0</v>
      </c>
    </row>
    <row r="76" spans="1:121" ht="15.75" customHeight="1" x14ac:dyDescent="0.3">
      <c r="A76" s="33">
        <f>ዕቁብ!A78</f>
        <v>72</v>
      </c>
      <c r="B76" s="33" t="str">
        <f>ዕቁብ!B78</f>
        <v>እንግዳ ካሳዬ</v>
      </c>
      <c r="C76" s="37">
        <f>ዕቁብ!C78</f>
        <v>21000</v>
      </c>
      <c r="D76" s="38">
        <f>IF((ዕቁብ!E78/ቦኖ!$C$4&gt;0),1,0)</f>
        <v>1</v>
      </c>
      <c r="E76" s="38">
        <f>IF((ዕቁብ!F78/ቦኖ!$C$4&gt;0),1,0)</f>
        <v>1</v>
      </c>
      <c r="F76" s="38">
        <f>IF((ዕቁብ!G78/ቦኖ!$C$4&gt;0),1,0)</f>
        <v>1</v>
      </c>
      <c r="G76" s="38">
        <f>IF((ዕቁብ!H78/ቦኖ!$C$4&gt;0),1,0)</f>
        <v>1</v>
      </c>
      <c r="H76" s="38">
        <f>IF((ዕቁብ!I78/ቦኖ!$C$4&gt;0),1,0)</f>
        <v>1</v>
      </c>
      <c r="I76" s="38">
        <f>IF((ዕቁብ!J78/ቦኖ!$C$4&gt;0),1,0)</f>
        <v>1</v>
      </c>
      <c r="J76" s="38">
        <f>IF((ዕቁብ!K78/ቦኖ!$C$4&gt;0),1,0)</f>
        <v>1</v>
      </c>
      <c r="K76" s="38">
        <f>IF((ዕቁብ!L78/ቦኖ!$C$4&gt;0),1,0)</f>
        <v>1</v>
      </c>
      <c r="L76" s="38">
        <f>IF((ዕቁብ!M78/ቦኖ!$C$4&gt;0),1,0)</f>
        <v>1</v>
      </c>
      <c r="M76" s="38">
        <f>IF((ዕቁብ!N78/ቦኖ!$C$4&gt;0),1,0)</f>
        <v>1</v>
      </c>
      <c r="N76" s="38">
        <f>IF((ዕቁብ!O78/ቦኖ!$C$4&gt;0),1,0)</f>
        <v>1</v>
      </c>
      <c r="O76" s="38">
        <f>IF((ዕቁብ!P78/ቦኖ!$C$4&gt;0),1,0)</f>
        <v>1</v>
      </c>
      <c r="P76" s="38">
        <f>IF((ዕቁብ!Q78/ቦኖ!$C$4&gt;0),1,0)</f>
        <v>1</v>
      </c>
      <c r="Q76" s="38">
        <f>IF((ዕቁብ!R78/ቦኖ!$C$4&gt;0),1,0)</f>
        <v>1</v>
      </c>
      <c r="R76" s="38">
        <f>IF((ዕቁብ!S78/ቦኖ!$C$4&gt;0),1,0)</f>
        <v>1</v>
      </c>
      <c r="S76" s="38">
        <f>IF((ዕቁብ!T78/ቦኖ!$C$4&gt;0),1,0)</f>
        <v>1</v>
      </c>
      <c r="T76" s="38">
        <f>IF((ዕቁብ!U78/ቦኖ!$C$4&gt;0),1,0)</f>
        <v>1</v>
      </c>
      <c r="U76" s="38">
        <f>IF((ዕቁብ!V78/ቦኖ!$C$4&gt;0),1,0)</f>
        <v>1</v>
      </c>
      <c r="V76" s="38">
        <f>IF((ዕቁብ!W78/ቦኖ!$C$4&gt;0),1,0)</f>
        <v>1</v>
      </c>
      <c r="W76" s="38">
        <f>IF((ዕቁብ!X78/ቦኖ!$C$4&gt;0),1,0)</f>
        <v>1</v>
      </c>
      <c r="X76" s="38">
        <f>IF((ዕቁብ!Y78/ቦኖ!$C$4&gt;0),1,0)</f>
        <v>1</v>
      </c>
      <c r="Y76" s="38">
        <f>IF((ዕቁብ!Z78/ቦኖ!$C$4&gt;0),1,0)</f>
        <v>1</v>
      </c>
      <c r="Z76" s="38">
        <f>IF((ዕቁብ!AA78/ቦኖ!$C$4&gt;0),1,0)</f>
        <v>1</v>
      </c>
      <c r="AA76" s="38">
        <f>IF((ዕቁብ!AB78/ቦኖ!$C$4&gt;0),1,0)</f>
        <v>0</v>
      </c>
      <c r="AB76" s="38">
        <f>IF((ዕቁብ!AC78/ቦኖ!$C$4&gt;0),1,0)</f>
        <v>1</v>
      </c>
      <c r="AC76" s="38">
        <f>IF((ዕቁብ!AD78/ቦኖ!$C$4&gt;0),1,0)</f>
        <v>1</v>
      </c>
      <c r="AD76" s="38">
        <f>IF((ዕቁብ!AE78/ቦኖ!$C$4&gt;0),1,0)</f>
        <v>1</v>
      </c>
      <c r="AE76" s="38">
        <f>IF((ዕቁብ!AF78/ቦኖ!$C$4&gt;0),1,0)</f>
        <v>1</v>
      </c>
      <c r="AF76" s="38">
        <f>IF((ዕቁብ!AG78/ቦኖ!$C$4&gt;0),1,0)</f>
        <v>1</v>
      </c>
      <c r="AG76" s="38">
        <f>IF((ዕቁብ!AH78/ቦኖ!$C$4&gt;0),1,0)</f>
        <v>1</v>
      </c>
      <c r="AH76" s="38">
        <f>IF((ዕቁብ!AI78/ቦኖ!$C$4&gt;0),1,0)</f>
        <v>1</v>
      </c>
      <c r="AI76" s="38">
        <f>IF((ዕቁብ!AJ78/ቦኖ!$C$4&gt;0),1,0)</f>
        <v>1</v>
      </c>
      <c r="AJ76" s="38">
        <f>IF((ዕቁብ!AK78/ቦኖ!$C$4&gt;0),1,0)</f>
        <v>1</v>
      </c>
      <c r="AK76" s="38">
        <f>IF((ዕቁብ!AL78/ቦኖ!$C$4&gt;0),1,0)</f>
        <v>1</v>
      </c>
      <c r="AL76" s="38">
        <f>IF((ዕቁብ!AM78/ቦኖ!$C$4&gt;0),1,0)</f>
        <v>1</v>
      </c>
      <c r="AM76" s="38">
        <f>IF((ዕቁብ!AN78/ቦኖ!$C$4&gt;0),1,0)</f>
        <v>1</v>
      </c>
      <c r="AN76" s="38">
        <f>IF((ዕቁብ!AO78/ቦኖ!$C$4&gt;0),1,0)</f>
        <v>1</v>
      </c>
      <c r="AO76" s="38">
        <f>IF((ዕቁብ!AP78/ቦኖ!$C$4&gt;0),1,0)</f>
        <v>1</v>
      </c>
      <c r="AP76" s="38">
        <f>IF((ዕቁብ!AQ78/ቦኖ!$C$4&gt;0),1,0)</f>
        <v>1</v>
      </c>
      <c r="AQ76" s="38">
        <f>IF((ዕቁብ!AR78/ቦኖ!$C$4&gt;0),1,0)</f>
        <v>1</v>
      </c>
      <c r="AR76" s="38">
        <f>IF((ዕቁብ!AS78/ቦኖ!$C$4&gt;0),1,0)</f>
        <v>1</v>
      </c>
      <c r="AS76" s="38">
        <f>IF((ዕቁብ!AT78/ቦኖ!$C$4&gt;0),1,0)</f>
        <v>1</v>
      </c>
      <c r="AT76" s="38">
        <f>IF((ዕቁብ!AU78/ቦኖ!$C$4&gt;0),1,0)</f>
        <v>1</v>
      </c>
      <c r="AU76" s="38">
        <f>IF((ዕቁብ!AV78/ቦኖ!$C$4&gt;0),1,0)</f>
        <v>1</v>
      </c>
      <c r="AV76" s="38">
        <f>IF((ዕቁብ!AW78/ቦኖ!$C$4&gt;0),1,0)</f>
        <v>1</v>
      </c>
      <c r="AW76" s="38">
        <f>IF((ዕቁብ!AX78/ቦኖ!$C$4&gt;0),1,0)</f>
        <v>1</v>
      </c>
      <c r="AX76" s="38">
        <f>IF((ዕቁብ!AY78/ቦኖ!$C$4&gt;0),1,0)</f>
        <v>1</v>
      </c>
      <c r="AY76" s="38">
        <f>IF((ዕቁብ!AZ78/ቦኖ!$C$4&gt;0),1,0)</f>
        <v>1</v>
      </c>
      <c r="AZ76" s="38">
        <f>IF((ዕቁብ!BA78/ቦኖ!$C$4&gt;0),1,0)</f>
        <v>1</v>
      </c>
      <c r="BA76" s="38">
        <f>IF((ዕቁብ!BB78/ቦኖ!$C$4&gt;0),1,0)</f>
        <v>1</v>
      </c>
      <c r="BB76" s="38">
        <f>IF((ዕቁብ!BC78/ቦኖ!$C$4&gt;0),1,0)</f>
        <v>1</v>
      </c>
      <c r="BC76" s="38">
        <f>IF((ዕቁብ!BD78/ቦኖ!$C$4&gt;0),1,0)</f>
        <v>1</v>
      </c>
      <c r="BD76" s="38">
        <f>IF((ዕቁብ!BE78/ቦኖ!$C$4&gt;0),1,0)</f>
        <v>1</v>
      </c>
      <c r="BE76" s="38">
        <f>IF((ዕቁብ!BF78/ቦኖ!$C$4&gt;0),1,0)</f>
        <v>0</v>
      </c>
      <c r="BF76" s="38">
        <f>IF((ዕቁብ!BG78/ቦኖ!$C$4&gt;0),1,0)</f>
        <v>1</v>
      </c>
      <c r="BG76" s="38">
        <f>IF((ዕቁብ!BH78/ቦኖ!$C$4&gt;0),1,0)</f>
        <v>1</v>
      </c>
      <c r="BH76" s="38">
        <f>IF((ዕቁብ!BI78/ቦኖ!$C$4&gt;0),1,0)</f>
        <v>1</v>
      </c>
      <c r="BI76" s="38">
        <f>IF((ዕቁብ!BJ78/ቦኖ!$C$4&gt;0),1,0)</f>
        <v>1</v>
      </c>
      <c r="BJ76" s="38">
        <f>IF((ዕቁብ!BK78/ቦኖ!$C$4&gt;0),1,0)</f>
        <v>1</v>
      </c>
      <c r="BK76" s="38">
        <f>IF((ዕቁብ!BL78/ቦኖ!$C$4&gt;0),1,0)</f>
        <v>1</v>
      </c>
      <c r="BL76" s="38">
        <f>IF((ዕቁብ!BM78/ቦኖ!$C$4&gt;0),1,0)</f>
        <v>1</v>
      </c>
      <c r="BM76" s="38">
        <f>IF((ዕቁብ!BN78/ቦኖ!$C$4&gt;0),1,0)</f>
        <v>0</v>
      </c>
      <c r="BN76" s="38">
        <f>IF((ዕቁብ!BO78/ቦኖ!$C$4&gt;0),1,0)</f>
        <v>1</v>
      </c>
      <c r="BO76" s="38">
        <f>IF((ዕቁብ!BP78/ቦኖ!$C$4&gt;0),1,0)</f>
        <v>1</v>
      </c>
      <c r="BP76" s="38">
        <f>IF((ዕቁብ!BQ78/ቦኖ!$C$4&gt;0),1,0)</f>
        <v>1</v>
      </c>
      <c r="BQ76" s="38">
        <f>IF((ዕቁብ!BR78/ቦኖ!$C$4&gt;0),1,0)</f>
        <v>1</v>
      </c>
      <c r="BR76" s="38">
        <f>IF((ዕቁብ!BS78/ቦኖ!$C$4&gt;0),1,0)</f>
        <v>1</v>
      </c>
      <c r="BS76" s="38">
        <f>IF((ዕቁብ!BT78/ቦኖ!$C$4&gt;0),1,0)</f>
        <v>1</v>
      </c>
      <c r="BT76" s="38">
        <f>IF((ዕቁብ!BU78/ቦኖ!$C$4&gt;0),1,0)</f>
        <v>1</v>
      </c>
      <c r="BU76" s="38">
        <f>IF((ዕቁብ!BV78/ቦኖ!$C$4&gt;0),1,0)</f>
        <v>1</v>
      </c>
      <c r="BV76" s="38">
        <f>IF((ዕቁብ!BW78/ቦኖ!$C$4&gt;0),1,0)</f>
        <v>1</v>
      </c>
      <c r="BW76" s="38">
        <f>IF((ዕቁብ!BX78/ቦኖ!$C$4&gt;0),1,0)</f>
        <v>1</v>
      </c>
      <c r="BX76" s="38">
        <f>IF((ዕቁብ!BY78/ቦኖ!$C$4&gt;0),1,0)</f>
        <v>1</v>
      </c>
      <c r="BY76" s="38">
        <f>IF((ዕቁብ!BZ78/ቦኖ!$C$4&gt;0),1,0)</f>
        <v>1</v>
      </c>
      <c r="BZ76" s="38">
        <f>IF((ዕቁብ!CA78/ቦኖ!$C$4&gt;0),1,0)</f>
        <v>1</v>
      </c>
      <c r="CA76" s="38">
        <f>IF((ዕቁብ!CB78/ቦኖ!$C$4&gt;0),1,0)</f>
        <v>0</v>
      </c>
      <c r="CB76" s="38">
        <f>IF((ዕቁብ!CC78/ቦኖ!$C$4&gt;0),1,0)</f>
        <v>1</v>
      </c>
      <c r="CC76" s="38">
        <f>IF((ዕቁብ!CD78/ቦኖ!$C$4&gt;0),1,0)</f>
        <v>0</v>
      </c>
      <c r="CD76" s="38">
        <f>IF((ዕቁብ!CE78/ቦኖ!$C$4&gt;0),1,0)</f>
        <v>0</v>
      </c>
      <c r="CE76" s="38">
        <f>IF((ዕቁብ!CF78/ቦኖ!$C$4&gt;0),1,0)</f>
        <v>1</v>
      </c>
      <c r="CF76" s="38">
        <f>IF((ዕቁብ!CG78/ቦኖ!$C$4&gt;0),1,0)</f>
        <v>0</v>
      </c>
      <c r="CG76" s="38">
        <f>IF((ዕቁብ!CH78/ቦኖ!$C$4&gt;0),1,0)</f>
        <v>1</v>
      </c>
      <c r="CH76" s="38">
        <f>IF((ዕቁብ!CI78/ቦኖ!$C$4&gt;0),1,0)</f>
        <v>1</v>
      </c>
      <c r="CI76" s="38">
        <f>IF((ዕቁብ!CJ78/ቦኖ!$C$4&gt;0),1,0)</f>
        <v>1</v>
      </c>
      <c r="CJ76" s="38">
        <f>IF((ዕቁብ!CK78/ቦኖ!$C$4&gt;0),1,0)</f>
        <v>1</v>
      </c>
      <c r="CK76" s="38">
        <f>IF((ዕቁብ!CL78/ቦኖ!$C$4&gt;0),1,0)</f>
        <v>0</v>
      </c>
      <c r="CL76" s="38">
        <f>IF((ዕቁብ!CM78/ቦኖ!$C$4&gt;0),1,0)</f>
        <v>1</v>
      </c>
      <c r="CM76" s="38">
        <f>IF((ዕቁብ!CN78/ቦኖ!$C$4&gt;0),1,0)</f>
        <v>1</v>
      </c>
      <c r="CN76" s="38">
        <f>IF((ዕቁብ!CO78/ቦኖ!$C$4&gt;0),1,0)</f>
        <v>1</v>
      </c>
      <c r="CO76" s="38">
        <f>IF((ዕቁብ!CP78/ቦኖ!$C$4&gt;0),1,0)</f>
        <v>0</v>
      </c>
      <c r="CP76" s="38">
        <f>IF((ዕቁብ!CQ78/ቦኖ!$C$4&gt;0),1,0)</f>
        <v>1</v>
      </c>
      <c r="CQ76" s="38">
        <f>IF((ዕቁብ!CR78/ቦኖ!$C$4&gt;0),1,0)</f>
        <v>1</v>
      </c>
      <c r="CR76" s="38">
        <f>IF((ዕቁብ!CS78/ቦኖ!$C$4&gt;0),1,0)</f>
        <v>1</v>
      </c>
      <c r="CS76" s="38">
        <f>IF((ዕቁብ!CT78/ቦኖ!$C$4&gt;0),1,0)</f>
        <v>1</v>
      </c>
      <c r="CT76" s="38">
        <f>IF((ዕቁብ!CU78/ቦኖ!$C$4&gt;0),1,0)</f>
        <v>1</v>
      </c>
      <c r="CU76" s="38">
        <f>IF((ዕቁብ!CV78/ቦኖ!$C$4&gt;0),1,0)</f>
        <v>1</v>
      </c>
      <c r="CV76" s="38">
        <f>IF((ዕቁብ!CW78/ቦኖ!$C$4&gt;0),1,0)</f>
        <v>0</v>
      </c>
      <c r="CW76" s="38">
        <f>IF((ዕቁብ!CX78/ቦኖ!$C$4&gt;0),1,0)</f>
        <v>1</v>
      </c>
      <c r="CX76" s="38">
        <f>IF((ዕቁብ!CY78/ቦኖ!$C$4&gt;0),1,0)</f>
        <v>0</v>
      </c>
      <c r="CY76" s="38">
        <f>IF((ዕቁብ!CZ78/ቦኖ!$C$4&gt;0),1,0)</f>
        <v>0</v>
      </c>
      <c r="CZ76" s="38">
        <f>IF((ዕቁብ!DA78/ቦኖ!$C$4&gt;0),1,0)</f>
        <v>1</v>
      </c>
      <c r="DA76" s="38">
        <f>IF((ዕቁብ!DB78/ቦኖ!$C$4&gt;0),1,0)</f>
        <v>1</v>
      </c>
      <c r="DB76" s="38">
        <f>IF((ዕቁብ!DC78/ቦኖ!$C$4&gt;0),1,0)</f>
        <v>1</v>
      </c>
      <c r="DC76" s="38">
        <f>IF((ዕቁብ!DD78/ቦኖ!$C$4&gt;0),1,0)</f>
        <v>1</v>
      </c>
      <c r="DD76" s="38">
        <f>IF((ዕቁብ!DE78/ቦኖ!$C$4&gt;0),1,0)</f>
        <v>1</v>
      </c>
      <c r="DE76" s="38">
        <f>IF((ዕቁብ!DF78/ቦኖ!$C$4&gt;0),1,0)</f>
        <v>1</v>
      </c>
      <c r="DF76" s="38">
        <f>IF((ዕቁብ!DG78/ቦኖ!$C$4&gt;0),1,0)</f>
        <v>1</v>
      </c>
      <c r="DG76" s="38">
        <f>IF((ዕቁብ!DH78/ቦኖ!$C$4&gt;0),1,0)</f>
        <v>0</v>
      </c>
      <c r="DH76" s="38">
        <f>IF((ዕቁብ!DI78/ቦኖ!$C$4&gt;0),1,0)</f>
        <v>0</v>
      </c>
      <c r="DI76" s="38">
        <f>IF((ዕቁብ!DJ78/ቦኖ!$C$4&gt;0),1,0)</f>
        <v>0</v>
      </c>
      <c r="DJ76" s="38">
        <f>IF((ዕቁብ!DK78/ቦኖ!$C$4&gt;0),1,0)</f>
        <v>0</v>
      </c>
      <c r="DK76" s="38">
        <f>IF((ዕቁብ!DL78/ቦኖ!$C$4&gt;0),1,0)</f>
        <v>0</v>
      </c>
      <c r="DL76" s="38">
        <f>IF((ዕቁብ!DM78/ቦኖ!$C$4&gt;0),1,0)</f>
        <v>0</v>
      </c>
      <c r="DM76" s="38">
        <f>IF((ዕቁብ!DN78/ቦኖ!$C$4&gt;0),1,0)</f>
        <v>0</v>
      </c>
      <c r="DN76" s="38">
        <f>IF((ዕቁብ!DO78/ቦኖ!$C$4&gt;0),1,0)</f>
        <v>0</v>
      </c>
      <c r="DO76" s="38">
        <f>IF((ዕቁብ!DP78/ቦኖ!$C$4&gt;0),1,0)</f>
        <v>0</v>
      </c>
      <c r="DP76" s="38">
        <f>IF((ዕቁብ!DQ78/ቦኖ!$C$4&gt;0),1,0)</f>
        <v>0</v>
      </c>
      <c r="DQ76" s="38">
        <f>IF((ዕቁብ!DR78/ቦኖ!$C$4&gt;0),1,0)</f>
        <v>0</v>
      </c>
    </row>
    <row r="77" spans="1:121" ht="15.75" customHeight="1" x14ac:dyDescent="0.3">
      <c r="A77" s="33">
        <f>ዕቁብ!A79</f>
        <v>73</v>
      </c>
      <c r="B77" s="33" t="str">
        <f>ዕቁብ!B79</f>
        <v>ሲሳይ ይልማ</v>
      </c>
      <c r="C77" s="37">
        <f>ዕቁብ!C79</f>
        <v>21000</v>
      </c>
      <c r="D77" s="38">
        <f>IF((ዕቁብ!E79/ቦኖ!$C$4&gt;0),1,0)</f>
        <v>1</v>
      </c>
      <c r="E77" s="38">
        <f>IF((ዕቁብ!F79/ቦኖ!$C$4&gt;0),1,0)</f>
        <v>1</v>
      </c>
      <c r="F77" s="38">
        <f>IF((ዕቁብ!G79/ቦኖ!$C$4&gt;0),1,0)</f>
        <v>1</v>
      </c>
      <c r="G77" s="38">
        <f>IF((ዕቁብ!H79/ቦኖ!$C$4&gt;0),1,0)</f>
        <v>1</v>
      </c>
      <c r="H77" s="38">
        <f>IF((ዕቁብ!I79/ቦኖ!$C$4&gt;0),1,0)</f>
        <v>1</v>
      </c>
      <c r="I77" s="38">
        <f>IF((ዕቁብ!J79/ቦኖ!$C$4&gt;0),1,0)</f>
        <v>1</v>
      </c>
      <c r="J77" s="38">
        <f>IF((ዕቁብ!K79/ቦኖ!$C$4&gt;0),1,0)</f>
        <v>1</v>
      </c>
      <c r="K77" s="38">
        <f>IF((ዕቁብ!L79/ቦኖ!$C$4&gt;0),1,0)</f>
        <v>1</v>
      </c>
      <c r="L77" s="38">
        <f>IF((ዕቁብ!M79/ቦኖ!$C$4&gt;0),1,0)</f>
        <v>1</v>
      </c>
      <c r="M77" s="38">
        <f>IF((ዕቁብ!N79/ቦኖ!$C$4&gt;0),1,0)</f>
        <v>1</v>
      </c>
      <c r="N77" s="38">
        <f>IF((ዕቁብ!O79/ቦኖ!$C$4&gt;0),1,0)</f>
        <v>1</v>
      </c>
      <c r="O77" s="38">
        <f>IF((ዕቁብ!P79/ቦኖ!$C$4&gt;0),1,0)</f>
        <v>1</v>
      </c>
      <c r="P77" s="38">
        <f>IF((ዕቁብ!Q79/ቦኖ!$C$4&gt;0),1,0)</f>
        <v>1</v>
      </c>
      <c r="Q77" s="38">
        <f>IF((ዕቁብ!R79/ቦኖ!$C$4&gt;0),1,0)</f>
        <v>1</v>
      </c>
      <c r="R77" s="38">
        <f>IF((ዕቁብ!S79/ቦኖ!$C$4&gt;0),1,0)</f>
        <v>1</v>
      </c>
      <c r="S77" s="38">
        <f>IF((ዕቁብ!T79/ቦኖ!$C$4&gt;0),1,0)</f>
        <v>1</v>
      </c>
      <c r="T77" s="38">
        <f>IF((ዕቁብ!U79/ቦኖ!$C$4&gt;0),1,0)</f>
        <v>1</v>
      </c>
      <c r="U77" s="38">
        <f>IF((ዕቁብ!V79/ቦኖ!$C$4&gt;0),1,0)</f>
        <v>1</v>
      </c>
      <c r="V77" s="38">
        <f>IF((ዕቁብ!W79/ቦኖ!$C$4&gt;0),1,0)</f>
        <v>1</v>
      </c>
      <c r="W77" s="38">
        <f>IF((ዕቁብ!X79/ቦኖ!$C$4&gt;0),1,0)</f>
        <v>1</v>
      </c>
      <c r="X77" s="38">
        <f>IF((ዕቁብ!Y79/ቦኖ!$C$4&gt;0),1,0)</f>
        <v>1</v>
      </c>
      <c r="Y77" s="38">
        <f>IF((ዕቁብ!Z79/ቦኖ!$C$4&gt;0),1,0)</f>
        <v>1</v>
      </c>
      <c r="Z77" s="38">
        <f>IF((ዕቁብ!AA79/ቦኖ!$C$4&gt;0),1,0)</f>
        <v>1</v>
      </c>
      <c r="AA77" s="38">
        <f>IF((ዕቁብ!AB79/ቦኖ!$C$4&gt;0),1,0)</f>
        <v>1</v>
      </c>
      <c r="AB77" s="38">
        <f>IF((ዕቁብ!AC79/ቦኖ!$C$4&gt;0),1,0)</f>
        <v>1</v>
      </c>
      <c r="AC77" s="38">
        <f>IF((ዕቁብ!AD79/ቦኖ!$C$4&gt;0),1,0)</f>
        <v>1</v>
      </c>
      <c r="AD77" s="38">
        <f>IF((ዕቁብ!AE79/ቦኖ!$C$4&gt;0),1,0)</f>
        <v>1</v>
      </c>
      <c r="AE77" s="38">
        <f>IF((ዕቁብ!AF79/ቦኖ!$C$4&gt;0),1,0)</f>
        <v>1</v>
      </c>
      <c r="AF77" s="38">
        <f>IF((ዕቁብ!AG79/ቦኖ!$C$4&gt;0),1,0)</f>
        <v>1</v>
      </c>
      <c r="AG77" s="38">
        <f>IF((ዕቁብ!AH79/ቦኖ!$C$4&gt;0),1,0)</f>
        <v>1</v>
      </c>
      <c r="AH77" s="38">
        <f>IF((ዕቁብ!AI79/ቦኖ!$C$4&gt;0),1,0)</f>
        <v>1</v>
      </c>
      <c r="AI77" s="38">
        <f>IF((ዕቁብ!AJ79/ቦኖ!$C$4&gt;0),1,0)</f>
        <v>1</v>
      </c>
      <c r="AJ77" s="38">
        <f>IF((ዕቁብ!AK79/ቦኖ!$C$4&gt;0),1,0)</f>
        <v>1</v>
      </c>
      <c r="AK77" s="38">
        <f>IF((ዕቁብ!AL79/ቦኖ!$C$4&gt;0),1,0)</f>
        <v>1</v>
      </c>
      <c r="AL77" s="38">
        <f>IF((ዕቁብ!AM79/ቦኖ!$C$4&gt;0),1,0)</f>
        <v>1</v>
      </c>
      <c r="AM77" s="38">
        <f>IF((ዕቁብ!AN79/ቦኖ!$C$4&gt;0),1,0)</f>
        <v>1</v>
      </c>
      <c r="AN77" s="38">
        <f>IF((ዕቁብ!AO79/ቦኖ!$C$4&gt;0),1,0)</f>
        <v>1</v>
      </c>
      <c r="AO77" s="38">
        <f>IF((ዕቁብ!AP79/ቦኖ!$C$4&gt;0),1,0)</f>
        <v>1</v>
      </c>
      <c r="AP77" s="38">
        <f>IF((ዕቁብ!AQ79/ቦኖ!$C$4&gt;0),1,0)</f>
        <v>1</v>
      </c>
      <c r="AQ77" s="38">
        <f>IF((ዕቁብ!AR79/ቦኖ!$C$4&gt;0),1,0)</f>
        <v>1</v>
      </c>
      <c r="AR77" s="38">
        <f>IF((ዕቁብ!AS79/ቦኖ!$C$4&gt;0),1,0)</f>
        <v>1</v>
      </c>
      <c r="AS77" s="38">
        <f>IF((ዕቁብ!AT79/ቦኖ!$C$4&gt;0),1,0)</f>
        <v>1</v>
      </c>
      <c r="AT77" s="38">
        <f>IF((ዕቁብ!AU79/ቦኖ!$C$4&gt;0),1,0)</f>
        <v>1</v>
      </c>
      <c r="AU77" s="38">
        <f>IF((ዕቁብ!AV79/ቦኖ!$C$4&gt;0),1,0)</f>
        <v>1</v>
      </c>
      <c r="AV77" s="38">
        <f>IF((ዕቁብ!AW79/ቦኖ!$C$4&gt;0),1,0)</f>
        <v>1</v>
      </c>
      <c r="AW77" s="38">
        <f>IF((ዕቁብ!AX79/ቦኖ!$C$4&gt;0),1,0)</f>
        <v>1</v>
      </c>
      <c r="AX77" s="38">
        <f>IF((ዕቁብ!AY79/ቦኖ!$C$4&gt;0),1,0)</f>
        <v>1</v>
      </c>
      <c r="AY77" s="38">
        <f>IF((ዕቁብ!AZ79/ቦኖ!$C$4&gt;0),1,0)</f>
        <v>1</v>
      </c>
      <c r="AZ77" s="38">
        <f>IF((ዕቁብ!BA79/ቦኖ!$C$4&gt;0),1,0)</f>
        <v>1</v>
      </c>
      <c r="BA77" s="38">
        <f>IF((ዕቁብ!BB79/ቦኖ!$C$4&gt;0),1,0)</f>
        <v>1</v>
      </c>
      <c r="BB77" s="38">
        <f>IF((ዕቁብ!BC79/ቦኖ!$C$4&gt;0),1,0)</f>
        <v>1</v>
      </c>
      <c r="BC77" s="38">
        <f>IF((ዕቁብ!BD79/ቦኖ!$C$4&gt;0),1,0)</f>
        <v>1</v>
      </c>
      <c r="BD77" s="38">
        <f>IF((ዕቁብ!BE79/ቦኖ!$C$4&gt;0),1,0)</f>
        <v>1</v>
      </c>
      <c r="BE77" s="38">
        <f>IF((ዕቁብ!BF79/ቦኖ!$C$4&gt;0),1,0)</f>
        <v>1</v>
      </c>
      <c r="BF77" s="38">
        <f>IF((ዕቁብ!BG79/ቦኖ!$C$4&gt;0),1,0)</f>
        <v>1</v>
      </c>
      <c r="BG77" s="38">
        <f>IF((ዕቁብ!BH79/ቦኖ!$C$4&gt;0),1,0)</f>
        <v>1</v>
      </c>
      <c r="BH77" s="38">
        <f>IF((ዕቁብ!BI79/ቦኖ!$C$4&gt;0),1,0)</f>
        <v>1</v>
      </c>
      <c r="BI77" s="38">
        <f>IF((ዕቁብ!BJ79/ቦኖ!$C$4&gt;0),1,0)</f>
        <v>1</v>
      </c>
      <c r="BJ77" s="38">
        <f>IF((ዕቁብ!BK79/ቦኖ!$C$4&gt;0),1,0)</f>
        <v>1</v>
      </c>
      <c r="BK77" s="38">
        <f>IF((ዕቁብ!BL79/ቦኖ!$C$4&gt;0),1,0)</f>
        <v>1</v>
      </c>
      <c r="BL77" s="38">
        <f>IF((ዕቁብ!BM79/ቦኖ!$C$4&gt;0),1,0)</f>
        <v>1</v>
      </c>
      <c r="BM77" s="38">
        <f>IF((ዕቁብ!BN79/ቦኖ!$C$4&gt;0),1,0)</f>
        <v>1</v>
      </c>
      <c r="BN77" s="38">
        <f>IF((ዕቁብ!BO79/ቦኖ!$C$4&gt;0),1,0)</f>
        <v>1</v>
      </c>
      <c r="BO77" s="38">
        <f>IF((ዕቁብ!BP79/ቦኖ!$C$4&gt;0),1,0)</f>
        <v>1</v>
      </c>
      <c r="BP77" s="38">
        <f>IF((ዕቁብ!BQ79/ቦኖ!$C$4&gt;0),1,0)</f>
        <v>1</v>
      </c>
      <c r="BQ77" s="38">
        <f>IF((ዕቁብ!BR79/ቦኖ!$C$4&gt;0),1,0)</f>
        <v>1</v>
      </c>
      <c r="BR77" s="38">
        <f>IF((ዕቁብ!BS79/ቦኖ!$C$4&gt;0),1,0)</f>
        <v>1</v>
      </c>
      <c r="BS77" s="38">
        <f>IF((ዕቁብ!BT79/ቦኖ!$C$4&gt;0),1,0)</f>
        <v>1</v>
      </c>
      <c r="BT77" s="38">
        <f>IF((ዕቁብ!BU79/ቦኖ!$C$4&gt;0),1,0)</f>
        <v>1</v>
      </c>
      <c r="BU77" s="38">
        <f>IF((ዕቁብ!BV79/ቦኖ!$C$4&gt;0),1,0)</f>
        <v>1</v>
      </c>
      <c r="BV77" s="38">
        <f>IF((ዕቁብ!BW79/ቦኖ!$C$4&gt;0),1,0)</f>
        <v>1</v>
      </c>
      <c r="BW77" s="38">
        <f>IF((ዕቁብ!BX79/ቦኖ!$C$4&gt;0),1,0)</f>
        <v>1</v>
      </c>
      <c r="BX77" s="38">
        <f>IF((ዕቁብ!BY79/ቦኖ!$C$4&gt;0),1,0)</f>
        <v>1</v>
      </c>
      <c r="BY77" s="38">
        <f>IF((ዕቁብ!BZ79/ቦኖ!$C$4&gt;0),1,0)</f>
        <v>1</v>
      </c>
      <c r="BZ77" s="38">
        <f>IF((ዕቁብ!CA79/ቦኖ!$C$4&gt;0),1,0)</f>
        <v>1</v>
      </c>
      <c r="CA77" s="38">
        <f>IF((ዕቁብ!CB79/ቦኖ!$C$4&gt;0),1,0)</f>
        <v>1</v>
      </c>
      <c r="CB77" s="38">
        <f>IF((ዕቁብ!CC79/ቦኖ!$C$4&gt;0),1,0)</f>
        <v>1</v>
      </c>
      <c r="CC77" s="38">
        <f>IF((ዕቁብ!CD79/ቦኖ!$C$4&gt;0),1,0)</f>
        <v>1</v>
      </c>
      <c r="CD77" s="38">
        <f>IF((ዕቁብ!CE79/ቦኖ!$C$4&gt;0),1,0)</f>
        <v>1</v>
      </c>
      <c r="CE77" s="38">
        <f>IF((ዕቁብ!CF79/ቦኖ!$C$4&gt;0),1,0)</f>
        <v>1</v>
      </c>
      <c r="CF77" s="38">
        <f>IF((ዕቁብ!CG79/ቦኖ!$C$4&gt;0),1,0)</f>
        <v>1</v>
      </c>
      <c r="CG77" s="38">
        <f>IF((ዕቁብ!CH79/ቦኖ!$C$4&gt;0),1,0)</f>
        <v>1</v>
      </c>
      <c r="CH77" s="38">
        <f>IF((ዕቁብ!CI79/ቦኖ!$C$4&gt;0),1,0)</f>
        <v>1</v>
      </c>
      <c r="CI77" s="38">
        <f>IF((ዕቁብ!CJ79/ቦኖ!$C$4&gt;0),1,0)</f>
        <v>1</v>
      </c>
      <c r="CJ77" s="38">
        <f>IF((ዕቁብ!CK79/ቦኖ!$C$4&gt;0),1,0)</f>
        <v>1</v>
      </c>
      <c r="CK77" s="38">
        <f>IF((ዕቁብ!CL79/ቦኖ!$C$4&gt;0),1,0)</f>
        <v>1</v>
      </c>
      <c r="CL77" s="38">
        <f>IF((ዕቁብ!CM79/ቦኖ!$C$4&gt;0),1,0)</f>
        <v>1</v>
      </c>
      <c r="CM77" s="38">
        <f>IF((ዕቁብ!CN79/ቦኖ!$C$4&gt;0),1,0)</f>
        <v>1</v>
      </c>
      <c r="CN77" s="38">
        <f>IF((ዕቁብ!CO79/ቦኖ!$C$4&gt;0),1,0)</f>
        <v>1</v>
      </c>
      <c r="CO77" s="38">
        <f>IF((ዕቁብ!CP79/ቦኖ!$C$4&gt;0),1,0)</f>
        <v>1</v>
      </c>
      <c r="CP77" s="38">
        <f>IF((ዕቁብ!CQ79/ቦኖ!$C$4&gt;0),1,0)</f>
        <v>1</v>
      </c>
      <c r="CQ77" s="38">
        <f>IF((ዕቁብ!CR79/ቦኖ!$C$4&gt;0),1,0)</f>
        <v>1</v>
      </c>
      <c r="CR77" s="38">
        <f>IF((ዕቁብ!CS79/ቦኖ!$C$4&gt;0),1,0)</f>
        <v>1</v>
      </c>
      <c r="CS77" s="38">
        <f>IF((ዕቁብ!CT79/ቦኖ!$C$4&gt;0),1,0)</f>
        <v>1</v>
      </c>
      <c r="CT77" s="38">
        <f>IF((ዕቁብ!CU79/ቦኖ!$C$4&gt;0),1,0)</f>
        <v>1</v>
      </c>
      <c r="CU77" s="38">
        <f>IF((ዕቁብ!CV79/ቦኖ!$C$4&gt;0),1,0)</f>
        <v>1</v>
      </c>
      <c r="CV77" s="38">
        <f>IF((ዕቁብ!CW79/ቦኖ!$C$4&gt;0),1,0)</f>
        <v>1</v>
      </c>
      <c r="CW77" s="38">
        <f>IF((ዕቁብ!CX79/ቦኖ!$C$4&gt;0),1,0)</f>
        <v>1</v>
      </c>
      <c r="CX77" s="38">
        <f>IF((ዕቁብ!CY79/ቦኖ!$C$4&gt;0),1,0)</f>
        <v>1</v>
      </c>
      <c r="CY77" s="38">
        <f>IF((ዕቁብ!CZ79/ቦኖ!$C$4&gt;0),1,0)</f>
        <v>0</v>
      </c>
      <c r="CZ77" s="38">
        <f>IF((ዕቁብ!DA79/ቦኖ!$C$4&gt;0),1,0)</f>
        <v>1</v>
      </c>
      <c r="DA77" s="38">
        <f>IF((ዕቁብ!DB79/ቦኖ!$C$4&gt;0),1,0)</f>
        <v>1</v>
      </c>
      <c r="DB77" s="38">
        <f>IF((ዕቁብ!DC79/ቦኖ!$C$4&gt;0),1,0)</f>
        <v>1</v>
      </c>
      <c r="DC77" s="38">
        <f>IF((ዕቁብ!DD79/ቦኖ!$C$4&gt;0),1,0)</f>
        <v>1</v>
      </c>
      <c r="DD77" s="38">
        <f>IF((ዕቁብ!DE79/ቦኖ!$C$4&gt;0),1,0)</f>
        <v>1</v>
      </c>
      <c r="DE77" s="38">
        <f>IF((ዕቁብ!DF79/ቦኖ!$C$4&gt;0),1,0)</f>
        <v>1</v>
      </c>
      <c r="DF77" s="38">
        <f>IF((ዕቁብ!DG79/ቦኖ!$C$4&gt;0),1,0)</f>
        <v>1</v>
      </c>
      <c r="DG77" s="38">
        <f>IF((ዕቁብ!DH79/ቦኖ!$C$4&gt;0),1,0)</f>
        <v>1</v>
      </c>
      <c r="DH77" s="38">
        <f>IF((ዕቁብ!DI79/ቦኖ!$C$4&gt;0),1,0)</f>
        <v>0</v>
      </c>
      <c r="DI77" s="38">
        <f>IF((ዕቁብ!DJ79/ቦኖ!$C$4&gt;0),1,0)</f>
        <v>0</v>
      </c>
      <c r="DJ77" s="38">
        <f>IF((ዕቁብ!DK79/ቦኖ!$C$4&gt;0),1,0)</f>
        <v>0</v>
      </c>
      <c r="DK77" s="38">
        <f>IF((ዕቁብ!DL79/ቦኖ!$C$4&gt;0),1,0)</f>
        <v>0</v>
      </c>
      <c r="DL77" s="38">
        <f>IF((ዕቁብ!DM79/ቦኖ!$C$4&gt;0),1,0)</f>
        <v>0</v>
      </c>
      <c r="DM77" s="38">
        <f>IF((ዕቁብ!DN79/ቦኖ!$C$4&gt;0),1,0)</f>
        <v>0</v>
      </c>
      <c r="DN77" s="38">
        <f>IF((ዕቁብ!DO79/ቦኖ!$C$4&gt;0),1,0)</f>
        <v>0</v>
      </c>
      <c r="DO77" s="38">
        <f>IF((ዕቁብ!DP79/ቦኖ!$C$4&gt;0),1,0)</f>
        <v>0</v>
      </c>
      <c r="DP77" s="38">
        <f>IF((ዕቁብ!DQ79/ቦኖ!$C$4&gt;0),1,0)</f>
        <v>0</v>
      </c>
      <c r="DQ77" s="38">
        <f>IF((ዕቁብ!DR79/ቦኖ!$C$4&gt;0),1,0)</f>
        <v>0</v>
      </c>
    </row>
    <row r="78" spans="1:121" ht="15.75" customHeight="1" x14ac:dyDescent="0.3">
      <c r="A78" s="33">
        <f>ዕቁብ!A80</f>
        <v>74</v>
      </c>
      <c r="B78" s="33" t="str">
        <f>ዕቁብ!B80</f>
        <v>ይርዳቸዉ ኤርሚያስ</v>
      </c>
      <c r="C78" s="37">
        <f>ዕቁብ!C80</f>
        <v>21000</v>
      </c>
      <c r="D78" s="38">
        <f>IF((ዕቁብ!E80/ቦኖ!$C$4&gt;0),1,0)</f>
        <v>1</v>
      </c>
      <c r="E78" s="38">
        <f>IF((ዕቁብ!F80/ቦኖ!$C$4&gt;0),1,0)</f>
        <v>1</v>
      </c>
      <c r="F78" s="38">
        <f>IF((ዕቁብ!G80/ቦኖ!$C$4&gt;0),1,0)</f>
        <v>1</v>
      </c>
      <c r="G78" s="38">
        <f>IF((ዕቁብ!H80/ቦኖ!$C$4&gt;0),1,0)</f>
        <v>1</v>
      </c>
      <c r="H78" s="38">
        <f>IF((ዕቁብ!I80/ቦኖ!$C$4&gt;0),1,0)</f>
        <v>1</v>
      </c>
      <c r="I78" s="38">
        <f>IF((ዕቁብ!J80/ቦኖ!$C$4&gt;0),1,0)</f>
        <v>1</v>
      </c>
      <c r="J78" s="38">
        <f>IF((ዕቁብ!K80/ቦኖ!$C$4&gt;0),1,0)</f>
        <v>1</v>
      </c>
      <c r="K78" s="38">
        <f>IF((ዕቁብ!L80/ቦኖ!$C$4&gt;0),1,0)</f>
        <v>1</v>
      </c>
      <c r="L78" s="38">
        <f>IF((ዕቁብ!M80/ቦኖ!$C$4&gt;0),1,0)</f>
        <v>1</v>
      </c>
      <c r="M78" s="38">
        <f>IF((ዕቁብ!N80/ቦኖ!$C$4&gt;0),1,0)</f>
        <v>1</v>
      </c>
      <c r="N78" s="38">
        <f>IF((ዕቁብ!O80/ቦኖ!$C$4&gt;0),1,0)</f>
        <v>1</v>
      </c>
      <c r="O78" s="38">
        <f>IF((ዕቁብ!P80/ቦኖ!$C$4&gt;0),1,0)</f>
        <v>1</v>
      </c>
      <c r="P78" s="38">
        <f>IF((ዕቁብ!Q80/ቦኖ!$C$4&gt;0),1,0)</f>
        <v>1</v>
      </c>
      <c r="Q78" s="38">
        <f>IF((ዕቁብ!R80/ቦኖ!$C$4&gt;0),1,0)</f>
        <v>1</v>
      </c>
      <c r="R78" s="38">
        <f>IF((ዕቁብ!S80/ቦኖ!$C$4&gt;0),1,0)</f>
        <v>1</v>
      </c>
      <c r="S78" s="38">
        <f>IF((ዕቁብ!T80/ቦኖ!$C$4&gt;0),1,0)</f>
        <v>1</v>
      </c>
      <c r="T78" s="38">
        <f>IF((ዕቁብ!U80/ቦኖ!$C$4&gt;0),1,0)</f>
        <v>1</v>
      </c>
      <c r="U78" s="38">
        <f>IF((ዕቁብ!V80/ቦኖ!$C$4&gt;0),1,0)</f>
        <v>1</v>
      </c>
      <c r="V78" s="38">
        <f>IF((ዕቁብ!W80/ቦኖ!$C$4&gt;0),1,0)</f>
        <v>1</v>
      </c>
      <c r="W78" s="38">
        <f>IF((ዕቁብ!X80/ቦኖ!$C$4&gt;0),1,0)</f>
        <v>1</v>
      </c>
      <c r="X78" s="38">
        <f>IF((ዕቁብ!Y80/ቦኖ!$C$4&gt;0),1,0)</f>
        <v>1</v>
      </c>
      <c r="Y78" s="38">
        <f>IF((ዕቁብ!Z80/ቦኖ!$C$4&gt;0),1,0)</f>
        <v>1</v>
      </c>
      <c r="Z78" s="38">
        <f>IF((ዕቁብ!AA80/ቦኖ!$C$4&gt;0),1,0)</f>
        <v>1</v>
      </c>
      <c r="AA78" s="38">
        <f>IF((ዕቁብ!AB80/ቦኖ!$C$4&gt;0),1,0)</f>
        <v>0</v>
      </c>
      <c r="AB78" s="38">
        <f>IF((ዕቁብ!AC80/ቦኖ!$C$4&gt;0),1,0)</f>
        <v>1</v>
      </c>
      <c r="AC78" s="38">
        <f>IF((ዕቁብ!AD80/ቦኖ!$C$4&gt;0),1,0)</f>
        <v>1</v>
      </c>
      <c r="AD78" s="38">
        <f>IF((ዕቁብ!AE80/ቦኖ!$C$4&gt;0),1,0)</f>
        <v>0</v>
      </c>
      <c r="AE78" s="38">
        <f>IF((ዕቁብ!AF80/ቦኖ!$C$4&gt;0),1,0)</f>
        <v>1</v>
      </c>
      <c r="AF78" s="38">
        <f>IF((ዕቁብ!AG80/ቦኖ!$C$4&gt;0),1,0)</f>
        <v>0</v>
      </c>
      <c r="AG78" s="38">
        <f>IF((ዕቁብ!AH80/ቦኖ!$C$4&gt;0),1,0)</f>
        <v>1</v>
      </c>
      <c r="AH78" s="38">
        <f>IF((ዕቁብ!AI80/ቦኖ!$C$4&gt;0),1,0)</f>
        <v>0</v>
      </c>
      <c r="AI78" s="38">
        <f>IF((ዕቁብ!AJ80/ቦኖ!$C$4&gt;0),1,0)</f>
        <v>1</v>
      </c>
      <c r="AJ78" s="38">
        <f>IF((ዕቁብ!AK80/ቦኖ!$C$4&gt;0),1,0)</f>
        <v>1</v>
      </c>
      <c r="AK78" s="38">
        <f>IF((ዕቁብ!AL80/ቦኖ!$C$4&gt;0),1,0)</f>
        <v>1</v>
      </c>
      <c r="AL78" s="38">
        <f>IF((ዕቁብ!AM80/ቦኖ!$C$4&gt;0),1,0)</f>
        <v>1</v>
      </c>
      <c r="AM78" s="38">
        <f>IF((ዕቁብ!AN80/ቦኖ!$C$4&gt;0),1,0)</f>
        <v>1</v>
      </c>
      <c r="AN78" s="38">
        <f>IF((ዕቁብ!AO80/ቦኖ!$C$4&gt;0),1,0)</f>
        <v>1</v>
      </c>
      <c r="AO78" s="38">
        <f>IF((ዕቁብ!AP80/ቦኖ!$C$4&gt;0),1,0)</f>
        <v>1</v>
      </c>
      <c r="AP78" s="38">
        <f>IF((ዕቁብ!AQ80/ቦኖ!$C$4&gt;0),1,0)</f>
        <v>1</v>
      </c>
      <c r="AQ78" s="38">
        <f>IF((ዕቁብ!AR80/ቦኖ!$C$4&gt;0),1,0)</f>
        <v>1</v>
      </c>
      <c r="AR78" s="38">
        <f>IF((ዕቁብ!AS80/ቦኖ!$C$4&gt;0),1,0)</f>
        <v>0</v>
      </c>
      <c r="AS78" s="38">
        <f>IF((ዕቁብ!AT80/ቦኖ!$C$4&gt;0),1,0)</f>
        <v>1</v>
      </c>
      <c r="AT78" s="38">
        <f>IF((ዕቁብ!AU80/ቦኖ!$C$4&gt;0),1,0)</f>
        <v>1</v>
      </c>
      <c r="AU78" s="38">
        <f>IF((ዕቁብ!AV80/ቦኖ!$C$4&gt;0),1,0)</f>
        <v>1</v>
      </c>
      <c r="AV78" s="38">
        <f>IF((ዕቁብ!AW80/ቦኖ!$C$4&gt;0),1,0)</f>
        <v>1</v>
      </c>
      <c r="AW78" s="38">
        <f>IF((ዕቁብ!AX80/ቦኖ!$C$4&gt;0),1,0)</f>
        <v>0</v>
      </c>
      <c r="AX78" s="38">
        <f>IF((ዕቁብ!AY80/ቦኖ!$C$4&gt;0),1,0)</f>
        <v>0</v>
      </c>
      <c r="AY78" s="38">
        <f>IF((ዕቁብ!AZ80/ቦኖ!$C$4&gt;0),1,0)</f>
        <v>1</v>
      </c>
      <c r="AZ78" s="38">
        <f>IF((ዕቁብ!BA80/ቦኖ!$C$4&gt;0),1,0)</f>
        <v>1</v>
      </c>
      <c r="BA78" s="38">
        <f>IF((ዕቁብ!BB80/ቦኖ!$C$4&gt;0),1,0)</f>
        <v>0</v>
      </c>
      <c r="BB78" s="38">
        <f>IF((ዕቁብ!BC80/ቦኖ!$C$4&gt;0),1,0)</f>
        <v>1</v>
      </c>
      <c r="BC78" s="38">
        <f>IF((ዕቁብ!BD80/ቦኖ!$C$4&gt;0),1,0)</f>
        <v>0</v>
      </c>
      <c r="BD78" s="38">
        <f>IF((ዕቁብ!BE80/ቦኖ!$C$4&gt;0),1,0)</f>
        <v>1</v>
      </c>
      <c r="BE78" s="38">
        <f>IF((ዕቁብ!BF80/ቦኖ!$C$4&gt;0),1,0)</f>
        <v>1</v>
      </c>
      <c r="BF78" s="38">
        <f>IF((ዕቁብ!BG80/ቦኖ!$C$4&gt;0),1,0)</f>
        <v>1</v>
      </c>
      <c r="BG78" s="38">
        <f>IF((ዕቁብ!BH80/ቦኖ!$C$4&gt;0),1,0)</f>
        <v>1</v>
      </c>
      <c r="BH78" s="38">
        <f>IF((ዕቁብ!BI80/ቦኖ!$C$4&gt;0),1,0)</f>
        <v>0</v>
      </c>
      <c r="BI78" s="38">
        <f>IF((ዕቁብ!BJ80/ቦኖ!$C$4&gt;0),1,0)</f>
        <v>1</v>
      </c>
      <c r="BJ78" s="38">
        <f>IF((ዕቁብ!BK80/ቦኖ!$C$4&gt;0),1,0)</f>
        <v>0</v>
      </c>
      <c r="BK78" s="38">
        <f>IF((ዕቁብ!BL80/ቦኖ!$C$4&gt;0),1,0)</f>
        <v>1</v>
      </c>
      <c r="BL78" s="38">
        <f>IF((ዕቁብ!BM80/ቦኖ!$C$4&gt;0),1,0)</f>
        <v>1</v>
      </c>
      <c r="BM78" s="38">
        <f>IF((ዕቁብ!BN80/ቦኖ!$C$4&gt;0),1,0)</f>
        <v>1</v>
      </c>
      <c r="BN78" s="38">
        <f>IF((ዕቁብ!BO80/ቦኖ!$C$4&gt;0),1,0)</f>
        <v>1</v>
      </c>
      <c r="BO78" s="38">
        <f>IF((ዕቁብ!BP80/ቦኖ!$C$4&gt;0),1,0)</f>
        <v>1</v>
      </c>
      <c r="BP78" s="38">
        <f>IF((ዕቁብ!BQ80/ቦኖ!$C$4&gt;0),1,0)</f>
        <v>1</v>
      </c>
      <c r="BQ78" s="38">
        <f>IF((ዕቁብ!BR80/ቦኖ!$C$4&gt;0),1,0)</f>
        <v>0</v>
      </c>
      <c r="BR78" s="38">
        <f>IF((ዕቁብ!BS80/ቦኖ!$C$4&gt;0),1,0)</f>
        <v>1</v>
      </c>
      <c r="BS78" s="38">
        <f>IF((ዕቁብ!BT80/ቦኖ!$C$4&gt;0),1,0)</f>
        <v>0</v>
      </c>
      <c r="BT78" s="38">
        <f>IF((ዕቁብ!BU80/ቦኖ!$C$4&gt;0),1,0)</f>
        <v>0</v>
      </c>
      <c r="BU78" s="38">
        <f>IF((ዕቁብ!BV80/ቦኖ!$C$4&gt;0),1,0)</f>
        <v>1</v>
      </c>
      <c r="BV78" s="38">
        <f>IF((ዕቁብ!BW80/ቦኖ!$C$4&gt;0),1,0)</f>
        <v>0</v>
      </c>
      <c r="BW78" s="38">
        <f>IF((ዕቁብ!BX80/ቦኖ!$C$4&gt;0),1,0)</f>
        <v>1</v>
      </c>
      <c r="BX78" s="38">
        <f>IF((ዕቁብ!BY80/ቦኖ!$C$4&gt;0),1,0)</f>
        <v>0</v>
      </c>
      <c r="BY78" s="38">
        <f>IF((ዕቁብ!BZ80/ቦኖ!$C$4&gt;0),1,0)</f>
        <v>0</v>
      </c>
      <c r="BZ78" s="38">
        <f>IF((ዕቁብ!CA80/ቦኖ!$C$4&gt;0),1,0)</f>
        <v>0</v>
      </c>
      <c r="CA78" s="38">
        <f>IF((ዕቁብ!CB80/ቦኖ!$C$4&gt;0),1,0)</f>
        <v>0</v>
      </c>
      <c r="CB78" s="38">
        <f>IF((ዕቁብ!CC80/ቦኖ!$C$4&gt;0),1,0)</f>
        <v>0</v>
      </c>
      <c r="CC78" s="38">
        <f>IF((ዕቁብ!CD80/ቦኖ!$C$4&gt;0),1,0)</f>
        <v>0</v>
      </c>
      <c r="CD78" s="38">
        <f>IF((ዕቁብ!CE80/ቦኖ!$C$4&gt;0),1,0)</f>
        <v>0</v>
      </c>
      <c r="CE78" s="38">
        <f>IF((ዕቁብ!CF80/ቦኖ!$C$4&gt;0),1,0)</f>
        <v>1</v>
      </c>
      <c r="CF78" s="38">
        <f>IF((ዕቁብ!CG80/ቦኖ!$C$4&gt;0),1,0)</f>
        <v>1</v>
      </c>
      <c r="CG78" s="38">
        <f>IF((ዕቁብ!CH80/ቦኖ!$C$4&gt;0),1,0)</f>
        <v>0</v>
      </c>
      <c r="CH78" s="38">
        <f>IF((ዕቁብ!CI80/ቦኖ!$C$4&gt;0),1,0)</f>
        <v>1</v>
      </c>
      <c r="CI78" s="38">
        <f>IF((ዕቁብ!CJ80/ቦኖ!$C$4&gt;0),1,0)</f>
        <v>1</v>
      </c>
      <c r="CJ78" s="38">
        <f>IF((ዕቁብ!CK80/ቦኖ!$C$4&gt;0),1,0)</f>
        <v>0</v>
      </c>
      <c r="CK78" s="38">
        <f>IF((ዕቁብ!CL80/ቦኖ!$C$4&gt;0),1,0)</f>
        <v>1</v>
      </c>
      <c r="CL78" s="38">
        <f>IF((ዕቁብ!CM80/ቦኖ!$C$4&gt;0),1,0)</f>
        <v>0</v>
      </c>
      <c r="CM78" s="38">
        <f>IF((ዕቁብ!CN80/ቦኖ!$C$4&gt;0),1,0)</f>
        <v>1</v>
      </c>
      <c r="CN78" s="38">
        <f>IF((ዕቁብ!CO80/ቦኖ!$C$4&gt;0),1,0)</f>
        <v>1</v>
      </c>
      <c r="CO78" s="38">
        <f>IF((ዕቁብ!CP80/ቦኖ!$C$4&gt;0),1,0)</f>
        <v>0</v>
      </c>
      <c r="CP78" s="38">
        <f>IF((ዕቁብ!CQ80/ቦኖ!$C$4&gt;0),1,0)</f>
        <v>1</v>
      </c>
      <c r="CQ78" s="38">
        <f>IF((ዕቁብ!CR80/ቦኖ!$C$4&gt;0),1,0)</f>
        <v>1</v>
      </c>
      <c r="CR78" s="38">
        <f>IF((ዕቁብ!CS80/ቦኖ!$C$4&gt;0),1,0)</f>
        <v>1</v>
      </c>
      <c r="CS78" s="38">
        <f>IF((ዕቁብ!CT80/ቦኖ!$C$4&gt;0),1,0)</f>
        <v>0</v>
      </c>
      <c r="CT78" s="38">
        <f>IF((ዕቁብ!CU80/ቦኖ!$C$4&gt;0),1,0)</f>
        <v>0</v>
      </c>
      <c r="CU78" s="38">
        <f>IF((ዕቁብ!CV80/ቦኖ!$C$4&gt;0),1,0)</f>
        <v>1</v>
      </c>
      <c r="CV78" s="38">
        <f>IF((ዕቁብ!CW80/ቦኖ!$C$4&gt;0),1,0)</f>
        <v>1</v>
      </c>
      <c r="CW78" s="38">
        <f>IF((ዕቁብ!CX80/ቦኖ!$C$4&gt;0),1,0)</f>
        <v>1</v>
      </c>
      <c r="CX78" s="38">
        <f>IF((ዕቁብ!CY80/ቦኖ!$C$4&gt;0),1,0)</f>
        <v>0</v>
      </c>
      <c r="CY78" s="38">
        <f>IF((ዕቁብ!CZ80/ቦኖ!$C$4&gt;0),1,0)</f>
        <v>1</v>
      </c>
      <c r="CZ78" s="38">
        <f>IF((ዕቁብ!DA80/ቦኖ!$C$4&gt;0),1,0)</f>
        <v>0</v>
      </c>
      <c r="DA78" s="38">
        <f>IF((ዕቁብ!DB80/ቦኖ!$C$4&gt;0),1,0)</f>
        <v>1</v>
      </c>
      <c r="DB78" s="38">
        <f>IF((ዕቁብ!DC80/ቦኖ!$C$4&gt;0),1,0)</f>
        <v>0</v>
      </c>
      <c r="DC78" s="38">
        <f>IF((ዕቁብ!DD80/ቦኖ!$C$4&gt;0),1,0)</f>
        <v>1</v>
      </c>
      <c r="DD78" s="38">
        <f>IF((ዕቁብ!DE80/ቦኖ!$C$4&gt;0),1,0)</f>
        <v>0</v>
      </c>
      <c r="DE78" s="38">
        <f>IF((ዕቁብ!DF80/ቦኖ!$C$4&gt;0),1,0)</f>
        <v>1</v>
      </c>
      <c r="DF78" s="38">
        <f>IF((ዕቁብ!DG80/ቦኖ!$C$4&gt;0),1,0)</f>
        <v>0</v>
      </c>
      <c r="DG78" s="38">
        <f>IF((ዕቁብ!DH80/ቦኖ!$C$4&gt;0),1,0)</f>
        <v>1</v>
      </c>
      <c r="DH78" s="38">
        <f>IF((ዕቁብ!DI80/ቦኖ!$C$4&gt;0),1,0)</f>
        <v>0</v>
      </c>
      <c r="DI78" s="38">
        <f>IF((ዕቁብ!DJ80/ቦኖ!$C$4&gt;0),1,0)</f>
        <v>0</v>
      </c>
      <c r="DJ78" s="38">
        <f>IF((ዕቁብ!DK80/ቦኖ!$C$4&gt;0),1,0)</f>
        <v>0</v>
      </c>
      <c r="DK78" s="38">
        <f>IF((ዕቁብ!DL80/ቦኖ!$C$4&gt;0),1,0)</f>
        <v>0</v>
      </c>
      <c r="DL78" s="38">
        <f>IF((ዕቁብ!DM80/ቦኖ!$C$4&gt;0),1,0)</f>
        <v>0</v>
      </c>
      <c r="DM78" s="38">
        <f>IF((ዕቁብ!DN80/ቦኖ!$C$4&gt;0),1,0)</f>
        <v>0</v>
      </c>
      <c r="DN78" s="38">
        <f>IF((ዕቁብ!DO80/ቦኖ!$C$4&gt;0),1,0)</f>
        <v>0</v>
      </c>
      <c r="DO78" s="38">
        <f>IF((ዕቁብ!DP80/ቦኖ!$C$4&gt;0),1,0)</f>
        <v>0</v>
      </c>
      <c r="DP78" s="38">
        <f>IF((ዕቁብ!DQ80/ቦኖ!$C$4&gt;0),1,0)</f>
        <v>0</v>
      </c>
      <c r="DQ78" s="38">
        <f>IF((ዕቁብ!DR80/ቦኖ!$C$4&gt;0),1,0)</f>
        <v>0</v>
      </c>
    </row>
    <row r="79" spans="1:121" ht="15.75" customHeight="1" x14ac:dyDescent="0.3">
      <c r="A79" s="33">
        <f>ዕቁብ!A81</f>
        <v>75</v>
      </c>
      <c r="B79" s="33" t="str">
        <f>ዕቁብ!B81</f>
        <v>ጌቱ በቀለ</v>
      </c>
      <c r="C79" s="37">
        <f>ዕቁብ!C81</f>
        <v>21000</v>
      </c>
      <c r="D79" s="38">
        <f>IF((ዕቁብ!E81/ቦኖ!$C$4&gt;0),1,0)</f>
        <v>1</v>
      </c>
      <c r="E79" s="38">
        <f>IF((ዕቁብ!F81/ቦኖ!$C$4&gt;0),1,0)</f>
        <v>1</v>
      </c>
      <c r="F79" s="38">
        <f>IF((ዕቁብ!G81/ቦኖ!$C$4&gt;0),1,0)</f>
        <v>1</v>
      </c>
      <c r="G79" s="38">
        <f>IF((ዕቁብ!H81/ቦኖ!$C$4&gt;0),1,0)</f>
        <v>1</v>
      </c>
      <c r="H79" s="38">
        <f>IF((ዕቁብ!I81/ቦኖ!$C$4&gt;0),1,0)</f>
        <v>1</v>
      </c>
      <c r="I79" s="38">
        <f>IF((ዕቁብ!J81/ቦኖ!$C$4&gt;0),1,0)</f>
        <v>1</v>
      </c>
      <c r="J79" s="38">
        <f>IF((ዕቁብ!K81/ቦኖ!$C$4&gt;0),1,0)</f>
        <v>1</v>
      </c>
      <c r="K79" s="38">
        <f>IF((ዕቁብ!L81/ቦኖ!$C$4&gt;0),1,0)</f>
        <v>1</v>
      </c>
      <c r="L79" s="38">
        <f>IF((ዕቁብ!M81/ቦኖ!$C$4&gt;0),1,0)</f>
        <v>1</v>
      </c>
      <c r="M79" s="38">
        <f>IF((ዕቁብ!N81/ቦኖ!$C$4&gt;0),1,0)</f>
        <v>1</v>
      </c>
      <c r="N79" s="38">
        <f>IF((ዕቁብ!O81/ቦኖ!$C$4&gt;0),1,0)</f>
        <v>1</v>
      </c>
      <c r="O79" s="38">
        <f>IF((ዕቁብ!P81/ቦኖ!$C$4&gt;0),1,0)</f>
        <v>1</v>
      </c>
      <c r="P79" s="38">
        <f>IF((ዕቁብ!Q81/ቦኖ!$C$4&gt;0),1,0)</f>
        <v>1</v>
      </c>
      <c r="Q79" s="38">
        <f>IF((ዕቁብ!R81/ቦኖ!$C$4&gt;0),1,0)</f>
        <v>1</v>
      </c>
      <c r="R79" s="38">
        <f>IF((ዕቁብ!S81/ቦኖ!$C$4&gt;0),1,0)</f>
        <v>1</v>
      </c>
      <c r="S79" s="38">
        <f>IF((ዕቁብ!T81/ቦኖ!$C$4&gt;0),1,0)</f>
        <v>1</v>
      </c>
      <c r="T79" s="38">
        <f>IF((ዕቁብ!U81/ቦኖ!$C$4&gt;0),1,0)</f>
        <v>1</v>
      </c>
      <c r="U79" s="38">
        <f>IF((ዕቁብ!V81/ቦኖ!$C$4&gt;0),1,0)</f>
        <v>1</v>
      </c>
      <c r="V79" s="38">
        <f>IF((ዕቁብ!W81/ቦኖ!$C$4&gt;0),1,0)</f>
        <v>1</v>
      </c>
      <c r="W79" s="38">
        <f>IF((ዕቁብ!X81/ቦኖ!$C$4&gt;0),1,0)</f>
        <v>1</v>
      </c>
      <c r="X79" s="38">
        <f>IF((ዕቁብ!Y81/ቦኖ!$C$4&gt;0),1,0)</f>
        <v>1</v>
      </c>
      <c r="Y79" s="38">
        <f>IF((ዕቁብ!Z81/ቦኖ!$C$4&gt;0),1,0)</f>
        <v>1</v>
      </c>
      <c r="Z79" s="38">
        <f>IF((ዕቁብ!AA81/ቦኖ!$C$4&gt;0),1,0)</f>
        <v>1</v>
      </c>
      <c r="AA79" s="38">
        <f>IF((ዕቁብ!AB81/ቦኖ!$C$4&gt;0),1,0)</f>
        <v>1</v>
      </c>
      <c r="AB79" s="38">
        <f>IF((ዕቁብ!AC81/ቦኖ!$C$4&gt;0),1,0)</f>
        <v>1</v>
      </c>
      <c r="AC79" s="38">
        <f>IF((ዕቁብ!AD81/ቦኖ!$C$4&gt;0),1,0)</f>
        <v>1</v>
      </c>
      <c r="AD79" s="38">
        <f>IF((ዕቁብ!AE81/ቦኖ!$C$4&gt;0),1,0)</f>
        <v>1</v>
      </c>
      <c r="AE79" s="38">
        <f>IF((ዕቁብ!AF81/ቦኖ!$C$4&gt;0),1,0)</f>
        <v>1</v>
      </c>
      <c r="AF79" s="38">
        <f>IF((ዕቁብ!AG81/ቦኖ!$C$4&gt;0),1,0)</f>
        <v>1</v>
      </c>
      <c r="AG79" s="38">
        <f>IF((ዕቁብ!AH81/ቦኖ!$C$4&gt;0),1,0)</f>
        <v>1</v>
      </c>
      <c r="AH79" s="38">
        <f>IF((ዕቁብ!AI81/ቦኖ!$C$4&gt;0),1,0)</f>
        <v>1</v>
      </c>
      <c r="AI79" s="38">
        <f>IF((ዕቁብ!AJ81/ቦኖ!$C$4&gt;0),1,0)</f>
        <v>1</v>
      </c>
      <c r="AJ79" s="38">
        <f>IF((ዕቁብ!AK81/ቦኖ!$C$4&gt;0),1,0)</f>
        <v>1</v>
      </c>
      <c r="AK79" s="38">
        <f>IF((ዕቁብ!AL81/ቦኖ!$C$4&gt;0),1,0)</f>
        <v>1</v>
      </c>
      <c r="AL79" s="38">
        <f>IF((ዕቁብ!AM81/ቦኖ!$C$4&gt;0),1,0)</f>
        <v>1</v>
      </c>
      <c r="AM79" s="38">
        <f>IF((ዕቁብ!AN81/ቦኖ!$C$4&gt;0),1,0)</f>
        <v>1</v>
      </c>
      <c r="AN79" s="38">
        <f>IF((ዕቁብ!AO81/ቦኖ!$C$4&gt;0),1,0)</f>
        <v>1</v>
      </c>
      <c r="AO79" s="38">
        <f>IF((ዕቁብ!AP81/ቦኖ!$C$4&gt;0),1,0)</f>
        <v>1</v>
      </c>
      <c r="AP79" s="38">
        <f>IF((ዕቁብ!AQ81/ቦኖ!$C$4&gt;0),1,0)</f>
        <v>1</v>
      </c>
      <c r="AQ79" s="38">
        <f>IF((ዕቁብ!AR81/ቦኖ!$C$4&gt;0),1,0)</f>
        <v>1</v>
      </c>
      <c r="AR79" s="38">
        <f>IF((ዕቁብ!AS81/ቦኖ!$C$4&gt;0),1,0)</f>
        <v>1</v>
      </c>
      <c r="AS79" s="38">
        <f>IF((ዕቁብ!AT81/ቦኖ!$C$4&gt;0),1,0)</f>
        <v>1</v>
      </c>
      <c r="AT79" s="38">
        <f>IF((ዕቁብ!AU81/ቦኖ!$C$4&gt;0),1,0)</f>
        <v>1</v>
      </c>
      <c r="AU79" s="38">
        <f>IF((ዕቁብ!AV81/ቦኖ!$C$4&gt;0),1,0)</f>
        <v>1</v>
      </c>
      <c r="AV79" s="38">
        <f>IF((ዕቁብ!AW81/ቦኖ!$C$4&gt;0),1,0)</f>
        <v>1</v>
      </c>
      <c r="AW79" s="38">
        <f>IF((ዕቁብ!AX81/ቦኖ!$C$4&gt;0),1,0)</f>
        <v>1</v>
      </c>
      <c r="AX79" s="38">
        <f>IF((ዕቁብ!AY81/ቦኖ!$C$4&gt;0),1,0)</f>
        <v>1</v>
      </c>
      <c r="AY79" s="38">
        <f>IF((ዕቁብ!AZ81/ቦኖ!$C$4&gt;0),1,0)</f>
        <v>1</v>
      </c>
      <c r="AZ79" s="38">
        <f>IF((ዕቁብ!BA81/ቦኖ!$C$4&gt;0),1,0)</f>
        <v>1</v>
      </c>
      <c r="BA79" s="38">
        <f>IF((ዕቁብ!BB81/ቦኖ!$C$4&gt;0),1,0)</f>
        <v>1</v>
      </c>
      <c r="BB79" s="38">
        <f>IF((ዕቁብ!BC81/ቦኖ!$C$4&gt;0),1,0)</f>
        <v>1</v>
      </c>
      <c r="BC79" s="38">
        <f>IF((ዕቁብ!BD81/ቦኖ!$C$4&gt;0),1,0)</f>
        <v>1</v>
      </c>
      <c r="BD79" s="38">
        <f>IF((ዕቁብ!BE81/ቦኖ!$C$4&gt;0),1,0)</f>
        <v>1</v>
      </c>
      <c r="BE79" s="38">
        <f>IF((ዕቁብ!BF81/ቦኖ!$C$4&gt;0),1,0)</f>
        <v>1</v>
      </c>
      <c r="BF79" s="38">
        <f>IF((ዕቁብ!BG81/ቦኖ!$C$4&gt;0),1,0)</f>
        <v>1</v>
      </c>
      <c r="BG79" s="38">
        <f>IF((ዕቁብ!BH81/ቦኖ!$C$4&gt;0),1,0)</f>
        <v>1</v>
      </c>
      <c r="BH79" s="38">
        <f>IF((ዕቁብ!BI81/ቦኖ!$C$4&gt;0),1,0)</f>
        <v>1</v>
      </c>
      <c r="BI79" s="38">
        <f>IF((ዕቁብ!BJ81/ቦኖ!$C$4&gt;0),1,0)</f>
        <v>1</v>
      </c>
      <c r="BJ79" s="38">
        <f>IF((ዕቁብ!BK81/ቦኖ!$C$4&gt;0),1,0)</f>
        <v>1</v>
      </c>
      <c r="BK79" s="38">
        <f>IF((ዕቁብ!BL81/ቦኖ!$C$4&gt;0),1,0)</f>
        <v>1</v>
      </c>
      <c r="BL79" s="38">
        <f>IF((ዕቁብ!BM81/ቦኖ!$C$4&gt;0),1,0)</f>
        <v>1</v>
      </c>
      <c r="BM79" s="38">
        <f>IF((ዕቁብ!BN81/ቦኖ!$C$4&gt;0),1,0)</f>
        <v>0</v>
      </c>
      <c r="BN79" s="38">
        <f>IF((ዕቁብ!BO81/ቦኖ!$C$4&gt;0),1,0)</f>
        <v>1</v>
      </c>
      <c r="BO79" s="38">
        <f>IF((ዕቁብ!BP81/ቦኖ!$C$4&gt;0),1,0)</f>
        <v>1</v>
      </c>
      <c r="BP79" s="38">
        <f>IF((ዕቁብ!BQ81/ቦኖ!$C$4&gt;0),1,0)</f>
        <v>1</v>
      </c>
      <c r="BQ79" s="38">
        <f>IF((ዕቁብ!BR81/ቦኖ!$C$4&gt;0),1,0)</f>
        <v>1</v>
      </c>
      <c r="BR79" s="38">
        <f>IF((ዕቁብ!BS81/ቦኖ!$C$4&gt;0),1,0)</f>
        <v>1</v>
      </c>
      <c r="BS79" s="38">
        <f>IF((ዕቁብ!BT81/ቦኖ!$C$4&gt;0),1,0)</f>
        <v>1</v>
      </c>
      <c r="BT79" s="38">
        <f>IF((ዕቁብ!BU81/ቦኖ!$C$4&gt;0),1,0)</f>
        <v>0</v>
      </c>
      <c r="BU79" s="38">
        <f>IF((ዕቁብ!BV81/ቦኖ!$C$4&gt;0),1,0)</f>
        <v>1</v>
      </c>
      <c r="BV79" s="38">
        <f>IF((ዕቁብ!BW81/ቦኖ!$C$4&gt;0),1,0)</f>
        <v>1</v>
      </c>
      <c r="BW79" s="38">
        <f>IF((ዕቁብ!BX81/ቦኖ!$C$4&gt;0),1,0)</f>
        <v>1</v>
      </c>
      <c r="BX79" s="38">
        <f>IF((ዕቁብ!BY81/ቦኖ!$C$4&gt;0),1,0)</f>
        <v>1</v>
      </c>
      <c r="BY79" s="38">
        <f>IF((ዕቁብ!BZ81/ቦኖ!$C$4&gt;0),1,0)</f>
        <v>1</v>
      </c>
      <c r="BZ79" s="38">
        <f>IF((ዕቁብ!CA81/ቦኖ!$C$4&gt;0),1,0)</f>
        <v>1</v>
      </c>
      <c r="CA79" s="38">
        <f>IF((ዕቁብ!CB81/ቦኖ!$C$4&gt;0),1,0)</f>
        <v>1</v>
      </c>
      <c r="CB79" s="38">
        <f>IF((ዕቁብ!CC81/ቦኖ!$C$4&gt;0),1,0)</f>
        <v>1</v>
      </c>
      <c r="CC79" s="38">
        <f>IF((ዕቁብ!CD81/ቦኖ!$C$4&gt;0),1,0)</f>
        <v>1</v>
      </c>
      <c r="CD79" s="38">
        <f>IF((ዕቁብ!CE81/ቦኖ!$C$4&gt;0),1,0)</f>
        <v>0</v>
      </c>
      <c r="CE79" s="38">
        <f>IF((ዕቁብ!CF81/ቦኖ!$C$4&gt;0),1,0)</f>
        <v>1</v>
      </c>
      <c r="CF79" s="38">
        <f>IF((ዕቁብ!CG81/ቦኖ!$C$4&gt;0),1,0)</f>
        <v>1</v>
      </c>
      <c r="CG79" s="38">
        <f>IF((ዕቁብ!CH81/ቦኖ!$C$4&gt;0),1,0)</f>
        <v>1</v>
      </c>
      <c r="CH79" s="38">
        <f>IF((ዕቁብ!CI81/ቦኖ!$C$4&gt;0),1,0)</f>
        <v>1</v>
      </c>
      <c r="CI79" s="38">
        <f>IF((ዕቁብ!CJ81/ቦኖ!$C$4&gt;0),1,0)</f>
        <v>1</v>
      </c>
      <c r="CJ79" s="38">
        <f>IF((ዕቁብ!CK81/ቦኖ!$C$4&gt;0),1,0)</f>
        <v>1</v>
      </c>
      <c r="CK79" s="38">
        <f>IF((ዕቁብ!CL81/ቦኖ!$C$4&gt;0),1,0)</f>
        <v>0</v>
      </c>
      <c r="CL79" s="38">
        <f>IF((ዕቁብ!CM81/ቦኖ!$C$4&gt;0),1,0)</f>
        <v>1</v>
      </c>
      <c r="CM79" s="38">
        <f>IF((ዕቁብ!CN81/ቦኖ!$C$4&gt;0),1,0)</f>
        <v>0</v>
      </c>
      <c r="CN79" s="38">
        <f>IF((ዕቁብ!CO81/ቦኖ!$C$4&gt;0),1,0)</f>
        <v>1</v>
      </c>
      <c r="CO79" s="38">
        <f>IF((ዕቁብ!CP81/ቦኖ!$C$4&gt;0),1,0)</f>
        <v>1</v>
      </c>
      <c r="CP79" s="38">
        <f>IF((ዕቁብ!CQ81/ቦኖ!$C$4&gt;0),1,0)</f>
        <v>1</v>
      </c>
      <c r="CQ79" s="38">
        <f>IF((ዕቁብ!CR81/ቦኖ!$C$4&gt;0),1,0)</f>
        <v>1</v>
      </c>
      <c r="CR79" s="38">
        <f>IF((ዕቁብ!CS81/ቦኖ!$C$4&gt;0),1,0)</f>
        <v>1</v>
      </c>
      <c r="CS79" s="38">
        <f>IF((ዕቁብ!CT81/ቦኖ!$C$4&gt;0),1,0)</f>
        <v>1</v>
      </c>
      <c r="CT79" s="38">
        <f>IF((ዕቁብ!CU81/ቦኖ!$C$4&gt;0),1,0)</f>
        <v>1</v>
      </c>
      <c r="CU79" s="38">
        <f>IF((ዕቁብ!CV81/ቦኖ!$C$4&gt;0),1,0)</f>
        <v>1</v>
      </c>
      <c r="CV79" s="38">
        <f>IF((ዕቁብ!CW81/ቦኖ!$C$4&gt;0),1,0)</f>
        <v>1</v>
      </c>
      <c r="CW79" s="38">
        <f>IF((ዕቁብ!CX81/ቦኖ!$C$4&gt;0),1,0)</f>
        <v>1</v>
      </c>
      <c r="CX79" s="38">
        <f>IF((ዕቁብ!CY81/ቦኖ!$C$4&gt;0),1,0)</f>
        <v>1</v>
      </c>
      <c r="CY79" s="38">
        <f>IF((ዕቁብ!CZ81/ቦኖ!$C$4&gt;0),1,0)</f>
        <v>1</v>
      </c>
      <c r="CZ79" s="38">
        <f>IF((ዕቁብ!DA81/ቦኖ!$C$4&gt;0),1,0)</f>
        <v>1</v>
      </c>
      <c r="DA79" s="38">
        <f>IF((ዕቁብ!DB81/ቦኖ!$C$4&gt;0),1,0)</f>
        <v>1</v>
      </c>
      <c r="DB79" s="38">
        <f>IF((ዕቁብ!DC81/ቦኖ!$C$4&gt;0),1,0)</f>
        <v>1</v>
      </c>
      <c r="DC79" s="38">
        <f>IF((ዕቁብ!DD81/ቦኖ!$C$4&gt;0),1,0)</f>
        <v>0</v>
      </c>
      <c r="DD79" s="38">
        <f>IF((ዕቁብ!DE81/ቦኖ!$C$4&gt;0),1,0)</f>
        <v>0</v>
      </c>
      <c r="DE79" s="38">
        <f>IF((ዕቁብ!DF81/ቦኖ!$C$4&gt;0),1,0)</f>
        <v>1</v>
      </c>
      <c r="DF79" s="38">
        <f>IF((ዕቁብ!DG81/ቦኖ!$C$4&gt;0),1,0)</f>
        <v>1</v>
      </c>
      <c r="DG79" s="38">
        <f>IF((ዕቁብ!DH81/ቦኖ!$C$4&gt;0),1,0)</f>
        <v>0</v>
      </c>
      <c r="DH79" s="38">
        <f>IF((ዕቁብ!DI81/ቦኖ!$C$4&gt;0),1,0)</f>
        <v>0</v>
      </c>
      <c r="DI79" s="38">
        <f>IF((ዕቁብ!DJ81/ቦኖ!$C$4&gt;0),1,0)</f>
        <v>0</v>
      </c>
      <c r="DJ79" s="38">
        <f>IF((ዕቁብ!DK81/ቦኖ!$C$4&gt;0),1,0)</f>
        <v>0</v>
      </c>
      <c r="DK79" s="38">
        <f>IF((ዕቁብ!DL81/ቦኖ!$C$4&gt;0),1,0)</f>
        <v>0</v>
      </c>
      <c r="DL79" s="38">
        <f>IF((ዕቁብ!DM81/ቦኖ!$C$4&gt;0),1,0)</f>
        <v>0</v>
      </c>
      <c r="DM79" s="38">
        <f>IF((ዕቁብ!DN81/ቦኖ!$C$4&gt;0),1,0)</f>
        <v>0</v>
      </c>
      <c r="DN79" s="38">
        <f>IF((ዕቁብ!DO81/ቦኖ!$C$4&gt;0),1,0)</f>
        <v>0</v>
      </c>
      <c r="DO79" s="38">
        <f>IF((ዕቁብ!DP81/ቦኖ!$C$4&gt;0),1,0)</f>
        <v>0</v>
      </c>
      <c r="DP79" s="38">
        <f>IF((ዕቁብ!DQ81/ቦኖ!$C$4&gt;0),1,0)</f>
        <v>0</v>
      </c>
      <c r="DQ79" s="38">
        <f>IF((ዕቁብ!DR81/ቦኖ!$C$4&gt;0),1,0)</f>
        <v>0</v>
      </c>
    </row>
    <row r="80" spans="1:121" ht="15.75" customHeight="1" x14ac:dyDescent="0.3">
      <c r="A80" s="33">
        <f>ዕቁብ!A82</f>
        <v>76</v>
      </c>
      <c r="B80" s="33" t="str">
        <f>ዕቁብ!B82</f>
        <v>ሽፈራዉ ከበደ</v>
      </c>
      <c r="C80" s="37">
        <f>ዕቁብ!C82</f>
        <v>21000</v>
      </c>
      <c r="D80" s="38">
        <f>IF((ዕቁብ!E82/ቦኖ!$C$4&gt;0),1,0)</f>
        <v>1</v>
      </c>
      <c r="E80" s="38">
        <f>IF((ዕቁብ!F82/ቦኖ!$C$4&gt;0),1,0)</f>
        <v>1</v>
      </c>
      <c r="F80" s="38">
        <f>IF((ዕቁብ!G82/ቦኖ!$C$4&gt;0),1,0)</f>
        <v>1</v>
      </c>
      <c r="G80" s="38">
        <f>IF((ዕቁብ!H82/ቦኖ!$C$4&gt;0),1,0)</f>
        <v>1</v>
      </c>
      <c r="H80" s="38">
        <f>IF((ዕቁብ!I82/ቦኖ!$C$4&gt;0),1,0)</f>
        <v>1</v>
      </c>
      <c r="I80" s="38">
        <f>IF((ዕቁብ!J82/ቦኖ!$C$4&gt;0),1,0)</f>
        <v>1</v>
      </c>
      <c r="J80" s="38">
        <f>IF((ዕቁብ!K82/ቦኖ!$C$4&gt;0),1,0)</f>
        <v>1</v>
      </c>
      <c r="K80" s="38">
        <f>IF((ዕቁብ!L82/ቦኖ!$C$4&gt;0),1,0)</f>
        <v>1</v>
      </c>
      <c r="L80" s="38">
        <f>IF((ዕቁብ!M82/ቦኖ!$C$4&gt;0),1,0)</f>
        <v>1</v>
      </c>
      <c r="M80" s="38">
        <f>IF((ዕቁብ!N82/ቦኖ!$C$4&gt;0),1,0)</f>
        <v>1</v>
      </c>
      <c r="N80" s="38">
        <f>IF((ዕቁብ!O82/ቦኖ!$C$4&gt;0),1,0)</f>
        <v>1</v>
      </c>
      <c r="O80" s="38">
        <f>IF((ዕቁብ!P82/ቦኖ!$C$4&gt;0),1,0)</f>
        <v>1</v>
      </c>
      <c r="P80" s="38">
        <f>IF((ዕቁብ!Q82/ቦኖ!$C$4&gt;0),1,0)</f>
        <v>1</v>
      </c>
      <c r="Q80" s="38">
        <f>IF((ዕቁብ!R82/ቦኖ!$C$4&gt;0),1,0)</f>
        <v>1</v>
      </c>
      <c r="R80" s="38">
        <f>IF((ዕቁብ!S82/ቦኖ!$C$4&gt;0),1,0)</f>
        <v>1</v>
      </c>
      <c r="S80" s="38">
        <f>IF((ዕቁብ!T82/ቦኖ!$C$4&gt;0),1,0)</f>
        <v>1</v>
      </c>
      <c r="T80" s="38">
        <f>IF((ዕቁብ!U82/ቦኖ!$C$4&gt;0),1,0)</f>
        <v>1</v>
      </c>
      <c r="U80" s="38">
        <f>IF((ዕቁብ!V82/ቦኖ!$C$4&gt;0),1,0)</f>
        <v>1</v>
      </c>
      <c r="V80" s="38">
        <f>IF((ዕቁብ!W82/ቦኖ!$C$4&gt;0),1,0)</f>
        <v>1</v>
      </c>
      <c r="W80" s="38">
        <f>IF((ዕቁብ!X82/ቦኖ!$C$4&gt;0),1,0)</f>
        <v>1</v>
      </c>
      <c r="X80" s="38">
        <f>IF((ዕቁብ!Y82/ቦኖ!$C$4&gt;0),1,0)</f>
        <v>0</v>
      </c>
      <c r="Y80" s="38">
        <f>IF((ዕቁብ!Z82/ቦኖ!$C$4&gt;0),1,0)</f>
        <v>0</v>
      </c>
      <c r="Z80" s="38">
        <f>IF((ዕቁብ!AA82/ቦኖ!$C$4&gt;0),1,0)</f>
        <v>0</v>
      </c>
      <c r="AA80" s="38">
        <f>IF((ዕቁብ!AB82/ቦኖ!$C$4&gt;0),1,0)</f>
        <v>0</v>
      </c>
      <c r="AB80" s="38">
        <f>IF((ዕቁብ!AC82/ቦኖ!$C$4&gt;0),1,0)</f>
        <v>0</v>
      </c>
      <c r="AC80" s="38">
        <f>IF((ዕቁብ!AD82/ቦኖ!$C$4&gt;0),1,0)</f>
        <v>0</v>
      </c>
      <c r="AD80" s="38">
        <f>IF((ዕቁብ!AE82/ቦኖ!$C$4&gt;0),1,0)</f>
        <v>0</v>
      </c>
      <c r="AE80" s="38">
        <f>IF((ዕቁብ!AF82/ቦኖ!$C$4&gt;0),1,0)</f>
        <v>0</v>
      </c>
      <c r="AF80" s="38">
        <f>IF((ዕቁብ!AG82/ቦኖ!$C$4&gt;0),1,0)</f>
        <v>0</v>
      </c>
      <c r="AG80" s="38">
        <f>IF((ዕቁብ!AH82/ቦኖ!$C$4&gt;0),1,0)</f>
        <v>0</v>
      </c>
      <c r="AH80" s="38">
        <f>IF((ዕቁብ!AI82/ቦኖ!$C$4&gt;0),1,0)</f>
        <v>1</v>
      </c>
      <c r="AI80" s="38">
        <f>IF((ዕቁብ!AJ82/ቦኖ!$C$4&gt;0),1,0)</f>
        <v>1</v>
      </c>
      <c r="AJ80" s="38">
        <f>IF((ዕቁብ!AK82/ቦኖ!$C$4&gt;0),1,0)</f>
        <v>1</v>
      </c>
      <c r="AK80" s="38">
        <f>IF((ዕቁብ!AL82/ቦኖ!$C$4&gt;0),1,0)</f>
        <v>1</v>
      </c>
      <c r="AL80" s="38">
        <f>IF((ዕቁብ!AM82/ቦኖ!$C$4&gt;0),1,0)</f>
        <v>1</v>
      </c>
      <c r="AM80" s="38">
        <f>IF((ዕቁብ!AN82/ቦኖ!$C$4&gt;0),1,0)</f>
        <v>1</v>
      </c>
      <c r="AN80" s="38">
        <f>IF((ዕቁብ!AO82/ቦኖ!$C$4&gt;0),1,0)</f>
        <v>1</v>
      </c>
      <c r="AO80" s="38">
        <f>IF((ዕቁብ!AP82/ቦኖ!$C$4&gt;0),1,0)</f>
        <v>1</v>
      </c>
      <c r="AP80" s="38">
        <f>IF((ዕቁብ!AQ82/ቦኖ!$C$4&gt;0),1,0)</f>
        <v>1</v>
      </c>
      <c r="AQ80" s="38">
        <f>IF((ዕቁብ!AR82/ቦኖ!$C$4&gt;0),1,0)</f>
        <v>1</v>
      </c>
      <c r="AR80" s="38">
        <f>IF((ዕቁብ!AS82/ቦኖ!$C$4&gt;0),1,0)</f>
        <v>0</v>
      </c>
      <c r="AS80" s="38">
        <f>IF((ዕቁብ!AT82/ቦኖ!$C$4&gt;0),1,0)</f>
        <v>0</v>
      </c>
      <c r="AT80" s="38">
        <f>IF((ዕቁብ!AU82/ቦኖ!$C$4&gt;0),1,0)</f>
        <v>1</v>
      </c>
      <c r="AU80" s="38">
        <f>IF((ዕቁብ!AV82/ቦኖ!$C$4&gt;0),1,0)</f>
        <v>1</v>
      </c>
      <c r="AV80" s="38">
        <f>IF((ዕቁብ!AW82/ቦኖ!$C$4&gt;0),1,0)</f>
        <v>1</v>
      </c>
      <c r="AW80" s="38">
        <f>IF((ዕቁብ!AX82/ቦኖ!$C$4&gt;0),1,0)</f>
        <v>1</v>
      </c>
      <c r="AX80" s="38">
        <f>IF((ዕቁብ!AY82/ቦኖ!$C$4&gt;0),1,0)</f>
        <v>0</v>
      </c>
      <c r="AY80" s="38">
        <f>IF((ዕቁብ!AZ82/ቦኖ!$C$4&gt;0),1,0)</f>
        <v>0</v>
      </c>
      <c r="AZ80" s="38">
        <f>IF((ዕቁብ!BA82/ቦኖ!$C$4&gt;0),1,0)</f>
        <v>0</v>
      </c>
      <c r="BA80" s="38">
        <f>IF((ዕቁብ!BB82/ቦኖ!$C$4&gt;0),1,0)</f>
        <v>1</v>
      </c>
      <c r="BB80" s="38">
        <f>IF((ዕቁብ!BC82/ቦኖ!$C$4&gt;0),1,0)</f>
        <v>1</v>
      </c>
      <c r="BC80" s="38">
        <f>IF((ዕቁብ!BD82/ቦኖ!$C$4&gt;0),1,0)</f>
        <v>1</v>
      </c>
      <c r="BD80" s="38">
        <f>IF((ዕቁብ!BE82/ቦኖ!$C$4&gt;0),1,0)</f>
        <v>1</v>
      </c>
      <c r="BE80" s="38">
        <f>IF((ዕቁብ!BF82/ቦኖ!$C$4&gt;0),1,0)</f>
        <v>1</v>
      </c>
      <c r="BF80" s="38">
        <f>IF((ዕቁብ!BG82/ቦኖ!$C$4&gt;0),1,0)</f>
        <v>0</v>
      </c>
      <c r="BG80" s="38">
        <f>IF((ዕቁብ!BH82/ቦኖ!$C$4&gt;0),1,0)</f>
        <v>1</v>
      </c>
      <c r="BH80" s="38">
        <f>IF((ዕቁብ!BI82/ቦኖ!$C$4&gt;0),1,0)</f>
        <v>0</v>
      </c>
      <c r="BI80" s="38">
        <f>IF((ዕቁብ!BJ82/ቦኖ!$C$4&gt;0),1,0)</f>
        <v>1</v>
      </c>
      <c r="BJ80" s="38">
        <f>IF((ዕቁብ!BK82/ቦኖ!$C$4&gt;0),1,0)</f>
        <v>1</v>
      </c>
      <c r="BK80" s="38">
        <f>IF((ዕቁብ!BL82/ቦኖ!$C$4&gt;0),1,0)</f>
        <v>1</v>
      </c>
      <c r="BL80" s="38">
        <f>IF((ዕቁብ!BM82/ቦኖ!$C$4&gt;0),1,0)</f>
        <v>1</v>
      </c>
      <c r="BM80" s="38">
        <f>IF((ዕቁብ!BN82/ቦኖ!$C$4&gt;0),1,0)</f>
        <v>0</v>
      </c>
      <c r="BN80" s="38">
        <f>IF((ዕቁብ!BO82/ቦኖ!$C$4&gt;0),1,0)</f>
        <v>1</v>
      </c>
      <c r="BO80" s="38">
        <f>IF((ዕቁብ!BP82/ቦኖ!$C$4&gt;0),1,0)</f>
        <v>1</v>
      </c>
      <c r="BP80" s="38">
        <f>IF((ዕቁብ!BQ82/ቦኖ!$C$4&gt;0),1,0)</f>
        <v>0</v>
      </c>
      <c r="BQ80" s="38">
        <f>IF((ዕቁብ!BR82/ቦኖ!$C$4&gt;0),1,0)</f>
        <v>1</v>
      </c>
      <c r="BR80" s="38">
        <f>IF((ዕቁብ!BS82/ቦኖ!$C$4&gt;0),1,0)</f>
        <v>1</v>
      </c>
      <c r="BS80" s="38">
        <f>IF((ዕቁብ!BT82/ቦኖ!$C$4&gt;0),1,0)</f>
        <v>1</v>
      </c>
      <c r="BT80" s="38">
        <f>IF((ዕቁብ!BU82/ቦኖ!$C$4&gt;0),1,0)</f>
        <v>1</v>
      </c>
      <c r="BU80" s="38">
        <f>IF((ዕቁብ!BV82/ቦኖ!$C$4&gt;0),1,0)</f>
        <v>1</v>
      </c>
      <c r="BV80" s="38">
        <f>IF((ዕቁብ!BW82/ቦኖ!$C$4&gt;0),1,0)</f>
        <v>0</v>
      </c>
      <c r="BW80" s="38">
        <f>IF((ዕቁብ!BX82/ቦኖ!$C$4&gt;0),1,0)</f>
        <v>1</v>
      </c>
      <c r="BX80" s="38">
        <f>IF((ዕቁብ!BY82/ቦኖ!$C$4&gt;0),1,0)</f>
        <v>1</v>
      </c>
      <c r="BY80" s="38">
        <f>IF((ዕቁብ!BZ82/ቦኖ!$C$4&gt;0),1,0)</f>
        <v>1</v>
      </c>
      <c r="BZ80" s="38">
        <f>IF((ዕቁብ!CA82/ቦኖ!$C$4&gt;0),1,0)</f>
        <v>1</v>
      </c>
      <c r="CA80" s="38">
        <f>IF((ዕቁብ!CB82/ቦኖ!$C$4&gt;0),1,0)</f>
        <v>0</v>
      </c>
      <c r="CB80" s="38">
        <f>IF((ዕቁብ!CC82/ቦኖ!$C$4&gt;0),1,0)</f>
        <v>1</v>
      </c>
      <c r="CC80" s="38">
        <f>IF((ዕቁብ!CD82/ቦኖ!$C$4&gt;0),1,0)</f>
        <v>1</v>
      </c>
      <c r="CD80" s="38">
        <f>IF((ዕቁብ!CE82/ቦኖ!$C$4&gt;0),1,0)</f>
        <v>1</v>
      </c>
      <c r="CE80" s="38">
        <f>IF((ዕቁብ!CF82/ቦኖ!$C$4&gt;0),1,0)</f>
        <v>1</v>
      </c>
      <c r="CF80" s="38">
        <f>IF((ዕቁብ!CG82/ቦኖ!$C$4&gt;0),1,0)</f>
        <v>1</v>
      </c>
      <c r="CG80" s="38">
        <f>IF((ዕቁብ!CH82/ቦኖ!$C$4&gt;0),1,0)</f>
        <v>1</v>
      </c>
      <c r="CH80" s="38">
        <f>IF((ዕቁብ!CI82/ቦኖ!$C$4&gt;0),1,0)</f>
        <v>1</v>
      </c>
      <c r="CI80" s="38">
        <f>IF((ዕቁብ!CJ82/ቦኖ!$C$4&gt;0),1,0)</f>
        <v>1</v>
      </c>
      <c r="CJ80" s="38">
        <f>IF((ዕቁብ!CK82/ቦኖ!$C$4&gt;0),1,0)</f>
        <v>1</v>
      </c>
      <c r="CK80" s="38">
        <f>IF((ዕቁብ!CL82/ቦኖ!$C$4&gt;0),1,0)</f>
        <v>0</v>
      </c>
      <c r="CL80" s="38">
        <f>IF((ዕቁብ!CM82/ቦኖ!$C$4&gt;0),1,0)</f>
        <v>1</v>
      </c>
      <c r="CM80" s="38">
        <f>IF((ዕቁብ!CN82/ቦኖ!$C$4&gt;0),1,0)</f>
        <v>0</v>
      </c>
      <c r="CN80" s="38">
        <f>IF((ዕቁብ!CO82/ቦኖ!$C$4&gt;0),1,0)</f>
        <v>1</v>
      </c>
      <c r="CO80" s="38">
        <f>IF((ዕቁብ!CP82/ቦኖ!$C$4&gt;0),1,0)</f>
        <v>0</v>
      </c>
      <c r="CP80" s="38">
        <f>IF((ዕቁብ!CQ82/ቦኖ!$C$4&gt;0),1,0)</f>
        <v>1</v>
      </c>
      <c r="CQ80" s="38">
        <f>IF((ዕቁብ!CR82/ቦኖ!$C$4&gt;0),1,0)</f>
        <v>0</v>
      </c>
      <c r="CR80" s="38">
        <f>IF((ዕቁብ!CS82/ቦኖ!$C$4&gt;0),1,0)</f>
        <v>0</v>
      </c>
      <c r="CS80" s="38">
        <f>IF((ዕቁብ!CT82/ቦኖ!$C$4&gt;0),1,0)</f>
        <v>1</v>
      </c>
      <c r="CT80" s="38">
        <f>IF((ዕቁብ!CU82/ቦኖ!$C$4&gt;0),1,0)</f>
        <v>1</v>
      </c>
      <c r="CU80" s="38">
        <f>IF((ዕቁብ!CV82/ቦኖ!$C$4&gt;0),1,0)</f>
        <v>0</v>
      </c>
      <c r="CV80" s="38">
        <f>IF((ዕቁብ!CW82/ቦኖ!$C$4&gt;0),1,0)</f>
        <v>1</v>
      </c>
      <c r="CW80" s="38">
        <f>IF((ዕቁብ!CX82/ቦኖ!$C$4&gt;0),1,0)</f>
        <v>0</v>
      </c>
      <c r="CX80" s="38">
        <f>IF((ዕቁብ!CY82/ቦኖ!$C$4&gt;0),1,0)</f>
        <v>1</v>
      </c>
      <c r="CY80" s="38">
        <f>IF((ዕቁብ!CZ82/ቦኖ!$C$4&gt;0),1,0)</f>
        <v>0</v>
      </c>
      <c r="CZ80" s="38">
        <f>IF((ዕቁብ!DA82/ቦኖ!$C$4&gt;0),1,0)</f>
        <v>1</v>
      </c>
      <c r="DA80" s="38">
        <f>IF((ዕቁብ!DB82/ቦኖ!$C$4&gt;0),1,0)</f>
        <v>1</v>
      </c>
      <c r="DB80" s="38">
        <f>IF((ዕቁብ!DC82/ቦኖ!$C$4&gt;0),1,0)</f>
        <v>0</v>
      </c>
      <c r="DC80" s="38">
        <f>IF((ዕቁብ!DD82/ቦኖ!$C$4&gt;0),1,0)</f>
        <v>1</v>
      </c>
      <c r="DD80" s="38">
        <f>IF((ዕቁብ!DE82/ቦኖ!$C$4&gt;0),1,0)</f>
        <v>1</v>
      </c>
      <c r="DE80" s="38">
        <f>IF((ዕቁብ!DF82/ቦኖ!$C$4&gt;0),1,0)</f>
        <v>0</v>
      </c>
      <c r="DF80" s="38">
        <f>IF((ዕቁብ!DG82/ቦኖ!$C$4&gt;0),1,0)</f>
        <v>1</v>
      </c>
      <c r="DG80" s="38">
        <f>IF((ዕቁብ!DH82/ቦኖ!$C$4&gt;0),1,0)</f>
        <v>0</v>
      </c>
      <c r="DH80" s="38">
        <f>IF((ዕቁብ!DI82/ቦኖ!$C$4&gt;0),1,0)</f>
        <v>0</v>
      </c>
      <c r="DI80" s="38">
        <f>IF((ዕቁብ!DJ82/ቦኖ!$C$4&gt;0),1,0)</f>
        <v>0</v>
      </c>
      <c r="DJ80" s="38">
        <f>IF((ዕቁብ!DK82/ቦኖ!$C$4&gt;0),1,0)</f>
        <v>0</v>
      </c>
      <c r="DK80" s="38">
        <f>IF((ዕቁብ!DL82/ቦኖ!$C$4&gt;0),1,0)</f>
        <v>0</v>
      </c>
      <c r="DL80" s="38">
        <f>IF((ዕቁብ!DM82/ቦኖ!$C$4&gt;0),1,0)</f>
        <v>0</v>
      </c>
      <c r="DM80" s="38">
        <f>IF((ዕቁብ!DN82/ቦኖ!$C$4&gt;0),1,0)</f>
        <v>0</v>
      </c>
      <c r="DN80" s="38">
        <f>IF((ዕቁብ!DO82/ቦኖ!$C$4&gt;0),1,0)</f>
        <v>0</v>
      </c>
      <c r="DO80" s="38">
        <f>IF((ዕቁብ!DP82/ቦኖ!$C$4&gt;0),1,0)</f>
        <v>0</v>
      </c>
      <c r="DP80" s="38">
        <f>IF((ዕቁብ!DQ82/ቦኖ!$C$4&gt;0),1,0)</f>
        <v>0</v>
      </c>
      <c r="DQ80" s="38">
        <f>IF((ዕቁብ!DR82/ቦኖ!$C$4&gt;0),1,0)</f>
        <v>0</v>
      </c>
    </row>
    <row r="81" spans="1:121" ht="15.75" customHeight="1" x14ac:dyDescent="0.3">
      <c r="A81" s="33">
        <f>ዕቁብ!A83</f>
        <v>77</v>
      </c>
      <c r="B81" s="33" t="str">
        <f>ዕቁብ!B83</f>
        <v>አስቴር ገ/ፃዲቅ</v>
      </c>
      <c r="C81" s="37">
        <f>ዕቁብ!C83</f>
        <v>21000</v>
      </c>
      <c r="D81" s="38">
        <f>IF((ዕቁብ!E83/ቦኖ!$C$4&gt;0),1,0)</f>
        <v>1</v>
      </c>
      <c r="E81" s="38">
        <f>IF((ዕቁብ!F83/ቦኖ!$C$4&gt;0),1,0)</f>
        <v>1</v>
      </c>
      <c r="F81" s="38">
        <f>IF((ዕቁብ!G83/ቦኖ!$C$4&gt;0),1,0)</f>
        <v>1</v>
      </c>
      <c r="G81" s="38">
        <f>IF((ዕቁብ!H83/ቦኖ!$C$4&gt;0),1,0)</f>
        <v>1</v>
      </c>
      <c r="H81" s="38">
        <f>IF((ዕቁብ!I83/ቦኖ!$C$4&gt;0),1,0)</f>
        <v>1</v>
      </c>
      <c r="I81" s="38">
        <f>IF((ዕቁብ!J83/ቦኖ!$C$4&gt;0),1,0)</f>
        <v>1</v>
      </c>
      <c r="J81" s="38">
        <f>IF((ዕቁብ!K83/ቦኖ!$C$4&gt;0),1,0)</f>
        <v>1</v>
      </c>
      <c r="K81" s="38">
        <f>IF((ዕቁብ!L83/ቦኖ!$C$4&gt;0),1,0)</f>
        <v>1</v>
      </c>
      <c r="L81" s="38">
        <f>IF((ዕቁብ!M83/ቦኖ!$C$4&gt;0),1,0)</f>
        <v>1</v>
      </c>
      <c r="M81" s="38">
        <f>IF((ዕቁብ!N83/ቦኖ!$C$4&gt;0),1,0)</f>
        <v>1</v>
      </c>
      <c r="N81" s="38">
        <f>IF((ዕቁብ!O83/ቦኖ!$C$4&gt;0),1,0)</f>
        <v>1</v>
      </c>
      <c r="O81" s="38">
        <f>IF((ዕቁብ!P83/ቦኖ!$C$4&gt;0),1,0)</f>
        <v>1</v>
      </c>
      <c r="P81" s="38">
        <f>IF((ዕቁብ!Q83/ቦኖ!$C$4&gt;0),1,0)</f>
        <v>1</v>
      </c>
      <c r="Q81" s="38">
        <f>IF((ዕቁብ!R83/ቦኖ!$C$4&gt;0),1,0)</f>
        <v>1</v>
      </c>
      <c r="R81" s="38">
        <f>IF((ዕቁብ!S83/ቦኖ!$C$4&gt;0),1,0)</f>
        <v>1</v>
      </c>
      <c r="S81" s="38">
        <f>IF((ዕቁብ!T83/ቦኖ!$C$4&gt;0),1,0)</f>
        <v>1</v>
      </c>
      <c r="T81" s="38">
        <f>IF((ዕቁብ!U83/ቦኖ!$C$4&gt;0),1,0)</f>
        <v>1</v>
      </c>
      <c r="U81" s="38">
        <f>IF((ዕቁብ!V83/ቦኖ!$C$4&gt;0),1,0)</f>
        <v>1</v>
      </c>
      <c r="V81" s="38">
        <f>IF((ዕቁብ!W83/ቦኖ!$C$4&gt;0),1,0)</f>
        <v>1</v>
      </c>
      <c r="W81" s="38">
        <f>IF((ዕቁብ!X83/ቦኖ!$C$4&gt;0),1,0)</f>
        <v>1</v>
      </c>
      <c r="X81" s="38">
        <f>IF((ዕቁብ!Y83/ቦኖ!$C$4&gt;0),1,0)</f>
        <v>1</v>
      </c>
      <c r="Y81" s="38">
        <f>IF((ዕቁብ!Z83/ቦኖ!$C$4&gt;0),1,0)</f>
        <v>1</v>
      </c>
      <c r="Z81" s="38">
        <f>IF((ዕቁብ!AA83/ቦኖ!$C$4&gt;0),1,0)</f>
        <v>1</v>
      </c>
      <c r="AA81" s="38">
        <f>IF((ዕቁብ!AB83/ቦኖ!$C$4&gt;0),1,0)</f>
        <v>0</v>
      </c>
      <c r="AB81" s="38">
        <f>IF((ዕቁብ!AC83/ቦኖ!$C$4&gt;0),1,0)</f>
        <v>1</v>
      </c>
      <c r="AC81" s="38">
        <f>IF((ዕቁብ!AD83/ቦኖ!$C$4&gt;0),1,0)</f>
        <v>1</v>
      </c>
      <c r="AD81" s="38">
        <f>IF((ዕቁብ!AE83/ቦኖ!$C$4&gt;0),1,0)</f>
        <v>1</v>
      </c>
      <c r="AE81" s="38">
        <f>IF((ዕቁብ!AF83/ቦኖ!$C$4&gt;0),1,0)</f>
        <v>1</v>
      </c>
      <c r="AF81" s="38">
        <f>IF((ዕቁብ!AG83/ቦኖ!$C$4&gt;0),1,0)</f>
        <v>1</v>
      </c>
      <c r="AG81" s="38">
        <f>IF((ዕቁብ!AH83/ቦኖ!$C$4&gt;0),1,0)</f>
        <v>1</v>
      </c>
      <c r="AH81" s="38">
        <f>IF((ዕቁብ!AI83/ቦኖ!$C$4&gt;0),1,0)</f>
        <v>1</v>
      </c>
      <c r="AI81" s="38">
        <f>IF((ዕቁብ!AJ83/ቦኖ!$C$4&gt;0),1,0)</f>
        <v>1</v>
      </c>
      <c r="AJ81" s="38">
        <f>IF((ዕቁብ!AK83/ቦኖ!$C$4&gt;0),1,0)</f>
        <v>1</v>
      </c>
      <c r="AK81" s="38">
        <f>IF((ዕቁብ!AL83/ቦኖ!$C$4&gt;0),1,0)</f>
        <v>1</v>
      </c>
      <c r="AL81" s="38">
        <f>IF((ዕቁብ!AM83/ቦኖ!$C$4&gt;0),1,0)</f>
        <v>1</v>
      </c>
      <c r="AM81" s="38">
        <f>IF((ዕቁብ!AN83/ቦኖ!$C$4&gt;0),1,0)</f>
        <v>1</v>
      </c>
      <c r="AN81" s="38">
        <f>IF((ዕቁብ!AO83/ቦኖ!$C$4&gt;0),1,0)</f>
        <v>1</v>
      </c>
      <c r="AO81" s="38">
        <f>IF((ዕቁብ!AP83/ቦኖ!$C$4&gt;0),1,0)</f>
        <v>1</v>
      </c>
      <c r="AP81" s="38">
        <f>IF((ዕቁብ!AQ83/ቦኖ!$C$4&gt;0),1,0)</f>
        <v>1</v>
      </c>
      <c r="AQ81" s="38">
        <f>IF((ዕቁብ!AR83/ቦኖ!$C$4&gt;0),1,0)</f>
        <v>1</v>
      </c>
      <c r="AR81" s="38">
        <f>IF((ዕቁብ!AS83/ቦኖ!$C$4&gt;0),1,0)</f>
        <v>1</v>
      </c>
      <c r="AS81" s="38">
        <f>IF((ዕቁብ!AT83/ቦኖ!$C$4&gt;0),1,0)</f>
        <v>0</v>
      </c>
      <c r="AT81" s="38">
        <f>IF((ዕቁብ!AU83/ቦኖ!$C$4&gt;0),1,0)</f>
        <v>1</v>
      </c>
      <c r="AU81" s="38">
        <f>IF((ዕቁብ!AV83/ቦኖ!$C$4&gt;0),1,0)</f>
        <v>1</v>
      </c>
      <c r="AV81" s="38">
        <f>IF((ዕቁብ!AW83/ቦኖ!$C$4&gt;0),1,0)</f>
        <v>1</v>
      </c>
      <c r="AW81" s="38">
        <f>IF((ዕቁብ!AX83/ቦኖ!$C$4&gt;0),1,0)</f>
        <v>1</v>
      </c>
      <c r="AX81" s="38">
        <f>IF((ዕቁብ!AY83/ቦኖ!$C$4&gt;0),1,0)</f>
        <v>1</v>
      </c>
      <c r="AY81" s="38">
        <f>IF((ዕቁብ!AZ83/ቦኖ!$C$4&gt;0),1,0)</f>
        <v>1</v>
      </c>
      <c r="AZ81" s="38">
        <f>IF((ዕቁብ!BA83/ቦኖ!$C$4&gt;0),1,0)</f>
        <v>1</v>
      </c>
      <c r="BA81" s="38">
        <f>IF((ዕቁብ!BB83/ቦኖ!$C$4&gt;0),1,0)</f>
        <v>1</v>
      </c>
      <c r="BB81" s="38">
        <f>IF((ዕቁብ!BC83/ቦኖ!$C$4&gt;0),1,0)</f>
        <v>1</v>
      </c>
      <c r="BC81" s="38">
        <f>IF((ዕቁብ!BD83/ቦኖ!$C$4&gt;0),1,0)</f>
        <v>1</v>
      </c>
      <c r="BD81" s="38">
        <f>IF((ዕቁብ!BE83/ቦኖ!$C$4&gt;0),1,0)</f>
        <v>1</v>
      </c>
      <c r="BE81" s="38">
        <f>IF((ዕቁብ!BF83/ቦኖ!$C$4&gt;0),1,0)</f>
        <v>1</v>
      </c>
      <c r="BF81" s="38">
        <f>IF((ዕቁብ!BG83/ቦኖ!$C$4&gt;0),1,0)</f>
        <v>0</v>
      </c>
      <c r="BG81" s="38">
        <f>IF((ዕቁብ!BH83/ቦኖ!$C$4&gt;0),1,0)</f>
        <v>1</v>
      </c>
      <c r="BH81" s="38">
        <f>IF((ዕቁብ!BI83/ቦኖ!$C$4&gt;0),1,0)</f>
        <v>1</v>
      </c>
      <c r="BI81" s="38">
        <f>IF((ዕቁብ!BJ83/ቦኖ!$C$4&gt;0),1,0)</f>
        <v>1</v>
      </c>
      <c r="BJ81" s="38">
        <f>IF((ዕቁብ!BK83/ቦኖ!$C$4&gt;0),1,0)</f>
        <v>1</v>
      </c>
      <c r="BK81" s="38">
        <f>IF((ዕቁብ!BL83/ቦኖ!$C$4&gt;0),1,0)</f>
        <v>1</v>
      </c>
      <c r="BL81" s="38">
        <f>IF((ዕቁብ!BM83/ቦኖ!$C$4&gt;0),1,0)</f>
        <v>1</v>
      </c>
      <c r="BM81" s="38">
        <f>IF((ዕቁብ!BN83/ቦኖ!$C$4&gt;0),1,0)</f>
        <v>0</v>
      </c>
      <c r="BN81" s="38">
        <f>IF((ዕቁብ!BO83/ቦኖ!$C$4&gt;0),1,0)</f>
        <v>1</v>
      </c>
      <c r="BO81" s="38">
        <f>IF((ዕቁብ!BP83/ቦኖ!$C$4&gt;0),1,0)</f>
        <v>1</v>
      </c>
      <c r="BP81" s="38">
        <f>IF((ዕቁብ!BQ83/ቦኖ!$C$4&gt;0),1,0)</f>
        <v>1</v>
      </c>
      <c r="BQ81" s="38">
        <f>IF((ዕቁብ!BR83/ቦኖ!$C$4&gt;0),1,0)</f>
        <v>1</v>
      </c>
      <c r="BR81" s="38">
        <f>IF((ዕቁብ!BS83/ቦኖ!$C$4&gt;0),1,0)</f>
        <v>1</v>
      </c>
      <c r="BS81" s="38">
        <f>IF((ዕቁብ!BT83/ቦኖ!$C$4&gt;0),1,0)</f>
        <v>1</v>
      </c>
      <c r="BT81" s="38">
        <f>IF((ዕቁብ!BU83/ቦኖ!$C$4&gt;0),1,0)</f>
        <v>1</v>
      </c>
      <c r="BU81" s="38">
        <f>IF((ዕቁብ!BV83/ቦኖ!$C$4&gt;0),1,0)</f>
        <v>0</v>
      </c>
      <c r="BV81" s="38">
        <f>IF((ዕቁብ!BW83/ቦኖ!$C$4&gt;0),1,0)</f>
        <v>1</v>
      </c>
      <c r="BW81" s="38">
        <f>IF((ዕቁብ!BX83/ቦኖ!$C$4&gt;0),1,0)</f>
        <v>0</v>
      </c>
      <c r="BX81" s="38">
        <f>IF((ዕቁብ!BY83/ቦኖ!$C$4&gt;0),1,0)</f>
        <v>0</v>
      </c>
      <c r="BY81" s="38">
        <f>IF((ዕቁብ!BZ83/ቦኖ!$C$4&gt;0),1,0)</f>
        <v>1</v>
      </c>
      <c r="BZ81" s="38">
        <f>IF((ዕቁብ!CA83/ቦኖ!$C$4&gt;0),1,0)</f>
        <v>1</v>
      </c>
      <c r="CA81" s="38">
        <f>IF((ዕቁብ!CB83/ቦኖ!$C$4&gt;0),1,0)</f>
        <v>1</v>
      </c>
      <c r="CB81" s="38">
        <f>IF((ዕቁብ!CC83/ቦኖ!$C$4&gt;0),1,0)</f>
        <v>1</v>
      </c>
      <c r="CC81" s="38">
        <f>IF((ዕቁብ!CD83/ቦኖ!$C$4&gt;0),1,0)</f>
        <v>1</v>
      </c>
      <c r="CD81" s="38">
        <f>IF((ዕቁብ!CE83/ቦኖ!$C$4&gt;0),1,0)</f>
        <v>0</v>
      </c>
      <c r="CE81" s="38">
        <f>IF((ዕቁብ!CF83/ቦኖ!$C$4&gt;0),1,0)</f>
        <v>1</v>
      </c>
      <c r="CF81" s="38">
        <f>IF((ዕቁብ!CG83/ቦኖ!$C$4&gt;0),1,0)</f>
        <v>1</v>
      </c>
      <c r="CG81" s="38">
        <f>IF((ዕቁብ!CH83/ቦኖ!$C$4&gt;0),1,0)</f>
        <v>1</v>
      </c>
      <c r="CH81" s="38">
        <f>IF((ዕቁብ!CI83/ቦኖ!$C$4&gt;0),1,0)</f>
        <v>1</v>
      </c>
      <c r="CI81" s="38">
        <f>IF((ዕቁብ!CJ83/ቦኖ!$C$4&gt;0),1,0)</f>
        <v>0</v>
      </c>
      <c r="CJ81" s="38">
        <f>IF((ዕቁብ!CK83/ቦኖ!$C$4&gt;0),1,0)</f>
        <v>0</v>
      </c>
      <c r="CK81" s="38">
        <f>IF((ዕቁብ!CL83/ቦኖ!$C$4&gt;0),1,0)</f>
        <v>0</v>
      </c>
      <c r="CL81" s="38">
        <f>IF((ዕቁብ!CM83/ቦኖ!$C$4&gt;0),1,0)</f>
        <v>1</v>
      </c>
      <c r="CM81" s="38">
        <f>IF((ዕቁብ!CN83/ቦኖ!$C$4&gt;0),1,0)</f>
        <v>1</v>
      </c>
      <c r="CN81" s="38">
        <f>IF((ዕቁብ!CO83/ቦኖ!$C$4&gt;0),1,0)</f>
        <v>0</v>
      </c>
      <c r="CO81" s="38">
        <f>IF((ዕቁብ!CP83/ቦኖ!$C$4&gt;0),1,0)</f>
        <v>1</v>
      </c>
      <c r="CP81" s="38">
        <f>IF((ዕቁብ!CQ83/ቦኖ!$C$4&gt;0),1,0)</f>
        <v>0</v>
      </c>
      <c r="CQ81" s="38">
        <f>IF((ዕቁብ!CR83/ቦኖ!$C$4&gt;0),1,0)</f>
        <v>1</v>
      </c>
      <c r="CR81" s="38">
        <f>IF((ዕቁብ!CS83/ቦኖ!$C$4&gt;0),1,0)</f>
        <v>1</v>
      </c>
      <c r="CS81" s="38">
        <f>IF((ዕቁብ!CT83/ቦኖ!$C$4&gt;0),1,0)</f>
        <v>1</v>
      </c>
      <c r="CT81" s="38">
        <f>IF((ዕቁብ!CU83/ቦኖ!$C$4&gt;0),1,0)</f>
        <v>1</v>
      </c>
      <c r="CU81" s="38">
        <f>IF((ዕቁብ!CV83/ቦኖ!$C$4&gt;0),1,0)</f>
        <v>1</v>
      </c>
      <c r="CV81" s="38">
        <f>IF((ዕቁብ!CW83/ቦኖ!$C$4&gt;0),1,0)</f>
        <v>1</v>
      </c>
      <c r="CW81" s="38">
        <f>IF((ዕቁብ!CX83/ቦኖ!$C$4&gt;0),1,0)</f>
        <v>0</v>
      </c>
      <c r="CX81" s="38">
        <f>IF((ዕቁብ!CY83/ቦኖ!$C$4&gt;0),1,0)</f>
        <v>1</v>
      </c>
      <c r="CY81" s="38">
        <f>IF((ዕቁብ!CZ83/ቦኖ!$C$4&gt;0),1,0)</f>
        <v>1</v>
      </c>
      <c r="CZ81" s="38">
        <f>IF((ዕቁብ!DA83/ቦኖ!$C$4&gt;0),1,0)</f>
        <v>1</v>
      </c>
      <c r="DA81" s="38">
        <f>IF((ዕቁብ!DB83/ቦኖ!$C$4&gt;0),1,0)</f>
        <v>0</v>
      </c>
      <c r="DB81" s="38">
        <f>IF((ዕቁብ!DC83/ቦኖ!$C$4&gt;0),1,0)</f>
        <v>1</v>
      </c>
      <c r="DC81" s="38">
        <f>IF((ዕቁብ!DD83/ቦኖ!$C$4&gt;0),1,0)</f>
        <v>1</v>
      </c>
      <c r="DD81" s="38">
        <f>IF((ዕቁብ!DE83/ቦኖ!$C$4&gt;0),1,0)</f>
        <v>1</v>
      </c>
      <c r="DE81" s="38">
        <f>IF((ዕቁብ!DF83/ቦኖ!$C$4&gt;0),1,0)</f>
        <v>1</v>
      </c>
      <c r="DF81" s="38">
        <f>IF((ዕቁብ!DG83/ቦኖ!$C$4&gt;0),1,0)</f>
        <v>0</v>
      </c>
      <c r="DG81" s="38">
        <f>IF((ዕቁብ!DH83/ቦኖ!$C$4&gt;0),1,0)</f>
        <v>1</v>
      </c>
      <c r="DH81" s="38">
        <f>IF((ዕቁብ!DI83/ቦኖ!$C$4&gt;0),1,0)</f>
        <v>0</v>
      </c>
      <c r="DI81" s="38">
        <f>IF((ዕቁብ!DJ83/ቦኖ!$C$4&gt;0),1,0)</f>
        <v>0</v>
      </c>
      <c r="DJ81" s="38">
        <f>IF((ዕቁብ!DK83/ቦኖ!$C$4&gt;0),1,0)</f>
        <v>0</v>
      </c>
      <c r="DK81" s="38">
        <f>IF((ዕቁብ!DL83/ቦኖ!$C$4&gt;0),1,0)</f>
        <v>0</v>
      </c>
      <c r="DL81" s="38">
        <f>IF((ዕቁብ!DM83/ቦኖ!$C$4&gt;0),1,0)</f>
        <v>0</v>
      </c>
      <c r="DM81" s="38">
        <f>IF((ዕቁብ!DN83/ቦኖ!$C$4&gt;0),1,0)</f>
        <v>0</v>
      </c>
      <c r="DN81" s="38">
        <f>IF((ዕቁብ!DO83/ቦኖ!$C$4&gt;0),1,0)</f>
        <v>0</v>
      </c>
      <c r="DO81" s="38">
        <f>IF((ዕቁብ!DP83/ቦኖ!$C$4&gt;0),1,0)</f>
        <v>0</v>
      </c>
      <c r="DP81" s="38">
        <f>IF((ዕቁብ!DQ83/ቦኖ!$C$4&gt;0),1,0)</f>
        <v>0</v>
      </c>
      <c r="DQ81" s="38">
        <f>IF((ዕቁብ!DR83/ቦኖ!$C$4&gt;0),1,0)</f>
        <v>0</v>
      </c>
    </row>
    <row r="82" spans="1:121" ht="15.75" customHeight="1" x14ac:dyDescent="0.3">
      <c r="A82" s="33">
        <f>ዕቁብ!A84</f>
        <v>78</v>
      </c>
      <c r="B82" s="33" t="str">
        <f>ዕቁብ!B84</f>
        <v>መለሰ ከለቻ</v>
      </c>
      <c r="C82" s="37">
        <f>ዕቁብ!C84</f>
        <v>21000</v>
      </c>
      <c r="D82" s="38">
        <f>IF((ዕቁብ!E84/ቦኖ!$C$4&gt;0),1,0)</f>
        <v>1</v>
      </c>
      <c r="E82" s="38">
        <f>IF((ዕቁብ!F84/ቦኖ!$C$4&gt;0),1,0)</f>
        <v>1</v>
      </c>
      <c r="F82" s="38">
        <f>IF((ዕቁብ!G84/ቦኖ!$C$4&gt;0),1,0)</f>
        <v>1</v>
      </c>
      <c r="G82" s="38">
        <f>IF((ዕቁብ!H84/ቦኖ!$C$4&gt;0),1,0)</f>
        <v>1</v>
      </c>
      <c r="H82" s="38">
        <f>IF((ዕቁብ!I84/ቦኖ!$C$4&gt;0),1,0)</f>
        <v>1</v>
      </c>
      <c r="I82" s="38">
        <f>IF((ዕቁብ!J84/ቦኖ!$C$4&gt;0),1,0)</f>
        <v>1</v>
      </c>
      <c r="J82" s="38">
        <f>IF((ዕቁብ!K84/ቦኖ!$C$4&gt;0),1,0)</f>
        <v>1</v>
      </c>
      <c r="K82" s="38">
        <f>IF((ዕቁብ!L84/ቦኖ!$C$4&gt;0),1,0)</f>
        <v>1</v>
      </c>
      <c r="L82" s="38">
        <f>IF((ዕቁብ!M84/ቦኖ!$C$4&gt;0),1,0)</f>
        <v>1</v>
      </c>
      <c r="M82" s="38">
        <f>IF((ዕቁብ!N84/ቦኖ!$C$4&gt;0),1,0)</f>
        <v>1</v>
      </c>
      <c r="N82" s="38">
        <f>IF((ዕቁብ!O84/ቦኖ!$C$4&gt;0),1,0)</f>
        <v>1</v>
      </c>
      <c r="O82" s="38">
        <f>IF((ዕቁብ!P84/ቦኖ!$C$4&gt;0),1,0)</f>
        <v>1</v>
      </c>
      <c r="P82" s="38">
        <f>IF((ዕቁብ!Q84/ቦኖ!$C$4&gt;0),1,0)</f>
        <v>1</v>
      </c>
      <c r="Q82" s="38">
        <f>IF((ዕቁብ!R84/ቦኖ!$C$4&gt;0),1,0)</f>
        <v>1</v>
      </c>
      <c r="R82" s="38">
        <f>IF((ዕቁብ!S84/ቦኖ!$C$4&gt;0),1,0)</f>
        <v>1</v>
      </c>
      <c r="S82" s="38">
        <f>IF((ዕቁብ!T84/ቦኖ!$C$4&gt;0),1,0)</f>
        <v>1</v>
      </c>
      <c r="T82" s="38">
        <f>IF((ዕቁብ!U84/ቦኖ!$C$4&gt;0),1,0)</f>
        <v>1</v>
      </c>
      <c r="U82" s="38">
        <f>IF((ዕቁብ!V84/ቦኖ!$C$4&gt;0),1,0)</f>
        <v>1</v>
      </c>
      <c r="V82" s="38">
        <f>IF((ዕቁብ!W84/ቦኖ!$C$4&gt;0),1,0)</f>
        <v>1</v>
      </c>
      <c r="W82" s="38">
        <f>IF((ዕቁብ!X84/ቦኖ!$C$4&gt;0),1,0)</f>
        <v>1</v>
      </c>
      <c r="X82" s="38">
        <f>IF((ዕቁብ!Y84/ቦኖ!$C$4&gt;0),1,0)</f>
        <v>1</v>
      </c>
      <c r="Y82" s="38">
        <f>IF((ዕቁብ!Z84/ቦኖ!$C$4&gt;0),1,0)</f>
        <v>1</v>
      </c>
      <c r="Z82" s="38">
        <f>IF((ዕቁብ!AA84/ቦኖ!$C$4&gt;0),1,0)</f>
        <v>1</v>
      </c>
      <c r="AA82" s="38">
        <f>IF((ዕቁብ!AB84/ቦኖ!$C$4&gt;0),1,0)</f>
        <v>1</v>
      </c>
      <c r="AB82" s="38">
        <f>IF((ዕቁብ!AC84/ቦኖ!$C$4&gt;0),1,0)</f>
        <v>1</v>
      </c>
      <c r="AC82" s="38">
        <f>IF((ዕቁብ!AD84/ቦኖ!$C$4&gt;0),1,0)</f>
        <v>1</v>
      </c>
      <c r="AD82" s="38">
        <f>IF((ዕቁብ!AE84/ቦኖ!$C$4&gt;0),1,0)</f>
        <v>1</v>
      </c>
      <c r="AE82" s="38">
        <f>IF((ዕቁብ!AF84/ቦኖ!$C$4&gt;0),1,0)</f>
        <v>1</v>
      </c>
      <c r="AF82" s="38">
        <f>IF((ዕቁብ!AG84/ቦኖ!$C$4&gt;0),1,0)</f>
        <v>1</v>
      </c>
      <c r="AG82" s="38">
        <f>IF((ዕቁብ!AH84/ቦኖ!$C$4&gt;0),1,0)</f>
        <v>1</v>
      </c>
      <c r="AH82" s="38">
        <f>IF((ዕቁብ!AI84/ቦኖ!$C$4&gt;0),1,0)</f>
        <v>1</v>
      </c>
      <c r="AI82" s="38">
        <f>IF((ዕቁብ!AJ84/ቦኖ!$C$4&gt;0),1,0)</f>
        <v>1</v>
      </c>
      <c r="AJ82" s="38">
        <f>IF((ዕቁብ!AK84/ቦኖ!$C$4&gt;0),1,0)</f>
        <v>1</v>
      </c>
      <c r="AK82" s="38">
        <f>IF((ዕቁብ!AL84/ቦኖ!$C$4&gt;0),1,0)</f>
        <v>1</v>
      </c>
      <c r="AL82" s="38">
        <f>IF((ዕቁብ!AM84/ቦኖ!$C$4&gt;0),1,0)</f>
        <v>1</v>
      </c>
      <c r="AM82" s="38">
        <f>IF((ዕቁብ!AN84/ቦኖ!$C$4&gt;0),1,0)</f>
        <v>1</v>
      </c>
      <c r="AN82" s="38">
        <f>IF((ዕቁብ!AO84/ቦኖ!$C$4&gt;0),1,0)</f>
        <v>1</v>
      </c>
      <c r="AO82" s="38">
        <f>IF((ዕቁብ!AP84/ቦኖ!$C$4&gt;0),1,0)</f>
        <v>1</v>
      </c>
      <c r="AP82" s="38">
        <f>IF((ዕቁብ!AQ84/ቦኖ!$C$4&gt;0),1,0)</f>
        <v>1</v>
      </c>
      <c r="AQ82" s="38">
        <f>IF((ዕቁብ!AR84/ቦኖ!$C$4&gt;0),1,0)</f>
        <v>0</v>
      </c>
      <c r="AR82" s="38">
        <f>IF((ዕቁብ!AS84/ቦኖ!$C$4&gt;0),1,0)</f>
        <v>1</v>
      </c>
      <c r="AS82" s="38">
        <f>IF((ዕቁብ!AT84/ቦኖ!$C$4&gt;0),1,0)</f>
        <v>1</v>
      </c>
      <c r="AT82" s="38">
        <f>IF((ዕቁብ!AU84/ቦኖ!$C$4&gt;0),1,0)</f>
        <v>1</v>
      </c>
      <c r="AU82" s="38">
        <f>IF((ዕቁብ!AV84/ቦኖ!$C$4&gt;0),1,0)</f>
        <v>0</v>
      </c>
      <c r="AV82" s="38">
        <f>IF((ዕቁብ!AW84/ቦኖ!$C$4&gt;0),1,0)</f>
        <v>1</v>
      </c>
      <c r="AW82" s="38">
        <f>IF((ዕቁብ!AX84/ቦኖ!$C$4&gt;0),1,0)</f>
        <v>1</v>
      </c>
      <c r="AX82" s="38">
        <f>IF((ዕቁብ!AY84/ቦኖ!$C$4&gt;0),1,0)</f>
        <v>1</v>
      </c>
      <c r="AY82" s="38">
        <f>IF((ዕቁብ!AZ84/ቦኖ!$C$4&gt;0),1,0)</f>
        <v>1</v>
      </c>
      <c r="AZ82" s="38">
        <f>IF((ዕቁብ!BA84/ቦኖ!$C$4&gt;0),1,0)</f>
        <v>0</v>
      </c>
      <c r="BA82" s="38">
        <f>IF((ዕቁብ!BB84/ቦኖ!$C$4&gt;0),1,0)</f>
        <v>1</v>
      </c>
      <c r="BB82" s="38">
        <f>IF((ዕቁብ!BC84/ቦኖ!$C$4&gt;0),1,0)</f>
        <v>0</v>
      </c>
      <c r="BC82" s="38">
        <f>IF((ዕቁብ!BD84/ቦኖ!$C$4&gt;0),1,0)</f>
        <v>1</v>
      </c>
      <c r="BD82" s="38">
        <f>IF((ዕቁብ!BE84/ቦኖ!$C$4&gt;0),1,0)</f>
        <v>1</v>
      </c>
      <c r="BE82" s="38">
        <f>IF((ዕቁብ!BF84/ቦኖ!$C$4&gt;0),1,0)</f>
        <v>0</v>
      </c>
      <c r="BF82" s="38">
        <f>IF((ዕቁብ!BG84/ቦኖ!$C$4&gt;0),1,0)</f>
        <v>1</v>
      </c>
      <c r="BG82" s="38">
        <f>IF((ዕቁብ!BH84/ቦኖ!$C$4&gt;0),1,0)</f>
        <v>0</v>
      </c>
      <c r="BH82" s="38">
        <f>IF((ዕቁብ!BI84/ቦኖ!$C$4&gt;0),1,0)</f>
        <v>1</v>
      </c>
      <c r="BI82" s="38">
        <f>IF((ዕቁብ!BJ84/ቦኖ!$C$4&gt;0),1,0)</f>
        <v>0</v>
      </c>
      <c r="BJ82" s="38">
        <f>IF((ዕቁብ!BK84/ቦኖ!$C$4&gt;0),1,0)</f>
        <v>1</v>
      </c>
      <c r="BK82" s="38">
        <f>IF((ዕቁብ!BL84/ቦኖ!$C$4&gt;0),1,0)</f>
        <v>1</v>
      </c>
      <c r="BL82" s="38">
        <f>IF((ዕቁብ!BM84/ቦኖ!$C$4&gt;0),1,0)</f>
        <v>1</v>
      </c>
      <c r="BM82" s="38">
        <f>IF((ዕቁብ!BN84/ቦኖ!$C$4&gt;0),1,0)</f>
        <v>0</v>
      </c>
      <c r="BN82" s="38">
        <f>IF((ዕቁብ!BO84/ቦኖ!$C$4&gt;0),1,0)</f>
        <v>1</v>
      </c>
      <c r="BO82" s="38">
        <f>IF((ዕቁብ!BP84/ቦኖ!$C$4&gt;0),1,0)</f>
        <v>1</v>
      </c>
      <c r="BP82" s="38">
        <f>IF((ዕቁብ!BQ84/ቦኖ!$C$4&gt;0),1,0)</f>
        <v>1</v>
      </c>
      <c r="BQ82" s="38">
        <f>IF((ዕቁብ!BR84/ቦኖ!$C$4&gt;0),1,0)</f>
        <v>1</v>
      </c>
      <c r="BR82" s="38">
        <f>IF((ዕቁብ!BS84/ቦኖ!$C$4&gt;0),1,0)</f>
        <v>0</v>
      </c>
      <c r="BS82" s="38">
        <f>IF((ዕቁብ!BT84/ቦኖ!$C$4&gt;0),1,0)</f>
        <v>0</v>
      </c>
      <c r="BT82" s="38">
        <f>IF((ዕቁብ!BU84/ቦኖ!$C$4&gt;0),1,0)</f>
        <v>0</v>
      </c>
      <c r="BU82" s="38">
        <f>IF((ዕቁብ!BV84/ቦኖ!$C$4&gt;0),1,0)</f>
        <v>1</v>
      </c>
      <c r="BV82" s="38">
        <f>IF((ዕቁብ!BW84/ቦኖ!$C$4&gt;0),1,0)</f>
        <v>1</v>
      </c>
      <c r="BW82" s="38">
        <f>IF((ዕቁብ!BX84/ቦኖ!$C$4&gt;0),1,0)</f>
        <v>1</v>
      </c>
      <c r="BX82" s="38">
        <f>IF((ዕቁብ!BY84/ቦኖ!$C$4&gt;0),1,0)</f>
        <v>0</v>
      </c>
      <c r="BY82" s="38">
        <f>IF((ዕቁብ!BZ84/ቦኖ!$C$4&gt;0),1,0)</f>
        <v>1</v>
      </c>
      <c r="BZ82" s="38">
        <f>IF((ዕቁብ!CA84/ቦኖ!$C$4&gt;0),1,0)</f>
        <v>1</v>
      </c>
      <c r="CA82" s="38">
        <f>IF((ዕቁብ!CB84/ቦኖ!$C$4&gt;0),1,0)</f>
        <v>1</v>
      </c>
      <c r="CB82" s="38">
        <f>IF((ዕቁብ!CC84/ቦኖ!$C$4&gt;0),1,0)</f>
        <v>1</v>
      </c>
      <c r="CC82" s="38">
        <f>IF((ዕቁብ!CD84/ቦኖ!$C$4&gt;0),1,0)</f>
        <v>1</v>
      </c>
      <c r="CD82" s="38">
        <f>IF((ዕቁብ!CE84/ቦኖ!$C$4&gt;0),1,0)</f>
        <v>0</v>
      </c>
      <c r="CE82" s="38">
        <f>IF((ዕቁብ!CF84/ቦኖ!$C$4&gt;0),1,0)</f>
        <v>1</v>
      </c>
      <c r="CF82" s="38">
        <f>IF((ዕቁብ!CG84/ቦኖ!$C$4&gt;0),1,0)</f>
        <v>0</v>
      </c>
      <c r="CG82" s="38">
        <f>IF((ዕቁብ!CH84/ቦኖ!$C$4&gt;0),1,0)</f>
        <v>1</v>
      </c>
      <c r="CH82" s="38">
        <f>IF((ዕቁብ!CI84/ቦኖ!$C$4&gt;0),1,0)</f>
        <v>0</v>
      </c>
      <c r="CI82" s="38">
        <f>IF((ዕቁብ!CJ84/ቦኖ!$C$4&gt;0),1,0)</f>
        <v>1</v>
      </c>
      <c r="CJ82" s="38">
        <f>IF((ዕቁብ!CK84/ቦኖ!$C$4&gt;0),1,0)</f>
        <v>0</v>
      </c>
      <c r="CK82" s="38">
        <f>IF((ዕቁብ!CL84/ቦኖ!$C$4&gt;0),1,0)</f>
        <v>1</v>
      </c>
      <c r="CL82" s="38">
        <f>IF((ዕቁብ!CM84/ቦኖ!$C$4&gt;0),1,0)</f>
        <v>1</v>
      </c>
      <c r="CM82" s="38">
        <f>IF((ዕቁብ!CN84/ቦኖ!$C$4&gt;0),1,0)</f>
        <v>1</v>
      </c>
      <c r="CN82" s="38">
        <f>IF((ዕቁብ!CO84/ቦኖ!$C$4&gt;0),1,0)</f>
        <v>1</v>
      </c>
      <c r="CO82" s="38">
        <f>IF((ዕቁብ!CP84/ቦኖ!$C$4&gt;0),1,0)</f>
        <v>0</v>
      </c>
      <c r="CP82" s="38">
        <f>IF((ዕቁብ!CQ84/ቦኖ!$C$4&gt;0),1,0)</f>
        <v>1</v>
      </c>
      <c r="CQ82" s="38">
        <f>IF((ዕቁብ!CR84/ቦኖ!$C$4&gt;0),1,0)</f>
        <v>0</v>
      </c>
      <c r="CR82" s="38">
        <f>IF((ዕቁብ!CS84/ቦኖ!$C$4&gt;0),1,0)</f>
        <v>1</v>
      </c>
      <c r="CS82" s="38">
        <f>IF((ዕቁብ!CT84/ቦኖ!$C$4&gt;0),1,0)</f>
        <v>0</v>
      </c>
      <c r="CT82" s="38">
        <f>IF((ዕቁብ!CU84/ቦኖ!$C$4&gt;0),1,0)</f>
        <v>1</v>
      </c>
      <c r="CU82" s="38">
        <f>IF((ዕቁብ!CV84/ቦኖ!$C$4&gt;0),1,0)</f>
        <v>1</v>
      </c>
      <c r="CV82" s="38">
        <f>IF((ዕቁብ!CW84/ቦኖ!$C$4&gt;0),1,0)</f>
        <v>1</v>
      </c>
      <c r="CW82" s="38">
        <f>IF((ዕቁብ!CX84/ቦኖ!$C$4&gt;0),1,0)</f>
        <v>0</v>
      </c>
      <c r="CX82" s="38">
        <f>IF((ዕቁብ!CY84/ቦኖ!$C$4&gt;0),1,0)</f>
        <v>1</v>
      </c>
      <c r="CY82" s="38">
        <f>IF((ዕቁብ!CZ84/ቦኖ!$C$4&gt;0),1,0)</f>
        <v>1</v>
      </c>
      <c r="CZ82" s="38">
        <f>IF((ዕቁብ!DA84/ቦኖ!$C$4&gt;0),1,0)</f>
        <v>1</v>
      </c>
      <c r="DA82" s="38">
        <f>IF((ዕቁብ!DB84/ቦኖ!$C$4&gt;0),1,0)</f>
        <v>1</v>
      </c>
      <c r="DB82" s="38">
        <f>IF((ዕቁብ!DC84/ቦኖ!$C$4&gt;0),1,0)</f>
        <v>1</v>
      </c>
      <c r="DC82" s="38">
        <f>IF((ዕቁብ!DD84/ቦኖ!$C$4&gt;0),1,0)</f>
        <v>1</v>
      </c>
      <c r="DD82" s="38">
        <f>IF((ዕቁብ!DE84/ቦኖ!$C$4&gt;0),1,0)</f>
        <v>1</v>
      </c>
      <c r="DE82" s="38">
        <f>IF((ዕቁብ!DF84/ቦኖ!$C$4&gt;0),1,0)</f>
        <v>1</v>
      </c>
      <c r="DF82" s="38">
        <f>IF((ዕቁብ!DG84/ቦኖ!$C$4&gt;0),1,0)</f>
        <v>1</v>
      </c>
      <c r="DG82" s="38">
        <f>IF((ዕቁብ!DH84/ቦኖ!$C$4&gt;0),1,0)</f>
        <v>1</v>
      </c>
      <c r="DH82" s="38">
        <f>IF((ዕቁብ!DI84/ቦኖ!$C$4&gt;0),1,0)</f>
        <v>0</v>
      </c>
      <c r="DI82" s="38">
        <f>IF((ዕቁብ!DJ84/ቦኖ!$C$4&gt;0),1,0)</f>
        <v>0</v>
      </c>
      <c r="DJ82" s="38">
        <f>IF((ዕቁብ!DK84/ቦኖ!$C$4&gt;0),1,0)</f>
        <v>0</v>
      </c>
      <c r="DK82" s="38">
        <f>IF((ዕቁብ!DL84/ቦኖ!$C$4&gt;0),1,0)</f>
        <v>0</v>
      </c>
      <c r="DL82" s="38">
        <f>IF((ዕቁብ!DM84/ቦኖ!$C$4&gt;0),1,0)</f>
        <v>0</v>
      </c>
      <c r="DM82" s="38">
        <f>IF((ዕቁብ!DN84/ቦኖ!$C$4&gt;0),1,0)</f>
        <v>0</v>
      </c>
      <c r="DN82" s="38">
        <f>IF((ዕቁብ!DO84/ቦኖ!$C$4&gt;0),1,0)</f>
        <v>0</v>
      </c>
      <c r="DO82" s="38">
        <f>IF((ዕቁብ!DP84/ቦኖ!$C$4&gt;0),1,0)</f>
        <v>0</v>
      </c>
      <c r="DP82" s="38">
        <f>IF((ዕቁብ!DQ84/ቦኖ!$C$4&gt;0),1,0)</f>
        <v>0</v>
      </c>
      <c r="DQ82" s="38">
        <f>IF((ዕቁብ!DR84/ቦኖ!$C$4&gt;0),1,0)</f>
        <v>0</v>
      </c>
    </row>
    <row r="83" spans="1:121" ht="15.75" customHeight="1" x14ac:dyDescent="0.3">
      <c r="A83" s="33">
        <f>ዕቁብ!A85</f>
        <v>79</v>
      </c>
      <c r="B83" s="33" t="str">
        <f>ዕቁብ!B85</f>
        <v>ሻምበል ሚልክያስ</v>
      </c>
      <c r="C83" s="37">
        <f>ዕቁብ!C85</f>
        <v>21000</v>
      </c>
      <c r="D83" s="38">
        <f>IF((ዕቁብ!E85/ቦኖ!$C$4&gt;0),1,0)</f>
        <v>1</v>
      </c>
      <c r="E83" s="38">
        <f>IF((ዕቁብ!F85/ቦኖ!$C$4&gt;0),1,0)</f>
        <v>1</v>
      </c>
      <c r="F83" s="38">
        <f>IF((ዕቁብ!G85/ቦኖ!$C$4&gt;0),1,0)</f>
        <v>1</v>
      </c>
      <c r="G83" s="38">
        <f>IF((ዕቁብ!H85/ቦኖ!$C$4&gt;0),1,0)</f>
        <v>1</v>
      </c>
      <c r="H83" s="38">
        <f>IF((ዕቁብ!I85/ቦኖ!$C$4&gt;0),1,0)</f>
        <v>1</v>
      </c>
      <c r="I83" s="38">
        <f>IF((ዕቁብ!J85/ቦኖ!$C$4&gt;0),1,0)</f>
        <v>1</v>
      </c>
      <c r="J83" s="38">
        <f>IF((ዕቁብ!K85/ቦኖ!$C$4&gt;0),1,0)</f>
        <v>1</v>
      </c>
      <c r="K83" s="38">
        <f>IF((ዕቁብ!L85/ቦኖ!$C$4&gt;0),1,0)</f>
        <v>1</v>
      </c>
      <c r="L83" s="38">
        <f>IF((ዕቁብ!M85/ቦኖ!$C$4&gt;0),1,0)</f>
        <v>1</v>
      </c>
      <c r="M83" s="38">
        <f>IF((ዕቁብ!N85/ቦኖ!$C$4&gt;0),1,0)</f>
        <v>1</v>
      </c>
      <c r="N83" s="38">
        <f>IF((ዕቁብ!O85/ቦኖ!$C$4&gt;0),1,0)</f>
        <v>1</v>
      </c>
      <c r="O83" s="38">
        <f>IF((ዕቁብ!P85/ቦኖ!$C$4&gt;0),1,0)</f>
        <v>1</v>
      </c>
      <c r="P83" s="38">
        <f>IF((ዕቁብ!Q85/ቦኖ!$C$4&gt;0),1,0)</f>
        <v>1</v>
      </c>
      <c r="Q83" s="38">
        <f>IF((ዕቁብ!R85/ቦኖ!$C$4&gt;0),1,0)</f>
        <v>1</v>
      </c>
      <c r="R83" s="38">
        <f>IF((ዕቁብ!S85/ቦኖ!$C$4&gt;0),1,0)</f>
        <v>1</v>
      </c>
      <c r="S83" s="38">
        <f>IF((ዕቁብ!T85/ቦኖ!$C$4&gt;0),1,0)</f>
        <v>1</v>
      </c>
      <c r="T83" s="38">
        <f>IF((ዕቁብ!U85/ቦኖ!$C$4&gt;0),1,0)</f>
        <v>1</v>
      </c>
      <c r="U83" s="38">
        <f>IF((ዕቁብ!V85/ቦኖ!$C$4&gt;0),1,0)</f>
        <v>1</v>
      </c>
      <c r="V83" s="38">
        <f>IF((ዕቁብ!W85/ቦኖ!$C$4&gt;0),1,0)</f>
        <v>1</v>
      </c>
      <c r="W83" s="38">
        <f>IF((ዕቁብ!X85/ቦኖ!$C$4&gt;0),1,0)</f>
        <v>1</v>
      </c>
      <c r="X83" s="38">
        <f>IF((ዕቁብ!Y85/ቦኖ!$C$4&gt;0),1,0)</f>
        <v>1</v>
      </c>
      <c r="Y83" s="38">
        <f>IF((ዕቁብ!Z85/ቦኖ!$C$4&gt;0),1,0)</f>
        <v>1</v>
      </c>
      <c r="Z83" s="38">
        <f>IF((ዕቁብ!AA85/ቦኖ!$C$4&gt;0),1,0)</f>
        <v>1</v>
      </c>
      <c r="AA83" s="38">
        <f>IF((ዕቁብ!AB85/ቦኖ!$C$4&gt;0),1,0)</f>
        <v>0</v>
      </c>
      <c r="AB83" s="38">
        <f>IF((ዕቁብ!AC85/ቦኖ!$C$4&gt;0),1,0)</f>
        <v>1</v>
      </c>
      <c r="AC83" s="38">
        <f>IF((ዕቁብ!AD85/ቦኖ!$C$4&gt;0),1,0)</f>
        <v>1</v>
      </c>
      <c r="AD83" s="38">
        <f>IF((ዕቁብ!AE85/ቦኖ!$C$4&gt;0),1,0)</f>
        <v>1</v>
      </c>
      <c r="AE83" s="38">
        <f>IF((ዕቁብ!AF85/ቦኖ!$C$4&gt;0),1,0)</f>
        <v>1</v>
      </c>
      <c r="AF83" s="38">
        <f>IF((ዕቁብ!AG85/ቦኖ!$C$4&gt;0),1,0)</f>
        <v>1</v>
      </c>
      <c r="AG83" s="38">
        <f>IF((ዕቁብ!AH85/ቦኖ!$C$4&gt;0),1,0)</f>
        <v>0</v>
      </c>
      <c r="AH83" s="38">
        <f>IF((ዕቁብ!AI85/ቦኖ!$C$4&gt;0),1,0)</f>
        <v>1</v>
      </c>
      <c r="AI83" s="38">
        <f>IF((ዕቁብ!AJ85/ቦኖ!$C$4&gt;0),1,0)</f>
        <v>1</v>
      </c>
      <c r="AJ83" s="38">
        <f>IF((ዕቁብ!AK85/ቦኖ!$C$4&gt;0),1,0)</f>
        <v>1</v>
      </c>
      <c r="AK83" s="38">
        <f>IF((ዕቁብ!AL85/ቦኖ!$C$4&gt;0),1,0)</f>
        <v>0</v>
      </c>
      <c r="AL83" s="38">
        <f>IF((ዕቁብ!AM85/ቦኖ!$C$4&gt;0),1,0)</f>
        <v>1</v>
      </c>
      <c r="AM83" s="38">
        <f>IF((ዕቁብ!AN85/ቦኖ!$C$4&gt;0),1,0)</f>
        <v>1</v>
      </c>
      <c r="AN83" s="38">
        <f>IF((ዕቁብ!AO85/ቦኖ!$C$4&gt;0),1,0)</f>
        <v>1</v>
      </c>
      <c r="AO83" s="38">
        <f>IF((ዕቁብ!AP85/ቦኖ!$C$4&gt;0),1,0)</f>
        <v>1</v>
      </c>
      <c r="AP83" s="38">
        <f>IF((ዕቁብ!AQ85/ቦኖ!$C$4&gt;0),1,0)</f>
        <v>1</v>
      </c>
      <c r="AQ83" s="38">
        <f>IF((ዕቁብ!AR85/ቦኖ!$C$4&gt;0),1,0)</f>
        <v>1</v>
      </c>
      <c r="AR83" s="38">
        <f>IF((ዕቁብ!AS85/ቦኖ!$C$4&gt;0),1,0)</f>
        <v>0</v>
      </c>
      <c r="AS83" s="38">
        <f>IF((ዕቁብ!AT85/ቦኖ!$C$4&gt;0),1,0)</f>
        <v>1</v>
      </c>
      <c r="AT83" s="38">
        <f>IF((ዕቁብ!AU85/ቦኖ!$C$4&gt;0),1,0)</f>
        <v>1</v>
      </c>
      <c r="AU83" s="38">
        <f>IF((ዕቁብ!AV85/ቦኖ!$C$4&gt;0),1,0)</f>
        <v>0</v>
      </c>
      <c r="AV83" s="38">
        <f>IF((ዕቁብ!AW85/ቦኖ!$C$4&gt;0),1,0)</f>
        <v>1</v>
      </c>
      <c r="AW83" s="38">
        <f>IF((ዕቁብ!AX85/ቦኖ!$C$4&gt;0),1,0)</f>
        <v>1</v>
      </c>
      <c r="AX83" s="38">
        <f>IF((ዕቁብ!AY85/ቦኖ!$C$4&gt;0),1,0)</f>
        <v>1</v>
      </c>
      <c r="AY83" s="38">
        <f>IF((ዕቁብ!AZ85/ቦኖ!$C$4&gt;0),1,0)</f>
        <v>1</v>
      </c>
      <c r="AZ83" s="38">
        <f>IF((ዕቁብ!BA85/ቦኖ!$C$4&gt;0),1,0)</f>
        <v>0</v>
      </c>
      <c r="BA83" s="38">
        <f>IF((ዕቁብ!BB85/ቦኖ!$C$4&gt;0),1,0)</f>
        <v>1</v>
      </c>
      <c r="BB83" s="38">
        <f>IF((ዕቁብ!BC85/ቦኖ!$C$4&gt;0),1,0)</f>
        <v>0</v>
      </c>
      <c r="BC83" s="38">
        <f>IF((ዕቁብ!BD85/ቦኖ!$C$4&gt;0),1,0)</f>
        <v>1</v>
      </c>
      <c r="BD83" s="38">
        <f>IF((ዕቁብ!BE85/ቦኖ!$C$4&gt;0),1,0)</f>
        <v>1</v>
      </c>
      <c r="BE83" s="38">
        <f>IF((ዕቁብ!BF85/ቦኖ!$C$4&gt;0),1,0)</f>
        <v>0</v>
      </c>
      <c r="BF83" s="38">
        <f>IF((ዕቁብ!BG85/ቦኖ!$C$4&gt;0),1,0)</f>
        <v>1</v>
      </c>
      <c r="BG83" s="38">
        <f>IF((ዕቁብ!BH85/ቦኖ!$C$4&gt;0),1,0)</f>
        <v>0</v>
      </c>
      <c r="BH83" s="38">
        <f>IF((ዕቁብ!BI85/ቦኖ!$C$4&gt;0),1,0)</f>
        <v>1</v>
      </c>
      <c r="BI83" s="38">
        <f>IF((ዕቁብ!BJ85/ቦኖ!$C$4&gt;0),1,0)</f>
        <v>1</v>
      </c>
      <c r="BJ83" s="38">
        <f>IF((ዕቁብ!BK85/ቦኖ!$C$4&gt;0),1,0)</f>
        <v>0</v>
      </c>
      <c r="BK83" s="38">
        <f>IF((ዕቁብ!BL85/ቦኖ!$C$4&gt;0),1,0)</f>
        <v>1</v>
      </c>
      <c r="BL83" s="38">
        <f>IF((ዕቁብ!BM85/ቦኖ!$C$4&gt;0),1,0)</f>
        <v>1</v>
      </c>
      <c r="BM83" s="38">
        <f>IF((ዕቁብ!BN85/ቦኖ!$C$4&gt;0),1,0)</f>
        <v>1</v>
      </c>
      <c r="BN83" s="38">
        <f>IF((ዕቁብ!BO85/ቦኖ!$C$4&gt;0),1,0)</f>
        <v>1</v>
      </c>
      <c r="BO83" s="38">
        <f>IF((ዕቁብ!BP85/ቦኖ!$C$4&gt;0),1,0)</f>
        <v>1</v>
      </c>
      <c r="BP83" s="38">
        <f>IF((ዕቁብ!BQ85/ቦኖ!$C$4&gt;0),1,0)</f>
        <v>1</v>
      </c>
      <c r="BQ83" s="38">
        <f>IF((ዕቁብ!BR85/ቦኖ!$C$4&gt;0),1,0)</f>
        <v>1</v>
      </c>
      <c r="BR83" s="38">
        <f>IF((ዕቁብ!BS85/ቦኖ!$C$4&gt;0),1,0)</f>
        <v>1</v>
      </c>
      <c r="BS83" s="38">
        <f>IF((ዕቁብ!BT85/ቦኖ!$C$4&gt;0),1,0)</f>
        <v>1</v>
      </c>
      <c r="BT83" s="38">
        <f>IF((ዕቁብ!BU85/ቦኖ!$C$4&gt;0),1,0)</f>
        <v>1</v>
      </c>
      <c r="BU83" s="38">
        <f>IF((ዕቁብ!BV85/ቦኖ!$C$4&gt;0),1,0)</f>
        <v>1</v>
      </c>
      <c r="BV83" s="38">
        <f>IF((ዕቁብ!BW85/ቦኖ!$C$4&gt;0),1,0)</f>
        <v>1</v>
      </c>
      <c r="BW83" s="38">
        <f>IF((ዕቁብ!BX85/ቦኖ!$C$4&gt;0),1,0)</f>
        <v>0</v>
      </c>
      <c r="BX83" s="38">
        <f>IF((ዕቁብ!BY85/ቦኖ!$C$4&gt;0),1,0)</f>
        <v>1</v>
      </c>
      <c r="BY83" s="38">
        <f>IF((ዕቁብ!BZ85/ቦኖ!$C$4&gt;0),1,0)</f>
        <v>1</v>
      </c>
      <c r="BZ83" s="38">
        <f>IF((ዕቁብ!CA85/ቦኖ!$C$4&gt;0),1,0)</f>
        <v>0</v>
      </c>
      <c r="CA83" s="38">
        <f>IF((ዕቁብ!CB85/ቦኖ!$C$4&gt;0),1,0)</f>
        <v>1</v>
      </c>
      <c r="CB83" s="38">
        <f>IF((ዕቁብ!CC85/ቦኖ!$C$4&gt;0),1,0)</f>
        <v>1</v>
      </c>
      <c r="CC83" s="38">
        <f>IF((ዕቁብ!CD85/ቦኖ!$C$4&gt;0),1,0)</f>
        <v>1</v>
      </c>
      <c r="CD83" s="38">
        <f>IF((ዕቁብ!CE85/ቦኖ!$C$4&gt;0),1,0)</f>
        <v>0</v>
      </c>
      <c r="CE83" s="38">
        <f>IF((ዕቁብ!CF85/ቦኖ!$C$4&gt;0),1,0)</f>
        <v>1</v>
      </c>
      <c r="CF83" s="38">
        <f>IF((ዕቁብ!CG85/ቦኖ!$C$4&gt;0),1,0)</f>
        <v>1</v>
      </c>
      <c r="CG83" s="38">
        <f>IF((ዕቁብ!CH85/ቦኖ!$C$4&gt;0),1,0)</f>
        <v>1</v>
      </c>
      <c r="CH83" s="38">
        <f>IF((ዕቁብ!CI85/ቦኖ!$C$4&gt;0),1,0)</f>
        <v>1</v>
      </c>
      <c r="CI83" s="38">
        <f>IF((ዕቁብ!CJ85/ቦኖ!$C$4&gt;0),1,0)</f>
        <v>1</v>
      </c>
      <c r="CJ83" s="38">
        <f>IF((ዕቁብ!CK85/ቦኖ!$C$4&gt;0),1,0)</f>
        <v>1</v>
      </c>
      <c r="CK83" s="38">
        <f>IF((ዕቁብ!CL85/ቦኖ!$C$4&gt;0),1,0)</f>
        <v>1</v>
      </c>
      <c r="CL83" s="38">
        <f>IF((ዕቁብ!CM85/ቦኖ!$C$4&gt;0),1,0)</f>
        <v>1</v>
      </c>
      <c r="CM83" s="38">
        <f>IF((ዕቁብ!CN85/ቦኖ!$C$4&gt;0),1,0)</f>
        <v>1</v>
      </c>
      <c r="CN83" s="38">
        <f>IF((ዕቁብ!CO85/ቦኖ!$C$4&gt;0),1,0)</f>
        <v>1</v>
      </c>
      <c r="CO83" s="38">
        <f>IF((ዕቁብ!CP85/ቦኖ!$C$4&gt;0),1,0)</f>
        <v>0</v>
      </c>
      <c r="CP83" s="38">
        <f>IF((ዕቁብ!CQ85/ቦኖ!$C$4&gt;0),1,0)</f>
        <v>1</v>
      </c>
      <c r="CQ83" s="38">
        <f>IF((ዕቁብ!CR85/ቦኖ!$C$4&gt;0),1,0)</f>
        <v>1</v>
      </c>
      <c r="CR83" s="38">
        <f>IF((ዕቁብ!CS85/ቦኖ!$C$4&gt;0),1,0)</f>
        <v>1</v>
      </c>
      <c r="CS83" s="38">
        <f>IF((ዕቁብ!CT85/ቦኖ!$C$4&gt;0),1,0)</f>
        <v>1</v>
      </c>
      <c r="CT83" s="38">
        <f>IF((ዕቁብ!CU85/ቦኖ!$C$4&gt;0),1,0)</f>
        <v>1</v>
      </c>
      <c r="CU83" s="38">
        <f>IF((ዕቁብ!CV85/ቦኖ!$C$4&gt;0),1,0)</f>
        <v>0</v>
      </c>
      <c r="CV83" s="38">
        <f>IF((ዕቁብ!CW85/ቦኖ!$C$4&gt;0),1,0)</f>
        <v>1</v>
      </c>
      <c r="CW83" s="38">
        <f>IF((ዕቁብ!CX85/ቦኖ!$C$4&gt;0),1,0)</f>
        <v>0</v>
      </c>
      <c r="CX83" s="38">
        <f>IF((ዕቁብ!CY85/ቦኖ!$C$4&gt;0),1,0)</f>
        <v>1</v>
      </c>
      <c r="CY83" s="38">
        <f>IF((ዕቁብ!CZ85/ቦኖ!$C$4&gt;0),1,0)</f>
        <v>0</v>
      </c>
      <c r="CZ83" s="38">
        <f>IF((ዕቁብ!DA85/ቦኖ!$C$4&gt;0),1,0)</f>
        <v>1</v>
      </c>
      <c r="DA83" s="38">
        <f>IF((ዕቁብ!DB85/ቦኖ!$C$4&gt;0),1,0)</f>
        <v>0</v>
      </c>
      <c r="DB83" s="38">
        <f>IF((ዕቁብ!DC85/ቦኖ!$C$4&gt;0),1,0)</f>
        <v>1</v>
      </c>
      <c r="DC83" s="38">
        <f>IF((ዕቁብ!DD85/ቦኖ!$C$4&gt;0),1,0)</f>
        <v>1</v>
      </c>
      <c r="DD83" s="38">
        <f>IF((ዕቁብ!DE85/ቦኖ!$C$4&gt;0),1,0)</f>
        <v>0</v>
      </c>
      <c r="DE83" s="38">
        <f>IF((ዕቁብ!DF85/ቦኖ!$C$4&gt;0),1,0)</f>
        <v>1</v>
      </c>
      <c r="DF83" s="38">
        <f>IF((ዕቁብ!DG85/ቦኖ!$C$4&gt;0),1,0)</f>
        <v>1</v>
      </c>
      <c r="DG83" s="38">
        <f>IF((ዕቁብ!DH85/ቦኖ!$C$4&gt;0),1,0)</f>
        <v>0</v>
      </c>
      <c r="DH83" s="38">
        <f>IF((ዕቁብ!DI85/ቦኖ!$C$4&gt;0),1,0)</f>
        <v>0</v>
      </c>
      <c r="DI83" s="38">
        <f>IF((ዕቁብ!DJ85/ቦኖ!$C$4&gt;0),1,0)</f>
        <v>0</v>
      </c>
      <c r="DJ83" s="38">
        <f>IF((ዕቁብ!DK85/ቦኖ!$C$4&gt;0),1,0)</f>
        <v>0</v>
      </c>
      <c r="DK83" s="38">
        <f>IF((ዕቁብ!DL85/ቦኖ!$C$4&gt;0),1,0)</f>
        <v>0</v>
      </c>
      <c r="DL83" s="38">
        <f>IF((ዕቁብ!DM85/ቦኖ!$C$4&gt;0),1,0)</f>
        <v>0</v>
      </c>
      <c r="DM83" s="38">
        <f>IF((ዕቁብ!DN85/ቦኖ!$C$4&gt;0),1,0)</f>
        <v>0</v>
      </c>
      <c r="DN83" s="38">
        <f>IF((ዕቁብ!DO85/ቦኖ!$C$4&gt;0),1,0)</f>
        <v>0</v>
      </c>
      <c r="DO83" s="38">
        <f>IF((ዕቁብ!DP85/ቦኖ!$C$4&gt;0),1,0)</f>
        <v>0</v>
      </c>
      <c r="DP83" s="38">
        <f>IF((ዕቁብ!DQ85/ቦኖ!$C$4&gt;0),1,0)</f>
        <v>0</v>
      </c>
      <c r="DQ83" s="38">
        <f>IF((ዕቁብ!DR85/ቦኖ!$C$4&gt;0),1,0)</f>
        <v>0</v>
      </c>
    </row>
    <row r="84" spans="1:121" ht="15.75" customHeight="1" x14ac:dyDescent="0.3">
      <c r="A84" s="33">
        <f>ዕቁብ!A86</f>
        <v>80</v>
      </c>
      <c r="B84" s="33" t="str">
        <f>ዕቁብ!B86</f>
        <v>አክሊሉ አጥናፉ</v>
      </c>
      <c r="C84" s="37">
        <f>ዕቁብ!C86</f>
        <v>21000</v>
      </c>
      <c r="D84" s="38">
        <f>IF((ዕቁብ!E86/ቦኖ!$C$4&gt;0),1,0)</f>
        <v>1</v>
      </c>
      <c r="E84" s="38">
        <f>IF((ዕቁብ!F86/ቦኖ!$C$4&gt;0),1,0)</f>
        <v>1</v>
      </c>
      <c r="F84" s="38">
        <f>IF((ዕቁብ!G86/ቦኖ!$C$4&gt;0),1,0)</f>
        <v>1</v>
      </c>
      <c r="G84" s="38">
        <f>IF((ዕቁብ!H86/ቦኖ!$C$4&gt;0),1,0)</f>
        <v>1</v>
      </c>
      <c r="H84" s="38">
        <f>IF((ዕቁብ!I86/ቦኖ!$C$4&gt;0),1,0)</f>
        <v>1</v>
      </c>
      <c r="I84" s="38">
        <f>IF((ዕቁብ!J86/ቦኖ!$C$4&gt;0),1,0)</f>
        <v>1</v>
      </c>
      <c r="J84" s="38">
        <f>IF((ዕቁብ!K86/ቦኖ!$C$4&gt;0),1,0)</f>
        <v>1</v>
      </c>
      <c r="K84" s="38">
        <f>IF((ዕቁብ!L86/ቦኖ!$C$4&gt;0),1,0)</f>
        <v>1</v>
      </c>
      <c r="L84" s="38">
        <f>IF((ዕቁብ!M86/ቦኖ!$C$4&gt;0),1,0)</f>
        <v>1</v>
      </c>
      <c r="M84" s="38">
        <f>IF((ዕቁብ!N86/ቦኖ!$C$4&gt;0),1,0)</f>
        <v>1</v>
      </c>
      <c r="N84" s="38">
        <f>IF((ዕቁብ!O86/ቦኖ!$C$4&gt;0),1,0)</f>
        <v>1</v>
      </c>
      <c r="O84" s="38">
        <f>IF((ዕቁብ!P86/ቦኖ!$C$4&gt;0),1,0)</f>
        <v>1</v>
      </c>
      <c r="P84" s="38">
        <f>IF((ዕቁብ!Q86/ቦኖ!$C$4&gt;0),1,0)</f>
        <v>1</v>
      </c>
      <c r="Q84" s="38">
        <f>IF((ዕቁብ!R86/ቦኖ!$C$4&gt;0),1,0)</f>
        <v>1</v>
      </c>
      <c r="R84" s="38">
        <f>IF((ዕቁብ!S86/ቦኖ!$C$4&gt;0),1,0)</f>
        <v>1</v>
      </c>
      <c r="S84" s="38">
        <f>IF((ዕቁብ!T86/ቦኖ!$C$4&gt;0),1,0)</f>
        <v>1</v>
      </c>
      <c r="T84" s="38">
        <f>IF((ዕቁብ!U86/ቦኖ!$C$4&gt;0),1,0)</f>
        <v>1</v>
      </c>
      <c r="U84" s="38">
        <f>IF((ዕቁብ!V86/ቦኖ!$C$4&gt;0),1,0)</f>
        <v>1</v>
      </c>
      <c r="V84" s="38">
        <f>IF((ዕቁብ!W86/ቦኖ!$C$4&gt;0),1,0)</f>
        <v>1</v>
      </c>
      <c r="W84" s="38">
        <f>IF((ዕቁብ!X86/ቦኖ!$C$4&gt;0),1,0)</f>
        <v>1</v>
      </c>
      <c r="X84" s="38">
        <f>IF((ዕቁብ!Y86/ቦኖ!$C$4&gt;0),1,0)</f>
        <v>1</v>
      </c>
      <c r="Y84" s="38">
        <f>IF((ዕቁብ!Z86/ቦኖ!$C$4&gt;0),1,0)</f>
        <v>1</v>
      </c>
      <c r="Z84" s="38">
        <f>IF((ዕቁብ!AA86/ቦኖ!$C$4&gt;0),1,0)</f>
        <v>1</v>
      </c>
      <c r="AA84" s="38">
        <f>IF((ዕቁብ!AB86/ቦኖ!$C$4&gt;0),1,0)</f>
        <v>1</v>
      </c>
      <c r="AB84" s="38">
        <f>IF((ዕቁብ!AC86/ቦኖ!$C$4&gt;0),1,0)</f>
        <v>1</v>
      </c>
      <c r="AC84" s="38">
        <f>IF((ዕቁብ!AD86/ቦኖ!$C$4&gt;0),1,0)</f>
        <v>1</v>
      </c>
      <c r="AD84" s="38">
        <f>IF((ዕቁብ!AE86/ቦኖ!$C$4&gt;0),1,0)</f>
        <v>1</v>
      </c>
      <c r="AE84" s="38">
        <f>IF((ዕቁብ!AF86/ቦኖ!$C$4&gt;0),1,0)</f>
        <v>1</v>
      </c>
      <c r="AF84" s="38">
        <f>IF((ዕቁብ!AG86/ቦኖ!$C$4&gt;0),1,0)</f>
        <v>1</v>
      </c>
      <c r="AG84" s="38">
        <f>IF((ዕቁብ!AH86/ቦኖ!$C$4&gt;0),1,0)</f>
        <v>1</v>
      </c>
      <c r="AH84" s="38">
        <f>IF((ዕቁብ!AI86/ቦኖ!$C$4&gt;0),1,0)</f>
        <v>1</v>
      </c>
      <c r="AI84" s="38">
        <f>IF((ዕቁብ!AJ86/ቦኖ!$C$4&gt;0),1,0)</f>
        <v>1</v>
      </c>
      <c r="AJ84" s="38">
        <f>IF((ዕቁብ!AK86/ቦኖ!$C$4&gt;0),1,0)</f>
        <v>1</v>
      </c>
      <c r="AK84" s="38">
        <f>IF((ዕቁብ!AL86/ቦኖ!$C$4&gt;0),1,0)</f>
        <v>1</v>
      </c>
      <c r="AL84" s="38">
        <f>IF((ዕቁብ!AM86/ቦኖ!$C$4&gt;0),1,0)</f>
        <v>1</v>
      </c>
      <c r="AM84" s="38">
        <f>IF((ዕቁብ!AN86/ቦኖ!$C$4&gt;0),1,0)</f>
        <v>0</v>
      </c>
      <c r="AN84" s="38">
        <f>IF((ዕቁብ!AO86/ቦኖ!$C$4&gt;0),1,0)</f>
        <v>1</v>
      </c>
      <c r="AO84" s="38">
        <f>IF((ዕቁብ!AP86/ቦኖ!$C$4&gt;0),1,0)</f>
        <v>1</v>
      </c>
      <c r="AP84" s="38">
        <f>IF((ዕቁብ!AQ86/ቦኖ!$C$4&gt;0),1,0)</f>
        <v>1</v>
      </c>
      <c r="AQ84" s="38">
        <f>IF((ዕቁብ!AR86/ቦኖ!$C$4&gt;0),1,0)</f>
        <v>1</v>
      </c>
      <c r="AR84" s="38">
        <f>IF((ዕቁብ!AS86/ቦኖ!$C$4&gt;0),1,0)</f>
        <v>1</v>
      </c>
      <c r="AS84" s="38">
        <f>IF((ዕቁብ!AT86/ቦኖ!$C$4&gt;0),1,0)</f>
        <v>0</v>
      </c>
      <c r="AT84" s="38">
        <f>IF((ዕቁብ!AU86/ቦኖ!$C$4&gt;0),1,0)</f>
        <v>1</v>
      </c>
      <c r="AU84" s="38">
        <f>IF((ዕቁብ!AV86/ቦኖ!$C$4&gt;0),1,0)</f>
        <v>1</v>
      </c>
      <c r="AV84" s="38">
        <f>IF((ዕቁብ!AW86/ቦኖ!$C$4&gt;0),1,0)</f>
        <v>1</v>
      </c>
      <c r="AW84" s="38">
        <f>IF((ዕቁብ!AX86/ቦኖ!$C$4&gt;0),1,0)</f>
        <v>1</v>
      </c>
      <c r="AX84" s="38">
        <f>IF((ዕቁብ!AY86/ቦኖ!$C$4&gt;0),1,0)</f>
        <v>0</v>
      </c>
      <c r="AY84" s="38">
        <f>IF((ዕቁብ!AZ86/ቦኖ!$C$4&gt;0),1,0)</f>
        <v>1</v>
      </c>
      <c r="AZ84" s="38">
        <f>IF((ዕቁብ!BA86/ቦኖ!$C$4&gt;0),1,0)</f>
        <v>1</v>
      </c>
      <c r="BA84" s="38">
        <f>IF((ዕቁብ!BB86/ቦኖ!$C$4&gt;0),1,0)</f>
        <v>0</v>
      </c>
      <c r="BB84" s="38">
        <f>IF((ዕቁብ!BC86/ቦኖ!$C$4&gt;0),1,0)</f>
        <v>1</v>
      </c>
      <c r="BC84" s="38">
        <f>IF((ዕቁብ!BD86/ቦኖ!$C$4&gt;0),1,0)</f>
        <v>1</v>
      </c>
      <c r="BD84" s="38">
        <f>IF((ዕቁብ!BE86/ቦኖ!$C$4&gt;0),1,0)</f>
        <v>0</v>
      </c>
      <c r="BE84" s="38">
        <f>IF((ዕቁብ!BF86/ቦኖ!$C$4&gt;0),1,0)</f>
        <v>1</v>
      </c>
      <c r="BF84" s="38">
        <f>IF((ዕቁብ!BG86/ቦኖ!$C$4&gt;0),1,0)</f>
        <v>1</v>
      </c>
      <c r="BG84" s="38">
        <f>IF((ዕቁብ!BH86/ቦኖ!$C$4&gt;0),1,0)</f>
        <v>1</v>
      </c>
      <c r="BH84" s="38">
        <f>IF((ዕቁብ!BI86/ቦኖ!$C$4&gt;0),1,0)</f>
        <v>1</v>
      </c>
      <c r="BI84" s="38">
        <f>IF((ዕቁብ!BJ86/ቦኖ!$C$4&gt;0),1,0)</f>
        <v>0</v>
      </c>
      <c r="BJ84" s="38">
        <f>IF((ዕቁብ!BK86/ቦኖ!$C$4&gt;0),1,0)</f>
        <v>1</v>
      </c>
      <c r="BK84" s="38">
        <f>IF((ዕቁብ!BL86/ቦኖ!$C$4&gt;0),1,0)</f>
        <v>1</v>
      </c>
      <c r="BL84" s="38">
        <f>IF((ዕቁብ!BM86/ቦኖ!$C$4&gt;0),1,0)</f>
        <v>1</v>
      </c>
      <c r="BM84" s="38">
        <f>IF((ዕቁብ!BN86/ቦኖ!$C$4&gt;0),1,0)</f>
        <v>0</v>
      </c>
      <c r="BN84" s="38">
        <f>IF((ዕቁብ!BO86/ቦኖ!$C$4&gt;0),1,0)</f>
        <v>1</v>
      </c>
      <c r="BO84" s="38">
        <f>IF((ዕቁብ!BP86/ቦኖ!$C$4&gt;0),1,0)</f>
        <v>1</v>
      </c>
      <c r="BP84" s="38">
        <f>IF((ዕቁብ!BQ86/ቦኖ!$C$4&gt;0),1,0)</f>
        <v>1</v>
      </c>
      <c r="BQ84" s="38">
        <f>IF((ዕቁብ!BR86/ቦኖ!$C$4&gt;0),1,0)</f>
        <v>0</v>
      </c>
      <c r="BR84" s="38">
        <f>IF((ዕቁብ!BS86/ቦኖ!$C$4&gt;0),1,0)</f>
        <v>1</v>
      </c>
      <c r="BS84" s="38">
        <f>IF((ዕቁብ!BT86/ቦኖ!$C$4&gt;0),1,0)</f>
        <v>1</v>
      </c>
      <c r="BT84" s="38">
        <f>IF((ዕቁብ!BU86/ቦኖ!$C$4&gt;0),1,0)</f>
        <v>0</v>
      </c>
      <c r="BU84" s="38">
        <f>IF((ዕቁብ!BV86/ቦኖ!$C$4&gt;0),1,0)</f>
        <v>1</v>
      </c>
      <c r="BV84" s="38">
        <f>IF((ዕቁብ!BW86/ቦኖ!$C$4&gt;0),1,0)</f>
        <v>0</v>
      </c>
      <c r="BW84" s="38">
        <f>IF((ዕቁብ!BX86/ቦኖ!$C$4&gt;0),1,0)</f>
        <v>0</v>
      </c>
      <c r="BX84" s="38">
        <f>IF((ዕቁብ!BY86/ቦኖ!$C$4&gt;0),1,0)</f>
        <v>1</v>
      </c>
      <c r="BY84" s="38">
        <f>IF((ዕቁብ!BZ86/ቦኖ!$C$4&gt;0),1,0)</f>
        <v>1</v>
      </c>
      <c r="BZ84" s="38">
        <f>IF((ዕቁብ!CA86/ቦኖ!$C$4&gt;0),1,0)</f>
        <v>0</v>
      </c>
      <c r="CA84" s="38">
        <f>IF((ዕቁብ!CB86/ቦኖ!$C$4&gt;0),1,0)</f>
        <v>1</v>
      </c>
      <c r="CB84" s="38">
        <f>IF((ዕቁብ!CC86/ቦኖ!$C$4&gt;0),1,0)</f>
        <v>1</v>
      </c>
      <c r="CC84" s="38">
        <f>IF((ዕቁብ!CD86/ቦኖ!$C$4&gt;0),1,0)</f>
        <v>1</v>
      </c>
      <c r="CD84" s="38">
        <f>IF((ዕቁብ!CE86/ቦኖ!$C$4&gt;0),1,0)</f>
        <v>0</v>
      </c>
      <c r="CE84" s="38">
        <f>IF((ዕቁብ!CF86/ቦኖ!$C$4&gt;0),1,0)</f>
        <v>1</v>
      </c>
      <c r="CF84" s="38">
        <f>IF((ዕቁብ!CG86/ቦኖ!$C$4&gt;0),1,0)</f>
        <v>0</v>
      </c>
      <c r="CG84" s="38">
        <f>IF((ዕቁብ!CH86/ቦኖ!$C$4&gt;0),1,0)</f>
        <v>1</v>
      </c>
      <c r="CH84" s="38">
        <f>IF((ዕቁብ!CI86/ቦኖ!$C$4&gt;0),1,0)</f>
        <v>1</v>
      </c>
      <c r="CI84" s="38">
        <f>IF((ዕቁብ!CJ86/ቦኖ!$C$4&gt;0),1,0)</f>
        <v>1</v>
      </c>
      <c r="CJ84" s="38">
        <f>IF((ዕቁብ!CK86/ቦኖ!$C$4&gt;0),1,0)</f>
        <v>1</v>
      </c>
      <c r="CK84" s="38">
        <f>IF((ዕቁብ!CL86/ቦኖ!$C$4&gt;0),1,0)</f>
        <v>1</v>
      </c>
      <c r="CL84" s="38">
        <f>IF((ዕቁብ!CM86/ቦኖ!$C$4&gt;0),1,0)</f>
        <v>1</v>
      </c>
      <c r="CM84" s="38">
        <f>IF((ዕቁብ!CN86/ቦኖ!$C$4&gt;0),1,0)</f>
        <v>0</v>
      </c>
      <c r="CN84" s="38">
        <f>IF((ዕቁብ!CO86/ቦኖ!$C$4&gt;0),1,0)</f>
        <v>1</v>
      </c>
      <c r="CO84" s="38">
        <f>IF((ዕቁብ!CP86/ቦኖ!$C$4&gt;0),1,0)</f>
        <v>1</v>
      </c>
      <c r="CP84" s="38">
        <f>IF((ዕቁብ!CQ86/ቦኖ!$C$4&gt;0),1,0)</f>
        <v>1</v>
      </c>
      <c r="CQ84" s="38">
        <f>IF((ዕቁብ!CR86/ቦኖ!$C$4&gt;0),1,0)</f>
        <v>0</v>
      </c>
      <c r="CR84" s="38">
        <f>IF((ዕቁብ!CS86/ቦኖ!$C$4&gt;0),1,0)</f>
        <v>0</v>
      </c>
      <c r="CS84" s="38">
        <f>IF((ዕቁብ!CT86/ቦኖ!$C$4&gt;0),1,0)</f>
        <v>1</v>
      </c>
      <c r="CT84" s="38">
        <f>IF((ዕቁብ!CU86/ቦኖ!$C$4&gt;0),1,0)</f>
        <v>1</v>
      </c>
      <c r="CU84" s="38">
        <f>IF((ዕቁብ!CV86/ቦኖ!$C$4&gt;0),1,0)</f>
        <v>0</v>
      </c>
      <c r="CV84" s="38">
        <f>IF((ዕቁብ!CW86/ቦኖ!$C$4&gt;0),1,0)</f>
        <v>1</v>
      </c>
      <c r="CW84" s="38">
        <f>IF((ዕቁብ!CX86/ቦኖ!$C$4&gt;0),1,0)</f>
        <v>0</v>
      </c>
      <c r="CX84" s="38">
        <f>IF((ዕቁብ!CY86/ቦኖ!$C$4&gt;0),1,0)</f>
        <v>0</v>
      </c>
      <c r="CY84" s="38">
        <f>IF((ዕቁብ!CZ86/ቦኖ!$C$4&gt;0),1,0)</f>
        <v>1</v>
      </c>
      <c r="CZ84" s="38">
        <f>IF((ዕቁብ!DA86/ቦኖ!$C$4&gt;0),1,0)</f>
        <v>0</v>
      </c>
      <c r="DA84" s="38">
        <f>IF((ዕቁብ!DB86/ቦኖ!$C$4&gt;0),1,0)</f>
        <v>1</v>
      </c>
      <c r="DB84" s="38">
        <f>IF((ዕቁብ!DC86/ቦኖ!$C$4&gt;0),1,0)</f>
        <v>0</v>
      </c>
      <c r="DC84" s="38">
        <f>IF((ዕቁብ!DD86/ቦኖ!$C$4&gt;0),1,0)</f>
        <v>1</v>
      </c>
      <c r="DD84" s="38">
        <f>IF((ዕቁብ!DE86/ቦኖ!$C$4&gt;0),1,0)</f>
        <v>0</v>
      </c>
      <c r="DE84" s="38">
        <f>IF((ዕቁብ!DF86/ቦኖ!$C$4&gt;0),1,0)</f>
        <v>0</v>
      </c>
      <c r="DF84" s="38">
        <f>IF((ዕቁብ!DG86/ቦኖ!$C$4&gt;0),1,0)</f>
        <v>1</v>
      </c>
      <c r="DG84" s="38">
        <f>IF((ዕቁብ!DH86/ቦኖ!$C$4&gt;0),1,0)</f>
        <v>1</v>
      </c>
      <c r="DH84" s="38">
        <f>IF((ዕቁብ!DI86/ቦኖ!$C$4&gt;0),1,0)</f>
        <v>0</v>
      </c>
      <c r="DI84" s="38">
        <f>IF((ዕቁብ!DJ86/ቦኖ!$C$4&gt;0),1,0)</f>
        <v>0</v>
      </c>
      <c r="DJ84" s="38">
        <f>IF((ዕቁብ!DK86/ቦኖ!$C$4&gt;0),1,0)</f>
        <v>0</v>
      </c>
      <c r="DK84" s="38">
        <f>IF((ዕቁብ!DL86/ቦኖ!$C$4&gt;0),1,0)</f>
        <v>0</v>
      </c>
      <c r="DL84" s="38">
        <f>IF((ዕቁብ!DM86/ቦኖ!$C$4&gt;0),1,0)</f>
        <v>0</v>
      </c>
      <c r="DM84" s="38">
        <f>IF((ዕቁብ!DN86/ቦኖ!$C$4&gt;0),1,0)</f>
        <v>0</v>
      </c>
      <c r="DN84" s="38">
        <f>IF((ዕቁብ!DO86/ቦኖ!$C$4&gt;0),1,0)</f>
        <v>0</v>
      </c>
      <c r="DO84" s="38">
        <f>IF((ዕቁብ!DP86/ቦኖ!$C$4&gt;0),1,0)</f>
        <v>0</v>
      </c>
      <c r="DP84" s="38">
        <f>IF((ዕቁብ!DQ86/ቦኖ!$C$4&gt;0),1,0)</f>
        <v>0</v>
      </c>
      <c r="DQ84" s="38">
        <f>IF((ዕቁብ!DR86/ቦኖ!$C$4&gt;0),1,0)</f>
        <v>0</v>
      </c>
    </row>
    <row r="85" spans="1:121" ht="15.75" customHeight="1" x14ac:dyDescent="0.3">
      <c r="A85" s="33">
        <f>ዕቁብ!A87</f>
        <v>81</v>
      </c>
      <c r="B85" s="33" t="str">
        <f>ዕቁብ!B87</f>
        <v>ታምራት ወርቁ</v>
      </c>
      <c r="C85" s="37">
        <f>ዕቁብ!C87</f>
        <v>21000</v>
      </c>
      <c r="D85" s="38">
        <f>IF((ዕቁብ!E87/ቦኖ!$C$4&gt;0),1,0)</f>
        <v>1</v>
      </c>
      <c r="E85" s="38">
        <f>IF((ዕቁብ!F87/ቦኖ!$C$4&gt;0),1,0)</f>
        <v>1</v>
      </c>
      <c r="F85" s="38">
        <f>IF((ዕቁብ!G87/ቦኖ!$C$4&gt;0),1,0)</f>
        <v>1</v>
      </c>
      <c r="G85" s="38">
        <f>IF((ዕቁብ!H87/ቦኖ!$C$4&gt;0),1,0)</f>
        <v>1</v>
      </c>
      <c r="H85" s="38">
        <f>IF((ዕቁብ!I87/ቦኖ!$C$4&gt;0),1,0)</f>
        <v>1</v>
      </c>
      <c r="I85" s="38">
        <f>IF((ዕቁብ!J87/ቦኖ!$C$4&gt;0),1,0)</f>
        <v>1</v>
      </c>
      <c r="J85" s="38">
        <f>IF((ዕቁብ!K87/ቦኖ!$C$4&gt;0),1,0)</f>
        <v>1</v>
      </c>
      <c r="K85" s="38">
        <f>IF((ዕቁብ!L87/ቦኖ!$C$4&gt;0),1,0)</f>
        <v>1</v>
      </c>
      <c r="L85" s="38">
        <f>IF((ዕቁብ!M87/ቦኖ!$C$4&gt;0),1,0)</f>
        <v>1</v>
      </c>
      <c r="M85" s="38">
        <f>IF((ዕቁብ!N87/ቦኖ!$C$4&gt;0),1,0)</f>
        <v>1</v>
      </c>
      <c r="N85" s="38">
        <f>IF((ዕቁብ!O87/ቦኖ!$C$4&gt;0),1,0)</f>
        <v>1</v>
      </c>
      <c r="O85" s="38">
        <f>IF((ዕቁብ!P87/ቦኖ!$C$4&gt;0),1,0)</f>
        <v>1</v>
      </c>
      <c r="P85" s="38">
        <f>IF((ዕቁብ!Q87/ቦኖ!$C$4&gt;0),1,0)</f>
        <v>1</v>
      </c>
      <c r="Q85" s="38">
        <f>IF((ዕቁብ!R87/ቦኖ!$C$4&gt;0),1,0)</f>
        <v>1</v>
      </c>
      <c r="R85" s="38">
        <f>IF((ዕቁብ!S87/ቦኖ!$C$4&gt;0),1,0)</f>
        <v>1</v>
      </c>
      <c r="S85" s="38">
        <f>IF((ዕቁብ!T87/ቦኖ!$C$4&gt;0),1,0)</f>
        <v>1</v>
      </c>
      <c r="T85" s="38">
        <f>IF((ዕቁብ!U87/ቦኖ!$C$4&gt;0),1,0)</f>
        <v>1</v>
      </c>
      <c r="U85" s="38">
        <f>IF((ዕቁብ!V87/ቦኖ!$C$4&gt;0),1,0)</f>
        <v>1</v>
      </c>
      <c r="V85" s="38">
        <f>IF((ዕቁብ!W87/ቦኖ!$C$4&gt;0),1,0)</f>
        <v>1</v>
      </c>
      <c r="W85" s="38">
        <f>IF((ዕቁብ!X87/ቦኖ!$C$4&gt;0),1,0)</f>
        <v>1</v>
      </c>
      <c r="X85" s="38">
        <f>IF((ዕቁብ!Y87/ቦኖ!$C$4&gt;0),1,0)</f>
        <v>1</v>
      </c>
      <c r="Y85" s="38">
        <f>IF((ዕቁብ!Z87/ቦኖ!$C$4&gt;0),1,0)</f>
        <v>1</v>
      </c>
      <c r="Z85" s="38">
        <f>IF((ዕቁብ!AA87/ቦኖ!$C$4&gt;0),1,0)</f>
        <v>1</v>
      </c>
      <c r="AA85" s="38">
        <f>IF((ዕቁብ!AB87/ቦኖ!$C$4&gt;0),1,0)</f>
        <v>1</v>
      </c>
      <c r="AB85" s="38">
        <f>IF((ዕቁብ!AC87/ቦኖ!$C$4&gt;0),1,0)</f>
        <v>1</v>
      </c>
      <c r="AC85" s="38">
        <f>IF((ዕቁብ!AD87/ቦኖ!$C$4&gt;0),1,0)</f>
        <v>1</v>
      </c>
      <c r="AD85" s="38">
        <f>IF((ዕቁብ!AE87/ቦኖ!$C$4&gt;0),1,0)</f>
        <v>1</v>
      </c>
      <c r="AE85" s="38">
        <f>IF((ዕቁብ!AF87/ቦኖ!$C$4&gt;0),1,0)</f>
        <v>1</v>
      </c>
      <c r="AF85" s="38">
        <f>IF((ዕቁብ!AG87/ቦኖ!$C$4&gt;0),1,0)</f>
        <v>1</v>
      </c>
      <c r="AG85" s="38">
        <f>IF((ዕቁብ!AH87/ቦኖ!$C$4&gt;0),1,0)</f>
        <v>1</v>
      </c>
      <c r="AH85" s="38">
        <f>IF((ዕቁብ!AI87/ቦኖ!$C$4&gt;0),1,0)</f>
        <v>1</v>
      </c>
      <c r="AI85" s="38">
        <f>IF((ዕቁብ!AJ87/ቦኖ!$C$4&gt;0),1,0)</f>
        <v>1</v>
      </c>
      <c r="AJ85" s="38">
        <f>IF((ዕቁብ!AK87/ቦኖ!$C$4&gt;0),1,0)</f>
        <v>1</v>
      </c>
      <c r="AK85" s="38">
        <f>IF((ዕቁብ!AL87/ቦኖ!$C$4&gt;0),1,0)</f>
        <v>1</v>
      </c>
      <c r="AL85" s="38">
        <f>IF((ዕቁብ!AM87/ቦኖ!$C$4&gt;0),1,0)</f>
        <v>1</v>
      </c>
      <c r="AM85" s="38">
        <f>IF((ዕቁብ!AN87/ቦኖ!$C$4&gt;0),1,0)</f>
        <v>1</v>
      </c>
      <c r="AN85" s="38">
        <f>IF((ዕቁብ!AO87/ቦኖ!$C$4&gt;0),1,0)</f>
        <v>1</v>
      </c>
      <c r="AO85" s="38">
        <f>IF((ዕቁብ!AP87/ቦኖ!$C$4&gt;0),1,0)</f>
        <v>1</v>
      </c>
      <c r="AP85" s="38">
        <f>IF((ዕቁብ!AQ87/ቦኖ!$C$4&gt;0),1,0)</f>
        <v>1</v>
      </c>
      <c r="AQ85" s="38">
        <f>IF((ዕቁብ!AR87/ቦኖ!$C$4&gt;0),1,0)</f>
        <v>1</v>
      </c>
      <c r="AR85" s="38">
        <f>IF((ዕቁብ!AS87/ቦኖ!$C$4&gt;0),1,0)</f>
        <v>1</v>
      </c>
      <c r="AS85" s="38">
        <f>IF((ዕቁብ!AT87/ቦኖ!$C$4&gt;0),1,0)</f>
        <v>1</v>
      </c>
      <c r="AT85" s="38">
        <f>IF((ዕቁብ!AU87/ቦኖ!$C$4&gt;0),1,0)</f>
        <v>1</v>
      </c>
      <c r="AU85" s="38">
        <f>IF((ዕቁብ!AV87/ቦኖ!$C$4&gt;0),1,0)</f>
        <v>1</v>
      </c>
      <c r="AV85" s="38">
        <f>IF((ዕቁብ!AW87/ቦኖ!$C$4&gt;0),1,0)</f>
        <v>0</v>
      </c>
      <c r="AW85" s="38">
        <f>IF((ዕቁብ!AX87/ቦኖ!$C$4&gt;0),1,0)</f>
        <v>1</v>
      </c>
      <c r="AX85" s="38">
        <f>IF((ዕቁብ!AY87/ቦኖ!$C$4&gt;0),1,0)</f>
        <v>1</v>
      </c>
      <c r="AY85" s="38">
        <f>IF((ዕቁብ!AZ87/ቦኖ!$C$4&gt;0),1,0)</f>
        <v>1</v>
      </c>
      <c r="AZ85" s="38">
        <f>IF((ዕቁብ!BA87/ቦኖ!$C$4&gt;0),1,0)</f>
        <v>1</v>
      </c>
      <c r="BA85" s="38">
        <f>IF((ዕቁብ!BB87/ቦኖ!$C$4&gt;0),1,0)</f>
        <v>0</v>
      </c>
      <c r="BB85" s="38">
        <f>IF((ዕቁብ!BC87/ቦኖ!$C$4&gt;0),1,0)</f>
        <v>1</v>
      </c>
      <c r="BC85" s="38">
        <f>IF((ዕቁብ!BD87/ቦኖ!$C$4&gt;0),1,0)</f>
        <v>1</v>
      </c>
      <c r="BD85" s="38">
        <f>IF((ዕቁብ!BE87/ቦኖ!$C$4&gt;0),1,0)</f>
        <v>1</v>
      </c>
      <c r="BE85" s="38">
        <f>IF((ዕቁብ!BF87/ቦኖ!$C$4&gt;0),1,0)</f>
        <v>1</v>
      </c>
      <c r="BF85" s="38">
        <f>IF((ዕቁብ!BG87/ቦኖ!$C$4&gt;0),1,0)</f>
        <v>1</v>
      </c>
      <c r="BG85" s="38">
        <f>IF((ዕቁብ!BH87/ቦኖ!$C$4&gt;0),1,0)</f>
        <v>1</v>
      </c>
      <c r="BH85" s="38">
        <f>IF((ዕቁብ!BI87/ቦኖ!$C$4&gt;0),1,0)</f>
        <v>0</v>
      </c>
      <c r="BI85" s="38">
        <f>IF((ዕቁብ!BJ87/ቦኖ!$C$4&gt;0),1,0)</f>
        <v>0</v>
      </c>
      <c r="BJ85" s="38">
        <f>IF((ዕቁብ!BK87/ቦኖ!$C$4&gt;0),1,0)</f>
        <v>0</v>
      </c>
      <c r="BK85" s="38">
        <f>IF((ዕቁብ!BL87/ቦኖ!$C$4&gt;0),1,0)</f>
        <v>0</v>
      </c>
      <c r="BL85" s="38">
        <f>IF((ዕቁብ!BM87/ቦኖ!$C$4&gt;0),1,0)</f>
        <v>0</v>
      </c>
      <c r="BM85" s="38">
        <f>IF((ዕቁብ!BN87/ቦኖ!$C$4&gt;0),1,0)</f>
        <v>0</v>
      </c>
      <c r="BN85" s="38">
        <f>IF((ዕቁብ!BO87/ቦኖ!$C$4&gt;0),1,0)</f>
        <v>0</v>
      </c>
      <c r="BO85" s="38">
        <f>IF((ዕቁብ!BP87/ቦኖ!$C$4&gt;0),1,0)</f>
        <v>0</v>
      </c>
      <c r="BP85" s="38">
        <f>IF((ዕቁብ!BQ87/ቦኖ!$C$4&gt;0),1,0)</f>
        <v>1</v>
      </c>
      <c r="BQ85" s="38">
        <f>IF((ዕቁብ!BR87/ቦኖ!$C$4&gt;0),1,0)</f>
        <v>0</v>
      </c>
      <c r="BR85" s="38">
        <f>IF((ዕቁብ!BS87/ቦኖ!$C$4&gt;0),1,0)</f>
        <v>0</v>
      </c>
      <c r="BS85" s="38">
        <f>IF((ዕቁብ!BT87/ቦኖ!$C$4&gt;0),1,0)</f>
        <v>1</v>
      </c>
      <c r="BT85" s="38">
        <f>IF((ዕቁብ!BU87/ቦኖ!$C$4&gt;0),1,0)</f>
        <v>0</v>
      </c>
      <c r="BU85" s="38">
        <f>IF((ዕቁብ!BV87/ቦኖ!$C$4&gt;0),1,0)</f>
        <v>0</v>
      </c>
      <c r="BV85" s="38">
        <f>IF((ዕቁብ!BW87/ቦኖ!$C$4&gt;0),1,0)</f>
        <v>0</v>
      </c>
      <c r="BW85" s="38">
        <f>IF((ዕቁብ!BX87/ቦኖ!$C$4&gt;0),1,0)</f>
        <v>0</v>
      </c>
      <c r="BX85" s="38">
        <f>IF((ዕቁብ!BY87/ቦኖ!$C$4&gt;0),1,0)</f>
        <v>0</v>
      </c>
      <c r="BY85" s="38">
        <f>IF((ዕቁብ!BZ87/ቦኖ!$C$4&gt;0),1,0)</f>
        <v>0</v>
      </c>
      <c r="BZ85" s="38">
        <f>IF((ዕቁብ!CA87/ቦኖ!$C$4&gt;0),1,0)</f>
        <v>0</v>
      </c>
      <c r="CA85" s="38">
        <f>IF((ዕቁብ!CB87/ቦኖ!$C$4&gt;0),1,0)</f>
        <v>1</v>
      </c>
      <c r="CB85" s="38">
        <f>IF((ዕቁብ!CC87/ቦኖ!$C$4&gt;0),1,0)</f>
        <v>1</v>
      </c>
      <c r="CC85" s="38">
        <f>IF((ዕቁብ!CD87/ቦኖ!$C$4&gt;0),1,0)</f>
        <v>0</v>
      </c>
      <c r="CD85" s="38">
        <f>IF((ዕቁብ!CE87/ቦኖ!$C$4&gt;0),1,0)</f>
        <v>1</v>
      </c>
      <c r="CE85" s="38">
        <f>IF((ዕቁብ!CF87/ቦኖ!$C$4&gt;0),1,0)</f>
        <v>1</v>
      </c>
      <c r="CF85" s="38">
        <f>IF((ዕቁብ!CG87/ቦኖ!$C$4&gt;0),1,0)</f>
        <v>1</v>
      </c>
      <c r="CG85" s="38">
        <f>IF((ዕቁብ!CH87/ቦኖ!$C$4&gt;0),1,0)</f>
        <v>0</v>
      </c>
      <c r="CH85" s="38">
        <f>IF((ዕቁብ!CI87/ቦኖ!$C$4&gt;0),1,0)</f>
        <v>0</v>
      </c>
      <c r="CI85" s="38">
        <f>IF((ዕቁብ!CJ87/ቦኖ!$C$4&gt;0),1,0)</f>
        <v>1</v>
      </c>
      <c r="CJ85" s="38">
        <f>IF((ዕቁብ!CK87/ቦኖ!$C$4&gt;0),1,0)</f>
        <v>0</v>
      </c>
      <c r="CK85" s="38">
        <f>IF((ዕቁብ!CL87/ቦኖ!$C$4&gt;0),1,0)</f>
        <v>1</v>
      </c>
      <c r="CL85" s="38">
        <f>IF((ዕቁብ!CM87/ቦኖ!$C$4&gt;0),1,0)</f>
        <v>1</v>
      </c>
      <c r="CM85" s="38">
        <f>IF((ዕቁብ!CN87/ቦኖ!$C$4&gt;0),1,0)</f>
        <v>1</v>
      </c>
      <c r="CN85" s="38">
        <f>IF((ዕቁብ!CO87/ቦኖ!$C$4&gt;0),1,0)</f>
        <v>0</v>
      </c>
      <c r="CO85" s="38">
        <f>IF((ዕቁብ!CP87/ቦኖ!$C$4&gt;0),1,0)</f>
        <v>1</v>
      </c>
      <c r="CP85" s="38">
        <f>IF((ዕቁብ!CQ87/ቦኖ!$C$4&gt;0),1,0)</f>
        <v>1</v>
      </c>
      <c r="CQ85" s="38">
        <f>IF((ዕቁብ!CR87/ቦኖ!$C$4&gt;0),1,0)</f>
        <v>0</v>
      </c>
      <c r="CR85" s="38">
        <f>IF((ዕቁብ!CS87/ቦኖ!$C$4&gt;0),1,0)</f>
        <v>0</v>
      </c>
      <c r="CS85" s="38">
        <f>IF((ዕቁብ!CT87/ቦኖ!$C$4&gt;0),1,0)</f>
        <v>0</v>
      </c>
      <c r="CT85" s="38">
        <f>IF((ዕቁብ!CU87/ቦኖ!$C$4&gt;0),1,0)</f>
        <v>0</v>
      </c>
      <c r="CU85" s="38">
        <f>IF((ዕቁብ!CV87/ቦኖ!$C$4&gt;0),1,0)</f>
        <v>1</v>
      </c>
      <c r="CV85" s="38">
        <f>IF((ዕቁብ!CW87/ቦኖ!$C$4&gt;0),1,0)</f>
        <v>1</v>
      </c>
      <c r="CW85" s="38">
        <f>IF((ዕቁብ!CX87/ቦኖ!$C$4&gt;0),1,0)</f>
        <v>0</v>
      </c>
      <c r="CX85" s="38">
        <f>IF((ዕቁብ!CY87/ቦኖ!$C$4&gt;0),1,0)</f>
        <v>0</v>
      </c>
      <c r="CY85" s="38">
        <f>IF((ዕቁብ!CZ87/ቦኖ!$C$4&gt;0),1,0)</f>
        <v>0</v>
      </c>
      <c r="CZ85" s="38">
        <f>IF((ዕቁብ!DA87/ቦኖ!$C$4&gt;0),1,0)</f>
        <v>0</v>
      </c>
      <c r="DA85" s="38">
        <f>IF((ዕቁብ!DB87/ቦኖ!$C$4&gt;0),1,0)</f>
        <v>0</v>
      </c>
      <c r="DB85" s="38">
        <f>IF((ዕቁብ!DC87/ቦኖ!$C$4&gt;0),1,0)</f>
        <v>0</v>
      </c>
      <c r="DC85" s="38">
        <f>IF((ዕቁብ!DD87/ቦኖ!$C$4&gt;0),1,0)</f>
        <v>0</v>
      </c>
      <c r="DD85" s="38">
        <f>IF((ዕቁብ!DE87/ቦኖ!$C$4&gt;0),1,0)</f>
        <v>0</v>
      </c>
      <c r="DE85" s="38">
        <f>IF((ዕቁብ!DF87/ቦኖ!$C$4&gt;0),1,0)</f>
        <v>0</v>
      </c>
      <c r="DF85" s="38">
        <f>IF((ዕቁብ!DG87/ቦኖ!$C$4&gt;0),1,0)</f>
        <v>0</v>
      </c>
      <c r="DG85" s="38">
        <f>IF((ዕቁብ!DH87/ቦኖ!$C$4&gt;0),1,0)</f>
        <v>0</v>
      </c>
      <c r="DH85" s="38">
        <f>IF((ዕቁብ!DI87/ቦኖ!$C$4&gt;0),1,0)</f>
        <v>0</v>
      </c>
      <c r="DI85" s="38">
        <f>IF((ዕቁብ!DJ87/ቦኖ!$C$4&gt;0),1,0)</f>
        <v>0</v>
      </c>
      <c r="DJ85" s="38">
        <f>IF((ዕቁብ!DK87/ቦኖ!$C$4&gt;0),1,0)</f>
        <v>0</v>
      </c>
      <c r="DK85" s="38">
        <f>IF((ዕቁብ!DL87/ቦኖ!$C$4&gt;0),1,0)</f>
        <v>0</v>
      </c>
      <c r="DL85" s="38">
        <f>IF((ዕቁብ!DM87/ቦኖ!$C$4&gt;0),1,0)</f>
        <v>0</v>
      </c>
      <c r="DM85" s="38">
        <f>IF((ዕቁብ!DN87/ቦኖ!$C$4&gt;0),1,0)</f>
        <v>0</v>
      </c>
      <c r="DN85" s="38">
        <f>IF((ዕቁብ!DO87/ቦኖ!$C$4&gt;0),1,0)</f>
        <v>0</v>
      </c>
      <c r="DO85" s="38">
        <f>IF((ዕቁብ!DP87/ቦኖ!$C$4&gt;0),1,0)</f>
        <v>0</v>
      </c>
      <c r="DP85" s="38">
        <f>IF((ዕቁብ!DQ87/ቦኖ!$C$4&gt;0),1,0)</f>
        <v>0</v>
      </c>
      <c r="DQ85" s="38">
        <f>IF((ዕቁብ!DR87/ቦኖ!$C$4&gt;0),1,0)</f>
        <v>0</v>
      </c>
    </row>
    <row r="86" spans="1:121" ht="15.75" customHeight="1" x14ac:dyDescent="0.3">
      <c r="A86" s="33">
        <f>ዕቁብ!A88</f>
        <v>82</v>
      </c>
      <c r="B86" s="33" t="str">
        <f>ዕቁብ!B88</f>
        <v>አዲሱ ግሼ</v>
      </c>
      <c r="C86" s="37">
        <f>ዕቁብ!C88</f>
        <v>21000</v>
      </c>
      <c r="D86" s="38">
        <f>IF((ዕቁብ!E88/ቦኖ!$C$4&gt;0),1,0)</f>
        <v>1</v>
      </c>
      <c r="E86" s="38">
        <f>IF((ዕቁብ!F88/ቦኖ!$C$4&gt;0),1,0)</f>
        <v>1</v>
      </c>
      <c r="F86" s="38">
        <f>IF((ዕቁብ!G88/ቦኖ!$C$4&gt;0),1,0)</f>
        <v>1</v>
      </c>
      <c r="G86" s="38">
        <f>IF((ዕቁብ!H88/ቦኖ!$C$4&gt;0),1,0)</f>
        <v>1</v>
      </c>
      <c r="H86" s="38">
        <f>IF((ዕቁብ!I88/ቦኖ!$C$4&gt;0),1,0)</f>
        <v>1</v>
      </c>
      <c r="I86" s="38">
        <f>IF((ዕቁብ!J88/ቦኖ!$C$4&gt;0),1,0)</f>
        <v>1</v>
      </c>
      <c r="J86" s="38">
        <f>IF((ዕቁብ!K88/ቦኖ!$C$4&gt;0),1,0)</f>
        <v>1</v>
      </c>
      <c r="K86" s="38">
        <f>IF((ዕቁብ!L88/ቦኖ!$C$4&gt;0),1,0)</f>
        <v>1</v>
      </c>
      <c r="L86" s="38">
        <f>IF((ዕቁብ!M88/ቦኖ!$C$4&gt;0),1,0)</f>
        <v>1</v>
      </c>
      <c r="M86" s="38">
        <f>IF((ዕቁብ!N88/ቦኖ!$C$4&gt;0),1,0)</f>
        <v>1</v>
      </c>
      <c r="N86" s="38">
        <f>IF((ዕቁብ!O88/ቦኖ!$C$4&gt;0),1,0)</f>
        <v>1</v>
      </c>
      <c r="O86" s="38">
        <f>IF((ዕቁብ!P88/ቦኖ!$C$4&gt;0),1,0)</f>
        <v>1</v>
      </c>
      <c r="P86" s="38">
        <f>IF((ዕቁብ!Q88/ቦኖ!$C$4&gt;0),1,0)</f>
        <v>1</v>
      </c>
      <c r="Q86" s="38">
        <f>IF((ዕቁብ!R88/ቦኖ!$C$4&gt;0),1,0)</f>
        <v>1</v>
      </c>
      <c r="R86" s="38">
        <f>IF((ዕቁብ!S88/ቦኖ!$C$4&gt;0),1,0)</f>
        <v>1</v>
      </c>
      <c r="S86" s="38">
        <f>IF((ዕቁብ!T88/ቦኖ!$C$4&gt;0),1,0)</f>
        <v>1</v>
      </c>
      <c r="T86" s="38">
        <f>IF((ዕቁብ!U88/ቦኖ!$C$4&gt;0),1,0)</f>
        <v>1</v>
      </c>
      <c r="U86" s="38">
        <f>IF((ዕቁብ!V88/ቦኖ!$C$4&gt;0),1,0)</f>
        <v>1</v>
      </c>
      <c r="V86" s="38">
        <f>IF((ዕቁብ!W88/ቦኖ!$C$4&gt;0),1,0)</f>
        <v>1</v>
      </c>
      <c r="W86" s="38">
        <f>IF((ዕቁብ!X88/ቦኖ!$C$4&gt;0),1,0)</f>
        <v>1</v>
      </c>
      <c r="X86" s="38">
        <f>IF((ዕቁብ!Y88/ቦኖ!$C$4&gt;0),1,0)</f>
        <v>1</v>
      </c>
      <c r="Y86" s="38">
        <f>IF((ዕቁብ!Z88/ቦኖ!$C$4&gt;0),1,0)</f>
        <v>1</v>
      </c>
      <c r="Z86" s="38">
        <f>IF((ዕቁብ!AA88/ቦኖ!$C$4&gt;0),1,0)</f>
        <v>1</v>
      </c>
      <c r="AA86" s="38">
        <f>IF((ዕቁብ!AB88/ቦኖ!$C$4&gt;0),1,0)</f>
        <v>1</v>
      </c>
      <c r="AB86" s="38">
        <f>IF((ዕቁብ!AC88/ቦኖ!$C$4&gt;0),1,0)</f>
        <v>1</v>
      </c>
      <c r="AC86" s="38">
        <f>IF((ዕቁብ!AD88/ቦኖ!$C$4&gt;0),1,0)</f>
        <v>1</v>
      </c>
      <c r="AD86" s="38">
        <f>IF((ዕቁብ!AE88/ቦኖ!$C$4&gt;0),1,0)</f>
        <v>1</v>
      </c>
      <c r="AE86" s="38">
        <f>IF((ዕቁብ!AF88/ቦኖ!$C$4&gt;0),1,0)</f>
        <v>1</v>
      </c>
      <c r="AF86" s="38">
        <f>IF((ዕቁብ!AG88/ቦኖ!$C$4&gt;0),1,0)</f>
        <v>1</v>
      </c>
      <c r="AG86" s="38">
        <f>IF((ዕቁብ!AH88/ቦኖ!$C$4&gt;0),1,0)</f>
        <v>1</v>
      </c>
      <c r="AH86" s="38">
        <f>IF((ዕቁብ!AI88/ቦኖ!$C$4&gt;0),1,0)</f>
        <v>1</v>
      </c>
      <c r="AI86" s="38">
        <f>IF((ዕቁብ!AJ88/ቦኖ!$C$4&gt;0),1,0)</f>
        <v>1</v>
      </c>
      <c r="AJ86" s="38">
        <f>IF((ዕቁብ!AK88/ቦኖ!$C$4&gt;0),1,0)</f>
        <v>1</v>
      </c>
      <c r="AK86" s="38">
        <f>IF((ዕቁብ!AL88/ቦኖ!$C$4&gt;0),1,0)</f>
        <v>1</v>
      </c>
      <c r="AL86" s="38">
        <f>IF((ዕቁብ!AM88/ቦኖ!$C$4&gt;0),1,0)</f>
        <v>1</v>
      </c>
      <c r="AM86" s="38">
        <f>IF((ዕቁብ!AN88/ቦኖ!$C$4&gt;0),1,0)</f>
        <v>1</v>
      </c>
      <c r="AN86" s="38">
        <f>IF((ዕቁብ!AO88/ቦኖ!$C$4&gt;0),1,0)</f>
        <v>1</v>
      </c>
      <c r="AO86" s="38">
        <f>IF((ዕቁብ!AP88/ቦኖ!$C$4&gt;0),1,0)</f>
        <v>1</v>
      </c>
      <c r="AP86" s="38">
        <f>IF((ዕቁብ!AQ88/ቦኖ!$C$4&gt;0),1,0)</f>
        <v>1</v>
      </c>
      <c r="AQ86" s="38">
        <f>IF((ዕቁብ!AR88/ቦኖ!$C$4&gt;0),1,0)</f>
        <v>1</v>
      </c>
      <c r="AR86" s="38">
        <f>IF((ዕቁብ!AS88/ቦኖ!$C$4&gt;0),1,0)</f>
        <v>1</v>
      </c>
      <c r="AS86" s="38">
        <f>IF((ዕቁብ!AT88/ቦኖ!$C$4&gt;0),1,0)</f>
        <v>1</v>
      </c>
      <c r="AT86" s="38">
        <f>IF((ዕቁብ!AU88/ቦኖ!$C$4&gt;0),1,0)</f>
        <v>1</v>
      </c>
      <c r="AU86" s="38">
        <f>IF((ዕቁብ!AV88/ቦኖ!$C$4&gt;0),1,0)</f>
        <v>1</v>
      </c>
      <c r="AV86" s="38">
        <f>IF((ዕቁብ!AW88/ቦኖ!$C$4&gt;0),1,0)</f>
        <v>1</v>
      </c>
      <c r="AW86" s="38">
        <f>IF((ዕቁብ!AX88/ቦኖ!$C$4&gt;0),1,0)</f>
        <v>1</v>
      </c>
      <c r="AX86" s="38">
        <f>IF((ዕቁብ!AY88/ቦኖ!$C$4&gt;0),1,0)</f>
        <v>1</v>
      </c>
      <c r="AY86" s="38">
        <f>IF((ዕቁብ!AZ88/ቦኖ!$C$4&gt;0),1,0)</f>
        <v>1</v>
      </c>
      <c r="AZ86" s="38">
        <f>IF((ዕቁብ!BA88/ቦኖ!$C$4&gt;0),1,0)</f>
        <v>1</v>
      </c>
      <c r="BA86" s="38">
        <f>IF((ዕቁብ!BB88/ቦኖ!$C$4&gt;0),1,0)</f>
        <v>1</v>
      </c>
      <c r="BB86" s="38">
        <f>IF((ዕቁብ!BC88/ቦኖ!$C$4&gt;0),1,0)</f>
        <v>1</v>
      </c>
      <c r="BC86" s="38">
        <f>IF((ዕቁብ!BD88/ቦኖ!$C$4&gt;0),1,0)</f>
        <v>1</v>
      </c>
      <c r="BD86" s="38">
        <f>IF((ዕቁብ!BE88/ቦኖ!$C$4&gt;0),1,0)</f>
        <v>1</v>
      </c>
      <c r="BE86" s="38">
        <f>IF((ዕቁብ!BF88/ቦኖ!$C$4&gt;0),1,0)</f>
        <v>1</v>
      </c>
      <c r="BF86" s="38">
        <f>IF((ዕቁብ!BG88/ቦኖ!$C$4&gt;0),1,0)</f>
        <v>1</v>
      </c>
      <c r="BG86" s="38">
        <f>IF((ዕቁብ!BH88/ቦኖ!$C$4&gt;0),1,0)</f>
        <v>1</v>
      </c>
      <c r="BH86" s="38">
        <f>IF((ዕቁብ!BI88/ቦኖ!$C$4&gt;0),1,0)</f>
        <v>1</v>
      </c>
      <c r="BI86" s="38">
        <f>IF((ዕቁብ!BJ88/ቦኖ!$C$4&gt;0),1,0)</f>
        <v>1</v>
      </c>
      <c r="BJ86" s="38">
        <f>IF((ዕቁብ!BK88/ቦኖ!$C$4&gt;0),1,0)</f>
        <v>1</v>
      </c>
      <c r="BK86" s="38">
        <f>IF((ዕቁብ!BL88/ቦኖ!$C$4&gt;0),1,0)</f>
        <v>1</v>
      </c>
      <c r="BL86" s="38">
        <f>IF((ዕቁብ!BM88/ቦኖ!$C$4&gt;0),1,0)</f>
        <v>1</v>
      </c>
      <c r="BM86" s="38">
        <f>IF((ዕቁብ!BN88/ቦኖ!$C$4&gt;0),1,0)</f>
        <v>1</v>
      </c>
      <c r="BN86" s="38">
        <f>IF((ዕቁብ!BO88/ቦኖ!$C$4&gt;0),1,0)</f>
        <v>1</v>
      </c>
      <c r="BO86" s="38">
        <f>IF((ዕቁብ!BP88/ቦኖ!$C$4&gt;0),1,0)</f>
        <v>1</v>
      </c>
      <c r="BP86" s="38">
        <f>IF((ዕቁብ!BQ88/ቦኖ!$C$4&gt;0),1,0)</f>
        <v>1</v>
      </c>
      <c r="BQ86" s="38">
        <f>IF((ዕቁብ!BR88/ቦኖ!$C$4&gt;0),1,0)</f>
        <v>1</v>
      </c>
      <c r="BR86" s="38">
        <f>IF((ዕቁብ!BS88/ቦኖ!$C$4&gt;0),1,0)</f>
        <v>1</v>
      </c>
      <c r="BS86" s="38">
        <f>IF((ዕቁብ!BT88/ቦኖ!$C$4&gt;0),1,0)</f>
        <v>1</v>
      </c>
      <c r="BT86" s="38">
        <f>IF((ዕቁብ!BU88/ቦኖ!$C$4&gt;0),1,0)</f>
        <v>1</v>
      </c>
      <c r="BU86" s="38">
        <f>IF((ዕቁብ!BV88/ቦኖ!$C$4&gt;0),1,0)</f>
        <v>1</v>
      </c>
      <c r="BV86" s="38">
        <f>IF((ዕቁብ!BW88/ቦኖ!$C$4&gt;0),1,0)</f>
        <v>1</v>
      </c>
      <c r="BW86" s="38">
        <f>IF((ዕቁብ!BX88/ቦኖ!$C$4&gt;0),1,0)</f>
        <v>1</v>
      </c>
      <c r="BX86" s="38">
        <f>IF((ዕቁብ!BY88/ቦኖ!$C$4&gt;0),1,0)</f>
        <v>1</v>
      </c>
      <c r="BY86" s="38">
        <f>IF((ዕቁብ!BZ88/ቦኖ!$C$4&gt;0),1,0)</f>
        <v>1</v>
      </c>
      <c r="BZ86" s="38">
        <f>IF((ዕቁብ!CA88/ቦኖ!$C$4&gt;0),1,0)</f>
        <v>1</v>
      </c>
      <c r="CA86" s="38">
        <f>IF((ዕቁብ!CB88/ቦኖ!$C$4&gt;0),1,0)</f>
        <v>1</v>
      </c>
      <c r="CB86" s="38">
        <f>IF((ዕቁብ!CC88/ቦኖ!$C$4&gt;0),1,0)</f>
        <v>1</v>
      </c>
      <c r="CC86" s="38">
        <f>IF((ዕቁብ!CD88/ቦኖ!$C$4&gt;0),1,0)</f>
        <v>0</v>
      </c>
      <c r="CD86" s="38">
        <f>IF((ዕቁብ!CE88/ቦኖ!$C$4&gt;0),1,0)</f>
        <v>1</v>
      </c>
      <c r="CE86" s="38">
        <f>IF((ዕቁብ!CF88/ቦኖ!$C$4&gt;0),1,0)</f>
        <v>1</v>
      </c>
      <c r="CF86" s="38">
        <f>IF((ዕቁብ!CG88/ቦኖ!$C$4&gt;0),1,0)</f>
        <v>1</v>
      </c>
      <c r="CG86" s="38">
        <f>IF((ዕቁብ!CH88/ቦኖ!$C$4&gt;0),1,0)</f>
        <v>1</v>
      </c>
      <c r="CH86" s="38">
        <f>IF((ዕቁብ!CI88/ቦኖ!$C$4&gt;0),1,0)</f>
        <v>1</v>
      </c>
      <c r="CI86" s="38">
        <f>IF((ዕቁብ!CJ88/ቦኖ!$C$4&gt;0),1,0)</f>
        <v>1</v>
      </c>
      <c r="CJ86" s="38">
        <f>IF((ዕቁብ!CK88/ቦኖ!$C$4&gt;0),1,0)</f>
        <v>1</v>
      </c>
      <c r="CK86" s="38">
        <f>IF((ዕቁብ!CL88/ቦኖ!$C$4&gt;0),1,0)</f>
        <v>0</v>
      </c>
      <c r="CL86" s="38">
        <f>IF((ዕቁብ!CM88/ቦኖ!$C$4&gt;0),1,0)</f>
        <v>1</v>
      </c>
      <c r="CM86" s="38">
        <f>IF((ዕቁብ!CN88/ቦኖ!$C$4&gt;0),1,0)</f>
        <v>0</v>
      </c>
      <c r="CN86" s="38">
        <f>IF((ዕቁብ!CO88/ቦኖ!$C$4&gt;0),1,0)</f>
        <v>1</v>
      </c>
      <c r="CO86" s="38">
        <f>IF((ዕቁብ!CP88/ቦኖ!$C$4&gt;0),1,0)</f>
        <v>0</v>
      </c>
      <c r="CP86" s="38">
        <f>IF((ዕቁብ!CQ88/ቦኖ!$C$4&gt;0),1,0)</f>
        <v>1</v>
      </c>
      <c r="CQ86" s="38">
        <f>IF((ዕቁብ!CR88/ቦኖ!$C$4&gt;0),1,0)</f>
        <v>0</v>
      </c>
      <c r="CR86" s="38">
        <f>IF((ዕቁብ!CS88/ቦኖ!$C$4&gt;0),1,0)</f>
        <v>1</v>
      </c>
      <c r="CS86" s="38">
        <f>IF((ዕቁብ!CT88/ቦኖ!$C$4&gt;0),1,0)</f>
        <v>0</v>
      </c>
      <c r="CT86" s="38">
        <f>IF((ዕቁብ!CU88/ቦኖ!$C$4&gt;0),1,0)</f>
        <v>1</v>
      </c>
      <c r="CU86" s="38">
        <f>IF((ዕቁብ!CV88/ቦኖ!$C$4&gt;0),1,0)</f>
        <v>0</v>
      </c>
      <c r="CV86" s="38">
        <f>IF((ዕቁብ!CW88/ቦኖ!$C$4&gt;0),1,0)</f>
        <v>1</v>
      </c>
      <c r="CW86" s="38">
        <f>IF((ዕቁብ!CX88/ቦኖ!$C$4&gt;0),1,0)</f>
        <v>0</v>
      </c>
      <c r="CX86" s="38">
        <f>IF((ዕቁብ!CY88/ቦኖ!$C$4&gt;0),1,0)</f>
        <v>1</v>
      </c>
      <c r="CY86" s="38">
        <f>IF((ዕቁብ!CZ88/ቦኖ!$C$4&gt;0),1,0)</f>
        <v>0</v>
      </c>
      <c r="CZ86" s="38">
        <f>IF((ዕቁብ!DA88/ቦኖ!$C$4&gt;0),1,0)</f>
        <v>0</v>
      </c>
      <c r="DA86" s="38">
        <f>IF((ዕቁብ!DB88/ቦኖ!$C$4&gt;0),1,0)</f>
        <v>1</v>
      </c>
      <c r="DB86" s="38">
        <f>IF((ዕቁብ!DC88/ቦኖ!$C$4&gt;0),1,0)</f>
        <v>1</v>
      </c>
      <c r="DC86" s="38">
        <f>IF((ዕቁብ!DD88/ቦኖ!$C$4&gt;0),1,0)</f>
        <v>1</v>
      </c>
      <c r="DD86" s="38">
        <f>IF((ዕቁብ!DE88/ቦኖ!$C$4&gt;0),1,0)</f>
        <v>1</v>
      </c>
      <c r="DE86" s="38">
        <f>IF((ዕቁብ!DF88/ቦኖ!$C$4&gt;0),1,0)</f>
        <v>0</v>
      </c>
      <c r="DF86" s="38">
        <f>IF((ዕቁብ!DG88/ቦኖ!$C$4&gt;0),1,0)</f>
        <v>1</v>
      </c>
      <c r="DG86" s="38">
        <f>IF((ዕቁብ!DH88/ቦኖ!$C$4&gt;0),1,0)</f>
        <v>0</v>
      </c>
      <c r="DH86" s="38">
        <f>IF((ዕቁብ!DI88/ቦኖ!$C$4&gt;0),1,0)</f>
        <v>0</v>
      </c>
      <c r="DI86" s="38">
        <f>IF((ዕቁብ!DJ88/ቦኖ!$C$4&gt;0),1,0)</f>
        <v>0</v>
      </c>
      <c r="DJ86" s="38">
        <f>IF((ዕቁብ!DK88/ቦኖ!$C$4&gt;0),1,0)</f>
        <v>0</v>
      </c>
      <c r="DK86" s="38">
        <f>IF((ዕቁብ!DL88/ቦኖ!$C$4&gt;0),1,0)</f>
        <v>0</v>
      </c>
      <c r="DL86" s="38">
        <f>IF((ዕቁብ!DM88/ቦኖ!$C$4&gt;0),1,0)</f>
        <v>0</v>
      </c>
      <c r="DM86" s="38">
        <f>IF((ዕቁብ!DN88/ቦኖ!$C$4&gt;0),1,0)</f>
        <v>0</v>
      </c>
      <c r="DN86" s="38">
        <f>IF((ዕቁብ!DO88/ቦኖ!$C$4&gt;0),1,0)</f>
        <v>0</v>
      </c>
      <c r="DO86" s="38">
        <f>IF((ዕቁብ!DP88/ቦኖ!$C$4&gt;0),1,0)</f>
        <v>0</v>
      </c>
      <c r="DP86" s="38">
        <f>IF((ዕቁብ!DQ88/ቦኖ!$C$4&gt;0),1,0)</f>
        <v>0</v>
      </c>
      <c r="DQ86" s="38">
        <f>IF((ዕቁብ!DR88/ቦኖ!$C$4&gt;0),1,0)</f>
        <v>0</v>
      </c>
    </row>
    <row r="87" spans="1:121" ht="15.75" customHeight="1" x14ac:dyDescent="0.3">
      <c r="A87" s="33">
        <f>ዕቁብ!A89</f>
        <v>83</v>
      </c>
      <c r="B87" s="33" t="str">
        <f>ዕቁብ!B89</f>
        <v>ዘለቀ አከ</v>
      </c>
      <c r="C87" s="37">
        <f>ዕቁብ!C89</f>
        <v>21000</v>
      </c>
      <c r="D87" s="38">
        <f>IF((ዕቁብ!E89/ቦኖ!$C$4&gt;0),1,0)</f>
        <v>1</v>
      </c>
      <c r="E87" s="38">
        <f>IF((ዕቁብ!F89/ቦኖ!$C$4&gt;0),1,0)</f>
        <v>1</v>
      </c>
      <c r="F87" s="38">
        <f>IF((ዕቁብ!G89/ቦኖ!$C$4&gt;0),1,0)</f>
        <v>1</v>
      </c>
      <c r="G87" s="38">
        <f>IF((ዕቁብ!H89/ቦኖ!$C$4&gt;0),1,0)</f>
        <v>1</v>
      </c>
      <c r="H87" s="38">
        <f>IF((ዕቁብ!I89/ቦኖ!$C$4&gt;0),1,0)</f>
        <v>1</v>
      </c>
      <c r="I87" s="38">
        <f>IF((ዕቁብ!J89/ቦኖ!$C$4&gt;0),1,0)</f>
        <v>1</v>
      </c>
      <c r="J87" s="38">
        <f>IF((ዕቁብ!K89/ቦኖ!$C$4&gt;0),1,0)</f>
        <v>1</v>
      </c>
      <c r="K87" s="38">
        <f>IF((ዕቁብ!L89/ቦኖ!$C$4&gt;0),1,0)</f>
        <v>1</v>
      </c>
      <c r="L87" s="38">
        <f>IF((ዕቁብ!M89/ቦኖ!$C$4&gt;0),1,0)</f>
        <v>1</v>
      </c>
      <c r="M87" s="38">
        <f>IF((ዕቁብ!N89/ቦኖ!$C$4&gt;0),1,0)</f>
        <v>1</v>
      </c>
      <c r="N87" s="38">
        <f>IF((ዕቁብ!O89/ቦኖ!$C$4&gt;0),1,0)</f>
        <v>1</v>
      </c>
      <c r="O87" s="38">
        <f>IF((ዕቁብ!P89/ቦኖ!$C$4&gt;0),1,0)</f>
        <v>1</v>
      </c>
      <c r="P87" s="38">
        <f>IF((ዕቁብ!Q89/ቦኖ!$C$4&gt;0),1,0)</f>
        <v>1</v>
      </c>
      <c r="Q87" s="38">
        <f>IF((ዕቁብ!R89/ቦኖ!$C$4&gt;0),1,0)</f>
        <v>1</v>
      </c>
      <c r="R87" s="38">
        <f>IF((ዕቁብ!S89/ቦኖ!$C$4&gt;0),1,0)</f>
        <v>1</v>
      </c>
      <c r="S87" s="38">
        <f>IF((ዕቁብ!T89/ቦኖ!$C$4&gt;0),1,0)</f>
        <v>1</v>
      </c>
      <c r="T87" s="38">
        <f>IF((ዕቁብ!U89/ቦኖ!$C$4&gt;0),1,0)</f>
        <v>1</v>
      </c>
      <c r="U87" s="38">
        <f>IF((ዕቁብ!V89/ቦኖ!$C$4&gt;0),1,0)</f>
        <v>1</v>
      </c>
      <c r="V87" s="38">
        <f>IF((ዕቁብ!W89/ቦኖ!$C$4&gt;0),1,0)</f>
        <v>1</v>
      </c>
      <c r="W87" s="38">
        <f>IF((ዕቁብ!X89/ቦኖ!$C$4&gt;0),1,0)</f>
        <v>1</v>
      </c>
      <c r="X87" s="38">
        <f>IF((ዕቁብ!Y89/ቦኖ!$C$4&gt;0),1,0)</f>
        <v>1</v>
      </c>
      <c r="Y87" s="38">
        <f>IF((ዕቁብ!Z89/ቦኖ!$C$4&gt;0),1,0)</f>
        <v>1</v>
      </c>
      <c r="Z87" s="38">
        <f>IF((ዕቁብ!AA89/ቦኖ!$C$4&gt;0),1,0)</f>
        <v>1</v>
      </c>
      <c r="AA87" s="38">
        <f>IF((ዕቁብ!AB89/ቦኖ!$C$4&gt;0),1,0)</f>
        <v>1</v>
      </c>
      <c r="AB87" s="38">
        <f>IF((ዕቁብ!AC89/ቦኖ!$C$4&gt;0),1,0)</f>
        <v>1</v>
      </c>
      <c r="AC87" s="38">
        <f>IF((ዕቁብ!AD89/ቦኖ!$C$4&gt;0),1,0)</f>
        <v>1</v>
      </c>
      <c r="AD87" s="38">
        <f>IF((ዕቁብ!AE89/ቦኖ!$C$4&gt;0),1,0)</f>
        <v>1</v>
      </c>
      <c r="AE87" s="38">
        <f>IF((ዕቁብ!AF89/ቦኖ!$C$4&gt;0),1,0)</f>
        <v>0</v>
      </c>
      <c r="AF87" s="38">
        <f>IF((ዕቁብ!AG89/ቦኖ!$C$4&gt;0),1,0)</f>
        <v>1</v>
      </c>
      <c r="AG87" s="38">
        <f>IF((ዕቁብ!AH89/ቦኖ!$C$4&gt;0),1,0)</f>
        <v>1</v>
      </c>
      <c r="AH87" s="38">
        <f>IF((ዕቁብ!AI89/ቦኖ!$C$4&gt;0),1,0)</f>
        <v>1</v>
      </c>
      <c r="AI87" s="38">
        <f>IF((ዕቁብ!AJ89/ቦኖ!$C$4&gt;0),1,0)</f>
        <v>0</v>
      </c>
      <c r="AJ87" s="38">
        <f>IF((ዕቁብ!AK89/ቦኖ!$C$4&gt;0),1,0)</f>
        <v>1</v>
      </c>
      <c r="AK87" s="38">
        <f>IF((ዕቁብ!AL89/ቦኖ!$C$4&gt;0),1,0)</f>
        <v>1</v>
      </c>
      <c r="AL87" s="38">
        <f>IF((ዕቁብ!AM89/ቦኖ!$C$4&gt;0),1,0)</f>
        <v>1</v>
      </c>
      <c r="AM87" s="38">
        <f>IF((ዕቁብ!AN89/ቦኖ!$C$4&gt;0),1,0)</f>
        <v>0</v>
      </c>
      <c r="AN87" s="38">
        <f>IF((ዕቁብ!AO89/ቦኖ!$C$4&gt;0),1,0)</f>
        <v>1</v>
      </c>
      <c r="AO87" s="38">
        <f>IF((ዕቁብ!AP89/ቦኖ!$C$4&gt;0),1,0)</f>
        <v>1</v>
      </c>
      <c r="AP87" s="38">
        <f>IF((ዕቁብ!AQ89/ቦኖ!$C$4&gt;0),1,0)</f>
        <v>1</v>
      </c>
      <c r="AQ87" s="38">
        <f>IF((ዕቁብ!AR89/ቦኖ!$C$4&gt;0),1,0)</f>
        <v>1</v>
      </c>
      <c r="AR87" s="38">
        <f>IF((ዕቁብ!AS89/ቦኖ!$C$4&gt;0),1,0)</f>
        <v>1</v>
      </c>
      <c r="AS87" s="38">
        <f>IF((ዕቁብ!AT89/ቦኖ!$C$4&gt;0),1,0)</f>
        <v>1</v>
      </c>
      <c r="AT87" s="38">
        <f>IF((ዕቁብ!AU89/ቦኖ!$C$4&gt;0),1,0)</f>
        <v>1</v>
      </c>
      <c r="AU87" s="38">
        <f>IF((ዕቁብ!AV89/ቦኖ!$C$4&gt;0),1,0)</f>
        <v>1</v>
      </c>
      <c r="AV87" s="38">
        <f>IF((ዕቁብ!AW89/ቦኖ!$C$4&gt;0),1,0)</f>
        <v>0</v>
      </c>
      <c r="AW87" s="38">
        <f>IF((ዕቁብ!AX89/ቦኖ!$C$4&gt;0),1,0)</f>
        <v>1</v>
      </c>
      <c r="AX87" s="38">
        <f>IF((ዕቁብ!AY89/ቦኖ!$C$4&gt;0),1,0)</f>
        <v>1</v>
      </c>
      <c r="AY87" s="38">
        <f>IF((ዕቁብ!AZ89/ቦኖ!$C$4&gt;0),1,0)</f>
        <v>1</v>
      </c>
      <c r="AZ87" s="38">
        <f>IF((ዕቁብ!BA89/ቦኖ!$C$4&gt;0),1,0)</f>
        <v>1</v>
      </c>
      <c r="BA87" s="38">
        <f>IF((ዕቁብ!BB89/ቦኖ!$C$4&gt;0),1,0)</f>
        <v>1</v>
      </c>
      <c r="BB87" s="38">
        <f>IF((ዕቁብ!BC89/ቦኖ!$C$4&gt;0),1,0)</f>
        <v>1</v>
      </c>
      <c r="BC87" s="38">
        <f>IF((ዕቁብ!BD89/ቦኖ!$C$4&gt;0),1,0)</f>
        <v>1</v>
      </c>
      <c r="BD87" s="38">
        <f>IF((ዕቁብ!BE89/ቦኖ!$C$4&gt;0),1,0)</f>
        <v>1</v>
      </c>
      <c r="BE87" s="38">
        <f>IF((ዕቁብ!BF89/ቦኖ!$C$4&gt;0),1,0)</f>
        <v>1</v>
      </c>
      <c r="BF87" s="38">
        <f>IF((ዕቁብ!BG89/ቦኖ!$C$4&gt;0),1,0)</f>
        <v>1</v>
      </c>
      <c r="BG87" s="38">
        <f>IF((ዕቁብ!BH89/ቦኖ!$C$4&gt;0),1,0)</f>
        <v>0</v>
      </c>
      <c r="BH87" s="38">
        <f>IF((ዕቁብ!BI89/ቦኖ!$C$4&gt;0),1,0)</f>
        <v>1</v>
      </c>
      <c r="BI87" s="38">
        <f>IF((ዕቁብ!BJ89/ቦኖ!$C$4&gt;0),1,0)</f>
        <v>1</v>
      </c>
      <c r="BJ87" s="38">
        <f>IF((ዕቁብ!BK89/ቦኖ!$C$4&gt;0),1,0)</f>
        <v>1</v>
      </c>
      <c r="BK87" s="38">
        <f>IF((ዕቁብ!BL89/ቦኖ!$C$4&gt;0),1,0)</f>
        <v>0</v>
      </c>
      <c r="BL87" s="38">
        <f>IF((ዕቁብ!BM89/ቦኖ!$C$4&gt;0),1,0)</f>
        <v>1</v>
      </c>
      <c r="BM87" s="38">
        <f>IF((ዕቁብ!BN89/ቦኖ!$C$4&gt;0),1,0)</f>
        <v>1</v>
      </c>
      <c r="BN87" s="38">
        <f>IF((ዕቁብ!BO89/ቦኖ!$C$4&gt;0),1,0)</f>
        <v>1</v>
      </c>
      <c r="BO87" s="38">
        <f>IF((ዕቁብ!BP89/ቦኖ!$C$4&gt;0),1,0)</f>
        <v>0</v>
      </c>
      <c r="BP87" s="38">
        <f>IF((ዕቁብ!BQ89/ቦኖ!$C$4&gt;0),1,0)</f>
        <v>1</v>
      </c>
      <c r="BQ87" s="38">
        <f>IF((ዕቁብ!BR89/ቦኖ!$C$4&gt;0),1,0)</f>
        <v>0</v>
      </c>
      <c r="BR87" s="38">
        <f>IF((ዕቁብ!BS89/ቦኖ!$C$4&gt;0),1,0)</f>
        <v>1</v>
      </c>
      <c r="BS87" s="38">
        <f>IF((ዕቁብ!BT89/ቦኖ!$C$4&gt;0),1,0)</f>
        <v>1</v>
      </c>
      <c r="BT87" s="38">
        <f>IF((ዕቁብ!BU89/ቦኖ!$C$4&gt;0),1,0)</f>
        <v>1</v>
      </c>
      <c r="BU87" s="38">
        <f>IF((ዕቁብ!BV89/ቦኖ!$C$4&gt;0),1,0)</f>
        <v>1</v>
      </c>
      <c r="BV87" s="38">
        <f>IF((ዕቁብ!BW89/ቦኖ!$C$4&gt;0),1,0)</f>
        <v>1</v>
      </c>
      <c r="BW87" s="38">
        <f>IF((ዕቁብ!BX89/ቦኖ!$C$4&gt;0),1,0)</f>
        <v>0</v>
      </c>
      <c r="BX87" s="38">
        <f>IF((ዕቁብ!BY89/ቦኖ!$C$4&gt;0),1,0)</f>
        <v>1</v>
      </c>
      <c r="BY87" s="38">
        <f>IF((ዕቁብ!BZ89/ቦኖ!$C$4&gt;0),1,0)</f>
        <v>0</v>
      </c>
      <c r="BZ87" s="38">
        <f>IF((ዕቁብ!CA89/ቦኖ!$C$4&gt;0),1,0)</f>
        <v>1</v>
      </c>
      <c r="CA87" s="38">
        <f>IF((ዕቁብ!CB89/ቦኖ!$C$4&gt;0),1,0)</f>
        <v>1</v>
      </c>
      <c r="CB87" s="38">
        <f>IF((ዕቁብ!CC89/ቦኖ!$C$4&gt;0),1,0)</f>
        <v>1</v>
      </c>
      <c r="CC87" s="38">
        <f>IF((ዕቁብ!CD89/ቦኖ!$C$4&gt;0),1,0)</f>
        <v>1</v>
      </c>
      <c r="CD87" s="38">
        <f>IF((ዕቁብ!CE89/ቦኖ!$C$4&gt;0),1,0)</f>
        <v>0</v>
      </c>
      <c r="CE87" s="38">
        <f>IF((ዕቁብ!CF89/ቦኖ!$C$4&gt;0),1,0)</f>
        <v>1</v>
      </c>
      <c r="CF87" s="38">
        <f>IF((ዕቁብ!CG89/ቦኖ!$C$4&gt;0),1,0)</f>
        <v>0</v>
      </c>
      <c r="CG87" s="38">
        <f>IF((ዕቁብ!CH89/ቦኖ!$C$4&gt;0),1,0)</f>
        <v>1</v>
      </c>
      <c r="CH87" s="38">
        <f>IF((ዕቁብ!CI89/ቦኖ!$C$4&gt;0),1,0)</f>
        <v>0</v>
      </c>
      <c r="CI87" s="38">
        <f>IF((ዕቁብ!CJ89/ቦኖ!$C$4&gt;0),1,0)</f>
        <v>0</v>
      </c>
      <c r="CJ87" s="38">
        <f>IF((ዕቁብ!CK89/ቦኖ!$C$4&gt;0),1,0)</f>
        <v>1</v>
      </c>
      <c r="CK87" s="38">
        <f>IF((ዕቁብ!CL89/ቦኖ!$C$4&gt;0),1,0)</f>
        <v>0</v>
      </c>
      <c r="CL87" s="38">
        <f>IF((ዕቁብ!CM89/ቦኖ!$C$4&gt;0),1,0)</f>
        <v>0</v>
      </c>
      <c r="CM87" s="38">
        <f>IF((ዕቁብ!CN89/ቦኖ!$C$4&gt;0),1,0)</f>
        <v>1</v>
      </c>
      <c r="CN87" s="38">
        <f>IF((ዕቁብ!CO89/ቦኖ!$C$4&gt;0),1,0)</f>
        <v>0</v>
      </c>
      <c r="CO87" s="38">
        <f>IF((ዕቁብ!CP89/ቦኖ!$C$4&gt;0),1,0)</f>
        <v>0</v>
      </c>
      <c r="CP87" s="38">
        <f>IF((ዕቁብ!CQ89/ቦኖ!$C$4&gt;0),1,0)</f>
        <v>1</v>
      </c>
      <c r="CQ87" s="38">
        <f>IF((ዕቁብ!CR89/ቦኖ!$C$4&gt;0),1,0)</f>
        <v>0</v>
      </c>
      <c r="CR87" s="38">
        <f>IF((ዕቁብ!CS89/ቦኖ!$C$4&gt;0),1,0)</f>
        <v>1</v>
      </c>
      <c r="CS87" s="38">
        <f>IF((ዕቁብ!CT89/ቦኖ!$C$4&gt;0),1,0)</f>
        <v>0</v>
      </c>
      <c r="CT87" s="38">
        <f>IF((ዕቁብ!CU89/ቦኖ!$C$4&gt;0),1,0)</f>
        <v>0</v>
      </c>
      <c r="CU87" s="38">
        <f>IF((ዕቁብ!CV89/ቦኖ!$C$4&gt;0),1,0)</f>
        <v>0</v>
      </c>
      <c r="CV87" s="38">
        <f>IF((ዕቁብ!CW89/ቦኖ!$C$4&gt;0),1,0)</f>
        <v>1</v>
      </c>
      <c r="CW87" s="38">
        <f>IF((ዕቁብ!CX89/ቦኖ!$C$4&gt;0),1,0)</f>
        <v>0</v>
      </c>
      <c r="CX87" s="38">
        <f>IF((ዕቁብ!CY89/ቦኖ!$C$4&gt;0),1,0)</f>
        <v>0</v>
      </c>
      <c r="CY87" s="38">
        <f>IF((ዕቁብ!CZ89/ቦኖ!$C$4&gt;0),1,0)</f>
        <v>0</v>
      </c>
      <c r="CZ87" s="38">
        <f>IF((ዕቁብ!DA89/ቦኖ!$C$4&gt;0),1,0)</f>
        <v>1</v>
      </c>
      <c r="DA87" s="38">
        <f>IF((ዕቁብ!DB89/ቦኖ!$C$4&gt;0),1,0)</f>
        <v>0</v>
      </c>
      <c r="DB87" s="38">
        <f>IF((ዕቁብ!DC89/ቦኖ!$C$4&gt;0),1,0)</f>
        <v>0</v>
      </c>
      <c r="DC87" s="38">
        <f>IF((ዕቁብ!DD89/ቦኖ!$C$4&gt;0),1,0)</f>
        <v>0</v>
      </c>
      <c r="DD87" s="38">
        <f>IF((ዕቁብ!DE89/ቦኖ!$C$4&gt;0),1,0)</f>
        <v>1</v>
      </c>
      <c r="DE87" s="38">
        <f>IF((ዕቁብ!DF89/ቦኖ!$C$4&gt;0),1,0)</f>
        <v>0</v>
      </c>
      <c r="DF87" s="38">
        <f>IF((ዕቁብ!DG89/ቦኖ!$C$4&gt;0),1,0)</f>
        <v>1</v>
      </c>
      <c r="DG87" s="38">
        <f>IF((ዕቁብ!DH89/ቦኖ!$C$4&gt;0),1,0)</f>
        <v>0</v>
      </c>
      <c r="DH87" s="38">
        <f>IF((ዕቁብ!DI89/ቦኖ!$C$4&gt;0),1,0)</f>
        <v>0</v>
      </c>
      <c r="DI87" s="38">
        <f>IF((ዕቁብ!DJ89/ቦኖ!$C$4&gt;0),1,0)</f>
        <v>0</v>
      </c>
      <c r="DJ87" s="38">
        <f>IF((ዕቁብ!DK89/ቦኖ!$C$4&gt;0),1,0)</f>
        <v>0</v>
      </c>
      <c r="DK87" s="38">
        <f>IF((ዕቁብ!DL89/ቦኖ!$C$4&gt;0),1,0)</f>
        <v>0</v>
      </c>
      <c r="DL87" s="38">
        <f>IF((ዕቁብ!DM89/ቦኖ!$C$4&gt;0),1,0)</f>
        <v>0</v>
      </c>
      <c r="DM87" s="38">
        <f>IF((ዕቁብ!DN89/ቦኖ!$C$4&gt;0),1,0)</f>
        <v>0</v>
      </c>
      <c r="DN87" s="38">
        <f>IF((ዕቁብ!DO89/ቦኖ!$C$4&gt;0),1,0)</f>
        <v>0</v>
      </c>
      <c r="DO87" s="38">
        <f>IF((ዕቁብ!DP89/ቦኖ!$C$4&gt;0),1,0)</f>
        <v>0</v>
      </c>
      <c r="DP87" s="38">
        <f>IF((ዕቁብ!DQ89/ቦኖ!$C$4&gt;0),1,0)</f>
        <v>0</v>
      </c>
      <c r="DQ87" s="38">
        <f>IF((ዕቁብ!DR89/ቦኖ!$C$4&gt;0),1,0)</f>
        <v>0</v>
      </c>
    </row>
    <row r="88" spans="1:121" ht="15.75" customHeight="1" x14ac:dyDescent="0.3">
      <c r="A88" s="33">
        <f>ዕቁብ!A90</f>
        <v>84</v>
      </c>
      <c r="B88" s="33" t="str">
        <f>ዕቁብ!B90</f>
        <v>ከፈለኝ ፃዲቁ</v>
      </c>
      <c r="C88" s="37">
        <f>ዕቁብ!C90</f>
        <v>21000</v>
      </c>
      <c r="D88" s="38">
        <f>IF((ዕቁብ!E90/ቦኖ!$C$4&gt;0),1,0)</f>
        <v>0</v>
      </c>
      <c r="E88" s="38">
        <f>IF((ዕቁብ!F90/ቦኖ!$C$4&gt;0),1,0)</f>
        <v>0</v>
      </c>
      <c r="F88" s="38">
        <f>IF((ዕቁብ!G90/ቦኖ!$C$4&gt;0),1,0)</f>
        <v>0</v>
      </c>
      <c r="G88" s="38">
        <f>IF((ዕቁብ!H90/ቦኖ!$C$4&gt;0),1,0)</f>
        <v>0</v>
      </c>
      <c r="H88" s="38">
        <f>IF((ዕቁብ!I90/ቦኖ!$C$4&gt;0),1,0)</f>
        <v>0</v>
      </c>
      <c r="I88" s="38">
        <f>IF((ዕቁብ!J90/ቦኖ!$C$4&gt;0),1,0)</f>
        <v>0</v>
      </c>
      <c r="J88" s="38">
        <f>IF((ዕቁብ!K90/ቦኖ!$C$4&gt;0),1,0)</f>
        <v>0</v>
      </c>
      <c r="K88" s="38">
        <f>IF((ዕቁብ!L90/ቦኖ!$C$4&gt;0),1,0)</f>
        <v>0</v>
      </c>
      <c r="L88" s="38">
        <f>IF((ዕቁብ!M90/ቦኖ!$C$4&gt;0),1,0)</f>
        <v>0</v>
      </c>
      <c r="M88" s="38">
        <f>IF((ዕቁብ!N90/ቦኖ!$C$4&gt;0),1,0)</f>
        <v>0</v>
      </c>
      <c r="N88" s="38">
        <f>IF((ዕቁብ!O90/ቦኖ!$C$4&gt;0),1,0)</f>
        <v>0</v>
      </c>
      <c r="O88" s="38">
        <f>IF((ዕቁብ!P90/ቦኖ!$C$4&gt;0),1,0)</f>
        <v>0</v>
      </c>
      <c r="P88" s="38">
        <f>IF((ዕቁብ!Q90/ቦኖ!$C$4&gt;0),1,0)</f>
        <v>0</v>
      </c>
      <c r="Q88" s="38">
        <f>IF((ዕቁብ!R90/ቦኖ!$C$4&gt;0),1,0)</f>
        <v>0</v>
      </c>
      <c r="R88" s="38">
        <f>IF((ዕቁብ!S90/ቦኖ!$C$4&gt;0),1,0)</f>
        <v>0</v>
      </c>
      <c r="S88" s="38">
        <f>IF((ዕቁብ!T90/ቦኖ!$C$4&gt;0),1,0)</f>
        <v>0</v>
      </c>
      <c r="T88" s="38">
        <f>IF((ዕቁብ!U90/ቦኖ!$C$4&gt;0),1,0)</f>
        <v>0</v>
      </c>
      <c r="U88" s="38">
        <f>IF((ዕቁብ!V90/ቦኖ!$C$4&gt;0),1,0)</f>
        <v>0</v>
      </c>
      <c r="V88" s="38">
        <f>IF((ዕቁብ!W90/ቦኖ!$C$4&gt;0),1,0)</f>
        <v>0</v>
      </c>
      <c r="W88" s="38">
        <f>IF((ዕቁብ!X90/ቦኖ!$C$4&gt;0),1,0)</f>
        <v>0</v>
      </c>
      <c r="X88" s="38">
        <f>IF((ዕቁብ!Y90/ቦኖ!$C$4&gt;0),1,0)</f>
        <v>0</v>
      </c>
      <c r="Y88" s="38">
        <f>IF((ዕቁብ!Z90/ቦኖ!$C$4&gt;0),1,0)</f>
        <v>0</v>
      </c>
      <c r="Z88" s="38">
        <f>IF((ዕቁብ!AA90/ቦኖ!$C$4&gt;0),1,0)</f>
        <v>0</v>
      </c>
      <c r="AA88" s="38">
        <f>IF((ዕቁብ!AB90/ቦኖ!$C$4&gt;0),1,0)</f>
        <v>0</v>
      </c>
      <c r="AB88" s="38">
        <f>IF((ዕቁብ!AC90/ቦኖ!$C$4&gt;0),1,0)</f>
        <v>0</v>
      </c>
      <c r="AC88" s="38">
        <f>IF((ዕቁብ!AD90/ቦኖ!$C$4&gt;0),1,0)</f>
        <v>0</v>
      </c>
      <c r="AD88" s="38">
        <f>IF((ዕቁብ!AE90/ቦኖ!$C$4&gt;0),1,0)</f>
        <v>0</v>
      </c>
      <c r="AE88" s="38">
        <f>IF((ዕቁብ!AF90/ቦኖ!$C$4&gt;0),1,0)</f>
        <v>0</v>
      </c>
      <c r="AF88" s="38">
        <f>IF((ዕቁብ!AG90/ቦኖ!$C$4&gt;0),1,0)</f>
        <v>0</v>
      </c>
      <c r="AG88" s="38">
        <f>IF((ዕቁብ!AH90/ቦኖ!$C$4&gt;0),1,0)</f>
        <v>0</v>
      </c>
      <c r="AH88" s="38">
        <f>IF((ዕቁብ!AI90/ቦኖ!$C$4&gt;0),1,0)</f>
        <v>0</v>
      </c>
      <c r="AI88" s="38">
        <f>IF((ዕቁብ!AJ90/ቦኖ!$C$4&gt;0),1,0)</f>
        <v>0</v>
      </c>
      <c r="AJ88" s="38">
        <f>IF((ዕቁብ!AK90/ቦኖ!$C$4&gt;0),1,0)</f>
        <v>0</v>
      </c>
      <c r="AK88" s="38">
        <f>IF((ዕቁብ!AL90/ቦኖ!$C$4&gt;0),1,0)</f>
        <v>0</v>
      </c>
      <c r="AL88" s="38">
        <f>IF((ዕቁብ!AM90/ቦኖ!$C$4&gt;0),1,0)</f>
        <v>0</v>
      </c>
      <c r="AM88" s="38">
        <f>IF((ዕቁብ!AN90/ቦኖ!$C$4&gt;0),1,0)</f>
        <v>0</v>
      </c>
      <c r="AN88" s="38">
        <f>IF((ዕቁብ!AO90/ቦኖ!$C$4&gt;0),1,0)</f>
        <v>0</v>
      </c>
      <c r="AO88" s="38">
        <f>IF((ዕቁብ!AP90/ቦኖ!$C$4&gt;0),1,0)</f>
        <v>0</v>
      </c>
      <c r="AP88" s="38">
        <f>IF((ዕቁብ!AQ90/ቦኖ!$C$4&gt;0),1,0)</f>
        <v>0</v>
      </c>
      <c r="AQ88" s="38">
        <f>IF((ዕቁብ!AR90/ቦኖ!$C$4&gt;0),1,0)</f>
        <v>0</v>
      </c>
      <c r="AR88" s="38">
        <f>IF((ዕቁብ!AS90/ቦኖ!$C$4&gt;0),1,0)</f>
        <v>0</v>
      </c>
      <c r="AS88" s="38">
        <f>IF((ዕቁብ!AT90/ቦኖ!$C$4&gt;0),1,0)</f>
        <v>0</v>
      </c>
      <c r="AT88" s="38">
        <f>IF((ዕቁብ!AU90/ቦኖ!$C$4&gt;0),1,0)</f>
        <v>0</v>
      </c>
      <c r="AU88" s="38">
        <f>IF((ዕቁብ!AV90/ቦኖ!$C$4&gt;0),1,0)</f>
        <v>0</v>
      </c>
      <c r="AV88" s="38">
        <f>IF((ዕቁብ!AW90/ቦኖ!$C$4&gt;0),1,0)</f>
        <v>0</v>
      </c>
      <c r="AW88" s="38">
        <f>IF((ዕቁብ!AX90/ቦኖ!$C$4&gt;0),1,0)</f>
        <v>0</v>
      </c>
      <c r="AX88" s="38">
        <f>IF((ዕቁብ!AY90/ቦኖ!$C$4&gt;0),1,0)</f>
        <v>0</v>
      </c>
      <c r="AY88" s="38">
        <f>IF((ዕቁብ!AZ90/ቦኖ!$C$4&gt;0),1,0)</f>
        <v>0</v>
      </c>
      <c r="AZ88" s="38">
        <f>IF((ዕቁብ!BA90/ቦኖ!$C$4&gt;0),1,0)</f>
        <v>0</v>
      </c>
      <c r="BA88" s="38">
        <f>IF((ዕቁብ!BB90/ቦኖ!$C$4&gt;0),1,0)</f>
        <v>0</v>
      </c>
      <c r="BB88" s="38">
        <f>IF((ዕቁብ!BC90/ቦኖ!$C$4&gt;0),1,0)</f>
        <v>0</v>
      </c>
      <c r="BC88" s="38">
        <f>IF((ዕቁብ!BD90/ቦኖ!$C$4&gt;0),1,0)</f>
        <v>0</v>
      </c>
      <c r="BD88" s="38">
        <f>IF((ዕቁብ!BE90/ቦኖ!$C$4&gt;0),1,0)</f>
        <v>0</v>
      </c>
      <c r="BE88" s="38">
        <f>IF((ዕቁብ!BF90/ቦኖ!$C$4&gt;0),1,0)</f>
        <v>0</v>
      </c>
      <c r="BF88" s="38">
        <f>IF((ዕቁብ!BG90/ቦኖ!$C$4&gt;0),1,0)</f>
        <v>0</v>
      </c>
      <c r="BG88" s="38">
        <f>IF((ዕቁብ!BH90/ቦኖ!$C$4&gt;0),1,0)</f>
        <v>0</v>
      </c>
      <c r="BH88" s="38">
        <f>IF((ዕቁብ!BI90/ቦኖ!$C$4&gt;0),1,0)</f>
        <v>0</v>
      </c>
      <c r="BI88" s="38">
        <f>IF((ዕቁብ!BJ90/ቦኖ!$C$4&gt;0),1,0)</f>
        <v>0</v>
      </c>
      <c r="BJ88" s="38">
        <f>IF((ዕቁብ!BK90/ቦኖ!$C$4&gt;0),1,0)</f>
        <v>0</v>
      </c>
      <c r="BK88" s="38">
        <f>IF((ዕቁብ!BL90/ቦኖ!$C$4&gt;0),1,0)</f>
        <v>0</v>
      </c>
      <c r="BL88" s="38">
        <f>IF((ዕቁብ!BM90/ቦኖ!$C$4&gt;0),1,0)</f>
        <v>0</v>
      </c>
      <c r="BM88" s="38">
        <f>IF((ዕቁብ!BN90/ቦኖ!$C$4&gt;0),1,0)</f>
        <v>0</v>
      </c>
      <c r="BN88" s="38">
        <f>IF((ዕቁብ!BO90/ቦኖ!$C$4&gt;0),1,0)</f>
        <v>0</v>
      </c>
      <c r="BO88" s="38">
        <f>IF((ዕቁብ!BP90/ቦኖ!$C$4&gt;0),1,0)</f>
        <v>0</v>
      </c>
      <c r="BP88" s="38">
        <f>IF((ዕቁብ!BQ90/ቦኖ!$C$4&gt;0),1,0)</f>
        <v>0</v>
      </c>
      <c r="BQ88" s="38">
        <f>IF((ዕቁብ!BR90/ቦኖ!$C$4&gt;0),1,0)</f>
        <v>0</v>
      </c>
      <c r="BR88" s="38">
        <f>IF((ዕቁብ!BS90/ቦኖ!$C$4&gt;0),1,0)</f>
        <v>0</v>
      </c>
      <c r="BS88" s="38">
        <f>IF((ዕቁብ!BT90/ቦኖ!$C$4&gt;0),1,0)</f>
        <v>0</v>
      </c>
      <c r="BT88" s="38">
        <f>IF((ዕቁብ!BU90/ቦኖ!$C$4&gt;0),1,0)</f>
        <v>0</v>
      </c>
      <c r="BU88" s="38">
        <f>IF((ዕቁብ!BV90/ቦኖ!$C$4&gt;0),1,0)</f>
        <v>0</v>
      </c>
      <c r="BV88" s="38">
        <f>IF((ዕቁብ!BW90/ቦኖ!$C$4&gt;0),1,0)</f>
        <v>0</v>
      </c>
      <c r="BW88" s="38">
        <f>IF((ዕቁብ!BX90/ቦኖ!$C$4&gt;0),1,0)</f>
        <v>0</v>
      </c>
      <c r="BX88" s="38">
        <f>IF((ዕቁብ!BY90/ቦኖ!$C$4&gt;0),1,0)</f>
        <v>0</v>
      </c>
      <c r="BY88" s="38">
        <f>IF((ዕቁብ!BZ90/ቦኖ!$C$4&gt;0),1,0)</f>
        <v>0</v>
      </c>
      <c r="BZ88" s="38">
        <f>IF((ዕቁብ!CA90/ቦኖ!$C$4&gt;0),1,0)</f>
        <v>0</v>
      </c>
      <c r="CA88" s="38">
        <f>IF((ዕቁብ!CB90/ቦኖ!$C$4&gt;0),1,0)</f>
        <v>0</v>
      </c>
      <c r="CB88" s="38">
        <f>IF((ዕቁብ!CC90/ቦኖ!$C$4&gt;0),1,0)</f>
        <v>0</v>
      </c>
      <c r="CC88" s="38">
        <f>IF((ዕቁብ!CD90/ቦኖ!$C$4&gt;0),1,0)</f>
        <v>0</v>
      </c>
      <c r="CD88" s="38">
        <f>IF((ዕቁብ!CE90/ቦኖ!$C$4&gt;0),1,0)</f>
        <v>0</v>
      </c>
      <c r="CE88" s="38">
        <f>IF((ዕቁብ!CF90/ቦኖ!$C$4&gt;0),1,0)</f>
        <v>0</v>
      </c>
      <c r="CF88" s="38">
        <f>IF((ዕቁብ!CG90/ቦኖ!$C$4&gt;0),1,0)</f>
        <v>0</v>
      </c>
      <c r="CG88" s="38">
        <f>IF((ዕቁብ!CH90/ቦኖ!$C$4&gt;0),1,0)</f>
        <v>0</v>
      </c>
      <c r="CH88" s="38">
        <f>IF((ዕቁብ!CI90/ቦኖ!$C$4&gt;0),1,0)</f>
        <v>0</v>
      </c>
      <c r="CI88" s="38">
        <f>IF((ዕቁብ!CJ90/ቦኖ!$C$4&gt;0),1,0)</f>
        <v>0</v>
      </c>
      <c r="CJ88" s="38">
        <f>IF((ዕቁብ!CK90/ቦኖ!$C$4&gt;0),1,0)</f>
        <v>0</v>
      </c>
      <c r="CK88" s="38">
        <f>IF((ዕቁብ!CL90/ቦኖ!$C$4&gt;0),1,0)</f>
        <v>0</v>
      </c>
      <c r="CL88" s="38">
        <f>IF((ዕቁብ!CM90/ቦኖ!$C$4&gt;0),1,0)</f>
        <v>0</v>
      </c>
      <c r="CM88" s="38">
        <f>IF((ዕቁብ!CN90/ቦኖ!$C$4&gt;0),1,0)</f>
        <v>0</v>
      </c>
      <c r="CN88" s="38">
        <f>IF((ዕቁብ!CO90/ቦኖ!$C$4&gt;0),1,0)</f>
        <v>0</v>
      </c>
      <c r="CO88" s="38">
        <f>IF((ዕቁብ!CP90/ቦኖ!$C$4&gt;0),1,0)</f>
        <v>0</v>
      </c>
      <c r="CP88" s="38">
        <f>IF((ዕቁብ!CQ90/ቦኖ!$C$4&gt;0),1,0)</f>
        <v>0</v>
      </c>
      <c r="CQ88" s="38">
        <f>IF((ዕቁብ!CR90/ቦኖ!$C$4&gt;0),1,0)</f>
        <v>0</v>
      </c>
      <c r="CR88" s="38">
        <f>IF((ዕቁብ!CS90/ቦኖ!$C$4&gt;0),1,0)</f>
        <v>0</v>
      </c>
      <c r="CS88" s="38">
        <f>IF((ዕቁብ!CT90/ቦኖ!$C$4&gt;0),1,0)</f>
        <v>0</v>
      </c>
      <c r="CT88" s="38">
        <f>IF((ዕቁብ!CU90/ቦኖ!$C$4&gt;0),1,0)</f>
        <v>0</v>
      </c>
      <c r="CU88" s="38">
        <f>IF((ዕቁብ!CV90/ቦኖ!$C$4&gt;0),1,0)</f>
        <v>0</v>
      </c>
      <c r="CV88" s="38">
        <f>IF((ዕቁብ!CW90/ቦኖ!$C$4&gt;0),1,0)</f>
        <v>0</v>
      </c>
      <c r="CW88" s="38">
        <f>IF((ዕቁብ!CX90/ቦኖ!$C$4&gt;0),1,0)</f>
        <v>0</v>
      </c>
      <c r="CX88" s="38">
        <f>IF((ዕቁብ!CY90/ቦኖ!$C$4&gt;0),1,0)</f>
        <v>0</v>
      </c>
      <c r="CY88" s="38">
        <f>IF((ዕቁብ!CZ90/ቦኖ!$C$4&gt;0),1,0)</f>
        <v>0</v>
      </c>
      <c r="CZ88" s="38">
        <f>IF((ዕቁብ!DA90/ቦኖ!$C$4&gt;0),1,0)</f>
        <v>0</v>
      </c>
      <c r="DA88" s="38">
        <f>IF((ዕቁብ!DB90/ቦኖ!$C$4&gt;0),1,0)</f>
        <v>0</v>
      </c>
      <c r="DB88" s="38">
        <f>IF((ዕቁብ!DC90/ቦኖ!$C$4&gt;0),1,0)</f>
        <v>0</v>
      </c>
      <c r="DC88" s="38">
        <f>IF((ዕቁብ!DD90/ቦኖ!$C$4&gt;0),1,0)</f>
        <v>0</v>
      </c>
      <c r="DD88" s="38">
        <f>IF((ዕቁብ!DE90/ቦኖ!$C$4&gt;0),1,0)</f>
        <v>0</v>
      </c>
      <c r="DE88" s="38">
        <f>IF((ዕቁብ!DF90/ቦኖ!$C$4&gt;0),1,0)</f>
        <v>0</v>
      </c>
      <c r="DF88" s="38">
        <f>IF((ዕቁብ!DG90/ቦኖ!$C$4&gt;0),1,0)</f>
        <v>0</v>
      </c>
      <c r="DG88" s="38">
        <f>IF((ዕቁብ!DH90/ቦኖ!$C$4&gt;0),1,0)</f>
        <v>0</v>
      </c>
      <c r="DH88" s="38">
        <f>IF((ዕቁብ!DI90/ቦኖ!$C$4&gt;0),1,0)</f>
        <v>0</v>
      </c>
      <c r="DI88" s="38">
        <f>IF((ዕቁብ!DJ90/ቦኖ!$C$4&gt;0),1,0)</f>
        <v>0</v>
      </c>
      <c r="DJ88" s="38">
        <f>IF((ዕቁብ!DK90/ቦኖ!$C$4&gt;0),1,0)</f>
        <v>0</v>
      </c>
      <c r="DK88" s="38">
        <f>IF((ዕቁብ!DL90/ቦኖ!$C$4&gt;0),1,0)</f>
        <v>0</v>
      </c>
      <c r="DL88" s="38">
        <f>IF((ዕቁብ!DM90/ቦኖ!$C$4&gt;0),1,0)</f>
        <v>0</v>
      </c>
      <c r="DM88" s="38">
        <f>IF((ዕቁብ!DN90/ቦኖ!$C$4&gt;0),1,0)</f>
        <v>0</v>
      </c>
      <c r="DN88" s="38">
        <f>IF((ዕቁብ!DO90/ቦኖ!$C$4&gt;0),1,0)</f>
        <v>0</v>
      </c>
      <c r="DO88" s="38">
        <f>IF((ዕቁብ!DP90/ቦኖ!$C$4&gt;0),1,0)</f>
        <v>0</v>
      </c>
      <c r="DP88" s="38">
        <f>IF((ዕቁብ!DQ90/ቦኖ!$C$4&gt;0),1,0)</f>
        <v>0</v>
      </c>
      <c r="DQ88" s="38">
        <f>IF((ዕቁብ!DR90/ቦኖ!$C$4&gt;0),1,0)</f>
        <v>0</v>
      </c>
    </row>
    <row r="89" spans="1:121" ht="15.75" customHeight="1" x14ac:dyDescent="0.3">
      <c r="A89" s="33">
        <f>ዕቁብ!A91</f>
        <v>85</v>
      </c>
      <c r="B89" s="33" t="str">
        <f>ዕቁብ!B91</f>
        <v>ጋቶ ጋሌ</v>
      </c>
      <c r="C89" s="37">
        <f>ዕቁብ!C91</f>
        <v>21000</v>
      </c>
      <c r="D89" s="38">
        <f>IF((ዕቁብ!E91/ቦኖ!$C$4&gt;0),1,0)</f>
        <v>1</v>
      </c>
      <c r="E89" s="38">
        <f>IF((ዕቁብ!F91/ቦኖ!$C$4&gt;0),1,0)</f>
        <v>1</v>
      </c>
      <c r="F89" s="38">
        <f>IF((ዕቁብ!G91/ቦኖ!$C$4&gt;0),1,0)</f>
        <v>1</v>
      </c>
      <c r="G89" s="38">
        <f>IF((ዕቁብ!H91/ቦኖ!$C$4&gt;0),1,0)</f>
        <v>1</v>
      </c>
      <c r="H89" s="38">
        <f>IF((ዕቁብ!I91/ቦኖ!$C$4&gt;0),1,0)</f>
        <v>1</v>
      </c>
      <c r="I89" s="38">
        <f>IF((ዕቁብ!J91/ቦኖ!$C$4&gt;0),1,0)</f>
        <v>1</v>
      </c>
      <c r="J89" s="38">
        <f>IF((ዕቁብ!K91/ቦኖ!$C$4&gt;0),1,0)</f>
        <v>1</v>
      </c>
      <c r="K89" s="38">
        <f>IF((ዕቁብ!L91/ቦኖ!$C$4&gt;0),1,0)</f>
        <v>1</v>
      </c>
      <c r="L89" s="38">
        <f>IF((ዕቁብ!M91/ቦኖ!$C$4&gt;0),1,0)</f>
        <v>1</v>
      </c>
      <c r="M89" s="38">
        <f>IF((ዕቁብ!N91/ቦኖ!$C$4&gt;0),1,0)</f>
        <v>1</v>
      </c>
      <c r="N89" s="38">
        <f>IF((ዕቁብ!O91/ቦኖ!$C$4&gt;0),1,0)</f>
        <v>1</v>
      </c>
      <c r="O89" s="38">
        <f>IF((ዕቁብ!P91/ቦኖ!$C$4&gt;0),1,0)</f>
        <v>1</v>
      </c>
      <c r="P89" s="38">
        <f>IF((ዕቁብ!Q91/ቦኖ!$C$4&gt;0),1,0)</f>
        <v>1</v>
      </c>
      <c r="Q89" s="38">
        <f>IF((ዕቁብ!R91/ቦኖ!$C$4&gt;0),1,0)</f>
        <v>1</v>
      </c>
      <c r="R89" s="38">
        <f>IF((ዕቁብ!S91/ቦኖ!$C$4&gt;0),1,0)</f>
        <v>1</v>
      </c>
      <c r="S89" s="38">
        <f>IF((ዕቁብ!T91/ቦኖ!$C$4&gt;0),1,0)</f>
        <v>1</v>
      </c>
      <c r="T89" s="38">
        <f>IF((ዕቁብ!U91/ቦኖ!$C$4&gt;0),1,0)</f>
        <v>1</v>
      </c>
      <c r="U89" s="38">
        <f>IF((ዕቁብ!V91/ቦኖ!$C$4&gt;0),1,0)</f>
        <v>1</v>
      </c>
      <c r="V89" s="38">
        <f>IF((ዕቁብ!W91/ቦኖ!$C$4&gt;0),1,0)</f>
        <v>1</v>
      </c>
      <c r="W89" s="38">
        <f>IF((ዕቁብ!X91/ቦኖ!$C$4&gt;0),1,0)</f>
        <v>1</v>
      </c>
      <c r="X89" s="38">
        <f>IF((ዕቁብ!Y91/ቦኖ!$C$4&gt;0),1,0)</f>
        <v>1</v>
      </c>
      <c r="Y89" s="38">
        <f>IF((ዕቁብ!Z91/ቦኖ!$C$4&gt;0),1,0)</f>
        <v>1</v>
      </c>
      <c r="Z89" s="38">
        <f>IF((ዕቁብ!AA91/ቦኖ!$C$4&gt;0),1,0)</f>
        <v>1</v>
      </c>
      <c r="AA89" s="38">
        <f>IF((ዕቁብ!AB91/ቦኖ!$C$4&gt;0),1,0)</f>
        <v>1</v>
      </c>
      <c r="AB89" s="38">
        <f>IF((ዕቁብ!AC91/ቦኖ!$C$4&gt;0),1,0)</f>
        <v>1</v>
      </c>
      <c r="AC89" s="38">
        <f>IF((ዕቁብ!AD91/ቦኖ!$C$4&gt;0),1,0)</f>
        <v>1</v>
      </c>
      <c r="AD89" s="38">
        <f>IF((ዕቁብ!AE91/ቦኖ!$C$4&gt;0),1,0)</f>
        <v>1</v>
      </c>
      <c r="AE89" s="38">
        <f>IF((ዕቁብ!AF91/ቦኖ!$C$4&gt;0),1,0)</f>
        <v>1</v>
      </c>
      <c r="AF89" s="38">
        <f>IF((ዕቁብ!AG91/ቦኖ!$C$4&gt;0),1,0)</f>
        <v>1</v>
      </c>
      <c r="AG89" s="38">
        <f>IF((ዕቁብ!AH91/ቦኖ!$C$4&gt;0),1,0)</f>
        <v>1</v>
      </c>
      <c r="AH89" s="38">
        <f>IF((ዕቁብ!AI91/ቦኖ!$C$4&gt;0),1,0)</f>
        <v>1</v>
      </c>
      <c r="AI89" s="38">
        <f>IF((ዕቁብ!AJ91/ቦኖ!$C$4&gt;0),1,0)</f>
        <v>1</v>
      </c>
      <c r="AJ89" s="38">
        <f>IF((ዕቁብ!AK91/ቦኖ!$C$4&gt;0),1,0)</f>
        <v>1</v>
      </c>
      <c r="AK89" s="38">
        <f>IF((ዕቁብ!AL91/ቦኖ!$C$4&gt;0),1,0)</f>
        <v>1</v>
      </c>
      <c r="AL89" s="38">
        <f>IF((ዕቁብ!AM91/ቦኖ!$C$4&gt;0),1,0)</f>
        <v>1</v>
      </c>
      <c r="AM89" s="38">
        <f>IF((ዕቁብ!AN91/ቦኖ!$C$4&gt;0),1,0)</f>
        <v>1</v>
      </c>
      <c r="AN89" s="38">
        <f>IF((ዕቁብ!AO91/ቦኖ!$C$4&gt;0),1,0)</f>
        <v>1</v>
      </c>
      <c r="AO89" s="38">
        <f>IF((ዕቁብ!AP91/ቦኖ!$C$4&gt;0),1,0)</f>
        <v>1</v>
      </c>
      <c r="AP89" s="38">
        <f>IF((ዕቁብ!AQ91/ቦኖ!$C$4&gt;0),1,0)</f>
        <v>1</v>
      </c>
      <c r="AQ89" s="38">
        <f>IF((ዕቁብ!AR91/ቦኖ!$C$4&gt;0),1,0)</f>
        <v>1</v>
      </c>
      <c r="AR89" s="38">
        <f>IF((ዕቁብ!AS91/ቦኖ!$C$4&gt;0),1,0)</f>
        <v>1</v>
      </c>
      <c r="AS89" s="38">
        <f>IF((ዕቁብ!AT91/ቦኖ!$C$4&gt;0),1,0)</f>
        <v>1</v>
      </c>
      <c r="AT89" s="38">
        <f>IF((ዕቁብ!AU91/ቦኖ!$C$4&gt;0),1,0)</f>
        <v>1</v>
      </c>
      <c r="AU89" s="38">
        <f>IF((ዕቁብ!AV91/ቦኖ!$C$4&gt;0),1,0)</f>
        <v>0</v>
      </c>
      <c r="AV89" s="38">
        <f>IF((ዕቁብ!AW91/ቦኖ!$C$4&gt;0),1,0)</f>
        <v>1</v>
      </c>
      <c r="AW89" s="38">
        <f>IF((ዕቁብ!AX91/ቦኖ!$C$4&gt;0),1,0)</f>
        <v>1</v>
      </c>
      <c r="AX89" s="38">
        <f>IF((ዕቁብ!AY91/ቦኖ!$C$4&gt;0),1,0)</f>
        <v>1</v>
      </c>
      <c r="AY89" s="38">
        <f>IF((ዕቁብ!AZ91/ቦኖ!$C$4&gt;0),1,0)</f>
        <v>1</v>
      </c>
      <c r="AZ89" s="38">
        <f>IF((ዕቁብ!BA91/ቦኖ!$C$4&gt;0),1,0)</f>
        <v>1</v>
      </c>
      <c r="BA89" s="38">
        <f>IF((ዕቁብ!BB91/ቦኖ!$C$4&gt;0),1,0)</f>
        <v>1</v>
      </c>
      <c r="BB89" s="38">
        <f>IF((ዕቁብ!BC91/ቦኖ!$C$4&gt;0),1,0)</f>
        <v>0</v>
      </c>
      <c r="BC89" s="38">
        <f>IF((ዕቁብ!BD91/ቦኖ!$C$4&gt;0),1,0)</f>
        <v>1</v>
      </c>
      <c r="BD89" s="38">
        <f>IF((ዕቁብ!BE91/ቦኖ!$C$4&gt;0),1,0)</f>
        <v>1</v>
      </c>
      <c r="BE89" s="38">
        <f>IF((ዕቁብ!BF91/ቦኖ!$C$4&gt;0),1,0)</f>
        <v>1</v>
      </c>
      <c r="BF89" s="38">
        <f>IF((ዕቁብ!BG91/ቦኖ!$C$4&gt;0),1,0)</f>
        <v>1</v>
      </c>
      <c r="BG89" s="38">
        <f>IF((ዕቁብ!BH91/ቦኖ!$C$4&gt;0),1,0)</f>
        <v>0</v>
      </c>
      <c r="BH89" s="38">
        <f>IF((ዕቁብ!BI91/ቦኖ!$C$4&gt;0),1,0)</f>
        <v>1</v>
      </c>
      <c r="BI89" s="38">
        <f>IF((ዕቁብ!BJ91/ቦኖ!$C$4&gt;0),1,0)</f>
        <v>1</v>
      </c>
      <c r="BJ89" s="38">
        <f>IF((ዕቁብ!BK91/ቦኖ!$C$4&gt;0),1,0)</f>
        <v>0</v>
      </c>
      <c r="BK89" s="38">
        <f>IF((ዕቁብ!BL91/ቦኖ!$C$4&gt;0),1,0)</f>
        <v>1</v>
      </c>
      <c r="BL89" s="38">
        <f>IF((ዕቁብ!BM91/ቦኖ!$C$4&gt;0),1,0)</f>
        <v>1</v>
      </c>
      <c r="BM89" s="38">
        <f>IF((ዕቁብ!BN91/ቦኖ!$C$4&gt;0),1,0)</f>
        <v>1</v>
      </c>
      <c r="BN89" s="38">
        <f>IF((ዕቁብ!BO91/ቦኖ!$C$4&gt;0),1,0)</f>
        <v>1</v>
      </c>
      <c r="BO89" s="38">
        <f>IF((ዕቁብ!BP91/ቦኖ!$C$4&gt;0),1,0)</f>
        <v>1</v>
      </c>
      <c r="BP89" s="38">
        <f>IF((ዕቁብ!BQ91/ቦኖ!$C$4&gt;0),1,0)</f>
        <v>1</v>
      </c>
      <c r="BQ89" s="38">
        <f>IF((ዕቁብ!BR91/ቦኖ!$C$4&gt;0),1,0)</f>
        <v>1</v>
      </c>
      <c r="BR89" s="38">
        <f>IF((ዕቁብ!BS91/ቦኖ!$C$4&gt;0),1,0)</f>
        <v>1</v>
      </c>
      <c r="BS89" s="38">
        <f>IF((ዕቁብ!BT91/ቦኖ!$C$4&gt;0),1,0)</f>
        <v>1</v>
      </c>
      <c r="BT89" s="38">
        <f>IF((ዕቁብ!BU91/ቦኖ!$C$4&gt;0),1,0)</f>
        <v>1</v>
      </c>
      <c r="BU89" s="38">
        <f>IF((ዕቁብ!BV91/ቦኖ!$C$4&gt;0),1,0)</f>
        <v>1</v>
      </c>
      <c r="BV89" s="38">
        <f>IF((ዕቁብ!BW91/ቦኖ!$C$4&gt;0),1,0)</f>
        <v>1</v>
      </c>
      <c r="BW89" s="38">
        <f>IF((ዕቁብ!BX91/ቦኖ!$C$4&gt;0),1,0)</f>
        <v>1</v>
      </c>
      <c r="BX89" s="38">
        <f>IF((ዕቁብ!BY91/ቦኖ!$C$4&gt;0),1,0)</f>
        <v>1</v>
      </c>
      <c r="BY89" s="38">
        <f>IF((ዕቁብ!BZ91/ቦኖ!$C$4&gt;0),1,0)</f>
        <v>1</v>
      </c>
      <c r="BZ89" s="38">
        <f>IF((ዕቁብ!CA91/ቦኖ!$C$4&gt;0),1,0)</f>
        <v>1</v>
      </c>
      <c r="CA89" s="38">
        <f>IF((ዕቁብ!CB91/ቦኖ!$C$4&gt;0),1,0)</f>
        <v>1</v>
      </c>
      <c r="CB89" s="38">
        <f>IF((ዕቁብ!CC91/ቦኖ!$C$4&gt;0),1,0)</f>
        <v>1</v>
      </c>
      <c r="CC89" s="38">
        <f>IF((ዕቁብ!CD91/ቦኖ!$C$4&gt;0),1,0)</f>
        <v>1</v>
      </c>
      <c r="CD89" s="38">
        <f>IF((ዕቁብ!CE91/ቦኖ!$C$4&gt;0),1,0)</f>
        <v>1</v>
      </c>
      <c r="CE89" s="38">
        <f>IF((ዕቁብ!CF91/ቦኖ!$C$4&gt;0),1,0)</f>
        <v>1</v>
      </c>
      <c r="CF89" s="38">
        <f>IF((ዕቁብ!CG91/ቦኖ!$C$4&gt;0),1,0)</f>
        <v>1</v>
      </c>
      <c r="CG89" s="38">
        <f>IF((ዕቁብ!CH91/ቦኖ!$C$4&gt;0),1,0)</f>
        <v>1</v>
      </c>
      <c r="CH89" s="38">
        <f>IF((ዕቁብ!CI91/ቦኖ!$C$4&gt;0),1,0)</f>
        <v>1</v>
      </c>
      <c r="CI89" s="38">
        <f>IF((ዕቁብ!CJ91/ቦኖ!$C$4&gt;0),1,0)</f>
        <v>1</v>
      </c>
      <c r="CJ89" s="38">
        <f>IF((ዕቁብ!CK91/ቦኖ!$C$4&gt;0),1,0)</f>
        <v>1</v>
      </c>
      <c r="CK89" s="38">
        <f>IF((ዕቁብ!CL91/ቦኖ!$C$4&gt;0),1,0)</f>
        <v>1</v>
      </c>
      <c r="CL89" s="38">
        <f>IF((ዕቁብ!CM91/ቦኖ!$C$4&gt;0),1,0)</f>
        <v>1</v>
      </c>
      <c r="CM89" s="38">
        <f>IF((ዕቁብ!CN91/ቦኖ!$C$4&gt;0),1,0)</f>
        <v>1</v>
      </c>
      <c r="CN89" s="38">
        <f>IF((ዕቁብ!CO91/ቦኖ!$C$4&gt;0),1,0)</f>
        <v>1</v>
      </c>
      <c r="CO89" s="38">
        <f>IF((ዕቁብ!CP91/ቦኖ!$C$4&gt;0),1,0)</f>
        <v>1</v>
      </c>
      <c r="CP89" s="38">
        <f>IF((ዕቁብ!CQ91/ቦኖ!$C$4&gt;0),1,0)</f>
        <v>0</v>
      </c>
      <c r="CQ89" s="38">
        <f>IF((ዕቁብ!CR91/ቦኖ!$C$4&gt;0),1,0)</f>
        <v>1</v>
      </c>
      <c r="CR89" s="38">
        <f>IF((ዕቁብ!CS91/ቦኖ!$C$4&gt;0),1,0)</f>
        <v>1</v>
      </c>
      <c r="CS89" s="38">
        <f>IF((ዕቁብ!CT91/ቦኖ!$C$4&gt;0),1,0)</f>
        <v>1</v>
      </c>
      <c r="CT89" s="38">
        <f>IF((ዕቁብ!CU91/ቦኖ!$C$4&gt;0),1,0)</f>
        <v>1</v>
      </c>
      <c r="CU89" s="38">
        <f>IF((ዕቁብ!CV91/ቦኖ!$C$4&gt;0),1,0)</f>
        <v>1</v>
      </c>
      <c r="CV89" s="38">
        <f>IF((ዕቁብ!CW91/ቦኖ!$C$4&gt;0),1,0)</f>
        <v>1</v>
      </c>
      <c r="CW89" s="38">
        <f>IF((ዕቁብ!CX91/ቦኖ!$C$4&gt;0),1,0)</f>
        <v>1</v>
      </c>
      <c r="CX89" s="38">
        <f>IF((ዕቁብ!CY91/ቦኖ!$C$4&gt;0),1,0)</f>
        <v>1</v>
      </c>
      <c r="CY89" s="38">
        <f>IF((ዕቁብ!CZ91/ቦኖ!$C$4&gt;0),1,0)</f>
        <v>1</v>
      </c>
      <c r="CZ89" s="38">
        <f>IF((ዕቁብ!DA91/ቦኖ!$C$4&gt;0),1,0)</f>
        <v>1</v>
      </c>
      <c r="DA89" s="38">
        <f>IF((ዕቁብ!DB91/ቦኖ!$C$4&gt;0),1,0)</f>
        <v>1</v>
      </c>
      <c r="DB89" s="38">
        <f>IF((ዕቁብ!DC91/ቦኖ!$C$4&gt;0),1,0)</f>
        <v>1</v>
      </c>
      <c r="DC89" s="38">
        <f>IF((ዕቁብ!DD91/ቦኖ!$C$4&gt;0),1,0)</f>
        <v>1</v>
      </c>
      <c r="DD89" s="38">
        <f>IF((ዕቁብ!DE91/ቦኖ!$C$4&gt;0),1,0)</f>
        <v>1</v>
      </c>
      <c r="DE89" s="38">
        <f>IF((ዕቁብ!DF91/ቦኖ!$C$4&gt;0),1,0)</f>
        <v>0</v>
      </c>
      <c r="DF89" s="38">
        <f>IF((ዕቁብ!DG91/ቦኖ!$C$4&gt;0),1,0)</f>
        <v>1</v>
      </c>
      <c r="DG89" s="38">
        <f>IF((ዕቁብ!DH91/ቦኖ!$C$4&gt;0),1,0)</f>
        <v>1</v>
      </c>
      <c r="DH89" s="38">
        <f>IF((ዕቁብ!DI91/ቦኖ!$C$4&gt;0),1,0)</f>
        <v>0</v>
      </c>
      <c r="DI89" s="38">
        <f>IF((ዕቁብ!DJ91/ቦኖ!$C$4&gt;0),1,0)</f>
        <v>0</v>
      </c>
      <c r="DJ89" s="38">
        <f>IF((ዕቁብ!DK91/ቦኖ!$C$4&gt;0),1,0)</f>
        <v>0</v>
      </c>
      <c r="DK89" s="38">
        <f>IF((ዕቁብ!DL91/ቦኖ!$C$4&gt;0),1,0)</f>
        <v>0</v>
      </c>
      <c r="DL89" s="38">
        <f>IF((ዕቁብ!DM91/ቦኖ!$C$4&gt;0),1,0)</f>
        <v>0</v>
      </c>
      <c r="DM89" s="38">
        <f>IF((ዕቁብ!DN91/ቦኖ!$C$4&gt;0),1,0)</f>
        <v>0</v>
      </c>
      <c r="DN89" s="38">
        <f>IF((ዕቁብ!DO91/ቦኖ!$C$4&gt;0),1,0)</f>
        <v>0</v>
      </c>
      <c r="DO89" s="38">
        <f>IF((ዕቁብ!DP91/ቦኖ!$C$4&gt;0),1,0)</f>
        <v>0</v>
      </c>
      <c r="DP89" s="38">
        <f>IF((ዕቁብ!DQ91/ቦኖ!$C$4&gt;0),1,0)</f>
        <v>0</v>
      </c>
      <c r="DQ89" s="38">
        <f>IF((ዕቁብ!DR91/ቦኖ!$C$4&gt;0),1,0)</f>
        <v>0</v>
      </c>
    </row>
    <row r="90" spans="1:121" ht="15.75" customHeight="1" x14ac:dyDescent="0.3">
      <c r="A90" s="33">
        <f>ዕቁብ!A92</f>
        <v>86</v>
      </c>
      <c r="B90" s="33" t="str">
        <f>ዕቁብ!B92</f>
        <v xml:space="preserve">ቀሬ ቀማቾ </v>
      </c>
      <c r="C90" s="37">
        <f>ዕቁብ!C92</f>
        <v>21000</v>
      </c>
      <c r="D90" s="38">
        <f>IF((ዕቁብ!E92/ቦኖ!$C$4&gt;0),1,0)</f>
        <v>1</v>
      </c>
      <c r="E90" s="38">
        <f>IF((ዕቁብ!F92/ቦኖ!$C$4&gt;0),1,0)</f>
        <v>1</v>
      </c>
      <c r="F90" s="38">
        <f>IF((ዕቁብ!G92/ቦኖ!$C$4&gt;0),1,0)</f>
        <v>1</v>
      </c>
      <c r="G90" s="38">
        <f>IF((ዕቁብ!H92/ቦኖ!$C$4&gt;0),1,0)</f>
        <v>1</v>
      </c>
      <c r="H90" s="38">
        <f>IF((ዕቁብ!I92/ቦኖ!$C$4&gt;0),1,0)</f>
        <v>1</v>
      </c>
      <c r="I90" s="38">
        <f>IF((ዕቁብ!J92/ቦኖ!$C$4&gt;0),1,0)</f>
        <v>1</v>
      </c>
      <c r="J90" s="38">
        <f>IF((ዕቁብ!K92/ቦኖ!$C$4&gt;0),1,0)</f>
        <v>1</v>
      </c>
      <c r="K90" s="38">
        <f>IF((ዕቁብ!L92/ቦኖ!$C$4&gt;0),1,0)</f>
        <v>1</v>
      </c>
      <c r="L90" s="38">
        <f>IF((ዕቁብ!M92/ቦኖ!$C$4&gt;0),1,0)</f>
        <v>1</v>
      </c>
      <c r="M90" s="38">
        <f>IF((ዕቁብ!N92/ቦኖ!$C$4&gt;0),1,0)</f>
        <v>1</v>
      </c>
      <c r="N90" s="38">
        <f>IF((ዕቁብ!O92/ቦኖ!$C$4&gt;0),1,0)</f>
        <v>1</v>
      </c>
      <c r="O90" s="38">
        <f>IF((ዕቁብ!P92/ቦኖ!$C$4&gt;0),1,0)</f>
        <v>1</v>
      </c>
      <c r="P90" s="38">
        <f>IF((ዕቁብ!Q92/ቦኖ!$C$4&gt;0),1,0)</f>
        <v>1</v>
      </c>
      <c r="Q90" s="38">
        <f>IF((ዕቁብ!R92/ቦኖ!$C$4&gt;0),1,0)</f>
        <v>1</v>
      </c>
      <c r="R90" s="38">
        <f>IF((ዕቁብ!S92/ቦኖ!$C$4&gt;0),1,0)</f>
        <v>1</v>
      </c>
      <c r="S90" s="38">
        <f>IF((ዕቁብ!T92/ቦኖ!$C$4&gt;0),1,0)</f>
        <v>1</v>
      </c>
      <c r="T90" s="38">
        <f>IF((ዕቁብ!U92/ቦኖ!$C$4&gt;0),1,0)</f>
        <v>1</v>
      </c>
      <c r="U90" s="38">
        <f>IF((ዕቁብ!V92/ቦኖ!$C$4&gt;0),1,0)</f>
        <v>1</v>
      </c>
      <c r="V90" s="38">
        <f>IF((ዕቁብ!W92/ቦኖ!$C$4&gt;0),1,0)</f>
        <v>1</v>
      </c>
      <c r="W90" s="38">
        <f>IF((ዕቁብ!X92/ቦኖ!$C$4&gt;0),1,0)</f>
        <v>1</v>
      </c>
      <c r="X90" s="38">
        <f>IF((ዕቁብ!Y92/ቦኖ!$C$4&gt;0),1,0)</f>
        <v>1</v>
      </c>
      <c r="Y90" s="38">
        <f>IF((ዕቁብ!Z92/ቦኖ!$C$4&gt;0),1,0)</f>
        <v>1</v>
      </c>
      <c r="Z90" s="38">
        <f>IF((ዕቁብ!AA92/ቦኖ!$C$4&gt;0),1,0)</f>
        <v>1</v>
      </c>
      <c r="AA90" s="38">
        <f>IF((ዕቁብ!AB92/ቦኖ!$C$4&gt;0),1,0)</f>
        <v>1</v>
      </c>
      <c r="AB90" s="38">
        <f>IF((ዕቁብ!AC92/ቦኖ!$C$4&gt;0),1,0)</f>
        <v>1</v>
      </c>
      <c r="AC90" s="38">
        <f>IF((ዕቁብ!AD92/ቦኖ!$C$4&gt;0),1,0)</f>
        <v>1</v>
      </c>
      <c r="AD90" s="38">
        <f>IF((ዕቁብ!AE92/ቦኖ!$C$4&gt;0),1,0)</f>
        <v>1</v>
      </c>
      <c r="AE90" s="38">
        <f>IF((ዕቁብ!AF92/ቦኖ!$C$4&gt;0),1,0)</f>
        <v>1</v>
      </c>
      <c r="AF90" s="38">
        <f>IF((ዕቁብ!AG92/ቦኖ!$C$4&gt;0),1,0)</f>
        <v>1</v>
      </c>
      <c r="AG90" s="38">
        <f>IF((ዕቁብ!AH92/ቦኖ!$C$4&gt;0),1,0)</f>
        <v>1</v>
      </c>
      <c r="AH90" s="38">
        <f>IF((ዕቁብ!AI92/ቦኖ!$C$4&gt;0),1,0)</f>
        <v>1</v>
      </c>
      <c r="AI90" s="38">
        <f>IF((ዕቁብ!AJ92/ቦኖ!$C$4&gt;0),1,0)</f>
        <v>1</v>
      </c>
      <c r="AJ90" s="38">
        <f>IF((ዕቁብ!AK92/ቦኖ!$C$4&gt;0),1,0)</f>
        <v>1</v>
      </c>
      <c r="AK90" s="38">
        <f>IF((ዕቁብ!AL92/ቦኖ!$C$4&gt;0),1,0)</f>
        <v>1</v>
      </c>
      <c r="AL90" s="38">
        <f>IF((ዕቁብ!AM92/ቦኖ!$C$4&gt;0),1,0)</f>
        <v>1</v>
      </c>
      <c r="AM90" s="38">
        <f>IF((ዕቁብ!AN92/ቦኖ!$C$4&gt;0),1,0)</f>
        <v>1</v>
      </c>
      <c r="AN90" s="38">
        <f>IF((ዕቁብ!AO92/ቦኖ!$C$4&gt;0),1,0)</f>
        <v>1</v>
      </c>
      <c r="AO90" s="38">
        <f>IF((ዕቁብ!AP92/ቦኖ!$C$4&gt;0),1,0)</f>
        <v>1</v>
      </c>
      <c r="AP90" s="38">
        <f>IF((ዕቁብ!AQ92/ቦኖ!$C$4&gt;0),1,0)</f>
        <v>1</v>
      </c>
      <c r="AQ90" s="38">
        <f>IF((ዕቁብ!AR92/ቦኖ!$C$4&gt;0),1,0)</f>
        <v>1</v>
      </c>
      <c r="AR90" s="38">
        <f>IF((ዕቁብ!AS92/ቦኖ!$C$4&gt;0),1,0)</f>
        <v>1</v>
      </c>
      <c r="AS90" s="38">
        <f>IF((ዕቁብ!AT92/ቦኖ!$C$4&gt;0),1,0)</f>
        <v>1</v>
      </c>
      <c r="AT90" s="38">
        <f>IF((ዕቁብ!AU92/ቦኖ!$C$4&gt;0),1,0)</f>
        <v>1</v>
      </c>
      <c r="AU90" s="38">
        <f>IF((ዕቁብ!AV92/ቦኖ!$C$4&gt;0),1,0)</f>
        <v>1</v>
      </c>
      <c r="AV90" s="38">
        <f>IF((ዕቁብ!AW92/ቦኖ!$C$4&gt;0),1,0)</f>
        <v>1</v>
      </c>
      <c r="AW90" s="38">
        <f>IF((ዕቁብ!AX92/ቦኖ!$C$4&gt;0),1,0)</f>
        <v>1</v>
      </c>
      <c r="AX90" s="38">
        <f>IF((ዕቁብ!AY92/ቦኖ!$C$4&gt;0),1,0)</f>
        <v>1</v>
      </c>
      <c r="AY90" s="38">
        <f>IF((ዕቁብ!AZ92/ቦኖ!$C$4&gt;0),1,0)</f>
        <v>1</v>
      </c>
      <c r="AZ90" s="38">
        <f>IF((ዕቁብ!BA92/ቦኖ!$C$4&gt;0),1,0)</f>
        <v>1</v>
      </c>
      <c r="BA90" s="38">
        <f>IF((ዕቁብ!BB92/ቦኖ!$C$4&gt;0),1,0)</f>
        <v>1</v>
      </c>
      <c r="BB90" s="38">
        <f>IF((ዕቁብ!BC92/ቦኖ!$C$4&gt;0),1,0)</f>
        <v>1</v>
      </c>
      <c r="BC90" s="38">
        <f>IF((ዕቁብ!BD92/ቦኖ!$C$4&gt;0),1,0)</f>
        <v>1</v>
      </c>
      <c r="BD90" s="38">
        <f>IF((ዕቁብ!BE92/ቦኖ!$C$4&gt;0),1,0)</f>
        <v>1</v>
      </c>
      <c r="BE90" s="38">
        <f>IF((ዕቁብ!BF92/ቦኖ!$C$4&gt;0),1,0)</f>
        <v>1</v>
      </c>
      <c r="BF90" s="38">
        <f>IF((ዕቁብ!BG92/ቦኖ!$C$4&gt;0),1,0)</f>
        <v>1</v>
      </c>
      <c r="BG90" s="38">
        <f>IF((ዕቁብ!BH92/ቦኖ!$C$4&gt;0),1,0)</f>
        <v>1</v>
      </c>
      <c r="BH90" s="38">
        <f>IF((ዕቁብ!BI92/ቦኖ!$C$4&gt;0),1,0)</f>
        <v>1</v>
      </c>
      <c r="BI90" s="38">
        <f>IF((ዕቁብ!BJ92/ቦኖ!$C$4&gt;0),1,0)</f>
        <v>1</v>
      </c>
      <c r="BJ90" s="38">
        <f>IF((ዕቁብ!BK92/ቦኖ!$C$4&gt;0),1,0)</f>
        <v>1</v>
      </c>
      <c r="BK90" s="38">
        <f>IF((ዕቁብ!BL92/ቦኖ!$C$4&gt;0),1,0)</f>
        <v>1</v>
      </c>
      <c r="BL90" s="38">
        <f>IF((ዕቁብ!BM92/ቦኖ!$C$4&gt;0),1,0)</f>
        <v>1</v>
      </c>
      <c r="BM90" s="38">
        <f>IF((ዕቁብ!BN92/ቦኖ!$C$4&gt;0),1,0)</f>
        <v>1</v>
      </c>
      <c r="BN90" s="38">
        <f>IF((ዕቁብ!BO92/ቦኖ!$C$4&gt;0),1,0)</f>
        <v>1</v>
      </c>
      <c r="BO90" s="38">
        <f>IF((ዕቁብ!BP92/ቦኖ!$C$4&gt;0),1,0)</f>
        <v>0</v>
      </c>
      <c r="BP90" s="38">
        <f>IF((ዕቁብ!BQ92/ቦኖ!$C$4&gt;0),1,0)</f>
        <v>1</v>
      </c>
      <c r="BQ90" s="38">
        <f>IF((ዕቁብ!BR92/ቦኖ!$C$4&gt;0),1,0)</f>
        <v>1</v>
      </c>
      <c r="BR90" s="38">
        <f>IF((ዕቁብ!BS92/ቦኖ!$C$4&gt;0),1,0)</f>
        <v>0</v>
      </c>
      <c r="BS90" s="38">
        <f>IF((ዕቁብ!BT92/ቦኖ!$C$4&gt;0),1,0)</f>
        <v>1</v>
      </c>
      <c r="BT90" s="38">
        <f>IF((ዕቁብ!BU92/ቦኖ!$C$4&gt;0),1,0)</f>
        <v>1</v>
      </c>
      <c r="BU90" s="38">
        <f>IF((ዕቁብ!BV92/ቦኖ!$C$4&gt;0),1,0)</f>
        <v>0</v>
      </c>
      <c r="BV90" s="38">
        <f>IF((ዕቁብ!BW92/ቦኖ!$C$4&gt;0),1,0)</f>
        <v>1</v>
      </c>
      <c r="BW90" s="38">
        <f>IF((ዕቁብ!BX92/ቦኖ!$C$4&gt;0),1,0)</f>
        <v>0</v>
      </c>
      <c r="BX90" s="38">
        <f>IF((ዕቁብ!BY92/ቦኖ!$C$4&gt;0),1,0)</f>
        <v>1</v>
      </c>
      <c r="BY90" s="38">
        <f>IF((ዕቁብ!BZ92/ቦኖ!$C$4&gt;0),1,0)</f>
        <v>0</v>
      </c>
      <c r="BZ90" s="38">
        <f>IF((ዕቁብ!CA92/ቦኖ!$C$4&gt;0),1,0)</f>
        <v>1</v>
      </c>
      <c r="CA90" s="38">
        <f>IF((ዕቁብ!CB92/ቦኖ!$C$4&gt;0),1,0)</f>
        <v>0</v>
      </c>
      <c r="CB90" s="38">
        <f>IF((ዕቁብ!CC92/ቦኖ!$C$4&gt;0),1,0)</f>
        <v>1</v>
      </c>
      <c r="CC90" s="38">
        <f>IF((ዕቁብ!CD92/ቦኖ!$C$4&gt;0),1,0)</f>
        <v>0</v>
      </c>
      <c r="CD90" s="38">
        <f>IF((ዕቁብ!CE92/ቦኖ!$C$4&gt;0),1,0)</f>
        <v>0</v>
      </c>
      <c r="CE90" s="38">
        <f>IF((ዕቁብ!CF92/ቦኖ!$C$4&gt;0),1,0)</f>
        <v>1</v>
      </c>
      <c r="CF90" s="38">
        <f>IF((ዕቁብ!CG92/ቦኖ!$C$4&gt;0),1,0)</f>
        <v>0</v>
      </c>
      <c r="CG90" s="38">
        <f>IF((ዕቁብ!CH92/ቦኖ!$C$4&gt;0),1,0)</f>
        <v>0</v>
      </c>
      <c r="CH90" s="38">
        <f>IF((ዕቁብ!CI92/ቦኖ!$C$4&gt;0),1,0)</f>
        <v>1</v>
      </c>
      <c r="CI90" s="38">
        <f>IF((ዕቁብ!CJ92/ቦኖ!$C$4&gt;0),1,0)</f>
        <v>0</v>
      </c>
      <c r="CJ90" s="38">
        <f>IF((ዕቁብ!CK92/ቦኖ!$C$4&gt;0),1,0)</f>
        <v>0</v>
      </c>
      <c r="CK90" s="38">
        <f>IF((ዕቁብ!CL92/ቦኖ!$C$4&gt;0),1,0)</f>
        <v>1</v>
      </c>
      <c r="CL90" s="38">
        <f>IF((ዕቁብ!CM92/ቦኖ!$C$4&gt;0),1,0)</f>
        <v>0</v>
      </c>
      <c r="CM90" s="38">
        <f>IF((ዕቁብ!CN92/ቦኖ!$C$4&gt;0),1,0)</f>
        <v>0</v>
      </c>
      <c r="CN90" s="38">
        <f>IF((ዕቁብ!CO92/ቦኖ!$C$4&gt;0),1,0)</f>
        <v>1</v>
      </c>
      <c r="CO90" s="38">
        <f>IF((ዕቁብ!CP92/ቦኖ!$C$4&gt;0),1,0)</f>
        <v>0</v>
      </c>
      <c r="CP90" s="38">
        <f>IF((ዕቁብ!CQ92/ቦኖ!$C$4&gt;0),1,0)</f>
        <v>0</v>
      </c>
      <c r="CQ90" s="38">
        <f>IF((ዕቁብ!CR92/ቦኖ!$C$4&gt;0),1,0)</f>
        <v>0</v>
      </c>
      <c r="CR90" s="38">
        <f>IF((ዕቁብ!CS92/ቦኖ!$C$4&gt;0),1,0)</f>
        <v>1</v>
      </c>
      <c r="CS90" s="38">
        <f>IF((ዕቁብ!CT92/ቦኖ!$C$4&gt;0),1,0)</f>
        <v>0</v>
      </c>
      <c r="CT90" s="38">
        <f>IF((ዕቁብ!CU92/ቦኖ!$C$4&gt;0),1,0)</f>
        <v>0</v>
      </c>
      <c r="CU90" s="38">
        <f>IF((ዕቁብ!CV92/ቦኖ!$C$4&gt;0),1,0)</f>
        <v>1</v>
      </c>
      <c r="CV90" s="38">
        <f>IF((ዕቁብ!CW92/ቦኖ!$C$4&gt;0),1,0)</f>
        <v>0</v>
      </c>
      <c r="CW90" s="38">
        <f>IF((ዕቁብ!CX92/ቦኖ!$C$4&gt;0),1,0)</f>
        <v>0</v>
      </c>
      <c r="CX90" s="38">
        <f>IF((ዕቁብ!CY92/ቦኖ!$C$4&gt;0),1,0)</f>
        <v>1</v>
      </c>
      <c r="CY90" s="38">
        <f>IF((ዕቁብ!CZ92/ቦኖ!$C$4&gt;0),1,0)</f>
        <v>0</v>
      </c>
      <c r="CZ90" s="38">
        <f>IF((ዕቁብ!DA92/ቦኖ!$C$4&gt;0),1,0)</f>
        <v>0</v>
      </c>
      <c r="DA90" s="38">
        <f>IF((ዕቁብ!DB92/ቦኖ!$C$4&gt;0),1,0)</f>
        <v>1</v>
      </c>
      <c r="DB90" s="38">
        <f>IF((ዕቁብ!DC92/ቦኖ!$C$4&gt;0),1,0)</f>
        <v>0</v>
      </c>
      <c r="DC90" s="38">
        <f>IF((ዕቁብ!DD92/ቦኖ!$C$4&gt;0),1,0)</f>
        <v>0</v>
      </c>
      <c r="DD90" s="38">
        <f>IF((ዕቁብ!DE92/ቦኖ!$C$4&gt;0),1,0)</f>
        <v>1</v>
      </c>
      <c r="DE90" s="38">
        <f>IF((ዕቁብ!DF92/ቦኖ!$C$4&gt;0),1,0)</f>
        <v>0</v>
      </c>
      <c r="DF90" s="38">
        <f>IF((ዕቁብ!DG92/ቦኖ!$C$4&gt;0),1,0)</f>
        <v>0</v>
      </c>
      <c r="DG90" s="38">
        <f>IF((ዕቁብ!DH92/ቦኖ!$C$4&gt;0),1,0)</f>
        <v>0</v>
      </c>
      <c r="DH90" s="38">
        <f>IF((ዕቁብ!DI92/ቦኖ!$C$4&gt;0),1,0)</f>
        <v>0</v>
      </c>
      <c r="DI90" s="38">
        <f>IF((ዕቁብ!DJ92/ቦኖ!$C$4&gt;0),1,0)</f>
        <v>0</v>
      </c>
      <c r="DJ90" s="38">
        <f>IF((ዕቁብ!DK92/ቦኖ!$C$4&gt;0),1,0)</f>
        <v>0</v>
      </c>
      <c r="DK90" s="38">
        <f>IF((ዕቁብ!DL92/ቦኖ!$C$4&gt;0),1,0)</f>
        <v>0</v>
      </c>
      <c r="DL90" s="38">
        <f>IF((ዕቁብ!DM92/ቦኖ!$C$4&gt;0),1,0)</f>
        <v>0</v>
      </c>
      <c r="DM90" s="38">
        <f>IF((ዕቁብ!DN92/ቦኖ!$C$4&gt;0),1,0)</f>
        <v>0</v>
      </c>
      <c r="DN90" s="38">
        <f>IF((ዕቁብ!DO92/ቦኖ!$C$4&gt;0),1,0)</f>
        <v>0</v>
      </c>
      <c r="DO90" s="38">
        <f>IF((ዕቁብ!DP92/ቦኖ!$C$4&gt;0),1,0)</f>
        <v>0</v>
      </c>
      <c r="DP90" s="38">
        <f>IF((ዕቁብ!DQ92/ቦኖ!$C$4&gt;0),1,0)</f>
        <v>0</v>
      </c>
      <c r="DQ90" s="38">
        <f>IF((ዕቁብ!DR92/ቦኖ!$C$4&gt;0),1,0)</f>
        <v>0</v>
      </c>
    </row>
    <row r="91" spans="1:121" ht="15.75" customHeight="1" x14ac:dyDescent="0.3">
      <c r="A91" s="33">
        <f>ዕቁብ!A93</f>
        <v>87</v>
      </c>
      <c r="B91" s="33" t="str">
        <f>ዕቁብ!B93</f>
        <v>ሀብታሙ ቀሬ</v>
      </c>
      <c r="C91" s="37">
        <f>ዕቁብ!C93</f>
        <v>21000</v>
      </c>
      <c r="D91" s="38">
        <f>IF((ዕቁብ!E93/ቦኖ!$C$4&gt;0),1,0)</f>
        <v>1</v>
      </c>
      <c r="E91" s="38">
        <f>IF((ዕቁብ!F93/ቦኖ!$C$4&gt;0),1,0)</f>
        <v>1</v>
      </c>
      <c r="F91" s="38">
        <f>IF((ዕቁብ!G93/ቦኖ!$C$4&gt;0),1,0)</f>
        <v>1</v>
      </c>
      <c r="G91" s="38">
        <f>IF((ዕቁብ!H93/ቦኖ!$C$4&gt;0),1,0)</f>
        <v>1</v>
      </c>
      <c r="H91" s="38">
        <f>IF((ዕቁብ!I93/ቦኖ!$C$4&gt;0),1,0)</f>
        <v>1</v>
      </c>
      <c r="I91" s="38">
        <f>IF((ዕቁብ!J93/ቦኖ!$C$4&gt;0),1,0)</f>
        <v>1</v>
      </c>
      <c r="J91" s="38">
        <f>IF((ዕቁብ!K93/ቦኖ!$C$4&gt;0),1,0)</f>
        <v>1</v>
      </c>
      <c r="K91" s="38">
        <f>IF((ዕቁብ!L93/ቦኖ!$C$4&gt;0),1,0)</f>
        <v>1</v>
      </c>
      <c r="L91" s="38">
        <f>IF((ዕቁብ!M93/ቦኖ!$C$4&gt;0),1,0)</f>
        <v>1</v>
      </c>
      <c r="M91" s="38">
        <f>IF((ዕቁብ!N93/ቦኖ!$C$4&gt;0),1,0)</f>
        <v>1</v>
      </c>
      <c r="N91" s="38">
        <f>IF((ዕቁብ!O93/ቦኖ!$C$4&gt;0),1,0)</f>
        <v>1</v>
      </c>
      <c r="O91" s="38">
        <f>IF((ዕቁብ!P93/ቦኖ!$C$4&gt;0),1,0)</f>
        <v>1</v>
      </c>
      <c r="P91" s="38">
        <f>IF((ዕቁብ!Q93/ቦኖ!$C$4&gt;0),1,0)</f>
        <v>1</v>
      </c>
      <c r="Q91" s="38">
        <f>IF((ዕቁብ!R93/ቦኖ!$C$4&gt;0),1,0)</f>
        <v>1</v>
      </c>
      <c r="R91" s="38">
        <f>IF((ዕቁብ!S93/ቦኖ!$C$4&gt;0),1,0)</f>
        <v>1</v>
      </c>
      <c r="S91" s="38">
        <f>IF((ዕቁብ!T93/ቦኖ!$C$4&gt;0),1,0)</f>
        <v>1</v>
      </c>
      <c r="T91" s="38">
        <f>IF((ዕቁብ!U93/ቦኖ!$C$4&gt;0),1,0)</f>
        <v>1</v>
      </c>
      <c r="U91" s="38">
        <f>IF((ዕቁብ!V93/ቦኖ!$C$4&gt;0),1,0)</f>
        <v>1</v>
      </c>
      <c r="V91" s="38">
        <f>IF((ዕቁብ!W93/ቦኖ!$C$4&gt;0),1,0)</f>
        <v>1</v>
      </c>
      <c r="W91" s="38">
        <f>IF((ዕቁብ!X93/ቦኖ!$C$4&gt;0),1,0)</f>
        <v>1</v>
      </c>
      <c r="X91" s="38">
        <f>IF((ዕቁብ!Y93/ቦኖ!$C$4&gt;0),1,0)</f>
        <v>1</v>
      </c>
      <c r="Y91" s="38">
        <f>IF((ዕቁብ!Z93/ቦኖ!$C$4&gt;0),1,0)</f>
        <v>1</v>
      </c>
      <c r="Z91" s="38">
        <f>IF((ዕቁብ!AA93/ቦኖ!$C$4&gt;0),1,0)</f>
        <v>1</v>
      </c>
      <c r="AA91" s="38">
        <f>IF((ዕቁብ!AB93/ቦኖ!$C$4&gt;0),1,0)</f>
        <v>1</v>
      </c>
      <c r="AB91" s="38">
        <f>IF((ዕቁብ!AC93/ቦኖ!$C$4&gt;0),1,0)</f>
        <v>1</v>
      </c>
      <c r="AC91" s="38">
        <f>IF((ዕቁብ!AD93/ቦኖ!$C$4&gt;0),1,0)</f>
        <v>1</v>
      </c>
      <c r="AD91" s="38">
        <f>IF((ዕቁብ!AE93/ቦኖ!$C$4&gt;0),1,0)</f>
        <v>1</v>
      </c>
      <c r="AE91" s="38">
        <f>IF((ዕቁብ!AF93/ቦኖ!$C$4&gt;0),1,0)</f>
        <v>1</v>
      </c>
      <c r="AF91" s="38">
        <f>IF((ዕቁብ!AG93/ቦኖ!$C$4&gt;0),1,0)</f>
        <v>1</v>
      </c>
      <c r="AG91" s="38">
        <f>IF((ዕቁብ!AH93/ቦኖ!$C$4&gt;0),1,0)</f>
        <v>1</v>
      </c>
      <c r="AH91" s="38">
        <f>IF((ዕቁብ!AI93/ቦኖ!$C$4&gt;0),1,0)</f>
        <v>1</v>
      </c>
      <c r="AI91" s="38">
        <f>IF((ዕቁብ!AJ93/ቦኖ!$C$4&gt;0),1,0)</f>
        <v>1</v>
      </c>
      <c r="AJ91" s="38">
        <f>IF((ዕቁብ!AK93/ቦኖ!$C$4&gt;0),1,0)</f>
        <v>1</v>
      </c>
      <c r="AK91" s="38">
        <f>IF((ዕቁብ!AL93/ቦኖ!$C$4&gt;0),1,0)</f>
        <v>1</v>
      </c>
      <c r="AL91" s="38">
        <f>IF((ዕቁብ!AM93/ቦኖ!$C$4&gt;0),1,0)</f>
        <v>1</v>
      </c>
      <c r="AM91" s="38">
        <f>IF((ዕቁብ!AN93/ቦኖ!$C$4&gt;0),1,0)</f>
        <v>1</v>
      </c>
      <c r="AN91" s="38">
        <f>IF((ዕቁብ!AO93/ቦኖ!$C$4&gt;0),1,0)</f>
        <v>1</v>
      </c>
      <c r="AO91" s="38">
        <f>IF((ዕቁብ!AP93/ቦኖ!$C$4&gt;0),1,0)</f>
        <v>1</v>
      </c>
      <c r="AP91" s="38">
        <f>IF((ዕቁብ!AQ93/ቦኖ!$C$4&gt;0),1,0)</f>
        <v>1</v>
      </c>
      <c r="AQ91" s="38">
        <f>IF((ዕቁብ!AR93/ቦኖ!$C$4&gt;0),1,0)</f>
        <v>1</v>
      </c>
      <c r="AR91" s="38">
        <f>IF((ዕቁብ!AS93/ቦኖ!$C$4&gt;0),1,0)</f>
        <v>1</v>
      </c>
      <c r="AS91" s="38">
        <f>IF((ዕቁብ!AT93/ቦኖ!$C$4&gt;0),1,0)</f>
        <v>1</v>
      </c>
      <c r="AT91" s="38">
        <f>IF((ዕቁብ!AU93/ቦኖ!$C$4&gt;0),1,0)</f>
        <v>1</v>
      </c>
      <c r="AU91" s="38">
        <f>IF((ዕቁብ!AV93/ቦኖ!$C$4&gt;0),1,0)</f>
        <v>1</v>
      </c>
      <c r="AV91" s="38">
        <f>IF((ዕቁብ!AW93/ቦኖ!$C$4&gt;0),1,0)</f>
        <v>1</v>
      </c>
      <c r="AW91" s="38">
        <f>IF((ዕቁብ!AX93/ቦኖ!$C$4&gt;0),1,0)</f>
        <v>1</v>
      </c>
      <c r="AX91" s="38">
        <f>IF((ዕቁብ!AY93/ቦኖ!$C$4&gt;0),1,0)</f>
        <v>1</v>
      </c>
      <c r="AY91" s="38">
        <f>IF((ዕቁብ!AZ93/ቦኖ!$C$4&gt;0),1,0)</f>
        <v>1</v>
      </c>
      <c r="AZ91" s="38">
        <f>IF((ዕቁብ!BA93/ቦኖ!$C$4&gt;0),1,0)</f>
        <v>1</v>
      </c>
      <c r="BA91" s="38">
        <f>IF((ዕቁብ!BB93/ቦኖ!$C$4&gt;0),1,0)</f>
        <v>1</v>
      </c>
      <c r="BB91" s="38">
        <f>IF((ዕቁብ!BC93/ቦኖ!$C$4&gt;0),1,0)</f>
        <v>1</v>
      </c>
      <c r="BC91" s="38">
        <f>IF((ዕቁብ!BD93/ቦኖ!$C$4&gt;0),1,0)</f>
        <v>1</v>
      </c>
      <c r="BD91" s="38">
        <f>IF((ዕቁብ!BE93/ቦኖ!$C$4&gt;0),1,0)</f>
        <v>1</v>
      </c>
      <c r="BE91" s="38">
        <f>IF((ዕቁብ!BF93/ቦኖ!$C$4&gt;0),1,0)</f>
        <v>1</v>
      </c>
      <c r="BF91" s="38">
        <f>IF((ዕቁብ!BG93/ቦኖ!$C$4&gt;0),1,0)</f>
        <v>1</v>
      </c>
      <c r="BG91" s="38">
        <f>IF((ዕቁብ!BH93/ቦኖ!$C$4&gt;0),1,0)</f>
        <v>1</v>
      </c>
      <c r="BH91" s="38">
        <f>IF((ዕቁብ!BI93/ቦኖ!$C$4&gt;0),1,0)</f>
        <v>1</v>
      </c>
      <c r="BI91" s="38">
        <f>IF((ዕቁብ!BJ93/ቦኖ!$C$4&gt;0),1,0)</f>
        <v>1</v>
      </c>
      <c r="BJ91" s="38">
        <f>IF((ዕቁብ!BK93/ቦኖ!$C$4&gt;0),1,0)</f>
        <v>1</v>
      </c>
      <c r="BK91" s="38">
        <f>IF((ዕቁብ!BL93/ቦኖ!$C$4&gt;0),1,0)</f>
        <v>1</v>
      </c>
      <c r="BL91" s="38">
        <f>IF((ዕቁብ!BM93/ቦኖ!$C$4&gt;0),1,0)</f>
        <v>1</v>
      </c>
      <c r="BM91" s="38">
        <f>IF((ዕቁብ!BN93/ቦኖ!$C$4&gt;0),1,0)</f>
        <v>1</v>
      </c>
      <c r="BN91" s="38">
        <f>IF((ዕቁብ!BO93/ቦኖ!$C$4&gt;0),1,0)</f>
        <v>1</v>
      </c>
      <c r="BO91" s="38">
        <f>IF((ዕቁብ!BP93/ቦኖ!$C$4&gt;0),1,0)</f>
        <v>0</v>
      </c>
      <c r="BP91" s="38">
        <f>IF((ዕቁብ!BQ93/ቦኖ!$C$4&gt;0),1,0)</f>
        <v>1</v>
      </c>
      <c r="BQ91" s="38">
        <f>IF((ዕቁብ!BR93/ቦኖ!$C$4&gt;0),1,0)</f>
        <v>1</v>
      </c>
      <c r="BR91" s="38">
        <f>IF((ዕቁብ!BS93/ቦኖ!$C$4&gt;0),1,0)</f>
        <v>0</v>
      </c>
      <c r="BS91" s="38">
        <f>IF((ዕቁብ!BT93/ቦኖ!$C$4&gt;0),1,0)</f>
        <v>1</v>
      </c>
      <c r="BT91" s="38">
        <f>IF((ዕቁብ!BU93/ቦኖ!$C$4&gt;0),1,0)</f>
        <v>1</v>
      </c>
      <c r="BU91" s="38">
        <f>IF((ዕቁብ!BV93/ቦኖ!$C$4&gt;0),1,0)</f>
        <v>0</v>
      </c>
      <c r="BV91" s="38">
        <f>IF((ዕቁብ!BW93/ቦኖ!$C$4&gt;0),1,0)</f>
        <v>1</v>
      </c>
      <c r="BW91" s="38">
        <f>IF((ዕቁብ!BX93/ቦኖ!$C$4&gt;0),1,0)</f>
        <v>0</v>
      </c>
      <c r="BX91" s="38">
        <f>IF((ዕቁብ!BY93/ቦኖ!$C$4&gt;0),1,0)</f>
        <v>1</v>
      </c>
      <c r="BY91" s="38">
        <f>IF((ዕቁብ!BZ93/ቦኖ!$C$4&gt;0),1,0)</f>
        <v>0</v>
      </c>
      <c r="BZ91" s="38">
        <f>IF((ዕቁብ!CA93/ቦኖ!$C$4&gt;0),1,0)</f>
        <v>1</v>
      </c>
      <c r="CA91" s="38">
        <f>IF((ዕቁብ!CB93/ቦኖ!$C$4&gt;0),1,0)</f>
        <v>0</v>
      </c>
      <c r="CB91" s="38">
        <f>IF((ዕቁብ!CC93/ቦኖ!$C$4&gt;0),1,0)</f>
        <v>1</v>
      </c>
      <c r="CC91" s="38">
        <f>IF((ዕቁብ!CD93/ቦኖ!$C$4&gt;0),1,0)</f>
        <v>0</v>
      </c>
      <c r="CD91" s="38">
        <f>IF((ዕቁብ!CE93/ቦኖ!$C$4&gt;0),1,0)</f>
        <v>0</v>
      </c>
      <c r="CE91" s="38">
        <f>IF((ዕቁብ!CF93/ቦኖ!$C$4&gt;0),1,0)</f>
        <v>1</v>
      </c>
      <c r="CF91" s="38">
        <f>IF((ዕቁብ!CG93/ቦኖ!$C$4&gt;0),1,0)</f>
        <v>0</v>
      </c>
      <c r="CG91" s="38">
        <f>IF((ዕቁብ!CH93/ቦኖ!$C$4&gt;0),1,0)</f>
        <v>0</v>
      </c>
      <c r="CH91" s="38">
        <f>IF((ዕቁብ!CI93/ቦኖ!$C$4&gt;0),1,0)</f>
        <v>1</v>
      </c>
      <c r="CI91" s="38">
        <f>IF((ዕቁብ!CJ93/ቦኖ!$C$4&gt;0),1,0)</f>
        <v>0</v>
      </c>
      <c r="CJ91" s="38">
        <f>IF((ዕቁብ!CK93/ቦኖ!$C$4&gt;0),1,0)</f>
        <v>0</v>
      </c>
      <c r="CK91" s="38">
        <f>IF((ዕቁብ!CL93/ቦኖ!$C$4&gt;0),1,0)</f>
        <v>1</v>
      </c>
      <c r="CL91" s="38">
        <f>IF((ዕቁብ!CM93/ቦኖ!$C$4&gt;0),1,0)</f>
        <v>0</v>
      </c>
      <c r="CM91" s="38">
        <f>IF((ዕቁብ!CN93/ቦኖ!$C$4&gt;0),1,0)</f>
        <v>0</v>
      </c>
      <c r="CN91" s="38">
        <f>IF((ዕቁብ!CO93/ቦኖ!$C$4&gt;0),1,0)</f>
        <v>1</v>
      </c>
      <c r="CO91" s="38">
        <f>IF((ዕቁብ!CP93/ቦኖ!$C$4&gt;0),1,0)</f>
        <v>0</v>
      </c>
      <c r="CP91" s="38">
        <f>IF((ዕቁብ!CQ93/ቦኖ!$C$4&gt;0),1,0)</f>
        <v>0</v>
      </c>
      <c r="CQ91" s="38">
        <f>IF((ዕቁብ!CR93/ቦኖ!$C$4&gt;0),1,0)</f>
        <v>0</v>
      </c>
      <c r="CR91" s="38">
        <f>IF((ዕቁብ!CS93/ቦኖ!$C$4&gt;0),1,0)</f>
        <v>1</v>
      </c>
      <c r="CS91" s="38">
        <f>IF((ዕቁብ!CT93/ቦኖ!$C$4&gt;0),1,0)</f>
        <v>0</v>
      </c>
      <c r="CT91" s="38">
        <f>IF((ዕቁብ!CU93/ቦኖ!$C$4&gt;0),1,0)</f>
        <v>0</v>
      </c>
      <c r="CU91" s="38">
        <f>IF((ዕቁብ!CV93/ቦኖ!$C$4&gt;0),1,0)</f>
        <v>1</v>
      </c>
      <c r="CV91" s="38">
        <f>IF((ዕቁብ!CW93/ቦኖ!$C$4&gt;0),1,0)</f>
        <v>0</v>
      </c>
      <c r="CW91" s="38">
        <f>IF((ዕቁብ!CX93/ቦኖ!$C$4&gt;0),1,0)</f>
        <v>0</v>
      </c>
      <c r="CX91" s="38">
        <f>IF((ዕቁብ!CY93/ቦኖ!$C$4&gt;0),1,0)</f>
        <v>1</v>
      </c>
      <c r="CY91" s="38">
        <f>IF((ዕቁብ!CZ93/ቦኖ!$C$4&gt;0),1,0)</f>
        <v>0</v>
      </c>
      <c r="CZ91" s="38">
        <f>IF((ዕቁብ!DA93/ቦኖ!$C$4&gt;0),1,0)</f>
        <v>0</v>
      </c>
      <c r="DA91" s="38">
        <f>IF((ዕቁብ!DB93/ቦኖ!$C$4&gt;0),1,0)</f>
        <v>1</v>
      </c>
      <c r="DB91" s="38">
        <f>IF((ዕቁብ!DC93/ቦኖ!$C$4&gt;0),1,0)</f>
        <v>0</v>
      </c>
      <c r="DC91" s="38">
        <f>IF((ዕቁብ!DD93/ቦኖ!$C$4&gt;0),1,0)</f>
        <v>0</v>
      </c>
      <c r="DD91" s="38">
        <f>IF((ዕቁብ!DE93/ቦኖ!$C$4&gt;0),1,0)</f>
        <v>1</v>
      </c>
      <c r="DE91" s="38">
        <f>IF((ዕቁብ!DF93/ቦኖ!$C$4&gt;0),1,0)</f>
        <v>0</v>
      </c>
      <c r="DF91" s="38">
        <f>IF((ዕቁብ!DG93/ቦኖ!$C$4&gt;0),1,0)</f>
        <v>0</v>
      </c>
      <c r="DG91" s="38">
        <f>IF((ዕቁብ!DH93/ቦኖ!$C$4&gt;0),1,0)</f>
        <v>0</v>
      </c>
      <c r="DH91" s="38">
        <f>IF((ዕቁብ!DI93/ቦኖ!$C$4&gt;0),1,0)</f>
        <v>0</v>
      </c>
      <c r="DI91" s="38">
        <f>IF((ዕቁብ!DJ93/ቦኖ!$C$4&gt;0),1,0)</f>
        <v>0</v>
      </c>
      <c r="DJ91" s="38">
        <f>IF((ዕቁብ!DK93/ቦኖ!$C$4&gt;0),1,0)</f>
        <v>0</v>
      </c>
      <c r="DK91" s="38">
        <f>IF((ዕቁብ!DL93/ቦኖ!$C$4&gt;0),1,0)</f>
        <v>0</v>
      </c>
      <c r="DL91" s="38">
        <f>IF((ዕቁብ!DM93/ቦኖ!$C$4&gt;0),1,0)</f>
        <v>0</v>
      </c>
      <c r="DM91" s="38">
        <f>IF((ዕቁብ!DN93/ቦኖ!$C$4&gt;0),1,0)</f>
        <v>0</v>
      </c>
      <c r="DN91" s="38">
        <f>IF((ዕቁብ!DO93/ቦኖ!$C$4&gt;0),1,0)</f>
        <v>0</v>
      </c>
      <c r="DO91" s="38">
        <f>IF((ዕቁብ!DP93/ቦኖ!$C$4&gt;0),1,0)</f>
        <v>0</v>
      </c>
      <c r="DP91" s="38">
        <f>IF((ዕቁብ!DQ93/ቦኖ!$C$4&gt;0),1,0)</f>
        <v>0</v>
      </c>
      <c r="DQ91" s="38">
        <f>IF((ዕቁብ!DR93/ቦኖ!$C$4&gt;0),1,0)</f>
        <v>0</v>
      </c>
    </row>
    <row r="92" spans="1:121" ht="15.75" customHeight="1" x14ac:dyDescent="0.3">
      <c r="A92" s="33">
        <f>ዕቁብ!A94</f>
        <v>88</v>
      </c>
      <c r="B92" s="33" t="str">
        <f>ዕቁብ!B94</f>
        <v xml:space="preserve">ኢዮብ ዋኬኖ </v>
      </c>
      <c r="C92" s="37">
        <f>ዕቁብ!C94</f>
        <v>21000</v>
      </c>
      <c r="D92" s="38">
        <f>IF((ዕቁብ!E94/ቦኖ!$C$4&gt;0),1,0)</f>
        <v>1</v>
      </c>
      <c r="E92" s="38">
        <f>IF((ዕቁብ!F94/ቦኖ!$C$4&gt;0),1,0)</f>
        <v>1</v>
      </c>
      <c r="F92" s="38">
        <f>IF((ዕቁብ!G94/ቦኖ!$C$4&gt;0),1,0)</f>
        <v>1</v>
      </c>
      <c r="G92" s="38">
        <f>IF((ዕቁብ!H94/ቦኖ!$C$4&gt;0),1,0)</f>
        <v>1</v>
      </c>
      <c r="H92" s="38">
        <f>IF((ዕቁብ!I94/ቦኖ!$C$4&gt;0),1,0)</f>
        <v>1</v>
      </c>
      <c r="I92" s="38">
        <f>IF((ዕቁብ!J94/ቦኖ!$C$4&gt;0),1,0)</f>
        <v>1</v>
      </c>
      <c r="J92" s="38">
        <f>IF((ዕቁብ!K94/ቦኖ!$C$4&gt;0),1,0)</f>
        <v>1</v>
      </c>
      <c r="K92" s="38">
        <f>IF((ዕቁብ!L94/ቦኖ!$C$4&gt;0),1,0)</f>
        <v>1</v>
      </c>
      <c r="L92" s="38">
        <f>IF((ዕቁብ!M94/ቦኖ!$C$4&gt;0),1,0)</f>
        <v>1</v>
      </c>
      <c r="M92" s="38">
        <f>IF((ዕቁብ!N94/ቦኖ!$C$4&gt;0),1,0)</f>
        <v>1</v>
      </c>
      <c r="N92" s="38">
        <f>IF((ዕቁብ!O94/ቦኖ!$C$4&gt;0),1,0)</f>
        <v>1</v>
      </c>
      <c r="O92" s="38">
        <f>IF((ዕቁብ!P94/ቦኖ!$C$4&gt;0),1,0)</f>
        <v>1</v>
      </c>
      <c r="P92" s="38">
        <f>IF((ዕቁብ!Q94/ቦኖ!$C$4&gt;0),1,0)</f>
        <v>1</v>
      </c>
      <c r="Q92" s="38">
        <f>IF((ዕቁብ!R94/ቦኖ!$C$4&gt;0),1,0)</f>
        <v>1</v>
      </c>
      <c r="R92" s="38">
        <f>IF((ዕቁብ!S94/ቦኖ!$C$4&gt;0),1,0)</f>
        <v>1</v>
      </c>
      <c r="S92" s="38">
        <f>IF((ዕቁብ!T94/ቦኖ!$C$4&gt;0),1,0)</f>
        <v>1</v>
      </c>
      <c r="T92" s="38">
        <f>IF((ዕቁብ!U94/ቦኖ!$C$4&gt;0),1,0)</f>
        <v>1</v>
      </c>
      <c r="U92" s="38">
        <f>IF((ዕቁብ!V94/ቦኖ!$C$4&gt;0),1,0)</f>
        <v>1</v>
      </c>
      <c r="V92" s="38">
        <f>IF((ዕቁብ!W94/ቦኖ!$C$4&gt;0),1,0)</f>
        <v>1</v>
      </c>
      <c r="W92" s="38">
        <f>IF((ዕቁብ!X94/ቦኖ!$C$4&gt;0),1,0)</f>
        <v>1</v>
      </c>
      <c r="X92" s="38">
        <f>IF((ዕቁብ!Y94/ቦኖ!$C$4&gt;0),1,0)</f>
        <v>1</v>
      </c>
      <c r="Y92" s="38">
        <f>IF((ዕቁብ!Z94/ቦኖ!$C$4&gt;0),1,0)</f>
        <v>1</v>
      </c>
      <c r="Z92" s="38">
        <f>IF((ዕቁብ!AA94/ቦኖ!$C$4&gt;0),1,0)</f>
        <v>1</v>
      </c>
      <c r="AA92" s="38">
        <f>IF((ዕቁብ!AB94/ቦኖ!$C$4&gt;0),1,0)</f>
        <v>0</v>
      </c>
      <c r="AB92" s="38">
        <f>IF((ዕቁብ!AC94/ቦኖ!$C$4&gt;0),1,0)</f>
        <v>1</v>
      </c>
      <c r="AC92" s="38">
        <f>IF((ዕቁብ!AD94/ቦኖ!$C$4&gt;0),1,0)</f>
        <v>1</v>
      </c>
      <c r="AD92" s="38">
        <f>IF((ዕቁብ!AE94/ቦኖ!$C$4&gt;0),1,0)</f>
        <v>0</v>
      </c>
      <c r="AE92" s="38">
        <f>IF((ዕቁብ!AF94/ቦኖ!$C$4&gt;0),1,0)</f>
        <v>1</v>
      </c>
      <c r="AF92" s="38">
        <f>IF((ዕቁብ!AG94/ቦኖ!$C$4&gt;0),1,0)</f>
        <v>0</v>
      </c>
      <c r="AG92" s="38">
        <f>IF((ዕቁብ!AH94/ቦኖ!$C$4&gt;0),1,0)</f>
        <v>1</v>
      </c>
      <c r="AH92" s="38">
        <f>IF((ዕቁብ!AI94/ቦኖ!$C$4&gt;0),1,0)</f>
        <v>0</v>
      </c>
      <c r="AI92" s="38">
        <f>IF((ዕቁብ!AJ94/ቦኖ!$C$4&gt;0),1,0)</f>
        <v>1</v>
      </c>
      <c r="AJ92" s="38">
        <f>IF((ዕቁብ!AK94/ቦኖ!$C$4&gt;0),1,0)</f>
        <v>0</v>
      </c>
      <c r="AK92" s="38">
        <f>IF((ዕቁብ!AL94/ቦኖ!$C$4&gt;0),1,0)</f>
        <v>1</v>
      </c>
      <c r="AL92" s="38">
        <f>IF((ዕቁብ!AM94/ቦኖ!$C$4&gt;0),1,0)</f>
        <v>1</v>
      </c>
      <c r="AM92" s="38">
        <f>IF((ዕቁብ!AN94/ቦኖ!$C$4&gt;0),1,0)</f>
        <v>1</v>
      </c>
      <c r="AN92" s="38">
        <f>IF((ዕቁብ!AO94/ቦኖ!$C$4&gt;0),1,0)</f>
        <v>0</v>
      </c>
      <c r="AO92" s="38">
        <f>IF((ዕቁብ!AP94/ቦኖ!$C$4&gt;0),1,0)</f>
        <v>1</v>
      </c>
      <c r="AP92" s="38">
        <f>IF((ዕቁብ!AQ94/ቦኖ!$C$4&gt;0),1,0)</f>
        <v>1</v>
      </c>
      <c r="AQ92" s="38">
        <f>IF((ዕቁብ!AR94/ቦኖ!$C$4&gt;0),1,0)</f>
        <v>0</v>
      </c>
      <c r="AR92" s="38">
        <f>IF((ዕቁብ!AS94/ቦኖ!$C$4&gt;0),1,0)</f>
        <v>1</v>
      </c>
      <c r="AS92" s="38">
        <f>IF((ዕቁብ!AT94/ቦኖ!$C$4&gt;0),1,0)</f>
        <v>1</v>
      </c>
      <c r="AT92" s="38">
        <f>IF((ዕቁብ!AU94/ቦኖ!$C$4&gt;0),1,0)</f>
        <v>0</v>
      </c>
      <c r="AU92" s="38">
        <f>IF((ዕቁብ!AV94/ቦኖ!$C$4&gt;0),1,0)</f>
        <v>1</v>
      </c>
      <c r="AV92" s="38">
        <f>IF((ዕቁብ!AW94/ቦኖ!$C$4&gt;0),1,0)</f>
        <v>0</v>
      </c>
      <c r="AW92" s="38">
        <f>IF((ዕቁብ!AX94/ቦኖ!$C$4&gt;0),1,0)</f>
        <v>1</v>
      </c>
      <c r="AX92" s="38">
        <f>IF((ዕቁብ!AY94/ቦኖ!$C$4&gt;0),1,0)</f>
        <v>1</v>
      </c>
      <c r="AY92" s="38">
        <f>IF((ዕቁብ!AZ94/ቦኖ!$C$4&gt;0),1,0)</f>
        <v>1</v>
      </c>
      <c r="AZ92" s="38">
        <f>IF((ዕቁብ!BA94/ቦኖ!$C$4&gt;0),1,0)</f>
        <v>1</v>
      </c>
      <c r="BA92" s="38">
        <f>IF((ዕቁብ!BB94/ቦኖ!$C$4&gt;0),1,0)</f>
        <v>1</v>
      </c>
      <c r="BB92" s="38">
        <f>IF((ዕቁብ!BC94/ቦኖ!$C$4&gt;0),1,0)</f>
        <v>1</v>
      </c>
      <c r="BC92" s="38">
        <f>IF((ዕቁብ!BD94/ቦኖ!$C$4&gt;0),1,0)</f>
        <v>1</v>
      </c>
      <c r="BD92" s="38">
        <f>IF((ዕቁብ!BE94/ቦኖ!$C$4&gt;0),1,0)</f>
        <v>0</v>
      </c>
      <c r="BE92" s="38">
        <f>IF((ዕቁብ!BF94/ቦኖ!$C$4&gt;0),1,0)</f>
        <v>1</v>
      </c>
      <c r="BF92" s="38">
        <f>IF((ዕቁብ!BG94/ቦኖ!$C$4&gt;0),1,0)</f>
        <v>1</v>
      </c>
      <c r="BG92" s="38">
        <f>IF((ዕቁብ!BH94/ቦኖ!$C$4&gt;0),1,0)</f>
        <v>0</v>
      </c>
      <c r="BH92" s="38">
        <f>IF((ዕቁብ!BI94/ቦኖ!$C$4&gt;0),1,0)</f>
        <v>1</v>
      </c>
      <c r="BI92" s="38">
        <f>IF((ዕቁብ!BJ94/ቦኖ!$C$4&gt;0),1,0)</f>
        <v>0</v>
      </c>
      <c r="BJ92" s="38">
        <f>IF((ዕቁብ!BK94/ቦኖ!$C$4&gt;0),1,0)</f>
        <v>1</v>
      </c>
      <c r="BK92" s="38">
        <f>IF((ዕቁብ!BL94/ቦኖ!$C$4&gt;0),1,0)</f>
        <v>1</v>
      </c>
      <c r="BL92" s="38">
        <f>IF((ዕቁብ!BM94/ቦኖ!$C$4&gt;0),1,0)</f>
        <v>1</v>
      </c>
      <c r="BM92" s="38">
        <f>IF((ዕቁብ!BN94/ቦኖ!$C$4&gt;0),1,0)</f>
        <v>0</v>
      </c>
      <c r="BN92" s="38">
        <f>IF((ዕቁብ!BO94/ቦኖ!$C$4&gt;0),1,0)</f>
        <v>1</v>
      </c>
      <c r="BO92" s="38">
        <f>IF((ዕቁብ!BP94/ቦኖ!$C$4&gt;0),1,0)</f>
        <v>0</v>
      </c>
      <c r="BP92" s="38">
        <f>IF((ዕቁብ!BQ94/ቦኖ!$C$4&gt;0),1,0)</f>
        <v>1</v>
      </c>
      <c r="BQ92" s="38">
        <f>IF((ዕቁብ!BR94/ቦኖ!$C$4&gt;0),1,0)</f>
        <v>1</v>
      </c>
      <c r="BR92" s="38">
        <f>IF((ዕቁብ!BS94/ቦኖ!$C$4&gt;0),1,0)</f>
        <v>1</v>
      </c>
      <c r="BS92" s="38">
        <f>IF((ዕቁብ!BT94/ቦኖ!$C$4&gt;0),1,0)</f>
        <v>1</v>
      </c>
      <c r="BT92" s="38">
        <f>IF((ዕቁብ!BU94/ቦኖ!$C$4&gt;0),1,0)</f>
        <v>1</v>
      </c>
      <c r="BU92" s="38">
        <f>IF((ዕቁብ!BV94/ቦኖ!$C$4&gt;0),1,0)</f>
        <v>0</v>
      </c>
      <c r="BV92" s="38">
        <f>IF((ዕቁብ!BW94/ቦኖ!$C$4&gt;0),1,0)</f>
        <v>0</v>
      </c>
      <c r="BW92" s="38">
        <f>IF((ዕቁብ!BX94/ቦኖ!$C$4&gt;0),1,0)</f>
        <v>1</v>
      </c>
      <c r="BX92" s="38">
        <f>IF((ዕቁብ!BY94/ቦኖ!$C$4&gt;0),1,0)</f>
        <v>0</v>
      </c>
      <c r="BY92" s="38">
        <f>IF((ዕቁብ!BZ94/ቦኖ!$C$4&gt;0),1,0)</f>
        <v>0</v>
      </c>
      <c r="BZ92" s="38">
        <f>IF((ዕቁብ!CA94/ቦኖ!$C$4&gt;0),1,0)</f>
        <v>1</v>
      </c>
      <c r="CA92" s="38">
        <f>IF((ዕቁብ!CB94/ቦኖ!$C$4&gt;0),1,0)</f>
        <v>1</v>
      </c>
      <c r="CB92" s="38">
        <f>IF((ዕቁብ!CC94/ቦኖ!$C$4&gt;0),1,0)</f>
        <v>0</v>
      </c>
      <c r="CC92" s="38">
        <f>IF((ዕቁብ!CD94/ቦኖ!$C$4&gt;0),1,0)</f>
        <v>1</v>
      </c>
      <c r="CD92" s="38">
        <f>IF((ዕቁብ!CE94/ቦኖ!$C$4&gt;0),1,0)</f>
        <v>0</v>
      </c>
      <c r="CE92" s="38">
        <f>IF((ዕቁብ!CF94/ቦኖ!$C$4&gt;0),1,0)</f>
        <v>0</v>
      </c>
      <c r="CF92" s="38">
        <f>IF((ዕቁብ!CG94/ቦኖ!$C$4&gt;0),1,0)</f>
        <v>0</v>
      </c>
      <c r="CG92" s="38">
        <f>IF((ዕቁብ!CH94/ቦኖ!$C$4&gt;0),1,0)</f>
        <v>1</v>
      </c>
      <c r="CH92" s="38">
        <f>IF((ዕቁብ!CI94/ቦኖ!$C$4&gt;0),1,0)</f>
        <v>1</v>
      </c>
      <c r="CI92" s="38">
        <f>IF((ዕቁብ!CJ94/ቦኖ!$C$4&gt;0),1,0)</f>
        <v>0</v>
      </c>
      <c r="CJ92" s="38">
        <f>IF((ዕቁብ!CK94/ቦኖ!$C$4&gt;0),1,0)</f>
        <v>1</v>
      </c>
      <c r="CK92" s="38">
        <f>IF((ዕቁብ!CL94/ቦኖ!$C$4&gt;0),1,0)</f>
        <v>0</v>
      </c>
      <c r="CL92" s="38">
        <f>IF((ዕቁብ!CM94/ቦኖ!$C$4&gt;0),1,0)</f>
        <v>0</v>
      </c>
      <c r="CM92" s="38">
        <f>IF((ዕቁብ!CN94/ቦኖ!$C$4&gt;0),1,0)</f>
        <v>1</v>
      </c>
      <c r="CN92" s="38">
        <f>IF((ዕቁብ!CO94/ቦኖ!$C$4&gt;0),1,0)</f>
        <v>1</v>
      </c>
      <c r="CO92" s="38">
        <f>IF((ዕቁብ!CP94/ቦኖ!$C$4&gt;0),1,0)</f>
        <v>1</v>
      </c>
      <c r="CP92" s="38">
        <f>IF((ዕቁብ!CQ94/ቦኖ!$C$4&gt;0),1,0)</f>
        <v>1</v>
      </c>
      <c r="CQ92" s="38">
        <f>IF((ዕቁብ!CR94/ቦኖ!$C$4&gt;0),1,0)</f>
        <v>0</v>
      </c>
      <c r="CR92" s="38">
        <f>IF((ዕቁብ!CS94/ቦኖ!$C$4&gt;0),1,0)</f>
        <v>1</v>
      </c>
      <c r="CS92" s="38">
        <f>IF((ዕቁብ!CT94/ቦኖ!$C$4&gt;0),1,0)</f>
        <v>1</v>
      </c>
      <c r="CT92" s="38">
        <f>IF((ዕቁብ!CU94/ቦኖ!$C$4&gt;0),1,0)</f>
        <v>0</v>
      </c>
      <c r="CU92" s="38">
        <f>IF((ዕቁብ!CV94/ቦኖ!$C$4&gt;0),1,0)</f>
        <v>0</v>
      </c>
      <c r="CV92" s="38">
        <f>IF((ዕቁብ!CW94/ቦኖ!$C$4&gt;0),1,0)</f>
        <v>0</v>
      </c>
      <c r="CW92" s="38">
        <f>IF((ዕቁብ!CX94/ቦኖ!$C$4&gt;0),1,0)</f>
        <v>0</v>
      </c>
      <c r="CX92" s="38">
        <f>IF((ዕቁብ!CY94/ቦኖ!$C$4&gt;0),1,0)</f>
        <v>0</v>
      </c>
      <c r="CY92" s="38">
        <f>IF((ዕቁብ!CZ94/ቦኖ!$C$4&gt;0),1,0)</f>
        <v>0</v>
      </c>
      <c r="CZ92" s="38">
        <f>IF((ዕቁብ!DA94/ቦኖ!$C$4&gt;0),1,0)</f>
        <v>1</v>
      </c>
      <c r="DA92" s="38">
        <f>IF((ዕቁብ!DB94/ቦኖ!$C$4&gt;0),1,0)</f>
        <v>1</v>
      </c>
      <c r="DB92" s="38">
        <f>IF((ዕቁብ!DC94/ቦኖ!$C$4&gt;0),1,0)</f>
        <v>0</v>
      </c>
      <c r="DC92" s="38">
        <f>IF((ዕቁብ!DD94/ቦኖ!$C$4&gt;0),1,0)</f>
        <v>0</v>
      </c>
      <c r="DD92" s="38">
        <f>IF((ዕቁብ!DE94/ቦኖ!$C$4&gt;0),1,0)</f>
        <v>0</v>
      </c>
      <c r="DE92" s="38">
        <f>IF((ዕቁብ!DF94/ቦኖ!$C$4&gt;0),1,0)</f>
        <v>0</v>
      </c>
      <c r="DF92" s="38">
        <f>IF((ዕቁብ!DG94/ቦኖ!$C$4&gt;0),1,0)</f>
        <v>1</v>
      </c>
      <c r="DG92" s="38">
        <f>IF((ዕቁብ!DH94/ቦኖ!$C$4&gt;0),1,0)</f>
        <v>0</v>
      </c>
      <c r="DH92" s="38">
        <f>IF((ዕቁብ!DI94/ቦኖ!$C$4&gt;0),1,0)</f>
        <v>0</v>
      </c>
      <c r="DI92" s="38">
        <f>IF((ዕቁብ!DJ94/ቦኖ!$C$4&gt;0),1,0)</f>
        <v>0</v>
      </c>
      <c r="DJ92" s="38">
        <f>IF((ዕቁብ!DK94/ቦኖ!$C$4&gt;0),1,0)</f>
        <v>0</v>
      </c>
      <c r="DK92" s="38">
        <f>IF((ዕቁብ!DL94/ቦኖ!$C$4&gt;0),1,0)</f>
        <v>0</v>
      </c>
      <c r="DL92" s="38">
        <f>IF((ዕቁብ!DM94/ቦኖ!$C$4&gt;0),1,0)</f>
        <v>0</v>
      </c>
      <c r="DM92" s="38">
        <f>IF((ዕቁብ!DN94/ቦኖ!$C$4&gt;0),1,0)</f>
        <v>0</v>
      </c>
      <c r="DN92" s="38">
        <f>IF((ዕቁብ!DO94/ቦኖ!$C$4&gt;0),1,0)</f>
        <v>0</v>
      </c>
      <c r="DO92" s="38">
        <f>IF((ዕቁብ!DP94/ቦኖ!$C$4&gt;0),1,0)</f>
        <v>0</v>
      </c>
      <c r="DP92" s="38">
        <f>IF((ዕቁብ!DQ94/ቦኖ!$C$4&gt;0),1,0)</f>
        <v>0</v>
      </c>
      <c r="DQ92" s="38">
        <f>IF((ዕቁብ!DR94/ቦኖ!$C$4&gt;0),1,0)</f>
        <v>0</v>
      </c>
    </row>
    <row r="93" spans="1:121" ht="15.75" customHeight="1" x14ac:dyDescent="0.3">
      <c r="A93" s="33">
        <f>ዕቁብ!A95</f>
        <v>89</v>
      </c>
      <c r="B93" s="33" t="str">
        <f>ዕቁብ!B95</f>
        <v xml:space="preserve">ስለሺ ግርማ </v>
      </c>
      <c r="C93" s="37">
        <f>ዕቁብ!C95</f>
        <v>21000</v>
      </c>
      <c r="D93" s="38">
        <f>IF((ዕቁብ!E95/ቦኖ!$C$4&gt;0),1,0)</f>
        <v>1</v>
      </c>
      <c r="E93" s="38">
        <f>IF((ዕቁብ!F95/ቦኖ!$C$4&gt;0),1,0)</f>
        <v>1</v>
      </c>
      <c r="F93" s="38">
        <f>IF((ዕቁብ!G95/ቦኖ!$C$4&gt;0),1,0)</f>
        <v>1</v>
      </c>
      <c r="G93" s="38">
        <f>IF((ዕቁብ!H95/ቦኖ!$C$4&gt;0),1,0)</f>
        <v>1</v>
      </c>
      <c r="H93" s="38">
        <f>IF((ዕቁብ!I95/ቦኖ!$C$4&gt;0),1,0)</f>
        <v>1</v>
      </c>
      <c r="I93" s="38">
        <f>IF((ዕቁብ!J95/ቦኖ!$C$4&gt;0),1,0)</f>
        <v>1</v>
      </c>
      <c r="J93" s="38">
        <f>IF((ዕቁብ!K95/ቦኖ!$C$4&gt;0),1,0)</f>
        <v>1</v>
      </c>
      <c r="K93" s="38">
        <f>IF((ዕቁብ!L95/ቦኖ!$C$4&gt;0),1,0)</f>
        <v>1</v>
      </c>
      <c r="L93" s="38">
        <f>IF((ዕቁብ!M95/ቦኖ!$C$4&gt;0),1,0)</f>
        <v>1</v>
      </c>
      <c r="M93" s="38">
        <f>IF((ዕቁብ!N95/ቦኖ!$C$4&gt;0),1,0)</f>
        <v>1</v>
      </c>
      <c r="N93" s="38">
        <f>IF((ዕቁብ!O95/ቦኖ!$C$4&gt;0),1,0)</f>
        <v>1</v>
      </c>
      <c r="O93" s="38">
        <f>IF((ዕቁብ!P95/ቦኖ!$C$4&gt;0),1,0)</f>
        <v>1</v>
      </c>
      <c r="P93" s="38">
        <f>IF((ዕቁብ!Q95/ቦኖ!$C$4&gt;0),1,0)</f>
        <v>1</v>
      </c>
      <c r="Q93" s="38">
        <f>IF((ዕቁብ!R95/ቦኖ!$C$4&gt;0),1,0)</f>
        <v>1</v>
      </c>
      <c r="R93" s="38">
        <f>IF((ዕቁብ!S95/ቦኖ!$C$4&gt;0),1,0)</f>
        <v>1</v>
      </c>
      <c r="S93" s="38">
        <f>IF((ዕቁብ!T95/ቦኖ!$C$4&gt;0),1,0)</f>
        <v>1</v>
      </c>
      <c r="T93" s="38">
        <f>IF((ዕቁብ!U95/ቦኖ!$C$4&gt;0),1,0)</f>
        <v>1</v>
      </c>
      <c r="U93" s="38">
        <f>IF((ዕቁብ!V95/ቦኖ!$C$4&gt;0),1,0)</f>
        <v>1</v>
      </c>
      <c r="V93" s="38">
        <f>IF((ዕቁብ!W95/ቦኖ!$C$4&gt;0),1,0)</f>
        <v>1</v>
      </c>
      <c r="W93" s="38">
        <f>IF((ዕቁብ!X95/ቦኖ!$C$4&gt;0),1,0)</f>
        <v>1</v>
      </c>
      <c r="X93" s="38">
        <f>IF((ዕቁብ!Y95/ቦኖ!$C$4&gt;0),1,0)</f>
        <v>1</v>
      </c>
      <c r="Y93" s="38">
        <f>IF((ዕቁብ!Z95/ቦኖ!$C$4&gt;0),1,0)</f>
        <v>1</v>
      </c>
      <c r="Z93" s="38">
        <f>IF((ዕቁብ!AA95/ቦኖ!$C$4&gt;0),1,0)</f>
        <v>1</v>
      </c>
      <c r="AA93" s="38">
        <f>IF((ዕቁብ!AB95/ቦኖ!$C$4&gt;0),1,0)</f>
        <v>1</v>
      </c>
      <c r="AB93" s="38">
        <f>IF((ዕቁብ!AC95/ቦኖ!$C$4&gt;0),1,0)</f>
        <v>1</v>
      </c>
      <c r="AC93" s="38">
        <f>IF((ዕቁብ!AD95/ቦኖ!$C$4&gt;0),1,0)</f>
        <v>1</v>
      </c>
      <c r="AD93" s="38">
        <f>IF((ዕቁብ!AE95/ቦኖ!$C$4&gt;0),1,0)</f>
        <v>1</v>
      </c>
      <c r="AE93" s="38">
        <f>IF((ዕቁብ!AF95/ቦኖ!$C$4&gt;0),1,0)</f>
        <v>1</v>
      </c>
      <c r="AF93" s="38">
        <f>IF((ዕቁብ!AG95/ቦኖ!$C$4&gt;0),1,0)</f>
        <v>1</v>
      </c>
      <c r="AG93" s="38">
        <f>IF((ዕቁብ!AH95/ቦኖ!$C$4&gt;0),1,0)</f>
        <v>1</v>
      </c>
      <c r="AH93" s="38">
        <f>IF((ዕቁብ!AI95/ቦኖ!$C$4&gt;0),1,0)</f>
        <v>1</v>
      </c>
      <c r="AI93" s="38">
        <f>IF((ዕቁብ!AJ95/ቦኖ!$C$4&gt;0),1,0)</f>
        <v>1</v>
      </c>
      <c r="AJ93" s="38">
        <f>IF((ዕቁብ!AK95/ቦኖ!$C$4&gt;0),1,0)</f>
        <v>1</v>
      </c>
      <c r="AK93" s="38">
        <f>IF((ዕቁብ!AL95/ቦኖ!$C$4&gt;0),1,0)</f>
        <v>1</v>
      </c>
      <c r="AL93" s="38">
        <f>IF((ዕቁብ!AM95/ቦኖ!$C$4&gt;0),1,0)</f>
        <v>1</v>
      </c>
      <c r="AM93" s="38">
        <f>IF((ዕቁብ!AN95/ቦኖ!$C$4&gt;0),1,0)</f>
        <v>1</v>
      </c>
      <c r="AN93" s="38">
        <f>IF((ዕቁብ!AO95/ቦኖ!$C$4&gt;0),1,0)</f>
        <v>1</v>
      </c>
      <c r="AO93" s="38">
        <f>IF((ዕቁብ!AP95/ቦኖ!$C$4&gt;0),1,0)</f>
        <v>1</v>
      </c>
      <c r="AP93" s="38">
        <f>IF((ዕቁብ!AQ95/ቦኖ!$C$4&gt;0),1,0)</f>
        <v>1</v>
      </c>
      <c r="AQ93" s="38">
        <f>IF((ዕቁብ!AR95/ቦኖ!$C$4&gt;0),1,0)</f>
        <v>1</v>
      </c>
      <c r="AR93" s="38">
        <f>IF((ዕቁብ!AS95/ቦኖ!$C$4&gt;0),1,0)</f>
        <v>1</v>
      </c>
      <c r="AS93" s="38">
        <f>IF((ዕቁብ!AT95/ቦኖ!$C$4&gt;0),1,0)</f>
        <v>1</v>
      </c>
      <c r="AT93" s="38">
        <f>IF((ዕቁብ!AU95/ቦኖ!$C$4&gt;0),1,0)</f>
        <v>1</v>
      </c>
      <c r="AU93" s="38">
        <f>IF((ዕቁብ!AV95/ቦኖ!$C$4&gt;0),1,0)</f>
        <v>1</v>
      </c>
      <c r="AV93" s="38">
        <f>IF((ዕቁብ!AW95/ቦኖ!$C$4&gt;0),1,0)</f>
        <v>1</v>
      </c>
      <c r="AW93" s="38">
        <f>IF((ዕቁብ!AX95/ቦኖ!$C$4&gt;0),1,0)</f>
        <v>1</v>
      </c>
      <c r="AX93" s="38">
        <f>IF((ዕቁብ!AY95/ቦኖ!$C$4&gt;0),1,0)</f>
        <v>1</v>
      </c>
      <c r="AY93" s="38">
        <f>IF((ዕቁብ!AZ95/ቦኖ!$C$4&gt;0),1,0)</f>
        <v>1</v>
      </c>
      <c r="AZ93" s="38">
        <f>IF((ዕቁብ!BA95/ቦኖ!$C$4&gt;0),1,0)</f>
        <v>1</v>
      </c>
      <c r="BA93" s="38">
        <f>IF((ዕቁብ!BB95/ቦኖ!$C$4&gt;0),1,0)</f>
        <v>1</v>
      </c>
      <c r="BB93" s="38">
        <f>IF((ዕቁብ!BC95/ቦኖ!$C$4&gt;0),1,0)</f>
        <v>1</v>
      </c>
      <c r="BC93" s="38">
        <f>IF((ዕቁብ!BD95/ቦኖ!$C$4&gt;0),1,0)</f>
        <v>1</v>
      </c>
      <c r="BD93" s="38">
        <f>IF((ዕቁብ!BE95/ቦኖ!$C$4&gt;0),1,0)</f>
        <v>1</v>
      </c>
      <c r="BE93" s="38">
        <f>IF((ዕቁብ!BF95/ቦኖ!$C$4&gt;0),1,0)</f>
        <v>1</v>
      </c>
      <c r="BF93" s="38">
        <f>IF((ዕቁብ!BG95/ቦኖ!$C$4&gt;0),1,0)</f>
        <v>1</v>
      </c>
      <c r="BG93" s="38">
        <f>IF((ዕቁብ!BH95/ቦኖ!$C$4&gt;0),1,0)</f>
        <v>1</v>
      </c>
      <c r="BH93" s="38">
        <f>IF((ዕቁብ!BI95/ቦኖ!$C$4&gt;0),1,0)</f>
        <v>1</v>
      </c>
      <c r="BI93" s="38">
        <f>IF((ዕቁብ!BJ95/ቦኖ!$C$4&gt;0),1,0)</f>
        <v>1</v>
      </c>
      <c r="BJ93" s="38">
        <f>IF((ዕቁብ!BK95/ቦኖ!$C$4&gt;0),1,0)</f>
        <v>1</v>
      </c>
      <c r="BK93" s="38">
        <f>IF((ዕቁብ!BL95/ቦኖ!$C$4&gt;0),1,0)</f>
        <v>1</v>
      </c>
      <c r="BL93" s="38">
        <f>IF((ዕቁብ!BM95/ቦኖ!$C$4&gt;0),1,0)</f>
        <v>1</v>
      </c>
      <c r="BM93" s="38">
        <f>IF((ዕቁብ!BN95/ቦኖ!$C$4&gt;0),1,0)</f>
        <v>0</v>
      </c>
      <c r="BN93" s="38">
        <f>IF((ዕቁብ!BO95/ቦኖ!$C$4&gt;0),1,0)</f>
        <v>1</v>
      </c>
      <c r="BO93" s="38">
        <f>IF((ዕቁብ!BP95/ቦኖ!$C$4&gt;0),1,0)</f>
        <v>1</v>
      </c>
      <c r="BP93" s="38">
        <f>IF((ዕቁብ!BQ95/ቦኖ!$C$4&gt;0),1,0)</f>
        <v>1</v>
      </c>
      <c r="BQ93" s="38">
        <f>IF((ዕቁብ!BR95/ቦኖ!$C$4&gt;0),1,0)</f>
        <v>1</v>
      </c>
      <c r="BR93" s="38">
        <f>IF((ዕቁብ!BS95/ቦኖ!$C$4&gt;0),1,0)</f>
        <v>1</v>
      </c>
      <c r="BS93" s="38">
        <f>IF((ዕቁብ!BT95/ቦኖ!$C$4&gt;0),1,0)</f>
        <v>1</v>
      </c>
      <c r="BT93" s="38">
        <f>IF((ዕቁብ!BU95/ቦኖ!$C$4&gt;0),1,0)</f>
        <v>1</v>
      </c>
      <c r="BU93" s="38">
        <f>IF((ዕቁብ!BV95/ቦኖ!$C$4&gt;0),1,0)</f>
        <v>1</v>
      </c>
      <c r="BV93" s="38">
        <f>IF((ዕቁብ!BW95/ቦኖ!$C$4&gt;0),1,0)</f>
        <v>1</v>
      </c>
      <c r="BW93" s="38">
        <f>IF((ዕቁብ!BX95/ቦኖ!$C$4&gt;0),1,0)</f>
        <v>1</v>
      </c>
      <c r="BX93" s="38">
        <f>IF((ዕቁብ!BY95/ቦኖ!$C$4&gt;0),1,0)</f>
        <v>1</v>
      </c>
      <c r="BY93" s="38">
        <f>IF((ዕቁብ!BZ95/ቦኖ!$C$4&gt;0),1,0)</f>
        <v>1</v>
      </c>
      <c r="BZ93" s="38">
        <f>IF((ዕቁብ!CA95/ቦኖ!$C$4&gt;0),1,0)</f>
        <v>1</v>
      </c>
      <c r="CA93" s="38">
        <f>IF((ዕቁብ!CB95/ቦኖ!$C$4&gt;0),1,0)</f>
        <v>1</v>
      </c>
      <c r="CB93" s="38">
        <f>IF((ዕቁብ!CC95/ቦኖ!$C$4&gt;0),1,0)</f>
        <v>1</v>
      </c>
      <c r="CC93" s="38">
        <f>IF((ዕቁብ!CD95/ቦኖ!$C$4&gt;0),1,0)</f>
        <v>1</v>
      </c>
      <c r="CD93" s="38">
        <f>IF((ዕቁብ!CE95/ቦኖ!$C$4&gt;0),1,0)</f>
        <v>0</v>
      </c>
      <c r="CE93" s="38">
        <f>IF((ዕቁብ!CF95/ቦኖ!$C$4&gt;0),1,0)</f>
        <v>1</v>
      </c>
      <c r="CF93" s="38">
        <f>IF((ዕቁብ!CG95/ቦኖ!$C$4&gt;0),1,0)</f>
        <v>1</v>
      </c>
      <c r="CG93" s="38">
        <f>IF((ዕቁብ!CH95/ቦኖ!$C$4&gt;0),1,0)</f>
        <v>0</v>
      </c>
      <c r="CH93" s="38">
        <f>IF((ዕቁብ!CI95/ቦኖ!$C$4&gt;0),1,0)</f>
        <v>1</v>
      </c>
      <c r="CI93" s="38">
        <f>IF((ዕቁብ!CJ95/ቦኖ!$C$4&gt;0),1,0)</f>
        <v>0</v>
      </c>
      <c r="CJ93" s="38">
        <f>IF((ዕቁብ!CK95/ቦኖ!$C$4&gt;0),1,0)</f>
        <v>1</v>
      </c>
      <c r="CK93" s="38">
        <f>IF((ዕቁብ!CL95/ቦኖ!$C$4&gt;0),1,0)</f>
        <v>1</v>
      </c>
      <c r="CL93" s="38">
        <f>IF((ዕቁብ!CM95/ቦኖ!$C$4&gt;0),1,0)</f>
        <v>0</v>
      </c>
      <c r="CM93" s="38">
        <f>IF((ዕቁብ!CN95/ቦኖ!$C$4&gt;0),1,0)</f>
        <v>1</v>
      </c>
      <c r="CN93" s="38">
        <f>IF((ዕቁብ!CO95/ቦኖ!$C$4&gt;0),1,0)</f>
        <v>1</v>
      </c>
      <c r="CO93" s="38">
        <f>IF((ዕቁብ!CP95/ቦኖ!$C$4&gt;0),1,0)</f>
        <v>1</v>
      </c>
      <c r="CP93" s="38">
        <f>IF((ዕቁብ!CQ95/ቦኖ!$C$4&gt;0),1,0)</f>
        <v>0</v>
      </c>
      <c r="CQ93" s="38">
        <f>IF((ዕቁብ!CR95/ቦኖ!$C$4&gt;0),1,0)</f>
        <v>0</v>
      </c>
      <c r="CR93" s="38">
        <f>IF((ዕቁብ!CS95/ቦኖ!$C$4&gt;0),1,0)</f>
        <v>1</v>
      </c>
      <c r="CS93" s="38">
        <f>IF((ዕቁብ!CT95/ቦኖ!$C$4&gt;0),1,0)</f>
        <v>1</v>
      </c>
      <c r="CT93" s="38">
        <f>IF((ዕቁብ!CU95/ቦኖ!$C$4&gt;0),1,0)</f>
        <v>0</v>
      </c>
      <c r="CU93" s="38">
        <f>IF((ዕቁብ!CV95/ቦኖ!$C$4&gt;0),1,0)</f>
        <v>1</v>
      </c>
      <c r="CV93" s="38">
        <f>IF((ዕቁብ!CW95/ቦኖ!$C$4&gt;0),1,0)</f>
        <v>1</v>
      </c>
      <c r="CW93" s="38">
        <f>IF((ዕቁብ!CX95/ቦኖ!$C$4&gt;0),1,0)</f>
        <v>1</v>
      </c>
      <c r="CX93" s="38">
        <f>IF((ዕቁብ!CY95/ቦኖ!$C$4&gt;0),1,0)</f>
        <v>0</v>
      </c>
      <c r="CY93" s="38">
        <f>IF((ዕቁብ!CZ95/ቦኖ!$C$4&gt;0),1,0)</f>
        <v>1</v>
      </c>
      <c r="CZ93" s="38">
        <f>IF((ዕቁብ!DA95/ቦኖ!$C$4&gt;0),1,0)</f>
        <v>0</v>
      </c>
      <c r="DA93" s="38">
        <f>IF((ዕቁብ!DB95/ቦኖ!$C$4&gt;0),1,0)</f>
        <v>1</v>
      </c>
      <c r="DB93" s="38">
        <f>IF((ዕቁብ!DC95/ቦኖ!$C$4&gt;0),1,0)</f>
        <v>1</v>
      </c>
      <c r="DC93" s="38">
        <f>IF((ዕቁብ!DD95/ቦኖ!$C$4&gt;0),1,0)</f>
        <v>1</v>
      </c>
      <c r="DD93" s="38">
        <f>IF((ዕቁብ!DE95/ቦኖ!$C$4&gt;0),1,0)</f>
        <v>1</v>
      </c>
      <c r="DE93" s="38">
        <f>IF((ዕቁብ!DF95/ቦኖ!$C$4&gt;0),1,0)</f>
        <v>1</v>
      </c>
      <c r="DF93" s="38">
        <f>IF((ዕቁብ!DG95/ቦኖ!$C$4&gt;0),1,0)</f>
        <v>1</v>
      </c>
      <c r="DG93" s="38">
        <f>IF((ዕቁብ!DH95/ቦኖ!$C$4&gt;0),1,0)</f>
        <v>1</v>
      </c>
      <c r="DH93" s="38">
        <f>IF((ዕቁብ!DI95/ቦኖ!$C$4&gt;0),1,0)</f>
        <v>0</v>
      </c>
      <c r="DI93" s="38">
        <f>IF((ዕቁብ!DJ95/ቦኖ!$C$4&gt;0),1,0)</f>
        <v>0</v>
      </c>
      <c r="DJ93" s="38">
        <f>IF((ዕቁብ!DK95/ቦኖ!$C$4&gt;0),1,0)</f>
        <v>0</v>
      </c>
      <c r="DK93" s="38">
        <f>IF((ዕቁብ!DL95/ቦኖ!$C$4&gt;0),1,0)</f>
        <v>0</v>
      </c>
      <c r="DL93" s="38">
        <f>IF((ዕቁብ!DM95/ቦኖ!$C$4&gt;0),1,0)</f>
        <v>0</v>
      </c>
      <c r="DM93" s="38">
        <f>IF((ዕቁብ!DN95/ቦኖ!$C$4&gt;0),1,0)</f>
        <v>0</v>
      </c>
      <c r="DN93" s="38">
        <f>IF((ዕቁብ!DO95/ቦኖ!$C$4&gt;0),1,0)</f>
        <v>0</v>
      </c>
      <c r="DO93" s="38">
        <f>IF((ዕቁብ!DP95/ቦኖ!$C$4&gt;0),1,0)</f>
        <v>0</v>
      </c>
      <c r="DP93" s="38">
        <f>IF((ዕቁብ!DQ95/ቦኖ!$C$4&gt;0),1,0)</f>
        <v>0</v>
      </c>
      <c r="DQ93" s="38">
        <f>IF((ዕቁብ!DR95/ቦኖ!$C$4&gt;0),1,0)</f>
        <v>0</v>
      </c>
    </row>
    <row r="94" spans="1:121" ht="15.75" customHeight="1" x14ac:dyDescent="0.3">
      <c r="A94" s="33">
        <f>ዕቁብ!A96</f>
        <v>90</v>
      </c>
      <c r="B94" s="33" t="str">
        <f>ዕቁብ!B96</f>
        <v>ሰለሞን ግርማ</v>
      </c>
      <c r="C94" s="37">
        <f>ዕቁብ!C96</f>
        <v>21000</v>
      </c>
      <c r="D94" s="38">
        <f>IF((ዕቁብ!E96/ቦኖ!$C$4&gt;0),1,0)</f>
        <v>1</v>
      </c>
      <c r="E94" s="38">
        <f>IF((ዕቁብ!F96/ቦኖ!$C$4&gt;0),1,0)</f>
        <v>1</v>
      </c>
      <c r="F94" s="38">
        <f>IF((ዕቁብ!G96/ቦኖ!$C$4&gt;0),1,0)</f>
        <v>1</v>
      </c>
      <c r="G94" s="38">
        <f>IF((ዕቁብ!H96/ቦኖ!$C$4&gt;0),1,0)</f>
        <v>1</v>
      </c>
      <c r="H94" s="38">
        <f>IF((ዕቁብ!I96/ቦኖ!$C$4&gt;0),1,0)</f>
        <v>1</v>
      </c>
      <c r="I94" s="38">
        <f>IF((ዕቁብ!J96/ቦኖ!$C$4&gt;0),1,0)</f>
        <v>1</v>
      </c>
      <c r="J94" s="38">
        <f>IF((ዕቁብ!K96/ቦኖ!$C$4&gt;0),1,0)</f>
        <v>1</v>
      </c>
      <c r="K94" s="38">
        <f>IF((ዕቁብ!L96/ቦኖ!$C$4&gt;0),1,0)</f>
        <v>1</v>
      </c>
      <c r="L94" s="38">
        <f>IF((ዕቁብ!M96/ቦኖ!$C$4&gt;0),1,0)</f>
        <v>1</v>
      </c>
      <c r="M94" s="38">
        <f>IF((ዕቁብ!N96/ቦኖ!$C$4&gt;0),1,0)</f>
        <v>1</v>
      </c>
      <c r="N94" s="38">
        <f>IF((ዕቁብ!O96/ቦኖ!$C$4&gt;0),1,0)</f>
        <v>1</v>
      </c>
      <c r="O94" s="38">
        <f>IF((ዕቁብ!P96/ቦኖ!$C$4&gt;0),1,0)</f>
        <v>1</v>
      </c>
      <c r="P94" s="38">
        <f>IF((ዕቁብ!Q96/ቦኖ!$C$4&gt;0),1,0)</f>
        <v>1</v>
      </c>
      <c r="Q94" s="38">
        <f>IF((ዕቁብ!R96/ቦኖ!$C$4&gt;0),1,0)</f>
        <v>1</v>
      </c>
      <c r="R94" s="38">
        <f>IF((ዕቁብ!S96/ቦኖ!$C$4&gt;0),1,0)</f>
        <v>1</v>
      </c>
      <c r="S94" s="38">
        <f>IF((ዕቁብ!T96/ቦኖ!$C$4&gt;0),1,0)</f>
        <v>1</v>
      </c>
      <c r="T94" s="38">
        <f>IF((ዕቁብ!U96/ቦኖ!$C$4&gt;0),1,0)</f>
        <v>1</v>
      </c>
      <c r="U94" s="38">
        <f>IF((ዕቁብ!V96/ቦኖ!$C$4&gt;0),1,0)</f>
        <v>1</v>
      </c>
      <c r="V94" s="38">
        <f>IF((ዕቁብ!W96/ቦኖ!$C$4&gt;0),1,0)</f>
        <v>1</v>
      </c>
      <c r="W94" s="38">
        <f>IF((ዕቁብ!X96/ቦኖ!$C$4&gt;0),1,0)</f>
        <v>1</v>
      </c>
      <c r="X94" s="38">
        <f>IF((ዕቁብ!Y96/ቦኖ!$C$4&gt;0),1,0)</f>
        <v>1</v>
      </c>
      <c r="Y94" s="38">
        <f>IF((ዕቁብ!Z96/ቦኖ!$C$4&gt;0),1,0)</f>
        <v>1</v>
      </c>
      <c r="Z94" s="38">
        <f>IF((ዕቁብ!AA96/ቦኖ!$C$4&gt;0),1,0)</f>
        <v>1</v>
      </c>
      <c r="AA94" s="38">
        <f>IF((ዕቁብ!AB96/ቦኖ!$C$4&gt;0),1,0)</f>
        <v>0</v>
      </c>
      <c r="AB94" s="38">
        <f>IF((ዕቁብ!AC96/ቦኖ!$C$4&gt;0),1,0)</f>
        <v>1</v>
      </c>
      <c r="AC94" s="38">
        <f>IF((ዕቁብ!AD96/ቦኖ!$C$4&gt;0),1,0)</f>
        <v>1</v>
      </c>
      <c r="AD94" s="38">
        <f>IF((ዕቁብ!AE96/ቦኖ!$C$4&gt;0),1,0)</f>
        <v>1</v>
      </c>
      <c r="AE94" s="38">
        <f>IF((ዕቁብ!AF96/ቦኖ!$C$4&gt;0),1,0)</f>
        <v>1</v>
      </c>
      <c r="AF94" s="38">
        <f>IF((ዕቁብ!AG96/ቦኖ!$C$4&gt;0),1,0)</f>
        <v>1</v>
      </c>
      <c r="AG94" s="38">
        <f>IF((ዕቁብ!AH96/ቦኖ!$C$4&gt;0),1,0)</f>
        <v>1</v>
      </c>
      <c r="AH94" s="38">
        <f>IF((ዕቁብ!AI96/ቦኖ!$C$4&gt;0),1,0)</f>
        <v>1</v>
      </c>
      <c r="AI94" s="38">
        <f>IF((ዕቁብ!AJ96/ቦኖ!$C$4&gt;0),1,0)</f>
        <v>1</v>
      </c>
      <c r="AJ94" s="38">
        <f>IF((ዕቁብ!AK96/ቦኖ!$C$4&gt;0),1,0)</f>
        <v>1</v>
      </c>
      <c r="AK94" s="38">
        <f>IF((ዕቁብ!AL96/ቦኖ!$C$4&gt;0),1,0)</f>
        <v>1</v>
      </c>
      <c r="AL94" s="38">
        <f>IF((ዕቁብ!AM96/ቦኖ!$C$4&gt;0),1,0)</f>
        <v>1</v>
      </c>
      <c r="AM94" s="38">
        <f>IF((ዕቁብ!AN96/ቦኖ!$C$4&gt;0),1,0)</f>
        <v>1</v>
      </c>
      <c r="AN94" s="38">
        <f>IF((ዕቁብ!AO96/ቦኖ!$C$4&gt;0),1,0)</f>
        <v>1</v>
      </c>
      <c r="AO94" s="38">
        <f>IF((ዕቁብ!AP96/ቦኖ!$C$4&gt;0),1,0)</f>
        <v>1</v>
      </c>
      <c r="AP94" s="38">
        <f>IF((ዕቁብ!AQ96/ቦኖ!$C$4&gt;0),1,0)</f>
        <v>1</v>
      </c>
      <c r="AQ94" s="38">
        <f>IF((ዕቁብ!AR96/ቦኖ!$C$4&gt;0),1,0)</f>
        <v>1</v>
      </c>
      <c r="AR94" s="38">
        <f>IF((ዕቁብ!AS96/ቦኖ!$C$4&gt;0),1,0)</f>
        <v>1</v>
      </c>
      <c r="AS94" s="38">
        <f>IF((ዕቁብ!AT96/ቦኖ!$C$4&gt;0),1,0)</f>
        <v>1</v>
      </c>
      <c r="AT94" s="38">
        <f>IF((ዕቁብ!AU96/ቦኖ!$C$4&gt;0),1,0)</f>
        <v>1</v>
      </c>
      <c r="AU94" s="38">
        <f>IF((ዕቁብ!AV96/ቦኖ!$C$4&gt;0),1,0)</f>
        <v>1</v>
      </c>
      <c r="AV94" s="38">
        <f>IF((ዕቁብ!AW96/ቦኖ!$C$4&gt;0),1,0)</f>
        <v>1</v>
      </c>
      <c r="AW94" s="38">
        <f>IF((ዕቁብ!AX96/ቦኖ!$C$4&gt;0),1,0)</f>
        <v>1</v>
      </c>
      <c r="AX94" s="38">
        <f>IF((ዕቁብ!AY96/ቦኖ!$C$4&gt;0),1,0)</f>
        <v>1</v>
      </c>
      <c r="AY94" s="38">
        <f>IF((ዕቁብ!AZ96/ቦኖ!$C$4&gt;0),1,0)</f>
        <v>0</v>
      </c>
      <c r="AZ94" s="38">
        <f>IF((ዕቁብ!BA96/ቦኖ!$C$4&gt;0),1,0)</f>
        <v>1</v>
      </c>
      <c r="BA94" s="38">
        <f>IF((ዕቁብ!BB96/ቦኖ!$C$4&gt;0),1,0)</f>
        <v>1</v>
      </c>
      <c r="BB94" s="38">
        <f>IF((ዕቁብ!BC96/ቦኖ!$C$4&gt;0),1,0)</f>
        <v>1</v>
      </c>
      <c r="BC94" s="38">
        <f>IF((ዕቁብ!BD96/ቦኖ!$C$4&gt;0),1,0)</f>
        <v>0</v>
      </c>
      <c r="BD94" s="38">
        <f>IF((ዕቁብ!BE96/ቦኖ!$C$4&gt;0),1,0)</f>
        <v>1</v>
      </c>
      <c r="BE94" s="38">
        <f>IF((ዕቁብ!BF96/ቦኖ!$C$4&gt;0),1,0)</f>
        <v>1</v>
      </c>
      <c r="BF94" s="38">
        <f>IF((ዕቁብ!BG96/ቦኖ!$C$4&gt;0),1,0)</f>
        <v>1</v>
      </c>
      <c r="BG94" s="38">
        <f>IF((ዕቁብ!BH96/ቦኖ!$C$4&gt;0),1,0)</f>
        <v>1</v>
      </c>
      <c r="BH94" s="38">
        <f>IF((ዕቁብ!BI96/ቦኖ!$C$4&gt;0),1,0)</f>
        <v>1</v>
      </c>
      <c r="BI94" s="38">
        <f>IF((ዕቁብ!BJ96/ቦኖ!$C$4&gt;0),1,0)</f>
        <v>0</v>
      </c>
      <c r="BJ94" s="38">
        <f>IF((ዕቁብ!BK96/ቦኖ!$C$4&gt;0),1,0)</f>
        <v>1</v>
      </c>
      <c r="BK94" s="38">
        <f>IF((ዕቁብ!BL96/ቦኖ!$C$4&gt;0),1,0)</f>
        <v>1</v>
      </c>
      <c r="BL94" s="38">
        <f>IF((ዕቁብ!BM96/ቦኖ!$C$4&gt;0),1,0)</f>
        <v>1</v>
      </c>
      <c r="BM94" s="38">
        <f>IF((ዕቁብ!BN96/ቦኖ!$C$4&gt;0),1,0)</f>
        <v>0</v>
      </c>
      <c r="BN94" s="38">
        <f>IF((ዕቁብ!BO96/ቦኖ!$C$4&gt;0),1,0)</f>
        <v>1</v>
      </c>
      <c r="BO94" s="38">
        <f>IF((ዕቁብ!BP96/ቦኖ!$C$4&gt;0),1,0)</f>
        <v>1</v>
      </c>
      <c r="BP94" s="38">
        <f>IF((ዕቁብ!BQ96/ቦኖ!$C$4&gt;0),1,0)</f>
        <v>0</v>
      </c>
      <c r="BQ94" s="38">
        <f>IF((ዕቁብ!BR96/ቦኖ!$C$4&gt;0),1,0)</f>
        <v>1</v>
      </c>
      <c r="BR94" s="38">
        <f>IF((ዕቁብ!BS96/ቦኖ!$C$4&gt;0),1,0)</f>
        <v>0</v>
      </c>
      <c r="BS94" s="38">
        <f>IF((ዕቁብ!BT96/ቦኖ!$C$4&gt;0),1,0)</f>
        <v>1</v>
      </c>
      <c r="BT94" s="38">
        <f>IF((ዕቁብ!BU96/ቦኖ!$C$4&gt;0),1,0)</f>
        <v>1</v>
      </c>
      <c r="BU94" s="38">
        <f>IF((ዕቁብ!BV96/ቦኖ!$C$4&gt;0),1,0)</f>
        <v>0</v>
      </c>
      <c r="BV94" s="38">
        <f>IF((ዕቁብ!BW96/ቦኖ!$C$4&gt;0),1,0)</f>
        <v>1</v>
      </c>
      <c r="BW94" s="38">
        <f>IF((ዕቁብ!BX96/ቦኖ!$C$4&gt;0),1,0)</f>
        <v>1</v>
      </c>
      <c r="BX94" s="38">
        <f>IF((ዕቁብ!BY96/ቦኖ!$C$4&gt;0),1,0)</f>
        <v>1</v>
      </c>
      <c r="BY94" s="38">
        <f>IF((ዕቁብ!BZ96/ቦኖ!$C$4&gt;0),1,0)</f>
        <v>0</v>
      </c>
      <c r="BZ94" s="38">
        <f>IF((ዕቁብ!CA96/ቦኖ!$C$4&gt;0),1,0)</f>
        <v>1</v>
      </c>
      <c r="CA94" s="38">
        <f>IF((ዕቁብ!CB96/ቦኖ!$C$4&gt;0),1,0)</f>
        <v>0</v>
      </c>
      <c r="CB94" s="38">
        <f>IF((ዕቁብ!CC96/ቦኖ!$C$4&gt;0),1,0)</f>
        <v>1</v>
      </c>
      <c r="CC94" s="38">
        <f>IF((ዕቁብ!CD96/ቦኖ!$C$4&gt;0),1,0)</f>
        <v>1</v>
      </c>
      <c r="CD94" s="38">
        <f>IF((ዕቁብ!CE96/ቦኖ!$C$4&gt;0),1,0)</f>
        <v>1</v>
      </c>
      <c r="CE94" s="38">
        <f>IF((ዕቁብ!CF96/ቦኖ!$C$4&gt;0),1,0)</f>
        <v>1</v>
      </c>
      <c r="CF94" s="38">
        <f>IF((ዕቁብ!CG96/ቦኖ!$C$4&gt;0),1,0)</f>
        <v>1</v>
      </c>
      <c r="CG94" s="38">
        <f>IF((ዕቁብ!CH96/ቦኖ!$C$4&gt;0),1,0)</f>
        <v>1</v>
      </c>
      <c r="CH94" s="38">
        <f>IF((ዕቁብ!CI96/ቦኖ!$C$4&gt;0),1,0)</f>
        <v>1</v>
      </c>
      <c r="CI94" s="38">
        <f>IF((ዕቁብ!CJ96/ቦኖ!$C$4&gt;0),1,0)</f>
        <v>0</v>
      </c>
      <c r="CJ94" s="38">
        <f>IF((ዕቁብ!CK96/ቦኖ!$C$4&gt;0),1,0)</f>
        <v>0</v>
      </c>
      <c r="CK94" s="38">
        <f>IF((ዕቁብ!CL96/ቦኖ!$C$4&gt;0),1,0)</f>
        <v>1</v>
      </c>
      <c r="CL94" s="38">
        <f>IF((ዕቁብ!CM96/ቦኖ!$C$4&gt;0),1,0)</f>
        <v>0</v>
      </c>
      <c r="CM94" s="38">
        <f>IF((ዕቁብ!CN96/ቦኖ!$C$4&gt;0),1,0)</f>
        <v>1</v>
      </c>
      <c r="CN94" s="38">
        <f>IF((ዕቁብ!CO96/ቦኖ!$C$4&gt;0),1,0)</f>
        <v>1</v>
      </c>
      <c r="CO94" s="38">
        <f>IF((ዕቁብ!CP96/ቦኖ!$C$4&gt;0),1,0)</f>
        <v>1</v>
      </c>
      <c r="CP94" s="38">
        <f>IF((ዕቁብ!CQ96/ቦኖ!$C$4&gt;0),1,0)</f>
        <v>0</v>
      </c>
      <c r="CQ94" s="38">
        <f>IF((ዕቁብ!CR96/ቦኖ!$C$4&gt;0),1,0)</f>
        <v>0</v>
      </c>
      <c r="CR94" s="38">
        <f>IF((ዕቁብ!CS96/ቦኖ!$C$4&gt;0),1,0)</f>
        <v>1</v>
      </c>
      <c r="CS94" s="38">
        <f>IF((ዕቁብ!CT96/ቦኖ!$C$4&gt;0),1,0)</f>
        <v>1</v>
      </c>
      <c r="CT94" s="38">
        <f>IF((ዕቁብ!CU96/ቦኖ!$C$4&gt;0),1,0)</f>
        <v>0</v>
      </c>
      <c r="CU94" s="38">
        <f>IF((ዕቁብ!CV96/ቦኖ!$C$4&gt;0),1,0)</f>
        <v>1</v>
      </c>
      <c r="CV94" s="38">
        <f>IF((ዕቁብ!CW96/ቦኖ!$C$4&gt;0),1,0)</f>
        <v>0</v>
      </c>
      <c r="CW94" s="38">
        <f>IF((ዕቁብ!CX96/ቦኖ!$C$4&gt;0),1,0)</f>
        <v>1</v>
      </c>
      <c r="CX94" s="38">
        <f>IF((ዕቁብ!CY96/ቦኖ!$C$4&gt;0),1,0)</f>
        <v>1</v>
      </c>
      <c r="CY94" s="38">
        <f>IF((ዕቁብ!CZ96/ቦኖ!$C$4&gt;0),1,0)</f>
        <v>0</v>
      </c>
      <c r="CZ94" s="38">
        <f>IF((ዕቁብ!DA96/ቦኖ!$C$4&gt;0),1,0)</f>
        <v>0</v>
      </c>
      <c r="DA94" s="38">
        <f>IF((ዕቁብ!DB96/ቦኖ!$C$4&gt;0),1,0)</f>
        <v>1</v>
      </c>
      <c r="DB94" s="38">
        <f>IF((ዕቁብ!DC96/ቦኖ!$C$4&gt;0),1,0)</f>
        <v>0</v>
      </c>
      <c r="DC94" s="38">
        <f>IF((ዕቁብ!DD96/ቦኖ!$C$4&gt;0),1,0)</f>
        <v>1</v>
      </c>
      <c r="DD94" s="38">
        <f>IF((ዕቁብ!DE96/ቦኖ!$C$4&gt;0),1,0)</f>
        <v>1</v>
      </c>
      <c r="DE94" s="38">
        <f>IF((ዕቁብ!DF96/ቦኖ!$C$4&gt;0),1,0)</f>
        <v>0</v>
      </c>
      <c r="DF94" s="38">
        <f>IF((ዕቁብ!DG96/ቦኖ!$C$4&gt;0),1,0)</f>
        <v>1</v>
      </c>
      <c r="DG94" s="38">
        <f>IF((ዕቁብ!DH96/ቦኖ!$C$4&gt;0),1,0)</f>
        <v>1</v>
      </c>
      <c r="DH94" s="38">
        <f>IF((ዕቁብ!DI96/ቦኖ!$C$4&gt;0),1,0)</f>
        <v>0</v>
      </c>
      <c r="DI94" s="38">
        <f>IF((ዕቁብ!DJ96/ቦኖ!$C$4&gt;0),1,0)</f>
        <v>0</v>
      </c>
      <c r="DJ94" s="38">
        <f>IF((ዕቁብ!DK96/ቦኖ!$C$4&gt;0),1,0)</f>
        <v>0</v>
      </c>
      <c r="DK94" s="38">
        <f>IF((ዕቁብ!DL96/ቦኖ!$C$4&gt;0),1,0)</f>
        <v>0</v>
      </c>
      <c r="DL94" s="38">
        <f>IF((ዕቁብ!DM96/ቦኖ!$C$4&gt;0),1,0)</f>
        <v>0</v>
      </c>
      <c r="DM94" s="38">
        <f>IF((ዕቁብ!DN96/ቦኖ!$C$4&gt;0),1,0)</f>
        <v>0</v>
      </c>
      <c r="DN94" s="38">
        <f>IF((ዕቁብ!DO96/ቦኖ!$C$4&gt;0),1,0)</f>
        <v>0</v>
      </c>
      <c r="DO94" s="38">
        <f>IF((ዕቁብ!DP96/ቦኖ!$C$4&gt;0),1,0)</f>
        <v>0</v>
      </c>
      <c r="DP94" s="38">
        <f>IF((ዕቁብ!DQ96/ቦኖ!$C$4&gt;0),1,0)</f>
        <v>0</v>
      </c>
      <c r="DQ94" s="38">
        <f>IF((ዕቁብ!DR96/ቦኖ!$C$4&gt;0),1,0)</f>
        <v>0</v>
      </c>
    </row>
    <row r="95" spans="1:121" ht="15.75" customHeight="1" x14ac:dyDescent="0.3">
      <c r="A95" s="33">
        <f>ዕቁብ!A97</f>
        <v>91</v>
      </c>
      <c r="B95" s="33" t="str">
        <f>ዕቁብ!B97</f>
        <v xml:space="preserve">ሄኖክ ቶሎሳ </v>
      </c>
      <c r="C95" s="37">
        <f>ዕቁብ!C97</f>
        <v>21000</v>
      </c>
      <c r="D95" s="38">
        <f>IF((ዕቁብ!E97/ቦኖ!$C$4&gt;0),1,0)</f>
        <v>1</v>
      </c>
      <c r="E95" s="38">
        <f>IF((ዕቁብ!F97/ቦኖ!$C$4&gt;0),1,0)</f>
        <v>1</v>
      </c>
      <c r="F95" s="38">
        <f>IF((ዕቁብ!G97/ቦኖ!$C$4&gt;0),1,0)</f>
        <v>1</v>
      </c>
      <c r="G95" s="38">
        <f>IF((ዕቁብ!H97/ቦኖ!$C$4&gt;0),1,0)</f>
        <v>1</v>
      </c>
      <c r="H95" s="38">
        <f>IF((ዕቁብ!I97/ቦኖ!$C$4&gt;0),1,0)</f>
        <v>1</v>
      </c>
      <c r="I95" s="38">
        <f>IF((ዕቁብ!J97/ቦኖ!$C$4&gt;0),1,0)</f>
        <v>1</v>
      </c>
      <c r="J95" s="38">
        <f>IF((ዕቁብ!K97/ቦኖ!$C$4&gt;0),1,0)</f>
        <v>1</v>
      </c>
      <c r="K95" s="38">
        <f>IF((ዕቁብ!L97/ቦኖ!$C$4&gt;0),1,0)</f>
        <v>1</v>
      </c>
      <c r="L95" s="38">
        <f>IF((ዕቁብ!M97/ቦኖ!$C$4&gt;0),1,0)</f>
        <v>1</v>
      </c>
      <c r="M95" s="38">
        <f>IF((ዕቁብ!N97/ቦኖ!$C$4&gt;0),1,0)</f>
        <v>1</v>
      </c>
      <c r="N95" s="38">
        <f>IF((ዕቁብ!O97/ቦኖ!$C$4&gt;0),1,0)</f>
        <v>1</v>
      </c>
      <c r="O95" s="38">
        <f>IF((ዕቁብ!P97/ቦኖ!$C$4&gt;0),1,0)</f>
        <v>1</v>
      </c>
      <c r="P95" s="38">
        <f>IF((ዕቁብ!Q97/ቦኖ!$C$4&gt;0),1,0)</f>
        <v>1</v>
      </c>
      <c r="Q95" s="38">
        <f>IF((ዕቁብ!R97/ቦኖ!$C$4&gt;0),1,0)</f>
        <v>1</v>
      </c>
      <c r="R95" s="38">
        <f>IF((ዕቁብ!S97/ቦኖ!$C$4&gt;0),1,0)</f>
        <v>1</v>
      </c>
      <c r="S95" s="38">
        <f>IF((ዕቁብ!T97/ቦኖ!$C$4&gt;0),1,0)</f>
        <v>1</v>
      </c>
      <c r="T95" s="38">
        <f>IF((ዕቁብ!U97/ቦኖ!$C$4&gt;0),1,0)</f>
        <v>1</v>
      </c>
      <c r="U95" s="38">
        <f>IF((ዕቁብ!V97/ቦኖ!$C$4&gt;0),1,0)</f>
        <v>1</v>
      </c>
      <c r="V95" s="38">
        <f>IF((ዕቁብ!W97/ቦኖ!$C$4&gt;0),1,0)</f>
        <v>1</v>
      </c>
      <c r="W95" s="38">
        <f>IF((ዕቁብ!X97/ቦኖ!$C$4&gt;0),1,0)</f>
        <v>0</v>
      </c>
      <c r="X95" s="38">
        <f>IF((ዕቁብ!Y97/ቦኖ!$C$4&gt;0),1,0)</f>
        <v>1</v>
      </c>
      <c r="Y95" s="38">
        <f>IF((ዕቁብ!Z97/ቦኖ!$C$4&gt;0),1,0)</f>
        <v>1</v>
      </c>
      <c r="Z95" s="38">
        <f>IF((ዕቁብ!AA97/ቦኖ!$C$4&gt;0),1,0)</f>
        <v>1</v>
      </c>
      <c r="AA95" s="38">
        <f>IF((ዕቁብ!AB97/ቦኖ!$C$4&gt;0),1,0)</f>
        <v>0</v>
      </c>
      <c r="AB95" s="38">
        <f>IF((ዕቁብ!AC97/ቦኖ!$C$4&gt;0),1,0)</f>
        <v>1</v>
      </c>
      <c r="AC95" s="38">
        <f>IF((ዕቁብ!AD97/ቦኖ!$C$4&gt;0),1,0)</f>
        <v>1</v>
      </c>
      <c r="AD95" s="38">
        <f>IF((ዕቁብ!AE97/ቦኖ!$C$4&gt;0),1,0)</f>
        <v>1</v>
      </c>
      <c r="AE95" s="38">
        <f>IF((ዕቁብ!AF97/ቦኖ!$C$4&gt;0),1,0)</f>
        <v>1</v>
      </c>
      <c r="AF95" s="38">
        <f>IF((ዕቁብ!AG97/ቦኖ!$C$4&gt;0),1,0)</f>
        <v>1</v>
      </c>
      <c r="AG95" s="38">
        <f>IF((ዕቁብ!AH97/ቦኖ!$C$4&gt;0),1,0)</f>
        <v>1</v>
      </c>
      <c r="AH95" s="38">
        <f>IF((ዕቁብ!AI97/ቦኖ!$C$4&gt;0),1,0)</f>
        <v>1</v>
      </c>
      <c r="AI95" s="38">
        <f>IF((ዕቁብ!AJ97/ቦኖ!$C$4&gt;0),1,0)</f>
        <v>1</v>
      </c>
      <c r="AJ95" s="38">
        <f>IF((ዕቁብ!AK97/ቦኖ!$C$4&gt;0),1,0)</f>
        <v>1</v>
      </c>
      <c r="AK95" s="38">
        <f>IF((ዕቁብ!AL97/ቦኖ!$C$4&gt;0),1,0)</f>
        <v>1</v>
      </c>
      <c r="AL95" s="38">
        <f>IF((ዕቁብ!AM97/ቦኖ!$C$4&gt;0),1,0)</f>
        <v>1</v>
      </c>
      <c r="AM95" s="38">
        <f>IF((ዕቁብ!AN97/ቦኖ!$C$4&gt;0),1,0)</f>
        <v>0</v>
      </c>
      <c r="AN95" s="38">
        <f>IF((ዕቁብ!AO97/ቦኖ!$C$4&gt;0),1,0)</f>
        <v>1</v>
      </c>
      <c r="AO95" s="38">
        <f>IF((ዕቁብ!AP97/ቦኖ!$C$4&gt;0),1,0)</f>
        <v>1</v>
      </c>
      <c r="AP95" s="38">
        <f>IF((ዕቁብ!AQ97/ቦኖ!$C$4&gt;0),1,0)</f>
        <v>1</v>
      </c>
      <c r="AQ95" s="38">
        <f>IF((ዕቁብ!AR97/ቦኖ!$C$4&gt;0),1,0)</f>
        <v>1</v>
      </c>
      <c r="AR95" s="38">
        <f>IF((ዕቁብ!AS97/ቦኖ!$C$4&gt;0),1,0)</f>
        <v>1</v>
      </c>
      <c r="AS95" s="38">
        <f>IF((ዕቁብ!AT97/ቦኖ!$C$4&gt;0),1,0)</f>
        <v>1</v>
      </c>
      <c r="AT95" s="38">
        <f>IF((ዕቁብ!AU97/ቦኖ!$C$4&gt;0),1,0)</f>
        <v>1</v>
      </c>
      <c r="AU95" s="38">
        <f>IF((ዕቁብ!AV97/ቦኖ!$C$4&gt;0),1,0)</f>
        <v>1</v>
      </c>
      <c r="AV95" s="38">
        <f>IF((ዕቁብ!AW97/ቦኖ!$C$4&gt;0),1,0)</f>
        <v>1</v>
      </c>
      <c r="AW95" s="38">
        <f>IF((ዕቁብ!AX97/ቦኖ!$C$4&gt;0),1,0)</f>
        <v>0</v>
      </c>
      <c r="AX95" s="38">
        <f>IF((ዕቁብ!AY97/ቦኖ!$C$4&gt;0),1,0)</f>
        <v>1</v>
      </c>
      <c r="AY95" s="38">
        <f>IF((ዕቁብ!AZ97/ቦኖ!$C$4&gt;0),1,0)</f>
        <v>1</v>
      </c>
      <c r="AZ95" s="38">
        <f>IF((ዕቁብ!BA97/ቦኖ!$C$4&gt;0),1,0)</f>
        <v>1</v>
      </c>
      <c r="BA95" s="38">
        <f>IF((ዕቁብ!BB97/ቦኖ!$C$4&gt;0),1,0)</f>
        <v>1</v>
      </c>
      <c r="BB95" s="38">
        <f>IF((ዕቁብ!BC97/ቦኖ!$C$4&gt;0),1,0)</f>
        <v>1</v>
      </c>
      <c r="BC95" s="38">
        <f>IF((ዕቁብ!BD97/ቦኖ!$C$4&gt;0),1,0)</f>
        <v>1</v>
      </c>
      <c r="BD95" s="38">
        <f>IF((ዕቁብ!BE97/ቦኖ!$C$4&gt;0),1,0)</f>
        <v>1</v>
      </c>
      <c r="BE95" s="38">
        <f>IF((ዕቁብ!BF97/ቦኖ!$C$4&gt;0),1,0)</f>
        <v>1</v>
      </c>
      <c r="BF95" s="38">
        <f>IF((ዕቁብ!BG97/ቦኖ!$C$4&gt;0),1,0)</f>
        <v>0</v>
      </c>
      <c r="BG95" s="38">
        <f>IF((ዕቁብ!BH97/ቦኖ!$C$4&gt;0),1,0)</f>
        <v>0</v>
      </c>
      <c r="BH95" s="38">
        <f>IF((ዕቁብ!BI97/ቦኖ!$C$4&gt;0),1,0)</f>
        <v>1</v>
      </c>
      <c r="BI95" s="38">
        <f>IF((ዕቁብ!BJ97/ቦኖ!$C$4&gt;0),1,0)</f>
        <v>1</v>
      </c>
      <c r="BJ95" s="38">
        <f>IF((ዕቁብ!BK97/ቦኖ!$C$4&gt;0),1,0)</f>
        <v>1</v>
      </c>
      <c r="BK95" s="38">
        <f>IF((ዕቁብ!BL97/ቦኖ!$C$4&gt;0),1,0)</f>
        <v>0</v>
      </c>
      <c r="BL95" s="38">
        <f>IF((ዕቁብ!BM97/ቦኖ!$C$4&gt;0),1,0)</f>
        <v>1</v>
      </c>
      <c r="BM95" s="38">
        <f>IF((ዕቁብ!BN97/ቦኖ!$C$4&gt;0),1,0)</f>
        <v>0</v>
      </c>
      <c r="BN95" s="38">
        <f>IF((ዕቁብ!BO97/ቦኖ!$C$4&gt;0),1,0)</f>
        <v>1</v>
      </c>
      <c r="BO95" s="38">
        <f>IF((ዕቁብ!BP97/ቦኖ!$C$4&gt;0),1,0)</f>
        <v>1</v>
      </c>
      <c r="BP95" s="38">
        <f>IF((ዕቁብ!BQ97/ቦኖ!$C$4&gt;0),1,0)</f>
        <v>1</v>
      </c>
      <c r="BQ95" s="38">
        <f>IF((ዕቁብ!BR97/ቦኖ!$C$4&gt;0),1,0)</f>
        <v>0</v>
      </c>
      <c r="BR95" s="38">
        <f>IF((ዕቁብ!BS97/ቦኖ!$C$4&gt;0),1,0)</f>
        <v>1</v>
      </c>
      <c r="BS95" s="38">
        <f>IF((ዕቁብ!BT97/ቦኖ!$C$4&gt;0),1,0)</f>
        <v>1</v>
      </c>
      <c r="BT95" s="38">
        <f>IF((ዕቁብ!BU97/ቦኖ!$C$4&gt;0),1,0)</f>
        <v>1</v>
      </c>
      <c r="BU95" s="38">
        <f>IF((ዕቁብ!BV97/ቦኖ!$C$4&gt;0),1,0)</f>
        <v>0</v>
      </c>
      <c r="BV95" s="38">
        <f>IF((ዕቁብ!BW97/ቦኖ!$C$4&gt;0),1,0)</f>
        <v>1</v>
      </c>
      <c r="BW95" s="38">
        <f>IF((ዕቁብ!BX97/ቦኖ!$C$4&gt;0),1,0)</f>
        <v>0</v>
      </c>
      <c r="BX95" s="38">
        <f>IF((ዕቁብ!BY97/ቦኖ!$C$4&gt;0),1,0)</f>
        <v>1</v>
      </c>
      <c r="BY95" s="38">
        <f>IF((ዕቁብ!BZ97/ቦኖ!$C$4&gt;0),1,0)</f>
        <v>0</v>
      </c>
      <c r="BZ95" s="38">
        <f>IF((ዕቁብ!CA97/ቦኖ!$C$4&gt;0),1,0)</f>
        <v>1</v>
      </c>
      <c r="CA95" s="38">
        <f>IF((ዕቁብ!CB97/ቦኖ!$C$4&gt;0),1,0)</f>
        <v>1</v>
      </c>
      <c r="CB95" s="38">
        <f>IF((ዕቁብ!CC97/ቦኖ!$C$4&gt;0),1,0)</f>
        <v>1</v>
      </c>
      <c r="CC95" s="38">
        <f>IF((ዕቁብ!CD97/ቦኖ!$C$4&gt;0),1,0)</f>
        <v>1</v>
      </c>
      <c r="CD95" s="38">
        <f>IF((ዕቁብ!CE97/ቦኖ!$C$4&gt;0),1,0)</f>
        <v>0</v>
      </c>
      <c r="CE95" s="38">
        <f>IF((ዕቁብ!CF97/ቦኖ!$C$4&gt;0),1,0)</f>
        <v>1</v>
      </c>
      <c r="CF95" s="38">
        <f>IF((ዕቁብ!CG97/ቦኖ!$C$4&gt;0),1,0)</f>
        <v>1</v>
      </c>
      <c r="CG95" s="38">
        <f>IF((ዕቁብ!CH97/ቦኖ!$C$4&gt;0),1,0)</f>
        <v>0</v>
      </c>
      <c r="CH95" s="38">
        <f>IF((ዕቁብ!CI97/ቦኖ!$C$4&gt;0),1,0)</f>
        <v>1</v>
      </c>
      <c r="CI95" s="38">
        <f>IF((ዕቁብ!CJ97/ቦኖ!$C$4&gt;0),1,0)</f>
        <v>0</v>
      </c>
      <c r="CJ95" s="38">
        <f>IF((ዕቁብ!CK97/ቦኖ!$C$4&gt;0),1,0)</f>
        <v>1</v>
      </c>
      <c r="CK95" s="38">
        <f>IF((ዕቁብ!CL97/ቦኖ!$C$4&gt;0),1,0)</f>
        <v>1</v>
      </c>
      <c r="CL95" s="38">
        <f>IF((ዕቁብ!CM97/ቦኖ!$C$4&gt;0),1,0)</f>
        <v>0</v>
      </c>
      <c r="CM95" s="38">
        <f>IF((ዕቁብ!CN97/ቦኖ!$C$4&gt;0),1,0)</f>
        <v>1</v>
      </c>
      <c r="CN95" s="38">
        <f>IF((ዕቁብ!CO97/ቦኖ!$C$4&gt;0),1,0)</f>
        <v>0</v>
      </c>
      <c r="CO95" s="38">
        <f>IF((ዕቁብ!CP97/ቦኖ!$C$4&gt;0),1,0)</f>
        <v>1</v>
      </c>
      <c r="CP95" s="38">
        <f>IF((ዕቁብ!CQ97/ቦኖ!$C$4&gt;0),1,0)</f>
        <v>0</v>
      </c>
      <c r="CQ95" s="38">
        <f>IF((ዕቁብ!CR97/ቦኖ!$C$4&gt;0),1,0)</f>
        <v>0</v>
      </c>
      <c r="CR95" s="38">
        <f>IF((ዕቁብ!CS97/ቦኖ!$C$4&gt;0),1,0)</f>
        <v>1</v>
      </c>
      <c r="CS95" s="38">
        <f>IF((ዕቁብ!CT97/ቦኖ!$C$4&gt;0),1,0)</f>
        <v>0</v>
      </c>
      <c r="CT95" s="38">
        <f>IF((ዕቁብ!CU97/ቦኖ!$C$4&gt;0),1,0)</f>
        <v>0</v>
      </c>
      <c r="CU95" s="38">
        <f>IF((ዕቁብ!CV97/ቦኖ!$C$4&gt;0),1,0)</f>
        <v>1</v>
      </c>
      <c r="CV95" s="38">
        <f>IF((ዕቁብ!CW97/ቦኖ!$C$4&gt;0),1,0)</f>
        <v>1</v>
      </c>
      <c r="CW95" s="38">
        <f>IF((ዕቁብ!CX97/ቦኖ!$C$4&gt;0),1,0)</f>
        <v>0</v>
      </c>
      <c r="CX95" s="38">
        <f>IF((ዕቁብ!CY97/ቦኖ!$C$4&gt;0),1,0)</f>
        <v>0</v>
      </c>
      <c r="CY95" s="38">
        <f>IF((ዕቁብ!CZ97/ቦኖ!$C$4&gt;0),1,0)</f>
        <v>1</v>
      </c>
      <c r="CZ95" s="38">
        <f>IF((ዕቁብ!DA97/ቦኖ!$C$4&gt;0),1,0)</f>
        <v>1</v>
      </c>
      <c r="DA95" s="38">
        <f>IF((ዕቁብ!DB97/ቦኖ!$C$4&gt;0),1,0)</f>
        <v>1</v>
      </c>
      <c r="DB95" s="38">
        <f>IF((ዕቁብ!DC97/ቦኖ!$C$4&gt;0),1,0)</f>
        <v>0</v>
      </c>
      <c r="DC95" s="38">
        <f>IF((ዕቁብ!DD97/ቦኖ!$C$4&gt;0),1,0)</f>
        <v>1</v>
      </c>
      <c r="DD95" s="38">
        <f>IF((ዕቁብ!DE97/ቦኖ!$C$4&gt;0),1,0)</f>
        <v>0</v>
      </c>
      <c r="DE95" s="38">
        <f>IF((ዕቁብ!DF97/ቦኖ!$C$4&gt;0),1,0)</f>
        <v>0</v>
      </c>
      <c r="DF95" s="38">
        <f>IF((ዕቁብ!DG97/ቦኖ!$C$4&gt;0),1,0)</f>
        <v>1</v>
      </c>
      <c r="DG95" s="38">
        <f>IF((ዕቁብ!DH97/ቦኖ!$C$4&gt;0),1,0)</f>
        <v>1</v>
      </c>
      <c r="DH95" s="38">
        <f>IF((ዕቁብ!DI97/ቦኖ!$C$4&gt;0),1,0)</f>
        <v>0</v>
      </c>
      <c r="DI95" s="38">
        <f>IF((ዕቁብ!DJ97/ቦኖ!$C$4&gt;0),1,0)</f>
        <v>0</v>
      </c>
      <c r="DJ95" s="38">
        <f>IF((ዕቁብ!DK97/ቦኖ!$C$4&gt;0),1,0)</f>
        <v>0</v>
      </c>
      <c r="DK95" s="38">
        <f>IF((ዕቁብ!DL97/ቦኖ!$C$4&gt;0),1,0)</f>
        <v>0</v>
      </c>
      <c r="DL95" s="38">
        <f>IF((ዕቁብ!DM97/ቦኖ!$C$4&gt;0),1,0)</f>
        <v>0</v>
      </c>
      <c r="DM95" s="38">
        <f>IF((ዕቁብ!DN97/ቦኖ!$C$4&gt;0),1,0)</f>
        <v>0</v>
      </c>
      <c r="DN95" s="38">
        <f>IF((ዕቁብ!DO97/ቦኖ!$C$4&gt;0),1,0)</f>
        <v>0</v>
      </c>
      <c r="DO95" s="38">
        <f>IF((ዕቁብ!DP97/ቦኖ!$C$4&gt;0),1,0)</f>
        <v>0</v>
      </c>
      <c r="DP95" s="38">
        <f>IF((ዕቁብ!DQ97/ቦኖ!$C$4&gt;0),1,0)</f>
        <v>0</v>
      </c>
      <c r="DQ95" s="38">
        <f>IF((ዕቁብ!DR97/ቦኖ!$C$4&gt;0),1,0)</f>
        <v>0</v>
      </c>
    </row>
    <row r="96" spans="1:121" ht="15.75" customHeight="1" x14ac:dyDescent="0.3">
      <c r="A96" s="33">
        <f>ዕቁብ!A98</f>
        <v>92</v>
      </c>
      <c r="B96" s="33" t="str">
        <f>ዕቁብ!B98</f>
        <v>ያዕቆብ ይቱራ</v>
      </c>
      <c r="C96" s="37">
        <f>ዕቁብ!C98</f>
        <v>21000</v>
      </c>
      <c r="D96" s="38">
        <f>IF((ዕቁብ!E98/ቦኖ!$C$4&gt;0),1,0)</f>
        <v>1</v>
      </c>
      <c r="E96" s="38">
        <f>IF((ዕቁብ!F98/ቦኖ!$C$4&gt;0),1,0)</f>
        <v>1</v>
      </c>
      <c r="F96" s="38">
        <f>IF((ዕቁብ!G98/ቦኖ!$C$4&gt;0),1,0)</f>
        <v>1</v>
      </c>
      <c r="G96" s="38">
        <f>IF((ዕቁብ!H98/ቦኖ!$C$4&gt;0),1,0)</f>
        <v>1</v>
      </c>
      <c r="H96" s="38">
        <f>IF((ዕቁብ!I98/ቦኖ!$C$4&gt;0),1,0)</f>
        <v>1</v>
      </c>
      <c r="I96" s="38">
        <f>IF((ዕቁብ!J98/ቦኖ!$C$4&gt;0),1,0)</f>
        <v>1</v>
      </c>
      <c r="J96" s="38">
        <f>IF((ዕቁብ!K98/ቦኖ!$C$4&gt;0),1,0)</f>
        <v>1</v>
      </c>
      <c r="K96" s="38">
        <f>IF((ዕቁብ!L98/ቦኖ!$C$4&gt;0),1,0)</f>
        <v>1</v>
      </c>
      <c r="L96" s="38">
        <f>IF((ዕቁብ!M98/ቦኖ!$C$4&gt;0),1,0)</f>
        <v>1</v>
      </c>
      <c r="M96" s="38">
        <f>IF((ዕቁብ!N98/ቦኖ!$C$4&gt;0),1,0)</f>
        <v>1</v>
      </c>
      <c r="N96" s="38">
        <f>IF((ዕቁብ!O98/ቦኖ!$C$4&gt;0),1,0)</f>
        <v>1</v>
      </c>
      <c r="O96" s="38">
        <f>IF((ዕቁብ!P98/ቦኖ!$C$4&gt;0),1,0)</f>
        <v>1</v>
      </c>
      <c r="P96" s="38">
        <f>IF((ዕቁብ!Q98/ቦኖ!$C$4&gt;0),1,0)</f>
        <v>1</v>
      </c>
      <c r="Q96" s="38">
        <f>IF((ዕቁብ!R98/ቦኖ!$C$4&gt;0),1,0)</f>
        <v>1</v>
      </c>
      <c r="R96" s="38">
        <f>IF((ዕቁብ!S98/ቦኖ!$C$4&gt;0),1,0)</f>
        <v>1</v>
      </c>
      <c r="S96" s="38">
        <f>IF((ዕቁብ!T98/ቦኖ!$C$4&gt;0),1,0)</f>
        <v>1</v>
      </c>
      <c r="T96" s="38">
        <f>IF((ዕቁብ!U98/ቦኖ!$C$4&gt;0),1,0)</f>
        <v>1</v>
      </c>
      <c r="U96" s="38">
        <f>IF((ዕቁብ!V98/ቦኖ!$C$4&gt;0),1,0)</f>
        <v>1</v>
      </c>
      <c r="V96" s="38">
        <f>IF((ዕቁብ!W98/ቦኖ!$C$4&gt;0),1,0)</f>
        <v>1</v>
      </c>
      <c r="W96" s="38">
        <f>IF((ዕቁብ!X98/ቦኖ!$C$4&gt;0),1,0)</f>
        <v>1</v>
      </c>
      <c r="X96" s="38">
        <f>IF((ዕቁብ!Y98/ቦኖ!$C$4&gt;0),1,0)</f>
        <v>1</v>
      </c>
      <c r="Y96" s="38">
        <f>IF((ዕቁብ!Z98/ቦኖ!$C$4&gt;0),1,0)</f>
        <v>1</v>
      </c>
      <c r="Z96" s="38">
        <f>IF((ዕቁብ!AA98/ቦኖ!$C$4&gt;0),1,0)</f>
        <v>1</v>
      </c>
      <c r="AA96" s="38">
        <f>IF((ዕቁብ!AB98/ቦኖ!$C$4&gt;0),1,0)</f>
        <v>0</v>
      </c>
      <c r="AB96" s="38">
        <f>IF((ዕቁብ!AC98/ቦኖ!$C$4&gt;0),1,0)</f>
        <v>1</v>
      </c>
      <c r="AC96" s="38">
        <f>IF((ዕቁብ!AD98/ቦኖ!$C$4&gt;0),1,0)</f>
        <v>1</v>
      </c>
      <c r="AD96" s="38">
        <f>IF((ዕቁብ!AE98/ቦኖ!$C$4&gt;0),1,0)</f>
        <v>1</v>
      </c>
      <c r="AE96" s="38">
        <f>IF((ዕቁብ!AF98/ቦኖ!$C$4&gt;0),1,0)</f>
        <v>0</v>
      </c>
      <c r="AF96" s="38">
        <f>IF((ዕቁብ!AG98/ቦኖ!$C$4&gt;0),1,0)</f>
        <v>1</v>
      </c>
      <c r="AG96" s="38">
        <f>IF((ዕቁብ!AH98/ቦኖ!$C$4&gt;0),1,0)</f>
        <v>1</v>
      </c>
      <c r="AH96" s="38">
        <f>IF((ዕቁብ!AI98/ቦኖ!$C$4&gt;0),1,0)</f>
        <v>0</v>
      </c>
      <c r="AI96" s="38">
        <f>IF((ዕቁብ!AJ98/ቦኖ!$C$4&gt;0),1,0)</f>
        <v>0</v>
      </c>
      <c r="AJ96" s="38">
        <f>IF((ዕቁብ!AK98/ቦኖ!$C$4&gt;0),1,0)</f>
        <v>1</v>
      </c>
      <c r="AK96" s="38">
        <f>IF((ዕቁብ!AL98/ቦኖ!$C$4&gt;0),1,0)</f>
        <v>1</v>
      </c>
      <c r="AL96" s="38">
        <f>IF((ዕቁብ!AM98/ቦኖ!$C$4&gt;0),1,0)</f>
        <v>0</v>
      </c>
      <c r="AM96" s="38">
        <f>IF((ዕቁብ!AN98/ቦኖ!$C$4&gt;0),1,0)</f>
        <v>1</v>
      </c>
      <c r="AN96" s="38">
        <f>IF((ዕቁብ!AO98/ቦኖ!$C$4&gt;0),1,0)</f>
        <v>1</v>
      </c>
      <c r="AO96" s="38">
        <f>IF((ዕቁብ!AP98/ቦኖ!$C$4&gt;0),1,0)</f>
        <v>1</v>
      </c>
      <c r="AP96" s="38">
        <f>IF((ዕቁብ!AQ98/ቦኖ!$C$4&gt;0),1,0)</f>
        <v>1</v>
      </c>
      <c r="AQ96" s="38">
        <f>IF((ዕቁብ!AR98/ቦኖ!$C$4&gt;0),1,0)</f>
        <v>1</v>
      </c>
      <c r="AR96" s="38">
        <f>IF((ዕቁብ!AS98/ቦኖ!$C$4&gt;0),1,0)</f>
        <v>1</v>
      </c>
      <c r="AS96" s="38">
        <f>IF((ዕቁብ!AT98/ቦኖ!$C$4&gt;0),1,0)</f>
        <v>1</v>
      </c>
      <c r="AT96" s="38">
        <f>IF((ዕቁብ!AU98/ቦኖ!$C$4&gt;0),1,0)</f>
        <v>1</v>
      </c>
      <c r="AU96" s="38">
        <f>IF((ዕቁብ!AV98/ቦኖ!$C$4&gt;0),1,0)</f>
        <v>1</v>
      </c>
      <c r="AV96" s="38">
        <f>IF((ዕቁብ!AW98/ቦኖ!$C$4&gt;0),1,0)</f>
        <v>1</v>
      </c>
      <c r="AW96" s="38">
        <f>IF((ዕቁብ!AX98/ቦኖ!$C$4&gt;0),1,0)</f>
        <v>1</v>
      </c>
      <c r="AX96" s="38">
        <f>IF((ዕቁብ!AY98/ቦኖ!$C$4&gt;0),1,0)</f>
        <v>1</v>
      </c>
      <c r="AY96" s="38">
        <f>IF((ዕቁብ!AZ98/ቦኖ!$C$4&gt;0),1,0)</f>
        <v>0</v>
      </c>
      <c r="AZ96" s="38">
        <f>IF((ዕቁብ!BA98/ቦኖ!$C$4&gt;0),1,0)</f>
        <v>1</v>
      </c>
      <c r="BA96" s="38">
        <f>IF((ዕቁብ!BB98/ቦኖ!$C$4&gt;0),1,0)</f>
        <v>1</v>
      </c>
      <c r="BB96" s="38">
        <f>IF((ዕቁብ!BC98/ቦኖ!$C$4&gt;0),1,0)</f>
        <v>1</v>
      </c>
      <c r="BC96" s="38">
        <f>IF((ዕቁብ!BD98/ቦኖ!$C$4&gt;0),1,0)</f>
        <v>0</v>
      </c>
      <c r="BD96" s="38">
        <f>IF((ዕቁብ!BE98/ቦኖ!$C$4&gt;0),1,0)</f>
        <v>1</v>
      </c>
      <c r="BE96" s="38">
        <f>IF((ዕቁብ!BF98/ቦኖ!$C$4&gt;0),1,0)</f>
        <v>1</v>
      </c>
      <c r="BF96" s="38">
        <f>IF((ዕቁብ!BG98/ቦኖ!$C$4&gt;0),1,0)</f>
        <v>1</v>
      </c>
      <c r="BG96" s="38">
        <f>IF((ዕቁብ!BH98/ቦኖ!$C$4&gt;0),1,0)</f>
        <v>0</v>
      </c>
      <c r="BH96" s="38">
        <f>IF((ዕቁብ!BI98/ቦኖ!$C$4&gt;0),1,0)</f>
        <v>1</v>
      </c>
      <c r="BI96" s="38">
        <f>IF((ዕቁብ!BJ98/ቦኖ!$C$4&gt;0),1,0)</f>
        <v>1</v>
      </c>
      <c r="BJ96" s="38">
        <f>IF((ዕቁብ!BK98/ቦኖ!$C$4&gt;0),1,0)</f>
        <v>1</v>
      </c>
      <c r="BK96" s="38">
        <f>IF((ዕቁብ!BL98/ቦኖ!$C$4&gt;0),1,0)</f>
        <v>0</v>
      </c>
      <c r="BL96" s="38">
        <f>IF((ዕቁብ!BM98/ቦኖ!$C$4&gt;0),1,0)</f>
        <v>1</v>
      </c>
      <c r="BM96" s="38">
        <f>IF((ዕቁብ!BN98/ቦኖ!$C$4&gt;0),1,0)</f>
        <v>0</v>
      </c>
      <c r="BN96" s="38">
        <f>IF((ዕቁብ!BO98/ቦኖ!$C$4&gt;0),1,0)</f>
        <v>1</v>
      </c>
      <c r="BO96" s="38">
        <f>IF((ዕቁብ!BP98/ቦኖ!$C$4&gt;0),1,0)</f>
        <v>0</v>
      </c>
      <c r="BP96" s="38">
        <f>IF((ዕቁብ!BQ98/ቦኖ!$C$4&gt;0),1,0)</f>
        <v>1</v>
      </c>
      <c r="BQ96" s="38">
        <f>IF((ዕቁብ!BR98/ቦኖ!$C$4&gt;0),1,0)</f>
        <v>1</v>
      </c>
      <c r="BR96" s="38">
        <f>IF((ዕቁብ!BS98/ቦኖ!$C$4&gt;0),1,0)</f>
        <v>0</v>
      </c>
      <c r="BS96" s="38">
        <f>IF((ዕቁብ!BT98/ቦኖ!$C$4&gt;0),1,0)</f>
        <v>1</v>
      </c>
      <c r="BT96" s="38">
        <f>IF((ዕቁብ!BU98/ቦኖ!$C$4&gt;0),1,0)</f>
        <v>1</v>
      </c>
      <c r="BU96" s="38">
        <f>IF((ዕቁብ!BV98/ቦኖ!$C$4&gt;0),1,0)</f>
        <v>0</v>
      </c>
      <c r="BV96" s="38">
        <f>IF((ዕቁብ!BW98/ቦኖ!$C$4&gt;0),1,0)</f>
        <v>0</v>
      </c>
      <c r="BW96" s="38">
        <f>IF((ዕቁብ!BX98/ቦኖ!$C$4&gt;0),1,0)</f>
        <v>1</v>
      </c>
      <c r="BX96" s="38">
        <f>IF((ዕቁብ!BY98/ቦኖ!$C$4&gt;0),1,0)</f>
        <v>1</v>
      </c>
      <c r="BY96" s="38">
        <f>IF((ዕቁብ!BZ98/ቦኖ!$C$4&gt;0),1,0)</f>
        <v>0</v>
      </c>
      <c r="BZ96" s="38">
        <f>IF((ዕቁብ!CA98/ቦኖ!$C$4&gt;0),1,0)</f>
        <v>1</v>
      </c>
      <c r="CA96" s="38">
        <f>IF((ዕቁብ!CB98/ቦኖ!$C$4&gt;0),1,0)</f>
        <v>1</v>
      </c>
      <c r="CB96" s="38">
        <f>IF((ዕቁብ!CC98/ቦኖ!$C$4&gt;0),1,0)</f>
        <v>1</v>
      </c>
      <c r="CC96" s="38">
        <f>IF((ዕቁብ!CD98/ቦኖ!$C$4&gt;0),1,0)</f>
        <v>0</v>
      </c>
      <c r="CD96" s="38">
        <f>IF((ዕቁብ!CE98/ቦኖ!$C$4&gt;0),1,0)</f>
        <v>0</v>
      </c>
      <c r="CE96" s="38">
        <f>IF((ዕቁብ!CF98/ቦኖ!$C$4&gt;0),1,0)</f>
        <v>1</v>
      </c>
      <c r="CF96" s="38">
        <f>IF((ዕቁብ!CG98/ቦኖ!$C$4&gt;0),1,0)</f>
        <v>1</v>
      </c>
      <c r="CG96" s="38">
        <f>IF((ዕቁብ!CH98/ቦኖ!$C$4&gt;0),1,0)</f>
        <v>1</v>
      </c>
      <c r="CH96" s="38">
        <f>IF((ዕቁብ!CI98/ቦኖ!$C$4&gt;0),1,0)</f>
        <v>1</v>
      </c>
      <c r="CI96" s="38">
        <f>IF((ዕቁብ!CJ98/ቦኖ!$C$4&gt;0),1,0)</f>
        <v>0</v>
      </c>
      <c r="CJ96" s="38">
        <f>IF((ዕቁብ!CK98/ቦኖ!$C$4&gt;0),1,0)</f>
        <v>1</v>
      </c>
      <c r="CK96" s="38">
        <f>IF((ዕቁብ!CL98/ቦኖ!$C$4&gt;0),1,0)</f>
        <v>1</v>
      </c>
      <c r="CL96" s="38">
        <f>IF((ዕቁብ!CM98/ቦኖ!$C$4&gt;0),1,0)</f>
        <v>1</v>
      </c>
      <c r="CM96" s="38">
        <f>IF((ዕቁብ!CN98/ቦኖ!$C$4&gt;0),1,0)</f>
        <v>1</v>
      </c>
      <c r="CN96" s="38">
        <f>IF((ዕቁብ!CO98/ቦኖ!$C$4&gt;0),1,0)</f>
        <v>0</v>
      </c>
      <c r="CO96" s="38">
        <f>IF((ዕቁብ!CP98/ቦኖ!$C$4&gt;0),1,0)</f>
        <v>1</v>
      </c>
      <c r="CP96" s="38">
        <f>IF((ዕቁብ!CQ98/ቦኖ!$C$4&gt;0),1,0)</f>
        <v>0</v>
      </c>
      <c r="CQ96" s="38">
        <f>IF((ዕቁብ!CR98/ቦኖ!$C$4&gt;0),1,0)</f>
        <v>0</v>
      </c>
      <c r="CR96" s="38">
        <f>IF((ዕቁብ!CS98/ቦኖ!$C$4&gt;0),1,0)</f>
        <v>1</v>
      </c>
      <c r="CS96" s="38">
        <f>IF((ዕቁብ!CT98/ቦኖ!$C$4&gt;0),1,0)</f>
        <v>1</v>
      </c>
      <c r="CT96" s="38">
        <f>IF((ዕቁብ!CU98/ቦኖ!$C$4&gt;0),1,0)</f>
        <v>1</v>
      </c>
      <c r="CU96" s="38">
        <f>IF((ዕቁብ!CV98/ቦኖ!$C$4&gt;0),1,0)</f>
        <v>1</v>
      </c>
      <c r="CV96" s="38">
        <f>IF((ዕቁብ!CW98/ቦኖ!$C$4&gt;0),1,0)</f>
        <v>1</v>
      </c>
      <c r="CW96" s="38">
        <f>IF((ዕቁብ!CX98/ቦኖ!$C$4&gt;0),1,0)</f>
        <v>1</v>
      </c>
      <c r="CX96" s="38">
        <f>IF((ዕቁብ!CY98/ቦኖ!$C$4&gt;0),1,0)</f>
        <v>1</v>
      </c>
      <c r="CY96" s="38">
        <f>IF((ዕቁብ!CZ98/ቦኖ!$C$4&gt;0),1,0)</f>
        <v>0</v>
      </c>
      <c r="CZ96" s="38">
        <f>IF((ዕቁብ!DA98/ቦኖ!$C$4&gt;0),1,0)</f>
        <v>1</v>
      </c>
      <c r="DA96" s="38">
        <f>IF((ዕቁብ!DB98/ቦኖ!$C$4&gt;0),1,0)</f>
        <v>1</v>
      </c>
      <c r="DB96" s="38">
        <f>IF((ዕቁብ!DC98/ቦኖ!$C$4&gt;0),1,0)</f>
        <v>1</v>
      </c>
      <c r="DC96" s="38">
        <f>IF((ዕቁብ!DD98/ቦኖ!$C$4&gt;0),1,0)</f>
        <v>0</v>
      </c>
      <c r="DD96" s="38">
        <f>IF((ዕቁብ!DE98/ቦኖ!$C$4&gt;0),1,0)</f>
        <v>1</v>
      </c>
      <c r="DE96" s="38">
        <f>IF((ዕቁብ!DF98/ቦኖ!$C$4&gt;0),1,0)</f>
        <v>0</v>
      </c>
      <c r="DF96" s="38">
        <f>IF((ዕቁብ!DG98/ቦኖ!$C$4&gt;0),1,0)</f>
        <v>1</v>
      </c>
      <c r="DG96" s="38">
        <f>IF((ዕቁብ!DH98/ቦኖ!$C$4&gt;0),1,0)</f>
        <v>1</v>
      </c>
      <c r="DH96" s="38">
        <f>IF((ዕቁብ!DI98/ቦኖ!$C$4&gt;0),1,0)</f>
        <v>0</v>
      </c>
      <c r="DI96" s="38">
        <f>IF((ዕቁብ!DJ98/ቦኖ!$C$4&gt;0),1,0)</f>
        <v>0</v>
      </c>
      <c r="DJ96" s="38">
        <f>IF((ዕቁብ!DK98/ቦኖ!$C$4&gt;0),1,0)</f>
        <v>0</v>
      </c>
      <c r="DK96" s="38">
        <f>IF((ዕቁብ!DL98/ቦኖ!$C$4&gt;0),1,0)</f>
        <v>0</v>
      </c>
      <c r="DL96" s="38">
        <f>IF((ዕቁብ!DM98/ቦኖ!$C$4&gt;0),1,0)</f>
        <v>0</v>
      </c>
      <c r="DM96" s="38">
        <f>IF((ዕቁብ!DN98/ቦኖ!$C$4&gt;0),1,0)</f>
        <v>0</v>
      </c>
      <c r="DN96" s="38">
        <f>IF((ዕቁብ!DO98/ቦኖ!$C$4&gt;0),1,0)</f>
        <v>0</v>
      </c>
      <c r="DO96" s="38">
        <f>IF((ዕቁብ!DP98/ቦኖ!$C$4&gt;0),1,0)</f>
        <v>0</v>
      </c>
      <c r="DP96" s="38">
        <f>IF((ዕቁብ!DQ98/ቦኖ!$C$4&gt;0),1,0)</f>
        <v>0</v>
      </c>
      <c r="DQ96" s="38">
        <f>IF((ዕቁብ!DR98/ቦኖ!$C$4&gt;0),1,0)</f>
        <v>0</v>
      </c>
    </row>
    <row r="97" spans="1:121" ht="15.75" customHeight="1" x14ac:dyDescent="0.3">
      <c r="A97" s="33">
        <f>ዕቁብ!A99</f>
        <v>93</v>
      </c>
      <c r="B97" s="33" t="str">
        <f>ዕቁብ!B99</f>
        <v>እንግዳ ካሳዬ</v>
      </c>
      <c r="C97" s="37">
        <f>ዕቁብ!C99</f>
        <v>21000</v>
      </c>
      <c r="D97" s="38">
        <f>IF((ዕቁብ!E99/ቦኖ!$C$4&gt;0),1,0)</f>
        <v>1</v>
      </c>
      <c r="E97" s="38">
        <f>IF((ዕቁብ!F99/ቦኖ!$C$4&gt;0),1,0)</f>
        <v>1</v>
      </c>
      <c r="F97" s="38">
        <f>IF((ዕቁብ!G99/ቦኖ!$C$4&gt;0),1,0)</f>
        <v>1</v>
      </c>
      <c r="G97" s="38">
        <f>IF((ዕቁብ!H99/ቦኖ!$C$4&gt;0),1,0)</f>
        <v>1</v>
      </c>
      <c r="H97" s="38">
        <f>IF((ዕቁብ!I99/ቦኖ!$C$4&gt;0),1,0)</f>
        <v>1</v>
      </c>
      <c r="I97" s="38">
        <f>IF((ዕቁብ!J99/ቦኖ!$C$4&gt;0),1,0)</f>
        <v>1</v>
      </c>
      <c r="J97" s="38">
        <f>IF((ዕቁብ!K99/ቦኖ!$C$4&gt;0),1,0)</f>
        <v>1</v>
      </c>
      <c r="K97" s="38">
        <f>IF((ዕቁብ!L99/ቦኖ!$C$4&gt;0),1,0)</f>
        <v>1</v>
      </c>
      <c r="L97" s="38">
        <f>IF((ዕቁብ!M99/ቦኖ!$C$4&gt;0),1,0)</f>
        <v>1</v>
      </c>
      <c r="M97" s="38">
        <f>IF((ዕቁብ!N99/ቦኖ!$C$4&gt;0),1,0)</f>
        <v>1</v>
      </c>
      <c r="N97" s="38">
        <f>IF((ዕቁብ!O99/ቦኖ!$C$4&gt;0),1,0)</f>
        <v>1</v>
      </c>
      <c r="O97" s="38">
        <f>IF((ዕቁብ!P99/ቦኖ!$C$4&gt;0),1,0)</f>
        <v>1</v>
      </c>
      <c r="P97" s="38">
        <f>IF((ዕቁብ!Q99/ቦኖ!$C$4&gt;0),1,0)</f>
        <v>1</v>
      </c>
      <c r="Q97" s="38">
        <f>IF((ዕቁብ!R99/ቦኖ!$C$4&gt;0),1,0)</f>
        <v>1</v>
      </c>
      <c r="R97" s="38">
        <f>IF((ዕቁብ!S99/ቦኖ!$C$4&gt;0),1,0)</f>
        <v>1</v>
      </c>
      <c r="S97" s="38">
        <f>IF((ዕቁብ!T99/ቦኖ!$C$4&gt;0),1,0)</f>
        <v>1</v>
      </c>
      <c r="T97" s="38">
        <f>IF((ዕቁብ!U99/ቦኖ!$C$4&gt;0),1,0)</f>
        <v>1</v>
      </c>
      <c r="U97" s="38">
        <f>IF((ዕቁብ!V99/ቦኖ!$C$4&gt;0),1,0)</f>
        <v>1</v>
      </c>
      <c r="V97" s="38">
        <f>IF((ዕቁብ!W99/ቦኖ!$C$4&gt;0),1,0)</f>
        <v>1</v>
      </c>
      <c r="W97" s="38">
        <f>IF((ዕቁብ!X99/ቦኖ!$C$4&gt;0),1,0)</f>
        <v>1</v>
      </c>
      <c r="X97" s="38">
        <f>IF((ዕቁብ!Y99/ቦኖ!$C$4&gt;0),1,0)</f>
        <v>1</v>
      </c>
      <c r="Y97" s="38">
        <f>IF((ዕቁብ!Z99/ቦኖ!$C$4&gt;0),1,0)</f>
        <v>1</v>
      </c>
      <c r="Z97" s="38">
        <f>IF((ዕቁብ!AA99/ቦኖ!$C$4&gt;0),1,0)</f>
        <v>1</v>
      </c>
      <c r="AA97" s="38">
        <f>IF((ዕቁብ!AB99/ቦኖ!$C$4&gt;0),1,0)</f>
        <v>0</v>
      </c>
      <c r="AB97" s="38">
        <f>IF((ዕቁብ!AC99/ቦኖ!$C$4&gt;0),1,0)</f>
        <v>1</v>
      </c>
      <c r="AC97" s="38">
        <f>IF((ዕቁብ!AD99/ቦኖ!$C$4&gt;0),1,0)</f>
        <v>1</v>
      </c>
      <c r="AD97" s="38">
        <f>IF((ዕቁብ!AE99/ቦኖ!$C$4&gt;0),1,0)</f>
        <v>1</v>
      </c>
      <c r="AE97" s="38">
        <f>IF((ዕቁብ!AF99/ቦኖ!$C$4&gt;0),1,0)</f>
        <v>1</v>
      </c>
      <c r="AF97" s="38">
        <f>IF((ዕቁብ!AG99/ቦኖ!$C$4&gt;0),1,0)</f>
        <v>1</v>
      </c>
      <c r="AG97" s="38">
        <f>IF((ዕቁብ!AH99/ቦኖ!$C$4&gt;0),1,0)</f>
        <v>1</v>
      </c>
      <c r="AH97" s="38">
        <f>IF((ዕቁብ!AI99/ቦኖ!$C$4&gt;0),1,0)</f>
        <v>1</v>
      </c>
      <c r="AI97" s="38">
        <f>IF((ዕቁብ!AJ99/ቦኖ!$C$4&gt;0),1,0)</f>
        <v>1</v>
      </c>
      <c r="AJ97" s="38">
        <f>IF((ዕቁብ!AK99/ቦኖ!$C$4&gt;0),1,0)</f>
        <v>1</v>
      </c>
      <c r="AK97" s="38">
        <f>IF((ዕቁብ!AL99/ቦኖ!$C$4&gt;0),1,0)</f>
        <v>1</v>
      </c>
      <c r="AL97" s="38">
        <f>IF((ዕቁብ!AM99/ቦኖ!$C$4&gt;0),1,0)</f>
        <v>1</v>
      </c>
      <c r="AM97" s="38">
        <f>IF((ዕቁብ!AN99/ቦኖ!$C$4&gt;0),1,0)</f>
        <v>1</v>
      </c>
      <c r="AN97" s="38">
        <f>IF((ዕቁብ!AO99/ቦኖ!$C$4&gt;0),1,0)</f>
        <v>1</v>
      </c>
      <c r="AO97" s="38">
        <f>IF((ዕቁብ!AP99/ቦኖ!$C$4&gt;0),1,0)</f>
        <v>1</v>
      </c>
      <c r="AP97" s="38">
        <f>IF((ዕቁብ!AQ99/ቦኖ!$C$4&gt;0),1,0)</f>
        <v>1</v>
      </c>
      <c r="AQ97" s="38">
        <f>IF((ዕቁብ!AR99/ቦኖ!$C$4&gt;0),1,0)</f>
        <v>1</v>
      </c>
      <c r="AR97" s="38">
        <f>IF((ዕቁብ!AS99/ቦኖ!$C$4&gt;0),1,0)</f>
        <v>1</v>
      </c>
      <c r="AS97" s="38">
        <f>IF((ዕቁብ!AT99/ቦኖ!$C$4&gt;0),1,0)</f>
        <v>1</v>
      </c>
      <c r="AT97" s="38">
        <f>IF((ዕቁብ!AU99/ቦኖ!$C$4&gt;0),1,0)</f>
        <v>1</v>
      </c>
      <c r="AU97" s="38">
        <f>IF((ዕቁብ!AV99/ቦኖ!$C$4&gt;0),1,0)</f>
        <v>1</v>
      </c>
      <c r="AV97" s="38">
        <f>IF((ዕቁብ!AW99/ቦኖ!$C$4&gt;0),1,0)</f>
        <v>1</v>
      </c>
      <c r="AW97" s="38">
        <f>IF((ዕቁብ!AX99/ቦኖ!$C$4&gt;0),1,0)</f>
        <v>1</v>
      </c>
      <c r="AX97" s="38">
        <f>IF((ዕቁብ!AY99/ቦኖ!$C$4&gt;0),1,0)</f>
        <v>1</v>
      </c>
      <c r="AY97" s="38">
        <f>IF((ዕቁብ!AZ99/ቦኖ!$C$4&gt;0),1,0)</f>
        <v>1</v>
      </c>
      <c r="AZ97" s="38">
        <f>IF((ዕቁብ!BA99/ቦኖ!$C$4&gt;0),1,0)</f>
        <v>1</v>
      </c>
      <c r="BA97" s="38">
        <f>IF((ዕቁብ!BB99/ቦኖ!$C$4&gt;0),1,0)</f>
        <v>1</v>
      </c>
      <c r="BB97" s="38">
        <f>IF((ዕቁብ!BC99/ቦኖ!$C$4&gt;0),1,0)</f>
        <v>1</v>
      </c>
      <c r="BC97" s="38">
        <f>IF((ዕቁብ!BD99/ቦኖ!$C$4&gt;0),1,0)</f>
        <v>1</v>
      </c>
      <c r="BD97" s="38">
        <f>IF((ዕቁብ!BE99/ቦኖ!$C$4&gt;0),1,0)</f>
        <v>1</v>
      </c>
      <c r="BE97" s="38">
        <f>IF((ዕቁብ!BF99/ቦኖ!$C$4&gt;0),1,0)</f>
        <v>0</v>
      </c>
      <c r="BF97" s="38">
        <f>IF((ዕቁብ!BG99/ቦኖ!$C$4&gt;0),1,0)</f>
        <v>1</v>
      </c>
      <c r="BG97" s="38">
        <f>IF((ዕቁብ!BH99/ቦኖ!$C$4&gt;0),1,0)</f>
        <v>1</v>
      </c>
      <c r="BH97" s="38">
        <f>IF((ዕቁብ!BI99/ቦኖ!$C$4&gt;0),1,0)</f>
        <v>1</v>
      </c>
      <c r="BI97" s="38">
        <f>IF((ዕቁብ!BJ99/ቦኖ!$C$4&gt;0),1,0)</f>
        <v>1</v>
      </c>
      <c r="BJ97" s="38">
        <f>IF((ዕቁብ!BK99/ቦኖ!$C$4&gt;0),1,0)</f>
        <v>1</v>
      </c>
      <c r="BK97" s="38">
        <f>IF((ዕቁብ!BL99/ቦኖ!$C$4&gt;0),1,0)</f>
        <v>1</v>
      </c>
      <c r="BL97" s="38">
        <f>IF((ዕቁብ!BM99/ቦኖ!$C$4&gt;0),1,0)</f>
        <v>1</v>
      </c>
      <c r="BM97" s="38">
        <f>IF((ዕቁብ!BN99/ቦኖ!$C$4&gt;0),1,0)</f>
        <v>0</v>
      </c>
      <c r="BN97" s="38">
        <f>IF((ዕቁብ!BO99/ቦኖ!$C$4&gt;0),1,0)</f>
        <v>1</v>
      </c>
      <c r="BO97" s="38">
        <f>IF((ዕቁብ!BP99/ቦኖ!$C$4&gt;0),1,0)</f>
        <v>1</v>
      </c>
      <c r="BP97" s="38">
        <f>IF((ዕቁብ!BQ99/ቦኖ!$C$4&gt;0),1,0)</f>
        <v>1</v>
      </c>
      <c r="BQ97" s="38">
        <f>IF((ዕቁብ!BR99/ቦኖ!$C$4&gt;0),1,0)</f>
        <v>1</v>
      </c>
      <c r="BR97" s="38">
        <f>IF((ዕቁብ!BS99/ቦኖ!$C$4&gt;0),1,0)</f>
        <v>1</v>
      </c>
      <c r="BS97" s="38">
        <f>IF((ዕቁብ!BT99/ቦኖ!$C$4&gt;0),1,0)</f>
        <v>1</v>
      </c>
      <c r="BT97" s="38">
        <f>IF((ዕቁብ!BU99/ቦኖ!$C$4&gt;0),1,0)</f>
        <v>1</v>
      </c>
      <c r="BU97" s="38">
        <f>IF((ዕቁብ!BV99/ቦኖ!$C$4&gt;0),1,0)</f>
        <v>1</v>
      </c>
      <c r="BV97" s="38">
        <f>IF((ዕቁብ!BW99/ቦኖ!$C$4&gt;0),1,0)</f>
        <v>1</v>
      </c>
      <c r="BW97" s="38">
        <f>IF((ዕቁብ!BX99/ቦኖ!$C$4&gt;0),1,0)</f>
        <v>1</v>
      </c>
      <c r="BX97" s="38">
        <f>IF((ዕቁብ!BY99/ቦኖ!$C$4&gt;0),1,0)</f>
        <v>1</v>
      </c>
      <c r="BY97" s="38">
        <f>IF((ዕቁብ!BZ99/ቦኖ!$C$4&gt;0),1,0)</f>
        <v>1</v>
      </c>
      <c r="BZ97" s="38">
        <f>IF((ዕቁብ!CA99/ቦኖ!$C$4&gt;0),1,0)</f>
        <v>1</v>
      </c>
      <c r="CA97" s="38">
        <f>IF((ዕቁብ!CB99/ቦኖ!$C$4&gt;0),1,0)</f>
        <v>0</v>
      </c>
      <c r="CB97" s="38">
        <f>IF((ዕቁብ!CC99/ቦኖ!$C$4&gt;0),1,0)</f>
        <v>1</v>
      </c>
      <c r="CC97" s="38">
        <f>IF((ዕቁብ!CD99/ቦኖ!$C$4&gt;0),1,0)</f>
        <v>0</v>
      </c>
      <c r="CD97" s="38">
        <f>IF((ዕቁብ!CE99/ቦኖ!$C$4&gt;0),1,0)</f>
        <v>0</v>
      </c>
      <c r="CE97" s="38">
        <f>IF((ዕቁብ!CF99/ቦኖ!$C$4&gt;0),1,0)</f>
        <v>1</v>
      </c>
      <c r="CF97" s="38">
        <f>IF((ዕቁብ!CG99/ቦኖ!$C$4&gt;0),1,0)</f>
        <v>0</v>
      </c>
      <c r="CG97" s="38">
        <f>IF((ዕቁብ!CH99/ቦኖ!$C$4&gt;0),1,0)</f>
        <v>1</v>
      </c>
      <c r="CH97" s="38">
        <f>IF((ዕቁብ!CI99/ቦኖ!$C$4&gt;0),1,0)</f>
        <v>1</v>
      </c>
      <c r="CI97" s="38">
        <f>IF((ዕቁብ!CJ99/ቦኖ!$C$4&gt;0),1,0)</f>
        <v>1</v>
      </c>
      <c r="CJ97" s="38">
        <f>IF((ዕቁብ!CK99/ቦኖ!$C$4&gt;0),1,0)</f>
        <v>1</v>
      </c>
      <c r="CK97" s="38">
        <f>IF((ዕቁብ!CL99/ቦኖ!$C$4&gt;0),1,0)</f>
        <v>0</v>
      </c>
      <c r="CL97" s="38">
        <f>IF((ዕቁብ!CM99/ቦኖ!$C$4&gt;0),1,0)</f>
        <v>1</v>
      </c>
      <c r="CM97" s="38">
        <f>IF((ዕቁብ!CN99/ቦኖ!$C$4&gt;0),1,0)</f>
        <v>1</v>
      </c>
      <c r="CN97" s="38">
        <f>IF((ዕቁብ!CO99/ቦኖ!$C$4&gt;0),1,0)</f>
        <v>1</v>
      </c>
      <c r="CO97" s="38">
        <f>IF((ዕቁብ!CP99/ቦኖ!$C$4&gt;0),1,0)</f>
        <v>0</v>
      </c>
      <c r="CP97" s="38">
        <f>IF((ዕቁብ!CQ99/ቦኖ!$C$4&gt;0),1,0)</f>
        <v>1</v>
      </c>
      <c r="CQ97" s="38">
        <f>IF((ዕቁብ!CR99/ቦኖ!$C$4&gt;0),1,0)</f>
        <v>1</v>
      </c>
      <c r="CR97" s="38">
        <f>IF((ዕቁብ!CS99/ቦኖ!$C$4&gt;0),1,0)</f>
        <v>1</v>
      </c>
      <c r="CS97" s="38">
        <f>IF((ዕቁብ!CT99/ቦኖ!$C$4&gt;0),1,0)</f>
        <v>1</v>
      </c>
      <c r="CT97" s="38">
        <f>IF((ዕቁብ!CU99/ቦኖ!$C$4&gt;0),1,0)</f>
        <v>1</v>
      </c>
      <c r="CU97" s="38">
        <f>IF((ዕቁብ!CV99/ቦኖ!$C$4&gt;0),1,0)</f>
        <v>1</v>
      </c>
      <c r="CV97" s="38">
        <f>IF((ዕቁብ!CW99/ቦኖ!$C$4&gt;0),1,0)</f>
        <v>0</v>
      </c>
      <c r="CW97" s="38">
        <f>IF((ዕቁብ!CX99/ቦኖ!$C$4&gt;0),1,0)</f>
        <v>1</v>
      </c>
      <c r="CX97" s="38">
        <f>IF((ዕቁብ!CY99/ቦኖ!$C$4&gt;0),1,0)</f>
        <v>0</v>
      </c>
      <c r="CY97" s="38">
        <f>IF((ዕቁብ!CZ99/ቦኖ!$C$4&gt;0),1,0)</f>
        <v>0</v>
      </c>
      <c r="CZ97" s="38">
        <f>IF((ዕቁብ!DA99/ቦኖ!$C$4&gt;0),1,0)</f>
        <v>1</v>
      </c>
      <c r="DA97" s="38">
        <f>IF((ዕቁብ!DB99/ቦኖ!$C$4&gt;0),1,0)</f>
        <v>1</v>
      </c>
      <c r="DB97" s="38">
        <f>IF((ዕቁብ!DC99/ቦኖ!$C$4&gt;0),1,0)</f>
        <v>0</v>
      </c>
      <c r="DC97" s="38">
        <f>IF((ዕቁብ!DD99/ቦኖ!$C$4&gt;0),1,0)</f>
        <v>1</v>
      </c>
      <c r="DD97" s="38">
        <f>IF((ዕቁብ!DE99/ቦኖ!$C$4&gt;0),1,0)</f>
        <v>1</v>
      </c>
      <c r="DE97" s="38">
        <f>IF((ዕቁብ!DF99/ቦኖ!$C$4&gt;0),1,0)</f>
        <v>0</v>
      </c>
      <c r="DF97" s="38">
        <f>IF((ዕቁብ!DG99/ቦኖ!$C$4&gt;0),1,0)</f>
        <v>1</v>
      </c>
      <c r="DG97" s="38">
        <f>IF((ዕቁብ!DH99/ቦኖ!$C$4&gt;0),1,0)</f>
        <v>1</v>
      </c>
      <c r="DH97" s="38">
        <f>IF((ዕቁብ!DI99/ቦኖ!$C$4&gt;0),1,0)</f>
        <v>0</v>
      </c>
      <c r="DI97" s="38">
        <f>IF((ዕቁብ!DJ99/ቦኖ!$C$4&gt;0),1,0)</f>
        <v>0</v>
      </c>
      <c r="DJ97" s="38">
        <f>IF((ዕቁብ!DK99/ቦኖ!$C$4&gt;0),1,0)</f>
        <v>0</v>
      </c>
      <c r="DK97" s="38">
        <f>IF((ዕቁብ!DL99/ቦኖ!$C$4&gt;0),1,0)</f>
        <v>0</v>
      </c>
      <c r="DL97" s="38">
        <f>IF((ዕቁብ!DM99/ቦኖ!$C$4&gt;0),1,0)</f>
        <v>0</v>
      </c>
      <c r="DM97" s="38">
        <f>IF((ዕቁብ!DN99/ቦኖ!$C$4&gt;0),1,0)</f>
        <v>0</v>
      </c>
      <c r="DN97" s="38">
        <f>IF((ዕቁብ!DO99/ቦኖ!$C$4&gt;0),1,0)</f>
        <v>0</v>
      </c>
      <c r="DO97" s="38">
        <f>IF((ዕቁብ!DP99/ቦኖ!$C$4&gt;0),1,0)</f>
        <v>0</v>
      </c>
      <c r="DP97" s="38">
        <f>IF((ዕቁብ!DQ99/ቦኖ!$C$4&gt;0),1,0)</f>
        <v>0</v>
      </c>
      <c r="DQ97" s="38">
        <f>IF((ዕቁብ!DR99/ቦኖ!$C$4&gt;0),1,0)</f>
        <v>0</v>
      </c>
    </row>
    <row r="98" spans="1:121" ht="15.75" customHeight="1" x14ac:dyDescent="0.3">
      <c r="A98" s="33">
        <f>ዕቁብ!A100</f>
        <v>94</v>
      </c>
      <c r="B98" s="33" t="str">
        <f>ዕቁብ!B100</f>
        <v xml:space="preserve">ዬሐንስ ከበደ </v>
      </c>
      <c r="C98" s="37">
        <f>ዕቁብ!C100</f>
        <v>10500</v>
      </c>
      <c r="D98" s="38">
        <f>IF((ዕቁብ!E100/ቦኖ!$C$4&gt;0),(1/2),0)</f>
        <v>0.5</v>
      </c>
      <c r="E98" s="38">
        <f>IF((ዕቁብ!F100/ቦኖ!$C$4&gt;0),(1/2),0)</f>
        <v>0.5</v>
      </c>
      <c r="F98" s="38">
        <f>IF((ዕቁብ!G100/ቦኖ!$C$4&gt;0),(1/2),0)</f>
        <v>0.5</v>
      </c>
      <c r="G98" s="38">
        <f>IF((ዕቁብ!H100/ቦኖ!$C$4&gt;0),(1/2),0)</f>
        <v>0.5</v>
      </c>
      <c r="H98" s="38">
        <f>IF((ዕቁብ!I100/ቦኖ!$C$4&gt;0),(1/2),0)</f>
        <v>0.5</v>
      </c>
      <c r="I98" s="38">
        <f>IF((ዕቁብ!J100/ቦኖ!$C$4&gt;0),(1/2),0)</f>
        <v>0.5</v>
      </c>
      <c r="J98" s="38">
        <f>IF((ዕቁብ!K100/ቦኖ!$C$4&gt;0),(1/2),0)</f>
        <v>0.5</v>
      </c>
      <c r="K98" s="38">
        <f>IF((ዕቁብ!L100/ቦኖ!$C$4&gt;0),(1/2),0)</f>
        <v>0.5</v>
      </c>
      <c r="L98" s="38">
        <f>IF((ዕቁብ!M100/ቦኖ!$C$4&gt;0),(1/2),0)</f>
        <v>0.5</v>
      </c>
      <c r="M98" s="38">
        <f>IF((ዕቁብ!N100/ቦኖ!$C$4&gt;0),(1/2),0)</f>
        <v>0.5</v>
      </c>
      <c r="N98" s="38">
        <f>IF((ዕቁብ!O100/ቦኖ!$C$4&gt;0),(1/2),0)</f>
        <v>0.5</v>
      </c>
      <c r="O98" s="38">
        <f>IF((ዕቁብ!P100/ቦኖ!$C$4&gt;0),(1/2),0)</f>
        <v>0.5</v>
      </c>
      <c r="P98" s="38">
        <f>IF((ዕቁብ!Q100/ቦኖ!$C$4&gt;0),(1/2),0)</f>
        <v>0.5</v>
      </c>
      <c r="Q98" s="38">
        <f>IF((ዕቁብ!R100/ቦኖ!$C$4&gt;0),(1/2),0)</f>
        <v>0.5</v>
      </c>
      <c r="R98" s="38">
        <f>IF((ዕቁብ!S100/ቦኖ!$C$4&gt;0),(1/2),0)</f>
        <v>0.5</v>
      </c>
      <c r="S98" s="38">
        <f>IF((ዕቁብ!T100/ቦኖ!$C$4&gt;0),(1/2),0)</f>
        <v>0.5</v>
      </c>
      <c r="T98" s="38">
        <f>IF((ዕቁብ!U100/ቦኖ!$C$4&gt;0),(1/2),0)</f>
        <v>0.5</v>
      </c>
      <c r="U98" s="38">
        <f>IF((ዕቁብ!V100/ቦኖ!$C$4&gt;0),(1/2),0)</f>
        <v>0.5</v>
      </c>
      <c r="V98" s="38">
        <f>IF((ዕቁብ!W100/ቦኖ!$C$4&gt;0),(1/2),0)</f>
        <v>0.5</v>
      </c>
      <c r="W98" s="38">
        <f>IF((ዕቁብ!X100/ቦኖ!$C$4&gt;0),(1/2),0)</f>
        <v>0.5</v>
      </c>
      <c r="X98" s="38">
        <f>IF((ዕቁብ!Y100/ቦኖ!$C$4&gt;0),(1/2),0)</f>
        <v>0</v>
      </c>
      <c r="Y98" s="38">
        <f>IF((ዕቁብ!Z100/ቦኖ!$C$4&gt;0),(1/2),0)</f>
        <v>0.5</v>
      </c>
      <c r="Z98" s="38">
        <f>IF((ዕቁብ!AA100/ቦኖ!$C$4&gt;0),(1/2),0)</f>
        <v>0</v>
      </c>
      <c r="AA98" s="38">
        <f>IF((ዕቁብ!AB100/ቦኖ!$C$4&gt;0),(1/2),0)</f>
        <v>0.5</v>
      </c>
      <c r="AB98" s="38">
        <f>IF((ዕቁብ!AC100/ቦኖ!$C$4&gt;0),(1/2),0)</f>
        <v>0.5</v>
      </c>
      <c r="AC98" s="38">
        <f>IF((ዕቁብ!AD100/ቦኖ!$C$4&gt;0),(1/2),0)</f>
        <v>0.5</v>
      </c>
      <c r="AD98" s="38">
        <f>IF((ዕቁብ!AE100/ቦኖ!$C$4&gt;0),(1/2),0)</f>
        <v>0</v>
      </c>
      <c r="AE98" s="38">
        <f>IF((ዕቁብ!AF100/ቦኖ!$C$4&gt;0),(1/2),0)</f>
        <v>0.5</v>
      </c>
      <c r="AF98" s="38">
        <f>IF((ዕቁብ!AG100/ቦኖ!$C$4&gt;0),(1/2),0)</f>
        <v>0.5</v>
      </c>
      <c r="AG98" s="38">
        <f>IF((ዕቁብ!AH100/ቦኖ!$C$4&gt;0),(1/2),0)</f>
        <v>0.5</v>
      </c>
      <c r="AH98" s="38">
        <f>IF((ዕቁብ!AI100/ቦኖ!$C$4&gt;0),(1/2),0)</f>
        <v>0.5</v>
      </c>
      <c r="AI98" s="38">
        <f>IF((ዕቁብ!AJ100/ቦኖ!$C$4&gt;0),(1/2),0)</f>
        <v>0.5</v>
      </c>
      <c r="AJ98" s="38">
        <f>IF((ዕቁብ!AK100/ቦኖ!$C$4&gt;0),(1/2),0)</f>
        <v>0.5</v>
      </c>
      <c r="AK98" s="38">
        <f>IF((ዕቁብ!AL100/ቦኖ!$C$4&gt;0),(1/2),0)</f>
        <v>0.5</v>
      </c>
      <c r="AL98" s="38">
        <f>IF((ዕቁብ!AM100/ቦኖ!$C$4&gt;0),(1/2),0)</f>
        <v>0.5</v>
      </c>
      <c r="AM98" s="38">
        <f>IF((ዕቁብ!AN100/ቦኖ!$C$4&gt;0),(1/2),0)</f>
        <v>0.5</v>
      </c>
      <c r="AN98" s="38">
        <f>IF((ዕቁብ!AO100/ቦኖ!$C$4&gt;0),(1/2),0)</f>
        <v>0.5</v>
      </c>
      <c r="AO98" s="38">
        <f>IF((ዕቁብ!AP100/ቦኖ!$C$4&gt;0),(1/2),0)</f>
        <v>0</v>
      </c>
      <c r="AP98" s="38">
        <f>IF((ዕቁብ!AQ100/ቦኖ!$C$4&gt;0),(1/2),0)</f>
        <v>0.5</v>
      </c>
      <c r="AQ98" s="38">
        <f>IF((ዕቁብ!AR100/ቦኖ!$C$4&gt;0),(1/2),0)</f>
        <v>0.5</v>
      </c>
      <c r="AR98" s="38">
        <f>IF((ዕቁብ!AS100/ቦኖ!$C$4&gt;0),(1/2),0)</f>
        <v>0</v>
      </c>
      <c r="AS98" s="38">
        <f>IF((ዕቁብ!AT100/ቦኖ!$C$4&gt;0),(1/2),0)</f>
        <v>0.5</v>
      </c>
      <c r="AT98" s="38">
        <f>IF((ዕቁብ!AU100/ቦኖ!$C$4&gt;0),(1/2),0)</f>
        <v>0.5</v>
      </c>
      <c r="AU98" s="38">
        <f>IF((ዕቁብ!AV100/ቦኖ!$C$4&gt;0),(1/2),0)</f>
        <v>0.5</v>
      </c>
      <c r="AV98" s="38">
        <f>IF((ዕቁብ!AW100/ቦኖ!$C$4&gt;0),(1/2),0)</f>
        <v>0.5</v>
      </c>
      <c r="AW98" s="38">
        <f>IF((ዕቁብ!AX100/ቦኖ!$C$4&gt;0),(1/2),0)</f>
        <v>0</v>
      </c>
      <c r="AX98" s="38">
        <f>IF((ዕቁብ!AY100/ቦኖ!$C$4&gt;0),(1/2),0)</f>
        <v>0.5</v>
      </c>
      <c r="AY98" s="38">
        <f>IF((ዕቁብ!AZ100/ቦኖ!$C$4&gt;0),(1/2),0)</f>
        <v>0.5</v>
      </c>
      <c r="AZ98" s="38">
        <f>IF((ዕቁብ!BA100/ቦኖ!$C$4&gt;0),(1/2),0)</f>
        <v>0</v>
      </c>
      <c r="BA98" s="38">
        <f>IF((ዕቁብ!BB100/ቦኖ!$C$4&gt;0),(1/2),0)</f>
        <v>0.5</v>
      </c>
      <c r="BB98" s="38">
        <f>IF((ዕቁብ!BC100/ቦኖ!$C$4&gt;0),(1/2),0)</f>
        <v>0.5</v>
      </c>
      <c r="BC98" s="38">
        <f>IF((ዕቁብ!BD100/ቦኖ!$C$4&gt;0),(1/2),0)</f>
        <v>0.5</v>
      </c>
      <c r="BD98" s="38">
        <f>IF((ዕቁብ!BE100/ቦኖ!$C$4&gt;0),(1/2),0)</f>
        <v>0.5</v>
      </c>
      <c r="BE98" s="38">
        <f>IF((ዕቁብ!BF100/ቦኖ!$C$4&gt;0),(1/2),0)</f>
        <v>0</v>
      </c>
      <c r="BF98" s="38">
        <f>IF((ዕቁብ!BG100/ቦኖ!$C$4&gt;0),(1/2),0)</f>
        <v>0.5</v>
      </c>
      <c r="BG98" s="38">
        <f>IF((ዕቁብ!BH100/ቦኖ!$C$4&gt;0),(1/2),0)</f>
        <v>0</v>
      </c>
      <c r="BH98" s="38">
        <f>IF((ዕቁብ!BI100/ቦኖ!$C$4&gt;0),(1/2),0)</f>
        <v>0.5</v>
      </c>
      <c r="BI98" s="38">
        <f>IF((ዕቁብ!BJ100/ቦኖ!$C$4&gt;0),(1/2),0)</f>
        <v>0.5</v>
      </c>
      <c r="BJ98" s="38">
        <f>IF((ዕቁብ!BK100/ቦኖ!$C$4&gt;0),(1/2),0)</f>
        <v>0</v>
      </c>
      <c r="BK98" s="38">
        <f>IF((ዕቁብ!BL100/ቦኖ!$C$4&gt;0),(1/2),0)</f>
        <v>0.5</v>
      </c>
      <c r="BL98" s="38">
        <f>IF((ዕቁብ!BM100/ቦኖ!$C$4&gt;0),(1/2),0)</f>
        <v>0.5</v>
      </c>
      <c r="BM98" s="38">
        <f>IF((ዕቁብ!BN100/ቦኖ!$C$4&gt;0),(1/2),0)</f>
        <v>0.5</v>
      </c>
      <c r="BN98" s="38">
        <f>IF((ዕቁብ!BO100/ቦኖ!$C$4&gt;0),(1/2),0)</f>
        <v>0</v>
      </c>
      <c r="BO98" s="38">
        <f>IF((ዕቁብ!BP100/ቦኖ!$C$4&gt;0),(1/2),0)</f>
        <v>0.5</v>
      </c>
      <c r="BP98" s="38">
        <f>IF((ዕቁብ!BQ100/ቦኖ!$C$4&gt;0),(1/2),0)</f>
        <v>0.5</v>
      </c>
      <c r="BQ98" s="38">
        <f>IF((ዕቁብ!BR100/ቦኖ!$C$4&gt;0),(1/2),0)</f>
        <v>0</v>
      </c>
      <c r="BR98" s="38">
        <f>IF((ዕቁብ!BS100/ቦኖ!$C$4&gt;0),(1/2),0)</f>
        <v>0.5</v>
      </c>
      <c r="BS98" s="38">
        <f>IF((ዕቁብ!BT100/ቦኖ!$C$4&gt;0),(1/2),0)</f>
        <v>0.5</v>
      </c>
      <c r="BT98" s="38">
        <f>IF((ዕቁብ!BU100/ቦኖ!$C$4&gt;0),(1/2),0)</f>
        <v>0</v>
      </c>
      <c r="BU98" s="38">
        <f>IF((ዕቁብ!BV100/ቦኖ!$C$4&gt;0),(1/2),0)</f>
        <v>0.5</v>
      </c>
      <c r="BV98" s="38">
        <f>IF((ዕቁብ!BW100/ቦኖ!$C$4&gt;0),(1/2),0)</f>
        <v>0</v>
      </c>
      <c r="BW98" s="38">
        <f>IF((ዕቁብ!BX100/ቦኖ!$C$4&gt;0),(1/2),0)</f>
        <v>0</v>
      </c>
      <c r="BX98" s="38">
        <f>IF((ዕቁብ!BY100/ቦኖ!$C$4&gt;0),(1/2),0)</f>
        <v>0</v>
      </c>
      <c r="BY98" s="38">
        <f>IF((ዕቁብ!BZ100/ቦኖ!$C$4&gt;0),(1/2),0)</f>
        <v>0.5</v>
      </c>
      <c r="BZ98" s="38">
        <f>IF((ዕቁብ!CA100/ቦኖ!$C$4&gt;0),(1/2),0)</f>
        <v>0</v>
      </c>
      <c r="CA98" s="38">
        <f>IF((ዕቁብ!CB100/ቦኖ!$C$4&gt;0),(1/2),0)</f>
        <v>0</v>
      </c>
      <c r="CB98" s="38">
        <f>IF((ዕቁብ!CC100/ቦኖ!$C$4&gt;0),(1/2),0)</f>
        <v>0</v>
      </c>
      <c r="CC98" s="38">
        <f>IF((ዕቁብ!CD100/ቦኖ!$C$4&gt;0),(1/2),0)</f>
        <v>0.5</v>
      </c>
      <c r="CD98" s="38">
        <f>IF((ዕቁብ!CE100/ቦኖ!$C$4&gt;0),(1/2),0)</f>
        <v>0</v>
      </c>
      <c r="CE98" s="38">
        <f>IF((ዕቁብ!CF100/ቦኖ!$C$4&gt;0),(1/2),0)</f>
        <v>0.5</v>
      </c>
      <c r="CF98" s="38">
        <f>IF((ዕቁብ!CG100/ቦኖ!$C$4&gt;0),(1/2),0)</f>
        <v>0</v>
      </c>
      <c r="CG98" s="38">
        <f>IF((ዕቁብ!CH100/ቦኖ!$C$4&gt;0),(1/2),0)</f>
        <v>0</v>
      </c>
      <c r="CH98" s="38">
        <f>IF((ዕቁብ!CI100/ቦኖ!$C$4&gt;0),(1/2),0)</f>
        <v>0.5</v>
      </c>
      <c r="CI98" s="38">
        <f>IF((ዕቁብ!CJ100/ቦኖ!$C$4&gt;0),(1/2),0)</f>
        <v>0</v>
      </c>
      <c r="CJ98" s="38">
        <f>IF((ዕቁብ!CK100/ቦኖ!$C$4&gt;0),(1/2),0)</f>
        <v>0.5</v>
      </c>
      <c r="CK98" s="38">
        <f>IF((ዕቁብ!CL100/ቦኖ!$C$4&gt;0),(1/2),0)</f>
        <v>0</v>
      </c>
      <c r="CL98" s="38">
        <f>IF((ዕቁብ!CM100/ቦኖ!$C$4&gt;0),(1/2),0)</f>
        <v>0</v>
      </c>
      <c r="CM98" s="38">
        <f>IF((ዕቁብ!CN100/ቦኖ!$C$4&gt;0),(1/2),0)</f>
        <v>0.5</v>
      </c>
      <c r="CN98" s="38">
        <f>IF((ዕቁብ!CO100/ቦኖ!$C$4&gt;0),(1/2),0)</f>
        <v>0</v>
      </c>
      <c r="CO98" s="38">
        <f>IF((ዕቁብ!CP100/ቦኖ!$C$4&gt;0),(1/2),0)</f>
        <v>0</v>
      </c>
      <c r="CP98" s="38">
        <f>IF((ዕቁብ!CQ100/ቦኖ!$C$4&gt;0),(1/2),0)</f>
        <v>0</v>
      </c>
      <c r="CQ98" s="38">
        <f>IF((ዕቁብ!CR100/ቦኖ!$C$4&gt;0),(1/2),0)</f>
        <v>0</v>
      </c>
      <c r="CR98" s="38">
        <f>IF((ዕቁብ!CS100/ቦኖ!$C$4&gt;0),(1/2),0)</f>
        <v>0.5</v>
      </c>
      <c r="CS98" s="38">
        <f>IF((ዕቁብ!CT100/ቦኖ!$C$4&gt;0),(1/2),0)</f>
        <v>0.5</v>
      </c>
      <c r="CT98" s="38">
        <f>IF((ዕቁብ!CU100/ቦኖ!$C$4&gt;0),(1/2),0)</f>
        <v>0</v>
      </c>
      <c r="CU98" s="38">
        <f>IF((ዕቁብ!CV100/ቦኖ!$C$4&gt;0),(1/2),0)</f>
        <v>0.5</v>
      </c>
      <c r="CV98" s="38">
        <f>IF((ዕቁብ!CW100/ቦኖ!$C$4&gt;0),(1/2),0)</f>
        <v>0.5</v>
      </c>
      <c r="CW98" s="38">
        <f>IF((ዕቁብ!CX100/ቦኖ!$C$4&gt;0),(1/2),0)</f>
        <v>0</v>
      </c>
      <c r="CX98" s="38">
        <f>IF((ዕቁብ!CY100/ቦኖ!$C$4&gt;0),(1/2),0)</f>
        <v>0</v>
      </c>
      <c r="CY98" s="38">
        <f>IF((ዕቁብ!CZ100/ቦኖ!$C$4&gt;0),(1/2),0)</f>
        <v>0</v>
      </c>
      <c r="CZ98" s="38">
        <f>IF((ዕቁብ!DA100/ቦኖ!$C$4&gt;0),(1/2),0)</f>
        <v>0.5</v>
      </c>
      <c r="DA98" s="38">
        <f>IF((ዕቁብ!DB100/ቦኖ!$C$4&gt;0),(1/2),0)</f>
        <v>0.5</v>
      </c>
      <c r="DB98" s="38">
        <f>IF((ዕቁብ!DC100/ቦኖ!$C$4&gt;0),(1/2),0)</f>
        <v>0.5</v>
      </c>
      <c r="DC98" s="38">
        <f>IF((ዕቁብ!DD100/ቦኖ!$C$4&gt;0),(1/2),0)</f>
        <v>0.5</v>
      </c>
      <c r="DD98" s="38">
        <f>IF((ዕቁብ!DE100/ቦኖ!$C$4&gt;0),(1/2),0)</f>
        <v>0.5</v>
      </c>
      <c r="DE98" s="38">
        <f>IF((ዕቁብ!DF100/ቦኖ!$C$4&gt;0),(1/2),0)</f>
        <v>0</v>
      </c>
      <c r="DF98" s="38">
        <f>IF((ዕቁብ!DG100/ቦኖ!$C$4&gt;0),(1/2),0)</f>
        <v>0</v>
      </c>
      <c r="DG98" s="38">
        <f>IF((ዕቁብ!DH100/ቦኖ!$C$4&gt;0),(1/2),0)</f>
        <v>0.5</v>
      </c>
      <c r="DH98" s="38">
        <f>IF((ዕቁብ!DI100/ቦኖ!$C$4&gt;0),(1/2),0)</f>
        <v>0</v>
      </c>
      <c r="DI98" s="38">
        <f>IF((ዕቁብ!DJ100/ቦኖ!$C$4&gt;0),(1/2),0)</f>
        <v>0</v>
      </c>
      <c r="DJ98" s="38">
        <f>IF((ዕቁብ!DK100/ቦኖ!$C$4&gt;0),(1/2),0)</f>
        <v>0</v>
      </c>
      <c r="DK98" s="38">
        <f>IF((ዕቁብ!DL100/ቦኖ!$C$4&gt;0),(1/2),0)</f>
        <v>0</v>
      </c>
      <c r="DL98" s="38">
        <f>IF((ዕቁብ!DM100/ቦኖ!$C$4&gt;0),(1/2),0)</f>
        <v>0</v>
      </c>
      <c r="DM98" s="38">
        <f>IF((ዕቁብ!DN100/ቦኖ!$C$4&gt;0),(1/2),0)</f>
        <v>0</v>
      </c>
      <c r="DN98" s="38">
        <f>IF((ዕቁብ!DO100/ቦኖ!$C$4&gt;0),(1/2),0)</f>
        <v>0</v>
      </c>
      <c r="DO98" s="38">
        <f>IF((ዕቁብ!DP100/ቦኖ!$C$4&gt;0),(1/2),0)</f>
        <v>0</v>
      </c>
      <c r="DP98" s="38">
        <f>IF((ዕቁብ!DQ100/ቦኖ!$C$4&gt;0),(1/2),0)</f>
        <v>0</v>
      </c>
      <c r="DQ98" s="38">
        <f>IF((ዕቁብ!DR100/ቦኖ!$C$4&gt;0),(1/2),0)</f>
        <v>0</v>
      </c>
    </row>
    <row r="99" spans="1:121" ht="15.75" customHeight="1" x14ac:dyDescent="0.3">
      <c r="A99" s="33">
        <f>ዕቁብ!A101</f>
        <v>94</v>
      </c>
      <c r="B99" s="33" t="str">
        <f>ዕቁብ!B101</f>
        <v>እያሱ ዎታንጎ</v>
      </c>
      <c r="C99" s="37">
        <f>ዕቁብ!C101</f>
        <v>10500</v>
      </c>
      <c r="D99" s="38">
        <f>IF((ዕቁብ!E101/ቦኖ!$C$4&gt;0),(1/2),0)</f>
        <v>0.5</v>
      </c>
      <c r="E99" s="38">
        <f>IF((ዕቁብ!F101/ቦኖ!$C$4&gt;0),(1/2),0)</f>
        <v>0.5</v>
      </c>
      <c r="F99" s="38">
        <f>IF((ዕቁብ!G101/ቦኖ!$C$4&gt;0),(1/2),0)</f>
        <v>0.5</v>
      </c>
      <c r="G99" s="38">
        <f>IF((ዕቁብ!H101/ቦኖ!$C$4&gt;0),(1/2),0)</f>
        <v>0.5</v>
      </c>
      <c r="H99" s="38">
        <f>IF((ዕቁብ!I101/ቦኖ!$C$4&gt;0),(1/2),0)</f>
        <v>0.5</v>
      </c>
      <c r="I99" s="38">
        <f>IF((ዕቁብ!J101/ቦኖ!$C$4&gt;0),(1/2),0)</f>
        <v>0.5</v>
      </c>
      <c r="J99" s="38">
        <f>IF((ዕቁብ!K101/ቦኖ!$C$4&gt;0),(1/2),0)</f>
        <v>0.5</v>
      </c>
      <c r="K99" s="38">
        <f>IF((ዕቁብ!L101/ቦኖ!$C$4&gt;0),(1/2),0)</f>
        <v>0.5</v>
      </c>
      <c r="L99" s="38">
        <f>IF((ዕቁብ!M101/ቦኖ!$C$4&gt;0),(1/2),0)</f>
        <v>0.5</v>
      </c>
      <c r="M99" s="38">
        <f>IF((ዕቁብ!N101/ቦኖ!$C$4&gt;0),(1/2),0)</f>
        <v>0.5</v>
      </c>
      <c r="N99" s="38">
        <f>IF((ዕቁብ!O101/ቦኖ!$C$4&gt;0),(1/2),0)</f>
        <v>0.5</v>
      </c>
      <c r="O99" s="38">
        <f>IF((ዕቁብ!P101/ቦኖ!$C$4&gt;0),(1/2),0)</f>
        <v>0.5</v>
      </c>
      <c r="P99" s="38">
        <f>IF((ዕቁብ!Q101/ቦኖ!$C$4&gt;0),(1/2),0)</f>
        <v>0.5</v>
      </c>
      <c r="Q99" s="38">
        <f>IF((ዕቁብ!R101/ቦኖ!$C$4&gt;0),(1/2),0)</f>
        <v>0.5</v>
      </c>
      <c r="R99" s="38">
        <f>IF((ዕቁብ!S101/ቦኖ!$C$4&gt;0),(1/2),0)</f>
        <v>0.5</v>
      </c>
      <c r="S99" s="38">
        <f>IF((ዕቁብ!T101/ቦኖ!$C$4&gt;0),(1/2),0)</f>
        <v>0.5</v>
      </c>
      <c r="T99" s="38">
        <f>IF((ዕቁብ!U101/ቦኖ!$C$4&gt;0),(1/2),0)</f>
        <v>0.5</v>
      </c>
      <c r="U99" s="38">
        <f>IF((ዕቁብ!V101/ቦኖ!$C$4&gt;0),(1/2),0)</f>
        <v>0.5</v>
      </c>
      <c r="V99" s="38">
        <f>IF((ዕቁብ!W101/ቦኖ!$C$4&gt;0),(1/2),0)</f>
        <v>0.5</v>
      </c>
      <c r="W99" s="38">
        <f>IF((ዕቁብ!X101/ቦኖ!$C$4&gt;0),(1/2),0)</f>
        <v>0.5</v>
      </c>
      <c r="X99" s="38">
        <f>IF((ዕቁብ!Y101/ቦኖ!$C$4&gt;0),(1/2),0)</f>
        <v>0.5</v>
      </c>
      <c r="Y99" s="38">
        <f>IF((ዕቁብ!Z101/ቦኖ!$C$4&gt;0),(1/2),0)</f>
        <v>0.5</v>
      </c>
      <c r="Z99" s="38">
        <f>IF((ዕቁብ!AA101/ቦኖ!$C$4&gt;0),(1/2),0)</f>
        <v>0.5</v>
      </c>
      <c r="AA99" s="38">
        <f>IF((ዕቁብ!AB101/ቦኖ!$C$4&gt;0),(1/2),0)</f>
        <v>0</v>
      </c>
      <c r="AB99" s="38">
        <f>IF((ዕቁብ!AC101/ቦኖ!$C$4&gt;0),(1/2),0)</f>
        <v>0.5</v>
      </c>
      <c r="AC99" s="38">
        <f>IF((ዕቁብ!AD101/ቦኖ!$C$4&gt;0),(1/2),0)</f>
        <v>0.5</v>
      </c>
      <c r="AD99" s="38">
        <f>IF((ዕቁብ!AE101/ቦኖ!$C$4&gt;0),(1/2),0)</f>
        <v>0.5</v>
      </c>
      <c r="AE99" s="38">
        <f>IF((ዕቁብ!AF101/ቦኖ!$C$4&gt;0),(1/2),0)</f>
        <v>0</v>
      </c>
      <c r="AF99" s="38">
        <f>IF((ዕቁብ!AG101/ቦኖ!$C$4&gt;0),(1/2),0)</f>
        <v>0.5</v>
      </c>
      <c r="AG99" s="38">
        <f>IF((ዕቁብ!AH101/ቦኖ!$C$4&gt;0),(1/2),0)</f>
        <v>0.5</v>
      </c>
      <c r="AH99" s="38">
        <f>IF((ዕቁብ!AI101/ቦኖ!$C$4&gt;0),(1/2),0)</f>
        <v>0.5</v>
      </c>
      <c r="AI99" s="38">
        <f>IF((ዕቁብ!AJ101/ቦኖ!$C$4&gt;0),(1/2),0)</f>
        <v>0</v>
      </c>
      <c r="AJ99" s="38">
        <f>IF((ዕቁብ!AK101/ቦኖ!$C$4&gt;0),(1/2),0)</f>
        <v>0.5</v>
      </c>
      <c r="AK99" s="38">
        <f>IF((ዕቁብ!AL101/ቦኖ!$C$4&gt;0),(1/2),0)</f>
        <v>0.5</v>
      </c>
      <c r="AL99" s="38">
        <f>IF((ዕቁብ!AM101/ቦኖ!$C$4&gt;0),(1/2),0)</f>
        <v>0.5</v>
      </c>
      <c r="AM99" s="38">
        <f>IF((ዕቁብ!AN101/ቦኖ!$C$4&gt;0),(1/2),0)</f>
        <v>0.5</v>
      </c>
      <c r="AN99" s="38">
        <f>IF((ዕቁብ!AO101/ቦኖ!$C$4&gt;0),(1/2),0)</f>
        <v>0.5</v>
      </c>
      <c r="AO99" s="38">
        <f>IF((ዕቁብ!AP101/ቦኖ!$C$4&gt;0),(1/2),0)</f>
        <v>0.5</v>
      </c>
      <c r="AP99" s="38">
        <f>IF((ዕቁብ!AQ101/ቦኖ!$C$4&gt;0),(1/2),0)</f>
        <v>0.5</v>
      </c>
      <c r="AQ99" s="38">
        <f>IF((ዕቁብ!AR101/ቦኖ!$C$4&gt;0),(1/2),0)</f>
        <v>0.5</v>
      </c>
      <c r="AR99" s="38">
        <f>IF((ዕቁብ!AS101/ቦኖ!$C$4&gt;0),(1/2),0)</f>
        <v>0.5</v>
      </c>
      <c r="AS99" s="38">
        <f>IF((ዕቁብ!AT101/ቦኖ!$C$4&gt;0),(1/2),0)</f>
        <v>0.5</v>
      </c>
      <c r="AT99" s="38">
        <f>IF((ዕቁብ!AU101/ቦኖ!$C$4&gt;0),(1/2),0)</f>
        <v>0.5</v>
      </c>
      <c r="AU99" s="38">
        <f>IF((ዕቁብ!AV101/ቦኖ!$C$4&gt;0),(1/2),0)</f>
        <v>0.5</v>
      </c>
      <c r="AV99" s="38">
        <f>IF((ዕቁብ!AW101/ቦኖ!$C$4&gt;0),(1/2),0)</f>
        <v>0.5</v>
      </c>
      <c r="AW99" s="38">
        <f>IF((ዕቁብ!AX101/ቦኖ!$C$4&gt;0),(1/2),0)</f>
        <v>0.5</v>
      </c>
      <c r="AX99" s="38">
        <f>IF((ዕቁብ!AY101/ቦኖ!$C$4&gt;0),(1/2),0)</f>
        <v>0.5</v>
      </c>
      <c r="AY99" s="38">
        <f>IF((ዕቁብ!AZ101/ቦኖ!$C$4&gt;0),(1/2),0)</f>
        <v>0</v>
      </c>
      <c r="AZ99" s="38">
        <f>IF((ዕቁብ!BA101/ቦኖ!$C$4&gt;0),(1/2),0)</f>
        <v>0.5</v>
      </c>
      <c r="BA99" s="38">
        <f>IF((ዕቁብ!BB101/ቦኖ!$C$4&gt;0),(1/2),0)</f>
        <v>0.5</v>
      </c>
      <c r="BB99" s="38">
        <f>IF((ዕቁብ!BC101/ቦኖ!$C$4&gt;0),(1/2),0)</f>
        <v>0.5</v>
      </c>
      <c r="BC99" s="38">
        <f>IF((ዕቁብ!BD101/ቦኖ!$C$4&gt;0),(1/2),0)</f>
        <v>0</v>
      </c>
      <c r="BD99" s="38">
        <f>IF((ዕቁብ!BE101/ቦኖ!$C$4&gt;0),(1/2),0)</f>
        <v>0.5</v>
      </c>
      <c r="BE99" s="38">
        <f>IF((ዕቁብ!BF101/ቦኖ!$C$4&gt;0),(1/2),0)</f>
        <v>0.5</v>
      </c>
      <c r="BF99" s="38">
        <f>IF((ዕቁብ!BG101/ቦኖ!$C$4&gt;0),(1/2),0)</f>
        <v>0.5</v>
      </c>
      <c r="BG99" s="38">
        <f>IF((ዕቁብ!BH101/ቦኖ!$C$4&gt;0),(1/2),0)</f>
        <v>0</v>
      </c>
      <c r="BH99" s="38">
        <f>IF((ዕቁብ!BI101/ቦኖ!$C$4&gt;0),(1/2),0)</f>
        <v>0.5</v>
      </c>
      <c r="BI99" s="38">
        <f>IF((ዕቁብ!BJ101/ቦኖ!$C$4&gt;0),(1/2),0)</f>
        <v>0.5</v>
      </c>
      <c r="BJ99" s="38">
        <f>IF((ዕቁብ!BK101/ቦኖ!$C$4&gt;0),(1/2),0)</f>
        <v>0.5</v>
      </c>
      <c r="BK99" s="38">
        <f>IF((ዕቁብ!BL101/ቦኖ!$C$4&gt;0),(1/2),0)</f>
        <v>0</v>
      </c>
      <c r="BL99" s="38">
        <f>IF((ዕቁብ!BM101/ቦኖ!$C$4&gt;0),(1/2),0)</f>
        <v>0.5</v>
      </c>
      <c r="BM99" s="38">
        <f>IF((ዕቁብ!BN101/ቦኖ!$C$4&gt;0),(1/2),0)</f>
        <v>0.5</v>
      </c>
      <c r="BN99" s="38">
        <f>IF((ዕቁብ!BO101/ቦኖ!$C$4&gt;0),(1/2),0)</f>
        <v>0.5</v>
      </c>
      <c r="BO99" s="38">
        <f>IF((ዕቁብ!BP101/ቦኖ!$C$4&gt;0),(1/2),0)</f>
        <v>0</v>
      </c>
      <c r="BP99" s="38">
        <f>IF((ዕቁብ!BQ101/ቦኖ!$C$4&gt;0),(1/2),0)</f>
        <v>0.5</v>
      </c>
      <c r="BQ99" s="38">
        <f>IF((ዕቁብ!BR101/ቦኖ!$C$4&gt;0),(1/2),0)</f>
        <v>0</v>
      </c>
      <c r="BR99" s="38">
        <f>IF((ዕቁብ!BS101/ቦኖ!$C$4&gt;0),(1/2),0)</f>
        <v>0.5</v>
      </c>
      <c r="BS99" s="38">
        <f>IF((ዕቁብ!BT101/ቦኖ!$C$4&gt;0),(1/2),0)</f>
        <v>0.5</v>
      </c>
      <c r="BT99" s="38">
        <f>IF((ዕቁብ!BU101/ቦኖ!$C$4&gt;0),(1/2),0)</f>
        <v>0.5</v>
      </c>
      <c r="BU99" s="38">
        <f>IF((ዕቁብ!BV101/ቦኖ!$C$4&gt;0),(1/2),0)</f>
        <v>0.5</v>
      </c>
      <c r="BV99" s="38">
        <f>IF((ዕቁብ!BW101/ቦኖ!$C$4&gt;0),(1/2),0)</f>
        <v>0.5</v>
      </c>
      <c r="BW99" s="38">
        <f>IF((ዕቁብ!BX101/ቦኖ!$C$4&gt;0),(1/2),0)</f>
        <v>0.5</v>
      </c>
      <c r="BX99" s="38">
        <f>IF((ዕቁብ!BY101/ቦኖ!$C$4&gt;0),(1/2),0)</f>
        <v>0.5</v>
      </c>
      <c r="BY99" s="38">
        <f>IF((ዕቁብ!BZ101/ቦኖ!$C$4&gt;0),(1/2),0)</f>
        <v>0.5</v>
      </c>
      <c r="BZ99" s="38">
        <f>IF((ዕቁብ!CA101/ቦኖ!$C$4&gt;0),(1/2),0)</f>
        <v>0.5</v>
      </c>
      <c r="CA99" s="38">
        <f>IF((ዕቁብ!CB101/ቦኖ!$C$4&gt;0),(1/2),0)</f>
        <v>0.5</v>
      </c>
      <c r="CB99" s="38">
        <f>IF((ዕቁብ!CC101/ቦኖ!$C$4&gt;0),(1/2),0)</f>
        <v>0</v>
      </c>
      <c r="CC99" s="38">
        <f>IF((ዕቁብ!CD101/ቦኖ!$C$4&gt;0),(1/2),0)</f>
        <v>0.5</v>
      </c>
      <c r="CD99" s="38">
        <f>IF((ዕቁብ!CE101/ቦኖ!$C$4&gt;0),(1/2),0)</f>
        <v>0</v>
      </c>
      <c r="CE99" s="38">
        <f>IF((ዕቁብ!CF101/ቦኖ!$C$4&gt;0),(1/2),0)</f>
        <v>0.5</v>
      </c>
      <c r="CF99" s="38">
        <f>IF((ዕቁብ!CG101/ቦኖ!$C$4&gt;0),(1/2),0)</f>
        <v>0</v>
      </c>
      <c r="CG99" s="38">
        <f>IF((ዕቁብ!CH101/ቦኖ!$C$4&gt;0),(1/2),0)</f>
        <v>0.5</v>
      </c>
      <c r="CH99" s="38">
        <f>IF((ዕቁብ!CI101/ቦኖ!$C$4&gt;0),(1/2),0)</f>
        <v>0.5</v>
      </c>
      <c r="CI99" s="38">
        <f>IF((ዕቁብ!CJ101/ቦኖ!$C$4&gt;0),(1/2),0)</f>
        <v>0.5</v>
      </c>
      <c r="CJ99" s="38">
        <f>IF((ዕቁብ!CK101/ቦኖ!$C$4&gt;0),(1/2),0)</f>
        <v>0.5</v>
      </c>
      <c r="CK99" s="38">
        <f>IF((ዕቁብ!CL101/ቦኖ!$C$4&gt;0),(1/2),0)</f>
        <v>0</v>
      </c>
      <c r="CL99" s="38">
        <f>IF((ዕቁብ!CM101/ቦኖ!$C$4&gt;0),(1/2),0)</f>
        <v>0</v>
      </c>
      <c r="CM99" s="38">
        <f>IF((ዕቁብ!CN101/ቦኖ!$C$4&gt;0),(1/2),0)</f>
        <v>0.5</v>
      </c>
      <c r="CN99" s="38">
        <f>IF((ዕቁብ!CO101/ቦኖ!$C$4&gt;0),(1/2),0)</f>
        <v>0.5</v>
      </c>
      <c r="CO99" s="38">
        <f>IF((ዕቁብ!CP101/ቦኖ!$C$4&gt;0),(1/2),0)</f>
        <v>0.5</v>
      </c>
      <c r="CP99" s="38">
        <f>IF((ዕቁብ!CQ101/ቦኖ!$C$4&gt;0),(1/2),0)</f>
        <v>0.5</v>
      </c>
      <c r="CQ99" s="38">
        <f>IF((ዕቁብ!CR101/ቦኖ!$C$4&gt;0),(1/2),0)</f>
        <v>0</v>
      </c>
      <c r="CR99" s="38">
        <f>IF((ዕቁብ!CS101/ቦኖ!$C$4&gt;0),(1/2),0)</f>
        <v>0</v>
      </c>
      <c r="CS99" s="38">
        <f>IF((ዕቁብ!CT101/ቦኖ!$C$4&gt;0),(1/2),0)</f>
        <v>0.5</v>
      </c>
      <c r="CT99" s="38">
        <f>IF((ዕቁብ!CU101/ቦኖ!$C$4&gt;0),(1/2),0)</f>
        <v>0</v>
      </c>
      <c r="CU99" s="38">
        <f>IF((ዕቁብ!CV101/ቦኖ!$C$4&gt;0),(1/2),0)</f>
        <v>0.5</v>
      </c>
      <c r="CV99" s="38">
        <f>IF((ዕቁብ!CW101/ቦኖ!$C$4&gt;0),(1/2),0)</f>
        <v>0.5</v>
      </c>
      <c r="CW99" s="38">
        <f>IF((ዕቁብ!CX101/ቦኖ!$C$4&gt;0),(1/2),0)</f>
        <v>0.5</v>
      </c>
      <c r="CX99" s="38">
        <f>IF((ዕቁብ!CY101/ቦኖ!$C$4&gt;0),(1/2),0)</f>
        <v>0.5</v>
      </c>
      <c r="CY99" s="38">
        <f>IF((ዕቁብ!CZ101/ቦኖ!$C$4&gt;0),(1/2),0)</f>
        <v>0</v>
      </c>
      <c r="CZ99" s="38">
        <f>IF((ዕቁብ!DA101/ቦኖ!$C$4&gt;0),(1/2),0)</f>
        <v>0.5</v>
      </c>
      <c r="DA99" s="38">
        <f>IF((ዕቁብ!DB101/ቦኖ!$C$4&gt;0),(1/2),0)</f>
        <v>0.5</v>
      </c>
      <c r="DB99" s="38">
        <f>IF((ዕቁብ!DC101/ቦኖ!$C$4&gt;0),(1/2),0)</f>
        <v>0</v>
      </c>
      <c r="DC99" s="38">
        <f>IF((ዕቁብ!DD101/ቦኖ!$C$4&gt;0),(1/2),0)</f>
        <v>0</v>
      </c>
      <c r="DD99" s="38">
        <f>IF((ዕቁብ!DE101/ቦኖ!$C$4&gt;0),(1/2),0)</f>
        <v>0.5</v>
      </c>
      <c r="DE99" s="38">
        <f>IF((ዕቁብ!DF101/ቦኖ!$C$4&gt;0),(1/2),0)</f>
        <v>0.5</v>
      </c>
      <c r="DF99" s="38">
        <f>IF((ዕቁብ!DG101/ቦኖ!$C$4&gt;0),(1/2),0)</f>
        <v>0.5</v>
      </c>
      <c r="DG99" s="38">
        <f>IF((ዕቁብ!DH101/ቦኖ!$C$4&gt;0),(1/2),0)</f>
        <v>0.5</v>
      </c>
      <c r="DH99" s="38">
        <f>IF((ዕቁብ!DI101/ቦኖ!$C$4&gt;0),(1/2),0)</f>
        <v>0</v>
      </c>
      <c r="DI99" s="38">
        <f>IF((ዕቁብ!DJ101/ቦኖ!$C$4&gt;0),(1/2),0)</f>
        <v>0</v>
      </c>
      <c r="DJ99" s="38">
        <f>IF((ዕቁብ!DK101/ቦኖ!$C$4&gt;0),(1/2),0)</f>
        <v>0</v>
      </c>
      <c r="DK99" s="38">
        <f>IF((ዕቁብ!DL101/ቦኖ!$C$4&gt;0),(1/2),0)</f>
        <v>0</v>
      </c>
      <c r="DL99" s="38">
        <f>IF((ዕቁብ!DM101/ቦኖ!$C$4&gt;0),(1/2),0)</f>
        <v>0</v>
      </c>
      <c r="DM99" s="38">
        <f>IF((ዕቁብ!DN101/ቦኖ!$C$4&gt;0),(1/2),0)</f>
        <v>0</v>
      </c>
      <c r="DN99" s="38">
        <f>IF((ዕቁብ!DO101/ቦኖ!$C$4&gt;0),(1/2),0)</f>
        <v>0</v>
      </c>
      <c r="DO99" s="38">
        <f>IF((ዕቁብ!DP101/ቦኖ!$C$4&gt;0),(1/2),0)</f>
        <v>0</v>
      </c>
      <c r="DP99" s="38">
        <f>IF((ዕቁብ!DQ101/ቦኖ!$C$4&gt;0),(1/2),0)</f>
        <v>0</v>
      </c>
      <c r="DQ99" s="38">
        <f>IF((ዕቁብ!DR101/ቦኖ!$C$4&gt;0),(1/2),0)</f>
        <v>0</v>
      </c>
    </row>
    <row r="100" spans="1:121" ht="15.75" customHeight="1" x14ac:dyDescent="0.3">
      <c r="A100" s="33">
        <f>ዕቁብ!A102</f>
        <v>95</v>
      </c>
      <c r="B100" s="33" t="str">
        <f>ዕቁብ!B102</f>
        <v xml:space="preserve">ዳናዋ ደምሴ </v>
      </c>
      <c r="C100" s="37">
        <f>ዕቁብ!C102</f>
        <v>10500</v>
      </c>
      <c r="D100" s="38">
        <f>IF((ዕቁብ!E102/ቦኖ!$C$4&gt;0),(1/2),0)</f>
        <v>0.5</v>
      </c>
      <c r="E100" s="38">
        <f>IF((ዕቁብ!F102/ቦኖ!$C$4&gt;0),(1/2),0)</f>
        <v>0.5</v>
      </c>
      <c r="F100" s="38">
        <f>IF((ዕቁብ!G102/ቦኖ!$C$4&gt;0),(1/2),0)</f>
        <v>0.5</v>
      </c>
      <c r="G100" s="38">
        <f>IF((ዕቁብ!H102/ቦኖ!$C$4&gt;0),(1/2),0)</f>
        <v>0.5</v>
      </c>
      <c r="H100" s="38">
        <f>IF((ዕቁብ!I102/ቦኖ!$C$4&gt;0),(1/2),0)</f>
        <v>0.5</v>
      </c>
      <c r="I100" s="38">
        <f>IF((ዕቁብ!J102/ቦኖ!$C$4&gt;0),(1/2),0)</f>
        <v>0.5</v>
      </c>
      <c r="J100" s="38">
        <f>IF((ዕቁብ!K102/ቦኖ!$C$4&gt;0),(1/2),0)</f>
        <v>0.5</v>
      </c>
      <c r="K100" s="38">
        <f>IF((ዕቁብ!L102/ቦኖ!$C$4&gt;0),(1/2),0)</f>
        <v>0.5</v>
      </c>
      <c r="L100" s="38">
        <f>IF((ዕቁብ!M102/ቦኖ!$C$4&gt;0),(1/2),0)</f>
        <v>0.5</v>
      </c>
      <c r="M100" s="38">
        <f>IF((ዕቁብ!N102/ቦኖ!$C$4&gt;0),(1/2),0)</f>
        <v>0.5</v>
      </c>
      <c r="N100" s="38">
        <f>IF((ዕቁብ!O102/ቦኖ!$C$4&gt;0),(1/2),0)</f>
        <v>0.5</v>
      </c>
      <c r="O100" s="38">
        <f>IF((ዕቁብ!P102/ቦኖ!$C$4&gt;0),(1/2),0)</f>
        <v>0.5</v>
      </c>
      <c r="P100" s="38">
        <f>IF((ዕቁብ!Q102/ቦኖ!$C$4&gt;0),(1/2),0)</f>
        <v>0.5</v>
      </c>
      <c r="Q100" s="38">
        <f>IF((ዕቁብ!R102/ቦኖ!$C$4&gt;0),(1/2),0)</f>
        <v>0.5</v>
      </c>
      <c r="R100" s="38">
        <f>IF((ዕቁብ!S102/ቦኖ!$C$4&gt;0),(1/2),0)</f>
        <v>0.5</v>
      </c>
      <c r="S100" s="38">
        <f>IF((ዕቁብ!T102/ቦኖ!$C$4&gt;0),(1/2),0)</f>
        <v>0.5</v>
      </c>
      <c r="T100" s="38">
        <f>IF((ዕቁብ!U102/ቦኖ!$C$4&gt;0),(1/2),0)</f>
        <v>0.5</v>
      </c>
      <c r="U100" s="38">
        <f>IF((ዕቁብ!V102/ቦኖ!$C$4&gt;0),(1/2),0)</f>
        <v>0.5</v>
      </c>
      <c r="V100" s="38">
        <f>IF((ዕቁብ!W102/ቦኖ!$C$4&gt;0),(1/2),0)</f>
        <v>0.5</v>
      </c>
      <c r="W100" s="38">
        <f>IF((ዕቁብ!X102/ቦኖ!$C$4&gt;0),(1/2),0)</f>
        <v>0.5</v>
      </c>
      <c r="X100" s="38">
        <f>IF((ዕቁብ!Y102/ቦኖ!$C$4&gt;0),(1/2),0)</f>
        <v>0.5</v>
      </c>
      <c r="Y100" s="38">
        <f>IF((ዕቁብ!Z102/ቦኖ!$C$4&gt;0),(1/2),0)</f>
        <v>0.5</v>
      </c>
      <c r="Z100" s="38">
        <f>IF((ዕቁብ!AA102/ቦኖ!$C$4&gt;0),(1/2),0)</f>
        <v>0.5</v>
      </c>
      <c r="AA100" s="38">
        <f>IF((ዕቁብ!AB102/ቦኖ!$C$4&gt;0),(1/2),0)</f>
        <v>0.5</v>
      </c>
      <c r="AB100" s="38">
        <f>IF((ዕቁብ!AC102/ቦኖ!$C$4&gt;0),(1/2),0)</f>
        <v>0.5</v>
      </c>
      <c r="AC100" s="38">
        <f>IF((ዕቁብ!AD102/ቦኖ!$C$4&gt;0),(1/2),0)</f>
        <v>0.5</v>
      </c>
      <c r="AD100" s="38">
        <f>IF((ዕቁብ!AE102/ቦኖ!$C$4&gt;0),(1/2),0)</f>
        <v>0.5</v>
      </c>
      <c r="AE100" s="38">
        <f>IF((ዕቁብ!AF102/ቦኖ!$C$4&gt;0),(1/2),0)</f>
        <v>0.5</v>
      </c>
      <c r="AF100" s="38">
        <f>IF((ዕቁብ!AG102/ቦኖ!$C$4&gt;0),(1/2),0)</f>
        <v>0.5</v>
      </c>
      <c r="AG100" s="38">
        <f>IF((ዕቁብ!AH102/ቦኖ!$C$4&gt;0),(1/2),0)</f>
        <v>0.5</v>
      </c>
      <c r="AH100" s="38">
        <f>IF((ዕቁብ!AI102/ቦኖ!$C$4&gt;0),(1/2),0)</f>
        <v>0.5</v>
      </c>
      <c r="AI100" s="38">
        <f>IF((ዕቁብ!AJ102/ቦኖ!$C$4&gt;0),(1/2),0)</f>
        <v>0.5</v>
      </c>
      <c r="AJ100" s="38">
        <f>IF((ዕቁብ!AK102/ቦኖ!$C$4&gt;0),(1/2),0)</f>
        <v>0.5</v>
      </c>
      <c r="AK100" s="38">
        <f>IF((ዕቁብ!AL102/ቦኖ!$C$4&gt;0),(1/2),0)</f>
        <v>0.5</v>
      </c>
      <c r="AL100" s="38">
        <f>IF((ዕቁብ!AM102/ቦኖ!$C$4&gt;0),(1/2),0)</f>
        <v>0.5</v>
      </c>
      <c r="AM100" s="38">
        <f>IF((ዕቁብ!AN102/ቦኖ!$C$4&gt;0),(1/2),0)</f>
        <v>0.5</v>
      </c>
      <c r="AN100" s="38">
        <f>IF((ዕቁብ!AO102/ቦኖ!$C$4&gt;0),(1/2),0)</f>
        <v>0.5</v>
      </c>
      <c r="AO100" s="38">
        <f>IF((ዕቁብ!AP102/ቦኖ!$C$4&gt;0),(1/2),0)</f>
        <v>0.5</v>
      </c>
      <c r="AP100" s="38">
        <f>IF((ዕቁብ!AQ102/ቦኖ!$C$4&gt;0),(1/2),0)</f>
        <v>0.5</v>
      </c>
      <c r="AQ100" s="38">
        <f>IF((ዕቁብ!AR102/ቦኖ!$C$4&gt;0),(1/2),0)</f>
        <v>0.5</v>
      </c>
      <c r="AR100" s="38">
        <f>IF((ዕቁብ!AS102/ቦኖ!$C$4&gt;0),(1/2),0)</f>
        <v>0.5</v>
      </c>
      <c r="AS100" s="38">
        <f>IF((ዕቁብ!AT102/ቦኖ!$C$4&gt;0),(1/2),0)</f>
        <v>0.5</v>
      </c>
      <c r="AT100" s="38">
        <f>IF((ዕቁብ!AU102/ቦኖ!$C$4&gt;0),(1/2),0)</f>
        <v>0.5</v>
      </c>
      <c r="AU100" s="38">
        <f>IF((ዕቁብ!AV102/ቦኖ!$C$4&gt;0),(1/2),0)</f>
        <v>0</v>
      </c>
      <c r="AV100" s="38">
        <f>IF((ዕቁብ!AW102/ቦኖ!$C$4&gt;0),(1/2),0)</f>
        <v>0.5</v>
      </c>
      <c r="AW100" s="38">
        <f>IF((ዕቁብ!AX102/ቦኖ!$C$4&gt;0),(1/2),0)</f>
        <v>0.5</v>
      </c>
      <c r="AX100" s="38">
        <f>IF((ዕቁብ!AY102/ቦኖ!$C$4&gt;0),(1/2),0)</f>
        <v>0.5</v>
      </c>
      <c r="AY100" s="38">
        <f>IF((ዕቁብ!AZ102/ቦኖ!$C$4&gt;0),(1/2),0)</f>
        <v>0.5</v>
      </c>
      <c r="AZ100" s="38">
        <f>IF((ዕቁብ!BA102/ቦኖ!$C$4&gt;0),(1/2),0)</f>
        <v>0.5</v>
      </c>
      <c r="BA100" s="38">
        <f>IF((ዕቁብ!BB102/ቦኖ!$C$4&gt;0),(1/2),0)</f>
        <v>0.5</v>
      </c>
      <c r="BB100" s="38">
        <f>IF((ዕቁብ!BC102/ቦኖ!$C$4&gt;0),(1/2),0)</f>
        <v>0.5</v>
      </c>
      <c r="BC100" s="38">
        <f>IF((ዕቁብ!BD102/ቦኖ!$C$4&gt;0),(1/2),0)</f>
        <v>0.5</v>
      </c>
      <c r="BD100" s="38">
        <f>IF((ዕቁብ!BE102/ቦኖ!$C$4&gt;0),(1/2),0)</f>
        <v>0.5</v>
      </c>
      <c r="BE100" s="38">
        <f>IF((ዕቁብ!BF102/ቦኖ!$C$4&gt;0),(1/2),0)</f>
        <v>0.5</v>
      </c>
      <c r="BF100" s="38">
        <f>IF((ዕቁብ!BG102/ቦኖ!$C$4&gt;0),(1/2),0)</f>
        <v>0.5</v>
      </c>
      <c r="BG100" s="38">
        <f>IF((ዕቁብ!BH102/ቦኖ!$C$4&gt;0),(1/2),0)</f>
        <v>0.5</v>
      </c>
      <c r="BH100" s="38">
        <f>IF((ዕቁብ!BI102/ቦኖ!$C$4&gt;0),(1/2),0)</f>
        <v>0.5</v>
      </c>
      <c r="BI100" s="38">
        <f>IF((ዕቁብ!BJ102/ቦኖ!$C$4&gt;0),(1/2),0)</f>
        <v>0.5</v>
      </c>
      <c r="BJ100" s="38">
        <f>IF((ዕቁብ!BK102/ቦኖ!$C$4&gt;0),(1/2),0)</f>
        <v>0.5</v>
      </c>
      <c r="BK100" s="38">
        <f>IF((ዕቁብ!BL102/ቦኖ!$C$4&gt;0),(1/2),0)</f>
        <v>0.5</v>
      </c>
      <c r="BL100" s="38">
        <f>IF((ዕቁብ!BM102/ቦኖ!$C$4&gt;0),(1/2),0)</f>
        <v>0.5</v>
      </c>
      <c r="BM100" s="38">
        <f>IF((ዕቁብ!BN102/ቦኖ!$C$4&gt;0),(1/2),0)</f>
        <v>0.5</v>
      </c>
      <c r="BN100" s="38">
        <f>IF((ዕቁብ!BO102/ቦኖ!$C$4&gt;0),(1/2),0)</f>
        <v>0.5</v>
      </c>
      <c r="BO100" s="38">
        <f>IF((ዕቁብ!BP102/ቦኖ!$C$4&gt;0),(1/2),0)</f>
        <v>0.5</v>
      </c>
      <c r="BP100" s="38">
        <f>IF((ዕቁብ!BQ102/ቦኖ!$C$4&gt;0),(1/2),0)</f>
        <v>0.5</v>
      </c>
      <c r="BQ100" s="38">
        <f>IF((ዕቁብ!BR102/ቦኖ!$C$4&gt;0),(1/2),0)</f>
        <v>0.5</v>
      </c>
      <c r="BR100" s="38">
        <f>IF((ዕቁብ!BS102/ቦኖ!$C$4&gt;0),(1/2),0)</f>
        <v>0.5</v>
      </c>
      <c r="BS100" s="38">
        <f>IF((ዕቁብ!BT102/ቦኖ!$C$4&gt;0),(1/2),0)</f>
        <v>0.5</v>
      </c>
      <c r="BT100" s="38">
        <f>IF((ዕቁብ!BU102/ቦኖ!$C$4&gt;0),(1/2),0)</f>
        <v>0.5</v>
      </c>
      <c r="BU100" s="38">
        <f>IF((ዕቁብ!BV102/ቦኖ!$C$4&gt;0),(1/2),0)</f>
        <v>0.5</v>
      </c>
      <c r="BV100" s="38">
        <f>IF((ዕቁብ!BW102/ቦኖ!$C$4&gt;0),(1/2),0)</f>
        <v>0</v>
      </c>
      <c r="BW100" s="38">
        <f>IF((ዕቁብ!BX102/ቦኖ!$C$4&gt;0),(1/2),0)</f>
        <v>0</v>
      </c>
      <c r="BX100" s="38">
        <f>IF((ዕቁብ!BY102/ቦኖ!$C$4&gt;0),(1/2),0)</f>
        <v>0</v>
      </c>
      <c r="BY100" s="38">
        <f>IF((ዕቁብ!BZ102/ቦኖ!$C$4&gt;0),(1/2),0)</f>
        <v>0</v>
      </c>
      <c r="BZ100" s="38">
        <f>IF((ዕቁብ!CA102/ቦኖ!$C$4&gt;0),(1/2),0)</f>
        <v>0</v>
      </c>
      <c r="CA100" s="38">
        <f>IF((ዕቁብ!CB102/ቦኖ!$C$4&gt;0),(1/2),0)</f>
        <v>0</v>
      </c>
      <c r="CB100" s="38">
        <f>IF((ዕቁብ!CC102/ቦኖ!$C$4&gt;0),(1/2),0)</f>
        <v>0.5</v>
      </c>
      <c r="CC100" s="38">
        <f>IF((ዕቁብ!CD102/ቦኖ!$C$4&gt;0),(1/2),0)</f>
        <v>0</v>
      </c>
      <c r="CD100" s="38">
        <f>IF((ዕቁብ!CE102/ቦኖ!$C$4&gt;0),(1/2),0)</f>
        <v>0</v>
      </c>
      <c r="CE100" s="38">
        <f>IF((ዕቁብ!CF102/ቦኖ!$C$4&gt;0),(1/2),0)</f>
        <v>0.5</v>
      </c>
      <c r="CF100" s="38">
        <f>IF((ዕቁብ!CG102/ቦኖ!$C$4&gt;0),(1/2),0)</f>
        <v>0</v>
      </c>
      <c r="CG100" s="38">
        <f>IF((ዕቁብ!CH102/ቦኖ!$C$4&gt;0),(1/2),0)</f>
        <v>0</v>
      </c>
      <c r="CH100" s="38">
        <f>IF((ዕቁብ!CI102/ቦኖ!$C$4&gt;0),(1/2),0)</f>
        <v>0</v>
      </c>
      <c r="CI100" s="38">
        <f>IF((ዕቁብ!CJ102/ቦኖ!$C$4&gt;0),(1/2),0)</f>
        <v>0</v>
      </c>
      <c r="CJ100" s="38">
        <f>IF((ዕቁብ!CK102/ቦኖ!$C$4&gt;0),(1/2),0)</f>
        <v>0</v>
      </c>
      <c r="CK100" s="38">
        <f>IF((ዕቁብ!CL102/ቦኖ!$C$4&gt;0),(1/2),0)</f>
        <v>0</v>
      </c>
      <c r="CL100" s="38">
        <f>IF((ዕቁብ!CM102/ቦኖ!$C$4&gt;0),(1/2),0)</f>
        <v>0</v>
      </c>
      <c r="CM100" s="38">
        <f>IF((ዕቁብ!CN102/ቦኖ!$C$4&gt;0),(1/2),0)</f>
        <v>0</v>
      </c>
      <c r="CN100" s="38">
        <f>IF((ዕቁብ!CO102/ቦኖ!$C$4&gt;0),(1/2),0)</f>
        <v>0</v>
      </c>
      <c r="CO100" s="38">
        <f>IF((ዕቁብ!CP102/ቦኖ!$C$4&gt;0),(1/2),0)</f>
        <v>0</v>
      </c>
      <c r="CP100" s="38">
        <f>IF((ዕቁብ!CQ102/ቦኖ!$C$4&gt;0),(1/2),0)</f>
        <v>0</v>
      </c>
      <c r="CQ100" s="38">
        <f>IF((ዕቁብ!CR102/ቦኖ!$C$4&gt;0),(1/2),0)</f>
        <v>0</v>
      </c>
      <c r="CR100" s="38">
        <f>IF((ዕቁብ!CS102/ቦኖ!$C$4&gt;0),(1/2),0)</f>
        <v>0</v>
      </c>
      <c r="CS100" s="38">
        <f>IF((ዕቁብ!CT102/ቦኖ!$C$4&gt;0),(1/2),0)</f>
        <v>0</v>
      </c>
      <c r="CT100" s="38">
        <f>IF((ዕቁብ!CU102/ቦኖ!$C$4&gt;0),(1/2),0)</f>
        <v>0</v>
      </c>
      <c r="CU100" s="38">
        <f>IF((ዕቁብ!CV102/ቦኖ!$C$4&gt;0),(1/2),0)</f>
        <v>0</v>
      </c>
      <c r="CV100" s="38">
        <f>IF((ዕቁብ!CW102/ቦኖ!$C$4&gt;0),(1/2),0)</f>
        <v>0</v>
      </c>
      <c r="CW100" s="38">
        <f>IF((ዕቁብ!CX102/ቦኖ!$C$4&gt;0),(1/2),0)</f>
        <v>0</v>
      </c>
      <c r="CX100" s="38">
        <f>IF((ዕቁብ!CY102/ቦኖ!$C$4&gt;0),(1/2),0)</f>
        <v>0</v>
      </c>
      <c r="CY100" s="38">
        <f>IF((ዕቁብ!CZ102/ቦኖ!$C$4&gt;0),(1/2),0)</f>
        <v>0</v>
      </c>
      <c r="CZ100" s="38">
        <f>IF((ዕቁብ!DA102/ቦኖ!$C$4&gt;0),(1/2),0)</f>
        <v>0</v>
      </c>
      <c r="DA100" s="38">
        <f>IF((ዕቁብ!DB102/ቦኖ!$C$4&gt;0),(1/2),0)</f>
        <v>0</v>
      </c>
      <c r="DB100" s="38">
        <f>IF((ዕቁብ!DC102/ቦኖ!$C$4&gt;0),(1/2),0)</f>
        <v>0</v>
      </c>
      <c r="DC100" s="38">
        <f>IF((ዕቁብ!DD102/ቦኖ!$C$4&gt;0),(1/2),0)</f>
        <v>0</v>
      </c>
      <c r="DD100" s="38">
        <f>IF((ዕቁብ!DE102/ቦኖ!$C$4&gt;0),(1/2),0)</f>
        <v>0</v>
      </c>
      <c r="DE100" s="38">
        <f>IF((ዕቁብ!DF102/ቦኖ!$C$4&gt;0),(1/2),0)</f>
        <v>0</v>
      </c>
      <c r="DF100" s="38">
        <f>IF((ዕቁብ!DG102/ቦኖ!$C$4&gt;0),(1/2),0)</f>
        <v>0</v>
      </c>
      <c r="DG100" s="38">
        <f>IF((ዕቁብ!DH102/ቦኖ!$C$4&gt;0),(1/2),0)</f>
        <v>0</v>
      </c>
      <c r="DH100" s="38">
        <f>IF((ዕቁብ!DI102/ቦኖ!$C$4&gt;0),(1/2),0)</f>
        <v>0</v>
      </c>
      <c r="DI100" s="38">
        <f>IF((ዕቁብ!DJ102/ቦኖ!$C$4&gt;0),(1/2),0)</f>
        <v>0</v>
      </c>
      <c r="DJ100" s="38">
        <f>IF((ዕቁብ!DK102/ቦኖ!$C$4&gt;0),(1/2),0)</f>
        <v>0</v>
      </c>
      <c r="DK100" s="38">
        <f>IF((ዕቁብ!DL102/ቦኖ!$C$4&gt;0),(1/2),0)</f>
        <v>0</v>
      </c>
      <c r="DL100" s="38">
        <f>IF((ዕቁብ!DM102/ቦኖ!$C$4&gt;0),(1/2),0)</f>
        <v>0</v>
      </c>
      <c r="DM100" s="38">
        <f>IF((ዕቁብ!DN102/ቦኖ!$C$4&gt;0),(1/2),0)</f>
        <v>0</v>
      </c>
      <c r="DN100" s="38">
        <f>IF((ዕቁብ!DO102/ቦኖ!$C$4&gt;0),(1/2),0)</f>
        <v>0</v>
      </c>
      <c r="DO100" s="38">
        <f>IF((ዕቁብ!DP102/ቦኖ!$C$4&gt;0),(1/2),0)</f>
        <v>0</v>
      </c>
      <c r="DP100" s="38">
        <f>IF((ዕቁብ!DQ102/ቦኖ!$C$4&gt;0),(1/2),0)</f>
        <v>0</v>
      </c>
      <c r="DQ100" s="38">
        <f>IF((ዕቁብ!DR102/ቦኖ!$C$4&gt;0),(1/2),0)</f>
        <v>0</v>
      </c>
    </row>
    <row r="101" spans="1:121" ht="15.75" customHeight="1" x14ac:dyDescent="0.3">
      <c r="A101" s="33">
        <f>ዕቁብ!A103</f>
        <v>95</v>
      </c>
      <c r="B101" s="33" t="str">
        <f>ዕቁብ!B103</f>
        <v>ዶክተር ጠቃ</v>
      </c>
      <c r="C101" s="37">
        <f>ዕቁብ!C103</f>
        <v>10500</v>
      </c>
      <c r="D101" s="38">
        <f>IF((ዕቁብ!E103/ቦኖ!$C$4&gt;0),(1/2),0)</f>
        <v>0.5</v>
      </c>
      <c r="E101" s="38">
        <f>IF((ዕቁብ!F103/ቦኖ!$C$4&gt;0),(1/2),0)</f>
        <v>0.5</v>
      </c>
      <c r="F101" s="38">
        <f>IF((ዕቁብ!G103/ቦኖ!$C$4&gt;0),(1/2),0)</f>
        <v>0.5</v>
      </c>
      <c r="G101" s="38">
        <f>IF((ዕቁብ!H103/ቦኖ!$C$4&gt;0),(1/2),0)</f>
        <v>0.5</v>
      </c>
      <c r="H101" s="38">
        <f>IF((ዕቁብ!I103/ቦኖ!$C$4&gt;0),(1/2),0)</f>
        <v>0.5</v>
      </c>
      <c r="I101" s="38">
        <f>IF((ዕቁብ!J103/ቦኖ!$C$4&gt;0),(1/2),0)</f>
        <v>0.5</v>
      </c>
      <c r="J101" s="38">
        <f>IF((ዕቁብ!K103/ቦኖ!$C$4&gt;0),(1/2),0)</f>
        <v>0.5</v>
      </c>
      <c r="K101" s="38">
        <f>IF((ዕቁብ!L103/ቦኖ!$C$4&gt;0),(1/2),0)</f>
        <v>0.5</v>
      </c>
      <c r="L101" s="38">
        <f>IF((ዕቁብ!M103/ቦኖ!$C$4&gt;0),(1/2),0)</f>
        <v>0.5</v>
      </c>
      <c r="M101" s="38">
        <f>IF((ዕቁብ!N103/ቦኖ!$C$4&gt;0),(1/2),0)</f>
        <v>0.5</v>
      </c>
      <c r="N101" s="38">
        <f>IF((ዕቁብ!O103/ቦኖ!$C$4&gt;0),(1/2),0)</f>
        <v>0.5</v>
      </c>
      <c r="O101" s="38">
        <f>IF((ዕቁብ!P103/ቦኖ!$C$4&gt;0),(1/2),0)</f>
        <v>0.5</v>
      </c>
      <c r="P101" s="38">
        <f>IF((ዕቁብ!Q103/ቦኖ!$C$4&gt;0),(1/2),0)</f>
        <v>0.5</v>
      </c>
      <c r="Q101" s="38">
        <f>IF((ዕቁብ!R103/ቦኖ!$C$4&gt;0),(1/2),0)</f>
        <v>0.5</v>
      </c>
      <c r="R101" s="38">
        <f>IF((ዕቁብ!S103/ቦኖ!$C$4&gt;0),(1/2),0)</f>
        <v>0.5</v>
      </c>
      <c r="S101" s="38">
        <f>IF((ዕቁብ!T103/ቦኖ!$C$4&gt;0),(1/2),0)</f>
        <v>0.5</v>
      </c>
      <c r="T101" s="38">
        <f>IF((ዕቁብ!U103/ቦኖ!$C$4&gt;0),(1/2),0)</f>
        <v>0.5</v>
      </c>
      <c r="U101" s="38">
        <f>IF((ዕቁብ!V103/ቦኖ!$C$4&gt;0),(1/2),0)</f>
        <v>0.5</v>
      </c>
      <c r="V101" s="38">
        <f>IF((ዕቁብ!W103/ቦኖ!$C$4&gt;0),(1/2),0)</f>
        <v>0.5</v>
      </c>
      <c r="W101" s="38">
        <f>IF((ዕቁብ!X103/ቦኖ!$C$4&gt;0),(1/2),0)</f>
        <v>0.5</v>
      </c>
      <c r="X101" s="38">
        <f>IF((ዕቁብ!Y103/ቦኖ!$C$4&gt;0),(1/2),0)</f>
        <v>0.5</v>
      </c>
      <c r="Y101" s="38">
        <f>IF((ዕቁብ!Z103/ቦኖ!$C$4&gt;0),(1/2),0)</f>
        <v>0.5</v>
      </c>
      <c r="Z101" s="38">
        <f>IF((ዕቁብ!AA103/ቦኖ!$C$4&gt;0),(1/2),0)</f>
        <v>0.5</v>
      </c>
      <c r="AA101" s="38">
        <f>IF((ዕቁብ!AB103/ቦኖ!$C$4&gt;0),(1/2),0)</f>
        <v>0.5</v>
      </c>
      <c r="AB101" s="38">
        <f>IF((ዕቁብ!AC103/ቦኖ!$C$4&gt;0),(1/2),0)</f>
        <v>0.5</v>
      </c>
      <c r="AC101" s="38">
        <f>IF((ዕቁብ!AD103/ቦኖ!$C$4&gt;0),(1/2),0)</f>
        <v>0.5</v>
      </c>
      <c r="AD101" s="38">
        <f>IF((ዕቁብ!AE103/ቦኖ!$C$4&gt;0),(1/2),0)</f>
        <v>0.5</v>
      </c>
      <c r="AE101" s="38">
        <f>IF((ዕቁብ!AF103/ቦኖ!$C$4&gt;0),(1/2),0)</f>
        <v>0.5</v>
      </c>
      <c r="AF101" s="38">
        <f>IF((ዕቁብ!AG103/ቦኖ!$C$4&gt;0),(1/2),0)</f>
        <v>0.5</v>
      </c>
      <c r="AG101" s="38">
        <f>IF((ዕቁብ!AH103/ቦኖ!$C$4&gt;0),(1/2),0)</f>
        <v>0.5</v>
      </c>
      <c r="AH101" s="38">
        <f>IF((ዕቁብ!AI103/ቦኖ!$C$4&gt;0),(1/2),0)</f>
        <v>0.5</v>
      </c>
      <c r="AI101" s="38">
        <f>IF((ዕቁብ!AJ103/ቦኖ!$C$4&gt;0),(1/2),0)</f>
        <v>0.5</v>
      </c>
      <c r="AJ101" s="38">
        <f>IF((ዕቁብ!AK103/ቦኖ!$C$4&gt;0),(1/2),0)</f>
        <v>0.5</v>
      </c>
      <c r="AK101" s="38">
        <f>IF((ዕቁብ!AL103/ቦኖ!$C$4&gt;0),(1/2),0)</f>
        <v>0.5</v>
      </c>
      <c r="AL101" s="38">
        <f>IF((ዕቁብ!AM103/ቦኖ!$C$4&gt;0),(1/2),0)</f>
        <v>0.5</v>
      </c>
      <c r="AM101" s="38">
        <f>IF((ዕቁብ!AN103/ቦኖ!$C$4&gt;0),(1/2),0)</f>
        <v>0.5</v>
      </c>
      <c r="AN101" s="38">
        <f>IF((ዕቁብ!AO103/ቦኖ!$C$4&gt;0),(1/2),0)</f>
        <v>0.5</v>
      </c>
      <c r="AO101" s="38">
        <f>IF((ዕቁብ!AP103/ቦኖ!$C$4&gt;0),(1/2),0)</f>
        <v>0.5</v>
      </c>
      <c r="AP101" s="38">
        <f>IF((ዕቁብ!AQ103/ቦኖ!$C$4&gt;0),(1/2),0)</f>
        <v>0.5</v>
      </c>
      <c r="AQ101" s="38">
        <f>IF((ዕቁብ!AR103/ቦኖ!$C$4&gt;0),(1/2),0)</f>
        <v>0.5</v>
      </c>
      <c r="AR101" s="38">
        <f>IF((ዕቁብ!AS103/ቦኖ!$C$4&gt;0),(1/2),0)</f>
        <v>0.5</v>
      </c>
      <c r="AS101" s="38">
        <f>IF((ዕቁብ!AT103/ቦኖ!$C$4&gt;0),(1/2),0)</f>
        <v>0.5</v>
      </c>
      <c r="AT101" s="38">
        <f>IF((ዕቁብ!AU103/ቦኖ!$C$4&gt;0),(1/2),0)</f>
        <v>0.5</v>
      </c>
      <c r="AU101" s="38">
        <f>IF((ዕቁብ!AV103/ቦኖ!$C$4&gt;0),(1/2),0)</f>
        <v>0</v>
      </c>
      <c r="AV101" s="38">
        <f>IF((ዕቁብ!AW103/ቦኖ!$C$4&gt;0),(1/2),0)</f>
        <v>0.5</v>
      </c>
      <c r="AW101" s="38">
        <f>IF((ዕቁብ!AX103/ቦኖ!$C$4&gt;0),(1/2),0)</f>
        <v>0.5</v>
      </c>
      <c r="AX101" s="38">
        <f>IF((ዕቁብ!AY103/ቦኖ!$C$4&gt;0),(1/2),0)</f>
        <v>0.5</v>
      </c>
      <c r="AY101" s="38">
        <f>IF((ዕቁብ!AZ103/ቦኖ!$C$4&gt;0),(1/2),0)</f>
        <v>0.5</v>
      </c>
      <c r="AZ101" s="38">
        <f>IF((ዕቁብ!BA103/ቦኖ!$C$4&gt;0),(1/2),0)</f>
        <v>0.5</v>
      </c>
      <c r="BA101" s="38">
        <f>IF((ዕቁብ!BB103/ቦኖ!$C$4&gt;0),(1/2),0)</f>
        <v>0.5</v>
      </c>
      <c r="BB101" s="38">
        <f>IF((ዕቁብ!BC103/ቦኖ!$C$4&gt;0),(1/2),0)</f>
        <v>0.5</v>
      </c>
      <c r="BC101" s="38">
        <f>IF((ዕቁብ!BD103/ቦኖ!$C$4&gt;0),(1/2),0)</f>
        <v>0.5</v>
      </c>
      <c r="BD101" s="38">
        <f>IF((ዕቁብ!BE103/ቦኖ!$C$4&gt;0),(1/2),0)</f>
        <v>0.5</v>
      </c>
      <c r="BE101" s="38">
        <f>IF((ዕቁብ!BF103/ቦኖ!$C$4&gt;0),(1/2),0)</f>
        <v>0.5</v>
      </c>
      <c r="BF101" s="38">
        <f>IF((ዕቁብ!BG103/ቦኖ!$C$4&gt;0),(1/2),0)</f>
        <v>0.5</v>
      </c>
      <c r="BG101" s="38">
        <f>IF((ዕቁብ!BH103/ቦኖ!$C$4&gt;0),(1/2),0)</f>
        <v>0.5</v>
      </c>
      <c r="BH101" s="38">
        <f>IF((ዕቁብ!BI103/ቦኖ!$C$4&gt;0),(1/2),0)</f>
        <v>0.5</v>
      </c>
      <c r="BI101" s="38">
        <f>IF((ዕቁብ!BJ103/ቦኖ!$C$4&gt;0),(1/2),0)</f>
        <v>0.5</v>
      </c>
      <c r="BJ101" s="38">
        <f>IF((ዕቁብ!BK103/ቦኖ!$C$4&gt;0),(1/2),0)</f>
        <v>0.5</v>
      </c>
      <c r="BK101" s="38">
        <f>IF((ዕቁብ!BL103/ቦኖ!$C$4&gt;0),(1/2),0)</f>
        <v>0.5</v>
      </c>
      <c r="BL101" s="38">
        <f>IF((ዕቁብ!BM103/ቦኖ!$C$4&gt;0),(1/2),0)</f>
        <v>0.5</v>
      </c>
      <c r="BM101" s="38">
        <f>IF((ዕቁብ!BN103/ቦኖ!$C$4&gt;0),(1/2),0)</f>
        <v>0.5</v>
      </c>
      <c r="BN101" s="38">
        <f>IF((ዕቁብ!BO103/ቦኖ!$C$4&gt;0),(1/2),0)</f>
        <v>0.5</v>
      </c>
      <c r="BO101" s="38">
        <f>IF((ዕቁብ!BP103/ቦኖ!$C$4&gt;0),(1/2),0)</f>
        <v>0.5</v>
      </c>
      <c r="BP101" s="38">
        <f>IF((ዕቁብ!BQ103/ቦኖ!$C$4&gt;0),(1/2),0)</f>
        <v>0.5</v>
      </c>
      <c r="BQ101" s="38">
        <f>IF((ዕቁብ!BR103/ቦኖ!$C$4&gt;0),(1/2),0)</f>
        <v>0.5</v>
      </c>
      <c r="BR101" s="38">
        <f>IF((ዕቁብ!BS103/ቦኖ!$C$4&gt;0),(1/2),0)</f>
        <v>0.5</v>
      </c>
      <c r="BS101" s="38">
        <f>IF((ዕቁብ!BT103/ቦኖ!$C$4&gt;0),(1/2),0)</f>
        <v>0.5</v>
      </c>
      <c r="BT101" s="38">
        <f>IF((ዕቁብ!BU103/ቦኖ!$C$4&gt;0),(1/2),0)</f>
        <v>0.5</v>
      </c>
      <c r="BU101" s="38">
        <f>IF((ዕቁብ!BV103/ቦኖ!$C$4&gt;0),(1/2),0)</f>
        <v>0.5</v>
      </c>
      <c r="BV101" s="38">
        <f>IF((ዕቁብ!BW103/ቦኖ!$C$4&gt;0),(1/2),0)</f>
        <v>0</v>
      </c>
      <c r="BW101" s="38">
        <f>IF((ዕቁብ!BX103/ቦኖ!$C$4&gt;0),(1/2),0)</f>
        <v>0</v>
      </c>
      <c r="BX101" s="38">
        <f>IF((ዕቁብ!BY103/ቦኖ!$C$4&gt;0),(1/2),0)</f>
        <v>0</v>
      </c>
      <c r="BY101" s="38">
        <f>IF((ዕቁብ!BZ103/ቦኖ!$C$4&gt;0),(1/2),0)</f>
        <v>0.5</v>
      </c>
      <c r="BZ101" s="38">
        <f>IF((ዕቁብ!CA103/ቦኖ!$C$4&gt;0),(1/2),0)</f>
        <v>0.5</v>
      </c>
      <c r="CA101" s="38">
        <f>IF((ዕቁብ!CB103/ቦኖ!$C$4&gt;0),(1/2),0)</f>
        <v>0.5</v>
      </c>
      <c r="CB101" s="38">
        <f>IF((ዕቁብ!CC103/ቦኖ!$C$4&gt;0),(1/2),0)</f>
        <v>0.5</v>
      </c>
      <c r="CC101" s="38">
        <f>IF((ዕቁብ!CD103/ቦኖ!$C$4&gt;0),(1/2),0)</f>
        <v>0.5</v>
      </c>
      <c r="CD101" s="38">
        <f>IF((ዕቁብ!CE103/ቦኖ!$C$4&gt;0),(1/2),0)</f>
        <v>0.5</v>
      </c>
      <c r="CE101" s="38">
        <f>IF((ዕቁብ!CF103/ቦኖ!$C$4&gt;0),(1/2),0)</f>
        <v>0.5</v>
      </c>
      <c r="CF101" s="38">
        <f>IF((ዕቁብ!CG103/ቦኖ!$C$4&gt;0),(1/2),0)</f>
        <v>0</v>
      </c>
      <c r="CG101" s="38">
        <f>IF((ዕቁብ!CH103/ቦኖ!$C$4&gt;0),(1/2),0)</f>
        <v>0.5</v>
      </c>
      <c r="CH101" s="38">
        <f>IF((ዕቁብ!CI103/ቦኖ!$C$4&gt;0),(1/2),0)</f>
        <v>0</v>
      </c>
      <c r="CI101" s="38">
        <f>IF((ዕቁብ!CJ103/ቦኖ!$C$4&gt;0),(1/2),0)</f>
        <v>0</v>
      </c>
      <c r="CJ101" s="38">
        <f>IF((ዕቁብ!CK103/ቦኖ!$C$4&gt;0),(1/2),0)</f>
        <v>0</v>
      </c>
      <c r="CK101" s="38">
        <f>IF((ዕቁብ!CL103/ቦኖ!$C$4&gt;0),(1/2),0)</f>
        <v>0.5</v>
      </c>
      <c r="CL101" s="38">
        <f>IF((ዕቁብ!CM103/ቦኖ!$C$4&gt;0),(1/2),0)</f>
        <v>0.5</v>
      </c>
      <c r="CM101" s="38">
        <f>IF((ዕቁብ!CN103/ቦኖ!$C$4&gt;0),(1/2),0)</f>
        <v>0</v>
      </c>
      <c r="CN101" s="38">
        <f>IF((ዕቁብ!CO103/ቦኖ!$C$4&gt;0),(1/2),0)</f>
        <v>0.5</v>
      </c>
      <c r="CO101" s="38">
        <f>IF((ዕቁብ!CP103/ቦኖ!$C$4&gt;0),(1/2),0)</f>
        <v>0</v>
      </c>
      <c r="CP101" s="38">
        <f>IF((ዕቁብ!CQ103/ቦኖ!$C$4&gt;0),(1/2),0)</f>
        <v>0</v>
      </c>
      <c r="CQ101" s="38">
        <f>IF((ዕቁብ!CR103/ቦኖ!$C$4&gt;0),(1/2),0)</f>
        <v>0</v>
      </c>
      <c r="CR101" s="38">
        <f>IF((ዕቁብ!CS103/ቦኖ!$C$4&gt;0),(1/2),0)</f>
        <v>0.5</v>
      </c>
      <c r="CS101" s="38">
        <f>IF((ዕቁብ!CT103/ቦኖ!$C$4&gt;0),(1/2),0)</f>
        <v>0</v>
      </c>
      <c r="CT101" s="38">
        <f>IF((ዕቁብ!CU103/ቦኖ!$C$4&gt;0),(1/2),0)</f>
        <v>0.5</v>
      </c>
      <c r="CU101" s="38">
        <f>IF((ዕቁብ!CV103/ቦኖ!$C$4&gt;0),(1/2),0)</f>
        <v>0</v>
      </c>
      <c r="CV101" s="38">
        <f>IF((ዕቁብ!CW103/ቦኖ!$C$4&gt;0),(1/2),0)</f>
        <v>0</v>
      </c>
      <c r="CW101" s="38">
        <f>IF((ዕቁብ!CX103/ቦኖ!$C$4&gt;0),(1/2),0)</f>
        <v>0.5</v>
      </c>
      <c r="CX101" s="38">
        <f>IF((ዕቁብ!CY103/ቦኖ!$C$4&gt;0),(1/2),0)</f>
        <v>0</v>
      </c>
      <c r="CY101" s="38">
        <f>IF((ዕቁብ!CZ103/ቦኖ!$C$4&gt;0),(1/2),0)</f>
        <v>0</v>
      </c>
      <c r="CZ101" s="38">
        <f>IF((ዕቁብ!DA103/ቦኖ!$C$4&gt;0),(1/2),0)</f>
        <v>0</v>
      </c>
      <c r="DA101" s="38">
        <f>IF((ዕቁብ!DB103/ቦኖ!$C$4&gt;0),(1/2),0)</f>
        <v>0</v>
      </c>
      <c r="DB101" s="38">
        <f>IF((ዕቁብ!DC103/ቦኖ!$C$4&gt;0),(1/2),0)</f>
        <v>0</v>
      </c>
      <c r="DC101" s="38">
        <f>IF((ዕቁብ!DD103/ቦኖ!$C$4&gt;0),(1/2),0)</f>
        <v>0</v>
      </c>
      <c r="DD101" s="38">
        <f>IF((ዕቁብ!DE103/ቦኖ!$C$4&gt;0),(1/2),0)</f>
        <v>0</v>
      </c>
      <c r="DE101" s="38">
        <f>IF((ዕቁብ!DF103/ቦኖ!$C$4&gt;0),(1/2),0)</f>
        <v>0</v>
      </c>
      <c r="DF101" s="38">
        <f>IF((ዕቁብ!DG103/ቦኖ!$C$4&gt;0),(1/2),0)</f>
        <v>0</v>
      </c>
      <c r="DG101" s="38">
        <f>IF((ዕቁብ!DH103/ቦኖ!$C$4&gt;0),(1/2),0)</f>
        <v>0</v>
      </c>
      <c r="DH101" s="38">
        <f>IF((ዕቁብ!DI103/ቦኖ!$C$4&gt;0),(1/2),0)</f>
        <v>0</v>
      </c>
      <c r="DI101" s="38">
        <f>IF((ዕቁብ!DJ103/ቦኖ!$C$4&gt;0),(1/2),0)</f>
        <v>0</v>
      </c>
      <c r="DJ101" s="38">
        <f>IF((ዕቁብ!DK103/ቦኖ!$C$4&gt;0),(1/2),0)</f>
        <v>0</v>
      </c>
      <c r="DK101" s="38">
        <f>IF((ዕቁብ!DL103/ቦኖ!$C$4&gt;0),(1/2),0)</f>
        <v>0</v>
      </c>
      <c r="DL101" s="38">
        <f>IF((ዕቁብ!DM103/ቦኖ!$C$4&gt;0),(1/2),0)</f>
        <v>0</v>
      </c>
      <c r="DM101" s="38">
        <f>IF((ዕቁብ!DN103/ቦኖ!$C$4&gt;0),(1/2),0)</f>
        <v>0</v>
      </c>
      <c r="DN101" s="38">
        <f>IF((ዕቁብ!DO103/ቦኖ!$C$4&gt;0),(1/2),0)</f>
        <v>0</v>
      </c>
      <c r="DO101" s="38">
        <f>IF((ዕቁብ!DP103/ቦኖ!$C$4&gt;0),(1/2),0)</f>
        <v>0</v>
      </c>
      <c r="DP101" s="38">
        <f>IF((ዕቁብ!DQ103/ቦኖ!$C$4&gt;0),(1/2),0)</f>
        <v>0</v>
      </c>
      <c r="DQ101" s="38">
        <f>IF((ዕቁብ!DR103/ቦኖ!$C$4&gt;0),(1/2),0)</f>
        <v>0</v>
      </c>
    </row>
    <row r="102" spans="1:121" ht="15.75" customHeight="1" x14ac:dyDescent="0.3">
      <c r="A102" s="33">
        <f>ዕቁብ!A104</f>
        <v>96</v>
      </c>
      <c r="B102" s="33" t="str">
        <f>ዕቁብ!B104</f>
        <v xml:space="preserve">ታሪኩ ካርሎስ </v>
      </c>
      <c r="C102" s="37">
        <f>ዕቁብ!C104</f>
        <v>10500</v>
      </c>
      <c r="D102" s="38">
        <f>IF((ዕቁብ!E104/ቦኖ!$C$4&gt;0),(1/2),0)</f>
        <v>0.5</v>
      </c>
      <c r="E102" s="38">
        <f>IF((ዕቁብ!F104/ቦኖ!$C$4&gt;0),(1/2),0)</f>
        <v>0.5</v>
      </c>
      <c r="F102" s="38">
        <f>IF((ዕቁብ!G104/ቦኖ!$C$4&gt;0),(1/2),0)</f>
        <v>0.5</v>
      </c>
      <c r="G102" s="38">
        <f>IF((ዕቁብ!H104/ቦኖ!$C$4&gt;0),(1/2),0)</f>
        <v>0.5</v>
      </c>
      <c r="H102" s="38">
        <f>IF((ዕቁብ!I104/ቦኖ!$C$4&gt;0),(1/2),0)</f>
        <v>0.5</v>
      </c>
      <c r="I102" s="38">
        <f>IF((ዕቁብ!J104/ቦኖ!$C$4&gt;0),(1/2),0)</f>
        <v>0.5</v>
      </c>
      <c r="J102" s="38">
        <f>IF((ዕቁብ!K104/ቦኖ!$C$4&gt;0),(1/2),0)</f>
        <v>0.5</v>
      </c>
      <c r="K102" s="38">
        <f>IF((ዕቁብ!L104/ቦኖ!$C$4&gt;0),(1/2),0)</f>
        <v>0.5</v>
      </c>
      <c r="L102" s="38">
        <f>IF((ዕቁብ!M104/ቦኖ!$C$4&gt;0),(1/2),0)</f>
        <v>0.5</v>
      </c>
      <c r="M102" s="38">
        <f>IF((ዕቁብ!N104/ቦኖ!$C$4&gt;0),(1/2),0)</f>
        <v>0.5</v>
      </c>
      <c r="N102" s="38">
        <f>IF((ዕቁብ!O104/ቦኖ!$C$4&gt;0),(1/2),0)</f>
        <v>0.5</v>
      </c>
      <c r="O102" s="38">
        <f>IF((ዕቁብ!P104/ቦኖ!$C$4&gt;0),(1/2),0)</f>
        <v>0.5</v>
      </c>
      <c r="P102" s="38">
        <f>IF((ዕቁብ!Q104/ቦኖ!$C$4&gt;0),(1/2),0)</f>
        <v>0.5</v>
      </c>
      <c r="Q102" s="38">
        <f>IF((ዕቁብ!R104/ቦኖ!$C$4&gt;0),(1/2),0)</f>
        <v>0.5</v>
      </c>
      <c r="R102" s="38">
        <f>IF((ዕቁብ!S104/ቦኖ!$C$4&gt;0),(1/2),0)</f>
        <v>0.5</v>
      </c>
      <c r="S102" s="38">
        <f>IF((ዕቁብ!T104/ቦኖ!$C$4&gt;0),(1/2),0)</f>
        <v>0.5</v>
      </c>
      <c r="T102" s="38">
        <f>IF((ዕቁብ!U104/ቦኖ!$C$4&gt;0),(1/2),0)</f>
        <v>0.5</v>
      </c>
      <c r="U102" s="38">
        <f>IF((ዕቁብ!V104/ቦኖ!$C$4&gt;0),(1/2),0)</f>
        <v>0.5</v>
      </c>
      <c r="V102" s="38">
        <f>IF((ዕቁብ!W104/ቦኖ!$C$4&gt;0),(1/2),0)</f>
        <v>0.5</v>
      </c>
      <c r="W102" s="38">
        <f>IF((ዕቁብ!X104/ቦኖ!$C$4&gt;0),(1/2),0)</f>
        <v>0.5</v>
      </c>
      <c r="X102" s="38">
        <f>IF((ዕቁብ!Y104/ቦኖ!$C$4&gt;0),(1/2),0)</f>
        <v>0</v>
      </c>
      <c r="Y102" s="38">
        <f>IF((ዕቁብ!Z104/ቦኖ!$C$4&gt;0),(1/2),0)</f>
        <v>0.5</v>
      </c>
      <c r="Z102" s="38">
        <f>IF((ዕቁብ!AA104/ቦኖ!$C$4&gt;0),(1/2),0)</f>
        <v>0.5</v>
      </c>
      <c r="AA102" s="38">
        <f>IF((ዕቁብ!AB104/ቦኖ!$C$4&gt;0),(1/2),0)</f>
        <v>0</v>
      </c>
      <c r="AB102" s="38">
        <f>IF((ዕቁብ!AC104/ቦኖ!$C$4&gt;0),(1/2),0)</f>
        <v>0.5</v>
      </c>
      <c r="AC102" s="38">
        <f>IF((ዕቁብ!AD104/ቦኖ!$C$4&gt;0),(1/2),0)</f>
        <v>0.5</v>
      </c>
      <c r="AD102" s="38">
        <f>IF((ዕቁብ!AE104/ቦኖ!$C$4&gt;0),(1/2),0)</f>
        <v>0.5</v>
      </c>
      <c r="AE102" s="38">
        <f>IF((ዕቁብ!AF104/ቦኖ!$C$4&gt;0),(1/2),0)</f>
        <v>0</v>
      </c>
      <c r="AF102" s="38">
        <f>IF((ዕቁብ!AG104/ቦኖ!$C$4&gt;0),(1/2),0)</f>
        <v>0.5</v>
      </c>
      <c r="AG102" s="38">
        <f>IF((ዕቁብ!AH104/ቦኖ!$C$4&gt;0),(1/2),0)</f>
        <v>0.5</v>
      </c>
      <c r="AH102" s="38">
        <f>IF((ዕቁብ!AI104/ቦኖ!$C$4&gt;0),(1/2),0)</f>
        <v>0.5</v>
      </c>
      <c r="AI102" s="38">
        <f>IF((ዕቁብ!AJ104/ቦኖ!$C$4&gt;0),(1/2),0)</f>
        <v>0.5</v>
      </c>
      <c r="AJ102" s="38">
        <f>IF((ዕቁብ!AK104/ቦኖ!$C$4&gt;0),(1/2),0)</f>
        <v>0.5</v>
      </c>
      <c r="AK102" s="38">
        <f>IF((ዕቁብ!AL104/ቦኖ!$C$4&gt;0),(1/2),0)</f>
        <v>0.5</v>
      </c>
      <c r="AL102" s="38">
        <f>IF((ዕቁብ!AM104/ቦኖ!$C$4&gt;0),(1/2),0)</f>
        <v>0</v>
      </c>
      <c r="AM102" s="38">
        <f>IF((ዕቁብ!AN104/ቦኖ!$C$4&gt;0),(1/2),0)</f>
        <v>0.5</v>
      </c>
      <c r="AN102" s="38">
        <f>IF((ዕቁብ!AO104/ቦኖ!$C$4&gt;0),(1/2),0)</f>
        <v>0.5</v>
      </c>
      <c r="AO102" s="38">
        <f>IF((ዕቁብ!AP104/ቦኖ!$C$4&gt;0),(1/2),0)</f>
        <v>0.5</v>
      </c>
      <c r="AP102" s="38">
        <f>IF((ዕቁብ!AQ104/ቦኖ!$C$4&gt;0),(1/2),0)</f>
        <v>0.5</v>
      </c>
      <c r="AQ102" s="38">
        <f>IF((ዕቁብ!AR104/ቦኖ!$C$4&gt;0),(1/2),0)</f>
        <v>0.5</v>
      </c>
      <c r="AR102" s="38">
        <f>IF((ዕቁብ!AS104/ቦኖ!$C$4&gt;0),(1/2),0)</f>
        <v>0.5</v>
      </c>
      <c r="AS102" s="38">
        <f>IF((ዕቁብ!AT104/ቦኖ!$C$4&gt;0),(1/2),0)</f>
        <v>0.5</v>
      </c>
      <c r="AT102" s="38">
        <f>IF((ዕቁብ!AU104/ቦኖ!$C$4&gt;0),(1/2),0)</f>
        <v>0.5</v>
      </c>
      <c r="AU102" s="38">
        <f>IF((ዕቁብ!AV104/ቦኖ!$C$4&gt;0),(1/2),0)</f>
        <v>0.5</v>
      </c>
      <c r="AV102" s="38">
        <f>IF((ዕቁብ!AW104/ቦኖ!$C$4&gt;0),(1/2),0)</f>
        <v>0</v>
      </c>
      <c r="AW102" s="38">
        <f>IF((ዕቁብ!AX104/ቦኖ!$C$4&gt;0),(1/2),0)</f>
        <v>0.5</v>
      </c>
      <c r="AX102" s="38">
        <f>IF((ዕቁብ!AY104/ቦኖ!$C$4&gt;0),(1/2),0)</f>
        <v>0</v>
      </c>
      <c r="AY102" s="38">
        <f>IF((ዕቁብ!AZ104/ቦኖ!$C$4&gt;0),(1/2),0)</f>
        <v>0.5</v>
      </c>
      <c r="AZ102" s="38">
        <f>IF((ዕቁብ!BA104/ቦኖ!$C$4&gt;0),(1/2),0)</f>
        <v>0.5</v>
      </c>
      <c r="BA102" s="38">
        <f>IF((ዕቁብ!BB104/ቦኖ!$C$4&gt;0),(1/2),0)</f>
        <v>0.5</v>
      </c>
      <c r="BB102" s="38">
        <f>IF((ዕቁብ!BC104/ቦኖ!$C$4&gt;0),(1/2),0)</f>
        <v>0</v>
      </c>
      <c r="BC102" s="38">
        <f>IF((ዕቁብ!BD104/ቦኖ!$C$4&gt;0),(1/2),0)</f>
        <v>0.5</v>
      </c>
      <c r="BD102" s="38">
        <f>IF((ዕቁብ!BE104/ቦኖ!$C$4&gt;0),(1/2),0)</f>
        <v>0.5</v>
      </c>
      <c r="BE102" s="38">
        <f>IF((ዕቁብ!BF104/ቦኖ!$C$4&gt;0),(1/2),0)</f>
        <v>0.5</v>
      </c>
      <c r="BF102" s="38">
        <f>IF((ዕቁብ!BG104/ቦኖ!$C$4&gt;0),(1/2),0)</f>
        <v>0.5</v>
      </c>
      <c r="BG102" s="38">
        <f>IF((ዕቁብ!BH104/ቦኖ!$C$4&gt;0),(1/2),0)</f>
        <v>0</v>
      </c>
      <c r="BH102" s="38">
        <f>IF((ዕቁብ!BI104/ቦኖ!$C$4&gt;0),(1/2),0)</f>
        <v>0</v>
      </c>
      <c r="BI102" s="38">
        <f>IF((ዕቁብ!BJ104/ቦኖ!$C$4&gt;0),(1/2),0)</f>
        <v>0.5</v>
      </c>
      <c r="BJ102" s="38">
        <f>IF((ዕቁብ!BK104/ቦኖ!$C$4&gt;0),(1/2),0)</f>
        <v>0.5</v>
      </c>
      <c r="BK102" s="38">
        <f>IF((ዕቁብ!BL104/ቦኖ!$C$4&gt;0),(1/2),0)</f>
        <v>0</v>
      </c>
      <c r="BL102" s="38">
        <f>IF((ዕቁብ!BM104/ቦኖ!$C$4&gt;0),(1/2),0)</f>
        <v>0.5</v>
      </c>
      <c r="BM102" s="38">
        <f>IF((ዕቁብ!BN104/ቦኖ!$C$4&gt;0),(1/2),0)</f>
        <v>0</v>
      </c>
      <c r="BN102" s="38">
        <f>IF((ዕቁብ!BO104/ቦኖ!$C$4&gt;0),(1/2),0)</f>
        <v>0.5</v>
      </c>
      <c r="BO102" s="38">
        <f>IF((ዕቁብ!BP104/ቦኖ!$C$4&gt;0),(1/2),0)</f>
        <v>0</v>
      </c>
      <c r="BP102" s="38">
        <f>IF((ዕቁብ!BQ104/ቦኖ!$C$4&gt;0),(1/2),0)</f>
        <v>0</v>
      </c>
      <c r="BQ102" s="38">
        <f>IF((ዕቁብ!BR104/ቦኖ!$C$4&gt;0),(1/2),0)</f>
        <v>0</v>
      </c>
      <c r="BR102" s="38">
        <f>IF((ዕቁብ!BS104/ቦኖ!$C$4&gt;0),(1/2),0)</f>
        <v>0.5</v>
      </c>
      <c r="BS102" s="38">
        <f>IF((ዕቁብ!BT104/ቦኖ!$C$4&gt;0),(1/2),0)</f>
        <v>0</v>
      </c>
      <c r="BT102" s="38">
        <f>IF((ዕቁብ!BU104/ቦኖ!$C$4&gt;0),(1/2),0)</f>
        <v>0</v>
      </c>
      <c r="BU102" s="38">
        <f>IF((ዕቁብ!BV104/ቦኖ!$C$4&gt;0),(1/2),0)</f>
        <v>0</v>
      </c>
      <c r="BV102" s="38">
        <f>IF((ዕቁብ!BW104/ቦኖ!$C$4&gt;0),(1/2),0)</f>
        <v>0.5</v>
      </c>
      <c r="BW102" s="38">
        <f>IF((ዕቁብ!BX104/ቦኖ!$C$4&gt;0),(1/2),0)</f>
        <v>0</v>
      </c>
      <c r="BX102" s="38">
        <f>IF((ዕቁብ!BY104/ቦኖ!$C$4&gt;0),(1/2),0)</f>
        <v>0.5</v>
      </c>
      <c r="BY102" s="38">
        <f>IF((ዕቁብ!BZ104/ቦኖ!$C$4&gt;0),(1/2),0)</f>
        <v>0</v>
      </c>
      <c r="BZ102" s="38">
        <f>IF((ዕቁብ!CA104/ቦኖ!$C$4&gt;0),(1/2),0)</f>
        <v>0</v>
      </c>
      <c r="CA102" s="38">
        <f>IF((ዕቁብ!CB104/ቦኖ!$C$4&gt;0),(1/2),0)</f>
        <v>0</v>
      </c>
      <c r="CB102" s="38">
        <f>IF((ዕቁብ!CC104/ቦኖ!$C$4&gt;0),(1/2),0)</f>
        <v>0.5</v>
      </c>
      <c r="CC102" s="38">
        <f>IF((ዕቁብ!CD104/ቦኖ!$C$4&gt;0),(1/2),0)</f>
        <v>0</v>
      </c>
      <c r="CD102" s="38">
        <f>IF((ዕቁብ!CE104/ቦኖ!$C$4&gt;0),(1/2),0)</f>
        <v>0</v>
      </c>
      <c r="CE102" s="38">
        <f>IF((ዕቁብ!CF104/ቦኖ!$C$4&gt;0),(1/2),0)</f>
        <v>0.5</v>
      </c>
      <c r="CF102" s="38">
        <f>IF((ዕቁብ!CG104/ቦኖ!$C$4&gt;0),(1/2),0)</f>
        <v>0.5</v>
      </c>
      <c r="CG102" s="38">
        <f>IF((ዕቁብ!CH104/ቦኖ!$C$4&gt;0),(1/2),0)</f>
        <v>0</v>
      </c>
      <c r="CH102" s="38">
        <f>IF((ዕቁብ!CI104/ቦኖ!$C$4&gt;0),(1/2),0)</f>
        <v>0.5</v>
      </c>
      <c r="CI102" s="38">
        <f>IF((ዕቁብ!CJ104/ቦኖ!$C$4&gt;0),(1/2),0)</f>
        <v>0.5</v>
      </c>
      <c r="CJ102" s="38">
        <f>IF((ዕቁብ!CK104/ቦኖ!$C$4&gt;0),(1/2),0)</f>
        <v>0.5</v>
      </c>
      <c r="CK102" s="38">
        <f>IF((ዕቁብ!CL104/ቦኖ!$C$4&gt;0),(1/2),0)</f>
        <v>0</v>
      </c>
      <c r="CL102" s="38">
        <f>IF((ዕቁብ!CM104/ቦኖ!$C$4&gt;0),(1/2),0)</f>
        <v>0.5</v>
      </c>
      <c r="CM102" s="38">
        <f>IF((ዕቁብ!CN104/ቦኖ!$C$4&gt;0),(1/2),0)</f>
        <v>0</v>
      </c>
      <c r="CN102" s="38">
        <f>IF((ዕቁብ!CO104/ቦኖ!$C$4&gt;0),(1/2),0)</f>
        <v>0</v>
      </c>
      <c r="CO102" s="38">
        <f>IF((ዕቁብ!CP104/ቦኖ!$C$4&gt;0),(1/2),0)</f>
        <v>0.5</v>
      </c>
      <c r="CP102" s="38">
        <f>IF((ዕቁብ!CQ104/ቦኖ!$C$4&gt;0),(1/2),0)</f>
        <v>0.5</v>
      </c>
      <c r="CQ102" s="38">
        <f>IF((ዕቁብ!CR104/ቦኖ!$C$4&gt;0),(1/2),0)</f>
        <v>0.5</v>
      </c>
      <c r="CR102" s="38">
        <f>IF((ዕቁብ!CS104/ቦኖ!$C$4&gt;0),(1/2),0)</f>
        <v>0.5</v>
      </c>
      <c r="CS102" s="38">
        <f>IF((ዕቁብ!CT104/ቦኖ!$C$4&gt;0),(1/2),0)</f>
        <v>0.5</v>
      </c>
      <c r="CT102" s="38">
        <f>IF((ዕቁብ!CU104/ቦኖ!$C$4&gt;0),(1/2),0)</f>
        <v>0.5</v>
      </c>
      <c r="CU102" s="38">
        <f>IF((ዕቁብ!CV104/ቦኖ!$C$4&gt;0),(1/2),0)</f>
        <v>0.5</v>
      </c>
      <c r="CV102" s="38">
        <f>IF((ዕቁብ!CW104/ቦኖ!$C$4&gt;0),(1/2),0)</f>
        <v>0.5</v>
      </c>
      <c r="CW102" s="38">
        <f>IF((ዕቁብ!CX104/ቦኖ!$C$4&gt;0),(1/2),0)</f>
        <v>0.5</v>
      </c>
      <c r="CX102" s="38">
        <f>IF((ዕቁብ!CY104/ቦኖ!$C$4&gt;0),(1/2),0)</f>
        <v>0.5</v>
      </c>
      <c r="CY102" s="38">
        <f>IF((ዕቁብ!CZ104/ቦኖ!$C$4&gt;0),(1/2),0)</f>
        <v>0.5</v>
      </c>
      <c r="CZ102" s="38">
        <f>IF((ዕቁብ!DA104/ቦኖ!$C$4&gt;0),(1/2),0)</f>
        <v>0.5</v>
      </c>
      <c r="DA102" s="38">
        <f>IF((ዕቁብ!DB104/ቦኖ!$C$4&gt;0),(1/2),0)</f>
        <v>0.5</v>
      </c>
      <c r="DB102" s="38">
        <f>IF((ዕቁብ!DC104/ቦኖ!$C$4&gt;0),(1/2),0)</f>
        <v>0.5</v>
      </c>
      <c r="DC102" s="38">
        <f>IF((ዕቁብ!DD104/ቦኖ!$C$4&gt;0),(1/2),0)</f>
        <v>0.5</v>
      </c>
      <c r="DD102" s="38">
        <f>IF((ዕቁብ!DE104/ቦኖ!$C$4&gt;0),(1/2),0)</f>
        <v>0.5</v>
      </c>
      <c r="DE102" s="38">
        <f>IF((ዕቁብ!DF104/ቦኖ!$C$4&gt;0),(1/2),0)</f>
        <v>0.5</v>
      </c>
      <c r="DF102" s="38">
        <f>IF((ዕቁብ!DG104/ቦኖ!$C$4&gt;0),(1/2),0)</f>
        <v>0.5</v>
      </c>
      <c r="DG102" s="38">
        <f>IF((ዕቁብ!DH104/ቦኖ!$C$4&gt;0),(1/2),0)</f>
        <v>0</v>
      </c>
      <c r="DH102" s="38">
        <f>IF((ዕቁብ!DI104/ቦኖ!$C$4&gt;0),(1/2),0)</f>
        <v>0</v>
      </c>
      <c r="DI102" s="38">
        <f>IF((ዕቁብ!DJ104/ቦኖ!$C$4&gt;0),(1/2),0)</f>
        <v>0</v>
      </c>
      <c r="DJ102" s="38">
        <f>IF((ዕቁብ!DK104/ቦኖ!$C$4&gt;0),(1/2),0)</f>
        <v>0</v>
      </c>
      <c r="DK102" s="38">
        <f>IF((ዕቁብ!DL104/ቦኖ!$C$4&gt;0),(1/2),0)</f>
        <v>0</v>
      </c>
      <c r="DL102" s="38">
        <f>IF((ዕቁብ!DM104/ቦኖ!$C$4&gt;0),(1/2),0)</f>
        <v>0</v>
      </c>
      <c r="DM102" s="38">
        <f>IF((ዕቁብ!DN104/ቦኖ!$C$4&gt;0),(1/2),0)</f>
        <v>0</v>
      </c>
      <c r="DN102" s="38">
        <f>IF((ዕቁብ!DO104/ቦኖ!$C$4&gt;0),(1/2),0)</f>
        <v>0</v>
      </c>
      <c r="DO102" s="38">
        <f>IF((ዕቁብ!DP104/ቦኖ!$C$4&gt;0),(1/2),0)</f>
        <v>0</v>
      </c>
      <c r="DP102" s="38">
        <f>IF((ዕቁብ!DQ104/ቦኖ!$C$4&gt;0),(1/2),0)</f>
        <v>0</v>
      </c>
      <c r="DQ102" s="38">
        <f>IF((ዕቁብ!DR104/ቦኖ!$C$4&gt;0),(1/2),0)</f>
        <v>0</v>
      </c>
    </row>
    <row r="103" spans="1:121" ht="15.75" customHeight="1" x14ac:dyDescent="0.3">
      <c r="A103" s="33">
        <f>ዕቁብ!A105</f>
        <v>96</v>
      </c>
      <c r="B103" s="33" t="str">
        <f>ዕቁብ!B105</f>
        <v>እንግዳ ካሳዬ</v>
      </c>
      <c r="C103" s="37">
        <f>ዕቁብ!C105</f>
        <v>10500</v>
      </c>
      <c r="D103" s="38">
        <f>IF((ዕቁብ!E105/ቦኖ!$C$4&gt;0),(1/2),0)</f>
        <v>0.5</v>
      </c>
      <c r="E103" s="38">
        <f>IF((ዕቁብ!F105/ቦኖ!$C$4&gt;0),(1/2),0)</f>
        <v>0.5</v>
      </c>
      <c r="F103" s="38">
        <f>IF((ዕቁብ!G105/ቦኖ!$C$4&gt;0),(1/2),0)</f>
        <v>0.5</v>
      </c>
      <c r="G103" s="38">
        <f>IF((ዕቁብ!H105/ቦኖ!$C$4&gt;0),(1/2),0)</f>
        <v>0.5</v>
      </c>
      <c r="H103" s="38">
        <f>IF((ዕቁብ!I105/ቦኖ!$C$4&gt;0),(1/2),0)</f>
        <v>0.5</v>
      </c>
      <c r="I103" s="38">
        <f>IF((ዕቁብ!J105/ቦኖ!$C$4&gt;0),(1/2),0)</f>
        <v>0.5</v>
      </c>
      <c r="J103" s="38">
        <f>IF((ዕቁብ!K105/ቦኖ!$C$4&gt;0),(1/2),0)</f>
        <v>0.5</v>
      </c>
      <c r="K103" s="38">
        <f>IF((ዕቁብ!L105/ቦኖ!$C$4&gt;0),(1/2),0)</f>
        <v>0.5</v>
      </c>
      <c r="L103" s="38">
        <f>IF((ዕቁብ!M105/ቦኖ!$C$4&gt;0),(1/2),0)</f>
        <v>0.5</v>
      </c>
      <c r="M103" s="38">
        <f>IF((ዕቁብ!N105/ቦኖ!$C$4&gt;0),(1/2),0)</f>
        <v>0.5</v>
      </c>
      <c r="N103" s="38">
        <f>IF((ዕቁብ!O105/ቦኖ!$C$4&gt;0),(1/2),0)</f>
        <v>0.5</v>
      </c>
      <c r="O103" s="38">
        <f>IF((ዕቁብ!P105/ቦኖ!$C$4&gt;0),(1/2),0)</f>
        <v>0.5</v>
      </c>
      <c r="P103" s="38">
        <f>IF((ዕቁብ!Q105/ቦኖ!$C$4&gt;0),(1/2),0)</f>
        <v>0.5</v>
      </c>
      <c r="Q103" s="38">
        <f>IF((ዕቁብ!R105/ቦኖ!$C$4&gt;0),(1/2),0)</f>
        <v>0.5</v>
      </c>
      <c r="R103" s="38">
        <f>IF((ዕቁብ!S105/ቦኖ!$C$4&gt;0),(1/2),0)</f>
        <v>0.5</v>
      </c>
      <c r="S103" s="38">
        <f>IF((ዕቁብ!T105/ቦኖ!$C$4&gt;0),(1/2),0)</f>
        <v>0.5</v>
      </c>
      <c r="T103" s="38">
        <f>IF((ዕቁብ!U105/ቦኖ!$C$4&gt;0),(1/2),0)</f>
        <v>0.5</v>
      </c>
      <c r="U103" s="38">
        <f>IF((ዕቁብ!V105/ቦኖ!$C$4&gt;0),(1/2),0)</f>
        <v>0.5</v>
      </c>
      <c r="V103" s="38">
        <f>IF((ዕቁብ!W105/ቦኖ!$C$4&gt;0),(1/2),0)</f>
        <v>0.5</v>
      </c>
      <c r="W103" s="38">
        <f>IF((ዕቁብ!X105/ቦኖ!$C$4&gt;0),(1/2),0)</f>
        <v>0.5</v>
      </c>
      <c r="X103" s="38">
        <f>IF((ዕቁብ!Y105/ቦኖ!$C$4&gt;0),(1/2),0)</f>
        <v>0.5</v>
      </c>
      <c r="Y103" s="38">
        <f>IF((ዕቁብ!Z105/ቦኖ!$C$4&gt;0),(1/2),0)</f>
        <v>0.5</v>
      </c>
      <c r="Z103" s="38">
        <f>IF((ዕቁብ!AA105/ቦኖ!$C$4&gt;0),(1/2),0)</f>
        <v>0.5</v>
      </c>
      <c r="AA103" s="38">
        <f>IF((ዕቁብ!AB105/ቦኖ!$C$4&gt;0),(1/2),0)</f>
        <v>0</v>
      </c>
      <c r="AB103" s="38">
        <f>IF((ዕቁብ!AC105/ቦኖ!$C$4&gt;0),(1/2),0)</f>
        <v>0.5</v>
      </c>
      <c r="AC103" s="38">
        <f>IF((ዕቁብ!AD105/ቦኖ!$C$4&gt;0),(1/2),0)</f>
        <v>0.5</v>
      </c>
      <c r="AD103" s="38">
        <f>IF((ዕቁብ!AE105/ቦኖ!$C$4&gt;0),(1/2),0)</f>
        <v>0.5</v>
      </c>
      <c r="AE103" s="38">
        <f>IF((ዕቁብ!AF105/ቦኖ!$C$4&gt;0),(1/2),0)</f>
        <v>0.5</v>
      </c>
      <c r="AF103" s="38">
        <f>IF((ዕቁብ!AG105/ቦኖ!$C$4&gt;0),(1/2),0)</f>
        <v>0.5</v>
      </c>
      <c r="AG103" s="38">
        <f>IF((ዕቁብ!AH105/ቦኖ!$C$4&gt;0),(1/2),0)</f>
        <v>0.5</v>
      </c>
      <c r="AH103" s="38">
        <f>IF((ዕቁብ!AI105/ቦኖ!$C$4&gt;0),(1/2),0)</f>
        <v>0.5</v>
      </c>
      <c r="AI103" s="38">
        <f>IF((ዕቁብ!AJ105/ቦኖ!$C$4&gt;0),(1/2),0)</f>
        <v>0.5</v>
      </c>
      <c r="AJ103" s="38">
        <f>IF((ዕቁብ!AK105/ቦኖ!$C$4&gt;0),(1/2),0)</f>
        <v>0.5</v>
      </c>
      <c r="AK103" s="38">
        <f>IF((ዕቁብ!AL105/ቦኖ!$C$4&gt;0),(1/2),0)</f>
        <v>0.5</v>
      </c>
      <c r="AL103" s="38">
        <f>IF((ዕቁብ!AM105/ቦኖ!$C$4&gt;0),(1/2),0)</f>
        <v>0.5</v>
      </c>
      <c r="AM103" s="38">
        <f>IF((ዕቁብ!AN105/ቦኖ!$C$4&gt;0),(1/2),0)</f>
        <v>0.5</v>
      </c>
      <c r="AN103" s="38">
        <f>IF((ዕቁብ!AO105/ቦኖ!$C$4&gt;0),(1/2),0)</f>
        <v>0.5</v>
      </c>
      <c r="AO103" s="38">
        <f>IF((ዕቁብ!AP105/ቦኖ!$C$4&gt;0),(1/2),0)</f>
        <v>0.5</v>
      </c>
      <c r="AP103" s="38">
        <f>IF((ዕቁብ!AQ105/ቦኖ!$C$4&gt;0),(1/2),0)</f>
        <v>0.5</v>
      </c>
      <c r="AQ103" s="38">
        <f>IF((ዕቁብ!AR105/ቦኖ!$C$4&gt;0),(1/2),0)</f>
        <v>0.5</v>
      </c>
      <c r="AR103" s="38">
        <f>IF((ዕቁብ!AS105/ቦኖ!$C$4&gt;0),(1/2),0)</f>
        <v>0.5</v>
      </c>
      <c r="AS103" s="38">
        <f>IF((ዕቁብ!AT105/ቦኖ!$C$4&gt;0),(1/2),0)</f>
        <v>0.5</v>
      </c>
      <c r="AT103" s="38">
        <f>IF((ዕቁብ!AU105/ቦኖ!$C$4&gt;0),(1/2),0)</f>
        <v>0.5</v>
      </c>
      <c r="AU103" s="38">
        <f>IF((ዕቁብ!AV105/ቦኖ!$C$4&gt;0),(1/2),0)</f>
        <v>0.5</v>
      </c>
      <c r="AV103" s="38">
        <f>IF((ዕቁብ!AW105/ቦኖ!$C$4&gt;0),(1/2),0)</f>
        <v>0.5</v>
      </c>
      <c r="AW103" s="38">
        <f>IF((ዕቁብ!AX105/ቦኖ!$C$4&gt;0),(1/2),0)</f>
        <v>0.5</v>
      </c>
      <c r="AX103" s="38">
        <f>IF((ዕቁብ!AY105/ቦኖ!$C$4&gt;0),(1/2),0)</f>
        <v>0.5</v>
      </c>
      <c r="AY103" s="38">
        <f>IF((ዕቁብ!AZ105/ቦኖ!$C$4&gt;0),(1/2),0)</f>
        <v>0.5</v>
      </c>
      <c r="AZ103" s="38">
        <f>IF((ዕቁብ!BA105/ቦኖ!$C$4&gt;0),(1/2),0)</f>
        <v>0.5</v>
      </c>
      <c r="BA103" s="38">
        <f>IF((ዕቁብ!BB105/ቦኖ!$C$4&gt;0),(1/2),0)</f>
        <v>0</v>
      </c>
      <c r="BB103" s="38">
        <f>IF((ዕቁብ!BC105/ቦኖ!$C$4&gt;0),(1/2),0)</f>
        <v>0</v>
      </c>
      <c r="BC103" s="38">
        <f>IF((ዕቁብ!BD105/ቦኖ!$C$4&gt;0),(1/2),0)</f>
        <v>0.5</v>
      </c>
      <c r="BD103" s="38">
        <f>IF((ዕቁብ!BE105/ቦኖ!$C$4&gt;0),(1/2),0)</f>
        <v>0.5</v>
      </c>
      <c r="BE103" s="38">
        <f>IF((ዕቁብ!BF105/ቦኖ!$C$4&gt;0),(1/2),0)</f>
        <v>0</v>
      </c>
      <c r="BF103" s="38">
        <f>IF((ዕቁብ!BG105/ቦኖ!$C$4&gt;0),(1/2),0)</f>
        <v>0.5</v>
      </c>
      <c r="BG103" s="38">
        <f>IF((ዕቁብ!BH105/ቦኖ!$C$4&gt;0),(1/2),0)</f>
        <v>0.5</v>
      </c>
      <c r="BH103" s="38">
        <f>IF((ዕቁብ!BI105/ቦኖ!$C$4&gt;0),(1/2),0)</f>
        <v>0.5</v>
      </c>
      <c r="BI103" s="38">
        <f>IF((ዕቁብ!BJ105/ቦኖ!$C$4&gt;0),(1/2),0)</f>
        <v>0.5</v>
      </c>
      <c r="BJ103" s="38">
        <f>IF((ዕቁብ!BK105/ቦኖ!$C$4&gt;0),(1/2),0)</f>
        <v>0.5</v>
      </c>
      <c r="BK103" s="38">
        <f>IF((ዕቁብ!BL105/ቦኖ!$C$4&gt;0),(1/2),0)</f>
        <v>0.5</v>
      </c>
      <c r="BL103" s="38">
        <f>IF((ዕቁብ!BM105/ቦኖ!$C$4&gt;0),(1/2),0)</f>
        <v>0.5</v>
      </c>
      <c r="BM103" s="38">
        <f>IF((ዕቁብ!BN105/ቦኖ!$C$4&gt;0),(1/2),0)</f>
        <v>0</v>
      </c>
      <c r="BN103" s="38">
        <f>IF((ዕቁብ!BO105/ቦኖ!$C$4&gt;0),(1/2),0)</f>
        <v>0.5</v>
      </c>
      <c r="BO103" s="38">
        <f>IF((ዕቁብ!BP105/ቦኖ!$C$4&gt;0),(1/2),0)</f>
        <v>0.5</v>
      </c>
      <c r="BP103" s="38">
        <f>IF((ዕቁብ!BQ105/ቦኖ!$C$4&gt;0),(1/2),0)</f>
        <v>0.5</v>
      </c>
      <c r="BQ103" s="38">
        <f>IF((ዕቁብ!BR105/ቦኖ!$C$4&gt;0),(1/2),0)</f>
        <v>0.5</v>
      </c>
      <c r="BR103" s="38">
        <f>IF((ዕቁብ!BS105/ቦኖ!$C$4&gt;0),(1/2),0)</f>
        <v>0.5</v>
      </c>
      <c r="BS103" s="38">
        <f>IF((ዕቁብ!BT105/ቦኖ!$C$4&gt;0),(1/2),0)</f>
        <v>0.5</v>
      </c>
      <c r="BT103" s="38">
        <f>IF((ዕቁብ!BU105/ቦኖ!$C$4&gt;0),(1/2),0)</f>
        <v>0.5</v>
      </c>
      <c r="BU103" s="38">
        <f>IF((ዕቁብ!BV105/ቦኖ!$C$4&gt;0),(1/2),0)</f>
        <v>0.5</v>
      </c>
      <c r="BV103" s="38">
        <f>IF((ዕቁብ!BW105/ቦኖ!$C$4&gt;0),(1/2),0)</f>
        <v>0.5</v>
      </c>
      <c r="BW103" s="38">
        <f>IF((ዕቁብ!BX105/ቦኖ!$C$4&gt;0),(1/2),0)</f>
        <v>0.5</v>
      </c>
      <c r="BX103" s="38">
        <f>IF((ዕቁብ!BY105/ቦኖ!$C$4&gt;0),(1/2),0)</f>
        <v>0.5</v>
      </c>
      <c r="BY103" s="38">
        <f>IF((ዕቁብ!BZ105/ቦኖ!$C$4&gt;0),(1/2),0)</f>
        <v>0.5</v>
      </c>
      <c r="BZ103" s="38">
        <f>IF((ዕቁብ!CA105/ቦኖ!$C$4&gt;0),(1/2),0)</f>
        <v>0.5</v>
      </c>
      <c r="CA103" s="38">
        <f>IF((ዕቁብ!CB105/ቦኖ!$C$4&gt;0),(1/2),0)</f>
        <v>0</v>
      </c>
      <c r="CB103" s="38">
        <f>IF((ዕቁብ!CC105/ቦኖ!$C$4&gt;0),(1/2),0)</f>
        <v>0.5</v>
      </c>
      <c r="CC103" s="38">
        <f>IF((ዕቁብ!CD105/ቦኖ!$C$4&gt;0),(1/2),0)</f>
        <v>0</v>
      </c>
      <c r="CD103" s="38">
        <f>IF((ዕቁብ!CE105/ቦኖ!$C$4&gt;0),(1/2),0)</f>
        <v>0</v>
      </c>
      <c r="CE103" s="38">
        <f>IF((ዕቁብ!CF105/ቦኖ!$C$4&gt;0),(1/2),0)</f>
        <v>0.5</v>
      </c>
      <c r="CF103" s="38">
        <f>IF((ዕቁብ!CG105/ቦኖ!$C$4&gt;0),(1/2),0)</f>
        <v>0</v>
      </c>
      <c r="CG103" s="38">
        <f>IF((ዕቁብ!CH105/ቦኖ!$C$4&gt;0),(1/2),0)</f>
        <v>0.5</v>
      </c>
      <c r="CH103" s="38">
        <f>IF((ዕቁብ!CI105/ቦኖ!$C$4&gt;0),(1/2),0)</f>
        <v>0.5</v>
      </c>
      <c r="CI103" s="38">
        <f>IF((ዕቁብ!CJ105/ቦኖ!$C$4&gt;0),(1/2),0)</f>
        <v>0.5</v>
      </c>
      <c r="CJ103" s="38">
        <f>IF((ዕቁብ!CK105/ቦኖ!$C$4&gt;0),(1/2),0)</f>
        <v>0.5</v>
      </c>
      <c r="CK103" s="38">
        <f>IF((ዕቁብ!CL105/ቦኖ!$C$4&gt;0),(1/2),0)</f>
        <v>0</v>
      </c>
      <c r="CL103" s="38">
        <f>IF((ዕቁብ!CM105/ቦኖ!$C$4&gt;0),(1/2),0)</f>
        <v>0.5</v>
      </c>
      <c r="CM103" s="38">
        <f>IF((ዕቁብ!CN105/ቦኖ!$C$4&gt;0),(1/2),0)</f>
        <v>0.5</v>
      </c>
      <c r="CN103" s="38">
        <f>IF((ዕቁብ!CO105/ቦኖ!$C$4&gt;0),(1/2),0)</f>
        <v>0.5</v>
      </c>
      <c r="CO103" s="38">
        <f>IF((ዕቁብ!CP105/ቦኖ!$C$4&gt;0),(1/2),0)</f>
        <v>0</v>
      </c>
      <c r="CP103" s="38">
        <f>IF((ዕቁብ!CQ105/ቦኖ!$C$4&gt;0),(1/2),0)</f>
        <v>0.5</v>
      </c>
      <c r="CQ103" s="38">
        <f>IF((ዕቁብ!CR105/ቦኖ!$C$4&gt;0),(1/2),0)</f>
        <v>0.5</v>
      </c>
      <c r="CR103" s="38">
        <f>IF((ዕቁብ!CS105/ቦኖ!$C$4&gt;0),(1/2),0)</f>
        <v>0.5</v>
      </c>
      <c r="CS103" s="38">
        <f>IF((ዕቁብ!CT105/ቦኖ!$C$4&gt;0),(1/2),0)</f>
        <v>0.5</v>
      </c>
      <c r="CT103" s="38">
        <f>IF((ዕቁብ!CU105/ቦኖ!$C$4&gt;0),(1/2),0)</f>
        <v>0.5</v>
      </c>
      <c r="CU103" s="38">
        <f>IF((ዕቁብ!CV105/ቦኖ!$C$4&gt;0),(1/2),0)</f>
        <v>0.5</v>
      </c>
      <c r="CV103" s="38">
        <f>IF((ዕቁብ!CW105/ቦኖ!$C$4&gt;0),(1/2),0)</f>
        <v>0</v>
      </c>
      <c r="CW103" s="38">
        <f>IF((ዕቁብ!CX105/ቦኖ!$C$4&gt;0),(1/2),0)</f>
        <v>0.5</v>
      </c>
      <c r="CX103" s="38">
        <f>IF((ዕቁብ!CY105/ቦኖ!$C$4&gt;0),(1/2),0)</f>
        <v>0</v>
      </c>
      <c r="CY103" s="38">
        <f>IF((ዕቁብ!CZ105/ቦኖ!$C$4&gt;0),(1/2),0)</f>
        <v>0</v>
      </c>
      <c r="CZ103" s="38">
        <f>IF((ዕቁብ!DA105/ቦኖ!$C$4&gt;0),(1/2),0)</f>
        <v>0.5</v>
      </c>
      <c r="DA103" s="38">
        <f>IF((ዕቁብ!DB105/ቦኖ!$C$4&gt;0),(1/2),0)</f>
        <v>0.5</v>
      </c>
      <c r="DB103" s="38">
        <f>IF((ዕቁብ!DC105/ቦኖ!$C$4&gt;0),(1/2),0)</f>
        <v>0</v>
      </c>
      <c r="DC103" s="38">
        <f>IF((ዕቁብ!DD105/ቦኖ!$C$4&gt;0),(1/2),0)</f>
        <v>0.5</v>
      </c>
      <c r="DD103" s="38">
        <f>IF((ዕቁብ!DE105/ቦኖ!$C$4&gt;0),(1/2),0)</f>
        <v>0.5</v>
      </c>
      <c r="DE103" s="38">
        <f>IF((ዕቁብ!DF105/ቦኖ!$C$4&gt;0),(1/2),0)</f>
        <v>0</v>
      </c>
      <c r="DF103" s="38">
        <f>IF((ዕቁብ!DG105/ቦኖ!$C$4&gt;0),(1/2),0)</f>
        <v>0</v>
      </c>
      <c r="DG103" s="38">
        <f>IF((ዕቁብ!DH105/ቦኖ!$C$4&gt;0),(1/2),0)</f>
        <v>0.5</v>
      </c>
      <c r="DH103" s="38">
        <f>IF((ዕቁብ!DI105/ቦኖ!$C$4&gt;0),(1/2),0)</f>
        <v>0</v>
      </c>
      <c r="DI103" s="38">
        <f>IF((ዕቁብ!DJ105/ቦኖ!$C$4&gt;0),(1/2),0)</f>
        <v>0</v>
      </c>
      <c r="DJ103" s="38">
        <f>IF((ዕቁብ!DK105/ቦኖ!$C$4&gt;0),(1/2),0)</f>
        <v>0</v>
      </c>
      <c r="DK103" s="38">
        <f>IF((ዕቁብ!DL105/ቦኖ!$C$4&gt;0),(1/2),0)</f>
        <v>0</v>
      </c>
      <c r="DL103" s="38">
        <f>IF((ዕቁብ!DM105/ቦኖ!$C$4&gt;0),(1/2),0)</f>
        <v>0</v>
      </c>
      <c r="DM103" s="38">
        <f>IF((ዕቁብ!DN105/ቦኖ!$C$4&gt;0),(1/2),0)</f>
        <v>0</v>
      </c>
      <c r="DN103" s="38">
        <f>IF((ዕቁብ!DO105/ቦኖ!$C$4&gt;0),(1/2),0)</f>
        <v>0</v>
      </c>
      <c r="DO103" s="38">
        <f>IF((ዕቁብ!DP105/ቦኖ!$C$4&gt;0),(1/2),0)</f>
        <v>0</v>
      </c>
      <c r="DP103" s="38">
        <f>IF((ዕቁብ!DQ105/ቦኖ!$C$4&gt;0),(1/2),0)</f>
        <v>0</v>
      </c>
      <c r="DQ103" s="38">
        <f>IF((ዕቁብ!DR105/ቦኖ!$C$4&gt;0),(1/2),0)</f>
        <v>0</v>
      </c>
    </row>
    <row r="104" spans="1:121" ht="15.75" customHeight="1" x14ac:dyDescent="0.3">
      <c r="A104" s="33">
        <f>ዕቁብ!A106</f>
        <v>97</v>
      </c>
      <c r="B104" s="33" t="str">
        <f>ዕቁብ!B106</f>
        <v xml:space="preserve">ሙሄድን አህመድ </v>
      </c>
      <c r="C104" s="37">
        <f>ዕቁብ!C106</f>
        <v>10500</v>
      </c>
      <c r="D104" s="38">
        <f>IF((ዕቁብ!E106/ቦኖ!$C$4&gt;0),(1/2),0)</f>
        <v>0.5</v>
      </c>
      <c r="E104" s="38">
        <f>IF((ዕቁብ!F106/ቦኖ!$C$4&gt;0),(1/2),0)</f>
        <v>0.5</v>
      </c>
      <c r="F104" s="38">
        <f>IF((ዕቁብ!G106/ቦኖ!$C$4&gt;0),(1/2),0)</f>
        <v>0.5</v>
      </c>
      <c r="G104" s="38">
        <f>IF((ዕቁብ!H106/ቦኖ!$C$4&gt;0),(1/2),0)</f>
        <v>0.5</v>
      </c>
      <c r="H104" s="38">
        <f>IF((ዕቁብ!I106/ቦኖ!$C$4&gt;0),(1/2),0)</f>
        <v>0.5</v>
      </c>
      <c r="I104" s="38">
        <f>IF((ዕቁብ!J106/ቦኖ!$C$4&gt;0),(1/2),0)</f>
        <v>0.5</v>
      </c>
      <c r="J104" s="38">
        <f>IF((ዕቁብ!K106/ቦኖ!$C$4&gt;0),(1/2),0)</f>
        <v>0.5</v>
      </c>
      <c r="K104" s="38">
        <f>IF((ዕቁብ!L106/ቦኖ!$C$4&gt;0),(1/2),0)</f>
        <v>0.5</v>
      </c>
      <c r="L104" s="38">
        <f>IF((ዕቁብ!M106/ቦኖ!$C$4&gt;0),(1/2),0)</f>
        <v>0.5</v>
      </c>
      <c r="M104" s="38">
        <f>IF((ዕቁብ!N106/ቦኖ!$C$4&gt;0),(1/2),0)</f>
        <v>0.5</v>
      </c>
      <c r="N104" s="38">
        <f>IF((ዕቁብ!O106/ቦኖ!$C$4&gt;0),(1/2),0)</f>
        <v>0.5</v>
      </c>
      <c r="O104" s="38">
        <f>IF((ዕቁብ!P106/ቦኖ!$C$4&gt;0),(1/2),0)</f>
        <v>0.5</v>
      </c>
      <c r="P104" s="38">
        <f>IF((ዕቁብ!Q106/ቦኖ!$C$4&gt;0),(1/2),0)</f>
        <v>0.5</v>
      </c>
      <c r="Q104" s="38">
        <f>IF((ዕቁብ!R106/ቦኖ!$C$4&gt;0),(1/2),0)</f>
        <v>0.5</v>
      </c>
      <c r="R104" s="38">
        <f>IF((ዕቁብ!S106/ቦኖ!$C$4&gt;0),(1/2),0)</f>
        <v>0.5</v>
      </c>
      <c r="S104" s="38">
        <f>IF((ዕቁብ!T106/ቦኖ!$C$4&gt;0),(1/2),0)</f>
        <v>0.5</v>
      </c>
      <c r="T104" s="38">
        <f>IF((ዕቁብ!U106/ቦኖ!$C$4&gt;0),(1/2),0)</f>
        <v>0.5</v>
      </c>
      <c r="U104" s="38">
        <f>IF((ዕቁብ!V106/ቦኖ!$C$4&gt;0),(1/2),0)</f>
        <v>0.5</v>
      </c>
      <c r="V104" s="38">
        <f>IF((ዕቁብ!W106/ቦኖ!$C$4&gt;0),(1/2),0)</f>
        <v>0.5</v>
      </c>
      <c r="W104" s="38">
        <f>IF((ዕቁብ!X106/ቦኖ!$C$4&gt;0),(1/2),0)</f>
        <v>0.5</v>
      </c>
      <c r="X104" s="38">
        <f>IF((ዕቁብ!Y106/ቦኖ!$C$4&gt;0),(1/2),0)</f>
        <v>0.5</v>
      </c>
      <c r="Y104" s="38">
        <f>IF((ዕቁብ!Z106/ቦኖ!$C$4&gt;0),(1/2),0)</f>
        <v>0.5</v>
      </c>
      <c r="Z104" s="38">
        <f>IF((ዕቁብ!AA106/ቦኖ!$C$4&gt;0),(1/2),0)</f>
        <v>0.5</v>
      </c>
      <c r="AA104" s="38">
        <f>IF((ዕቁብ!AB106/ቦኖ!$C$4&gt;0),(1/2),0)</f>
        <v>0.5</v>
      </c>
      <c r="AB104" s="38">
        <f>IF((ዕቁብ!AC106/ቦኖ!$C$4&gt;0),(1/2),0)</f>
        <v>0.5</v>
      </c>
      <c r="AC104" s="38">
        <f>IF((ዕቁብ!AD106/ቦኖ!$C$4&gt;0),(1/2),0)</f>
        <v>0.5</v>
      </c>
      <c r="AD104" s="38">
        <f>IF((ዕቁብ!AE106/ቦኖ!$C$4&gt;0),(1/2),0)</f>
        <v>0.5</v>
      </c>
      <c r="AE104" s="38">
        <f>IF((ዕቁብ!AF106/ቦኖ!$C$4&gt;0),(1/2),0)</f>
        <v>0.5</v>
      </c>
      <c r="AF104" s="38">
        <f>IF((ዕቁብ!AG106/ቦኖ!$C$4&gt;0),(1/2),0)</f>
        <v>0.5</v>
      </c>
      <c r="AG104" s="38">
        <f>IF((ዕቁብ!AH106/ቦኖ!$C$4&gt;0),(1/2),0)</f>
        <v>0.5</v>
      </c>
      <c r="AH104" s="38">
        <f>IF((ዕቁብ!AI106/ቦኖ!$C$4&gt;0),(1/2),0)</f>
        <v>0</v>
      </c>
      <c r="AI104" s="38">
        <f>IF((ዕቁብ!AJ106/ቦኖ!$C$4&gt;0),(1/2),0)</f>
        <v>0.5</v>
      </c>
      <c r="AJ104" s="38">
        <f>IF((ዕቁብ!AK106/ቦኖ!$C$4&gt;0),(1/2),0)</f>
        <v>0.5</v>
      </c>
      <c r="AK104" s="38">
        <f>IF((ዕቁብ!AL106/ቦኖ!$C$4&gt;0),(1/2),0)</f>
        <v>0.5</v>
      </c>
      <c r="AL104" s="38">
        <f>IF((ዕቁብ!AM106/ቦኖ!$C$4&gt;0),(1/2),0)</f>
        <v>0.5</v>
      </c>
      <c r="AM104" s="38">
        <f>IF((ዕቁብ!AN106/ቦኖ!$C$4&gt;0),(1/2),0)</f>
        <v>0.5</v>
      </c>
      <c r="AN104" s="38">
        <f>IF((ዕቁብ!AO106/ቦኖ!$C$4&gt;0),(1/2),0)</f>
        <v>0.5</v>
      </c>
      <c r="AO104" s="38">
        <f>IF((ዕቁብ!AP106/ቦኖ!$C$4&gt;0),(1/2),0)</f>
        <v>0.5</v>
      </c>
      <c r="AP104" s="38">
        <f>IF((ዕቁብ!AQ106/ቦኖ!$C$4&gt;0),(1/2),0)</f>
        <v>0.5</v>
      </c>
      <c r="AQ104" s="38">
        <f>IF((ዕቁብ!AR106/ቦኖ!$C$4&gt;0),(1/2),0)</f>
        <v>0.5</v>
      </c>
      <c r="AR104" s="38">
        <f>IF((ዕቁብ!AS106/ቦኖ!$C$4&gt;0),(1/2),0)</f>
        <v>0.5</v>
      </c>
      <c r="AS104" s="38">
        <f>IF((ዕቁብ!AT106/ቦኖ!$C$4&gt;0),(1/2),0)</f>
        <v>0</v>
      </c>
      <c r="AT104" s="38">
        <f>IF((ዕቁብ!AU106/ቦኖ!$C$4&gt;0),(1/2),0)</f>
        <v>0</v>
      </c>
      <c r="AU104" s="38">
        <f>IF((ዕቁብ!AV106/ቦኖ!$C$4&gt;0),(1/2),0)</f>
        <v>0.5</v>
      </c>
      <c r="AV104" s="38">
        <f>IF((ዕቁብ!AW106/ቦኖ!$C$4&gt;0),(1/2),0)</f>
        <v>0</v>
      </c>
      <c r="AW104" s="38">
        <f>IF((ዕቁብ!AX106/ቦኖ!$C$4&gt;0),(1/2),0)</f>
        <v>0</v>
      </c>
      <c r="AX104" s="38">
        <f>IF((ዕቁብ!AY106/ቦኖ!$C$4&gt;0),(1/2),0)</f>
        <v>0</v>
      </c>
      <c r="AY104" s="38">
        <f>IF((ዕቁብ!AZ106/ቦኖ!$C$4&gt;0),(1/2),0)</f>
        <v>0</v>
      </c>
      <c r="AZ104" s="38">
        <f>IF((ዕቁብ!BA106/ቦኖ!$C$4&gt;0),(1/2),0)</f>
        <v>0.5</v>
      </c>
      <c r="BA104" s="38">
        <f>IF((ዕቁብ!BB106/ቦኖ!$C$4&gt;0),(1/2),0)</f>
        <v>0</v>
      </c>
      <c r="BB104" s="38">
        <f>IF((ዕቁብ!BC106/ቦኖ!$C$4&gt;0),(1/2),0)</f>
        <v>0</v>
      </c>
      <c r="BC104" s="38">
        <f>IF((ዕቁብ!BD106/ቦኖ!$C$4&gt;0),(1/2),0)</f>
        <v>0.5</v>
      </c>
      <c r="BD104" s="38">
        <f>IF((ዕቁብ!BE106/ቦኖ!$C$4&gt;0),(1/2),0)</f>
        <v>0.5</v>
      </c>
      <c r="BE104" s="38">
        <f>IF((ዕቁብ!BF106/ቦኖ!$C$4&gt;0),(1/2),0)</f>
        <v>0</v>
      </c>
      <c r="BF104" s="38">
        <f>IF((ዕቁብ!BG106/ቦኖ!$C$4&gt;0),(1/2),0)</f>
        <v>0.5</v>
      </c>
      <c r="BG104" s="38">
        <f>IF((ዕቁብ!BH106/ቦኖ!$C$4&gt;0),(1/2),0)</f>
        <v>0</v>
      </c>
      <c r="BH104" s="38">
        <f>IF((ዕቁብ!BI106/ቦኖ!$C$4&gt;0),(1/2),0)</f>
        <v>0</v>
      </c>
      <c r="BI104" s="38">
        <f>IF((ዕቁብ!BJ106/ቦኖ!$C$4&gt;0),(1/2),0)</f>
        <v>0</v>
      </c>
      <c r="BJ104" s="38">
        <f>IF((ዕቁብ!BK106/ቦኖ!$C$4&gt;0),(1/2),0)</f>
        <v>0</v>
      </c>
      <c r="BK104" s="38">
        <f>IF((ዕቁብ!BL106/ቦኖ!$C$4&gt;0),(1/2),0)</f>
        <v>0</v>
      </c>
      <c r="BL104" s="38">
        <f>IF((ዕቁብ!BM106/ቦኖ!$C$4&gt;0),(1/2),0)</f>
        <v>0.5</v>
      </c>
      <c r="BM104" s="38">
        <f>IF((ዕቁብ!BN106/ቦኖ!$C$4&gt;0),(1/2),0)</f>
        <v>0</v>
      </c>
      <c r="BN104" s="38">
        <f>IF((ዕቁብ!BO106/ቦኖ!$C$4&gt;0),(1/2),0)</f>
        <v>0</v>
      </c>
      <c r="BO104" s="38">
        <f>IF((ዕቁብ!BP106/ቦኖ!$C$4&gt;0),(1/2),0)</f>
        <v>0</v>
      </c>
      <c r="BP104" s="38">
        <f>IF((ዕቁብ!BQ106/ቦኖ!$C$4&gt;0),(1/2),0)</f>
        <v>0</v>
      </c>
      <c r="BQ104" s="38">
        <f>IF((ዕቁብ!BR106/ቦኖ!$C$4&gt;0),(1/2),0)</f>
        <v>0</v>
      </c>
      <c r="BR104" s="38">
        <f>IF((ዕቁብ!BS106/ቦኖ!$C$4&gt;0),(1/2),0)</f>
        <v>0</v>
      </c>
      <c r="BS104" s="38">
        <f>IF((ዕቁብ!BT106/ቦኖ!$C$4&gt;0),(1/2),0)</f>
        <v>0.5</v>
      </c>
      <c r="BT104" s="38">
        <f>IF((ዕቁብ!BU106/ቦኖ!$C$4&gt;0),(1/2),0)</f>
        <v>0</v>
      </c>
      <c r="BU104" s="38">
        <f>IF((ዕቁብ!BV106/ቦኖ!$C$4&gt;0),(1/2),0)</f>
        <v>0</v>
      </c>
      <c r="BV104" s="38">
        <f>IF((ዕቁብ!BW106/ቦኖ!$C$4&gt;0),(1/2),0)</f>
        <v>0</v>
      </c>
      <c r="BW104" s="38">
        <f>IF((ዕቁብ!BX106/ቦኖ!$C$4&gt;0),(1/2),0)</f>
        <v>0</v>
      </c>
      <c r="BX104" s="38">
        <f>IF((ዕቁብ!BY106/ቦኖ!$C$4&gt;0),(1/2),0)</f>
        <v>0.5</v>
      </c>
      <c r="BY104" s="38">
        <f>IF((ዕቁብ!BZ106/ቦኖ!$C$4&gt;0),(1/2),0)</f>
        <v>0</v>
      </c>
      <c r="BZ104" s="38">
        <f>IF((ዕቁብ!CA106/ቦኖ!$C$4&gt;0),(1/2),0)</f>
        <v>0.5</v>
      </c>
      <c r="CA104" s="38">
        <f>IF((ዕቁብ!CB106/ቦኖ!$C$4&gt;0),(1/2),0)</f>
        <v>0</v>
      </c>
      <c r="CB104" s="38">
        <f>IF((ዕቁብ!CC106/ቦኖ!$C$4&gt;0),(1/2),0)</f>
        <v>0</v>
      </c>
      <c r="CC104" s="38">
        <f>IF((ዕቁብ!CD106/ቦኖ!$C$4&gt;0),(1/2),0)</f>
        <v>0</v>
      </c>
      <c r="CD104" s="38">
        <f>IF((ዕቁብ!CE106/ቦኖ!$C$4&gt;0),(1/2),0)</f>
        <v>0</v>
      </c>
      <c r="CE104" s="38">
        <f>IF((ዕቁብ!CF106/ቦኖ!$C$4&gt;0),(1/2),0)</f>
        <v>0</v>
      </c>
      <c r="CF104" s="38">
        <f>IF((ዕቁብ!CG106/ቦኖ!$C$4&gt;0),(1/2),0)</f>
        <v>0</v>
      </c>
      <c r="CG104" s="38">
        <f>IF((ዕቁብ!CH106/ቦኖ!$C$4&gt;0),(1/2),0)</f>
        <v>0</v>
      </c>
      <c r="CH104" s="38">
        <f>IF((ዕቁብ!CI106/ቦኖ!$C$4&gt;0),(1/2),0)</f>
        <v>0</v>
      </c>
      <c r="CI104" s="38">
        <f>IF((ዕቁብ!CJ106/ቦኖ!$C$4&gt;0),(1/2),0)</f>
        <v>0</v>
      </c>
      <c r="CJ104" s="38">
        <f>IF((ዕቁብ!CK106/ቦኖ!$C$4&gt;0),(1/2),0)</f>
        <v>0</v>
      </c>
      <c r="CK104" s="38">
        <f>IF((ዕቁብ!CL106/ቦኖ!$C$4&gt;0),(1/2),0)</f>
        <v>0.5</v>
      </c>
      <c r="CL104" s="38">
        <f>IF((ዕቁብ!CM106/ቦኖ!$C$4&gt;0),(1/2),0)</f>
        <v>0.5</v>
      </c>
      <c r="CM104" s="38">
        <f>IF((ዕቁብ!CN106/ቦኖ!$C$4&gt;0),(1/2),0)</f>
        <v>0</v>
      </c>
      <c r="CN104" s="38">
        <f>IF((ዕቁብ!CO106/ቦኖ!$C$4&gt;0),(1/2),0)</f>
        <v>0</v>
      </c>
      <c r="CO104" s="38">
        <f>IF((ዕቁብ!CP106/ቦኖ!$C$4&gt;0),(1/2),0)</f>
        <v>0.5</v>
      </c>
      <c r="CP104" s="38">
        <f>IF((ዕቁብ!CQ106/ቦኖ!$C$4&gt;0),(1/2),0)</f>
        <v>0.5</v>
      </c>
      <c r="CQ104" s="38">
        <f>IF((ዕቁብ!CR106/ቦኖ!$C$4&gt;0),(1/2),0)</f>
        <v>0</v>
      </c>
      <c r="CR104" s="38">
        <f>IF((ዕቁብ!CS106/ቦኖ!$C$4&gt;0),(1/2),0)</f>
        <v>0</v>
      </c>
      <c r="CS104" s="38">
        <f>IF((ዕቁብ!CT106/ቦኖ!$C$4&gt;0),(1/2),0)</f>
        <v>0</v>
      </c>
      <c r="CT104" s="38">
        <f>IF((ዕቁብ!CU106/ቦኖ!$C$4&gt;0),(1/2),0)</f>
        <v>0</v>
      </c>
      <c r="CU104" s="38">
        <f>IF((ዕቁብ!CV106/ቦኖ!$C$4&gt;0),(1/2),0)</f>
        <v>0</v>
      </c>
      <c r="CV104" s="38">
        <f>IF((ዕቁብ!CW106/ቦኖ!$C$4&gt;0),(1/2),0)</f>
        <v>0</v>
      </c>
      <c r="CW104" s="38">
        <f>IF((ዕቁብ!CX106/ቦኖ!$C$4&gt;0),(1/2),0)</f>
        <v>0</v>
      </c>
      <c r="CX104" s="38">
        <f>IF((ዕቁብ!CY106/ቦኖ!$C$4&gt;0),(1/2),0)</f>
        <v>0</v>
      </c>
      <c r="CY104" s="38">
        <f>IF((ዕቁብ!CZ106/ቦኖ!$C$4&gt;0),(1/2),0)</f>
        <v>0</v>
      </c>
      <c r="CZ104" s="38">
        <f>IF((ዕቁብ!DA106/ቦኖ!$C$4&gt;0),(1/2),0)</f>
        <v>0</v>
      </c>
      <c r="DA104" s="38">
        <f>IF((ዕቁብ!DB106/ቦኖ!$C$4&gt;0),(1/2),0)</f>
        <v>0</v>
      </c>
      <c r="DB104" s="38">
        <f>IF((ዕቁብ!DC106/ቦኖ!$C$4&gt;0),(1/2),0)</f>
        <v>0</v>
      </c>
      <c r="DC104" s="38">
        <f>IF((ዕቁብ!DD106/ቦኖ!$C$4&gt;0),(1/2),0)</f>
        <v>0</v>
      </c>
      <c r="DD104" s="38">
        <f>IF((ዕቁብ!DE106/ቦኖ!$C$4&gt;0),(1/2),0)</f>
        <v>0</v>
      </c>
      <c r="DE104" s="38">
        <f>IF((ዕቁብ!DF106/ቦኖ!$C$4&gt;0),(1/2),0)</f>
        <v>0</v>
      </c>
      <c r="DF104" s="38">
        <f>IF((ዕቁብ!DG106/ቦኖ!$C$4&gt;0),(1/2),0)</f>
        <v>0</v>
      </c>
      <c r="DG104" s="38">
        <f>IF((ዕቁብ!DH106/ቦኖ!$C$4&gt;0),(1/2),0)</f>
        <v>0</v>
      </c>
      <c r="DH104" s="38">
        <f>IF((ዕቁብ!DI106/ቦኖ!$C$4&gt;0),(1/2),0)</f>
        <v>0</v>
      </c>
      <c r="DI104" s="38">
        <f>IF((ዕቁብ!DJ106/ቦኖ!$C$4&gt;0),(1/2),0)</f>
        <v>0</v>
      </c>
      <c r="DJ104" s="38">
        <f>IF((ዕቁብ!DK106/ቦኖ!$C$4&gt;0),(1/2),0)</f>
        <v>0</v>
      </c>
      <c r="DK104" s="38">
        <f>IF((ዕቁብ!DL106/ቦኖ!$C$4&gt;0),(1/2),0)</f>
        <v>0</v>
      </c>
      <c r="DL104" s="38">
        <f>IF((ዕቁብ!DM106/ቦኖ!$C$4&gt;0),(1/2),0)</f>
        <v>0</v>
      </c>
      <c r="DM104" s="38">
        <f>IF((ዕቁብ!DN106/ቦኖ!$C$4&gt;0),(1/2),0)</f>
        <v>0</v>
      </c>
      <c r="DN104" s="38">
        <f>IF((ዕቁብ!DO106/ቦኖ!$C$4&gt;0),(1/2),0)</f>
        <v>0</v>
      </c>
      <c r="DO104" s="38">
        <f>IF((ዕቁብ!DP106/ቦኖ!$C$4&gt;0),(1/2),0)</f>
        <v>0</v>
      </c>
      <c r="DP104" s="38">
        <f>IF((ዕቁብ!DQ106/ቦኖ!$C$4&gt;0),(1/2),0)</f>
        <v>0</v>
      </c>
      <c r="DQ104" s="38">
        <f>IF((ዕቁብ!DR106/ቦኖ!$C$4&gt;0),(1/2),0)</f>
        <v>0</v>
      </c>
    </row>
    <row r="105" spans="1:121" ht="15.75" customHeight="1" x14ac:dyDescent="0.3">
      <c r="A105" s="33">
        <f>ዕቁብ!A107</f>
        <v>97</v>
      </c>
      <c r="B105" s="33" t="str">
        <f>ዕቁብ!B107</f>
        <v xml:space="preserve">እዮብ ደርቤ </v>
      </c>
      <c r="C105" s="37">
        <f>ዕቁብ!C107</f>
        <v>10500</v>
      </c>
      <c r="D105" s="38">
        <f>IF((ዕቁብ!E107/ቦኖ!$C$4&gt;0),(1/2),0)</f>
        <v>0.5</v>
      </c>
      <c r="E105" s="38">
        <f>IF((ዕቁብ!F107/ቦኖ!$C$4&gt;0),(1/2),0)</f>
        <v>0.5</v>
      </c>
      <c r="F105" s="38">
        <f>IF((ዕቁብ!G107/ቦኖ!$C$4&gt;0),(1/2),0)</f>
        <v>0.5</v>
      </c>
      <c r="G105" s="38">
        <f>IF((ዕቁብ!H107/ቦኖ!$C$4&gt;0),(1/2),0)</f>
        <v>0.5</v>
      </c>
      <c r="H105" s="38">
        <f>IF((ዕቁብ!I107/ቦኖ!$C$4&gt;0),(1/2),0)</f>
        <v>0.5</v>
      </c>
      <c r="I105" s="38">
        <f>IF((ዕቁብ!J107/ቦኖ!$C$4&gt;0),(1/2),0)</f>
        <v>0.5</v>
      </c>
      <c r="J105" s="38">
        <f>IF((ዕቁብ!K107/ቦኖ!$C$4&gt;0),(1/2),0)</f>
        <v>0.5</v>
      </c>
      <c r="K105" s="38">
        <f>IF((ዕቁብ!L107/ቦኖ!$C$4&gt;0),(1/2),0)</f>
        <v>0.5</v>
      </c>
      <c r="L105" s="38">
        <f>IF((ዕቁብ!M107/ቦኖ!$C$4&gt;0),(1/2),0)</f>
        <v>0.5</v>
      </c>
      <c r="M105" s="38">
        <f>IF((ዕቁብ!N107/ቦኖ!$C$4&gt;0),(1/2),0)</f>
        <v>0.5</v>
      </c>
      <c r="N105" s="38">
        <f>IF((ዕቁብ!O107/ቦኖ!$C$4&gt;0),(1/2),0)</f>
        <v>0.5</v>
      </c>
      <c r="O105" s="38">
        <f>IF((ዕቁብ!P107/ቦኖ!$C$4&gt;0),(1/2),0)</f>
        <v>0.5</v>
      </c>
      <c r="P105" s="38">
        <f>IF((ዕቁብ!Q107/ቦኖ!$C$4&gt;0),(1/2),0)</f>
        <v>0.5</v>
      </c>
      <c r="Q105" s="38">
        <f>IF((ዕቁብ!R107/ቦኖ!$C$4&gt;0),(1/2),0)</f>
        <v>0.5</v>
      </c>
      <c r="R105" s="38">
        <f>IF((ዕቁብ!S107/ቦኖ!$C$4&gt;0),(1/2),0)</f>
        <v>0.5</v>
      </c>
      <c r="S105" s="38">
        <f>IF((ዕቁብ!T107/ቦኖ!$C$4&gt;0),(1/2),0)</f>
        <v>0.5</v>
      </c>
      <c r="T105" s="38">
        <f>IF((ዕቁብ!U107/ቦኖ!$C$4&gt;0),(1/2),0)</f>
        <v>0.5</v>
      </c>
      <c r="U105" s="38">
        <f>IF((ዕቁብ!V107/ቦኖ!$C$4&gt;0),(1/2),0)</f>
        <v>0.5</v>
      </c>
      <c r="V105" s="38">
        <f>IF((ዕቁብ!W107/ቦኖ!$C$4&gt;0),(1/2),0)</f>
        <v>0.5</v>
      </c>
      <c r="W105" s="38">
        <f>IF((ዕቁብ!X107/ቦኖ!$C$4&gt;0),(1/2),0)</f>
        <v>0.5</v>
      </c>
      <c r="X105" s="38">
        <f>IF((ዕቁብ!Y107/ቦኖ!$C$4&gt;0),(1/2),0)</f>
        <v>0.5</v>
      </c>
      <c r="Y105" s="38">
        <f>IF((ዕቁብ!Z107/ቦኖ!$C$4&gt;0),(1/2),0)</f>
        <v>0.5</v>
      </c>
      <c r="Z105" s="38">
        <f>IF((ዕቁብ!AA107/ቦኖ!$C$4&gt;0),(1/2),0)</f>
        <v>0.5</v>
      </c>
      <c r="AA105" s="38">
        <f>IF((ዕቁብ!AB107/ቦኖ!$C$4&gt;0),(1/2),0)</f>
        <v>0.5</v>
      </c>
      <c r="AB105" s="38">
        <f>IF((ዕቁብ!AC107/ቦኖ!$C$4&gt;0),(1/2),0)</f>
        <v>0.5</v>
      </c>
      <c r="AC105" s="38">
        <f>IF((ዕቁብ!AD107/ቦኖ!$C$4&gt;0),(1/2),0)</f>
        <v>0.5</v>
      </c>
      <c r="AD105" s="38">
        <f>IF((ዕቁብ!AE107/ቦኖ!$C$4&gt;0),(1/2),0)</f>
        <v>0.5</v>
      </c>
      <c r="AE105" s="38">
        <f>IF((ዕቁብ!AF107/ቦኖ!$C$4&gt;0),(1/2),0)</f>
        <v>0.5</v>
      </c>
      <c r="AF105" s="38">
        <f>IF((ዕቁብ!AG107/ቦኖ!$C$4&gt;0),(1/2),0)</f>
        <v>0.5</v>
      </c>
      <c r="AG105" s="38">
        <f>IF((ዕቁብ!AH107/ቦኖ!$C$4&gt;0),(1/2),0)</f>
        <v>0.5</v>
      </c>
      <c r="AH105" s="38">
        <f>IF((ዕቁብ!AI107/ቦኖ!$C$4&gt;0),(1/2),0)</f>
        <v>0.5</v>
      </c>
      <c r="AI105" s="38">
        <f>IF((ዕቁብ!AJ107/ቦኖ!$C$4&gt;0),(1/2),0)</f>
        <v>0.5</v>
      </c>
      <c r="AJ105" s="38">
        <f>IF((ዕቁብ!AK107/ቦኖ!$C$4&gt;0),(1/2),0)</f>
        <v>0.5</v>
      </c>
      <c r="AK105" s="38">
        <f>IF((ዕቁብ!AL107/ቦኖ!$C$4&gt;0),(1/2),0)</f>
        <v>0.5</v>
      </c>
      <c r="AL105" s="38">
        <f>IF((ዕቁብ!AM107/ቦኖ!$C$4&gt;0),(1/2),0)</f>
        <v>0.5</v>
      </c>
      <c r="AM105" s="38">
        <f>IF((ዕቁብ!AN107/ቦኖ!$C$4&gt;0),(1/2),0)</f>
        <v>0.5</v>
      </c>
      <c r="AN105" s="38">
        <f>IF((ዕቁብ!AO107/ቦኖ!$C$4&gt;0),(1/2),0)</f>
        <v>0.5</v>
      </c>
      <c r="AO105" s="38">
        <f>IF((ዕቁብ!AP107/ቦኖ!$C$4&gt;0),(1/2),0)</f>
        <v>0</v>
      </c>
      <c r="AP105" s="38">
        <f>IF((ዕቁብ!AQ107/ቦኖ!$C$4&gt;0),(1/2),0)</f>
        <v>0.5</v>
      </c>
      <c r="AQ105" s="38">
        <f>IF((ዕቁብ!AR107/ቦኖ!$C$4&gt;0),(1/2),0)</f>
        <v>0.5</v>
      </c>
      <c r="AR105" s="38">
        <f>IF((ዕቁብ!AS107/ቦኖ!$C$4&gt;0),(1/2),0)</f>
        <v>0.5</v>
      </c>
      <c r="AS105" s="38">
        <f>IF((ዕቁብ!AT107/ቦኖ!$C$4&gt;0),(1/2),0)</f>
        <v>0.5</v>
      </c>
      <c r="AT105" s="38">
        <f>IF((ዕቁብ!AU107/ቦኖ!$C$4&gt;0),(1/2),0)</f>
        <v>0.5</v>
      </c>
      <c r="AU105" s="38">
        <f>IF((ዕቁብ!AV107/ቦኖ!$C$4&gt;0),(1/2),0)</f>
        <v>0.5</v>
      </c>
      <c r="AV105" s="38">
        <f>IF((ዕቁብ!AW107/ቦኖ!$C$4&gt;0),(1/2),0)</f>
        <v>0.5</v>
      </c>
      <c r="AW105" s="38">
        <f>IF((ዕቁብ!AX107/ቦኖ!$C$4&gt;0),(1/2),0)</f>
        <v>0.5</v>
      </c>
      <c r="AX105" s="38">
        <f>IF((ዕቁብ!AY107/ቦኖ!$C$4&gt;0),(1/2),0)</f>
        <v>0.5</v>
      </c>
      <c r="AY105" s="38">
        <f>IF((ዕቁብ!AZ107/ቦኖ!$C$4&gt;0),(1/2),0)</f>
        <v>0.5</v>
      </c>
      <c r="AZ105" s="38">
        <f>IF((ዕቁብ!BA107/ቦኖ!$C$4&gt;0),(1/2),0)</f>
        <v>0.5</v>
      </c>
      <c r="BA105" s="38">
        <f>IF((ዕቁብ!BB107/ቦኖ!$C$4&gt;0),(1/2),0)</f>
        <v>0.5</v>
      </c>
      <c r="BB105" s="38">
        <f>IF((ዕቁብ!BC107/ቦኖ!$C$4&gt;0),(1/2),0)</f>
        <v>0.5</v>
      </c>
      <c r="BC105" s="38">
        <f>IF((ዕቁብ!BD107/ቦኖ!$C$4&gt;0),(1/2),0)</f>
        <v>0.5</v>
      </c>
      <c r="BD105" s="38">
        <f>IF((ዕቁብ!BE107/ቦኖ!$C$4&gt;0),(1/2),0)</f>
        <v>0.5</v>
      </c>
      <c r="BE105" s="38">
        <f>IF((ዕቁብ!BF107/ቦኖ!$C$4&gt;0),(1/2),0)</f>
        <v>0</v>
      </c>
      <c r="BF105" s="38">
        <f>IF((ዕቁብ!BG107/ቦኖ!$C$4&gt;0),(1/2),0)</f>
        <v>0.5</v>
      </c>
      <c r="BG105" s="38">
        <f>IF((ዕቁብ!BH107/ቦኖ!$C$4&gt;0),(1/2),0)</f>
        <v>0</v>
      </c>
      <c r="BH105" s="38">
        <f>IF((ዕቁብ!BI107/ቦኖ!$C$4&gt;0),(1/2),0)</f>
        <v>0.5</v>
      </c>
      <c r="BI105" s="38">
        <f>IF((ዕቁብ!BJ107/ቦኖ!$C$4&gt;0),(1/2),0)</f>
        <v>0.5</v>
      </c>
      <c r="BJ105" s="38">
        <f>IF((ዕቁብ!BK107/ቦኖ!$C$4&gt;0),(1/2),0)</f>
        <v>0.5</v>
      </c>
      <c r="BK105" s="38">
        <f>IF((ዕቁብ!BL107/ቦኖ!$C$4&gt;0),(1/2),0)</f>
        <v>0.5</v>
      </c>
      <c r="BL105" s="38">
        <f>IF((ዕቁብ!BM107/ቦኖ!$C$4&gt;0),(1/2),0)</f>
        <v>0.5</v>
      </c>
      <c r="BM105" s="38">
        <f>IF((ዕቁብ!BN107/ቦኖ!$C$4&gt;0),(1/2),0)</f>
        <v>0.5</v>
      </c>
      <c r="BN105" s="38">
        <f>IF((ዕቁብ!BO107/ቦኖ!$C$4&gt;0),(1/2),0)</f>
        <v>0.5</v>
      </c>
      <c r="BO105" s="38">
        <f>IF((ዕቁብ!BP107/ቦኖ!$C$4&gt;0),(1/2),0)</f>
        <v>0.5</v>
      </c>
      <c r="BP105" s="38">
        <f>IF((ዕቁብ!BQ107/ቦኖ!$C$4&gt;0),(1/2),0)</f>
        <v>0.5</v>
      </c>
      <c r="BQ105" s="38">
        <f>IF((ዕቁብ!BR107/ቦኖ!$C$4&gt;0),(1/2),0)</f>
        <v>0.5</v>
      </c>
      <c r="BR105" s="38">
        <f>IF((ዕቁብ!BS107/ቦኖ!$C$4&gt;0),(1/2),0)</f>
        <v>0.5</v>
      </c>
      <c r="BS105" s="38">
        <f>IF((ዕቁብ!BT107/ቦኖ!$C$4&gt;0),(1/2),0)</f>
        <v>0.5</v>
      </c>
      <c r="BT105" s="38">
        <f>IF((ዕቁብ!BU107/ቦኖ!$C$4&gt;0),(1/2),0)</f>
        <v>0.5</v>
      </c>
      <c r="BU105" s="38">
        <f>IF((ዕቁብ!BV107/ቦኖ!$C$4&gt;0),(1/2),0)</f>
        <v>0.5</v>
      </c>
      <c r="BV105" s="38">
        <f>IF((ዕቁብ!BW107/ቦኖ!$C$4&gt;0),(1/2),0)</f>
        <v>0</v>
      </c>
      <c r="BW105" s="38">
        <f>IF((ዕቁብ!BX107/ቦኖ!$C$4&gt;0),(1/2),0)</f>
        <v>0.5</v>
      </c>
      <c r="BX105" s="38">
        <f>IF((ዕቁብ!BY107/ቦኖ!$C$4&gt;0),(1/2),0)</f>
        <v>0.5</v>
      </c>
      <c r="BY105" s="38">
        <f>IF((ዕቁብ!BZ107/ቦኖ!$C$4&gt;0),(1/2),0)</f>
        <v>0.5</v>
      </c>
      <c r="BZ105" s="38">
        <f>IF((ዕቁብ!CA107/ቦኖ!$C$4&gt;0),(1/2),0)</f>
        <v>0.5</v>
      </c>
      <c r="CA105" s="38">
        <f>IF((ዕቁብ!CB107/ቦኖ!$C$4&gt;0),(1/2),0)</f>
        <v>0.5</v>
      </c>
      <c r="CB105" s="38">
        <f>IF((ዕቁብ!CC107/ቦኖ!$C$4&gt;0),(1/2),0)</f>
        <v>0.5</v>
      </c>
      <c r="CC105" s="38">
        <f>IF((ዕቁብ!CD107/ቦኖ!$C$4&gt;0),(1/2),0)</f>
        <v>0</v>
      </c>
      <c r="CD105" s="38">
        <f>IF((ዕቁብ!CE107/ቦኖ!$C$4&gt;0),(1/2),0)</f>
        <v>0.5</v>
      </c>
      <c r="CE105" s="38">
        <f>IF((ዕቁብ!CF107/ቦኖ!$C$4&gt;0),(1/2),0)</f>
        <v>0.5</v>
      </c>
      <c r="CF105" s="38">
        <f>IF((ዕቁብ!CG107/ቦኖ!$C$4&gt;0),(1/2),0)</f>
        <v>0.5</v>
      </c>
      <c r="CG105" s="38">
        <f>IF((ዕቁብ!CH107/ቦኖ!$C$4&gt;0),(1/2),0)</f>
        <v>0.5</v>
      </c>
      <c r="CH105" s="38">
        <f>IF((ዕቁብ!CI107/ቦኖ!$C$4&gt;0),(1/2),0)</f>
        <v>0.5</v>
      </c>
      <c r="CI105" s="38">
        <f>IF((ዕቁብ!CJ107/ቦኖ!$C$4&gt;0),(1/2),0)</f>
        <v>0</v>
      </c>
      <c r="CJ105" s="38">
        <f>IF((ዕቁብ!CK107/ቦኖ!$C$4&gt;0),(1/2),0)</f>
        <v>0.5</v>
      </c>
      <c r="CK105" s="38">
        <f>IF((ዕቁብ!CL107/ቦኖ!$C$4&gt;0),(1/2),0)</f>
        <v>0</v>
      </c>
      <c r="CL105" s="38">
        <f>IF((ዕቁብ!CM107/ቦኖ!$C$4&gt;0),(1/2),0)</f>
        <v>0.5</v>
      </c>
      <c r="CM105" s="38">
        <f>IF((ዕቁብ!CN107/ቦኖ!$C$4&gt;0),(1/2),0)</f>
        <v>0</v>
      </c>
      <c r="CN105" s="38">
        <f>IF((ዕቁብ!CO107/ቦኖ!$C$4&gt;0),(1/2),0)</f>
        <v>0</v>
      </c>
      <c r="CO105" s="38">
        <f>IF((ዕቁብ!CP107/ቦኖ!$C$4&gt;0),(1/2),0)</f>
        <v>0</v>
      </c>
      <c r="CP105" s="38">
        <f>IF((ዕቁብ!CQ107/ቦኖ!$C$4&gt;0),(1/2),0)</f>
        <v>0</v>
      </c>
      <c r="CQ105" s="38">
        <f>IF((ዕቁብ!CR107/ቦኖ!$C$4&gt;0),(1/2),0)</f>
        <v>0</v>
      </c>
      <c r="CR105" s="38">
        <f>IF((ዕቁብ!CS107/ቦኖ!$C$4&gt;0),(1/2),0)</f>
        <v>0.5</v>
      </c>
      <c r="CS105" s="38">
        <f>IF((ዕቁብ!CT107/ቦኖ!$C$4&gt;0),(1/2),0)</f>
        <v>0</v>
      </c>
      <c r="CT105" s="38">
        <f>IF((ዕቁብ!CU107/ቦኖ!$C$4&gt;0),(1/2),0)</f>
        <v>0</v>
      </c>
      <c r="CU105" s="38">
        <f>IF((ዕቁብ!CV107/ቦኖ!$C$4&gt;0),(1/2),0)</f>
        <v>0</v>
      </c>
      <c r="CV105" s="38">
        <f>IF((ዕቁብ!CW107/ቦኖ!$C$4&gt;0),(1/2),0)</f>
        <v>0</v>
      </c>
      <c r="CW105" s="38">
        <f>IF((ዕቁብ!CX107/ቦኖ!$C$4&gt;0),(1/2),0)</f>
        <v>0</v>
      </c>
      <c r="CX105" s="38">
        <f>IF((ዕቁብ!CY107/ቦኖ!$C$4&gt;0),(1/2),0)</f>
        <v>0</v>
      </c>
      <c r="CY105" s="38">
        <f>IF((ዕቁብ!CZ107/ቦኖ!$C$4&gt;0),(1/2),0)</f>
        <v>0</v>
      </c>
      <c r="CZ105" s="38">
        <f>IF((ዕቁብ!DA107/ቦኖ!$C$4&gt;0),(1/2),0)</f>
        <v>0</v>
      </c>
      <c r="DA105" s="38">
        <f>IF((ዕቁብ!DB107/ቦኖ!$C$4&gt;0),(1/2),0)</f>
        <v>0</v>
      </c>
      <c r="DB105" s="38">
        <f>IF((ዕቁብ!DC107/ቦኖ!$C$4&gt;0),(1/2),0)</f>
        <v>0</v>
      </c>
      <c r="DC105" s="38">
        <f>IF((ዕቁብ!DD107/ቦኖ!$C$4&gt;0),(1/2),0)</f>
        <v>0</v>
      </c>
      <c r="DD105" s="38">
        <f>IF((ዕቁብ!DE107/ቦኖ!$C$4&gt;0),(1/2),0)</f>
        <v>0</v>
      </c>
      <c r="DE105" s="38">
        <f>IF((ዕቁብ!DF107/ቦኖ!$C$4&gt;0),(1/2),0)</f>
        <v>0</v>
      </c>
      <c r="DF105" s="38">
        <f>IF((ዕቁብ!DG107/ቦኖ!$C$4&gt;0),(1/2),0)</f>
        <v>0</v>
      </c>
      <c r="DG105" s="38">
        <f>IF((ዕቁብ!DH107/ቦኖ!$C$4&gt;0),(1/2),0)</f>
        <v>0</v>
      </c>
      <c r="DH105" s="38">
        <f>IF((ዕቁብ!DI107/ቦኖ!$C$4&gt;0),(1/2),0)</f>
        <v>0</v>
      </c>
      <c r="DI105" s="38">
        <f>IF((ዕቁብ!DJ107/ቦኖ!$C$4&gt;0),(1/2),0)</f>
        <v>0</v>
      </c>
      <c r="DJ105" s="38">
        <f>IF((ዕቁብ!DK107/ቦኖ!$C$4&gt;0),(1/2),0)</f>
        <v>0</v>
      </c>
      <c r="DK105" s="38">
        <f>IF((ዕቁብ!DL107/ቦኖ!$C$4&gt;0),(1/2),0)</f>
        <v>0</v>
      </c>
      <c r="DL105" s="38">
        <f>IF((ዕቁብ!DM107/ቦኖ!$C$4&gt;0),(1/2),0)</f>
        <v>0</v>
      </c>
      <c r="DM105" s="38">
        <f>IF((ዕቁብ!DN107/ቦኖ!$C$4&gt;0),(1/2),0)</f>
        <v>0</v>
      </c>
      <c r="DN105" s="38">
        <f>IF((ዕቁብ!DO107/ቦኖ!$C$4&gt;0),(1/2),0)</f>
        <v>0</v>
      </c>
      <c r="DO105" s="38">
        <f>IF((ዕቁብ!DP107/ቦኖ!$C$4&gt;0),(1/2),0)</f>
        <v>0</v>
      </c>
      <c r="DP105" s="38">
        <f>IF((ዕቁብ!DQ107/ቦኖ!$C$4&gt;0),(1/2),0)</f>
        <v>0</v>
      </c>
      <c r="DQ105" s="38">
        <f>IF((ዕቁብ!DR107/ቦኖ!$C$4&gt;0),(1/2),0)</f>
        <v>0</v>
      </c>
    </row>
    <row r="106" spans="1:121" ht="15.75" customHeight="1" x14ac:dyDescent="0.3">
      <c r="A106" s="33">
        <f>ዕቁብ!A108</f>
        <v>98</v>
      </c>
      <c r="B106" s="33" t="str">
        <f>ዕቁብ!B108</f>
        <v>ኢትዮጽያ አንዳርጌ</v>
      </c>
      <c r="C106" s="37">
        <f>ዕቁብ!C108</f>
        <v>10500</v>
      </c>
      <c r="D106" s="38">
        <f>IF((ዕቁብ!E108/ቦኖ!$C$4&gt;0),(1/2),0)</f>
        <v>0.5</v>
      </c>
      <c r="E106" s="38">
        <f>IF((ዕቁብ!F108/ቦኖ!$C$4&gt;0),(1/2),0)</f>
        <v>0.5</v>
      </c>
      <c r="F106" s="38">
        <f>IF((ዕቁብ!G108/ቦኖ!$C$4&gt;0),(1/2),0)</f>
        <v>0.5</v>
      </c>
      <c r="G106" s="38">
        <f>IF((ዕቁብ!H108/ቦኖ!$C$4&gt;0),(1/2),0)</f>
        <v>0.5</v>
      </c>
      <c r="H106" s="38">
        <f>IF((ዕቁብ!I108/ቦኖ!$C$4&gt;0),(1/2),0)</f>
        <v>0.5</v>
      </c>
      <c r="I106" s="38">
        <f>IF((ዕቁብ!J108/ቦኖ!$C$4&gt;0),(1/2),0)</f>
        <v>0.5</v>
      </c>
      <c r="J106" s="38">
        <f>IF((ዕቁብ!K108/ቦኖ!$C$4&gt;0),(1/2),0)</f>
        <v>0.5</v>
      </c>
      <c r="K106" s="38">
        <f>IF((ዕቁብ!L108/ቦኖ!$C$4&gt;0),(1/2),0)</f>
        <v>0.5</v>
      </c>
      <c r="L106" s="38">
        <f>IF((ዕቁብ!M108/ቦኖ!$C$4&gt;0),(1/2),0)</f>
        <v>0.5</v>
      </c>
      <c r="M106" s="38">
        <f>IF((ዕቁብ!N108/ቦኖ!$C$4&gt;0),(1/2),0)</f>
        <v>0.5</v>
      </c>
      <c r="N106" s="38">
        <f>IF((ዕቁብ!O108/ቦኖ!$C$4&gt;0),(1/2),0)</f>
        <v>0.5</v>
      </c>
      <c r="O106" s="38">
        <f>IF((ዕቁብ!P108/ቦኖ!$C$4&gt;0),(1/2),0)</f>
        <v>0.5</v>
      </c>
      <c r="P106" s="38">
        <f>IF((ዕቁብ!Q108/ቦኖ!$C$4&gt;0),(1/2),0)</f>
        <v>0.5</v>
      </c>
      <c r="Q106" s="38">
        <f>IF((ዕቁብ!R108/ቦኖ!$C$4&gt;0),(1/2),0)</f>
        <v>0.5</v>
      </c>
      <c r="R106" s="38">
        <f>IF((ዕቁብ!S108/ቦኖ!$C$4&gt;0),(1/2),0)</f>
        <v>0.5</v>
      </c>
      <c r="S106" s="38">
        <f>IF((ዕቁብ!T108/ቦኖ!$C$4&gt;0),(1/2),0)</f>
        <v>0.5</v>
      </c>
      <c r="T106" s="38">
        <f>IF((ዕቁብ!U108/ቦኖ!$C$4&gt;0),(1/2),0)</f>
        <v>0.5</v>
      </c>
      <c r="U106" s="38">
        <f>IF((ዕቁብ!V108/ቦኖ!$C$4&gt;0),(1/2),0)</f>
        <v>0.5</v>
      </c>
      <c r="V106" s="38">
        <f>IF((ዕቁብ!W108/ቦኖ!$C$4&gt;0),(1/2),0)</f>
        <v>0.5</v>
      </c>
      <c r="W106" s="38">
        <f>IF((ዕቁብ!X108/ቦኖ!$C$4&gt;0),(1/2),0)</f>
        <v>0.5</v>
      </c>
      <c r="X106" s="38">
        <f>IF((ዕቁብ!Y108/ቦኖ!$C$4&gt;0),(1/2),0)</f>
        <v>0.5</v>
      </c>
      <c r="Y106" s="38">
        <f>IF((ዕቁብ!Z108/ቦኖ!$C$4&gt;0),(1/2),0)</f>
        <v>0.5</v>
      </c>
      <c r="Z106" s="38">
        <f>IF((ዕቁብ!AA108/ቦኖ!$C$4&gt;0),(1/2),0)</f>
        <v>0.5</v>
      </c>
      <c r="AA106" s="38">
        <f>IF((ዕቁብ!AB108/ቦኖ!$C$4&gt;0),(1/2),0)</f>
        <v>0.5</v>
      </c>
      <c r="AB106" s="38">
        <f>IF((ዕቁብ!AC108/ቦኖ!$C$4&gt;0),(1/2),0)</f>
        <v>0</v>
      </c>
      <c r="AC106" s="38">
        <f>IF((ዕቁብ!AD108/ቦኖ!$C$4&gt;0),(1/2),0)</f>
        <v>0.5</v>
      </c>
      <c r="AD106" s="38">
        <f>IF((ዕቁብ!AE108/ቦኖ!$C$4&gt;0),(1/2),0)</f>
        <v>0.5</v>
      </c>
      <c r="AE106" s="38">
        <f>IF((ዕቁብ!AF108/ቦኖ!$C$4&gt;0),(1/2),0)</f>
        <v>0.5</v>
      </c>
      <c r="AF106" s="38">
        <f>IF((ዕቁብ!AG108/ቦኖ!$C$4&gt;0),(1/2),0)</f>
        <v>0.5</v>
      </c>
      <c r="AG106" s="38">
        <f>IF((ዕቁብ!AH108/ቦኖ!$C$4&gt;0),(1/2),0)</f>
        <v>0</v>
      </c>
      <c r="AH106" s="38">
        <f>IF((ዕቁብ!AI108/ቦኖ!$C$4&gt;0),(1/2),0)</f>
        <v>0.5</v>
      </c>
      <c r="AI106" s="38">
        <f>IF((ዕቁብ!AJ108/ቦኖ!$C$4&gt;0),(1/2),0)</f>
        <v>0.5</v>
      </c>
      <c r="AJ106" s="38">
        <f>IF((ዕቁብ!AK108/ቦኖ!$C$4&gt;0),(1/2),0)</f>
        <v>0</v>
      </c>
      <c r="AK106" s="38">
        <f>IF((ዕቁብ!AL108/ቦኖ!$C$4&gt;0),(1/2),0)</f>
        <v>0.5</v>
      </c>
      <c r="AL106" s="38">
        <f>IF((ዕቁብ!AM108/ቦኖ!$C$4&gt;0),(1/2),0)</f>
        <v>0</v>
      </c>
      <c r="AM106" s="38">
        <f>IF((ዕቁብ!AN108/ቦኖ!$C$4&gt;0),(1/2),0)</f>
        <v>0.5</v>
      </c>
      <c r="AN106" s="38">
        <f>IF((ዕቁብ!AO108/ቦኖ!$C$4&gt;0),(1/2),0)</f>
        <v>0</v>
      </c>
      <c r="AO106" s="38">
        <f>IF((ዕቁብ!AP108/ቦኖ!$C$4&gt;0),(1/2),0)</f>
        <v>0.5</v>
      </c>
      <c r="AP106" s="38">
        <f>IF((ዕቁብ!AQ108/ቦኖ!$C$4&gt;0),(1/2),0)</f>
        <v>0.5</v>
      </c>
      <c r="AQ106" s="38">
        <f>IF((ዕቁብ!AR108/ቦኖ!$C$4&gt;0),(1/2),0)</f>
        <v>0.5</v>
      </c>
      <c r="AR106" s="38">
        <f>IF((ዕቁብ!AS108/ቦኖ!$C$4&gt;0),(1/2),0)</f>
        <v>0.5</v>
      </c>
      <c r="AS106" s="38">
        <f>IF((ዕቁብ!AT108/ቦኖ!$C$4&gt;0),(1/2),0)</f>
        <v>0.5</v>
      </c>
      <c r="AT106" s="38">
        <f>IF((ዕቁብ!AU108/ቦኖ!$C$4&gt;0),(1/2),0)</f>
        <v>0.5</v>
      </c>
      <c r="AU106" s="38">
        <f>IF((ዕቁብ!AV108/ቦኖ!$C$4&gt;0),(1/2),0)</f>
        <v>0</v>
      </c>
      <c r="AV106" s="38">
        <f>IF((ዕቁብ!AW108/ቦኖ!$C$4&gt;0),(1/2),0)</f>
        <v>0.5</v>
      </c>
      <c r="AW106" s="38">
        <f>IF((ዕቁብ!AX108/ቦኖ!$C$4&gt;0),(1/2),0)</f>
        <v>0.5</v>
      </c>
      <c r="AX106" s="38">
        <f>IF((ዕቁብ!AY108/ቦኖ!$C$4&gt;0),(1/2),0)</f>
        <v>0.5</v>
      </c>
      <c r="AY106" s="38">
        <f>IF((ዕቁብ!AZ108/ቦኖ!$C$4&gt;0),(1/2),0)</f>
        <v>0.5</v>
      </c>
      <c r="AZ106" s="38">
        <f>IF((ዕቁብ!BA108/ቦኖ!$C$4&gt;0),(1/2),0)</f>
        <v>0</v>
      </c>
      <c r="BA106" s="38">
        <f>IF((ዕቁብ!BB108/ቦኖ!$C$4&gt;0),(1/2),0)</f>
        <v>0.5</v>
      </c>
      <c r="BB106" s="38">
        <f>IF((ዕቁብ!BC108/ቦኖ!$C$4&gt;0),(1/2),0)</f>
        <v>0.5</v>
      </c>
      <c r="BC106" s="38">
        <f>IF((ዕቁብ!BD108/ቦኖ!$C$4&gt;0),(1/2),0)</f>
        <v>0.5</v>
      </c>
      <c r="BD106" s="38">
        <f>IF((ዕቁብ!BE108/ቦኖ!$C$4&gt;0),(1/2),0)</f>
        <v>0</v>
      </c>
      <c r="BE106" s="38">
        <f>IF((ዕቁብ!BF108/ቦኖ!$C$4&gt;0),(1/2),0)</f>
        <v>0.5</v>
      </c>
      <c r="BF106" s="38">
        <f>IF((ዕቁብ!BG108/ቦኖ!$C$4&gt;0),(1/2),0)</f>
        <v>0.5</v>
      </c>
      <c r="BG106" s="38">
        <f>IF((ዕቁብ!BH108/ቦኖ!$C$4&gt;0),(1/2),0)</f>
        <v>0.5</v>
      </c>
      <c r="BH106" s="38">
        <f>IF((ዕቁብ!BI108/ቦኖ!$C$4&gt;0),(1/2),0)</f>
        <v>0.5</v>
      </c>
      <c r="BI106" s="38">
        <f>IF((ዕቁብ!BJ108/ቦኖ!$C$4&gt;0),(1/2),0)</f>
        <v>0.5</v>
      </c>
      <c r="BJ106" s="38">
        <f>IF((ዕቁብ!BK108/ቦኖ!$C$4&gt;0),(1/2),0)</f>
        <v>0.5</v>
      </c>
      <c r="BK106" s="38">
        <f>IF((ዕቁብ!BL108/ቦኖ!$C$4&gt;0),(1/2),0)</f>
        <v>0.5</v>
      </c>
      <c r="BL106" s="38">
        <f>IF((ዕቁብ!BM108/ቦኖ!$C$4&gt;0),(1/2),0)</f>
        <v>0.5</v>
      </c>
      <c r="BM106" s="38">
        <f>IF((ዕቁብ!BN108/ቦኖ!$C$4&gt;0),(1/2),0)</f>
        <v>0</v>
      </c>
      <c r="BN106" s="38">
        <f>IF((ዕቁብ!BO108/ቦኖ!$C$4&gt;0),(1/2),0)</f>
        <v>0.5</v>
      </c>
      <c r="BO106" s="38">
        <f>IF((ዕቁብ!BP108/ቦኖ!$C$4&gt;0),(1/2),0)</f>
        <v>0</v>
      </c>
      <c r="BP106" s="38">
        <f>IF((ዕቁብ!BQ108/ቦኖ!$C$4&gt;0),(1/2),0)</f>
        <v>0.5</v>
      </c>
      <c r="BQ106" s="38">
        <f>IF((ዕቁብ!BR108/ቦኖ!$C$4&gt;0),(1/2),0)</f>
        <v>0.5</v>
      </c>
      <c r="BR106" s="38">
        <f>IF((ዕቁብ!BS108/ቦኖ!$C$4&gt;0),(1/2),0)</f>
        <v>0</v>
      </c>
      <c r="BS106" s="38">
        <f>IF((ዕቁብ!BT108/ቦኖ!$C$4&gt;0),(1/2),0)</f>
        <v>0.5</v>
      </c>
      <c r="BT106" s="38">
        <f>IF((ዕቁብ!BU108/ቦኖ!$C$4&gt;0),(1/2),0)</f>
        <v>0.5</v>
      </c>
      <c r="BU106" s="38">
        <f>IF((ዕቁብ!BV108/ቦኖ!$C$4&gt;0),(1/2),0)</f>
        <v>0.5</v>
      </c>
      <c r="BV106" s="38">
        <f>IF((ዕቁብ!BW108/ቦኖ!$C$4&gt;0),(1/2),0)</f>
        <v>0</v>
      </c>
      <c r="BW106" s="38">
        <f>IF((ዕቁብ!BX108/ቦኖ!$C$4&gt;0),(1/2),0)</f>
        <v>0.5</v>
      </c>
      <c r="BX106" s="38">
        <f>IF((ዕቁብ!BY108/ቦኖ!$C$4&gt;0),(1/2),0)</f>
        <v>0</v>
      </c>
      <c r="BY106" s="38">
        <f>IF((ዕቁብ!BZ108/ቦኖ!$C$4&gt;0),(1/2),0)</f>
        <v>0.5</v>
      </c>
      <c r="BZ106" s="38">
        <f>IF((ዕቁብ!CA108/ቦኖ!$C$4&gt;0),(1/2),0)</f>
        <v>0.5</v>
      </c>
      <c r="CA106" s="38">
        <f>IF((ዕቁብ!CB108/ቦኖ!$C$4&gt;0),(1/2),0)</f>
        <v>0</v>
      </c>
      <c r="CB106" s="38">
        <f>IF((ዕቁብ!CC108/ቦኖ!$C$4&gt;0),(1/2),0)</f>
        <v>0</v>
      </c>
      <c r="CC106" s="38">
        <f>IF((ዕቁብ!CD108/ቦኖ!$C$4&gt;0),(1/2),0)</f>
        <v>0.5</v>
      </c>
      <c r="CD106" s="38">
        <f>IF((ዕቁብ!CE108/ቦኖ!$C$4&gt;0),(1/2),0)</f>
        <v>0</v>
      </c>
      <c r="CE106" s="38">
        <f>IF((ዕቁብ!CF108/ቦኖ!$C$4&gt;0),(1/2),0)</f>
        <v>0.5</v>
      </c>
      <c r="CF106" s="38">
        <f>IF((ዕቁብ!CG108/ቦኖ!$C$4&gt;0),(1/2),0)</f>
        <v>0.5</v>
      </c>
      <c r="CG106" s="38">
        <f>IF((ዕቁብ!CH108/ቦኖ!$C$4&gt;0),(1/2),0)</f>
        <v>0.5</v>
      </c>
      <c r="CH106" s="38">
        <f>IF((ዕቁብ!CI108/ቦኖ!$C$4&gt;0),(1/2),0)</f>
        <v>0.5</v>
      </c>
      <c r="CI106" s="38">
        <f>IF((ዕቁብ!CJ108/ቦኖ!$C$4&gt;0),(1/2),0)</f>
        <v>0</v>
      </c>
      <c r="CJ106" s="38">
        <f>IF((ዕቁብ!CK108/ቦኖ!$C$4&gt;0),(1/2),0)</f>
        <v>0.5</v>
      </c>
      <c r="CK106" s="38">
        <f>IF((ዕቁብ!CL108/ቦኖ!$C$4&gt;0),(1/2),0)</f>
        <v>0</v>
      </c>
      <c r="CL106" s="38">
        <f>IF((ዕቁብ!CM108/ቦኖ!$C$4&gt;0),(1/2),0)</f>
        <v>0</v>
      </c>
      <c r="CM106" s="38">
        <f>IF((ዕቁብ!CN108/ቦኖ!$C$4&gt;0),(1/2),0)</f>
        <v>0.5</v>
      </c>
      <c r="CN106" s="38">
        <f>IF((ዕቁብ!CO108/ቦኖ!$C$4&gt;0),(1/2),0)</f>
        <v>0</v>
      </c>
      <c r="CO106" s="38">
        <f>IF((ዕቁብ!CP108/ቦኖ!$C$4&gt;0),(1/2),0)</f>
        <v>0</v>
      </c>
      <c r="CP106" s="38">
        <f>IF((ዕቁብ!CQ108/ቦኖ!$C$4&gt;0),(1/2),0)</f>
        <v>0.5</v>
      </c>
      <c r="CQ106" s="38">
        <f>IF((ዕቁብ!CR108/ቦኖ!$C$4&gt;0),(1/2),0)</f>
        <v>0</v>
      </c>
      <c r="CR106" s="38">
        <f>IF((ዕቁብ!CS108/ቦኖ!$C$4&gt;0),(1/2),0)</f>
        <v>0</v>
      </c>
      <c r="CS106" s="38">
        <f>IF((ዕቁብ!CT108/ቦኖ!$C$4&gt;0),(1/2),0)</f>
        <v>0.5</v>
      </c>
      <c r="CT106" s="38">
        <f>IF((ዕቁብ!CU108/ቦኖ!$C$4&gt;0),(1/2),0)</f>
        <v>0</v>
      </c>
      <c r="CU106" s="38">
        <f>IF((ዕቁብ!CV108/ቦኖ!$C$4&gt;0),(1/2),0)</f>
        <v>0</v>
      </c>
      <c r="CV106" s="38">
        <f>IF((ዕቁብ!CW108/ቦኖ!$C$4&gt;0),(1/2),0)</f>
        <v>0.5</v>
      </c>
      <c r="CW106" s="38">
        <f>IF((ዕቁብ!CX108/ቦኖ!$C$4&gt;0),(1/2),0)</f>
        <v>0.5</v>
      </c>
      <c r="CX106" s="38">
        <f>IF((ዕቁብ!CY108/ቦኖ!$C$4&gt;0),(1/2),0)</f>
        <v>0.5</v>
      </c>
      <c r="CY106" s="38">
        <f>IF((ዕቁብ!CZ108/ቦኖ!$C$4&gt;0),(1/2),0)</f>
        <v>0</v>
      </c>
      <c r="CZ106" s="38">
        <f>IF((ዕቁብ!DA108/ቦኖ!$C$4&gt;0),(1/2),0)</f>
        <v>0.5</v>
      </c>
      <c r="DA106" s="38">
        <f>IF((ዕቁብ!DB108/ቦኖ!$C$4&gt;0),(1/2),0)</f>
        <v>0</v>
      </c>
      <c r="DB106" s="38">
        <f>IF((ዕቁብ!DC108/ቦኖ!$C$4&gt;0),(1/2),0)</f>
        <v>0.5</v>
      </c>
      <c r="DC106" s="38">
        <f>IF((ዕቁብ!DD108/ቦኖ!$C$4&gt;0),(1/2),0)</f>
        <v>0.5</v>
      </c>
      <c r="DD106" s="38">
        <f>IF((ዕቁብ!DE108/ቦኖ!$C$4&gt;0),(1/2),0)</f>
        <v>0.5</v>
      </c>
      <c r="DE106" s="38">
        <f>IF((ዕቁብ!DF108/ቦኖ!$C$4&gt;0),(1/2),0)</f>
        <v>0</v>
      </c>
      <c r="DF106" s="38">
        <f>IF((ዕቁብ!DG108/ቦኖ!$C$4&gt;0),(1/2),0)</f>
        <v>0</v>
      </c>
      <c r="DG106" s="38">
        <f>IF((ዕቁብ!DH108/ቦኖ!$C$4&gt;0),(1/2),0)</f>
        <v>0</v>
      </c>
      <c r="DH106" s="38">
        <f>IF((ዕቁብ!DI108/ቦኖ!$C$4&gt;0),(1/2),0)</f>
        <v>0</v>
      </c>
      <c r="DI106" s="38">
        <f>IF((ዕቁብ!DJ108/ቦኖ!$C$4&gt;0),(1/2),0)</f>
        <v>0</v>
      </c>
      <c r="DJ106" s="38">
        <f>IF((ዕቁብ!DK108/ቦኖ!$C$4&gt;0),(1/2),0)</f>
        <v>0</v>
      </c>
      <c r="DK106" s="38">
        <f>IF((ዕቁብ!DL108/ቦኖ!$C$4&gt;0),(1/2),0)</f>
        <v>0</v>
      </c>
      <c r="DL106" s="38">
        <f>IF((ዕቁብ!DM108/ቦኖ!$C$4&gt;0),(1/2),0)</f>
        <v>0</v>
      </c>
      <c r="DM106" s="38">
        <f>IF((ዕቁብ!DN108/ቦኖ!$C$4&gt;0),(1/2),0)</f>
        <v>0</v>
      </c>
      <c r="DN106" s="38">
        <f>IF((ዕቁብ!DO108/ቦኖ!$C$4&gt;0),(1/2),0)</f>
        <v>0</v>
      </c>
      <c r="DO106" s="38">
        <f>IF((ዕቁብ!DP108/ቦኖ!$C$4&gt;0),(1/2),0)</f>
        <v>0</v>
      </c>
      <c r="DP106" s="38">
        <f>IF((ዕቁብ!DQ108/ቦኖ!$C$4&gt;0),(1/2),0)</f>
        <v>0</v>
      </c>
      <c r="DQ106" s="38">
        <f>IF((ዕቁብ!DR108/ቦኖ!$C$4&gt;0),(1/2),0)</f>
        <v>0</v>
      </c>
    </row>
    <row r="107" spans="1:121" ht="15.75" customHeight="1" x14ac:dyDescent="0.3">
      <c r="A107" s="33">
        <f>ዕቁብ!A109</f>
        <v>98</v>
      </c>
      <c r="B107" s="33" t="str">
        <f>ዕቁብ!B109</f>
        <v xml:space="preserve">ፀጋዬ ቡጤ </v>
      </c>
      <c r="C107" s="37">
        <f>ዕቁብ!C109</f>
        <v>10500</v>
      </c>
      <c r="D107" s="38">
        <f>IF((ዕቁብ!E109/ቦኖ!$C$4&gt;0),(1/2),0)</f>
        <v>0.5</v>
      </c>
      <c r="E107" s="38">
        <f>IF((ዕቁብ!F109/ቦኖ!$C$4&gt;0),(1/2),0)</f>
        <v>0.5</v>
      </c>
      <c r="F107" s="38">
        <f>IF((ዕቁብ!G109/ቦኖ!$C$4&gt;0),(1/2),0)</f>
        <v>0.5</v>
      </c>
      <c r="G107" s="38">
        <f>IF((ዕቁብ!H109/ቦኖ!$C$4&gt;0),(1/2),0)</f>
        <v>0.5</v>
      </c>
      <c r="H107" s="38">
        <f>IF((ዕቁብ!I109/ቦኖ!$C$4&gt;0),(1/2),0)</f>
        <v>0.5</v>
      </c>
      <c r="I107" s="38">
        <f>IF((ዕቁብ!J109/ቦኖ!$C$4&gt;0),(1/2),0)</f>
        <v>0.5</v>
      </c>
      <c r="J107" s="38">
        <f>IF((ዕቁብ!K109/ቦኖ!$C$4&gt;0),(1/2),0)</f>
        <v>0.5</v>
      </c>
      <c r="K107" s="38">
        <f>IF((ዕቁብ!L109/ቦኖ!$C$4&gt;0),(1/2),0)</f>
        <v>0.5</v>
      </c>
      <c r="L107" s="38">
        <f>IF((ዕቁብ!M109/ቦኖ!$C$4&gt;0),(1/2),0)</f>
        <v>0.5</v>
      </c>
      <c r="M107" s="38">
        <f>IF((ዕቁብ!N109/ቦኖ!$C$4&gt;0),(1/2),0)</f>
        <v>0.5</v>
      </c>
      <c r="N107" s="38">
        <f>IF((ዕቁብ!O109/ቦኖ!$C$4&gt;0),(1/2),0)</f>
        <v>0.5</v>
      </c>
      <c r="O107" s="38">
        <f>IF((ዕቁብ!P109/ቦኖ!$C$4&gt;0),(1/2),0)</f>
        <v>0.5</v>
      </c>
      <c r="P107" s="38">
        <f>IF((ዕቁብ!Q109/ቦኖ!$C$4&gt;0),(1/2),0)</f>
        <v>0.5</v>
      </c>
      <c r="Q107" s="38">
        <f>IF((ዕቁብ!R109/ቦኖ!$C$4&gt;0),(1/2),0)</f>
        <v>0.5</v>
      </c>
      <c r="R107" s="38">
        <f>IF((ዕቁብ!S109/ቦኖ!$C$4&gt;0),(1/2),0)</f>
        <v>0.5</v>
      </c>
      <c r="S107" s="38">
        <f>IF((ዕቁብ!T109/ቦኖ!$C$4&gt;0),(1/2),0)</f>
        <v>0.5</v>
      </c>
      <c r="T107" s="38">
        <f>IF((ዕቁብ!U109/ቦኖ!$C$4&gt;0),(1/2),0)</f>
        <v>0.5</v>
      </c>
      <c r="U107" s="38">
        <f>IF((ዕቁብ!V109/ቦኖ!$C$4&gt;0),(1/2),0)</f>
        <v>0.5</v>
      </c>
      <c r="V107" s="38">
        <f>IF((ዕቁብ!W109/ቦኖ!$C$4&gt;0),(1/2),0)</f>
        <v>0.5</v>
      </c>
      <c r="W107" s="38">
        <f>IF((ዕቁብ!X109/ቦኖ!$C$4&gt;0),(1/2),0)</f>
        <v>0.5</v>
      </c>
      <c r="X107" s="38">
        <f>IF((ዕቁብ!Y109/ቦኖ!$C$4&gt;0),(1/2),0)</f>
        <v>0.5</v>
      </c>
      <c r="Y107" s="38">
        <f>IF((ዕቁብ!Z109/ቦኖ!$C$4&gt;0),(1/2),0)</f>
        <v>0.5</v>
      </c>
      <c r="Z107" s="38">
        <f>IF((ዕቁብ!AA109/ቦኖ!$C$4&gt;0),(1/2),0)</f>
        <v>0.5</v>
      </c>
      <c r="AA107" s="38">
        <f>IF((ዕቁብ!AB109/ቦኖ!$C$4&gt;0),(1/2),0)</f>
        <v>0.5</v>
      </c>
      <c r="AB107" s="38">
        <f>IF((ዕቁብ!AC109/ቦኖ!$C$4&gt;0),(1/2),0)</f>
        <v>0.5</v>
      </c>
      <c r="AC107" s="38">
        <f>IF((ዕቁብ!AD109/ቦኖ!$C$4&gt;0),(1/2),0)</f>
        <v>0.5</v>
      </c>
      <c r="AD107" s="38">
        <f>IF((ዕቁብ!AE109/ቦኖ!$C$4&gt;0),(1/2),0)</f>
        <v>0.5</v>
      </c>
      <c r="AE107" s="38">
        <f>IF((ዕቁብ!AF109/ቦኖ!$C$4&gt;0),(1/2),0)</f>
        <v>0.5</v>
      </c>
      <c r="AF107" s="38">
        <f>IF((ዕቁብ!AG109/ቦኖ!$C$4&gt;0),(1/2),0)</f>
        <v>0.5</v>
      </c>
      <c r="AG107" s="38">
        <f>IF((ዕቁብ!AH109/ቦኖ!$C$4&gt;0),(1/2),0)</f>
        <v>0.5</v>
      </c>
      <c r="AH107" s="38">
        <f>IF((ዕቁብ!AI109/ቦኖ!$C$4&gt;0),(1/2),0)</f>
        <v>0.5</v>
      </c>
      <c r="AI107" s="38">
        <f>IF((ዕቁብ!AJ109/ቦኖ!$C$4&gt;0),(1/2),0)</f>
        <v>0.5</v>
      </c>
      <c r="AJ107" s="38">
        <f>IF((ዕቁብ!AK109/ቦኖ!$C$4&gt;0),(1/2),0)</f>
        <v>0.5</v>
      </c>
      <c r="AK107" s="38">
        <f>IF((ዕቁብ!AL109/ቦኖ!$C$4&gt;0),(1/2),0)</f>
        <v>0.5</v>
      </c>
      <c r="AL107" s="38">
        <f>IF((ዕቁብ!AM109/ቦኖ!$C$4&gt;0),(1/2),0)</f>
        <v>0.5</v>
      </c>
      <c r="AM107" s="38">
        <f>IF((ዕቁብ!AN109/ቦኖ!$C$4&gt;0),(1/2),0)</f>
        <v>0.5</v>
      </c>
      <c r="AN107" s="38">
        <f>IF((ዕቁብ!AO109/ቦኖ!$C$4&gt;0),(1/2),0)</f>
        <v>0.5</v>
      </c>
      <c r="AO107" s="38">
        <f>IF((ዕቁብ!AP109/ቦኖ!$C$4&gt;0),(1/2),0)</f>
        <v>0.5</v>
      </c>
      <c r="AP107" s="38">
        <f>IF((ዕቁብ!AQ109/ቦኖ!$C$4&gt;0),(1/2),0)</f>
        <v>0.5</v>
      </c>
      <c r="AQ107" s="38">
        <f>IF((ዕቁብ!AR109/ቦኖ!$C$4&gt;0),(1/2),0)</f>
        <v>0.5</v>
      </c>
      <c r="AR107" s="38">
        <f>IF((ዕቁብ!AS109/ቦኖ!$C$4&gt;0),(1/2),0)</f>
        <v>0.5</v>
      </c>
      <c r="AS107" s="38">
        <f>IF((ዕቁብ!AT109/ቦኖ!$C$4&gt;0),(1/2),0)</f>
        <v>0.5</v>
      </c>
      <c r="AT107" s="38">
        <f>IF((ዕቁብ!AU109/ቦኖ!$C$4&gt;0),(1/2),0)</f>
        <v>0.5</v>
      </c>
      <c r="AU107" s="38">
        <f>IF((ዕቁብ!AV109/ቦኖ!$C$4&gt;0),(1/2),0)</f>
        <v>0.5</v>
      </c>
      <c r="AV107" s="38">
        <f>IF((ዕቁብ!AW109/ቦኖ!$C$4&gt;0),(1/2),0)</f>
        <v>0.5</v>
      </c>
      <c r="AW107" s="38">
        <f>IF((ዕቁብ!AX109/ቦኖ!$C$4&gt;0),(1/2),0)</f>
        <v>0.5</v>
      </c>
      <c r="AX107" s="38">
        <f>IF((ዕቁብ!AY109/ቦኖ!$C$4&gt;0),(1/2),0)</f>
        <v>0.5</v>
      </c>
      <c r="AY107" s="38">
        <f>IF((ዕቁብ!AZ109/ቦኖ!$C$4&gt;0),(1/2),0)</f>
        <v>0.5</v>
      </c>
      <c r="AZ107" s="38">
        <f>IF((ዕቁብ!BA109/ቦኖ!$C$4&gt;0),(1/2),0)</f>
        <v>0.5</v>
      </c>
      <c r="BA107" s="38">
        <f>IF((ዕቁብ!BB109/ቦኖ!$C$4&gt;0),(1/2),0)</f>
        <v>0.5</v>
      </c>
      <c r="BB107" s="38">
        <f>IF((ዕቁብ!BC109/ቦኖ!$C$4&gt;0),(1/2),0)</f>
        <v>0.5</v>
      </c>
      <c r="BC107" s="38">
        <f>IF((ዕቁብ!BD109/ቦኖ!$C$4&gt;0),(1/2),0)</f>
        <v>0.5</v>
      </c>
      <c r="BD107" s="38">
        <f>IF((ዕቁብ!BE109/ቦኖ!$C$4&gt;0),(1/2),0)</f>
        <v>0.5</v>
      </c>
      <c r="BE107" s="38">
        <f>IF((ዕቁብ!BF109/ቦኖ!$C$4&gt;0),(1/2),0)</f>
        <v>0.5</v>
      </c>
      <c r="BF107" s="38">
        <f>IF((ዕቁብ!BG109/ቦኖ!$C$4&gt;0),(1/2),0)</f>
        <v>0.5</v>
      </c>
      <c r="BG107" s="38">
        <f>IF((ዕቁብ!BH109/ቦኖ!$C$4&gt;0),(1/2),0)</f>
        <v>0.5</v>
      </c>
      <c r="BH107" s="38">
        <f>IF((ዕቁብ!BI109/ቦኖ!$C$4&gt;0),(1/2),0)</f>
        <v>0.5</v>
      </c>
      <c r="BI107" s="38">
        <f>IF((ዕቁብ!BJ109/ቦኖ!$C$4&gt;0),(1/2),0)</f>
        <v>0.5</v>
      </c>
      <c r="BJ107" s="38">
        <f>IF((ዕቁብ!BK109/ቦኖ!$C$4&gt;0),(1/2),0)</f>
        <v>0.5</v>
      </c>
      <c r="BK107" s="38">
        <f>IF((ዕቁብ!BL109/ቦኖ!$C$4&gt;0),(1/2),0)</f>
        <v>0.5</v>
      </c>
      <c r="BL107" s="38">
        <f>IF((ዕቁብ!BM109/ቦኖ!$C$4&gt;0),(1/2),0)</f>
        <v>0.5</v>
      </c>
      <c r="BM107" s="38">
        <f>IF((ዕቁብ!BN109/ቦኖ!$C$4&gt;0),(1/2),0)</f>
        <v>0</v>
      </c>
      <c r="BN107" s="38">
        <f>IF((ዕቁብ!BO109/ቦኖ!$C$4&gt;0),(1/2),0)</f>
        <v>0.5</v>
      </c>
      <c r="BO107" s="38">
        <f>IF((ዕቁብ!BP109/ቦኖ!$C$4&gt;0),(1/2),0)</f>
        <v>0.5</v>
      </c>
      <c r="BP107" s="38">
        <f>IF((ዕቁብ!BQ109/ቦኖ!$C$4&gt;0),(1/2),0)</f>
        <v>0.5</v>
      </c>
      <c r="BQ107" s="38">
        <f>IF((ዕቁብ!BR109/ቦኖ!$C$4&gt;0),(1/2),0)</f>
        <v>0</v>
      </c>
      <c r="BR107" s="38">
        <f>IF((ዕቁብ!BS109/ቦኖ!$C$4&gt;0),(1/2),0)</f>
        <v>0.5</v>
      </c>
      <c r="BS107" s="38">
        <f>IF((ዕቁብ!BT109/ቦኖ!$C$4&gt;0),(1/2),0)</f>
        <v>0.5</v>
      </c>
      <c r="BT107" s="38">
        <f>IF((ዕቁብ!BU109/ቦኖ!$C$4&gt;0),(1/2),0)</f>
        <v>0.5</v>
      </c>
      <c r="BU107" s="38">
        <f>IF((ዕቁብ!BV109/ቦኖ!$C$4&gt;0),(1/2),0)</f>
        <v>0.5</v>
      </c>
      <c r="BV107" s="38">
        <f>IF((ዕቁብ!BW109/ቦኖ!$C$4&gt;0),(1/2),0)</f>
        <v>0</v>
      </c>
      <c r="BW107" s="38">
        <f>IF((ዕቁብ!BX109/ቦኖ!$C$4&gt;0),(1/2),0)</f>
        <v>0.5</v>
      </c>
      <c r="BX107" s="38">
        <f>IF((ዕቁብ!BY109/ቦኖ!$C$4&gt;0),(1/2),0)</f>
        <v>0.5</v>
      </c>
      <c r="BY107" s="38">
        <f>IF((ዕቁብ!BZ109/ቦኖ!$C$4&gt;0),(1/2),0)</f>
        <v>0.5</v>
      </c>
      <c r="BZ107" s="38">
        <f>IF((ዕቁብ!CA109/ቦኖ!$C$4&gt;0),(1/2),0)</f>
        <v>0.5</v>
      </c>
      <c r="CA107" s="38">
        <f>IF((ዕቁብ!CB109/ቦኖ!$C$4&gt;0),(1/2),0)</f>
        <v>0.5</v>
      </c>
      <c r="CB107" s="38">
        <f>IF((ዕቁብ!CC109/ቦኖ!$C$4&gt;0),(1/2),0)</f>
        <v>0.5</v>
      </c>
      <c r="CC107" s="38">
        <f>IF((ዕቁብ!CD109/ቦኖ!$C$4&gt;0),(1/2),0)</f>
        <v>0</v>
      </c>
      <c r="CD107" s="38">
        <f>IF((ዕቁብ!CE109/ቦኖ!$C$4&gt;0),(1/2),0)</f>
        <v>0</v>
      </c>
      <c r="CE107" s="38">
        <f>IF((ዕቁብ!CF109/ቦኖ!$C$4&gt;0),(1/2),0)</f>
        <v>0.5</v>
      </c>
      <c r="CF107" s="38">
        <f>IF((ዕቁብ!CG109/ቦኖ!$C$4&gt;0),(1/2),0)</f>
        <v>0.5</v>
      </c>
      <c r="CG107" s="38">
        <f>IF((ዕቁብ!CH109/ቦኖ!$C$4&gt;0),(1/2),0)</f>
        <v>0.5</v>
      </c>
      <c r="CH107" s="38">
        <f>IF((ዕቁብ!CI109/ቦኖ!$C$4&gt;0),(1/2),0)</f>
        <v>0.5</v>
      </c>
      <c r="CI107" s="38">
        <f>IF((ዕቁብ!CJ109/ቦኖ!$C$4&gt;0),(1/2),0)</f>
        <v>0.5</v>
      </c>
      <c r="CJ107" s="38">
        <f>IF((ዕቁብ!CK109/ቦኖ!$C$4&gt;0),(1/2),0)</f>
        <v>0.5</v>
      </c>
      <c r="CK107" s="38">
        <f>IF((ዕቁብ!CL109/ቦኖ!$C$4&gt;0),(1/2),0)</f>
        <v>0.5</v>
      </c>
      <c r="CL107" s="38">
        <f>IF((ዕቁብ!CM109/ቦኖ!$C$4&gt;0),(1/2),0)</f>
        <v>0</v>
      </c>
      <c r="CM107" s="38">
        <f>IF((ዕቁብ!CN109/ቦኖ!$C$4&gt;0),(1/2),0)</f>
        <v>0.5</v>
      </c>
      <c r="CN107" s="38">
        <f>IF((ዕቁብ!CO109/ቦኖ!$C$4&gt;0),(1/2),0)</f>
        <v>0.5</v>
      </c>
      <c r="CO107" s="38">
        <f>IF((ዕቁብ!CP109/ቦኖ!$C$4&gt;0),(1/2),0)</f>
        <v>0.5</v>
      </c>
      <c r="CP107" s="38">
        <f>IF((ዕቁብ!CQ109/ቦኖ!$C$4&gt;0),(1/2),0)</f>
        <v>0</v>
      </c>
      <c r="CQ107" s="38">
        <f>IF((ዕቁብ!CR109/ቦኖ!$C$4&gt;0),(1/2),0)</f>
        <v>0.5</v>
      </c>
      <c r="CR107" s="38">
        <f>IF((ዕቁብ!CS109/ቦኖ!$C$4&gt;0),(1/2),0)</f>
        <v>0.5</v>
      </c>
      <c r="CS107" s="38">
        <f>IF((ዕቁብ!CT109/ቦኖ!$C$4&gt;0),(1/2),0)</f>
        <v>0</v>
      </c>
      <c r="CT107" s="38">
        <f>IF((ዕቁብ!CU109/ቦኖ!$C$4&gt;0),(1/2),0)</f>
        <v>0.5</v>
      </c>
      <c r="CU107" s="38">
        <f>IF((ዕቁብ!CV109/ቦኖ!$C$4&gt;0),(1/2),0)</f>
        <v>0</v>
      </c>
      <c r="CV107" s="38">
        <f>IF((ዕቁብ!CW109/ቦኖ!$C$4&gt;0),(1/2),0)</f>
        <v>0.5</v>
      </c>
      <c r="CW107" s="38">
        <f>IF((ዕቁብ!CX109/ቦኖ!$C$4&gt;0),(1/2),0)</f>
        <v>0</v>
      </c>
      <c r="CX107" s="38">
        <f>IF((ዕቁብ!CY109/ቦኖ!$C$4&gt;0),(1/2),0)</f>
        <v>0.5</v>
      </c>
      <c r="CY107" s="38">
        <f>IF((ዕቁብ!CZ109/ቦኖ!$C$4&gt;0),(1/2),0)</f>
        <v>0</v>
      </c>
      <c r="CZ107" s="38">
        <f>IF((ዕቁብ!DA109/ቦኖ!$C$4&gt;0),(1/2),0)</f>
        <v>0.5</v>
      </c>
      <c r="DA107" s="38">
        <f>IF((ዕቁብ!DB109/ቦኖ!$C$4&gt;0),(1/2),0)</f>
        <v>0</v>
      </c>
      <c r="DB107" s="38">
        <f>IF((ዕቁብ!DC109/ቦኖ!$C$4&gt;0),(1/2),0)</f>
        <v>0</v>
      </c>
      <c r="DC107" s="38">
        <f>IF((ዕቁብ!DD109/ቦኖ!$C$4&gt;0),(1/2),0)</f>
        <v>0.5</v>
      </c>
      <c r="DD107" s="38">
        <f>IF((ዕቁብ!DE109/ቦኖ!$C$4&gt;0),(1/2),0)</f>
        <v>0</v>
      </c>
      <c r="DE107" s="38">
        <f>IF((ዕቁብ!DF109/ቦኖ!$C$4&gt;0),(1/2),0)</f>
        <v>0</v>
      </c>
      <c r="DF107" s="38">
        <f>IF((ዕቁብ!DG109/ቦኖ!$C$4&gt;0),(1/2),0)</f>
        <v>0.5</v>
      </c>
      <c r="DG107" s="38">
        <f>IF((ዕቁብ!DH109/ቦኖ!$C$4&gt;0),(1/2),0)</f>
        <v>0</v>
      </c>
      <c r="DH107" s="38">
        <f>IF((ዕቁብ!DI109/ቦኖ!$C$4&gt;0),(1/2),0)</f>
        <v>0</v>
      </c>
      <c r="DI107" s="38">
        <f>IF((ዕቁብ!DJ109/ቦኖ!$C$4&gt;0),(1/2),0)</f>
        <v>0</v>
      </c>
      <c r="DJ107" s="38">
        <f>IF((ዕቁብ!DK109/ቦኖ!$C$4&gt;0),(1/2),0)</f>
        <v>0</v>
      </c>
      <c r="DK107" s="38">
        <f>IF((ዕቁብ!DL109/ቦኖ!$C$4&gt;0),(1/2),0)</f>
        <v>0</v>
      </c>
      <c r="DL107" s="38">
        <f>IF((ዕቁብ!DM109/ቦኖ!$C$4&gt;0),(1/2),0)</f>
        <v>0</v>
      </c>
      <c r="DM107" s="38">
        <f>IF((ዕቁብ!DN109/ቦኖ!$C$4&gt;0),(1/2),0)</f>
        <v>0</v>
      </c>
      <c r="DN107" s="38">
        <f>IF((ዕቁብ!DO109/ቦኖ!$C$4&gt;0),(1/2),0)</f>
        <v>0</v>
      </c>
      <c r="DO107" s="38">
        <f>IF((ዕቁብ!DP109/ቦኖ!$C$4&gt;0),(1/2),0)</f>
        <v>0</v>
      </c>
      <c r="DP107" s="38">
        <f>IF((ዕቁብ!DQ109/ቦኖ!$C$4&gt;0),(1/2),0)</f>
        <v>0</v>
      </c>
      <c r="DQ107" s="38">
        <f>IF((ዕቁብ!DR109/ቦኖ!$C$4&gt;0),(1/2),0)</f>
        <v>0</v>
      </c>
    </row>
    <row r="108" spans="1:121" ht="15.75" customHeight="1" x14ac:dyDescent="0.3">
      <c r="A108" s="33">
        <f>ዕቁብ!A110</f>
        <v>99</v>
      </c>
      <c r="B108" s="33" t="str">
        <f>ዕቁብ!B110</f>
        <v>መኮንን ሰኬሎ</v>
      </c>
      <c r="C108" s="37">
        <f>ዕቁብ!C110</f>
        <v>10500</v>
      </c>
      <c r="D108" s="38">
        <f>IF((ዕቁብ!E110/ቦኖ!$C$4&gt;0),(1/2),0)</f>
        <v>0.5</v>
      </c>
      <c r="E108" s="38">
        <f>IF((ዕቁብ!F110/ቦኖ!$C$4&gt;0),(1/2),0)</f>
        <v>0.5</v>
      </c>
      <c r="F108" s="38">
        <f>IF((ዕቁብ!G110/ቦኖ!$C$4&gt;0),(1/2),0)</f>
        <v>0.5</v>
      </c>
      <c r="G108" s="38">
        <f>IF((ዕቁብ!H110/ቦኖ!$C$4&gt;0),(1/2),0)</f>
        <v>0.5</v>
      </c>
      <c r="H108" s="38">
        <f>IF((ዕቁብ!I110/ቦኖ!$C$4&gt;0),(1/2),0)</f>
        <v>0.5</v>
      </c>
      <c r="I108" s="38">
        <f>IF((ዕቁብ!J110/ቦኖ!$C$4&gt;0),(1/2),0)</f>
        <v>0.5</v>
      </c>
      <c r="J108" s="38">
        <f>IF((ዕቁብ!K110/ቦኖ!$C$4&gt;0),(1/2),0)</f>
        <v>0.5</v>
      </c>
      <c r="K108" s="38">
        <f>IF((ዕቁብ!L110/ቦኖ!$C$4&gt;0),(1/2),0)</f>
        <v>0.5</v>
      </c>
      <c r="L108" s="38">
        <f>IF((ዕቁብ!M110/ቦኖ!$C$4&gt;0),(1/2),0)</f>
        <v>0.5</v>
      </c>
      <c r="M108" s="38">
        <f>IF((ዕቁብ!N110/ቦኖ!$C$4&gt;0),(1/2),0)</f>
        <v>0.5</v>
      </c>
      <c r="N108" s="38">
        <f>IF((ዕቁብ!O110/ቦኖ!$C$4&gt;0),(1/2),0)</f>
        <v>0.5</v>
      </c>
      <c r="O108" s="38">
        <f>IF((ዕቁብ!P110/ቦኖ!$C$4&gt;0),(1/2),0)</f>
        <v>0.5</v>
      </c>
      <c r="P108" s="38">
        <f>IF((ዕቁብ!Q110/ቦኖ!$C$4&gt;0),(1/2),0)</f>
        <v>0.5</v>
      </c>
      <c r="Q108" s="38">
        <f>IF((ዕቁብ!R110/ቦኖ!$C$4&gt;0),(1/2),0)</f>
        <v>0.5</v>
      </c>
      <c r="R108" s="38">
        <f>IF((ዕቁብ!S110/ቦኖ!$C$4&gt;0),(1/2),0)</f>
        <v>0.5</v>
      </c>
      <c r="S108" s="38">
        <f>IF((ዕቁብ!T110/ቦኖ!$C$4&gt;0),(1/2),0)</f>
        <v>0.5</v>
      </c>
      <c r="T108" s="38">
        <f>IF((ዕቁብ!U110/ቦኖ!$C$4&gt;0),(1/2),0)</f>
        <v>0.5</v>
      </c>
      <c r="U108" s="38">
        <f>IF((ዕቁብ!V110/ቦኖ!$C$4&gt;0),(1/2),0)</f>
        <v>0.5</v>
      </c>
      <c r="V108" s="38">
        <f>IF((ዕቁብ!W110/ቦኖ!$C$4&gt;0),(1/2),0)</f>
        <v>0.5</v>
      </c>
      <c r="W108" s="38">
        <f>IF((ዕቁብ!X110/ቦኖ!$C$4&gt;0),(1/2),0)</f>
        <v>0.5</v>
      </c>
      <c r="X108" s="38">
        <f>IF((ዕቁብ!Y110/ቦኖ!$C$4&gt;0),(1/2),0)</f>
        <v>0.5</v>
      </c>
      <c r="Y108" s="38">
        <f>IF((ዕቁብ!Z110/ቦኖ!$C$4&gt;0),(1/2),0)</f>
        <v>0.5</v>
      </c>
      <c r="Z108" s="38">
        <f>IF((ዕቁብ!AA110/ቦኖ!$C$4&gt;0),(1/2),0)</f>
        <v>0.5</v>
      </c>
      <c r="AA108" s="38">
        <f>IF((ዕቁብ!AB110/ቦኖ!$C$4&gt;0),(1/2),0)</f>
        <v>0.5</v>
      </c>
      <c r="AB108" s="38">
        <f>IF((ዕቁብ!AC110/ቦኖ!$C$4&gt;0),(1/2),0)</f>
        <v>0.5</v>
      </c>
      <c r="AC108" s="38">
        <f>IF((ዕቁብ!AD110/ቦኖ!$C$4&gt;0),(1/2),0)</f>
        <v>0.5</v>
      </c>
      <c r="AD108" s="38">
        <f>IF((ዕቁብ!AE110/ቦኖ!$C$4&gt;0),(1/2),0)</f>
        <v>0.5</v>
      </c>
      <c r="AE108" s="38">
        <f>IF((ዕቁብ!AF110/ቦኖ!$C$4&gt;0),(1/2),0)</f>
        <v>0</v>
      </c>
      <c r="AF108" s="38">
        <f>IF((ዕቁብ!AG110/ቦኖ!$C$4&gt;0),(1/2),0)</f>
        <v>0.5</v>
      </c>
      <c r="AG108" s="38">
        <f>IF((ዕቁብ!AH110/ቦኖ!$C$4&gt;0),(1/2),0)</f>
        <v>0.5</v>
      </c>
      <c r="AH108" s="38">
        <f>IF((ዕቁብ!AI110/ቦኖ!$C$4&gt;0),(1/2),0)</f>
        <v>0.5</v>
      </c>
      <c r="AI108" s="38">
        <f>IF((ዕቁብ!AJ110/ቦኖ!$C$4&gt;0),(1/2),0)</f>
        <v>0</v>
      </c>
      <c r="AJ108" s="38">
        <f>IF((ዕቁብ!AK110/ቦኖ!$C$4&gt;0),(1/2),0)</f>
        <v>0.5</v>
      </c>
      <c r="AK108" s="38">
        <f>IF((ዕቁብ!AL110/ቦኖ!$C$4&gt;0),(1/2),0)</f>
        <v>0.5</v>
      </c>
      <c r="AL108" s="38">
        <f>IF((ዕቁብ!AM110/ቦኖ!$C$4&gt;0),(1/2),0)</f>
        <v>0.5</v>
      </c>
      <c r="AM108" s="38">
        <f>IF((ዕቁብ!AN110/ቦኖ!$C$4&gt;0),(1/2),0)</f>
        <v>0.5</v>
      </c>
      <c r="AN108" s="38">
        <f>IF((ዕቁብ!AO110/ቦኖ!$C$4&gt;0),(1/2),0)</f>
        <v>0.5</v>
      </c>
      <c r="AO108" s="38">
        <f>IF((ዕቁብ!AP110/ቦኖ!$C$4&gt;0),(1/2),0)</f>
        <v>0.5</v>
      </c>
      <c r="AP108" s="38">
        <f>IF((ዕቁብ!AQ110/ቦኖ!$C$4&gt;0),(1/2),0)</f>
        <v>0.5</v>
      </c>
      <c r="AQ108" s="38">
        <f>IF((ዕቁብ!AR110/ቦኖ!$C$4&gt;0),(1/2),0)</f>
        <v>0.5</v>
      </c>
      <c r="AR108" s="38">
        <f>IF((ዕቁብ!AS110/ቦኖ!$C$4&gt;0),(1/2),0)</f>
        <v>0.5</v>
      </c>
      <c r="AS108" s="38">
        <f>IF((ዕቁብ!AT110/ቦኖ!$C$4&gt;0),(1/2),0)</f>
        <v>0.5</v>
      </c>
      <c r="AT108" s="38">
        <f>IF((ዕቁብ!AU110/ቦኖ!$C$4&gt;0),(1/2),0)</f>
        <v>0.5</v>
      </c>
      <c r="AU108" s="38">
        <f>IF((ዕቁብ!AV110/ቦኖ!$C$4&gt;0),(1/2),0)</f>
        <v>0.5</v>
      </c>
      <c r="AV108" s="38">
        <f>IF((ዕቁብ!AW110/ቦኖ!$C$4&gt;0),(1/2),0)</f>
        <v>0.5</v>
      </c>
      <c r="AW108" s="38">
        <f>IF((ዕቁብ!AX110/ቦኖ!$C$4&gt;0),(1/2),0)</f>
        <v>0.5</v>
      </c>
      <c r="AX108" s="38">
        <f>IF((ዕቁብ!AY110/ቦኖ!$C$4&gt;0),(1/2),0)</f>
        <v>0.5</v>
      </c>
      <c r="AY108" s="38">
        <f>IF((ዕቁብ!AZ110/ቦኖ!$C$4&gt;0),(1/2),0)</f>
        <v>0.5</v>
      </c>
      <c r="AZ108" s="38">
        <f>IF((ዕቁብ!BA110/ቦኖ!$C$4&gt;0),(1/2),0)</f>
        <v>0.5</v>
      </c>
      <c r="BA108" s="38">
        <f>IF((ዕቁብ!BB110/ቦኖ!$C$4&gt;0),(1/2),0)</f>
        <v>0.5</v>
      </c>
      <c r="BB108" s="38">
        <f>IF((ዕቁብ!BC110/ቦኖ!$C$4&gt;0),(1/2),0)</f>
        <v>0.5</v>
      </c>
      <c r="BC108" s="38">
        <f>IF((ዕቁብ!BD110/ቦኖ!$C$4&gt;0),(1/2),0)</f>
        <v>0.5</v>
      </c>
      <c r="BD108" s="38">
        <f>IF((ዕቁብ!BE110/ቦኖ!$C$4&gt;0),(1/2),0)</f>
        <v>0.5</v>
      </c>
      <c r="BE108" s="38">
        <f>IF((ዕቁብ!BF110/ቦኖ!$C$4&gt;0),(1/2),0)</f>
        <v>0.5</v>
      </c>
      <c r="BF108" s="38">
        <f>IF((ዕቁብ!BG110/ቦኖ!$C$4&gt;0),(1/2),0)</f>
        <v>0.5</v>
      </c>
      <c r="BG108" s="38">
        <f>IF((ዕቁብ!BH110/ቦኖ!$C$4&gt;0),(1/2),0)</f>
        <v>0</v>
      </c>
      <c r="BH108" s="38">
        <f>IF((ዕቁብ!BI110/ቦኖ!$C$4&gt;0),(1/2),0)</f>
        <v>0.5</v>
      </c>
      <c r="BI108" s="38">
        <f>IF((ዕቁብ!BJ110/ቦኖ!$C$4&gt;0),(1/2),0)</f>
        <v>0</v>
      </c>
      <c r="BJ108" s="38">
        <f>IF((ዕቁብ!BK110/ቦኖ!$C$4&gt;0),(1/2),0)</f>
        <v>0.5</v>
      </c>
      <c r="BK108" s="38">
        <f>IF((ዕቁብ!BL110/ቦኖ!$C$4&gt;0),(1/2),0)</f>
        <v>0.5</v>
      </c>
      <c r="BL108" s="38">
        <f>IF((ዕቁብ!BM110/ቦኖ!$C$4&gt;0),(1/2),0)</f>
        <v>0.5</v>
      </c>
      <c r="BM108" s="38">
        <f>IF((ዕቁብ!BN110/ቦኖ!$C$4&gt;0),(1/2),0)</f>
        <v>0.5</v>
      </c>
      <c r="BN108" s="38">
        <f>IF((ዕቁብ!BO110/ቦኖ!$C$4&gt;0),(1/2),0)</f>
        <v>0.5</v>
      </c>
      <c r="BO108" s="38">
        <f>IF((ዕቁብ!BP110/ቦኖ!$C$4&gt;0),(1/2),0)</f>
        <v>0</v>
      </c>
      <c r="BP108" s="38">
        <f>IF((ዕቁብ!BQ110/ቦኖ!$C$4&gt;0),(1/2),0)</f>
        <v>0.5</v>
      </c>
      <c r="BQ108" s="38">
        <f>IF((ዕቁብ!BR110/ቦኖ!$C$4&gt;0),(1/2),0)</f>
        <v>0.5</v>
      </c>
      <c r="BR108" s="38">
        <f>IF((ዕቁብ!BS110/ቦኖ!$C$4&gt;0),(1/2),0)</f>
        <v>0.5</v>
      </c>
      <c r="BS108" s="38">
        <f>IF((ዕቁብ!BT110/ቦኖ!$C$4&gt;0),(1/2),0)</f>
        <v>0</v>
      </c>
      <c r="BT108" s="38">
        <f>IF((ዕቁብ!BU110/ቦኖ!$C$4&gt;0),(1/2),0)</f>
        <v>0.5</v>
      </c>
      <c r="BU108" s="38">
        <f>IF((ዕቁብ!BV110/ቦኖ!$C$4&gt;0),(1/2),0)</f>
        <v>0.5</v>
      </c>
      <c r="BV108" s="38">
        <f>IF((ዕቁብ!BW110/ቦኖ!$C$4&gt;0),(1/2),0)</f>
        <v>0.5</v>
      </c>
      <c r="BW108" s="38">
        <f>IF((ዕቁብ!BX110/ቦኖ!$C$4&gt;0),(1/2),0)</f>
        <v>0</v>
      </c>
      <c r="BX108" s="38">
        <f>IF((ዕቁብ!BY110/ቦኖ!$C$4&gt;0),(1/2),0)</f>
        <v>0.5</v>
      </c>
      <c r="BY108" s="38">
        <f>IF((ዕቁብ!BZ110/ቦኖ!$C$4&gt;0),(1/2),0)</f>
        <v>0.5</v>
      </c>
      <c r="BZ108" s="38">
        <f>IF((ዕቁብ!CA110/ቦኖ!$C$4&gt;0),(1/2),0)</f>
        <v>0.5</v>
      </c>
      <c r="CA108" s="38">
        <f>IF((ዕቁብ!CB110/ቦኖ!$C$4&gt;0),(1/2),0)</f>
        <v>0.5</v>
      </c>
      <c r="CB108" s="38">
        <f>IF((ዕቁብ!CC110/ቦኖ!$C$4&gt;0),(1/2),0)</f>
        <v>0.5</v>
      </c>
      <c r="CC108" s="38">
        <f>IF((ዕቁብ!CD110/ቦኖ!$C$4&gt;0),(1/2),0)</f>
        <v>0.5</v>
      </c>
      <c r="CD108" s="38">
        <f>IF((ዕቁብ!CE110/ቦኖ!$C$4&gt;0),(1/2),0)</f>
        <v>0</v>
      </c>
      <c r="CE108" s="38">
        <f>IF((ዕቁብ!CF110/ቦኖ!$C$4&gt;0),(1/2),0)</f>
        <v>0.5</v>
      </c>
      <c r="CF108" s="38">
        <f>IF((ዕቁብ!CG110/ቦኖ!$C$4&gt;0),(1/2),0)</f>
        <v>0.5</v>
      </c>
      <c r="CG108" s="38">
        <f>IF((ዕቁብ!CH110/ቦኖ!$C$4&gt;0),(1/2),0)</f>
        <v>0.5</v>
      </c>
      <c r="CH108" s="38">
        <f>IF((ዕቁብ!CI110/ቦኖ!$C$4&gt;0),(1/2),0)</f>
        <v>0</v>
      </c>
      <c r="CI108" s="38">
        <f>IF((ዕቁብ!CJ110/ቦኖ!$C$4&gt;0),(1/2),0)</f>
        <v>0</v>
      </c>
      <c r="CJ108" s="38">
        <f>IF((ዕቁብ!CK110/ቦኖ!$C$4&gt;0),(1/2),0)</f>
        <v>0.5</v>
      </c>
      <c r="CK108" s="38">
        <f>IF((ዕቁብ!CL110/ቦኖ!$C$4&gt;0),(1/2),0)</f>
        <v>0.5</v>
      </c>
      <c r="CL108" s="38">
        <f>IF((ዕቁብ!CM110/ቦኖ!$C$4&gt;0),(1/2),0)</f>
        <v>0.5</v>
      </c>
      <c r="CM108" s="38">
        <f>IF((ዕቁብ!CN110/ቦኖ!$C$4&gt;0),(1/2),0)</f>
        <v>0.5</v>
      </c>
      <c r="CN108" s="38">
        <f>IF((ዕቁብ!CO110/ቦኖ!$C$4&gt;0),(1/2),0)</f>
        <v>0.5</v>
      </c>
      <c r="CO108" s="38">
        <f>IF((ዕቁብ!CP110/ቦኖ!$C$4&gt;0),(1/2),0)</f>
        <v>0.5</v>
      </c>
      <c r="CP108" s="38">
        <f>IF((ዕቁብ!CQ110/ቦኖ!$C$4&gt;0),(1/2),0)</f>
        <v>0.5</v>
      </c>
      <c r="CQ108" s="38">
        <f>IF((ዕቁብ!CR110/ቦኖ!$C$4&gt;0),(1/2),0)</f>
        <v>0.5</v>
      </c>
      <c r="CR108" s="38">
        <f>IF((ዕቁብ!CS110/ቦኖ!$C$4&gt;0),(1/2),0)</f>
        <v>0.5</v>
      </c>
      <c r="CS108" s="38">
        <f>IF((ዕቁብ!CT110/ቦኖ!$C$4&gt;0),(1/2),0)</f>
        <v>0.5</v>
      </c>
      <c r="CT108" s="38">
        <f>IF((ዕቁብ!CU110/ቦኖ!$C$4&gt;0),(1/2),0)</f>
        <v>0.5</v>
      </c>
      <c r="CU108" s="38">
        <f>IF((ዕቁብ!CV110/ቦኖ!$C$4&gt;0),(1/2),0)</f>
        <v>0.5</v>
      </c>
      <c r="CV108" s="38">
        <f>IF((ዕቁብ!CW110/ቦኖ!$C$4&gt;0),(1/2),0)</f>
        <v>0.5</v>
      </c>
      <c r="CW108" s="38">
        <f>IF((ዕቁብ!CX110/ቦኖ!$C$4&gt;0),(1/2),0)</f>
        <v>0</v>
      </c>
      <c r="CX108" s="38">
        <f>IF((ዕቁብ!CY110/ቦኖ!$C$4&gt;0),(1/2),0)</f>
        <v>0.5</v>
      </c>
      <c r="CY108" s="38">
        <f>IF((ዕቁብ!CZ110/ቦኖ!$C$4&gt;0),(1/2),0)</f>
        <v>0.5</v>
      </c>
      <c r="CZ108" s="38">
        <f>IF((ዕቁብ!DA110/ቦኖ!$C$4&gt;0),(1/2),0)</f>
        <v>0.5</v>
      </c>
      <c r="DA108" s="38">
        <f>IF((ዕቁብ!DB110/ቦኖ!$C$4&gt;0),(1/2),0)</f>
        <v>0</v>
      </c>
      <c r="DB108" s="38">
        <f>IF((ዕቁብ!DC110/ቦኖ!$C$4&gt;0),(1/2),0)</f>
        <v>0</v>
      </c>
      <c r="DC108" s="38">
        <f>IF((ዕቁብ!DD110/ቦኖ!$C$4&gt;0),(1/2),0)</f>
        <v>0.5</v>
      </c>
      <c r="DD108" s="38">
        <f>IF((ዕቁብ!DE110/ቦኖ!$C$4&gt;0),(1/2),0)</f>
        <v>0</v>
      </c>
      <c r="DE108" s="38">
        <f>IF((ዕቁብ!DF110/ቦኖ!$C$4&gt;0),(1/2),0)</f>
        <v>0.5</v>
      </c>
      <c r="DF108" s="38">
        <f>IF((ዕቁብ!DG110/ቦኖ!$C$4&gt;0),(1/2),0)</f>
        <v>0.5</v>
      </c>
      <c r="DG108" s="38">
        <f>IF((ዕቁብ!DH110/ቦኖ!$C$4&gt;0),(1/2),0)</f>
        <v>0</v>
      </c>
      <c r="DH108" s="38">
        <f>IF((ዕቁብ!DI110/ቦኖ!$C$4&gt;0),(1/2),0)</f>
        <v>0</v>
      </c>
      <c r="DI108" s="38">
        <f>IF((ዕቁብ!DJ110/ቦኖ!$C$4&gt;0),(1/2),0)</f>
        <v>0</v>
      </c>
      <c r="DJ108" s="38">
        <f>IF((ዕቁብ!DK110/ቦኖ!$C$4&gt;0),(1/2),0)</f>
        <v>0</v>
      </c>
      <c r="DK108" s="38">
        <f>IF((ዕቁብ!DL110/ቦኖ!$C$4&gt;0),(1/2),0)</f>
        <v>0</v>
      </c>
      <c r="DL108" s="38">
        <f>IF((ዕቁብ!DM110/ቦኖ!$C$4&gt;0),(1/2),0)</f>
        <v>0</v>
      </c>
      <c r="DM108" s="38">
        <f>IF((ዕቁብ!DN110/ቦኖ!$C$4&gt;0),(1/2),0)</f>
        <v>0</v>
      </c>
      <c r="DN108" s="38">
        <f>IF((ዕቁብ!DO110/ቦኖ!$C$4&gt;0),(1/2),0)</f>
        <v>0</v>
      </c>
      <c r="DO108" s="38">
        <f>IF((ዕቁብ!DP110/ቦኖ!$C$4&gt;0),(1/2),0)</f>
        <v>0</v>
      </c>
      <c r="DP108" s="38">
        <f>IF((ዕቁብ!DQ110/ቦኖ!$C$4&gt;0),(1/2),0)</f>
        <v>0</v>
      </c>
      <c r="DQ108" s="38">
        <f>IF((ዕቁብ!DR110/ቦኖ!$C$4&gt;0),(1/2),0)</f>
        <v>0</v>
      </c>
    </row>
    <row r="109" spans="1:121" ht="15.75" customHeight="1" x14ac:dyDescent="0.3">
      <c r="A109" s="33">
        <f>ዕቁብ!A111</f>
        <v>99</v>
      </c>
      <c r="B109" s="33" t="str">
        <f>ዕቁብ!B111</f>
        <v xml:space="preserve">ፍቃዱ ባልቻ </v>
      </c>
      <c r="C109" s="37">
        <f>ዕቁብ!C111</f>
        <v>10500</v>
      </c>
      <c r="D109" s="38">
        <f>IF((ዕቁብ!E111/ቦኖ!$C$4&gt;0),(1/2),0)</f>
        <v>0.5</v>
      </c>
      <c r="E109" s="38">
        <f>IF((ዕቁብ!F111/ቦኖ!$C$4&gt;0),(1/2),0)</f>
        <v>0</v>
      </c>
      <c r="F109" s="38">
        <f>IF((ዕቁብ!G111/ቦኖ!$C$4&gt;0),(1/2),0)</f>
        <v>0</v>
      </c>
      <c r="G109" s="38">
        <f>IF((ዕቁብ!H111/ቦኖ!$C$4&gt;0),(1/2),0)</f>
        <v>0</v>
      </c>
      <c r="H109" s="38">
        <f>IF((ዕቁብ!I111/ቦኖ!$C$4&gt;0),(1/2),0)</f>
        <v>0</v>
      </c>
      <c r="I109" s="38">
        <f>IF((ዕቁብ!J111/ቦኖ!$C$4&gt;0),(1/2),0)</f>
        <v>0</v>
      </c>
      <c r="J109" s="38">
        <f>IF((ዕቁብ!K111/ቦኖ!$C$4&gt;0),(1/2),0)</f>
        <v>0</v>
      </c>
      <c r="K109" s="38">
        <f>IF((ዕቁብ!L111/ቦኖ!$C$4&gt;0),(1/2),0)</f>
        <v>0</v>
      </c>
      <c r="L109" s="38">
        <f>IF((ዕቁብ!M111/ቦኖ!$C$4&gt;0),(1/2),0)</f>
        <v>0</v>
      </c>
      <c r="M109" s="38">
        <f>IF((ዕቁብ!N111/ቦኖ!$C$4&gt;0),(1/2),0)</f>
        <v>0</v>
      </c>
      <c r="N109" s="38">
        <f>IF((ዕቁብ!O111/ቦኖ!$C$4&gt;0),(1/2),0)</f>
        <v>0</v>
      </c>
      <c r="O109" s="38">
        <f>IF((ዕቁብ!P111/ቦኖ!$C$4&gt;0),(1/2),0)</f>
        <v>0</v>
      </c>
      <c r="P109" s="38">
        <f>IF((ዕቁብ!Q111/ቦኖ!$C$4&gt;0),(1/2),0)</f>
        <v>0</v>
      </c>
      <c r="Q109" s="38">
        <f>IF((ዕቁብ!R111/ቦኖ!$C$4&gt;0),(1/2),0)</f>
        <v>0</v>
      </c>
      <c r="R109" s="38">
        <f>IF((ዕቁብ!S111/ቦኖ!$C$4&gt;0),(1/2),0)</f>
        <v>0</v>
      </c>
      <c r="S109" s="38">
        <f>IF((ዕቁብ!T111/ቦኖ!$C$4&gt;0),(1/2),0)</f>
        <v>0</v>
      </c>
      <c r="T109" s="38">
        <f>IF((ዕቁብ!U111/ቦኖ!$C$4&gt;0),(1/2),0)</f>
        <v>0</v>
      </c>
      <c r="U109" s="38">
        <f>IF((ዕቁብ!V111/ቦኖ!$C$4&gt;0),(1/2),0)</f>
        <v>0</v>
      </c>
      <c r="V109" s="38">
        <f>IF((ዕቁብ!W111/ቦኖ!$C$4&gt;0),(1/2),0)</f>
        <v>0</v>
      </c>
      <c r="W109" s="38">
        <f>IF((ዕቁብ!X111/ቦኖ!$C$4&gt;0),(1/2),0)</f>
        <v>0</v>
      </c>
      <c r="X109" s="38">
        <f>IF((ዕቁብ!Y111/ቦኖ!$C$4&gt;0),(1/2),0)</f>
        <v>0</v>
      </c>
      <c r="Y109" s="38">
        <f>IF((ዕቁብ!Z111/ቦኖ!$C$4&gt;0),(1/2),0)</f>
        <v>0</v>
      </c>
      <c r="Z109" s="38">
        <f>IF((ዕቁብ!AA111/ቦኖ!$C$4&gt;0),(1/2),0)</f>
        <v>0</v>
      </c>
      <c r="AA109" s="38">
        <f>IF((ዕቁብ!AB111/ቦኖ!$C$4&gt;0),(1/2),0)</f>
        <v>0</v>
      </c>
      <c r="AB109" s="38">
        <f>IF((ዕቁብ!AC111/ቦኖ!$C$4&gt;0),(1/2),0)</f>
        <v>0</v>
      </c>
      <c r="AC109" s="38">
        <f>IF((ዕቁብ!AD111/ቦኖ!$C$4&gt;0),(1/2),0)</f>
        <v>0</v>
      </c>
      <c r="AD109" s="38">
        <f>IF((ዕቁብ!AE111/ቦኖ!$C$4&gt;0),(1/2),0)</f>
        <v>0</v>
      </c>
      <c r="AE109" s="38">
        <f>IF((ዕቁብ!AF111/ቦኖ!$C$4&gt;0),(1/2),0)</f>
        <v>0</v>
      </c>
      <c r="AF109" s="38">
        <f>IF((ዕቁብ!AG111/ቦኖ!$C$4&gt;0),(1/2),0)</f>
        <v>0</v>
      </c>
      <c r="AG109" s="38">
        <f>IF((ዕቁብ!AH111/ቦኖ!$C$4&gt;0),(1/2),0)</f>
        <v>0</v>
      </c>
      <c r="AH109" s="38">
        <f>IF((ዕቁብ!AI111/ቦኖ!$C$4&gt;0),(1/2),0)</f>
        <v>0</v>
      </c>
      <c r="AI109" s="38">
        <f>IF((ዕቁብ!AJ111/ቦኖ!$C$4&gt;0),(1/2),0)</f>
        <v>0</v>
      </c>
      <c r="AJ109" s="38">
        <f>IF((ዕቁብ!AK111/ቦኖ!$C$4&gt;0),(1/2),0)</f>
        <v>0</v>
      </c>
      <c r="AK109" s="38">
        <f>IF((ዕቁብ!AL111/ቦኖ!$C$4&gt;0),(1/2),0)</f>
        <v>0</v>
      </c>
      <c r="AL109" s="38">
        <f>IF((ዕቁብ!AM111/ቦኖ!$C$4&gt;0),(1/2),0)</f>
        <v>0</v>
      </c>
      <c r="AM109" s="38">
        <f>IF((ዕቁብ!AN111/ቦኖ!$C$4&gt;0),(1/2),0)</f>
        <v>0</v>
      </c>
      <c r="AN109" s="38">
        <f>IF((ዕቁብ!AO111/ቦኖ!$C$4&gt;0),(1/2),0)</f>
        <v>0</v>
      </c>
      <c r="AO109" s="38">
        <f>IF((ዕቁብ!AP111/ቦኖ!$C$4&gt;0),(1/2),0)</f>
        <v>0</v>
      </c>
      <c r="AP109" s="38">
        <f>IF((ዕቁብ!AQ111/ቦኖ!$C$4&gt;0),(1/2),0)</f>
        <v>0</v>
      </c>
      <c r="AQ109" s="38">
        <f>IF((ዕቁብ!AR111/ቦኖ!$C$4&gt;0),(1/2),0)</f>
        <v>0</v>
      </c>
      <c r="AR109" s="38">
        <f>IF((ዕቁብ!AS111/ቦኖ!$C$4&gt;0),(1/2),0)</f>
        <v>0</v>
      </c>
      <c r="AS109" s="38">
        <f>IF((ዕቁብ!AT111/ቦኖ!$C$4&gt;0),(1/2),0)</f>
        <v>0</v>
      </c>
      <c r="AT109" s="38">
        <f>IF((ዕቁብ!AU111/ቦኖ!$C$4&gt;0),(1/2),0)</f>
        <v>0</v>
      </c>
      <c r="AU109" s="38">
        <f>IF((ዕቁብ!AV111/ቦኖ!$C$4&gt;0),(1/2),0)</f>
        <v>0</v>
      </c>
      <c r="AV109" s="38">
        <f>IF((ዕቁብ!AW111/ቦኖ!$C$4&gt;0),(1/2),0)</f>
        <v>0</v>
      </c>
      <c r="AW109" s="38">
        <f>IF((ዕቁብ!AX111/ቦኖ!$C$4&gt;0),(1/2),0)</f>
        <v>0</v>
      </c>
      <c r="AX109" s="38">
        <f>IF((ዕቁብ!AY111/ቦኖ!$C$4&gt;0),(1/2),0)</f>
        <v>0</v>
      </c>
      <c r="AY109" s="38">
        <f>IF((ዕቁብ!AZ111/ቦኖ!$C$4&gt;0),(1/2),0)</f>
        <v>0</v>
      </c>
      <c r="AZ109" s="38">
        <f>IF((ዕቁብ!BA111/ቦኖ!$C$4&gt;0),(1/2),0)</f>
        <v>0</v>
      </c>
      <c r="BA109" s="38">
        <f>IF((ዕቁብ!BB111/ቦኖ!$C$4&gt;0),(1/2),0)</f>
        <v>0</v>
      </c>
      <c r="BB109" s="38">
        <f>IF((ዕቁብ!BC111/ቦኖ!$C$4&gt;0),(1/2),0)</f>
        <v>0</v>
      </c>
      <c r="BC109" s="38">
        <f>IF((ዕቁብ!BD111/ቦኖ!$C$4&gt;0),(1/2),0)</f>
        <v>0</v>
      </c>
      <c r="BD109" s="38">
        <f>IF((ዕቁብ!BE111/ቦኖ!$C$4&gt;0),(1/2),0)</f>
        <v>0</v>
      </c>
      <c r="BE109" s="38">
        <f>IF((ዕቁብ!BF111/ቦኖ!$C$4&gt;0),(1/2),0)</f>
        <v>0</v>
      </c>
      <c r="BF109" s="38">
        <f>IF((ዕቁብ!BG111/ቦኖ!$C$4&gt;0),(1/2),0)</f>
        <v>0</v>
      </c>
      <c r="BG109" s="38">
        <f>IF((ዕቁብ!BH111/ቦኖ!$C$4&gt;0),(1/2),0)</f>
        <v>0</v>
      </c>
      <c r="BH109" s="38">
        <f>IF((ዕቁብ!BI111/ቦኖ!$C$4&gt;0),(1/2),0)</f>
        <v>0</v>
      </c>
      <c r="BI109" s="38">
        <f>IF((ዕቁብ!BJ111/ቦኖ!$C$4&gt;0),(1/2),0)</f>
        <v>0</v>
      </c>
      <c r="BJ109" s="38">
        <f>IF((ዕቁብ!BK111/ቦኖ!$C$4&gt;0),(1/2),0)</f>
        <v>0</v>
      </c>
      <c r="BK109" s="38">
        <f>IF((ዕቁብ!BL111/ቦኖ!$C$4&gt;0),(1/2),0)</f>
        <v>0</v>
      </c>
      <c r="BL109" s="38">
        <f>IF((ዕቁብ!BM111/ቦኖ!$C$4&gt;0),(1/2),0)</f>
        <v>0</v>
      </c>
      <c r="BM109" s="38">
        <f>IF((ዕቁብ!BN111/ቦኖ!$C$4&gt;0),(1/2),0)</f>
        <v>0</v>
      </c>
      <c r="BN109" s="38">
        <f>IF((ዕቁብ!BO111/ቦኖ!$C$4&gt;0),(1/2),0)</f>
        <v>0</v>
      </c>
      <c r="BO109" s="38">
        <f>IF((ዕቁብ!BP111/ቦኖ!$C$4&gt;0),(1/2),0)</f>
        <v>0</v>
      </c>
      <c r="BP109" s="38">
        <f>IF((ዕቁብ!BQ111/ቦኖ!$C$4&gt;0),(1/2),0)</f>
        <v>0</v>
      </c>
      <c r="BQ109" s="38">
        <f>IF((ዕቁብ!BR111/ቦኖ!$C$4&gt;0),(1/2),0)</f>
        <v>0</v>
      </c>
      <c r="BR109" s="38">
        <f>IF((ዕቁብ!BS111/ቦኖ!$C$4&gt;0),(1/2),0)</f>
        <v>0</v>
      </c>
      <c r="BS109" s="38">
        <f>IF((ዕቁብ!BT111/ቦኖ!$C$4&gt;0),(1/2),0)</f>
        <v>0</v>
      </c>
      <c r="BT109" s="38">
        <f>IF((ዕቁብ!BU111/ቦኖ!$C$4&gt;0),(1/2),0)</f>
        <v>0</v>
      </c>
      <c r="BU109" s="38">
        <f>IF((ዕቁብ!BV111/ቦኖ!$C$4&gt;0),(1/2),0)</f>
        <v>0</v>
      </c>
      <c r="BV109" s="38">
        <f>IF((ዕቁብ!BW111/ቦኖ!$C$4&gt;0),(1/2),0)</f>
        <v>0</v>
      </c>
      <c r="BW109" s="38">
        <f>IF((ዕቁብ!BX111/ቦኖ!$C$4&gt;0),(1/2),0)</f>
        <v>0</v>
      </c>
      <c r="BX109" s="38">
        <f>IF((ዕቁብ!BY111/ቦኖ!$C$4&gt;0),(1/2),0)</f>
        <v>0</v>
      </c>
      <c r="BY109" s="38">
        <f>IF((ዕቁብ!BZ111/ቦኖ!$C$4&gt;0),(1/2),0)</f>
        <v>0</v>
      </c>
      <c r="BZ109" s="38">
        <f>IF((ዕቁብ!CA111/ቦኖ!$C$4&gt;0),(1/2),0)</f>
        <v>0</v>
      </c>
      <c r="CA109" s="38">
        <f>IF((ዕቁብ!CB111/ቦኖ!$C$4&gt;0),(1/2),0)</f>
        <v>0</v>
      </c>
      <c r="CB109" s="38">
        <f>IF((ዕቁብ!CC111/ቦኖ!$C$4&gt;0),(1/2),0)</f>
        <v>0</v>
      </c>
      <c r="CC109" s="38">
        <f>IF((ዕቁብ!CD111/ቦኖ!$C$4&gt;0),(1/2),0)</f>
        <v>0</v>
      </c>
      <c r="CD109" s="38">
        <f>IF((ዕቁብ!CE111/ቦኖ!$C$4&gt;0),(1/2),0)</f>
        <v>0</v>
      </c>
      <c r="CE109" s="38">
        <f>IF((ዕቁብ!CF111/ቦኖ!$C$4&gt;0),(1/2),0)</f>
        <v>0</v>
      </c>
      <c r="CF109" s="38">
        <f>IF((ዕቁብ!CG111/ቦኖ!$C$4&gt;0),(1/2),0)</f>
        <v>0</v>
      </c>
      <c r="CG109" s="38">
        <f>IF((ዕቁብ!CH111/ቦኖ!$C$4&gt;0),(1/2),0)</f>
        <v>0</v>
      </c>
      <c r="CH109" s="38">
        <f>IF((ዕቁብ!CI111/ቦኖ!$C$4&gt;0),(1/2),0)</f>
        <v>0</v>
      </c>
      <c r="CI109" s="38">
        <f>IF((ዕቁብ!CJ111/ቦኖ!$C$4&gt;0),(1/2),0)</f>
        <v>0</v>
      </c>
      <c r="CJ109" s="38">
        <f>IF((ዕቁብ!CK111/ቦኖ!$C$4&gt;0),(1/2),0)</f>
        <v>0</v>
      </c>
      <c r="CK109" s="38">
        <f>IF((ዕቁብ!CL111/ቦኖ!$C$4&gt;0),(1/2),0)</f>
        <v>0</v>
      </c>
      <c r="CL109" s="38">
        <f>IF((ዕቁብ!CM111/ቦኖ!$C$4&gt;0),(1/2),0)</f>
        <v>0</v>
      </c>
      <c r="CM109" s="38">
        <f>IF((ዕቁብ!CN111/ቦኖ!$C$4&gt;0),(1/2),0)</f>
        <v>0</v>
      </c>
      <c r="CN109" s="38">
        <f>IF((ዕቁብ!CO111/ቦኖ!$C$4&gt;0),(1/2),0)</f>
        <v>0</v>
      </c>
      <c r="CO109" s="38">
        <f>IF((ዕቁብ!CP111/ቦኖ!$C$4&gt;0),(1/2),0)</f>
        <v>0</v>
      </c>
      <c r="CP109" s="38">
        <f>IF((ዕቁብ!CQ111/ቦኖ!$C$4&gt;0),(1/2),0)</f>
        <v>0</v>
      </c>
      <c r="CQ109" s="38">
        <f>IF((ዕቁብ!CR111/ቦኖ!$C$4&gt;0),(1/2),0)</f>
        <v>0</v>
      </c>
      <c r="CR109" s="38">
        <f>IF((ዕቁብ!CS111/ቦኖ!$C$4&gt;0),(1/2),0)</f>
        <v>0</v>
      </c>
      <c r="CS109" s="38">
        <f>IF((ዕቁብ!CT111/ቦኖ!$C$4&gt;0),(1/2),0)</f>
        <v>0</v>
      </c>
      <c r="CT109" s="38">
        <f>IF((ዕቁብ!CU111/ቦኖ!$C$4&gt;0),(1/2),0)</f>
        <v>0</v>
      </c>
      <c r="CU109" s="38">
        <f>IF((ዕቁብ!CV111/ቦኖ!$C$4&gt;0),(1/2),0)</f>
        <v>0</v>
      </c>
      <c r="CV109" s="38">
        <f>IF((ዕቁብ!CW111/ቦኖ!$C$4&gt;0),(1/2),0)</f>
        <v>0</v>
      </c>
      <c r="CW109" s="38">
        <f>IF((ዕቁብ!CX111/ቦኖ!$C$4&gt;0),(1/2),0)</f>
        <v>0</v>
      </c>
      <c r="CX109" s="38">
        <f>IF((ዕቁብ!CY111/ቦኖ!$C$4&gt;0),(1/2),0)</f>
        <v>0</v>
      </c>
      <c r="CY109" s="38">
        <f>IF((ዕቁብ!CZ111/ቦኖ!$C$4&gt;0),(1/2),0)</f>
        <v>0</v>
      </c>
      <c r="CZ109" s="38">
        <f>IF((ዕቁብ!DA111/ቦኖ!$C$4&gt;0),(1/2),0)</f>
        <v>0</v>
      </c>
      <c r="DA109" s="38">
        <f>IF((ዕቁብ!DB111/ቦኖ!$C$4&gt;0),(1/2),0)</f>
        <v>0.5</v>
      </c>
      <c r="DB109" s="38">
        <f>IF((ዕቁብ!DC111/ቦኖ!$C$4&gt;0),(1/2),0)</f>
        <v>0</v>
      </c>
      <c r="DC109" s="38">
        <f>IF((ዕቁብ!DD111/ቦኖ!$C$4&gt;0),(1/2),0)</f>
        <v>0</v>
      </c>
      <c r="DD109" s="38">
        <f>IF((ዕቁብ!DE111/ቦኖ!$C$4&gt;0),(1/2),0)</f>
        <v>0</v>
      </c>
      <c r="DE109" s="38">
        <f>IF((ዕቁብ!DF111/ቦኖ!$C$4&gt;0),(1/2),0)</f>
        <v>0</v>
      </c>
      <c r="DF109" s="38">
        <f>IF((ዕቁብ!DG111/ቦኖ!$C$4&gt;0),(1/2),0)</f>
        <v>0</v>
      </c>
      <c r="DG109" s="38">
        <f>IF((ዕቁብ!DH111/ቦኖ!$C$4&gt;0),(1/2),0)</f>
        <v>0.5</v>
      </c>
      <c r="DH109" s="38">
        <f>IF((ዕቁብ!DI111/ቦኖ!$C$4&gt;0),(1/2),0)</f>
        <v>0</v>
      </c>
      <c r="DI109" s="38">
        <f>IF((ዕቁብ!DJ111/ቦኖ!$C$4&gt;0),(1/2),0)</f>
        <v>0</v>
      </c>
      <c r="DJ109" s="38">
        <f>IF((ዕቁብ!DK111/ቦኖ!$C$4&gt;0),(1/2),0)</f>
        <v>0</v>
      </c>
      <c r="DK109" s="38">
        <f>IF((ዕቁብ!DL111/ቦኖ!$C$4&gt;0),(1/2),0)</f>
        <v>0</v>
      </c>
      <c r="DL109" s="38">
        <f>IF((ዕቁብ!DM111/ቦኖ!$C$4&gt;0),(1/2),0)</f>
        <v>0</v>
      </c>
      <c r="DM109" s="38">
        <f>IF((ዕቁብ!DN111/ቦኖ!$C$4&gt;0),(1/2),0)</f>
        <v>0</v>
      </c>
      <c r="DN109" s="38">
        <f>IF((ዕቁብ!DO111/ቦኖ!$C$4&gt;0),(1/2),0)</f>
        <v>0</v>
      </c>
      <c r="DO109" s="38">
        <f>IF((ዕቁብ!DP111/ቦኖ!$C$4&gt;0),(1/2),0)</f>
        <v>0</v>
      </c>
      <c r="DP109" s="38">
        <f>IF((ዕቁብ!DQ111/ቦኖ!$C$4&gt;0),(1/2),0)</f>
        <v>0</v>
      </c>
      <c r="DQ109" s="38">
        <f>IF((ዕቁብ!DR111/ቦኖ!$C$4&gt;0),(1/2),0)</f>
        <v>0</v>
      </c>
    </row>
    <row r="110" spans="1:121" ht="15.75" customHeight="1" x14ac:dyDescent="0.3">
      <c r="A110" s="33">
        <f>ዕቁብ!A112</f>
        <v>100</v>
      </c>
      <c r="B110" s="33" t="str">
        <f>ዕቁብ!B112</f>
        <v>ሮዛ ተስፋማርያም</v>
      </c>
      <c r="C110" s="37">
        <f>ዕቁብ!C112</f>
        <v>10500</v>
      </c>
      <c r="D110" s="38">
        <f>IF((ዕቁብ!E112/ቦኖ!$C$4&gt;0),(1/2),0)</f>
        <v>0.5</v>
      </c>
      <c r="E110" s="38">
        <f>IF((ዕቁብ!F112/ቦኖ!$C$4&gt;0),(1/2),0)</f>
        <v>0.5</v>
      </c>
      <c r="F110" s="38">
        <f>IF((ዕቁብ!G112/ቦኖ!$C$4&gt;0),(1/2),0)</f>
        <v>0.5</v>
      </c>
      <c r="G110" s="38">
        <f>IF((ዕቁብ!H112/ቦኖ!$C$4&gt;0),(1/2),0)</f>
        <v>0.5</v>
      </c>
      <c r="H110" s="38">
        <f>IF((ዕቁብ!I112/ቦኖ!$C$4&gt;0),(1/2),0)</f>
        <v>0.5</v>
      </c>
      <c r="I110" s="38">
        <f>IF((ዕቁብ!J112/ቦኖ!$C$4&gt;0),(1/2),0)</f>
        <v>0.5</v>
      </c>
      <c r="J110" s="38">
        <f>IF((ዕቁብ!K112/ቦኖ!$C$4&gt;0),(1/2),0)</f>
        <v>0.5</v>
      </c>
      <c r="K110" s="38">
        <f>IF((ዕቁብ!L112/ቦኖ!$C$4&gt;0),(1/2),0)</f>
        <v>0.5</v>
      </c>
      <c r="L110" s="38">
        <f>IF((ዕቁብ!M112/ቦኖ!$C$4&gt;0),(1/2),0)</f>
        <v>0.5</v>
      </c>
      <c r="M110" s="38">
        <f>IF((ዕቁብ!N112/ቦኖ!$C$4&gt;0),(1/2),0)</f>
        <v>0.5</v>
      </c>
      <c r="N110" s="38">
        <f>IF((ዕቁብ!O112/ቦኖ!$C$4&gt;0),(1/2),0)</f>
        <v>0.5</v>
      </c>
      <c r="O110" s="38">
        <f>IF((ዕቁብ!P112/ቦኖ!$C$4&gt;0),(1/2),0)</f>
        <v>0.5</v>
      </c>
      <c r="P110" s="38">
        <f>IF((ዕቁብ!Q112/ቦኖ!$C$4&gt;0),(1/2),0)</f>
        <v>0.5</v>
      </c>
      <c r="Q110" s="38">
        <f>IF((ዕቁብ!R112/ቦኖ!$C$4&gt;0),(1/2),0)</f>
        <v>0.5</v>
      </c>
      <c r="R110" s="38">
        <f>IF((ዕቁብ!S112/ቦኖ!$C$4&gt;0),(1/2),0)</f>
        <v>0.5</v>
      </c>
      <c r="S110" s="38">
        <f>IF((ዕቁብ!T112/ቦኖ!$C$4&gt;0),(1/2),0)</f>
        <v>0.5</v>
      </c>
      <c r="T110" s="38">
        <f>IF((ዕቁብ!U112/ቦኖ!$C$4&gt;0),(1/2),0)</f>
        <v>0.5</v>
      </c>
      <c r="U110" s="38">
        <f>IF((ዕቁብ!V112/ቦኖ!$C$4&gt;0),(1/2),0)</f>
        <v>0.5</v>
      </c>
      <c r="V110" s="38">
        <f>IF((ዕቁብ!W112/ቦኖ!$C$4&gt;0),(1/2),0)</f>
        <v>0.5</v>
      </c>
      <c r="W110" s="38">
        <f>IF((ዕቁብ!X112/ቦኖ!$C$4&gt;0),(1/2),0)</f>
        <v>0.5</v>
      </c>
      <c r="X110" s="38">
        <f>IF((ዕቁብ!Y112/ቦኖ!$C$4&gt;0),(1/2),0)</f>
        <v>0.5</v>
      </c>
      <c r="Y110" s="38">
        <f>IF((ዕቁብ!Z112/ቦኖ!$C$4&gt;0),(1/2),0)</f>
        <v>0.5</v>
      </c>
      <c r="Z110" s="38">
        <f>IF((ዕቁብ!AA112/ቦኖ!$C$4&gt;0),(1/2),0)</f>
        <v>0.5</v>
      </c>
      <c r="AA110" s="38">
        <f>IF((ዕቁብ!AB112/ቦኖ!$C$4&gt;0),(1/2),0)</f>
        <v>0</v>
      </c>
      <c r="AB110" s="38">
        <f>IF((ዕቁብ!AC112/ቦኖ!$C$4&gt;0),(1/2),0)</f>
        <v>0.5</v>
      </c>
      <c r="AC110" s="38">
        <f>IF((ዕቁብ!AD112/ቦኖ!$C$4&gt;0),(1/2),0)</f>
        <v>0.5</v>
      </c>
      <c r="AD110" s="38">
        <f>IF((ዕቁብ!AE112/ቦኖ!$C$4&gt;0),(1/2),0)</f>
        <v>0.5</v>
      </c>
      <c r="AE110" s="38">
        <f>IF((ዕቁብ!AF112/ቦኖ!$C$4&gt;0),(1/2),0)</f>
        <v>0.5</v>
      </c>
      <c r="AF110" s="38">
        <f>IF((ዕቁብ!AG112/ቦኖ!$C$4&gt;0),(1/2),0)</f>
        <v>0.5</v>
      </c>
      <c r="AG110" s="38">
        <f>IF((ዕቁብ!AH112/ቦኖ!$C$4&gt;0),(1/2),0)</f>
        <v>0.5</v>
      </c>
      <c r="AH110" s="38">
        <f>IF((ዕቁብ!AI112/ቦኖ!$C$4&gt;0),(1/2),0)</f>
        <v>0.5</v>
      </c>
      <c r="AI110" s="38">
        <f>IF((ዕቁብ!AJ112/ቦኖ!$C$4&gt;0),(1/2),0)</f>
        <v>0.5</v>
      </c>
      <c r="AJ110" s="38">
        <f>IF((ዕቁብ!AK112/ቦኖ!$C$4&gt;0),(1/2),0)</f>
        <v>0.5</v>
      </c>
      <c r="AK110" s="38">
        <f>IF((ዕቁብ!AL112/ቦኖ!$C$4&gt;0),(1/2),0)</f>
        <v>0.5</v>
      </c>
      <c r="AL110" s="38">
        <f>IF((ዕቁብ!AM112/ቦኖ!$C$4&gt;0),(1/2),0)</f>
        <v>0.5</v>
      </c>
      <c r="AM110" s="38">
        <f>IF((ዕቁብ!AN112/ቦኖ!$C$4&gt;0),(1/2),0)</f>
        <v>0.5</v>
      </c>
      <c r="AN110" s="38">
        <f>IF((ዕቁብ!AO112/ቦኖ!$C$4&gt;0),(1/2),0)</f>
        <v>0.5</v>
      </c>
      <c r="AO110" s="38">
        <f>IF((ዕቁብ!AP112/ቦኖ!$C$4&gt;0),(1/2),0)</f>
        <v>0.5</v>
      </c>
      <c r="AP110" s="38">
        <f>IF((ዕቁብ!AQ112/ቦኖ!$C$4&gt;0),(1/2),0)</f>
        <v>0.5</v>
      </c>
      <c r="AQ110" s="38">
        <f>IF((ዕቁብ!AR112/ቦኖ!$C$4&gt;0),(1/2),0)</f>
        <v>0.5</v>
      </c>
      <c r="AR110" s="38">
        <f>IF((ዕቁብ!AS112/ቦኖ!$C$4&gt;0),(1/2),0)</f>
        <v>0.5</v>
      </c>
      <c r="AS110" s="38">
        <f>IF((ዕቁብ!AT112/ቦኖ!$C$4&gt;0),(1/2),0)</f>
        <v>0.5</v>
      </c>
      <c r="AT110" s="38">
        <f>IF((ዕቁብ!AU112/ቦኖ!$C$4&gt;0),(1/2),0)</f>
        <v>0.5</v>
      </c>
      <c r="AU110" s="38">
        <f>IF((ዕቁብ!AV112/ቦኖ!$C$4&gt;0),(1/2),0)</f>
        <v>0.5</v>
      </c>
      <c r="AV110" s="38">
        <f>IF((ዕቁብ!AW112/ቦኖ!$C$4&gt;0),(1/2),0)</f>
        <v>0</v>
      </c>
      <c r="AW110" s="38">
        <f>IF((ዕቁብ!AX112/ቦኖ!$C$4&gt;0),(1/2),0)</f>
        <v>0.5</v>
      </c>
      <c r="AX110" s="38">
        <f>IF((ዕቁብ!AY112/ቦኖ!$C$4&gt;0),(1/2),0)</f>
        <v>0.5</v>
      </c>
      <c r="AY110" s="38">
        <f>IF((ዕቁብ!AZ112/ቦኖ!$C$4&gt;0),(1/2),0)</f>
        <v>0</v>
      </c>
      <c r="AZ110" s="38">
        <f>IF((ዕቁብ!BA112/ቦኖ!$C$4&gt;0),(1/2),0)</f>
        <v>0.5</v>
      </c>
      <c r="BA110" s="38">
        <f>IF((ዕቁብ!BB112/ቦኖ!$C$4&gt;0),(1/2),0)</f>
        <v>0.5</v>
      </c>
      <c r="BB110" s="38">
        <f>IF((ዕቁብ!BC112/ቦኖ!$C$4&gt;0),(1/2),0)</f>
        <v>0.5</v>
      </c>
      <c r="BC110" s="38">
        <f>IF((ዕቁብ!BD112/ቦኖ!$C$4&gt;0),(1/2),0)</f>
        <v>0.5</v>
      </c>
      <c r="BD110" s="38">
        <f>IF((ዕቁብ!BE112/ቦኖ!$C$4&gt;0),(1/2),0)</f>
        <v>0.5</v>
      </c>
      <c r="BE110" s="38">
        <f>IF((ዕቁብ!BF112/ቦኖ!$C$4&gt;0),(1/2),0)</f>
        <v>0</v>
      </c>
      <c r="BF110" s="38">
        <f>IF((ዕቁብ!BG112/ቦኖ!$C$4&gt;0),(1/2),0)</f>
        <v>0</v>
      </c>
      <c r="BG110" s="38">
        <f>IF((ዕቁብ!BH112/ቦኖ!$C$4&gt;0),(1/2),0)</f>
        <v>0.5</v>
      </c>
      <c r="BH110" s="38">
        <f>IF((ዕቁብ!BI112/ቦኖ!$C$4&gt;0),(1/2),0)</f>
        <v>0.5</v>
      </c>
      <c r="BI110" s="38">
        <f>IF((ዕቁብ!BJ112/ቦኖ!$C$4&gt;0),(1/2),0)</f>
        <v>0.5</v>
      </c>
      <c r="BJ110" s="38">
        <f>IF((ዕቁብ!BK112/ቦኖ!$C$4&gt;0),(1/2),0)</f>
        <v>0</v>
      </c>
      <c r="BK110" s="38">
        <f>IF((ዕቁብ!BL112/ቦኖ!$C$4&gt;0),(1/2),0)</f>
        <v>0</v>
      </c>
      <c r="BL110" s="38">
        <f>IF((ዕቁብ!BM112/ቦኖ!$C$4&gt;0),(1/2),0)</f>
        <v>0.5</v>
      </c>
      <c r="BM110" s="38">
        <f>IF((ዕቁብ!BN112/ቦኖ!$C$4&gt;0),(1/2),0)</f>
        <v>0</v>
      </c>
      <c r="BN110" s="38">
        <f>IF((ዕቁብ!BO112/ቦኖ!$C$4&gt;0),(1/2),0)</f>
        <v>0</v>
      </c>
      <c r="BO110" s="38">
        <f>IF((ዕቁብ!BP112/ቦኖ!$C$4&gt;0),(1/2),0)</f>
        <v>0.5</v>
      </c>
      <c r="BP110" s="38">
        <f>IF((ዕቁብ!BQ112/ቦኖ!$C$4&gt;0),(1/2),0)</f>
        <v>0</v>
      </c>
      <c r="BQ110" s="38">
        <f>IF((ዕቁብ!BR112/ቦኖ!$C$4&gt;0),(1/2),0)</f>
        <v>0.5</v>
      </c>
      <c r="BR110" s="38">
        <f>IF((ዕቁብ!BS112/ቦኖ!$C$4&gt;0),(1/2),0)</f>
        <v>0.5</v>
      </c>
      <c r="BS110" s="38">
        <f>IF((ዕቁብ!BT112/ቦኖ!$C$4&gt;0),(1/2),0)</f>
        <v>0</v>
      </c>
      <c r="BT110" s="38">
        <f>IF((ዕቁብ!BU112/ቦኖ!$C$4&gt;0),(1/2),0)</f>
        <v>0</v>
      </c>
      <c r="BU110" s="38">
        <f>IF((ዕቁብ!BV112/ቦኖ!$C$4&gt;0),(1/2),0)</f>
        <v>0.5</v>
      </c>
      <c r="BV110" s="38">
        <f>IF((ዕቁብ!BW112/ቦኖ!$C$4&gt;0),(1/2),0)</f>
        <v>0</v>
      </c>
      <c r="BW110" s="38">
        <f>IF((ዕቁብ!BX112/ቦኖ!$C$4&gt;0),(1/2),0)</f>
        <v>0</v>
      </c>
      <c r="BX110" s="38">
        <f>IF((ዕቁብ!BY112/ቦኖ!$C$4&gt;0),(1/2),0)</f>
        <v>0</v>
      </c>
      <c r="BY110" s="38">
        <f>IF((ዕቁብ!BZ112/ቦኖ!$C$4&gt;0),(1/2),0)</f>
        <v>0</v>
      </c>
      <c r="BZ110" s="38">
        <f>IF((ዕቁብ!CA112/ቦኖ!$C$4&gt;0),(1/2),0)</f>
        <v>0</v>
      </c>
      <c r="CA110" s="38">
        <f>IF((ዕቁብ!CB112/ቦኖ!$C$4&gt;0),(1/2),0)</f>
        <v>0.5</v>
      </c>
      <c r="CB110" s="38">
        <f>IF((ዕቁብ!CC112/ቦኖ!$C$4&gt;0),(1/2),0)</f>
        <v>0</v>
      </c>
      <c r="CC110" s="38">
        <f>IF((ዕቁብ!CD112/ቦኖ!$C$4&gt;0),(1/2),0)</f>
        <v>0</v>
      </c>
      <c r="CD110" s="38">
        <f>IF((ዕቁብ!CE112/ቦኖ!$C$4&gt;0),(1/2),0)</f>
        <v>0</v>
      </c>
      <c r="CE110" s="38">
        <f>IF((ዕቁብ!CF112/ቦኖ!$C$4&gt;0),(1/2),0)</f>
        <v>0</v>
      </c>
      <c r="CF110" s="38">
        <f>IF((ዕቁብ!CG112/ቦኖ!$C$4&gt;0),(1/2),0)</f>
        <v>0.5</v>
      </c>
      <c r="CG110" s="38">
        <f>IF((ዕቁብ!CH112/ቦኖ!$C$4&gt;0),(1/2),0)</f>
        <v>0</v>
      </c>
      <c r="CH110" s="38">
        <f>IF((ዕቁብ!CI112/ቦኖ!$C$4&gt;0),(1/2),0)</f>
        <v>0</v>
      </c>
      <c r="CI110" s="38">
        <f>IF((ዕቁብ!CJ112/ቦኖ!$C$4&gt;0),(1/2),0)</f>
        <v>0</v>
      </c>
      <c r="CJ110" s="38">
        <f>IF((ዕቁብ!CK112/ቦኖ!$C$4&gt;0),(1/2),0)</f>
        <v>0</v>
      </c>
      <c r="CK110" s="38">
        <f>IF((ዕቁብ!CL112/ቦኖ!$C$4&gt;0),(1/2),0)</f>
        <v>0</v>
      </c>
      <c r="CL110" s="38">
        <f>IF((ዕቁብ!CM112/ቦኖ!$C$4&gt;0),(1/2),0)</f>
        <v>0</v>
      </c>
      <c r="CM110" s="38">
        <f>IF((ዕቁብ!CN112/ቦኖ!$C$4&gt;0),(1/2),0)</f>
        <v>0</v>
      </c>
      <c r="CN110" s="38">
        <f>IF((ዕቁብ!CO112/ቦኖ!$C$4&gt;0),(1/2),0)</f>
        <v>0</v>
      </c>
      <c r="CO110" s="38">
        <f>IF((ዕቁብ!CP112/ቦኖ!$C$4&gt;0),(1/2),0)</f>
        <v>0</v>
      </c>
      <c r="CP110" s="38">
        <f>IF((ዕቁብ!CQ112/ቦኖ!$C$4&gt;0),(1/2),0)</f>
        <v>0</v>
      </c>
      <c r="CQ110" s="38">
        <f>IF((ዕቁብ!CR112/ቦኖ!$C$4&gt;0),(1/2),0)</f>
        <v>0</v>
      </c>
      <c r="CR110" s="38">
        <f>IF((ዕቁብ!CS112/ቦኖ!$C$4&gt;0),(1/2),0)</f>
        <v>0</v>
      </c>
      <c r="CS110" s="38">
        <f>IF((ዕቁብ!CT112/ቦኖ!$C$4&gt;0),(1/2),0)</f>
        <v>0</v>
      </c>
      <c r="CT110" s="38">
        <f>IF((ዕቁብ!CU112/ቦኖ!$C$4&gt;0),(1/2),0)</f>
        <v>0</v>
      </c>
      <c r="CU110" s="38">
        <f>IF((ዕቁብ!CV112/ቦኖ!$C$4&gt;0),(1/2),0)</f>
        <v>0</v>
      </c>
      <c r="CV110" s="38">
        <f>IF((ዕቁብ!CW112/ቦኖ!$C$4&gt;0),(1/2),0)</f>
        <v>0</v>
      </c>
      <c r="CW110" s="38">
        <f>IF((ዕቁብ!CX112/ቦኖ!$C$4&gt;0),(1/2),0)</f>
        <v>0</v>
      </c>
      <c r="CX110" s="38">
        <f>IF((ዕቁብ!CY112/ቦኖ!$C$4&gt;0),(1/2),0)</f>
        <v>0</v>
      </c>
      <c r="CY110" s="38">
        <f>IF((ዕቁብ!CZ112/ቦኖ!$C$4&gt;0),(1/2),0)</f>
        <v>0</v>
      </c>
      <c r="CZ110" s="38">
        <f>IF((ዕቁብ!DA112/ቦኖ!$C$4&gt;0),(1/2),0)</f>
        <v>0</v>
      </c>
      <c r="DA110" s="38">
        <f>IF((ዕቁብ!DB112/ቦኖ!$C$4&gt;0),(1/2),0)</f>
        <v>0.5</v>
      </c>
      <c r="DB110" s="38">
        <f>IF((ዕቁብ!DC112/ቦኖ!$C$4&gt;0),(1/2),0)</f>
        <v>0</v>
      </c>
      <c r="DC110" s="38">
        <f>IF((ዕቁብ!DD112/ቦኖ!$C$4&gt;0),(1/2),0)</f>
        <v>0</v>
      </c>
      <c r="DD110" s="38">
        <f>IF((ዕቁብ!DE112/ቦኖ!$C$4&gt;0),(1/2),0)</f>
        <v>0</v>
      </c>
      <c r="DE110" s="38">
        <f>IF((ዕቁብ!DF112/ቦኖ!$C$4&gt;0),(1/2),0)</f>
        <v>0.5</v>
      </c>
      <c r="DF110" s="38">
        <f>IF((ዕቁብ!DG112/ቦኖ!$C$4&gt;0),(1/2),0)</f>
        <v>0</v>
      </c>
      <c r="DG110" s="38">
        <f>IF((ዕቁብ!DH112/ቦኖ!$C$4&gt;0),(1/2),0)</f>
        <v>0</v>
      </c>
      <c r="DH110" s="38">
        <f>IF((ዕቁብ!DI112/ቦኖ!$C$4&gt;0),(1/2),0)</f>
        <v>0</v>
      </c>
      <c r="DI110" s="38">
        <f>IF((ዕቁብ!DJ112/ቦኖ!$C$4&gt;0),(1/2),0)</f>
        <v>0</v>
      </c>
      <c r="DJ110" s="38">
        <f>IF((ዕቁብ!DK112/ቦኖ!$C$4&gt;0),(1/2),0)</f>
        <v>0</v>
      </c>
      <c r="DK110" s="38">
        <f>IF((ዕቁብ!DL112/ቦኖ!$C$4&gt;0),(1/2),0)</f>
        <v>0</v>
      </c>
      <c r="DL110" s="38">
        <f>IF((ዕቁብ!DM112/ቦኖ!$C$4&gt;0),(1/2),0)</f>
        <v>0</v>
      </c>
      <c r="DM110" s="38">
        <f>IF((ዕቁብ!DN112/ቦኖ!$C$4&gt;0),(1/2),0)</f>
        <v>0</v>
      </c>
      <c r="DN110" s="38">
        <f>IF((ዕቁብ!DO112/ቦኖ!$C$4&gt;0),(1/2),0)</f>
        <v>0</v>
      </c>
      <c r="DO110" s="38">
        <f>IF((ዕቁብ!DP112/ቦኖ!$C$4&gt;0),(1/2),0)</f>
        <v>0</v>
      </c>
      <c r="DP110" s="38">
        <f>IF((ዕቁብ!DQ112/ቦኖ!$C$4&gt;0),(1/2),0)</f>
        <v>0</v>
      </c>
      <c r="DQ110" s="38">
        <f>IF((ዕቁብ!DR112/ቦኖ!$C$4&gt;0),(1/2),0)</f>
        <v>0</v>
      </c>
    </row>
    <row r="111" spans="1:121" ht="15.75" customHeight="1" x14ac:dyDescent="0.3">
      <c r="A111" s="33">
        <f>ዕቁብ!A113</f>
        <v>100</v>
      </c>
      <c r="B111" s="33" t="str">
        <f>ዕቁብ!B113</f>
        <v xml:space="preserve">ዘመዱ ሸኖ </v>
      </c>
      <c r="C111" s="37">
        <f>ዕቁብ!C113</f>
        <v>10500</v>
      </c>
      <c r="D111" s="38">
        <f>IF((ዕቁብ!E113/ቦኖ!$C$4&gt;0),(1/2),0)</f>
        <v>0.5</v>
      </c>
      <c r="E111" s="38">
        <f>IF((ዕቁብ!F113/ቦኖ!$C$4&gt;0),(1/2),0)</f>
        <v>0.5</v>
      </c>
      <c r="F111" s="38">
        <f>IF((ዕቁብ!G113/ቦኖ!$C$4&gt;0),(1/2),0)</f>
        <v>0.5</v>
      </c>
      <c r="G111" s="38">
        <f>IF((ዕቁብ!H113/ቦኖ!$C$4&gt;0),(1/2),0)</f>
        <v>0.5</v>
      </c>
      <c r="H111" s="38">
        <f>IF((ዕቁብ!I113/ቦኖ!$C$4&gt;0),(1/2),0)</f>
        <v>0.5</v>
      </c>
      <c r="I111" s="38">
        <f>IF((ዕቁብ!J113/ቦኖ!$C$4&gt;0),(1/2),0)</f>
        <v>0.5</v>
      </c>
      <c r="J111" s="38">
        <f>IF((ዕቁብ!K113/ቦኖ!$C$4&gt;0),(1/2),0)</f>
        <v>0.5</v>
      </c>
      <c r="K111" s="38">
        <f>IF((ዕቁብ!L113/ቦኖ!$C$4&gt;0),(1/2),0)</f>
        <v>0.5</v>
      </c>
      <c r="L111" s="38">
        <f>IF((ዕቁብ!M113/ቦኖ!$C$4&gt;0),(1/2),0)</f>
        <v>0.5</v>
      </c>
      <c r="M111" s="38">
        <f>IF((ዕቁብ!N113/ቦኖ!$C$4&gt;0),(1/2),0)</f>
        <v>0.5</v>
      </c>
      <c r="N111" s="38">
        <f>IF((ዕቁብ!O113/ቦኖ!$C$4&gt;0),(1/2),0)</f>
        <v>0.5</v>
      </c>
      <c r="O111" s="38">
        <f>IF((ዕቁብ!P113/ቦኖ!$C$4&gt;0),(1/2),0)</f>
        <v>0.5</v>
      </c>
      <c r="P111" s="38">
        <f>IF((ዕቁብ!Q113/ቦኖ!$C$4&gt;0),(1/2),0)</f>
        <v>0.5</v>
      </c>
      <c r="Q111" s="38">
        <f>IF((ዕቁብ!R113/ቦኖ!$C$4&gt;0),(1/2),0)</f>
        <v>0.5</v>
      </c>
      <c r="R111" s="38">
        <f>IF((ዕቁብ!S113/ቦኖ!$C$4&gt;0),(1/2),0)</f>
        <v>0.5</v>
      </c>
      <c r="S111" s="38">
        <f>IF((ዕቁብ!T113/ቦኖ!$C$4&gt;0),(1/2),0)</f>
        <v>0.5</v>
      </c>
      <c r="T111" s="38">
        <f>IF((ዕቁብ!U113/ቦኖ!$C$4&gt;0),(1/2),0)</f>
        <v>0.5</v>
      </c>
      <c r="U111" s="38">
        <f>IF((ዕቁብ!V113/ቦኖ!$C$4&gt;0),(1/2),0)</f>
        <v>0.5</v>
      </c>
      <c r="V111" s="38">
        <f>IF((ዕቁብ!W113/ቦኖ!$C$4&gt;0),(1/2),0)</f>
        <v>0.5</v>
      </c>
      <c r="W111" s="38">
        <f>IF((ዕቁብ!X113/ቦኖ!$C$4&gt;0),(1/2),0)</f>
        <v>0.5</v>
      </c>
      <c r="X111" s="38">
        <f>IF((ዕቁብ!Y113/ቦኖ!$C$4&gt;0),(1/2),0)</f>
        <v>0.5</v>
      </c>
      <c r="Y111" s="38">
        <f>IF((ዕቁብ!Z113/ቦኖ!$C$4&gt;0),(1/2),0)</f>
        <v>0.5</v>
      </c>
      <c r="Z111" s="38">
        <f>IF((ዕቁብ!AA113/ቦኖ!$C$4&gt;0),(1/2),0)</f>
        <v>0.5</v>
      </c>
      <c r="AA111" s="38">
        <f>IF((ዕቁብ!AB113/ቦኖ!$C$4&gt;0),(1/2),0)</f>
        <v>0</v>
      </c>
      <c r="AB111" s="38">
        <f>IF((ዕቁብ!AC113/ቦኖ!$C$4&gt;0),(1/2),0)</f>
        <v>0.5</v>
      </c>
      <c r="AC111" s="38">
        <f>IF((ዕቁብ!AD113/ቦኖ!$C$4&gt;0),(1/2),0)</f>
        <v>0.5</v>
      </c>
      <c r="AD111" s="38">
        <f>IF((ዕቁብ!AE113/ቦኖ!$C$4&gt;0),(1/2),0)</f>
        <v>0.5</v>
      </c>
      <c r="AE111" s="38">
        <f>IF((ዕቁብ!AF113/ቦኖ!$C$4&gt;0),(1/2),0)</f>
        <v>0.5</v>
      </c>
      <c r="AF111" s="38">
        <f>IF((ዕቁብ!AG113/ቦኖ!$C$4&gt;0),(1/2),0)</f>
        <v>0.5</v>
      </c>
      <c r="AG111" s="38">
        <f>IF((ዕቁብ!AH113/ቦኖ!$C$4&gt;0),(1/2),0)</f>
        <v>0.5</v>
      </c>
      <c r="AH111" s="38">
        <f>IF((ዕቁብ!AI113/ቦኖ!$C$4&gt;0),(1/2),0)</f>
        <v>0</v>
      </c>
      <c r="AI111" s="38">
        <f>IF((ዕቁብ!AJ113/ቦኖ!$C$4&gt;0),(1/2),0)</f>
        <v>0.5</v>
      </c>
      <c r="AJ111" s="38">
        <f>IF((ዕቁብ!AK113/ቦኖ!$C$4&gt;0),(1/2),0)</f>
        <v>0</v>
      </c>
      <c r="AK111" s="38">
        <f>IF((ዕቁብ!AL113/ቦኖ!$C$4&gt;0),(1/2),0)</f>
        <v>0.5</v>
      </c>
      <c r="AL111" s="38">
        <f>IF((ዕቁብ!AM113/ቦኖ!$C$4&gt;0),(1/2),0)</f>
        <v>0</v>
      </c>
      <c r="AM111" s="38">
        <f>IF((ዕቁብ!AN113/ቦኖ!$C$4&gt;0),(1/2),0)</f>
        <v>0.5</v>
      </c>
      <c r="AN111" s="38">
        <f>IF((ዕቁብ!AO113/ቦኖ!$C$4&gt;0),(1/2),0)</f>
        <v>0.5</v>
      </c>
      <c r="AO111" s="38">
        <f>IF((ዕቁብ!AP113/ቦኖ!$C$4&gt;0),(1/2),0)</f>
        <v>0.5</v>
      </c>
      <c r="AP111" s="38">
        <f>IF((ዕቁብ!AQ113/ቦኖ!$C$4&gt;0),(1/2),0)</f>
        <v>0.5</v>
      </c>
      <c r="AQ111" s="38">
        <f>IF((ዕቁብ!AR113/ቦኖ!$C$4&gt;0),(1/2),0)</f>
        <v>0.5</v>
      </c>
      <c r="AR111" s="38">
        <f>IF((ዕቁብ!AS113/ቦኖ!$C$4&gt;0),(1/2),0)</f>
        <v>0.5</v>
      </c>
      <c r="AS111" s="38">
        <f>IF((ዕቁብ!AT113/ቦኖ!$C$4&gt;0),(1/2),0)</f>
        <v>0.5</v>
      </c>
      <c r="AT111" s="38">
        <f>IF((ዕቁብ!AU113/ቦኖ!$C$4&gt;0),(1/2),0)</f>
        <v>0.5</v>
      </c>
      <c r="AU111" s="38">
        <f>IF((ዕቁብ!AV113/ቦኖ!$C$4&gt;0),(1/2),0)</f>
        <v>0</v>
      </c>
      <c r="AV111" s="38">
        <f>IF((ዕቁብ!AW113/ቦኖ!$C$4&gt;0),(1/2),0)</f>
        <v>0.5</v>
      </c>
      <c r="AW111" s="38">
        <f>IF((ዕቁብ!AX113/ቦኖ!$C$4&gt;0),(1/2),0)</f>
        <v>0.5</v>
      </c>
      <c r="AX111" s="38">
        <f>IF((ዕቁብ!AY113/ቦኖ!$C$4&gt;0),(1/2),0)</f>
        <v>0</v>
      </c>
      <c r="AY111" s="38">
        <f>IF((ዕቁብ!AZ113/ቦኖ!$C$4&gt;0),(1/2),0)</f>
        <v>0.5</v>
      </c>
      <c r="AZ111" s="38">
        <f>IF((ዕቁብ!BA113/ቦኖ!$C$4&gt;0),(1/2),0)</f>
        <v>0</v>
      </c>
      <c r="BA111" s="38">
        <f>IF((ዕቁብ!BB113/ቦኖ!$C$4&gt;0),(1/2),0)</f>
        <v>0.5</v>
      </c>
      <c r="BB111" s="38">
        <f>IF((ዕቁብ!BC113/ቦኖ!$C$4&gt;0),(1/2),0)</f>
        <v>0.5</v>
      </c>
      <c r="BC111" s="38">
        <f>IF((ዕቁብ!BD113/ቦኖ!$C$4&gt;0),(1/2),0)</f>
        <v>0.5</v>
      </c>
      <c r="BD111" s="38">
        <f>IF((ዕቁብ!BE113/ቦኖ!$C$4&gt;0),(1/2),0)</f>
        <v>0</v>
      </c>
      <c r="BE111" s="38">
        <f>IF((ዕቁብ!BF113/ቦኖ!$C$4&gt;0),(1/2),0)</f>
        <v>0.5</v>
      </c>
      <c r="BF111" s="38">
        <f>IF((ዕቁብ!BG113/ቦኖ!$C$4&gt;0),(1/2),0)</f>
        <v>0.5</v>
      </c>
      <c r="BG111" s="38">
        <f>IF((ዕቁብ!BH113/ቦኖ!$C$4&gt;0),(1/2),0)</f>
        <v>0.5</v>
      </c>
      <c r="BH111" s="38">
        <f>IF((ዕቁብ!BI113/ቦኖ!$C$4&gt;0),(1/2),0)</f>
        <v>0</v>
      </c>
      <c r="BI111" s="38">
        <f>IF((ዕቁብ!BJ113/ቦኖ!$C$4&gt;0),(1/2),0)</f>
        <v>0.5</v>
      </c>
      <c r="BJ111" s="38">
        <f>IF((ዕቁብ!BK113/ቦኖ!$C$4&gt;0),(1/2),0)</f>
        <v>0.5</v>
      </c>
      <c r="BK111" s="38">
        <f>IF((ዕቁብ!BL113/ቦኖ!$C$4&gt;0),(1/2),0)</f>
        <v>0.5</v>
      </c>
      <c r="BL111" s="38">
        <f>IF((ዕቁብ!BM113/ቦኖ!$C$4&gt;0),(1/2),0)</f>
        <v>0.5</v>
      </c>
      <c r="BM111" s="38">
        <f>IF((ዕቁብ!BN113/ቦኖ!$C$4&gt;0),(1/2),0)</f>
        <v>0</v>
      </c>
      <c r="BN111" s="38">
        <f>IF((ዕቁብ!BO113/ቦኖ!$C$4&gt;0),(1/2),0)</f>
        <v>0.5</v>
      </c>
      <c r="BO111" s="38">
        <f>IF((ዕቁብ!BP113/ቦኖ!$C$4&gt;0),(1/2),0)</f>
        <v>0.5</v>
      </c>
      <c r="BP111" s="38">
        <f>IF((ዕቁብ!BQ113/ቦኖ!$C$4&gt;0),(1/2),0)</f>
        <v>0.5</v>
      </c>
      <c r="BQ111" s="38">
        <f>IF((ዕቁብ!BR113/ቦኖ!$C$4&gt;0),(1/2),0)</f>
        <v>0</v>
      </c>
      <c r="BR111" s="38">
        <f>IF((ዕቁብ!BS113/ቦኖ!$C$4&gt;0),(1/2),0)</f>
        <v>0.5</v>
      </c>
      <c r="BS111" s="38">
        <f>IF((ዕቁብ!BT113/ቦኖ!$C$4&gt;0),(1/2),0)</f>
        <v>0</v>
      </c>
      <c r="BT111" s="38">
        <f>IF((ዕቁብ!BU113/ቦኖ!$C$4&gt;0),(1/2),0)</f>
        <v>0.5</v>
      </c>
      <c r="BU111" s="38">
        <f>IF((ዕቁብ!BV113/ቦኖ!$C$4&gt;0),(1/2),0)</f>
        <v>0</v>
      </c>
      <c r="BV111" s="38">
        <f>IF((ዕቁብ!BW113/ቦኖ!$C$4&gt;0),(1/2),0)</f>
        <v>0.5</v>
      </c>
      <c r="BW111" s="38">
        <f>IF((ዕቁብ!BX113/ቦኖ!$C$4&gt;0),(1/2),0)</f>
        <v>0.5</v>
      </c>
      <c r="BX111" s="38">
        <f>IF((ዕቁብ!BY113/ቦኖ!$C$4&gt;0),(1/2),0)</f>
        <v>0</v>
      </c>
      <c r="BY111" s="38">
        <f>IF((ዕቁብ!BZ113/ቦኖ!$C$4&gt;0),(1/2),0)</f>
        <v>0.5</v>
      </c>
      <c r="BZ111" s="38">
        <f>IF((ዕቁብ!CA113/ቦኖ!$C$4&gt;0),(1/2),0)</f>
        <v>0</v>
      </c>
      <c r="CA111" s="38">
        <f>IF((ዕቁብ!CB113/ቦኖ!$C$4&gt;0),(1/2),0)</f>
        <v>0.5</v>
      </c>
      <c r="CB111" s="38">
        <f>IF((ዕቁብ!CC113/ቦኖ!$C$4&gt;0),(1/2),0)</f>
        <v>0.5</v>
      </c>
      <c r="CC111" s="38">
        <f>IF((ዕቁብ!CD113/ቦኖ!$C$4&gt;0),(1/2),0)</f>
        <v>0.5</v>
      </c>
      <c r="CD111" s="38">
        <f>IF((ዕቁብ!CE113/ቦኖ!$C$4&gt;0),(1/2),0)</f>
        <v>0</v>
      </c>
      <c r="CE111" s="38">
        <f>IF((ዕቁብ!CF113/ቦኖ!$C$4&gt;0),(1/2),0)</f>
        <v>0.5</v>
      </c>
      <c r="CF111" s="38">
        <f>IF((ዕቁብ!CG113/ቦኖ!$C$4&gt;0),(1/2),0)</f>
        <v>0</v>
      </c>
      <c r="CG111" s="38">
        <f>IF((ዕቁብ!CH113/ቦኖ!$C$4&gt;0),(1/2),0)</f>
        <v>0.5</v>
      </c>
      <c r="CH111" s="38">
        <f>IF((ዕቁብ!CI113/ቦኖ!$C$4&gt;0),(1/2),0)</f>
        <v>0.5</v>
      </c>
      <c r="CI111" s="38">
        <f>IF((ዕቁብ!CJ113/ቦኖ!$C$4&gt;0),(1/2),0)</f>
        <v>0.5</v>
      </c>
      <c r="CJ111" s="38">
        <f>IF((ዕቁብ!CK113/ቦኖ!$C$4&gt;0),(1/2),0)</f>
        <v>0.5</v>
      </c>
      <c r="CK111" s="38">
        <f>IF((ዕቁብ!CL113/ቦኖ!$C$4&gt;0),(1/2),0)</f>
        <v>0.5</v>
      </c>
      <c r="CL111" s="38">
        <f>IF((ዕቁብ!CM113/ቦኖ!$C$4&gt;0),(1/2),0)</f>
        <v>0.5</v>
      </c>
      <c r="CM111" s="38">
        <f>IF((ዕቁብ!CN113/ቦኖ!$C$4&gt;0),(1/2),0)</f>
        <v>0.5</v>
      </c>
      <c r="CN111" s="38">
        <f>IF((ዕቁብ!CO113/ቦኖ!$C$4&gt;0),(1/2),0)</f>
        <v>0.5</v>
      </c>
      <c r="CO111" s="38">
        <f>IF((ዕቁብ!CP113/ቦኖ!$C$4&gt;0),(1/2),0)</f>
        <v>0.5</v>
      </c>
      <c r="CP111" s="38">
        <f>IF((ዕቁብ!CQ113/ቦኖ!$C$4&gt;0),(1/2),0)</f>
        <v>0.5</v>
      </c>
      <c r="CQ111" s="38">
        <f>IF((ዕቁብ!CR113/ቦኖ!$C$4&gt;0),(1/2),0)</f>
        <v>0.5</v>
      </c>
      <c r="CR111" s="38">
        <f>IF((ዕቁብ!CS113/ቦኖ!$C$4&gt;0),(1/2),0)</f>
        <v>0.5</v>
      </c>
      <c r="CS111" s="38">
        <f>IF((ዕቁብ!CT113/ቦኖ!$C$4&gt;0),(1/2),0)</f>
        <v>0.5</v>
      </c>
      <c r="CT111" s="38">
        <f>IF((ዕቁብ!CU113/ቦኖ!$C$4&gt;0),(1/2),0)</f>
        <v>0.5</v>
      </c>
      <c r="CU111" s="38">
        <f>IF((ዕቁብ!CV113/ቦኖ!$C$4&gt;0),(1/2),0)</f>
        <v>0.5</v>
      </c>
      <c r="CV111" s="38">
        <f>IF((ዕቁብ!CW113/ቦኖ!$C$4&gt;0),(1/2),0)</f>
        <v>0.5</v>
      </c>
      <c r="CW111" s="38">
        <f>IF((ዕቁብ!CX113/ቦኖ!$C$4&gt;0),(1/2),0)</f>
        <v>0.5</v>
      </c>
      <c r="CX111" s="38">
        <f>IF((ዕቁብ!CY113/ቦኖ!$C$4&gt;0),(1/2),0)</f>
        <v>0.5</v>
      </c>
      <c r="CY111" s="38">
        <f>IF((ዕቁብ!CZ113/ቦኖ!$C$4&gt;0),(1/2),0)</f>
        <v>0.5</v>
      </c>
      <c r="CZ111" s="38">
        <f>IF((ዕቁብ!DA113/ቦኖ!$C$4&gt;0),(1/2),0)</f>
        <v>0.5</v>
      </c>
      <c r="DA111" s="38">
        <f>IF((ዕቁብ!DB113/ቦኖ!$C$4&gt;0),(1/2),0)</f>
        <v>0.5</v>
      </c>
      <c r="DB111" s="38">
        <f>IF((ዕቁብ!DC113/ቦኖ!$C$4&gt;0),(1/2),0)</f>
        <v>0.5</v>
      </c>
      <c r="DC111" s="38">
        <f>IF((ዕቁብ!DD113/ቦኖ!$C$4&gt;0),(1/2),0)</f>
        <v>0.5</v>
      </c>
      <c r="DD111" s="38">
        <f>IF((ዕቁብ!DE113/ቦኖ!$C$4&gt;0),(1/2),0)</f>
        <v>0.5</v>
      </c>
      <c r="DE111" s="38">
        <f>IF((ዕቁብ!DF113/ቦኖ!$C$4&gt;0),(1/2),0)</f>
        <v>0.5</v>
      </c>
      <c r="DF111" s="38">
        <f>IF((ዕቁብ!DG113/ቦኖ!$C$4&gt;0),(1/2),0)</f>
        <v>0.5</v>
      </c>
      <c r="DG111" s="38">
        <f>IF((ዕቁብ!DH113/ቦኖ!$C$4&gt;0),(1/2),0)</f>
        <v>0.5</v>
      </c>
      <c r="DH111" s="38">
        <f>IF((ዕቁብ!DI113/ቦኖ!$C$4&gt;0),(1/2),0)</f>
        <v>0</v>
      </c>
      <c r="DI111" s="38">
        <f>IF((ዕቁብ!DJ113/ቦኖ!$C$4&gt;0),(1/2),0)</f>
        <v>0</v>
      </c>
      <c r="DJ111" s="38">
        <f>IF((ዕቁብ!DK113/ቦኖ!$C$4&gt;0),(1/2),0)</f>
        <v>0</v>
      </c>
      <c r="DK111" s="38">
        <f>IF((ዕቁብ!DL113/ቦኖ!$C$4&gt;0),(1/2),0)</f>
        <v>0</v>
      </c>
      <c r="DL111" s="38">
        <f>IF((ዕቁብ!DM113/ቦኖ!$C$4&gt;0),(1/2),0)</f>
        <v>0</v>
      </c>
      <c r="DM111" s="38">
        <f>IF((ዕቁብ!DN113/ቦኖ!$C$4&gt;0),(1/2),0)</f>
        <v>0</v>
      </c>
      <c r="DN111" s="38">
        <f>IF((ዕቁብ!DO113/ቦኖ!$C$4&gt;0),(1/2),0)</f>
        <v>0</v>
      </c>
      <c r="DO111" s="38">
        <f>IF((ዕቁብ!DP113/ቦኖ!$C$4&gt;0),(1/2),0)</f>
        <v>0</v>
      </c>
      <c r="DP111" s="38">
        <f>IF((ዕቁብ!DQ113/ቦኖ!$C$4&gt;0),(1/2),0)</f>
        <v>0</v>
      </c>
      <c r="DQ111" s="38">
        <f>IF((ዕቁብ!DR113/ቦኖ!$C$4&gt;0),(1/2),0)</f>
        <v>0</v>
      </c>
    </row>
    <row r="112" spans="1:121" ht="15.75" customHeight="1" x14ac:dyDescent="0.3">
      <c r="A112" s="33">
        <f>ዕቁብ!A114</f>
        <v>101</v>
      </c>
      <c r="B112" s="33" t="str">
        <f>ዕቁብ!B114</f>
        <v>ሰጋሮ ገለሶ</v>
      </c>
      <c r="C112" s="37">
        <f>ዕቁብ!C114</f>
        <v>10500</v>
      </c>
      <c r="D112" s="38">
        <f>IF((ዕቁብ!E114/ቦኖ!$C$4&gt;0),(1/2),0)</f>
        <v>0.5</v>
      </c>
      <c r="E112" s="38">
        <f>IF((ዕቁብ!F114/ቦኖ!$C$4&gt;0),(1/2),0)</f>
        <v>0.5</v>
      </c>
      <c r="F112" s="38">
        <f>IF((ዕቁብ!G114/ቦኖ!$C$4&gt;0),(1/2),0)</f>
        <v>0.5</v>
      </c>
      <c r="G112" s="38">
        <f>IF((ዕቁብ!H114/ቦኖ!$C$4&gt;0),(1/2),0)</f>
        <v>0.5</v>
      </c>
      <c r="H112" s="38">
        <f>IF((ዕቁብ!I114/ቦኖ!$C$4&gt;0),(1/2),0)</f>
        <v>0.5</v>
      </c>
      <c r="I112" s="38">
        <f>IF((ዕቁብ!J114/ቦኖ!$C$4&gt;0),(1/2),0)</f>
        <v>0.5</v>
      </c>
      <c r="J112" s="38">
        <f>IF((ዕቁብ!K114/ቦኖ!$C$4&gt;0),(1/2),0)</f>
        <v>0.5</v>
      </c>
      <c r="K112" s="38">
        <f>IF((ዕቁብ!L114/ቦኖ!$C$4&gt;0),(1/2),0)</f>
        <v>0.5</v>
      </c>
      <c r="L112" s="38">
        <f>IF((ዕቁብ!M114/ቦኖ!$C$4&gt;0),(1/2),0)</f>
        <v>0.5</v>
      </c>
      <c r="M112" s="38">
        <f>IF((ዕቁብ!N114/ቦኖ!$C$4&gt;0),(1/2),0)</f>
        <v>0.5</v>
      </c>
      <c r="N112" s="38">
        <f>IF((ዕቁብ!O114/ቦኖ!$C$4&gt;0),(1/2),0)</f>
        <v>0.5</v>
      </c>
      <c r="O112" s="38">
        <f>IF((ዕቁብ!P114/ቦኖ!$C$4&gt;0),(1/2),0)</f>
        <v>0.5</v>
      </c>
      <c r="P112" s="38">
        <f>IF((ዕቁብ!Q114/ቦኖ!$C$4&gt;0),(1/2),0)</f>
        <v>0.5</v>
      </c>
      <c r="Q112" s="38">
        <f>IF((ዕቁብ!R114/ቦኖ!$C$4&gt;0),(1/2),0)</f>
        <v>0.5</v>
      </c>
      <c r="R112" s="38">
        <f>IF((ዕቁብ!S114/ቦኖ!$C$4&gt;0),(1/2),0)</f>
        <v>0.5</v>
      </c>
      <c r="S112" s="38">
        <f>IF((ዕቁብ!T114/ቦኖ!$C$4&gt;0),(1/2),0)</f>
        <v>0.5</v>
      </c>
      <c r="T112" s="38">
        <f>IF((ዕቁብ!U114/ቦኖ!$C$4&gt;0),(1/2),0)</f>
        <v>0.5</v>
      </c>
      <c r="U112" s="38">
        <f>IF((ዕቁብ!V114/ቦኖ!$C$4&gt;0),(1/2),0)</f>
        <v>0.5</v>
      </c>
      <c r="V112" s="38">
        <f>IF((ዕቁብ!W114/ቦኖ!$C$4&gt;0),(1/2),0)</f>
        <v>0.5</v>
      </c>
      <c r="W112" s="38">
        <f>IF((ዕቁብ!X114/ቦኖ!$C$4&gt;0),(1/2),0)</f>
        <v>0</v>
      </c>
      <c r="X112" s="38">
        <f>IF((ዕቁብ!Y114/ቦኖ!$C$4&gt;0),(1/2),0)</f>
        <v>0.5</v>
      </c>
      <c r="Y112" s="38">
        <f>IF((ዕቁብ!Z114/ቦኖ!$C$4&gt;0),(1/2),0)</f>
        <v>0.5</v>
      </c>
      <c r="Z112" s="38">
        <f>IF((ዕቁብ!AA114/ቦኖ!$C$4&gt;0),(1/2),0)</f>
        <v>0.5</v>
      </c>
      <c r="AA112" s="38">
        <f>IF((ዕቁብ!AB114/ቦኖ!$C$4&gt;0),(1/2),0)</f>
        <v>0</v>
      </c>
      <c r="AB112" s="38">
        <f>IF((ዕቁብ!AC114/ቦኖ!$C$4&gt;0),(1/2),0)</f>
        <v>0.5</v>
      </c>
      <c r="AC112" s="38">
        <f>IF((ዕቁብ!AD114/ቦኖ!$C$4&gt;0),(1/2),0)</f>
        <v>0.5</v>
      </c>
      <c r="AD112" s="38">
        <f>IF((ዕቁብ!AE114/ቦኖ!$C$4&gt;0),(1/2),0)</f>
        <v>0.5</v>
      </c>
      <c r="AE112" s="38">
        <f>IF((ዕቁብ!AF114/ቦኖ!$C$4&gt;0),(1/2),0)</f>
        <v>0.5</v>
      </c>
      <c r="AF112" s="38">
        <f>IF((ዕቁብ!AG114/ቦኖ!$C$4&gt;0),(1/2),0)</f>
        <v>0.5</v>
      </c>
      <c r="AG112" s="38">
        <f>IF((ዕቁብ!AH114/ቦኖ!$C$4&gt;0),(1/2),0)</f>
        <v>0.5</v>
      </c>
      <c r="AH112" s="38">
        <f>IF((ዕቁብ!AI114/ቦኖ!$C$4&gt;0),(1/2),0)</f>
        <v>0.5</v>
      </c>
      <c r="AI112" s="38">
        <f>IF((ዕቁብ!AJ114/ቦኖ!$C$4&gt;0),(1/2),0)</f>
        <v>0.5</v>
      </c>
      <c r="AJ112" s="38">
        <f>IF((ዕቁብ!AK114/ቦኖ!$C$4&gt;0),(1/2),0)</f>
        <v>0.5</v>
      </c>
      <c r="AK112" s="38">
        <f>IF((ዕቁብ!AL114/ቦኖ!$C$4&gt;0),(1/2),0)</f>
        <v>0.5</v>
      </c>
      <c r="AL112" s="38">
        <f>IF((ዕቁብ!AM114/ቦኖ!$C$4&gt;0),(1/2),0)</f>
        <v>0.5</v>
      </c>
      <c r="AM112" s="38">
        <f>IF((ዕቁብ!AN114/ቦኖ!$C$4&gt;0),(1/2),0)</f>
        <v>0.5</v>
      </c>
      <c r="AN112" s="38">
        <f>IF((ዕቁብ!AO114/ቦኖ!$C$4&gt;0),(1/2),0)</f>
        <v>0.5</v>
      </c>
      <c r="AO112" s="38">
        <f>IF((ዕቁብ!AP114/ቦኖ!$C$4&gt;0),(1/2),0)</f>
        <v>0.5</v>
      </c>
      <c r="AP112" s="38">
        <f>IF((ዕቁብ!AQ114/ቦኖ!$C$4&gt;0),(1/2),0)</f>
        <v>0.5</v>
      </c>
      <c r="AQ112" s="38">
        <f>IF((ዕቁብ!AR114/ቦኖ!$C$4&gt;0),(1/2),0)</f>
        <v>0.5</v>
      </c>
      <c r="AR112" s="38">
        <f>IF((ዕቁብ!AS114/ቦኖ!$C$4&gt;0),(1/2),0)</f>
        <v>0.5</v>
      </c>
      <c r="AS112" s="38">
        <f>IF((ዕቁብ!AT114/ቦኖ!$C$4&gt;0),(1/2),0)</f>
        <v>0.5</v>
      </c>
      <c r="AT112" s="38">
        <f>IF((ዕቁብ!AU114/ቦኖ!$C$4&gt;0),(1/2),0)</f>
        <v>0</v>
      </c>
      <c r="AU112" s="38">
        <f>IF((ዕቁብ!AV114/ቦኖ!$C$4&gt;0),(1/2),0)</f>
        <v>0.5</v>
      </c>
      <c r="AV112" s="38">
        <f>IF((ዕቁብ!AW114/ቦኖ!$C$4&gt;0),(1/2),0)</f>
        <v>0.5</v>
      </c>
      <c r="AW112" s="38">
        <f>IF((ዕቁብ!AX114/ቦኖ!$C$4&gt;0),(1/2),0)</f>
        <v>0.5</v>
      </c>
      <c r="AX112" s="38">
        <f>IF((ዕቁብ!AY114/ቦኖ!$C$4&gt;0),(1/2),0)</f>
        <v>0.5</v>
      </c>
      <c r="AY112" s="38">
        <f>IF((ዕቁብ!AZ114/ቦኖ!$C$4&gt;0),(1/2),0)</f>
        <v>0.5</v>
      </c>
      <c r="AZ112" s="38">
        <f>IF((ዕቁብ!BA114/ቦኖ!$C$4&gt;0),(1/2),0)</f>
        <v>0</v>
      </c>
      <c r="BA112" s="38">
        <f>IF((ዕቁብ!BB114/ቦኖ!$C$4&gt;0),(1/2),0)</f>
        <v>0.5</v>
      </c>
      <c r="BB112" s="38">
        <f>IF((ዕቁብ!BC114/ቦኖ!$C$4&gt;0),(1/2),0)</f>
        <v>0.5</v>
      </c>
      <c r="BC112" s="38">
        <f>IF((ዕቁብ!BD114/ቦኖ!$C$4&gt;0),(1/2),0)</f>
        <v>0.5</v>
      </c>
      <c r="BD112" s="38">
        <f>IF((ዕቁብ!BE114/ቦኖ!$C$4&gt;0),(1/2),0)</f>
        <v>0</v>
      </c>
      <c r="BE112" s="38">
        <f>IF((ዕቁብ!BF114/ቦኖ!$C$4&gt;0),(1/2),0)</f>
        <v>0.5</v>
      </c>
      <c r="BF112" s="38">
        <f>IF((ዕቁብ!BG114/ቦኖ!$C$4&gt;0),(1/2),0)</f>
        <v>0.5</v>
      </c>
      <c r="BG112" s="38">
        <f>IF((ዕቁብ!BH114/ቦኖ!$C$4&gt;0),(1/2),0)</f>
        <v>0.5</v>
      </c>
      <c r="BH112" s="38">
        <f>IF((ዕቁብ!BI114/ቦኖ!$C$4&gt;0),(1/2),0)</f>
        <v>0.5</v>
      </c>
      <c r="BI112" s="38">
        <f>IF((ዕቁብ!BJ114/ቦኖ!$C$4&gt;0),(1/2),0)</f>
        <v>0.5</v>
      </c>
      <c r="BJ112" s="38">
        <f>IF((ዕቁብ!BK114/ቦኖ!$C$4&gt;0),(1/2),0)</f>
        <v>0</v>
      </c>
      <c r="BK112" s="38">
        <f>IF((ዕቁብ!BL114/ቦኖ!$C$4&gt;0),(1/2),0)</f>
        <v>0.5</v>
      </c>
      <c r="BL112" s="38">
        <f>IF((ዕቁብ!BM114/ቦኖ!$C$4&gt;0),(1/2),0)</f>
        <v>0.5</v>
      </c>
      <c r="BM112" s="38">
        <f>IF((ዕቁብ!BN114/ቦኖ!$C$4&gt;0),(1/2),0)</f>
        <v>0</v>
      </c>
      <c r="BN112" s="38">
        <f>IF((ዕቁብ!BO114/ቦኖ!$C$4&gt;0),(1/2),0)</f>
        <v>0.5</v>
      </c>
      <c r="BO112" s="38">
        <f>IF((ዕቁብ!BP114/ቦኖ!$C$4&gt;0),(1/2),0)</f>
        <v>0.5</v>
      </c>
      <c r="BP112" s="38">
        <f>IF((ዕቁብ!BQ114/ቦኖ!$C$4&gt;0),(1/2),0)</f>
        <v>0.5</v>
      </c>
      <c r="BQ112" s="38">
        <f>IF((ዕቁብ!BR114/ቦኖ!$C$4&gt;0),(1/2),0)</f>
        <v>0</v>
      </c>
      <c r="BR112" s="38">
        <f>IF((ዕቁብ!BS114/ቦኖ!$C$4&gt;0),(1/2),0)</f>
        <v>0.5</v>
      </c>
      <c r="BS112" s="38">
        <f>IF((ዕቁብ!BT114/ቦኖ!$C$4&gt;0),(1/2),0)</f>
        <v>0</v>
      </c>
      <c r="BT112" s="38">
        <f>IF((ዕቁብ!BU114/ቦኖ!$C$4&gt;0),(1/2),0)</f>
        <v>0.5</v>
      </c>
      <c r="BU112" s="38">
        <f>IF((ዕቁብ!BV114/ቦኖ!$C$4&gt;0),(1/2),0)</f>
        <v>0</v>
      </c>
      <c r="BV112" s="38">
        <f>IF((ዕቁብ!BW114/ቦኖ!$C$4&gt;0),(1/2),0)</f>
        <v>0.5</v>
      </c>
      <c r="BW112" s="38">
        <f>IF((ዕቁብ!BX114/ቦኖ!$C$4&gt;0),(1/2),0)</f>
        <v>0</v>
      </c>
      <c r="BX112" s="38">
        <f>IF((ዕቁብ!BY114/ቦኖ!$C$4&gt;0),(1/2),0)</f>
        <v>0.5</v>
      </c>
      <c r="BY112" s="38">
        <f>IF((ዕቁብ!BZ114/ቦኖ!$C$4&gt;0),(1/2),0)</f>
        <v>0</v>
      </c>
      <c r="BZ112" s="38">
        <f>IF((ዕቁብ!CA114/ቦኖ!$C$4&gt;0),(1/2),0)</f>
        <v>0.5</v>
      </c>
      <c r="CA112" s="38">
        <f>IF((ዕቁብ!CB114/ቦኖ!$C$4&gt;0),(1/2),0)</f>
        <v>0</v>
      </c>
      <c r="CB112" s="38">
        <f>IF((ዕቁብ!CC114/ቦኖ!$C$4&gt;0),(1/2),0)</f>
        <v>0.5</v>
      </c>
      <c r="CC112" s="38">
        <f>IF((ዕቁብ!CD114/ቦኖ!$C$4&gt;0),(1/2),0)</f>
        <v>0</v>
      </c>
      <c r="CD112" s="38">
        <f>IF((ዕቁብ!CE114/ቦኖ!$C$4&gt;0),(1/2),0)</f>
        <v>0</v>
      </c>
      <c r="CE112" s="38">
        <f>IF((ዕቁብ!CF114/ቦኖ!$C$4&gt;0),(1/2),0)</f>
        <v>0.5</v>
      </c>
      <c r="CF112" s="38">
        <f>IF((ዕቁብ!CG114/ቦኖ!$C$4&gt;0),(1/2),0)</f>
        <v>0.5</v>
      </c>
      <c r="CG112" s="38">
        <f>IF((ዕቁብ!CH114/ቦኖ!$C$4&gt;0),(1/2),0)</f>
        <v>0.5</v>
      </c>
      <c r="CH112" s="38">
        <f>IF((ዕቁብ!CI114/ቦኖ!$C$4&gt;0),(1/2),0)</f>
        <v>0.5</v>
      </c>
      <c r="CI112" s="38">
        <f>IF((ዕቁብ!CJ114/ቦኖ!$C$4&gt;0),(1/2),0)</f>
        <v>0.5</v>
      </c>
      <c r="CJ112" s="38">
        <f>IF((ዕቁብ!CK114/ቦኖ!$C$4&gt;0),(1/2),0)</f>
        <v>0.5</v>
      </c>
      <c r="CK112" s="38">
        <f>IF((ዕቁብ!CL114/ቦኖ!$C$4&gt;0),(1/2),0)</f>
        <v>0.5</v>
      </c>
      <c r="CL112" s="38">
        <f>IF((ዕቁብ!CM114/ቦኖ!$C$4&gt;0),(1/2),0)</f>
        <v>0.5</v>
      </c>
      <c r="CM112" s="38">
        <f>IF((ዕቁብ!CN114/ቦኖ!$C$4&gt;0),(1/2),0)</f>
        <v>0.5</v>
      </c>
      <c r="CN112" s="38">
        <f>IF((ዕቁብ!CO114/ቦኖ!$C$4&gt;0),(1/2),0)</f>
        <v>0.5</v>
      </c>
      <c r="CO112" s="38">
        <f>IF((ዕቁብ!CP114/ቦኖ!$C$4&gt;0),(1/2),0)</f>
        <v>0</v>
      </c>
      <c r="CP112" s="38">
        <f>IF((ዕቁብ!CQ114/ቦኖ!$C$4&gt;0),(1/2),0)</f>
        <v>0.5</v>
      </c>
      <c r="CQ112" s="38">
        <f>IF((ዕቁብ!CR114/ቦኖ!$C$4&gt;0),(1/2),0)</f>
        <v>0</v>
      </c>
      <c r="CR112" s="38">
        <f>IF((ዕቁብ!CS114/ቦኖ!$C$4&gt;0),(1/2),0)</f>
        <v>0.5</v>
      </c>
      <c r="CS112" s="38">
        <f>IF((ዕቁብ!CT114/ቦኖ!$C$4&gt;0),(1/2),0)</f>
        <v>0.5</v>
      </c>
      <c r="CT112" s="38">
        <f>IF((ዕቁብ!CU114/ቦኖ!$C$4&gt;0),(1/2),0)</f>
        <v>0.5</v>
      </c>
      <c r="CU112" s="38">
        <f>IF((ዕቁብ!CV114/ቦኖ!$C$4&gt;0),(1/2),0)</f>
        <v>0.5</v>
      </c>
      <c r="CV112" s="38">
        <f>IF((ዕቁብ!CW114/ቦኖ!$C$4&gt;0),(1/2),0)</f>
        <v>0.5</v>
      </c>
      <c r="CW112" s="38">
        <f>IF((ዕቁብ!CX114/ቦኖ!$C$4&gt;0),(1/2),0)</f>
        <v>0.5</v>
      </c>
      <c r="CX112" s="38">
        <f>IF((ዕቁብ!CY114/ቦኖ!$C$4&gt;0),(1/2),0)</f>
        <v>0.5</v>
      </c>
      <c r="CY112" s="38">
        <f>IF((ዕቁብ!CZ114/ቦኖ!$C$4&gt;0),(1/2),0)</f>
        <v>0.5</v>
      </c>
      <c r="CZ112" s="38">
        <f>IF((ዕቁብ!DA114/ቦኖ!$C$4&gt;0),(1/2),0)</f>
        <v>0.5</v>
      </c>
      <c r="DA112" s="38">
        <f>IF((ዕቁብ!DB114/ቦኖ!$C$4&gt;0),(1/2),0)</f>
        <v>0.5</v>
      </c>
      <c r="DB112" s="38">
        <f>IF((ዕቁብ!DC114/ቦኖ!$C$4&gt;0),(1/2),0)</f>
        <v>0.5</v>
      </c>
      <c r="DC112" s="38">
        <f>IF((ዕቁብ!DD114/ቦኖ!$C$4&gt;0),(1/2),0)</f>
        <v>0.5</v>
      </c>
      <c r="DD112" s="38">
        <f>IF((ዕቁብ!DE114/ቦኖ!$C$4&gt;0),(1/2),0)</f>
        <v>0</v>
      </c>
      <c r="DE112" s="38">
        <f>IF((ዕቁብ!DF114/ቦኖ!$C$4&gt;0),(1/2),0)</f>
        <v>0.5</v>
      </c>
      <c r="DF112" s="38">
        <f>IF((ዕቁብ!DG114/ቦኖ!$C$4&gt;0),(1/2),0)</f>
        <v>0.5</v>
      </c>
      <c r="DG112" s="38">
        <f>IF((ዕቁብ!DH114/ቦኖ!$C$4&gt;0),(1/2),0)</f>
        <v>0</v>
      </c>
      <c r="DH112" s="38">
        <f>IF((ዕቁብ!DI114/ቦኖ!$C$4&gt;0),(1/2),0)</f>
        <v>0</v>
      </c>
      <c r="DI112" s="38">
        <f>IF((ዕቁብ!DJ114/ቦኖ!$C$4&gt;0),(1/2),0)</f>
        <v>0</v>
      </c>
      <c r="DJ112" s="38">
        <f>IF((ዕቁብ!DK114/ቦኖ!$C$4&gt;0),(1/2),0)</f>
        <v>0</v>
      </c>
      <c r="DK112" s="38">
        <f>IF((ዕቁብ!DL114/ቦኖ!$C$4&gt;0),(1/2),0)</f>
        <v>0</v>
      </c>
      <c r="DL112" s="38">
        <f>IF((ዕቁብ!DM114/ቦኖ!$C$4&gt;0),(1/2),0)</f>
        <v>0</v>
      </c>
      <c r="DM112" s="38">
        <f>IF((ዕቁብ!DN114/ቦኖ!$C$4&gt;0),(1/2),0)</f>
        <v>0</v>
      </c>
      <c r="DN112" s="38">
        <f>IF((ዕቁብ!DO114/ቦኖ!$C$4&gt;0),(1/2),0)</f>
        <v>0</v>
      </c>
      <c r="DO112" s="38">
        <f>IF((ዕቁብ!DP114/ቦኖ!$C$4&gt;0),(1/2),0)</f>
        <v>0</v>
      </c>
      <c r="DP112" s="38">
        <f>IF((ዕቁብ!DQ114/ቦኖ!$C$4&gt;0),(1/2),0)</f>
        <v>0</v>
      </c>
      <c r="DQ112" s="38">
        <f>IF((ዕቁብ!DR114/ቦኖ!$C$4&gt;0),(1/2),0)</f>
        <v>0</v>
      </c>
    </row>
    <row r="113" spans="1:121" ht="15.75" customHeight="1" x14ac:dyDescent="0.3">
      <c r="A113" s="33">
        <f>ዕቁብ!A115</f>
        <v>101</v>
      </c>
      <c r="B113" s="33" t="str">
        <f>ዕቁብ!B115</f>
        <v xml:space="preserve">ስካሬ ደጋጋ </v>
      </c>
      <c r="C113" s="37">
        <f>ዕቁብ!C115</f>
        <v>10500</v>
      </c>
      <c r="D113" s="38">
        <f>IF((ዕቁብ!E115/ቦኖ!$C$4&gt;0),(1/2),0)</f>
        <v>0.5</v>
      </c>
      <c r="E113" s="38">
        <f>IF((ዕቁብ!F115/ቦኖ!$C$4&gt;0),(1/2),0)</f>
        <v>0.5</v>
      </c>
      <c r="F113" s="38">
        <f>IF((ዕቁብ!G115/ቦኖ!$C$4&gt;0),(1/2),0)</f>
        <v>0.5</v>
      </c>
      <c r="G113" s="38">
        <f>IF((ዕቁብ!H115/ቦኖ!$C$4&gt;0),(1/2),0)</f>
        <v>0.5</v>
      </c>
      <c r="H113" s="38">
        <f>IF((ዕቁብ!I115/ቦኖ!$C$4&gt;0),(1/2),0)</f>
        <v>0.5</v>
      </c>
      <c r="I113" s="38">
        <f>IF((ዕቁብ!J115/ቦኖ!$C$4&gt;0),(1/2),0)</f>
        <v>0.5</v>
      </c>
      <c r="J113" s="38">
        <f>IF((ዕቁብ!K115/ቦኖ!$C$4&gt;0),(1/2),0)</f>
        <v>0.5</v>
      </c>
      <c r="K113" s="38">
        <f>IF((ዕቁብ!L115/ቦኖ!$C$4&gt;0),(1/2),0)</f>
        <v>0.5</v>
      </c>
      <c r="L113" s="38">
        <f>IF((ዕቁብ!M115/ቦኖ!$C$4&gt;0),(1/2),0)</f>
        <v>0.5</v>
      </c>
      <c r="M113" s="38">
        <f>IF((ዕቁብ!N115/ቦኖ!$C$4&gt;0),(1/2),0)</f>
        <v>0.5</v>
      </c>
      <c r="N113" s="38">
        <f>IF((ዕቁብ!O115/ቦኖ!$C$4&gt;0),(1/2),0)</f>
        <v>0.5</v>
      </c>
      <c r="O113" s="38">
        <f>IF((ዕቁብ!P115/ቦኖ!$C$4&gt;0),(1/2),0)</f>
        <v>0.5</v>
      </c>
      <c r="P113" s="38">
        <f>IF((ዕቁብ!Q115/ቦኖ!$C$4&gt;0),(1/2),0)</f>
        <v>0.5</v>
      </c>
      <c r="Q113" s="38">
        <f>IF((ዕቁብ!R115/ቦኖ!$C$4&gt;0),(1/2),0)</f>
        <v>0.5</v>
      </c>
      <c r="R113" s="38">
        <f>IF((ዕቁብ!S115/ቦኖ!$C$4&gt;0),(1/2),0)</f>
        <v>0.5</v>
      </c>
      <c r="S113" s="38">
        <f>IF((ዕቁብ!T115/ቦኖ!$C$4&gt;0),(1/2),0)</f>
        <v>0.5</v>
      </c>
      <c r="T113" s="38">
        <f>IF((ዕቁብ!U115/ቦኖ!$C$4&gt;0),(1/2),0)</f>
        <v>0.5</v>
      </c>
      <c r="U113" s="38">
        <f>IF((ዕቁብ!V115/ቦኖ!$C$4&gt;0),(1/2),0)</f>
        <v>0.5</v>
      </c>
      <c r="V113" s="38">
        <f>IF((ዕቁብ!W115/ቦኖ!$C$4&gt;0),(1/2),0)</f>
        <v>0.5</v>
      </c>
      <c r="W113" s="38">
        <f>IF((ዕቁብ!X115/ቦኖ!$C$4&gt;0),(1/2),0)</f>
        <v>0.5</v>
      </c>
      <c r="X113" s="38">
        <f>IF((ዕቁብ!Y115/ቦኖ!$C$4&gt;0),(1/2),0)</f>
        <v>0.5</v>
      </c>
      <c r="Y113" s="38">
        <f>IF((ዕቁብ!Z115/ቦኖ!$C$4&gt;0),(1/2),0)</f>
        <v>0.5</v>
      </c>
      <c r="Z113" s="38">
        <f>IF((ዕቁብ!AA115/ቦኖ!$C$4&gt;0),(1/2),0)</f>
        <v>0.5</v>
      </c>
      <c r="AA113" s="38">
        <f>IF((ዕቁብ!AB115/ቦኖ!$C$4&gt;0),(1/2),0)</f>
        <v>0.5</v>
      </c>
      <c r="AB113" s="38">
        <f>IF((ዕቁብ!AC115/ቦኖ!$C$4&gt;0),(1/2),0)</f>
        <v>0.5</v>
      </c>
      <c r="AC113" s="38">
        <f>IF((ዕቁብ!AD115/ቦኖ!$C$4&gt;0),(1/2),0)</f>
        <v>0.5</v>
      </c>
      <c r="AD113" s="38">
        <f>IF((ዕቁብ!AE115/ቦኖ!$C$4&gt;0),(1/2),0)</f>
        <v>0.5</v>
      </c>
      <c r="AE113" s="38">
        <f>IF((ዕቁብ!AF115/ቦኖ!$C$4&gt;0),(1/2),0)</f>
        <v>0.5</v>
      </c>
      <c r="AF113" s="38">
        <f>IF((ዕቁብ!AG115/ቦኖ!$C$4&gt;0),(1/2),0)</f>
        <v>0.5</v>
      </c>
      <c r="AG113" s="38">
        <f>IF((ዕቁብ!AH115/ቦኖ!$C$4&gt;0),(1/2),0)</f>
        <v>0.5</v>
      </c>
      <c r="AH113" s="38">
        <f>IF((ዕቁብ!AI115/ቦኖ!$C$4&gt;0),(1/2),0)</f>
        <v>0.5</v>
      </c>
      <c r="AI113" s="38">
        <f>IF((ዕቁብ!AJ115/ቦኖ!$C$4&gt;0),(1/2),0)</f>
        <v>0.5</v>
      </c>
      <c r="AJ113" s="38">
        <f>IF((ዕቁብ!AK115/ቦኖ!$C$4&gt;0),(1/2),0)</f>
        <v>0.5</v>
      </c>
      <c r="AK113" s="38">
        <f>IF((ዕቁብ!AL115/ቦኖ!$C$4&gt;0),(1/2),0)</f>
        <v>0.5</v>
      </c>
      <c r="AL113" s="38">
        <f>IF((ዕቁብ!AM115/ቦኖ!$C$4&gt;0),(1/2),0)</f>
        <v>0.5</v>
      </c>
      <c r="AM113" s="38">
        <f>IF((ዕቁብ!AN115/ቦኖ!$C$4&gt;0),(1/2),0)</f>
        <v>0.5</v>
      </c>
      <c r="AN113" s="38">
        <f>IF((ዕቁብ!AO115/ቦኖ!$C$4&gt;0),(1/2),0)</f>
        <v>0.5</v>
      </c>
      <c r="AO113" s="38">
        <f>IF((ዕቁብ!AP115/ቦኖ!$C$4&gt;0),(1/2),0)</f>
        <v>0.5</v>
      </c>
      <c r="AP113" s="38">
        <f>IF((ዕቁብ!AQ115/ቦኖ!$C$4&gt;0),(1/2),0)</f>
        <v>0.5</v>
      </c>
      <c r="AQ113" s="38">
        <f>IF((ዕቁብ!AR115/ቦኖ!$C$4&gt;0),(1/2),0)</f>
        <v>0.5</v>
      </c>
      <c r="AR113" s="38">
        <f>IF((ዕቁብ!AS115/ቦኖ!$C$4&gt;0),(1/2),0)</f>
        <v>0.5</v>
      </c>
      <c r="AS113" s="38">
        <f>IF((ዕቁብ!AT115/ቦኖ!$C$4&gt;0),(1/2),0)</f>
        <v>0.5</v>
      </c>
      <c r="AT113" s="38">
        <f>IF((ዕቁብ!AU115/ቦኖ!$C$4&gt;0),(1/2),0)</f>
        <v>0.5</v>
      </c>
      <c r="AU113" s="38">
        <f>IF((ዕቁብ!AV115/ቦኖ!$C$4&gt;0),(1/2),0)</f>
        <v>0.5</v>
      </c>
      <c r="AV113" s="38">
        <f>IF((ዕቁብ!AW115/ቦኖ!$C$4&gt;0),(1/2),0)</f>
        <v>0.5</v>
      </c>
      <c r="AW113" s="38">
        <f>IF((ዕቁብ!AX115/ቦኖ!$C$4&gt;0),(1/2),0)</f>
        <v>0.5</v>
      </c>
      <c r="AX113" s="38">
        <f>IF((ዕቁብ!AY115/ቦኖ!$C$4&gt;0),(1/2),0)</f>
        <v>0.5</v>
      </c>
      <c r="AY113" s="38">
        <f>IF((ዕቁብ!AZ115/ቦኖ!$C$4&gt;0),(1/2),0)</f>
        <v>0.5</v>
      </c>
      <c r="AZ113" s="38">
        <f>IF((ዕቁብ!BA115/ቦኖ!$C$4&gt;0),(1/2),0)</f>
        <v>0.5</v>
      </c>
      <c r="BA113" s="38">
        <f>IF((ዕቁብ!BB115/ቦኖ!$C$4&gt;0),(1/2),0)</f>
        <v>0.5</v>
      </c>
      <c r="BB113" s="38">
        <f>IF((ዕቁብ!BC115/ቦኖ!$C$4&gt;0),(1/2),0)</f>
        <v>0.5</v>
      </c>
      <c r="BC113" s="38">
        <f>IF((ዕቁብ!BD115/ቦኖ!$C$4&gt;0),(1/2),0)</f>
        <v>0.5</v>
      </c>
      <c r="BD113" s="38">
        <f>IF((ዕቁብ!BE115/ቦኖ!$C$4&gt;0),(1/2),0)</f>
        <v>0.5</v>
      </c>
      <c r="BE113" s="38">
        <f>IF((ዕቁብ!BF115/ቦኖ!$C$4&gt;0),(1/2),0)</f>
        <v>0.5</v>
      </c>
      <c r="BF113" s="38">
        <f>IF((ዕቁብ!BG115/ቦኖ!$C$4&gt;0),(1/2),0)</f>
        <v>0.5</v>
      </c>
      <c r="BG113" s="38">
        <f>IF((ዕቁብ!BH115/ቦኖ!$C$4&gt;0),(1/2),0)</f>
        <v>0.5</v>
      </c>
      <c r="BH113" s="38">
        <f>IF((ዕቁብ!BI115/ቦኖ!$C$4&gt;0),(1/2),0)</f>
        <v>0.5</v>
      </c>
      <c r="BI113" s="38">
        <f>IF((ዕቁብ!BJ115/ቦኖ!$C$4&gt;0),(1/2),0)</f>
        <v>0.5</v>
      </c>
      <c r="BJ113" s="38">
        <f>IF((ዕቁብ!BK115/ቦኖ!$C$4&gt;0),(1/2),0)</f>
        <v>0.5</v>
      </c>
      <c r="BK113" s="38">
        <f>IF((ዕቁብ!BL115/ቦኖ!$C$4&gt;0),(1/2),0)</f>
        <v>0.5</v>
      </c>
      <c r="BL113" s="38">
        <f>IF((ዕቁብ!BM115/ቦኖ!$C$4&gt;0),(1/2),0)</f>
        <v>0.5</v>
      </c>
      <c r="BM113" s="38">
        <f>IF((ዕቁብ!BN115/ቦኖ!$C$4&gt;0),(1/2),0)</f>
        <v>0</v>
      </c>
      <c r="BN113" s="38">
        <f>IF((ዕቁብ!BO115/ቦኖ!$C$4&gt;0),(1/2),0)</f>
        <v>0.5</v>
      </c>
      <c r="BO113" s="38">
        <f>IF((ዕቁብ!BP115/ቦኖ!$C$4&gt;0),(1/2),0)</f>
        <v>0.5</v>
      </c>
      <c r="BP113" s="38">
        <f>IF((ዕቁብ!BQ115/ቦኖ!$C$4&gt;0),(1/2),0)</f>
        <v>0.5</v>
      </c>
      <c r="BQ113" s="38">
        <f>IF((ዕቁብ!BR115/ቦኖ!$C$4&gt;0),(1/2),0)</f>
        <v>0.5</v>
      </c>
      <c r="BR113" s="38">
        <f>IF((ዕቁብ!BS115/ቦኖ!$C$4&gt;0),(1/2),0)</f>
        <v>0.5</v>
      </c>
      <c r="BS113" s="38">
        <f>IF((ዕቁብ!BT115/ቦኖ!$C$4&gt;0),(1/2),0)</f>
        <v>0.5</v>
      </c>
      <c r="BT113" s="38">
        <f>IF((ዕቁብ!BU115/ቦኖ!$C$4&gt;0),(1/2),0)</f>
        <v>0.5</v>
      </c>
      <c r="BU113" s="38">
        <f>IF((ዕቁብ!BV115/ቦኖ!$C$4&gt;0),(1/2),0)</f>
        <v>0.5</v>
      </c>
      <c r="BV113" s="38">
        <f>IF((ዕቁብ!BW115/ቦኖ!$C$4&gt;0),(1/2),0)</f>
        <v>0.5</v>
      </c>
      <c r="BW113" s="38">
        <f>IF((ዕቁብ!BX115/ቦኖ!$C$4&gt;0),(1/2),0)</f>
        <v>0.5</v>
      </c>
      <c r="BX113" s="38">
        <f>IF((ዕቁብ!BY115/ቦኖ!$C$4&gt;0),(1/2),0)</f>
        <v>0.5</v>
      </c>
      <c r="BY113" s="38">
        <f>IF((ዕቁብ!BZ115/ቦኖ!$C$4&gt;0),(1/2),0)</f>
        <v>0.5</v>
      </c>
      <c r="BZ113" s="38">
        <f>IF((ዕቁብ!CA115/ቦኖ!$C$4&gt;0),(1/2),0)</f>
        <v>0.5</v>
      </c>
      <c r="CA113" s="38">
        <f>IF((ዕቁብ!CB115/ቦኖ!$C$4&gt;0),(1/2),0)</f>
        <v>0.5</v>
      </c>
      <c r="CB113" s="38">
        <f>IF((ዕቁብ!CC115/ቦኖ!$C$4&gt;0),(1/2),0)</f>
        <v>0.5</v>
      </c>
      <c r="CC113" s="38">
        <f>IF((ዕቁብ!CD115/ቦኖ!$C$4&gt;0),(1/2),0)</f>
        <v>0.5</v>
      </c>
      <c r="CD113" s="38">
        <f>IF((ዕቁብ!CE115/ቦኖ!$C$4&gt;0),(1/2),0)</f>
        <v>0.5</v>
      </c>
      <c r="CE113" s="38">
        <f>IF((ዕቁብ!CF115/ቦኖ!$C$4&gt;0),(1/2),0)</f>
        <v>0.5</v>
      </c>
      <c r="CF113" s="38">
        <f>IF((ዕቁብ!CG115/ቦኖ!$C$4&gt;0),(1/2),0)</f>
        <v>0.5</v>
      </c>
      <c r="CG113" s="38">
        <f>IF((ዕቁብ!CH115/ቦኖ!$C$4&gt;0),(1/2),0)</f>
        <v>0.5</v>
      </c>
      <c r="CH113" s="38">
        <f>IF((ዕቁብ!CI115/ቦኖ!$C$4&gt;0),(1/2),0)</f>
        <v>0.5</v>
      </c>
      <c r="CI113" s="38">
        <f>IF((ዕቁብ!CJ115/ቦኖ!$C$4&gt;0),(1/2),0)</f>
        <v>0.5</v>
      </c>
      <c r="CJ113" s="38">
        <f>IF((ዕቁብ!CK115/ቦኖ!$C$4&gt;0),(1/2),0)</f>
        <v>0.5</v>
      </c>
      <c r="CK113" s="38">
        <f>IF((ዕቁብ!CL115/ቦኖ!$C$4&gt;0),(1/2),0)</f>
        <v>0.5</v>
      </c>
      <c r="CL113" s="38">
        <f>IF((ዕቁብ!CM115/ቦኖ!$C$4&gt;0),(1/2),0)</f>
        <v>0.5</v>
      </c>
      <c r="CM113" s="38">
        <f>IF((ዕቁብ!CN115/ቦኖ!$C$4&gt;0),(1/2),0)</f>
        <v>0.5</v>
      </c>
      <c r="CN113" s="38">
        <f>IF((ዕቁብ!CO115/ቦኖ!$C$4&gt;0),(1/2),0)</f>
        <v>0.5</v>
      </c>
      <c r="CO113" s="38">
        <f>IF((ዕቁብ!CP115/ቦኖ!$C$4&gt;0),(1/2),0)</f>
        <v>0.5</v>
      </c>
      <c r="CP113" s="38">
        <f>IF((ዕቁብ!CQ115/ቦኖ!$C$4&gt;0),(1/2),0)</f>
        <v>0.5</v>
      </c>
      <c r="CQ113" s="38">
        <f>IF((ዕቁብ!CR115/ቦኖ!$C$4&gt;0),(1/2),0)</f>
        <v>0.5</v>
      </c>
      <c r="CR113" s="38">
        <f>IF((ዕቁብ!CS115/ቦኖ!$C$4&gt;0),(1/2),0)</f>
        <v>0.5</v>
      </c>
      <c r="CS113" s="38">
        <f>IF((ዕቁብ!CT115/ቦኖ!$C$4&gt;0),(1/2),0)</f>
        <v>0.5</v>
      </c>
      <c r="CT113" s="38">
        <f>IF((ዕቁብ!CU115/ቦኖ!$C$4&gt;0),(1/2),0)</f>
        <v>0.5</v>
      </c>
      <c r="CU113" s="38">
        <f>IF((ዕቁብ!CV115/ቦኖ!$C$4&gt;0),(1/2),0)</f>
        <v>0.5</v>
      </c>
      <c r="CV113" s="38">
        <f>IF((ዕቁብ!CW115/ቦኖ!$C$4&gt;0),(1/2),0)</f>
        <v>0.5</v>
      </c>
      <c r="CW113" s="38">
        <f>IF((ዕቁብ!CX115/ቦኖ!$C$4&gt;0),(1/2),0)</f>
        <v>0.5</v>
      </c>
      <c r="CX113" s="38">
        <f>IF((ዕቁብ!CY115/ቦኖ!$C$4&gt;0),(1/2),0)</f>
        <v>0.5</v>
      </c>
      <c r="CY113" s="38">
        <f>IF((ዕቁብ!CZ115/ቦኖ!$C$4&gt;0),(1/2),0)</f>
        <v>0.5</v>
      </c>
      <c r="CZ113" s="38">
        <f>IF((ዕቁብ!DA115/ቦኖ!$C$4&gt;0),(1/2),0)</f>
        <v>0.5</v>
      </c>
      <c r="DA113" s="38">
        <f>IF((ዕቁብ!DB115/ቦኖ!$C$4&gt;0),(1/2),0)</f>
        <v>0.5</v>
      </c>
      <c r="DB113" s="38">
        <f>IF((ዕቁብ!DC115/ቦኖ!$C$4&gt;0),(1/2),0)</f>
        <v>0.5</v>
      </c>
      <c r="DC113" s="38">
        <f>IF((ዕቁብ!DD115/ቦኖ!$C$4&gt;0),(1/2),0)</f>
        <v>0.5</v>
      </c>
      <c r="DD113" s="38">
        <f>IF((ዕቁብ!DE115/ቦኖ!$C$4&gt;0),(1/2),0)</f>
        <v>0.5</v>
      </c>
      <c r="DE113" s="38">
        <f>IF((ዕቁብ!DF115/ቦኖ!$C$4&gt;0),(1/2),0)</f>
        <v>0.5</v>
      </c>
      <c r="DF113" s="38">
        <f>IF((ዕቁብ!DG115/ቦኖ!$C$4&gt;0),(1/2),0)</f>
        <v>0.5</v>
      </c>
      <c r="DG113" s="38">
        <f>IF((ዕቁብ!DH115/ቦኖ!$C$4&gt;0),(1/2),0)</f>
        <v>0.5</v>
      </c>
      <c r="DH113" s="38">
        <f>IF((ዕቁብ!DI115/ቦኖ!$C$4&gt;0),(1/2),0)</f>
        <v>0</v>
      </c>
      <c r="DI113" s="38">
        <f>IF((ዕቁብ!DJ115/ቦኖ!$C$4&gt;0),(1/2),0)</f>
        <v>0</v>
      </c>
      <c r="DJ113" s="38">
        <f>IF((ዕቁብ!DK115/ቦኖ!$C$4&gt;0),(1/2),0)</f>
        <v>0</v>
      </c>
      <c r="DK113" s="38">
        <f>IF((ዕቁብ!DL115/ቦኖ!$C$4&gt;0),(1/2),0)</f>
        <v>0</v>
      </c>
      <c r="DL113" s="38">
        <f>IF((ዕቁብ!DM115/ቦኖ!$C$4&gt;0),(1/2),0)</f>
        <v>0</v>
      </c>
      <c r="DM113" s="38">
        <f>IF((ዕቁብ!DN115/ቦኖ!$C$4&gt;0),(1/2),0)</f>
        <v>0</v>
      </c>
      <c r="DN113" s="38">
        <f>IF((ዕቁብ!DO115/ቦኖ!$C$4&gt;0),(1/2),0)</f>
        <v>0</v>
      </c>
      <c r="DO113" s="38">
        <f>IF((ዕቁብ!DP115/ቦኖ!$C$4&gt;0),(1/2),0)</f>
        <v>0</v>
      </c>
      <c r="DP113" s="38">
        <f>IF((ዕቁብ!DQ115/ቦኖ!$C$4&gt;0),(1/2),0)</f>
        <v>0</v>
      </c>
      <c r="DQ113" s="38">
        <f>IF((ዕቁብ!DR115/ቦኖ!$C$4&gt;0),(1/2),0)</f>
        <v>0</v>
      </c>
    </row>
    <row r="114" spans="1:121" ht="15.75" customHeight="1" x14ac:dyDescent="0.3">
      <c r="A114" s="33">
        <f>ዕቁብ!A116</f>
        <v>102</v>
      </c>
      <c r="B114" s="33" t="str">
        <f>ዕቁብ!B116</f>
        <v>ዳንኤል ጎሌ</v>
      </c>
      <c r="C114" s="37">
        <f>ዕቁብ!C116</f>
        <v>21000</v>
      </c>
      <c r="D114" s="38">
        <f>IF((ዕቁብ!E116/ቦኖ!$C$4&gt;0),1,0)</f>
        <v>1</v>
      </c>
      <c r="E114" s="38">
        <f>IF((ዕቁብ!F116/ቦኖ!$C$4&gt;0),1,0)</f>
        <v>1</v>
      </c>
      <c r="F114" s="38">
        <f>IF((ዕቁብ!G116/ቦኖ!$C$4&gt;0),1,0)</f>
        <v>1</v>
      </c>
      <c r="G114" s="38">
        <f>IF((ዕቁብ!H116/ቦኖ!$C$4&gt;0),1,0)</f>
        <v>1</v>
      </c>
      <c r="H114" s="38">
        <f>IF((ዕቁብ!I116/ቦኖ!$C$4&gt;0),1,0)</f>
        <v>1</v>
      </c>
      <c r="I114" s="38">
        <f>IF((ዕቁብ!J116/ቦኖ!$C$4&gt;0),1,0)</f>
        <v>1</v>
      </c>
      <c r="J114" s="38">
        <f>IF((ዕቁብ!K116/ቦኖ!$C$4&gt;0),1,0)</f>
        <v>1</v>
      </c>
      <c r="K114" s="38">
        <f>IF((ዕቁብ!L116/ቦኖ!$C$4&gt;0),1,0)</f>
        <v>1</v>
      </c>
      <c r="L114" s="38">
        <f>IF((ዕቁብ!M116/ቦኖ!$C$4&gt;0),1,0)</f>
        <v>1</v>
      </c>
      <c r="M114" s="38">
        <f>IF((ዕቁብ!N116/ቦኖ!$C$4&gt;0),1,0)</f>
        <v>1</v>
      </c>
      <c r="N114" s="38">
        <f>IF((ዕቁብ!O116/ቦኖ!$C$4&gt;0),1,0)</f>
        <v>1</v>
      </c>
      <c r="O114" s="38">
        <f>IF((ዕቁብ!P116/ቦኖ!$C$4&gt;0),1,0)</f>
        <v>1</v>
      </c>
      <c r="P114" s="38">
        <f>IF((ዕቁብ!Q116/ቦኖ!$C$4&gt;0),1,0)</f>
        <v>1</v>
      </c>
      <c r="Q114" s="38">
        <f>IF((ዕቁብ!R116/ቦኖ!$C$4&gt;0),1,0)</f>
        <v>1</v>
      </c>
      <c r="R114" s="38">
        <f>IF((ዕቁብ!S116/ቦኖ!$C$4&gt;0),1,0)</f>
        <v>1</v>
      </c>
      <c r="S114" s="38">
        <f>IF((ዕቁብ!T116/ቦኖ!$C$4&gt;0),1,0)</f>
        <v>1</v>
      </c>
      <c r="T114" s="38">
        <f>IF((ዕቁብ!U116/ቦኖ!$C$4&gt;0),1,0)</f>
        <v>1</v>
      </c>
      <c r="U114" s="38">
        <f>IF((ዕቁብ!V116/ቦኖ!$C$4&gt;0),1,0)</f>
        <v>1</v>
      </c>
      <c r="V114" s="38">
        <f>IF((ዕቁብ!W116/ቦኖ!$C$4&gt;0),1,0)</f>
        <v>1</v>
      </c>
      <c r="W114" s="38">
        <f>IF((ዕቁብ!X116/ቦኖ!$C$4&gt;0),1,0)</f>
        <v>1</v>
      </c>
      <c r="X114" s="38">
        <f>IF((ዕቁብ!Y116/ቦኖ!$C$4&gt;0),1,0)</f>
        <v>1</v>
      </c>
      <c r="Y114" s="38">
        <f>IF((ዕቁብ!Z116/ቦኖ!$C$4&gt;0),1,0)</f>
        <v>1</v>
      </c>
      <c r="Z114" s="38">
        <f>IF((ዕቁብ!AA116/ቦኖ!$C$4&gt;0),1,0)</f>
        <v>1</v>
      </c>
      <c r="AA114" s="38">
        <f>IF((ዕቁብ!AB116/ቦኖ!$C$4&gt;0),1,0)</f>
        <v>1</v>
      </c>
      <c r="AB114" s="38">
        <f>IF((ዕቁብ!AC116/ቦኖ!$C$4&gt;0),1,0)</f>
        <v>1</v>
      </c>
      <c r="AC114" s="38">
        <f>IF((ዕቁብ!AD116/ቦኖ!$C$4&gt;0),1,0)</f>
        <v>1</v>
      </c>
      <c r="AD114" s="38">
        <f>IF((ዕቁብ!AE116/ቦኖ!$C$4&gt;0),1,0)</f>
        <v>1</v>
      </c>
      <c r="AE114" s="38">
        <f>IF((ዕቁብ!AF116/ቦኖ!$C$4&gt;0),1,0)</f>
        <v>1</v>
      </c>
      <c r="AF114" s="38">
        <f>IF((ዕቁብ!AG116/ቦኖ!$C$4&gt;0),1,0)</f>
        <v>1</v>
      </c>
      <c r="AG114" s="38">
        <f>IF((ዕቁብ!AH116/ቦኖ!$C$4&gt;0),1,0)</f>
        <v>1</v>
      </c>
      <c r="AH114" s="38">
        <f>IF((ዕቁብ!AI116/ቦኖ!$C$4&gt;0),1,0)</f>
        <v>1</v>
      </c>
      <c r="AI114" s="38">
        <f>IF((ዕቁብ!AJ116/ቦኖ!$C$4&gt;0),1,0)</f>
        <v>1</v>
      </c>
      <c r="AJ114" s="38">
        <f>IF((ዕቁብ!AK116/ቦኖ!$C$4&gt;0),1,0)</f>
        <v>1</v>
      </c>
      <c r="AK114" s="38">
        <f>IF((ዕቁብ!AL116/ቦኖ!$C$4&gt;0),1,0)</f>
        <v>1</v>
      </c>
      <c r="AL114" s="38">
        <f>IF((ዕቁብ!AM116/ቦኖ!$C$4&gt;0),1,0)</f>
        <v>1</v>
      </c>
      <c r="AM114" s="38">
        <f>IF((ዕቁብ!AN116/ቦኖ!$C$4&gt;0),1,0)</f>
        <v>1</v>
      </c>
      <c r="AN114" s="38">
        <f>IF((ዕቁብ!AO116/ቦኖ!$C$4&gt;0),1,0)</f>
        <v>1</v>
      </c>
      <c r="AO114" s="38">
        <f>IF((ዕቁብ!AP116/ቦኖ!$C$4&gt;0),1,0)</f>
        <v>1</v>
      </c>
      <c r="AP114" s="38">
        <f>IF((ዕቁብ!AQ116/ቦኖ!$C$4&gt;0),1,0)</f>
        <v>1</v>
      </c>
      <c r="AQ114" s="38">
        <f>IF((ዕቁብ!AR116/ቦኖ!$C$4&gt;0),1,0)</f>
        <v>1</v>
      </c>
      <c r="AR114" s="38">
        <f>IF((ዕቁብ!AS116/ቦኖ!$C$4&gt;0),1,0)</f>
        <v>1</v>
      </c>
      <c r="AS114" s="38">
        <f>IF((ዕቁብ!AT116/ቦኖ!$C$4&gt;0),1,0)</f>
        <v>1</v>
      </c>
      <c r="AT114" s="38">
        <f>IF((ዕቁብ!AU116/ቦኖ!$C$4&gt;0),1,0)</f>
        <v>1</v>
      </c>
      <c r="AU114" s="38">
        <f>IF((ዕቁብ!AV116/ቦኖ!$C$4&gt;0),1,0)</f>
        <v>1</v>
      </c>
      <c r="AV114" s="38">
        <f>IF((ዕቁብ!AW116/ቦኖ!$C$4&gt;0),1,0)</f>
        <v>1</v>
      </c>
      <c r="AW114" s="38">
        <f>IF((ዕቁብ!AX116/ቦኖ!$C$4&gt;0),1,0)</f>
        <v>1</v>
      </c>
      <c r="AX114" s="38">
        <f>IF((ዕቁብ!AY116/ቦኖ!$C$4&gt;0),1,0)</f>
        <v>1</v>
      </c>
      <c r="AY114" s="38">
        <f>IF((ዕቁብ!AZ116/ቦኖ!$C$4&gt;0),1,0)</f>
        <v>1</v>
      </c>
      <c r="AZ114" s="38">
        <f>IF((ዕቁብ!BA116/ቦኖ!$C$4&gt;0),1,0)</f>
        <v>1</v>
      </c>
      <c r="BA114" s="38">
        <f>IF((ዕቁብ!BB116/ቦኖ!$C$4&gt;0),1,0)</f>
        <v>1</v>
      </c>
      <c r="BB114" s="38">
        <f>IF((ዕቁብ!BC116/ቦኖ!$C$4&gt;0),1,0)</f>
        <v>1</v>
      </c>
      <c r="BC114" s="38">
        <f>IF((ዕቁብ!BD116/ቦኖ!$C$4&gt;0),1,0)</f>
        <v>1</v>
      </c>
      <c r="BD114" s="38">
        <f>IF((ዕቁብ!BE116/ቦኖ!$C$4&gt;0),1,0)</f>
        <v>1</v>
      </c>
      <c r="BE114" s="38">
        <f>IF((ዕቁብ!BF116/ቦኖ!$C$4&gt;0),1,0)</f>
        <v>1</v>
      </c>
      <c r="BF114" s="38">
        <f>IF((ዕቁብ!BG116/ቦኖ!$C$4&gt;0),1,0)</f>
        <v>1</v>
      </c>
      <c r="BG114" s="38">
        <f>IF((ዕቁብ!BH116/ቦኖ!$C$4&gt;0),1,0)</f>
        <v>1</v>
      </c>
      <c r="BH114" s="38">
        <f>IF((ዕቁብ!BI116/ቦኖ!$C$4&gt;0),1,0)</f>
        <v>1</v>
      </c>
      <c r="BI114" s="38">
        <f>IF((ዕቁብ!BJ116/ቦኖ!$C$4&gt;0),1,0)</f>
        <v>1</v>
      </c>
      <c r="BJ114" s="38">
        <f>IF((ዕቁብ!BK116/ቦኖ!$C$4&gt;0),1,0)</f>
        <v>1</v>
      </c>
      <c r="BK114" s="38">
        <f>IF((ዕቁብ!BL116/ቦኖ!$C$4&gt;0),1,0)</f>
        <v>1</v>
      </c>
      <c r="BL114" s="38">
        <f>IF((ዕቁብ!BM116/ቦኖ!$C$4&gt;0),1,0)</f>
        <v>1</v>
      </c>
      <c r="BM114" s="38">
        <f>IF((ዕቁብ!BN116/ቦኖ!$C$4&gt;0),1,0)</f>
        <v>1</v>
      </c>
      <c r="BN114" s="38">
        <f>IF((ዕቁብ!BO116/ቦኖ!$C$4&gt;0),1,0)</f>
        <v>1</v>
      </c>
      <c r="BO114" s="38">
        <f>IF((ዕቁብ!BP116/ቦኖ!$C$4&gt;0),1,0)</f>
        <v>1</v>
      </c>
      <c r="BP114" s="38">
        <f>IF((ዕቁብ!BQ116/ቦኖ!$C$4&gt;0),1,0)</f>
        <v>1</v>
      </c>
      <c r="BQ114" s="38">
        <f>IF((ዕቁብ!BR116/ቦኖ!$C$4&gt;0),1,0)</f>
        <v>1</v>
      </c>
      <c r="BR114" s="38">
        <f>IF((ዕቁብ!BS116/ቦኖ!$C$4&gt;0),1,0)</f>
        <v>1</v>
      </c>
      <c r="BS114" s="38">
        <f>IF((ዕቁብ!BT116/ቦኖ!$C$4&gt;0),1,0)</f>
        <v>1</v>
      </c>
      <c r="BT114" s="38">
        <f>IF((ዕቁብ!BU116/ቦኖ!$C$4&gt;0),1,0)</f>
        <v>0</v>
      </c>
      <c r="BU114" s="38">
        <f>IF((ዕቁብ!BV116/ቦኖ!$C$4&gt;0),1,0)</f>
        <v>1</v>
      </c>
      <c r="BV114" s="38">
        <f>IF((ዕቁብ!BW116/ቦኖ!$C$4&gt;0),1,0)</f>
        <v>1</v>
      </c>
      <c r="BW114" s="38">
        <f>IF((ዕቁብ!BX116/ቦኖ!$C$4&gt;0),1,0)</f>
        <v>1</v>
      </c>
      <c r="BX114" s="38">
        <f>IF((ዕቁብ!BY116/ቦኖ!$C$4&gt;0),1,0)</f>
        <v>1</v>
      </c>
      <c r="BY114" s="38">
        <f>IF((ዕቁብ!BZ116/ቦኖ!$C$4&gt;0),1,0)</f>
        <v>1</v>
      </c>
      <c r="BZ114" s="38">
        <f>IF((ዕቁብ!CA116/ቦኖ!$C$4&gt;0),1,0)</f>
        <v>1</v>
      </c>
      <c r="CA114" s="38">
        <f>IF((ዕቁብ!CB116/ቦኖ!$C$4&gt;0),1,0)</f>
        <v>1</v>
      </c>
      <c r="CB114" s="38">
        <f>IF((ዕቁብ!CC116/ቦኖ!$C$4&gt;0),1,0)</f>
        <v>1</v>
      </c>
      <c r="CC114" s="38">
        <f>IF((ዕቁብ!CD116/ቦኖ!$C$4&gt;0),1,0)</f>
        <v>1</v>
      </c>
      <c r="CD114" s="38">
        <f>IF((ዕቁብ!CE116/ቦኖ!$C$4&gt;0),1,0)</f>
        <v>1</v>
      </c>
      <c r="CE114" s="38">
        <f>IF((ዕቁብ!CF116/ቦኖ!$C$4&gt;0),1,0)</f>
        <v>1</v>
      </c>
      <c r="CF114" s="38">
        <f>IF((ዕቁብ!CG116/ቦኖ!$C$4&gt;0),1,0)</f>
        <v>1</v>
      </c>
      <c r="CG114" s="38">
        <f>IF((ዕቁብ!CH116/ቦኖ!$C$4&gt;0),1,0)</f>
        <v>0</v>
      </c>
      <c r="CH114" s="38">
        <f>IF((ዕቁብ!CI116/ቦኖ!$C$4&gt;0),1,0)</f>
        <v>1</v>
      </c>
      <c r="CI114" s="38">
        <f>IF((ዕቁብ!CJ116/ቦኖ!$C$4&gt;0),1,0)</f>
        <v>1</v>
      </c>
      <c r="CJ114" s="38">
        <f>IF((ዕቁብ!CK116/ቦኖ!$C$4&gt;0),1,0)</f>
        <v>1</v>
      </c>
      <c r="CK114" s="38">
        <f>IF((ዕቁብ!CL116/ቦኖ!$C$4&gt;0),1,0)</f>
        <v>1</v>
      </c>
      <c r="CL114" s="38">
        <f>IF((ዕቁብ!CM116/ቦኖ!$C$4&gt;0),1,0)</f>
        <v>1</v>
      </c>
      <c r="CM114" s="38">
        <f>IF((ዕቁብ!CN116/ቦኖ!$C$4&gt;0),1,0)</f>
        <v>1</v>
      </c>
      <c r="CN114" s="38">
        <f>IF((ዕቁብ!CO116/ቦኖ!$C$4&gt;0),1,0)</f>
        <v>1</v>
      </c>
      <c r="CO114" s="38">
        <f>IF((ዕቁብ!CP116/ቦኖ!$C$4&gt;0),1,0)</f>
        <v>1</v>
      </c>
      <c r="CP114" s="38">
        <f>IF((ዕቁብ!CQ116/ቦኖ!$C$4&gt;0),1,0)</f>
        <v>1</v>
      </c>
      <c r="CQ114" s="38">
        <f>IF((ዕቁብ!CR116/ቦኖ!$C$4&gt;0),1,0)</f>
        <v>1</v>
      </c>
      <c r="CR114" s="38">
        <f>IF((ዕቁብ!CS116/ቦኖ!$C$4&gt;0),1,0)</f>
        <v>1</v>
      </c>
      <c r="CS114" s="38">
        <f>IF((ዕቁብ!CT116/ቦኖ!$C$4&gt;0),1,0)</f>
        <v>1</v>
      </c>
      <c r="CT114" s="38">
        <f>IF((ዕቁብ!CU116/ቦኖ!$C$4&gt;0),1,0)</f>
        <v>1</v>
      </c>
      <c r="CU114" s="38">
        <f>IF((ዕቁብ!CV116/ቦኖ!$C$4&gt;0),1,0)</f>
        <v>1</v>
      </c>
      <c r="CV114" s="38">
        <f>IF((ዕቁብ!CW116/ቦኖ!$C$4&gt;0),1,0)</f>
        <v>1</v>
      </c>
      <c r="CW114" s="38">
        <f>IF((ዕቁብ!CX116/ቦኖ!$C$4&gt;0),1,0)</f>
        <v>1</v>
      </c>
      <c r="CX114" s="38">
        <f>IF((ዕቁብ!CY116/ቦኖ!$C$4&gt;0),1,0)</f>
        <v>1</v>
      </c>
      <c r="CY114" s="38">
        <f>IF((ዕቁብ!CZ116/ቦኖ!$C$4&gt;0),1,0)</f>
        <v>1</v>
      </c>
      <c r="CZ114" s="38">
        <f>IF((ዕቁብ!DA116/ቦኖ!$C$4&gt;0),1,0)</f>
        <v>1</v>
      </c>
      <c r="DA114" s="38">
        <f>IF((ዕቁብ!DB116/ቦኖ!$C$4&gt;0),1,0)</f>
        <v>1</v>
      </c>
      <c r="DB114" s="38">
        <f>IF((ዕቁብ!DC116/ቦኖ!$C$4&gt;0),1,0)</f>
        <v>1</v>
      </c>
      <c r="DC114" s="38">
        <f>IF((ዕቁብ!DD116/ቦኖ!$C$4&gt;0),1,0)</f>
        <v>1</v>
      </c>
      <c r="DD114" s="38">
        <f>IF((ዕቁብ!DE116/ቦኖ!$C$4&gt;0),1,0)</f>
        <v>1</v>
      </c>
      <c r="DE114" s="38">
        <f>IF((ዕቁብ!DF116/ቦኖ!$C$4&gt;0),1,0)</f>
        <v>1</v>
      </c>
      <c r="DF114" s="38">
        <f>IF((ዕቁብ!DG116/ቦኖ!$C$4&gt;0),1,0)</f>
        <v>1</v>
      </c>
      <c r="DG114" s="38">
        <f>IF((ዕቁብ!DH116/ቦኖ!$C$4&gt;0),1,0)</f>
        <v>1</v>
      </c>
      <c r="DH114" s="38">
        <f>IF((ዕቁብ!DI116/ቦኖ!$C$4&gt;0),1,0)</f>
        <v>0</v>
      </c>
      <c r="DI114" s="38">
        <f>IF((ዕቁብ!DJ116/ቦኖ!$C$4&gt;0),1,0)</f>
        <v>0</v>
      </c>
      <c r="DJ114" s="38">
        <f>IF((ዕቁብ!DK116/ቦኖ!$C$4&gt;0),1,0)</f>
        <v>0</v>
      </c>
      <c r="DK114" s="38">
        <f>IF((ዕቁብ!DL116/ቦኖ!$C$4&gt;0),1,0)</f>
        <v>0</v>
      </c>
      <c r="DL114" s="38">
        <f>IF((ዕቁብ!DM116/ቦኖ!$C$4&gt;0),1,0)</f>
        <v>0</v>
      </c>
      <c r="DM114" s="38">
        <f>IF((ዕቁብ!DN116/ቦኖ!$C$4&gt;0),1,0)</f>
        <v>0</v>
      </c>
      <c r="DN114" s="38">
        <f>IF((ዕቁብ!DO116/ቦኖ!$C$4&gt;0),1,0)</f>
        <v>0</v>
      </c>
      <c r="DO114" s="38">
        <f>IF((ዕቁብ!DP116/ቦኖ!$C$4&gt;0),1,0)</f>
        <v>0</v>
      </c>
      <c r="DP114" s="38">
        <f>IF((ዕቁብ!DQ116/ቦኖ!$C$4&gt;0),1,0)</f>
        <v>0</v>
      </c>
      <c r="DQ114" s="38">
        <f>IF((ዕቁብ!DR116/ቦኖ!$C$4&gt;0),1,0)</f>
        <v>0</v>
      </c>
    </row>
    <row r="115" spans="1:121" ht="15.75" customHeight="1" x14ac:dyDescent="0.3">
      <c r="A115" s="33">
        <f>ዕቁብ!A117</f>
        <v>103</v>
      </c>
      <c r="B115" s="33" t="str">
        <f>ዕቁብ!B117</f>
        <v>ወንድሙ ስንታየሁ</v>
      </c>
      <c r="C115" s="37">
        <f>ዕቁብ!C117</f>
        <v>10500</v>
      </c>
      <c r="D115" s="38">
        <f>IF((ዕቁብ!E117/ቦኖ!$C$4&gt;0),(1/2),0)</f>
        <v>0.5</v>
      </c>
      <c r="E115" s="38">
        <f>IF((ዕቁብ!F117/ቦኖ!$C$4&gt;0),(1/2),0)</f>
        <v>0.5</v>
      </c>
      <c r="F115" s="38">
        <f>IF((ዕቁብ!G117/ቦኖ!$C$4&gt;0),(1/2),0)</f>
        <v>0.5</v>
      </c>
      <c r="G115" s="38">
        <f>IF((ዕቁብ!H117/ቦኖ!$C$4&gt;0),(1/2),0)</f>
        <v>0.5</v>
      </c>
      <c r="H115" s="38">
        <f>IF((ዕቁብ!I117/ቦኖ!$C$4&gt;0),(1/2),0)</f>
        <v>0.5</v>
      </c>
      <c r="I115" s="38">
        <f>IF((ዕቁብ!J117/ቦኖ!$C$4&gt;0),(1/2),0)</f>
        <v>0.5</v>
      </c>
      <c r="J115" s="38">
        <f>IF((ዕቁብ!K117/ቦኖ!$C$4&gt;0),(1/2),0)</f>
        <v>0.5</v>
      </c>
      <c r="K115" s="38">
        <f>IF((ዕቁብ!L117/ቦኖ!$C$4&gt;0),(1/2),0)</f>
        <v>0.5</v>
      </c>
      <c r="L115" s="38">
        <f>IF((ዕቁብ!M117/ቦኖ!$C$4&gt;0),(1/2),0)</f>
        <v>0.5</v>
      </c>
      <c r="M115" s="38">
        <f>IF((ዕቁብ!N117/ቦኖ!$C$4&gt;0),(1/2),0)</f>
        <v>0.5</v>
      </c>
      <c r="N115" s="38">
        <f>IF((ዕቁብ!O117/ቦኖ!$C$4&gt;0),(1/2),0)</f>
        <v>0.5</v>
      </c>
      <c r="O115" s="38">
        <f>IF((ዕቁብ!P117/ቦኖ!$C$4&gt;0),(1/2),0)</f>
        <v>0.5</v>
      </c>
      <c r="P115" s="38">
        <f>IF((ዕቁብ!Q117/ቦኖ!$C$4&gt;0),(1/2),0)</f>
        <v>0.5</v>
      </c>
      <c r="Q115" s="38">
        <f>IF((ዕቁብ!R117/ቦኖ!$C$4&gt;0),(1/2),0)</f>
        <v>0.5</v>
      </c>
      <c r="R115" s="38">
        <f>IF((ዕቁብ!S117/ቦኖ!$C$4&gt;0),(1/2),0)</f>
        <v>0.5</v>
      </c>
      <c r="S115" s="38">
        <f>IF((ዕቁብ!T117/ቦኖ!$C$4&gt;0),(1/2),0)</f>
        <v>0.5</v>
      </c>
      <c r="T115" s="38">
        <f>IF((ዕቁብ!U117/ቦኖ!$C$4&gt;0),(1/2),0)</f>
        <v>0.5</v>
      </c>
      <c r="U115" s="38">
        <f>IF((ዕቁብ!V117/ቦኖ!$C$4&gt;0),(1/2),0)</f>
        <v>0.5</v>
      </c>
      <c r="V115" s="38">
        <f>IF((ዕቁብ!W117/ቦኖ!$C$4&gt;0),(1/2),0)</f>
        <v>0.5</v>
      </c>
      <c r="W115" s="38">
        <f>IF((ዕቁብ!X117/ቦኖ!$C$4&gt;0),(1/2),0)</f>
        <v>0.5</v>
      </c>
      <c r="X115" s="38">
        <f>IF((ዕቁብ!Y117/ቦኖ!$C$4&gt;0),(1/2),0)</f>
        <v>0.5</v>
      </c>
      <c r="Y115" s="38">
        <f>IF((ዕቁብ!Z117/ቦኖ!$C$4&gt;0),(1/2),0)</f>
        <v>0.5</v>
      </c>
      <c r="Z115" s="38">
        <f>IF((ዕቁብ!AA117/ቦኖ!$C$4&gt;0),(1/2),0)</f>
        <v>0.5</v>
      </c>
      <c r="AA115" s="38">
        <f>IF((ዕቁብ!AB117/ቦኖ!$C$4&gt;0),(1/2),0)</f>
        <v>0</v>
      </c>
      <c r="AB115" s="38">
        <f>IF((ዕቁብ!AC117/ቦኖ!$C$4&gt;0),(1/2),0)</f>
        <v>0.5</v>
      </c>
      <c r="AC115" s="38">
        <f>IF((ዕቁብ!AD117/ቦኖ!$C$4&gt;0),(1/2),0)</f>
        <v>0.5</v>
      </c>
      <c r="AD115" s="38">
        <f>IF((ዕቁብ!AE117/ቦኖ!$C$4&gt;0),(1/2),0)</f>
        <v>0.5</v>
      </c>
      <c r="AE115" s="38">
        <f>IF((ዕቁብ!AF117/ቦኖ!$C$4&gt;0),(1/2),0)</f>
        <v>0</v>
      </c>
      <c r="AF115" s="38">
        <f>IF((ዕቁብ!AG117/ቦኖ!$C$4&gt;0),(1/2),0)</f>
        <v>0.5</v>
      </c>
      <c r="AG115" s="38">
        <f>IF((ዕቁብ!AH117/ቦኖ!$C$4&gt;0),(1/2),0)</f>
        <v>0.5</v>
      </c>
      <c r="AH115" s="38">
        <f>IF((ዕቁብ!AI117/ቦኖ!$C$4&gt;0),(1/2),0)</f>
        <v>0.5</v>
      </c>
      <c r="AI115" s="38">
        <f>IF((ዕቁብ!AJ117/ቦኖ!$C$4&gt;0),(1/2),0)</f>
        <v>0.5</v>
      </c>
      <c r="AJ115" s="38">
        <f>IF((ዕቁብ!AK117/ቦኖ!$C$4&gt;0),(1/2),0)</f>
        <v>0.5</v>
      </c>
      <c r="AK115" s="38">
        <f>IF((ዕቁብ!AL117/ቦኖ!$C$4&gt;0),(1/2),0)</f>
        <v>0</v>
      </c>
      <c r="AL115" s="38">
        <f>IF((ዕቁብ!AM117/ቦኖ!$C$4&gt;0),(1/2),0)</f>
        <v>0.5</v>
      </c>
      <c r="AM115" s="38">
        <f>IF((ዕቁብ!AN117/ቦኖ!$C$4&gt;0),(1/2),0)</f>
        <v>0.5</v>
      </c>
      <c r="AN115" s="38">
        <f>IF((ዕቁብ!AO117/ቦኖ!$C$4&gt;0),(1/2),0)</f>
        <v>0.5</v>
      </c>
      <c r="AO115" s="38">
        <f>IF((ዕቁብ!AP117/ቦኖ!$C$4&gt;0),(1/2),0)</f>
        <v>0.5</v>
      </c>
      <c r="AP115" s="38">
        <f>IF((ዕቁብ!AQ117/ቦኖ!$C$4&gt;0),(1/2),0)</f>
        <v>0.5</v>
      </c>
      <c r="AQ115" s="38">
        <f>IF((ዕቁብ!AR117/ቦኖ!$C$4&gt;0),(1/2),0)</f>
        <v>0.5</v>
      </c>
      <c r="AR115" s="38">
        <f>IF((ዕቁብ!AS117/ቦኖ!$C$4&gt;0),(1/2),0)</f>
        <v>0.5</v>
      </c>
      <c r="AS115" s="38">
        <f>IF((ዕቁብ!AT117/ቦኖ!$C$4&gt;0),(1/2),0)</f>
        <v>0.5</v>
      </c>
      <c r="AT115" s="38">
        <f>IF((ዕቁብ!AU117/ቦኖ!$C$4&gt;0),(1/2),0)</f>
        <v>0.5</v>
      </c>
      <c r="AU115" s="38">
        <f>IF((ዕቁብ!AV117/ቦኖ!$C$4&gt;0),(1/2),0)</f>
        <v>0.5</v>
      </c>
      <c r="AV115" s="38">
        <f>IF((ዕቁብ!AW117/ቦኖ!$C$4&gt;0),(1/2),0)</f>
        <v>0.5</v>
      </c>
      <c r="AW115" s="38">
        <f>IF((ዕቁብ!AX117/ቦኖ!$C$4&gt;0),(1/2),0)</f>
        <v>0</v>
      </c>
      <c r="AX115" s="38">
        <f>IF((ዕቁብ!AY117/ቦኖ!$C$4&gt;0),(1/2),0)</f>
        <v>0.5</v>
      </c>
      <c r="AY115" s="38">
        <f>IF((ዕቁብ!AZ117/ቦኖ!$C$4&gt;0),(1/2),0)</f>
        <v>0.5</v>
      </c>
      <c r="AZ115" s="38">
        <f>IF((ዕቁብ!BA117/ቦኖ!$C$4&gt;0),(1/2),0)</f>
        <v>0.5</v>
      </c>
      <c r="BA115" s="38">
        <f>IF((ዕቁብ!BB117/ቦኖ!$C$4&gt;0),(1/2),0)</f>
        <v>0.5</v>
      </c>
      <c r="BB115" s="38">
        <f>IF((ዕቁብ!BC117/ቦኖ!$C$4&gt;0),(1/2),0)</f>
        <v>0.5</v>
      </c>
      <c r="BC115" s="38">
        <f>IF((ዕቁብ!BD117/ቦኖ!$C$4&gt;0),(1/2),0)</f>
        <v>0.5</v>
      </c>
      <c r="BD115" s="38">
        <f>IF((ዕቁብ!BE117/ቦኖ!$C$4&gt;0),(1/2),0)</f>
        <v>0</v>
      </c>
      <c r="BE115" s="38">
        <f>IF((ዕቁብ!BF117/ቦኖ!$C$4&gt;0),(1/2),0)</f>
        <v>0.5</v>
      </c>
      <c r="BF115" s="38">
        <f>IF((ዕቁብ!BG117/ቦኖ!$C$4&gt;0),(1/2),0)</f>
        <v>0.5</v>
      </c>
      <c r="BG115" s="38">
        <f>IF((ዕቁብ!BH117/ቦኖ!$C$4&gt;0),(1/2),0)</f>
        <v>0</v>
      </c>
      <c r="BH115" s="38">
        <f>IF((ዕቁብ!BI117/ቦኖ!$C$4&gt;0),(1/2),0)</f>
        <v>0.5</v>
      </c>
      <c r="BI115" s="38">
        <f>IF((ዕቁብ!BJ117/ቦኖ!$C$4&gt;0),(1/2),0)</f>
        <v>0</v>
      </c>
      <c r="BJ115" s="38">
        <f>IF((ዕቁብ!BK117/ቦኖ!$C$4&gt;0),(1/2),0)</f>
        <v>0.5</v>
      </c>
      <c r="BK115" s="38">
        <f>IF((ዕቁብ!BL117/ቦኖ!$C$4&gt;0),(1/2),0)</f>
        <v>0</v>
      </c>
      <c r="BL115" s="38">
        <f>IF((ዕቁብ!BM117/ቦኖ!$C$4&gt;0),(1/2),0)</f>
        <v>0.5</v>
      </c>
      <c r="BM115" s="38">
        <f>IF((ዕቁብ!BN117/ቦኖ!$C$4&gt;0),(1/2),0)</f>
        <v>0.5</v>
      </c>
      <c r="BN115" s="38">
        <f>IF((ዕቁብ!BO117/ቦኖ!$C$4&gt;0),(1/2),0)</f>
        <v>0.5</v>
      </c>
      <c r="BO115" s="38">
        <f>IF((ዕቁብ!BP117/ቦኖ!$C$4&gt;0),(1/2),0)</f>
        <v>0</v>
      </c>
      <c r="BP115" s="38">
        <f>IF((ዕቁብ!BQ117/ቦኖ!$C$4&gt;0),(1/2),0)</f>
        <v>0.5</v>
      </c>
      <c r="BQ115" s="38">
        <f>IF((ዕቁብ!BR117/ቦኖ!$C$4&gt;0),(1/2),0)</f>
        <v>0.5</v>
      </c>
      <c r="BR115" s="38">
        <f>IF((ዕቁብ!BS117/ቦኖ!$C$4&gt;0),(1/2),0)</f>
        <v>0.5</v>
      </c>
      <c r="BS115" s="38">
        <f>IF((ዕቁብ!BT117/ቦኖ!$C$4&gt;0),(1/2),0)</f>
        <v>0.5</v>
      </c>
      <c r="BT115" s="38">
        <f>IF((ዕቁብ!BU117/ቦኖ!$C$4&gt;0),(1/2),0)</f>
        <v>0.5</v>
      </c>
      <c r="BU115" s="38">
        <f>IF((ዕቁብ!BV117/ቦኖ!$C$4&gt;0),(1/2),0)</f>
        <v>0.5</v>
      </c>
      <c r="BV115" s="38">
        <f>IF((ዕቁብ!BW117/ቦኖ!$C$4&gt;0),(1/2),0)</f>
        <v>0.5</v>
      </c>
      <c r="BW115" s="38">
        <f>IF((ዕቁብ!BX117/ቦኖ!$C$4&gt;0),(1/2),0)</f>
        <v>0.5</v>
      </c>
      <c r="BX115" s="38">
        <f>IF((ዕቁብ!BY117/ቦኖ!$C$4&gt;0),(1/2),0)</f>
        <v>0</v>
      </c>
      <c r="BY115" s="38">
        <f>IF((ዕቁብ!BZ117/ቦኖ!$C$4&gt;0),(1/2),0)</f>
        <v>0.5</v>
      </c>
      <c r="BZ115" s="38">
        <f>IF((ዕቁብ!CA117/ቦኖ!$C$4&gt;0),(1/2),0)</f>
        <v>0</v>
      </c>
      <c r="CA115" s="38">
        <f>IF((ዕቁብ!CB117/ቦኖ!$C$4&gt;0),(1/2),0)</f>
        <v>0.5</v>
      </c>
      <c r="CB115" s="38">
        <f>IF((ዕቁብ!CC117/ቦኖ!$C$4&gt;0),(1/2),0)</f>
        <v>0</v>
      </c>
      <c r="CC115" s="38">
        <f>IF((ዕቁብ!CD117/ቦኖ!$C$4&gt;0),(1/2),0)</f>
        <v>0.5</v>
      </c>
      <c r="CD115" s="38">
        <f>IF((ዕቁብ!CE117/ቦኖ!$C$4&gt;0),(1/2),0)</f>
        <v>0.5</v>
      </c>
      <c r="CE115" s="38">
        <f>IF((ዕቁብ!CF117/ቦኖ!$C$4&gt;0),(1/2),0)</f>
        <v>0</v>
      </c>
      <c r="CF115" s="38">
        <f>IF((ዕቁብ!CG117/ቦኖ!$C$4&gt;0),(1/2),0)</f>
        <v>0.5</v>
      </c>
      <c r="CG115" s="38">
        <f>IF((ዕቁብ!CH117/ቦኖ!$C$4&gt;0),(1/2),0)</f>
        <v>0</v>
      </c>
      <c r="CH115" s="38">
        <f>IF((ዕቁብ!CI117/ቦኖ!$C$4&gt;0),(1/2),0)</f>
        <v>0.5</v>
      </c>
      <c r="CI115" s="38">
        <f>IF((ዕቁብ!CJ117/ቦኖ!$C$4&gt;0),(1/2),0)</f>
        <v>0</v>
      </c>
      <c r="CJ115" s="38">
        <f>IF((ዕቁብ!CK117/ቦኖ!$C$4&gt;0),(1/2),0)</f>
        <v>0.5</v>
      </c>
      <c r="CK115" s="38">
        <f>IF((ዕቁብ!CL117/ቦኖ!$C$4&gt;0),(1/2),0)</f>
        <v>0.5</v>
      </c>
      <c r="CL115" s="38">
        <f>IF((ዕቁብ!CM117/ቦኖ!$C$4&gt;0),(1/2),0)</f>
        <v>0.5</v>
      </c>
      <c r="CM115" s="38">
        <f>IF((ዕቁብ!CN117/ቦኖ!$C$4&gt;0),(1/2),0)</f>
        <v>0</v>
      </c>
      <c r="CN115" s="38">
        <f>IF((ዕቁብ!CO117/ቦኖ!$C$4&gt;0),(1/2),0)</f>
        <v>0.5</v>
      </c>
      <c r="CO115" s="38">
        <f>IF((ዕቁብ!CP117/ቦኖ!$C$4&gt;0),(1/2),0)</f>
        <v>0.5</v>
      </c>
      <c r="CP115" s="38">
        <f>IF((ዕቁብ!CQ117/ቦኖ!$C$4&gt;0),(1/2),0)</f>
        <v>0.5</v>
      </c>
      <c r="CQ115" s="38">
        <f>IF((ዕቁብ!CR117/ቦኖ!$C$4&gt;0),(1/2),0)</f>
        <v>0</v>
      </c>
      <c r="CR115" s="38">
        <f>IF((ዕቁብ!CS117/ቦኖ!$C$4&gt;0),(1/2),0)</f>
        <v>0.5</v>
      </c>
      <c r="CS115" s="38">
        <f>IF((ዕቁብ!CT117/ቦኖ!$C$4&gt;0),(1/2),0)</f>
        <v>0</v>
      </c>
      <c r="CT115" s="38">
        <f>IF((ዕቁብ!CU117/ቦኖ!$C$4&gt;0),(1/2),0)</f>
        <v>0.5</v>
      </c>
      <c r="CU115" s="38">
        <f>IF((ዕቁብ!CV117/ቦኖ!$C$4&gt;0),(1/2),0)</f>
        <v>0</v>
      </c>
      <c r="CV115" s="38">
        <f>IF((ዕቁብ!CW117/ቦኖ!$C$4&gt;0),(1/2),0)</f>
        <v>0</v>
      </c>
      <c r="CW115" s="38">
        <f>IF((ዕቁብ!CX117/ቦኖ!$C$4&gt;0),(1/2),0)</f>
        <v>0</v>
      </c>
      <c r="CX115" s="38">
        <f>IF((ዕቁብ!CY117/ቦኖ!$C$4&gt;0),(1/2),0)</f>
        <v>0</v>
      </c>
      <c r="CY115" s="38">
        <f>IF((ዕቁብ!CZ117/ቦኖ!$C$4&gt;0),(1/2),0)</f>
        <v>0.5</v>
      </c>
      <c r="CZ115" s="38">
        <f>IF((ዕቁብ!DA117/ቦኖ!$C$4&gt;0),(1/2),0)</f>
        <v>0</v>
      </c>
      <c r="DA115" s="38">
        <f>IF((ዕቁብ!DB117/ቦኖ!$C$4&gt;0),(1/2),0)</f>
        <v>0</v>
      </c>
      <c r="DB115" s="38">
        <f>IF((ዕቁብ!DC117/ቦኖ!$C$4&gt;0),(1/2),0)</f>
        <v>0</v>
      </c>
      <c r="DC115" s="38">
        <f>IF((ዕቁብ!DD117/ቦኖ!$C$4&gt;0),(1/2),0)</f>
        <v>0</v>
      </c>
      <c r="DD115" s="38">
        <f>IF((ዕቁብ!DE117/ቦኖ!$C$4&gt;0),(1/2),0)</f>
        <v>0</v>
      </c>
      <c r="DE115" s="38">
        <f>IF((ዕቁብ!DF117/ቦኖ!$C$4&gt;0),(1/2),0)</f>
        <v>0.5</v>
      </c>
      <c r="DF115" s="38">
        <f>IF((ዕቁብ!DG117/ቦኖ!$C$4&gt;0),(1/2),0)</f>
        <v>0</v>
      </c>
      <c r="DG115" s="38">
        <f>IF((ዕቁብ!DH117/ቦኖ!$C$4&gt;0),(1/2),0)</f>
        <v>0.5</v>
      </c>
      <c r="DH115" s="38">
        <f>IF((ዕቁብ!DI117/ቦኖ!$C$4&gt;0),(1/2),0)</f>
        <v>0</v>
      </c>
      <c r="DI115" s="38">
        <f>IF((ዕቁብ!DJ117/ቦኖ!$C$4&gt;0),(1/2),0)</f>
        <v>0</v>
      </c>
      <c r="DJ115" s="38">
        <f>IF((ዕቁብ!DK117/ቦኖ!$C$4&gt;0),(1/2),0)</f>
        <v>0</v>
      </c>
      <c r="DK115" s="38">
        <f>IF((ዕቁብ!DL117/ቦኖ!$C$4&gt;0),(1/2),0)</f>
        <v>0</v>
      </c>
      <c r="DL115" s="38">
        <f>IF((ዕቁብ!DM117/ቦኖ!$C$4&gt;0),(1/2),0)</f>
        <v>0</v>
      </c>
      <c r="DM115" s="38">
        <f>IF((ዕቁብ!DN117/ቦኖ!$C$4&gt;0),(1/2),0)</f>
        <v>0</v>
      </c>
      <c r="DN115" s="38">
        <f>IF((ዕቁብ!DO117/ቦኖ!$C$4&gt;0),(1/2),0)</f>
        <v>0</v>
      </c>
      <c r="DO115" s="38">
        <f>IF((ዕቁብ!DP117/ቦኖ!$C$4&gt;0),(1/2),0)</f>
        <v>0</v>
      </c>
      <c r="DP115" s="38">
        <f>IF((ዕቁብ!DQ117/ቦኖ!$C$4&gt;0),(1/2),0)</f>
        <v>0</v>
      </c>
      <c r="DQ115" s="38">
        <f>IF((ዕቁብ!DR117/ቦኖ!$C$4&gt;0),(1/2),0)</f>
        <v>0</v>
      </c>
    </row>
    <row r="116" spans="1:121" ht="15.75" customHeight="1" x14ac:dyDescent="0.3">
      <c r="A116" s="33">
        <f>ዕቁብ!A118</f>
        <v>103</v>
      </c>
      <c r="B116" s="33" t="str">
        <f>ዕቁብ!B118</f>
        <v>አንበሴ ማናዩ</v>
      </c>
      <c r="C116" s="37">
        <f>ዕቁብ!C118</f>
        <v>10500</v>
      </c>
      <c r="D116" s="38">
        <f>IF((ዕቁብ!E118/ቦኖ!$C$4&gt;0),(1/2),0)</f>
        <v>0.5</v>
      </c>
      <c r="E116" s="38">
        <f>IF((ዕቁብ!F118/ቦኖ!$C$4&gt;0),(1/2),0)</f>
        <v>0.5</v>
      </c>
      <c r="F116" s="38">
        <f>IF((ዕቁብ!G118/ቦኖ!$C$4&gt;0),(1/2),0)</f>
        <v>0.5</v>
      </c>
      <c r="G116" s="38">
        <f>IF((ዕቁብ!H118/ቦኖ!$C$4&gt;0),(1/2),0)</f>
        <v>0.5</v>
      </c>
      <c r="H116" s="38">
        <f>IF((ዕቁብ!I118/ቦኖ!$C$4&gt;0),(1/2),0)</f>
        <v>0.5</v>
      </c>
      <c r="I116" s="38">
        <f>IF((ዕቁብ!J118/ቦኖ!$C$4&gt;0),(1/2),0)</f>
        <v>0.5</v>
      </c>
      <c r="J116" s="38">
        <f>IF((ዕቁብ!K118/ቦኖ!$C$4&gt;0),(1/2),0)</f>
        <v>0.5</v>
      </c>
      <c r="K116" s="38">
        <f>IF((ዕቁብ!L118/ቦኖ!$C$4&gt;0),(1/2),0)</f>
        <v>0.5</v>
      </c>
      <c r="L116" s="38">
        <f>IF((ዕቁብ!M118/ቦኖ!$C$4&gt;0),(1/2),0)</f>
        <v>0.5</v>
      </c>
      <c r="M116" s="38">
        <f>IF((ዕቁብ!N118/ቦኖ!$C$4&gt;0),(1/2),0)</f>
        <v>0.5</v>
      </c>
      <c r="N116" s="38">
        <f>IF((ዕቁብ!O118/ቦኖ!$C$4&gt;0),(1/2),0)</f>
        <v>0.5</v>
      </c>
      <c r="O116" s="38">
        <f>IF((ዕቁብ!P118/ቦኖ!$C$4&gt;0),(1/2),0)</f>
        <v>0.5</v>
      </c>
      <c r="P116" s="38">
        <f>IF((ዕቁብ!Q118/ቦኖ!$C$4&gt;0),(1/2),0)</f>
        <v>0.5</v>
      </c>
      <c r="Q116" s="38">
        <f>IF((ዕቁብ!R118/ቦኖ!$C$4&gt;0),(1/2),0)</f>
        <v>0.5</v>
      </c>
      <c r="R116" s="38">
        <f>IF((ዕቁብ!S118/ቦኖ!$C$4&gt;0),(1/2),0)</f>
        <v>0.5</v>
      </c>
      <c r="S116" s="38">
        <f>IF((ዕቁብ!T118/ቦኖ!$C$4&gt;0),(1/2),0)</f>
        <v>0.5</v>
      </c>
      <c r="T116" s="38">
        <f>IF((ዕቁብ!U118/ቦኖ!$C$4&gt;0),(1/2),0)</f>
        <v>0.5</v>
      </c>
      <c r="U116" s="38">
        <f>IF((ዕቁብ!V118/ቦኖ!$C$4&gt;0),(1/2),0)</f>
        <v>0.5</v>
      </c>
      <c r="V116" s="38">
        <f>IF((ዕቁብ!W118/ቦኖ!$C$4&gt;0),(1/2),0)</f>
        <v>0.5</v>
      </c>
      <c r="W116" s="38">
        <f>IF((ዕቁብ!X118/ቦኖ!$C$4&gt;0),(1/2),0)</f>
        <v>0.5</v>
      </c>
      <c r="X116" s="38">
        <f>IF((ዕቁብ!Y118/ቦኖ!$C$4&gt;0),(1/2),0)</f>
        <v>0.5</v>
      </c>
      <c r="Y116" s="38">
        <f>IF((ዕቁብ!Z118/ቦኖ!$C$4&gt;0),(1/2),0)</f>
        <v>0.5</v>
      </c>
      <c r="Z116" s="38">
        <f>IF((ዕቁብ!AA118/ቦኖ!$C$4&gt;0),(1/2),0)</f>
        <v>0.5</v>
      </c>
      <c r="AA116" s="38">
        <f>IF((ዕቁብ!AB118/ቦኖ!$C$4&gt;0),(1/2),0)</f>
        <v>0.5</v>
      </c>
      <c r="AB116" s="38">
        <f>IF((ዕቁብ!AC118/ቦኖ!$C$4&gt;0),(1/2),0)</f>
        <v>0</v>
      </c>
      <c r="AC116" s="38">
        <f>IF((ዕቁብ!AD118/ቦኖ!$C$4&gt;0),(1/2),0)</f>
        <v>0.5</v>
      </c>
      <c r="AD116" s="38">
        <f>IF((ዕቁብ!AE118/ቦኖ!$C$4&gt;0),(1/2),0)</f>
        <v>0.5</v>
      </c>
      <c r="AE116" s="38">
        <f>IF((ዕቁብ!AF118/ቦኖ!$C$4&gt;0),(1/2),0)</f>
        <v>0</v>
      </c>
      <c r="AF116" s="38">
        <f>IF((ዕቁብ!AG118/ቦኖ!$C$4&gt;0),(1/2),0)</f>
        <v>0.5</v>
      </c>
      <c r="AG116" s="38">
        <f>IF((ዕቁብ!AH118/ቦኖ!$C$4&gt;0),(1/2),0)</f>
        <v>0.5</v>
      </c>
      <c r="AH116" s="38">
        <f>IF((ዕቁብ!AI118/ቦኖ!$C$4&gt;0),(1/2),0)</f>
        <v>0.5</v>
      </c>
      <c r="AI116" s="38">
        <f>IF((ዕቁብ!AJ118/ቦኖ!$C$4&gt;0),(1/2),0)</f>
        <v>0.5</v>
      </c>
      <c r="AJ116" s="38">
        <f>IF((ዕቁብ!AK118/ቦኖ!$C$4&gt;0),(1/2),0)</f>
        <v>0</v>
      </c>
      <c r="AK116" s="38">
        <f>IF((ዕቁብ!AL118/ቦኖ!$C$4&gt;0),(1/2),0)</f>
        <v>0.5</v>
      </c>
      <c r="AL116" s="38">
        <f>IF((ዕቁብ!AM118/ቦኖ!$C$4&gt;0),(1/2),0)</f>
        <v>0.5</v>
      </c>
      <c r="AM116" s="38">
        <f>IF((ዕቁብ!AN118/ቦኖ!$C$4&gt;0),(1/2),0)</f>
        <v>0.5</v>
      </c>
      <c r="AN116" s="38">
        <f>IF((ዕቁብ!AO118/ቦኖ!$C$4&gt;0),(1/2),0)</f>
        <v>0.5</v>
      </c>
      <c r="AO116" s="38">
        <f>IF((ዕቁብ!AP118/ቦኖ!$C$4&gt;0),(1/2),0)</f>
        <v>0</v>
      </c>
      <c r="AP116" s="38">
        <f>IF((ዕቁብ!AQ118/ቦኖ!$C$4&gt;0),(1/2),0)</f>
        <v>0.5</v>
      </c>
      <c r="AQ116" s="38">
        <f>IF((ዕቁብ!AR118/ቦኖ!$C$4&gt;0),(1/2),0)</f>
        <v>0.5</v>
      </c>
      <c r="AR116" s="38">
        <f>IF((ዕቁብ!AS118/ቦኖ!$C$4&gt;0),(1/2),0)</f>
        <v>0.5</v>
      </c>
      <c r="AS116" s="38">
        <f>IF((ዕቁብ!AT118/ቦኖ!$C$4&gt;0),(1/2),0)</f>
        <v>0.5</v>
      </c>
      <c r="AT116" s="38">
        <f>IF((ዕቁብ!AU118/ቦኖ!$C$4&gt;0),(1/2),0)</f>
        <v>0.5</v>
      </c>
      <c r="AU116" s="38">
        <f>IF((ዕቁብ!AV118/ቦኖ!$C$4&gt;0),(1/2),0)</f>
        <v>0.5</v>
      </c>
      <c r="AV116" s="38">
        <f>IF((ዕቁብ!AW118/ቦኖ!$C$4&gt;0),(1/2),0)</f>
        <v>0.5</v>
      </c>
      <c r="AW116" s="38">
        <f>IF((ዕቁብ!AX118/ቦኖ!$C$4&gt;0),(1/2),0)</f>
        <v>0.5</v>
      </c>
      <c r="AX116" s="38">
        <f>IF((ዕቁብ!AY118/ቦኖ!$C$4&gt;0),(1/2),0)</f>
        <v>0.5</v>
      </c>
      <c r="AY116" s="38">
        <f>IF((ዕቁብ!AZ118/ቦኖ!$C$4&gt;0),(1/2),0)</f>
        <v>0.5</v>
      </c>
      <c r="AZ116" s="38">
        <f>IF((ዕቁብ!BA118/ቦኖ!$C$4&gt;0),(1/2),0)</f>
        <v>0.5</v>
      </c>
      <c r="BA116" s="38">
        <f>IF((ዕቁብ!BB118/ቦኖ!$C$4&gt;0),(1/2),0)</f>
        <v>0.5</v>
      </c>
      <c r="BB116" s="38">
        <f>IF((ዕቁብ!BC118/ቦኖ!$C$4&gt;0),(1/2),0)</f>
        <v>0.5</v>
      </c>
      <c r="BC116" s="38">
        <f>IF((ዕቁብ!BD118/ቦኖ!$C$4&gt;0),(1/2),0)</f>
        <v>0.5</v>
      </c>
      <c r="BD116" s="38">
        <f>IF((ዕቁብ!BE118/ቦኖ!$C$4&gt;0),(1/2),0)</f>
        <v>0.5</v>
      </c>
      <c r="BE116" s="38">
        <f>IF((ዕቁብ!BF118/ቦኖ!$C$4&gt;0),(1/2),0)</f>
        <v>0.5</v>
      </c>
      <c r="BF116" s="38">
        <f>IF((ዕቁብ!BG118/ቦኖ!$C$4&gt;0),(1/2),0)</f>
        <v>0.5</v>
      </c>
      <c r="BG116" s="38">
        <f>IF((ዕቁብ!BH118/ቦኖ!$C$4&gt;0),(1/2),0)</f>
        <v>0.5</v>
      </c>
      <c r="BH116" s="38">
        <f>IF((ዕቁብ!BI118/ቦኖ!$C$4&gt;0),(1/2),0)</f>
        <v>0.5</v>
      </c>
      <c r="BI116" s="38">
        <f>IF((ዕቁብ!BJ118/ቦኖ!$C$4&gt;0),(1/2),0)</f>
        <v>0.5</v>
      </c>
      <c r="BJ116" s="38">
        <f>IF((ዕቁብ!BK118/ቦኖ!$C$4&gt;0),(1/2),0)</f>
        <v>0.5</v>
      </c>
      <c r="BK116" s="38">
        <f>IF((ዕቁብ!BL118/ቦኖ!$C$4&gt;0),(1/2),0)</f>
        <v>0</v>
      </c>
      <c r="BL116" s="38">
        <f>IF((ዕቁብ!BM118/ቦኖ!$C$4&gt;0),(1/2),0)</f>
        <v>0.5</v>
      </c>
      <c r="BM116" s="38">
        <f>IF((ዕቁብ!BN118/ቦኖ!$C$4&gt;0),(1/2),0)</f>
        <v>0</v>
      </c>
      <c r="BN116" s="38">
        <f>IF((ዕቁብ!BO118/ቦኖ!$C$4&gt;0),(1/2),0)</f>
        <v>0.5</v>
      </c>
      <c r="BO116" s="38">
        <f>IF((ዕቁብ!BP118/ቦኖ!$C$4&gt;0),(1/2),0)</f>
        <v>0.5</v>
      </c>
      <c r="BP116" s="38">
        <f>IF((ዕቁብ!BQ118/ቦኖ!$C$4&gt;0),(1/2),0)</f>
        <v>0.5</v>
      </c>
      <c r="BQ116" s="38">
        <f>IF((ዕቁብ!BR118/ቦኖ!$C$4&gt;0),(1/2),0)</f>
        <v>0.5</v>
      </c>
      <c r="BR116" s="38">
        <f>IF((ዕቁብ!BS118/ቦኖ!$C$4&gt;0),(1/2),0)</f>
        <v>0.5</v>
      </c>
      <c r="BS116" s="38">
        <f>IF((ዕቁብ!BT118/ቦኖ!$C$4&gt;0),(1/2),0)</f>
        <v>0.5</v>
      </c>
      <c r="BT116" s="38">
        <f>IF((ዕቁብ!BU118/ቦኖ!$C$4&gt;0),(1/2),0)</f>
        <v>0.5</v>
      </c>
      <c r="BU116" s="38">
        <f>IF((ዕቁብ!BV118/ቦኖ!$C$4&gt;0),(1/2),0)</f>
        <v>0.5</v>
      </c>
      <c r="BV116" s="38">
        <f>IF((ዕቁብ!BW118/ቦኖ!$C$4&gt;0),(1/2),0)</f>
        <v>0.5</v>
      </c>
      <c r="BW116" s="38">
        <f>IF((ዕቁብ!BX118/ቦኖ!$C$4&gt;0),(1/2),0)</f>
        <v>0.5</v>
      </c>
      <c r="BX116" s="38">
        <f>IF((ዕቁብ!BY118/ቦኖ!$C$4&gt;0),(1/2),0)</f>
        <v>0.5</v>
      </c>
      <c r="BY116" s="38">
        <f>IF((ዕቁብ!BZ118/ቦኖ!$C$4&gt;0),(1/2),0)</f>
        <v>0.5</v>
      </c>
      <c r="BZ116" s="38">
        <f>IF((ዕቁብ!CA118/ቦኖ!$C$4&gt;0),(1/2),0)</f>
        <v>0.5</v>
      </c>
      <c r="CA116" s="38">
        <f>IF((ዕቁብ!CB118/ቦኖ!$C$4&gt;0),(1/2),0)</f>
        <v>0</v>
      </c>
      <c r="CB116" s="38">
        <f>IF((ዕቁብ!CC118/ቦኖ!$C$4&gt;0),(1/2),0)</f>
        <v>0.5</v>
      </c>
      <c r="CC116" s="38">
        <f>IF((ዕቁብ!CD118/ቦኖ!$C$4&gt;0),(1/2),0)</f>
        <v>0.5</v>
      </c>
      <c r="CD116" s="38">
        <f>IF((ዕቁብ!CE118/ቦኖ!$C$4&gt;0),(1/2),0)</f>
        <v>0.5</v>
      </c>
      <c r="CE116" s="38">
        <f>IF((ዕቁብ!CF118/ቦኖ!$C$4&gt;0),(1/2),0)</f>
        <v>0.5</v>
      </c>
      <c r="CF116" s="38">
        <f>IF((ዕቁብ!CG118/ቦኖ!$C$4&gt;0),(1/2),0)</f>
        <v>0</v>
      </c>
      <c r="CG116" s="38">
        <f>IF((ዕቁብ!CH118/ቦኖ!$C$4&gt;0),(1/2),0)</f>
        <v>0</v>
      </c>
      <c r="CH116" s="38">
        <f>IF((ዕቁብ!CI118/ቦኖ!$C$4&gt;0),(1/2),0)</f>
        <v>0</v>
      </c>
      <c r="CI116" s="38">
        <f>IF((ዕቁብ!CJ118/ቦኖ!$C$4&gt;0),(1/2),0)</f>
        <v>0.5</v>
      </c>
      <c r="CJ116" s="38">
        <f>IF((ዕቁብ!CK118/ቦኖ!$C$4&gt;0),(1/2),0)</f>
        <v>0.5</v>
      </c>
      <c r="CK116" s="38">
        <f>IF((ዕቁብ!CL118/ቦኖ!$C$4&gt;0),(1/2),0)</f>
        <v>0.5</v>
      </c>
      <c r="CL116" s="38">
        <f>IF((ዕቁብ!CM118/ቦኖ!$C$4&gt;0),(1/2),0)</f>
        <v>0</v>
      </c>
      <c r="CM116" s="38">
        <f>IF((ዕቁብ!CN118/ቦኖ!$C$4&gt;0),(1/2),0)</f>
        <v>0.5</v>
      </c>
      <c r="CN116" s="38">
        <f>IF((ዕቁብ!CO118/ቦኖ!$C$4&gt;0),(1/2),0)</f>
        <v>0.5</v>
      </c>
      <c r="CO116" s="38">
        <f>IF((ዕቁብ!CP118/ቦኖ!$C$4&gt;0),(1/2),0)</f>
        <v>0</v>
      </c>
      <c r="CP116" s="38">
        <f>IF((ዕቁብ!CQ118/ቦኖ!$C$4&gt;0),(1/2),0)</f>
        <v>0.5</v>
      </c>
      <c r="CQ116" s="38">
        <f>IF((ዕቁብ!CR118/ቦኖ!$C$4&gt;0),(1/2),0)</f>
        <v>0</v>
      </c>
      <c r="CR116" s="38">
        <f>IF((ዕቁብ!CS118/ቦኖ!$C$4&gt;0),(1/2),0)</f>
        <v>0</v>
      </c>
      <c r="CS116" s="38">
        <f>IF((ዕቁብ!CT118/ቦኖ!$C$4&gt;0),(1/2),0)</f>
        <v>0.5</v>
      </c>
      <c r="CT116" s="38">
        <f>IF((ዕቁብ!CU118/ቦኖ!$C$4&gt;0),(1/2),0)</f>
        <v>0</v>
      </c>
      <c r="CU116" s="38">
        <f>IF((ዕቁብ!CV118/ቦኖ!$C$4&gt;0),(1/2),0)</f>
        <v>0.5</v>
      </c>
      <c r="CV116" s="38">
        <f>IF((ዕቁብ!CW118/ቦኖ!$C$4&gt;0),(1/2),0)</f>
        <v>0</v>
      </c>
      <c r="CW116" s="38">
        <f>IF((ዕቁብ!CX118/ቦኖ!$C$4&gt;0),(1/2),0)</f>
        <v>0.5</v>
      </c>
      <c r="CX116" s="38">
        <f>IF((ዕቁብ!CY118/ቦኖ!$C$4&gt;0),(1/2),0)</f>
        <v>0.5</v>
      </c>
      <c r="CY116" s="38">
        <f>IF((ዕቁብ!CZ118/ቦኖ!$C$4&gt;0),(1/2),0)</f>
        <v>0</v>
      </c>
      <c r="CZ116" s="38">
        <f>IF((ዕቁብ!DA118/ቦኖ!$C$4&gt;0),(1/2),0)</f>
        <v>0.5</v>
      </c>
      <c r="DA116" s="38">
        <f>IF((ዕቁብ!DB118/ቦኖ!$C$4&gt;0),(1/2),0)</f>
        <v>0</v>
      </c>
      <c r="DB116" s="38">
        <f>IF((ዕቁብ!DC118/ቦኖ!$C$4&gt;0),(1/2),0)</f>
        <v>0.5</v>
      </c>
      <c r="DC116" s="38">
        <f>IF((ዕቁብ!DD118/ቦኖ!$C$4&gt;0),(1/2),0)</f>
        <v>0.5</v>
      </c>
      <c r="DD116" s="38">
        <f>IF((ዕቁብ!DE118/ቦኖ!$C$4&gt;0),(1/2),0)</f>
        <v>0.5</v>
      </c>
      <c r="DE116" s="38">
        <f>IF((ዕቁብ!DF118/ቦኖ!$C$4&gt;0),(1/2),0)</f>
        <v>0</v>
      </c>
      <c r="DF116" s="38">
        <f>IF((ዕቁብ!DG118/ቦኖ!$C$4&gt;0),(1/2),0)</f>
        <v>0.5</v>
      </c>
      <c r="DG116" s="38">
        <f>IF((ዕቁብ!DH118/ቦኖ!$C$4&gt;0),(1/2),0)</f>
        <v>0.5</v>
      </c>
      <c r="DH116" s="38">
        <f>IF((ዕቁብ!DI118/ቦኖ!$C$4&gt;0),(1/2),0)</f>
        <v>0</v>
      </c>
      <c r="DI116" s="38">
        <f>IF((ዕቁብ!DJ118/ቦኖ!$C$4&gt;0),(1/2),0)</f>
        <v>0</v>
      </c>
      <c r="DJ116" s="38">
        <f>IF((ዕቁብ!DK118/ቦኖ!$C$4&gt;0),(1/2),0)</f>
        <v>0</v>
      </c>
      <c r="DK116" s="38">
        <f>IF((ዕቁብ!DL118/ቦኖ!$C$4&gt;0),(1/2),0)</f>
        <v>0</v>
      </c>
      <c r="DL116" s="38">
        <f>IF((ዕቁብ!DM118/ቦኖ!$C$4&gt;0),(1/2),0)</f>
        <v>0</v>
      </c>
      <c r="DM116" s="38">
        <f>IF((ዕቁብ!DN118/ቦኖ!$C$4&gt;0),(1/2),0)</f>
        <v>0</v>
      </c>
      <c r="DN116" s="38">
        <f>IF((ዕቁብ!DO118/ቦኖ!$C$4&gt;0),(1/2),0)</f>
        <v>0</v>
      </c>
      <c r="DO116" s="38">
        <f>IF((ዕቁብ!DP118/ቦኖ!$C$4&gt;0),(1/2),0)</f>
        <v>0</v>
      </c>
      <c r="DP116" s="38">
        <f>IF((ዕቁብ!DQ118/ቦኖ!$C$4&gt;0),(1/2),0)</f>
        <v>0</v>
      </c>
      <c r="DQ116" s="38">
        <f>IF((ዕቁብ!DR118/ቦኖ!$C$4&gt;0),(1/2),0)</f>
        <v>0</v>
      </c>
    </row>
    <row r="117" spans="1:121" ht="15.75" customHeight="1" x14ac:dyDescent="0.3">
      <c r="A117" s="33">
        <f>ዕቁብ!A119</f>
        <v>104</v>
      </c>
      <c r="B117" s="33" t="str">
        <f>ዕቁብ!B119</f>
        <v xml:space="preserve">ሴም ገብራይ </v>
      </c>
      <c r="C117" s="37">
        <f>ዕቁብ!C119</f>
        <v>10500</v>
      </c>
      <c r="D117" s="38">
        <f>IF((ዕቁብ!E119/ቦኖ!$C$4&gt;0),(1/2),0)</f>
        <v>0.5</v>
      </c>
      <c r="E117" s="38">
        <f>IF((ዕቁብ!F119/ቦኖ!$C$4&gt;0),(1/2),0)</f>
        <v>0.5</v>
      </c>
      <c r="F117" s="38">
        <f>IF((ዕቁብ!G119/ቦኖ!$C$4&gt;0),(1/2),0)</f>
        <v>0.5</v>
      </c>
      <c r="G117" s="38">
        <f>IF((ዕቁብ!H119/ቦኖ!$C$4&gt;0),(1/2),0)</f>
        <v>0.5</v>
      </c>
      <c r="H117" s="38">
        <f>IF((ዕቁብ!I119/ቦኖ!$C$4&gt;0),(1/2),0)</f>
        <v>0.5</v>
      </c>
      <c r="I117" s="38">
        <f>IF((ዕቁብ!J119/ቦኖ!$C$4&gt;0),(1/2),0)</f>
        <v>0.5</v>
      </c>
      <c r="J117" s="38">
        <f>IF((ዕቁብ!K119/ቦኖ!$C$4&gt;0),(1/2),0)</f>
        <v>0.5</v>
      </c>
      <c r="K117" s="38">
        <f>IF((ዕቁብ!L119/ቦኖ!$C$4&gt;0),(1/2),0)</f>
        <v>0.5</v>
      </c>
      <c r="L117" s="38">
        <f>IF((ዕቁብ!M119/ቦኖ!$C$4&gt;0),(1/2),0)</f>
        <v>0.5</v>
      </c>
      <c r="M117" s="38">
        <f>IF((ዕቁብ!N119/ቦኖ!$C$4&gt;0),(1/2),0)</f>
        <v>0.5</v>
      </c>
      <c r="N117" s="38">
        <f>IF((ዕቁብ!O119/ቦኖ!$C$4&gt;0),(1/2),0)</f>
        <v>0.5</v>
      </c>
      <c r="O117" s="38">
        <f>IF((ዕቁብ!P119/ቦኖ!$C$4&gt;0),(1/2),0)</f>
        <v>0.5</v>
      </c>
      <c r="P117" s="38">
        <f>IF((ዕቁብ!Q119/ቦኖ!$C$4&gt;0),(1/2),0)</f>
        <v>0.5</v>
      </c>
      <c r="Q117" s="38">
        <f>IF((ዕቁብ!R119/ቦኖ!$C$4&gt;0),(1/2),0)</f>
        <v>0.5</v>
      </c>
      <c r="R117" s="38">
        <f>IF((ዕቁብ!S119/ቦኖ!$C$4&gt;0),(1/2),0)</f>
        <v>0.5</v>
      </c>
      <c r="S117" s="38">
        <f>IF((ዕቁብ!T119/ቦኖ!$C$4&gt;0),(1/2),0)</f>
        <v>0.5</v>
      </c>
      <c r="T117" s="38">
        <f>IF((ዕቁብ!U119/ቦኖ!$C$4&gt;0),(1/2),0)</f>
        <v>0.5</v>
      </c>
      <c r="U117" s="38">
        <f>IF((ዕቁብ!V119/ቦኖ!$C$4&gt;0),(1/2),0)</f>
        <v>0.5</v>
      </c>
      <c r="V117" s="38">
        <f>IF((ዕቁብ!W119/ቦኖ!$C$4&gt;0),(1/2),0)</f>
        <v>0.5</v>
      </c>
      <c r="W117" s="38">
        <f>IF((ዕቁብ!X119/ቦኖ!$C$4&gt;0),(1/2),0)</f>
        <v>0.5</v>
      </c>
      <c r="X117" s="38">
        <f>IF((ዕቁብ!Y119/ቦኖ!$C$4&gt;0),(1/2),0)</f>
        <v>0.5</v>
      </c>
      <c r="Y117" s="38">
        <f>IF((ዕቁብ!Z119/ቦኖ!$C$4&gt;0),(1/2),0)</f>
        <v>0.5</v>
      </c>
      <c r="Z117" s="38">
        <f>IF((ዕቁብ!AA119/ቦኖ!$C$4&gt;0),(1/2),0)</f>
        <v>0.5</v>
      </c>
      <c r="AA117" s="38">
        <f>IF((ዕቁብ!AB119/ቦኖ!$C$4&gt;0),(1/2),0)</f>
        <v>0.5</v>
      </c>
      <c r="AB117" s="38">
        <f>IF((ዕቁብ!AC119/ቦኖ!$C$4&gt;0),(1/2),0)</f>
        <v>0.5</v>
      </c>
      <c r="AC117" s="38">
        <f>IF((ዕቁብ!AD119/ቦኖ!$C$4&gt;0),(1/2),0)</f>
        <v>0.5</v>
      </c>
      <c r="AD117" s="38">
        <f>IF((ዕቁብ!AE119/ቦኖ!$C$4&gt;0),(1/2),0)</f>
        <v>0.5</v>
      </c>
      <c r="AE117" s="38">
        <f>IF((ዕቁብ!AF119/ቦኖ!$C$4&gt;0),(1/2),0)</f>
        <v>0.5</v>
      </c>
      <c r="AF117" s="38">
        <f>IF((ዕቁብ!AG119/ቦኖ!$C$4&gt;0),(1/2),0)</f>
        <v>0.5</v>
      </c>
      <c r="AG117" s="38">
        <f>IF((ዕቁብ!AH119/ቦኖ!$C$4&gt;0),(1/2),0)</f>
        <v>0.5</v>
      </c>
      <c r="AH117" s="38">
        <f>IF((ዕቁብ!AI119/ቦኖ!$C$4&gt;0),(1/2),0)</f>
        <v>0.5</v>
      </c>
      <c r="AI117" s="38">
        <f>IF((ዕቁብ!AJ119/ቦኖ!$C$4&gt;0),(1/2),0)</f>
        <v>0.5</v>
      </c>
      <c r="AJ117" s="38">
        <f>IF((ዕቁብ!AK119/ቦኖ!$C$4&gt;0),(1/2),0)</f>
        <v>0.5</v>
      </c>
      <c r="AK117" s="38">
        <f>IF((ዕቁብ!AL119/ቦኖ!$C$4&gt;0),(1/2),0)</f>
        <v>0.5</v>
      </c>
      <c r="AL117" s="38">
        <f>IF((ዕቁብ!AM119/ቦኖ!$C$4&gt;0),(1/2),0)</f>
        <v>0.5</v>
      </c>
      <c r="AM117" s="38">
        <f>IF((ዕቁብ!AN119/ቦኖ!$C$4&gt;0),(1/2),0)</f>
        <v>0.5</v>
      </c>
      <c r="AN117" s="38">
        <f>IF((ዕቁብ!AO119/ቦኖ!$C$4&gt;0),(1/2),0)</f>
        <v>0.5</v>
      </c>
      <c r="AO117" s="38">
        <f>IF((ዕቁብ!AP119/ቦኖ!$C$4&gt;0),(1/2),0)</f>
        <v>0.5</v>
      </c>
      <c r="AP117" s="38">
        <f>IF((ዕቁብ!AQ119/ቦኖ!$C$4&gt;0),(1/2),0)</f>
        <v>0.5</v>
      </c>
      <c r="AQ117" s="38">
        <f>IF((ዕቁብ!AR119/ቦኖ!$C$4&gt;0),(1/2),0)</f>
        <v>0.5</v>
      </c>
      <c r="AR117" s="38">
        <f>IF((ዕቁብ!AS119/ቦኖ!$C$4&gt;0),(1/2),0)</f>
        <v>0.5</v>
      </c>
      <c r="AS117" s="38">
        <f>IF((ዕቁብ!AT119/ቦኖ!$C$4&gt;0),(1/2),0)</f>
        <v>0.5</v>
      </c>
      <c r="AT117" s="38">
        <f>IF((ዕቁብ!AU119/ቦኖ!$C$4&gt;0),(1/2),0)</f>
        <v>0.5</v>
      </c>
      <c r="AU117" s="38">
        <f>IF((ዕቁብ!AV119/ቦኖ!$C$4&gt;0),(1/2),0)</f>
        <v>0.5</v>
      </c>
      <c r="AV117" s="38">
        <f>IF((ዕቁብ!AW119/ቦኖ!$C$4&gt;0),(1/2),0)</f>
        <v>0.5</v>
      </c>
      <c r="AW117" s="38">
        <f>IF((ዕቁብ!AX119/ቦኖ!$C$4&gt;0),(1/2),0)</f>
        <v>0.5</v>
      </c>
      <c r="AX117" s="38">
        <f>IF((ዕቁብ!AY119/ቦኖ!$C$4&gt;0),(1/2),0)</f>
        <v>0.5</v>
      </c>
      <c r="AY117" s="38">
        <f>IF((ዕቁብ!AZ119/ቦኖ!$C$4&gt;0),(1/2),0)</f>
        <v>0.5</v>
      </c>
      <c r="AZ117" s="38">
        <f>IF((ዕቁብ!BA119/ቦኖ!$C$4&gt;0),(1/2),0)</f>
        <v>0.5</v>
      </c>
      <c r="BA117" s="38">
        <f>IF((ዕቁብ!BB119/ቦኖ!$C$4&gt;0),(1/2),0)</f>
        <v>0.5</v>
      </c>
      <c r="BB117" s="38">
        <f>IF((ዕቁብ!BC119/ቦኖ!$C$4&gt;0),(1/2),0)</f>
        <v>0.5</v>
      </c>
      <c r="BC117" s="38">
        <f>IF((ዕቁብ!BD119/ቦኖ!$C$4&gt;0),(1/2),0)</f>
        <v>0.5</v>
      </c>
      <c r="BD117" s="38">
        <f>IF((ዕቁብ!BE119/ቦኖ!$C$4&gt;0),(1/2),0)</f>
        <v>0.5</v>
      </c>
      <c r="BE117" s="38">
        <f>IF((ዕቁብ!BF119/ቦኖ!$C$4&gt;0),(1/2),0)</f>
        <v>0.5</v>
      </c>
      <c r="BF117" s="38">
        <f>IF((ዕቁብ!BG119/ቦኖ!$C$4&gt;0),(1/2),0)</f>
        <v>0.5</v>
      </c>
      <c r="BG117" s="38">
        <f>IF((ዕቁብ!BH119/ቦኖ!$C$4&gt;0),(1/2),0)</f>
        <v>0.5</v>
      </c>
      <c r="BH117" s="38">
        <f>IF((ዕቁብ!BI119/ቦኖ!$C$4&gt;0),(1/2),0)</f>
        <v>0.5</v>
      </c>
      <c r="BI117" s="38">
        <f>IF((ዕቁብ!BJ119/ቦኖ!$C$4&gt;0),(1/2),0)</f>
        <v>0.5</v>
      </c>
      <c r="BJ117" s="38">
        <f>IF((ዕቁብ!BK119/ቦኖ!$C$4&gt;0),(1/2),0)</f>
        <v>0.5</v>
      </c>
      <c r="BK117" s="38">
        <f>IF((ዕቁብ!BL119/ቦኖ!$C$4&gt;0),(1/2),0)</f>
        <v>0.5</v>
      </c>
      <c r="BL117" s="38">
        <f>IF((ዕቁብ!BM119/ቦኖ!$C$4&gt;0),(1/2),0)</f>
        <v>0.5</v>
      </c>
      <c r="BM117" s="38">
        <f>IF((ዕቁብ!BN119/ቦኖ!$C$4&gt;0),(1/2),0)</f>
        <v>0.5</v>
      </c>
      <c r="BN117" s="38">
        <f>IF((ዕቁብ!BO119/ቦኖ!$C$4&gt;0),(1/2),0)</f>
        <v>0.5</v>
      </c>
      <c r="BO117" s="38">
        <f>IF((ዕቁብ!BP119/ቦኖ!$C$4&gt;0),(1/2),0)</f>
        <v>0.5</v>
      </c>
      <c r="BP117" s="38">
        <f>IF((ዕቁብ!BQ119/ቦኖ!$C$4&gt;0),(1/2),0)</f>
        <v>0.5</v>
      </c>
      <c r="BQ117" s="38">
        <f>IF((ዕቁብ!BR119/ቦኖ!$C$4&gt;0),(1/2),0)</f>
        <v>0.5</v>
      </c>
      <c r="BR117" s="38">
        <f>IF((ዕቁብ!BS119/ቦኖ!$C$4&gt;0),(1/2),0)</f>
        <v>0.5</v>
      </c>
      <c r="BS117" s="38">
        <f>IF((ዕቁብ!BT119/ቦኖ!$C$4&gt;0),(1/2),0)</f>
        <v>0</v>
      </c>
      <c r="BT117" s="38">
        <f>IF((ዕቁብ!BU119/ቦኖ!$C$4&gt;0),(1/2),0)</f>
        <v>0.5</v>
      </c>
      <c r="BU117" s="38">
        <f>IF((ዕቁብ!BV119/ቦኖ!$C$4&gt;0),(1/2),0)</f>
        <v>0.5</v>
      </c>
      <c r="BV117" s="38">
        <f>IF((ዕቁብ!BW119/ቦኖ!$C$4&gt;0),(1/2),0)</f>
        <v>0.5</v>
      </c>
      <c r="BW117" s="38">
        <f>IF((ዕቁብ!BX119/ቦኖ!$C$4&gt;0),(1/2),0)</f>
        <v>0.5</v>
      </c>
      <c r="BX117" s="38">
        <f>IF((ዕቁብ!BY119/ቦኖ!$C$4&gt;0),(1/2),0)</f>
        <v>0.5</v>
      </c>
      <c r="BY117" s="38">
        <f>IF((ዕቁብ!BZ119/ቦኖ!$C$4&gt;0),(1/2),0)</f>
        <v>0.5</v>
      </c>
      <c r="BZ117" s="38">
        <f>IF((ዕቁብ!CA119/ቦኖ!$C$4&gt;0),(1/2),0)</f>
        <v>0.5</v>
      </c>
      <c r="CA117" s="38">
        <f>IF((ዕቁብ!CB119/ቦኖ!$C$4&gt;0),(1/2),0)</f>
        <v>0.5</v>
      </c>
      <c r="CB117" s="38">
        <f>IF((ዕቁብ!CC119/ቦኖ!$C$4&gt;0),(1/2),0)</f>
        <v>0.5</v>
      </c>
      <c r="CC117" s="38">
        <f>IF((ዕቁብ!CD119/ቦኖ!$C$4&gt;0),(1/2),0)</f>
        <v>0.5</v>
      </c>
      <c r="CD117" s="38">
        <f>IF((ዕቁብ!CE119/ቦኖ!$C$4&gt;0),(1/2),0)</f>
        <v>0.5</v>
      </c>
      <c r="CE117" s="38">
        <f>IF((ዕቁብ!CF119/ቦኖ!$C$4&gt;0),(1/2),0)</f>
        <v>0.5</v>
      </c>
      <c r="CF117" s="38">
        <f>IF((ዕቁብ!CG119/ቦኖ!$C$4&gt;0),(1/2),0)</f>
        <v>0.5</v>
      </c>
      <c r="CG117" s="38">
        <f>IF((ዕቁብ!CH119/ቦኖ!$C$4&gt;0),(1/2),0)</f>
        <v>0.5</v>
      </c>
      <c r="CH117" s="38">
        <f>IF((ዕቁብ!CI119/ቦኖ!$C$4&gt;0),(1/2),0)</f>
        <v>0.5</v>
      </c>
      <c r="CI117" s="38">
        <f>IF((ዕቁብ!CJ119/ቦኖ!$C$4&gt;0),(1/2),0)</f>
        <v>0.5</v>
      </c>
      <c r="CJ117" s="38">
        <f>IF((ዕቁብ!CK119/ቦኖ!$C$4&gt;0),(1/2),0)</f>
        <v>0.5</v>
      </c>
      <c r="CK117" s="38">
        <f>IF((ዕቁብ!CL119/ቦኖ!$C$4&gt;0),(1/2),0)</f>
        <v>0.5</v>
      </c>
      <c r="CL117" s="38">
        <f>IF((ዕቁብ!CM119/ቦኖ!$C$4&gt;0),(1/2),0)</f>
        <v>0.5</v>
      </c>
      <c r="CM117" s="38">
        <f>IF((ዕቁብ!CN119/ቦኖ!$C$4&gt;0),(1/2),0)</f>
        <v>0.5</v>
      </c>
      <c r="CN117" s="38">
        <f>IF((ዕቁብ!CO119/ቦኖ!$C$4&gt;0),(1/2),0)</f>
        <v>0.5</v>
      </c>
      <c r="CO117" s="38">
        <f>IF((ዕቁብ!CP119/ቦኖ!$C$4&gt;0),(1/2),0)</f>
        <v>0.5</v>
      </c>
      <c r="CP117" s="38">
        <f>IF((ዕቁብ!CQ119/ቦኖ!$C$4&gt;0),(1/2),0)</f>
        <v>0.5</v>
      </c>
      <c r="CQ117" s="38">
        <f>IF((ዕቁብ!CR119/ቦኖ!$C$4&gt;0),(1/2),0)</f>
        <v>0.5</v>
      </c>
      <c r="CR117" s="38">
        <f>IF((ዕቁብ!CS119/ቦኖ!$C$4&gt;0),(1/2),0)</f>
        <v>0.5</v>
      </c>
      <c r="CS117" s="38">
        <f>IF((ዕቁብ!CT119/ቦኖ!$C$4&gt;0),(1/2),0)</f>
        <v>0.5</v>
      </c>
      <c r="CT117" s="38">
        <f>IF((ዕቁብ!CU119/ቦኖ!$C$4&gt;0),(1/2),0)</f>
        <v>0.5</v>
      </c>
      <c r="CU117" s="38">
        <f>IF((ዕቁብ!CV119/ቦኖ!$C$4&gt;0),(1/2),0)</f>
        <v>0.5</v>
      </c>
      <c r="CV117" s="38">
        <f>IF((ዕቁብ!CW119/ቦኖ!$C$4&gt;0),(1/2),0)</f>
        <v>0.5</v>
      </c>
      <c r="CW117" s="38">
        <f>IF((ዕቁብ!CX119/ቦኖ!$C$4&gt;0),(1/2),0)</f>
        <v>0.5</v>
      </c>
      <c r="CX117" s="38">
        <f>IF((ዕቁብ!CY119/ቦኖ!$C$4&gt;0),(1/2),0)</f>
        <v>0.5</v>
      </c>
      <c r="CY117" s="38">
        <f>IF((ዕቁብ!CZ119/ቦኖ!$C$4&gt;0),(1/2),0)</f>
        <v>0.5</v>
      </c>
      <c r="CZ117" s="38">
        <f>IF((ዕቁብ!DA119/ቦኖ!$C$4&gt;0),(1/2),0)</f>
        <v>0.5</v>
      </c>
      <c r="DA117" s="38">
        <f>IF((ዕቁብ!DB119/ቦኖ!$C$4&gt;0),(1/2),0)</f>
        <v>0.5</v>
      </c>
      <c r="DB117" s="38">
        <f>IF((ዕቁብ!DC119/ቦኖ!$C$4&gt;0),(1/2),0)</f>
        <v>0.5</v>
      </c>
      <c r="DC117" s="38">
        <f>IF((ዕቁብ!DD119/ቦኖ!$C$4&gt;0),(1/2),0)</f>
        <v>0.5</v>
      </c>
      <c r="DD117" s="38">
        <f>IF((ዕቁብ!DE119/ቦኖ!$C$4&gt;0),(1/2),0)</f>
        <v>0.5</v>
      </c>
      <c r="DE117" s="38">
        <f>IF((ዕቁብ!DF119/ቦኖ!$C$4&gt;0),(1/2),0)</f>
        <v>0.5</v>
      </c>
      <c r="DF117" s="38">
        <f>IF((ዕቁብ!DG119/ቦኖ!$C$4&gt;0),(1/2),0)</f>
        <v>0.5</v>
      </c>
      <c r="DG117" s="38">
        <f>IF((ዕቁብ!DH119/ቦኖ!$C$4&gt;0),(1/2),0)</f>
        <v>0.5</v>
      </c>
      <c r="DH117" s="38">
        <f>IF((ዕቁብ!DI119/ቦኖ!$C$4&gt;0),(1/2),0)</f>
        <v>0</v>
      </c>
      <c r="DI117" s="38">
        <f>IF((ዕቁብ!DJ119/ቦኖ!$C$4&gt;0),(1/2),0)</f>
        <v>0</v>
      </c>
      <c r="DJ117" s="38">
        <f>IF((ዕቁብ!DK119/ቦኖ!$C$4&gt;0),(1/2),0)</f>
        <v>0</v>
      </c>
      <c r="DK117" s="38">
        <f>IF((ዕቁብ!DL119/ቦኖ!$C$4&gt;0),(1/2),0)</f>
        <v>0</v>
      </c>
      <c r="DL117" s="38">
        <f>IF((ዕቁብ!DM119/ቦኖ!$C$4&gt;0),(1/2),0)</f>
        <v>0</v>
      </c>
      <c r="DM117" s="38">
        <f>IF((ዕቁብ!DN119/ቦኖ!$C$4&gt;0),(1/2),0)</f>
        <v>0</v>
      </c>
      <c r="DN117" s="38">
        <f>IF((ዕቁብ!DO119/ቦኖ!$C$4&gt;0),(1/2),0)</f>
        <v>0</v>
      </c>
      <c r="DO117" s="38">
        <f>IF((ዕቁብ!DP119/ቦኖ!$C$4&gt;0),(1/2),0)</f>
        <v>0</v>
      </c>
      <c r="DP117" s="38">
        <f>IF((ዕቁብ!DQ119/ቦኖ!$C$4&gt;0),(1/2),0)</f>
        <v>0</v>
      </c>
      <c r="DQ117" s="38">
        <f>IF((ዕቁብ!DR119/ቦኖ!$C$4&gt;0),(1/2),0)</f>
        <v>0</v>
      </c>
    </row>
    <row r="118" spans="1:121" ht="15.75" customHeight="1" x14ac:dyDescent="0.3">
      <c r="A118" s="33">
        <f>ዕቁብ!A120</f>
        <v>104</v>
      </c>
      <c r="B118" s="33" t="str">
        <f>ዕቁብ!B120</f>
        <v>ሙሉአባይ መለሰ</v>
      </c>
      <c r="C118" s="37">
        <f>ዕቁብ!C120</f>
        <v>10500</v>
      </c>
      <c r="D118" s="38">
        <f>IF((ዕቁብ!E120/ቦኖ!$C$4&gt;0),(1/2),0)</f>
        <v>0.5</v>
      </c>
      <c r="E118" s="38">
        <f>IF((ዕቁብ!F120/ቦኖ!$C$4&gt;0),(1/2),0)</f>
        <v>0.5</v>
      </c>
      <c r="F118" s="38">
        <f>IF((ዕቁብ!G120/ቦኖ!$C$4&gt;0),(1/2),0)</f>
        <v>0.5</v>
      </c>
      <c r="G118" s="38">
        <f>IF((ዕቁብ!H120/ቦኖ!$C$4&gt;0),(1/2),0)</f>
        <v>0.5</v>
      </c>
      <c r="H118" s="38">
        <f>IF((ዕቁብ!I120/ቦኖ!$C$4&gt;0),(1/2),0)</f>
        <v>0.5</v>
      </c>
      <c r="I118" s="38">
        <f>IF((ዕቁብ!J120/ቦኖ!$C$4&gt;0),(1/2),0)</f>
        <v>0.5</v>
      </c>
      <c r="J118" s="38">
        <f>IF((ዕቁብ!K120/ቦኖ!$C$4&gt;0),(1/2),0)</f>
        <v>0.5</v>
      </c>
      <c r="K118" s="38">
        <f>IF((ዕቁብ!L120/ቦኖ!$C$4&gt;0),(1/2),0)</f>
        <v>0.5</v>
      </c>
      <c r="L118" s="38">
        <f>IF((ዕቁብ!M120/ቦኖ!$C$4&gt;0),(1/2),0)</f>
        <v>0.5</v>
      </c>
      <c r="M118" s="38">
        <f>IF((ዕቁብ!N120/ቦኖ!$C$4&gt;0),(1/2),0)</f>
        <v>0.5</v>
      </c>
      <c r="N118" s="38">
        <f>IF((ዕቁብ!O120/ቦኖ!$C$4&gt;0),(1/2),0)</f>
        <v>0.5</v>
      </c>
      <c r="O118" s="38">
        <f>IF((ዕቁብ!P120/ቦኖ!$C$4&gt;0),(1/2),0)</f>
        <v>0.5</v>
      </c>
      <c r="P118" s="38">
        <f>IF((ዕቁብ!Q120/ቦኖ!$C$4&gt;0),(1/2),0)</f>
        <v>0.5</v>
      </c>
      <c r="Q118" s="38">
        <f>IF((ዕቁብ!R120/ቦኖ!$C$4&gt;0),(1/2),0)</f>
        <v>0.5</v>
      </c>
      <c r="R118" s="38">
        <f>IF((ዕቁብ!S120/ቦኖ!$C$4&gt;0),(1/2),0)</f>
        <v>0.5</v>
      </c>
      <c r="S118" s="38">
        <f>IF((ዕቁብ!T120/ቦኖ!$C$4&gt;0),(1/2),0)</f>
        <v>0.5</v>
      </c>
      <c r="T118" s="38">
        <f>IF((ዕቁብ!U120/ቦኖ!$C$4&gt;0),(1/2),0)</f>
        <v>0.5</v>
      </c>
      <c r="U118" s="38">
        <f>IF((ዕቁብ!V120/ቦኖ!$C$4&gt;0),(1/2),0)</f>
        <v>0.5</v>
      </c>
      <c r="V118" s="38">
        <f>IF((ዕቁብ!W120/ቦኖ!$C$4&gt;0),(1/2),0)</f>
        <v>0.5</v>
      </c>
      <c r="W118" s="38">
        <f>IF((ዕቁብ!X120/ቦኖ!$C$4&gt;0),(1/2),0)</f>
        <v>0.5</v>
      </c>
      <c r="X118" s="38">
        <f>IF((ዕቁብ!Y120/ቦኖ!$C$4&gt;0),(1/2),0)</f>
        <v>0.5</v>
      </c>
      <c r="Y118" s="38">
        <f>IF((ዕቁብ!Z120/ቦኖ!$C$4&gt;0),(1/2),0)</f>
        <v>0.5</v>
      </c>
      <c r="Z118" s="38">
        <f>IF((ዕቁብ!AA120/ቦኖ!$C$4&gt;0),(1/2),0)</f>
        <v>0.5</v>
      </c>
      <c r="AA118" s="38">
        <f>IF((ዕቁብ!AB120/ቦኖ!$C$4&gt;0),(1/2),0)</f>
        <v>0.5</v>
      </c>
      <c r="AB118" s="38">
        <f>IF((ዕቁብ!AC120/ቦኖ!$C$4&gt;0),(1/2),0)</f>
        <v>0.5</v>
      </c>
      <c r="AC118" s="38">
        <f>IF((ዕቁብ!AD120/ቦኖ!$C$4&gt;0),(1/2),0)</f>
        <v>0.5</v>
      </c>
      <c r="AD118" s="38">
        <f>IF((ዕቁብ!AE120/ቦኖ!$C$4&gt;0),(1/2),0)</f>
        <v>0.5</v>
      </c>
      <c r="AE118" s="38">
        <f>IF((ዕቁብ!AF120/ቦኖ!$C$4&gt;0),(1/2),0)</f>
        <v>0.5</v>
      </c>
      <c r="AF118" s="38">
        <f>IF((ዕቁብ!AG120/ቦኖ!$C$4&gt;0),(1/2),0)</f>
        <v>0.5</v>
      </c>
      <c r="AG118" s="38">
        <f>IF((ዕቁብ!AH120/ቦኖ!$C$4&gt;0),(1/2),0)</f>
        <v>0.5</v>
      </c>
      <c r="AH118" s="38">
        <f>IF((ዕቁብ!AI120/ቦኖ!$C$4&gt;0),(1/2),0)</f>
        <v>0.5</v>
      </c>
      <c r="AI118" s="38">
        <f>IF((ዕቁብ!AJ120/ቦኖ!$C$4&gt;0),(1/2),0)</f>
        <v>0.5</v>
      </c>
      <c r="AJ118" s="38">
        <f>IF((ዕቁብ!AK120/ቦኖ!$C$4&gt;0),(1/2),0)</f>
        <v>0.5</v>
      </c>
      <c r="AK118" s="38">
        <f>IF((ዕቁብ!AL120/ቦኖ!$C$4&gt;0),(1/2),0)</f>
        <v>0.5</v>
      </c>
      <c r="AL118" s="38">
        <f>IF((ዕቁብ!AM120/ቦኖ!$C$4&gt;0),(1/2),0)</f>
        <v>0.5</v>
      </c>
      <c r="AM118" s="38">
        <f>IF((ዕቁብ!AN120/ቦኖ!$C$4&gt;0),(1/2),0)</f>
        <v>0.5</v>
      </c>
      <c r="AN118" s="38">
        <f>IF((ዕቁብ!AO120/ቦኖ!$C$4&gt;0),(1/2),0)</f>
        <v>0.5</v>
      </c>
      <c r="AO118" s="38">
        <f>IF((ዕቁብ!AP120/ቦኖ!$C$4&gt;0),(1/2),0)</f>
        <v>0.5</v>
      </c>
      <c r="AP118" s="38">
        <f>IF((ዕቁብ!AQ120/ቦኖ!$C$4&gt;0),(1/2),0)</f>
        <v>0.5</v>
      </c>
      <c r="AQ118" s="38">
        <f>IF((ዕቁብ!AR120/ቦኖ!$C$4&gt;0),(1/2),0)</f>
        <v>0.5</v>
      </c>
      <c r="AR118" s="38">
        <f>IF((ዕቁብ!AS120/ቦኖ!$C$4&gt;0),(1/2),0)</f>
        <v>0.5</v>
      </c>
      <c r="AS118" s="38">
        <f>IF((ዕቁብ!AT120/ቦኖ!$C$4&gt;0),(1/2),0)</f>
        <v>0.5</v>
      </c>
      <c r="AT118" s="38">
        <f>IF((ዕቁብ!AU120/ቦኖ!$C$4&gt;0),(1/2),0)</f>
        <v>0.5</v>
      </c>
      <c r="AU118" s="38">
        <f>IF((ዕቁብ!AV120/ቦኖ!$C$4&gt;0),(1/2),0)</f>
        <v>0.5</v>
      </c>
      <c r="AV118" s="38">
        <f>IF((ዕቁብ!AW120/ቦኖ!$C$4&gt;0),(1/2),0)</f>
        <v>0.5</v>
      </c>
      <c r="AW118" s="38">
        <f>IF((ዕቁብ!AX120/ቦኖ!$C$4&gt;0),(1/2),0)</f>
        <v>0.5</v>
      </c>
      <c r="AX118" s="38">
        <f>IF((ዕቁብ!AY120/ቦኖ!$C$4&gt;0),(1/2),0)</f>
        <v>0.5</v>
      </c>
      <c r="AY118" s="38">
        <f>IF((ዕቁብ!AZ120/ቦኖ!$C$4&gt;0),(1/2),0)</f>
        <v>0.5</v>
      </c>
      <c r="AZ118" s="38">
        <f>IF((ዕቁብ!BA120/ቦኖ!$C$4&gt;0),(1/2),0)</f>
        <v>0.5</v>
      </c>
      <c r="BA118" s="38">
        <f>IF((ዕቁብ!BB120/ቦኖ!$C$4&gt;0),(1/2),0)</f>
        <v>0.5</v>
      </c>
      <c r="BB118" s="38">
        <f>IF((ዕቁብ!BC120/ቦኖ!$C$4&gt;0),(1/2),0)</f>
        <v>0.5</v>
      </c>
      <c r="BC118" s="38">
        <f>IF((ዕቁብ!BD120/ቦኖ!$C$4&gt;0),(1/2),0)</f>
        <v>0.5</v>
      </c>
      <c r="BD118" s="38">
        <f>IF((ዕቁብ!BE120/ቦኖ!$C$4&gt;0),(1/2),0)</f>
        <v>0.5</v>
      </c>
      <c r="BE118" s="38">
        <f>IF((ዕቁብ!BF120/ቦኖ!$C$4&gt;0),(1/2),0)</f>
        <v>0.5</v>
      </c>
      <c r="BF118" s="38">
        <f>IF((ዕቁብ!BG120/ቦኖ!$C$4&gt;0),(1/2),0)</f>
        <v>0.5</v>
      </c>
      <c r="BG118" s="38">
        <f>IF((ዕቁብ!BH120/ቦኖ!$C$4&gt;0),(1/2),0)</f>
        <v>0.5</v>
      </c>
      <c r="BH118" s="38">
        <f>IF((ዕቁብ!BI120/ቦኖ!$C$4&gt;0),(1/2),0)</f>
        <v>0.5</v>
      </c>
      <c r="BI118" s="38">
        <f>IF((ዕቁብ!BJ120/ቦኖ!$C$4&gt;0),(1/2),0)</f>
        <v>0.5</v>
      </c>
      <c r="BJ118" s="38">
        <f>IF((ዕቁብ!BK120/ቦኖ!$C$4&gt;0),(1/2),0)</f>
        <v>0.5</v>
      </c>
      <c r="BK118" s="38">
        <f>IF((ዕቁብ!BL120/ቦኖ!$C$4&gt;0),(1/2),0)</f>
        <v>0.5</v>
      </c>
      <c r="BL118" s="38">
        <f>IF((ዕቁብ!BM120/ቦኖ!$C$4&gt;0),(1/2),0)</f>
        <v>0.5</v>
      </c>
      <c r="BM118" s="38">
        <f>IF((ዕቁብ!BN120/ቦኖ!$C$4&gt;0),(1/2),0)</f>
        <v>0.5</v>
      </c>
      <c r="BN118" s="38">
        <f>IF((ዕቁብ!BO120/ቦኖ!$C$4&gt;0),(1/2),0)</f>
        <v>0.5</v>
      </c>
      <c r="BO118" s="38">
        <f>IF((ዕቁብ!BP120/ቦኖ!$C$4&gt;0),(1/2),0)</f>
        <v>0</v>
      </c>
      <c r="BP118" s="38">
        <f>IF((ዕቁብ!BQ120/ቦኖ!$C$4&gt;0),(1/2),0)</f>
        <v>0.5</v>
      </c>
      <c r="BQ118" s="38">
        <f>IF((ዕቁብ!BR120/ቦኖ!$C$4&gt;0),(1/2),0)</f>
        <v>0.5</v>
      </c>
      <c r="BR118" s="38">
        <f>IF((ዕቁብ!BS120/ቦኖ!$C$4&gt;0),(1/2),0)</f>
        <v>0.5</v>
      </c>
      <c r="BS118" s="38">
        <f>IF((ዕቁብ!BT120/ቦኖ!$C$4&gt;0),(1/2),0)</f>
        <v>0.5</v>
      </c>
      <c r="BT118" s="38">
        <f>IF((ዕቁብ!BU120/ቦኖ!$C$4&gt;0),(1/2),0)</f>
        <v>0.5</v>
      </c>
      <c r="BU118" s="38">
        <f>IF((ዕቁብ!BV120/ቦኖ!$C$4&gt;0),(1/2),0)</f>
        <v>0.5</v>
      </c>
      <c r="BV118" s="38">
        <f>IF((ዕቁብ!BW120/ቦኖ!$C$4&gt;0),(1/2),0)</f>
        <v>0.5</v>
      </c>
      <c r="BW118" s="38">
        <f>IF((ዕቁብ!BX120/ቦኖ!$C$4&gt;0),(1/2),0)</f>
        <v>0.5</v>
      </c>
      <c r="BX118" s="38">
        <f>IF((ዕቁብ!BY120/ቦኖ!$C$4&gt;0),(1/2),0)</f>
        <v>0.5</v>
      </c>
      <c r="BY118" s="38">
        <f>IF((ዕቁብ!BZ120/ቦኖ!$C$4&gt;0),(1/2),0)</f>
        <v>0.5</v>
      </c>
      <c r="BZ118" s="38">
        <f>IF((ዕቁብ!CA120/ቦኖ!$C$4&gt;0),(1/2),0)</f>
        <v>0.5</v>
      </c>
      <c r="CA118" s="38">
        <f>IF((ዕቁብ!CB120/ቦኖ!$C$4&gt;0),(1/2),0)</f>
        <v>0.5</v>
      </c>
      <c r="CB118" s="38">
        <f>IF((ዕቁብ!CC120/ቦኖ!$C$4&gt;0),(1/2),0)</f>
        <v>0.5</v>
      </c>
      <c r="CC118" s="38">
        <f>IF((ዕቁብ!CD120/ቦኖ!$C$4&gt;0),(1/2),0)</f>
        <v>0.5</v>
      </c>
      <c r="CD118" s="38">
        <f>IF((ዕቁብ!CE120/ቦኖ!$C$4&gt;0),(1/2),0)</f>
        <v>0.5</v>
      </c>
      <c r="CE118" s="38">
        <f>IF((ዕቁብ!CF120/ቦኖ!$C$4&gt;0),(1/2),0)</f>
        <v>0.5</v>
      </c>
      <c r="CF118" s="38">
        <f>IF((ዕቁብ!CG120/ቦኖ!$C$4&gt;0),(1/2),0)</f>
        <v>0.5</v>
      </c>
      <c r="CG118" s="38">
        <f>IF((ዕቁብ!CH120/ቦኖ!$C$4&gt;0),(1/2),0)</f>
        <v>0.5</v>
      </c>
      <c r="CH118" s="38">
        <f>IF((ዕቁብ!CI120/ቦኖ!$C$4&gt;0),(1/2),0)</f>
        <v>0.5</v>
      </c>
      <c r="CI118" s="38">
        <f>IF((ዕቁብ!CJ120/ቦኖ!$C$4&gt;0),(1/2),0)</f>
        <v>0.5</v>
      </c>
      <c r="CJ118" s="38">
        <f>IF((ዕቁብ!CK120/ቦኖ!$C$4&gt;0),(1/2),0)</f>
        <v>0.5</v>
      </c>
      <c r="CK118" s="38">
        <f>IF((ዕቁብ!CL120/ቦኖ!$C$4&gt;0),(1/2),0)</f>
        <v>0.5</v>
      </c>
      <c r="CL118" s="38">
        <f>IF((ዕቁብ!CM120/ቦኖ!$C$4&gt;0),(1/2),0)</f>
        <v>0.5</v>
      </c>
      <c r="CM118" s="38">
        <f>IF((ዕቁብ!CN120/ቦኖ!$C$4&gt;0),(1/2),0)</f>
        <v>0.5</v>
      </c>
      <c r="CN118" s="38">
        <f>IF((ዕቁብ!CO120/ቦኖ!$C$4&gt;0),(1/2),0)</f>
        <v>0.5</v>
      </c>
      <c r="CO118" s="38">
        <f>IF((ዕቁብ!CP120/ቦኖ!$C$4&gt;0),(1/2),0)</f>
        <v>0.5</v>
      </c>
      <c r="CP118" s="38">
        <f>IF((ዕቁብ!CQ120/ቦኖ!$C$4&gt;0),(1/2),0)</f>
        <v>0.5</v>
      </c>
      <c r="CQ118" s="38">
        <f>IF((ዕቁብ!CR120/ቦኖ!$C$4&gt;0),(1/2),0)</f>
        <v>0.5</v>
      </c>
      <c r="CR118" s="38">
        <f>IF((ዕቁብ!CS120/ቦኖ!$C$4&gt;0),(1/2),0)</f>
        <v>0.5</v>
      </c>
      <c r="CS118" s="38">
        <f>IF((ዕቁብ!CT120/ቦኖ!$C$4&gt;0),(1/2),0)</f>
        <v>0.5</v>
      </c>
      <c r="CT118" s="38">
        <f>IF((ዕቁብ!CU120/ቦኖ!$C$4&gt;0),(1/2),0)</f>
        <v>0.5</v>
      </c>
      <c r="CU118" s="38">
        <f>IF((ዕቁብ!CV120/ቦኖ!$C$4&gt;0),(1/2),0)</f>
        <v>0.5</v>
      </c>
      <c r="CV118" s="38">
        <f>IF((ዕቁብ!CW120/ቦኖ!$C$4&gt;0),(1/2),0)</f>
        <v>0</v>
      </c>
      <c r="CW118" s="38">
        <f>IF((ዕቁብ!CX120/ቦኖ!$C$4&gt;0),(1/2),0)</f>
        <v>0.5</v>
      </c>
      <c r="CX118" s="38">
        <f>IF((ዕቁብ!CY120/ቦኖ!$C$4&gt;0),(1/2),0)</f>
        <v>0</v>
      </c>
      <c r="CY118" s="38">
        <f>IF((ዕቁብ!CZ120/ቦኖ!$C$4&gt;0),(1/2),0)</f>
        <v>0.5</v>
      </c>
      <c r="CZ118" s="38">
        <f>IF((ዕቁብ!DA120/ቦኖ!$C$4&gt;0),(1/2),0)</f>
        <v>0.5</v>
      </c>
      <c r="DA118" s="38">
        <f>IF((ዕቁብ!DB120/ቦኖ!$C$4&gt;0),(1/2),0)</f>
        <v>0.5</v>
      </c>
      <c r="DB118" s="38">
        <f>IF((ዕቁብ!DC120/ቦኖ!$C$4&gt;0),(1/2),0)</f>
        <v>0.5</v>
      </c>
      <c r="DC118" s="38">
        <f>IF((ዕቁብ!DD120/ቦኖ!$C$4&gt;0),(1/2),0)</f>
        <v>0.5</v>
      </c>
      <c r="DD118" s="38">
        <f>IF((ዕቁብ!DE120/ቦኖ!$C$4&gt;0),(1/2),0)</f>
        <v>0.5</v>
      </c>
      <c r="DE118" s="38">
        <f>IF((ዕቁብ!DF120/ቦኖ!$C$4&gt;0),(1/2),0)</f>
        <v>0.5</v>
      </c>
      <c r="DF118" s="38">
        <f>IF((ዕቁብ!DG120/ቦኖ!$C$4&gt;0),(1/2),0)</f>
        <v>0</v>
      </c>
      <c r="DG118" s="38">
        <f>IF((ዕቁብ!DH120/ቦኖ!$C$4&gt;0),(1/2),0)</f>
        <v>0.5</v>
      </c>
      <c r="DH118" s="38">
        <f>IF((ዕቁብ!DI120/ቦኖ!$C$4&gt;0),(1/2),0)</f>
        <v>0</v>
      </c>
      <c r="DI118" s="38">
        <f>IF((ዕቁብ!DJ120/ቦኖ!$C$4&gt;0),(1/2),0)</f>
        <v>0</v>
      </c>
      <c r="DJ118" s="38">
        <f>IF((ዕቁብ!DK120/ቦኖ!$C$4&gt;0),(1/2),0)</f>
        <v>0</v>
      </c>
      <c r="DK118" s="38">
        <f>IF((ዕቁብ!DL120/ቦኖ!$C$4&gt;0),(1/2),0)</f>
        <v>0</v>
      </c>
      <c r="DL118" s="38">
        <f>IF((ዕቁብ!DM120/ቦኖ!$C$4&gt;0),(1/2),0)</f>
        <v>0</v>
      </c>
      <c r="DM118" s="38">
        <f>IF((ዕቁብ!DN120/ቦኖ!$C$4&gt;0),(1/2),0)</f>
        <v>0</v>
      </c>
      <c r="DN118" s="38">
        <f>IF((ዕቁብ!DO120/ቦኖ!$C$4&gt;0),(1/2),0)</f>
        <v>0</v>
      </c>
      <c r="DO118" s="38">
        <f>IF((ዕቁብ!DP120/ቦኖ!$C$4&gt;0),(1/2),0)</f>
        <v>0</v>
      </c>
      <c r="DP118" s="38">
        <f>IF((ዕቁብ!DQ120/ቦኖ!$C$4&gt;0),(1/2),0)</f>
        <v>0</v>
      </c>
      <c r="DQ118" s="38">
        <f>IF((ዕቁብ!DR120/ቦኖ!$C$4&gt;0),(1/2),0)</f>
        <v>0</v>
      </c>
    </row>
    <row r="119" spans="1:121" ht="15.75" customHeight="1" x14ac:dyDescent="0.3">
      <c r="A119" s="33">
        <f>ዕቁብ!A121</f>
        <v>105</v>
      </c>
      <c r="B119" s="33" t="str">
        <f>ዕቁብ!B121</f>
        <v>ደስታ ቶሎሳ</v>
      </c>
      <c r="C119" s="37">
        <f>ዕቁብ!C121</f>
        <v>10500</v>
      </c>
      <c r="D119" s="38">
        <f>IF((ዕቁብ!E121/ቦኖ!$C$4&gt;0),(1/2),0)</f>
        <v>0.5</v>
      </c>
      <c r="E119" s="38">
        <f>IF((ዕቁብ!F121/ቦኖ!$C$4&gt;0),(1/2),0)</f>
        <v>0.5</v>
      </c>
      <c r="F119" s="38">
        <f>IF((ዕቁብ!G121/ቦኖ!$C$4&gt;0),(1/2),0)</f>
        <v>0.5</v>
      </c>
      <c r="G119" s="38">
        <f>IF((ዕቁብ!H121/ቦኖ!$C$4&gt;0),(1/2),0)</f>
        <v>0.5</v>
      </c>
      <c r="H119" s="38">
        <f>IF((ዕቁብ!I121/ቦኖ!$C$4&gt;0),(1/2),0)</f>
        <v>0.5</v>
      </c>
      <c r="I119" s="38">
        <f>IF((ዕቁብ!J121/ቦኖ!$C$4&gt;0),(1/2),0)</f>
        <v>0.5</v>
      </c>
      <c r="J119" s="38">
        <f>IF((ዕቁብ!K121/ቦኖ!$C$4&gt;0),(1/2),0)</f>
        <v>0.5</v>
      </c>
      <c r="K119" s="38">
        <f>IF((ዕቁብ!L121/ቦኖ!$C$4&gt;0),(1/2),0)</f>
        <v>0.5</v>
      </c>
      <c r="L119" s="38">
        <f>IF((ዕቁብ!M121/ቦኖ!$C$4&gt;0),(1/2),0)</f>
        <v>0.5</v>
      </c>
      <c r="M119" s="38">
        <f>IF((ዕቁብ!N121/ቦኖ!$C$4&gt;0),(1/2),0)</f>
        <v>0.5</v>
      </c>
      <c r="N119" s="38">
        <f>IF((ዕቁብ!O121/ቦኖ!$C$4&gt;0),(1/2),0)</f>
        <v>0.5</v>
      </c>
      <c r="O119" s="38">
        <f>IF((ዕቁብ!P121/ቦኖ!$C$4&gt;0),(1/2),0)</f>
        <v>0.5</v>
      </c>
      <c r="P119" s="38">
        <f>IF((ዕቁብ!Q121/ቦኖ!$C$4&gt;0),(1/2),0)</f>
        <v>0.5</v>
      </c>
      <c r="Q119" s="38">
        <f>IF((ዕቁብ!R121/ቦኖ!$C$4&gt;0),(1/2),0)</f>
        <v>0.5</v>
      </c>
      <c r="R119" s="38">
        <f>IF((ዕቁብ!S121/ቦኖ!$C$4&gt;0),(1/2),0)</f>
        <v>0.5</v>
      </c>
      <c r="S119" s="38">
        <f>IF((ዕቁብ!T121/ቦኖ!$C$4&gt;0),(1/2),0)</f>
        <v>0.5</v>
      </c>
      <c r="T119" s="38">
        <f>IF((ዕቁብ!U121/ቦኖ!$C$4&gt;0),(1/2),0)</f>
        <v>0.5</v>
      </c>
      <c r="U119" s="38">
        <f>IF((ዕቁብ!V121/ቦኖ!$C$4&gt;0),(1/2),0)</f>
        <v>0.5</v>
      </c>
      <c r="V119" s="38">
        <f>IF((ዕቁብ!W121/ቦኖ!$C$4&gt;0),(1/2),0)</f>
        <v>0.5</v>
      </c>
      <c r="W119" s="38">
        <f>IF((ዕቁብ!X121/ቦኖ!$C$4&gt;0),(1/2),0)</f>
        <v>0.5</v>
      </c>
      <c r="X119" s="38">
        <f>IF((ዕቁብ!Y121/ቦኖ!$C$4&gt;0),(1/2),0)</f>
        <v>0.5</v>
      </c>
      <c r="Y119" s="38">
        <f>IF((ዕቁብ!Z121/ቦኖ!$C$4&gt;0),(1/2),0)</f>
        <v>0.5</v>
      </c>
      <c r="Z119" s="38">
        <f>IF((ዕቁብ!AA121/ቦኖ!$C$4&gt;0),(1/2),0)</f>
        <v>0.5</v>
      </c>
      <c r="AA119" s="38">
        <f>IF((ዕቁብ!AB121/ቦኖ!$C$4&gt;0),(1/2),0)</f>
        <v>0.5</v>
      </c>
      <c r="AB119" s="38">
        <f>IF((ዕቁብ!AC121/ቦኖ!$C$4&gt;0),(1/2),0)</f>
        <v>0.5</v>
      </c>
      <c r="AC119" s="38">
        <f>IF((ዕቁብ!AD121/ቦኖ!$C$4&gt;0),(1/2),0)</f>
        <v>0.5</v>
      </c>
      <c r="AD119" s="38">
        <f>IF((ዕቁብ!AE121/ቦኖ!$C$4&gt;0),(1/2),0)</f>
        <v>0.5</v>
      </c>
      <c r="AE119" s="38">
        <f>IF((ዕቁብ!AF121/ቦኖ!$C$4&gt;0),(1/2),0)</f>
        <v>0.5</v>
      </c>
      <c r="AF119" s="38">
        <f>IF((ዕቁብ!AG121/ቦኖ!$C$4&gt;0),(1/2),0)</f>
        <v>0.5</v>
      </c>
      <c r="AG119" s="38">
        <f>IF((ዕቁብ!AH121/ቦኖ!$C$4&gt;0),(1/2),0)</f>
        <v>0.5</v>
      </c>
      <c r="AH119" s="38">
        <f>IF((ዕቁብ!AI121/ቦኖ!$C$4&gt;0),(1/2),0)</f>
        <v>0.5</v>
      </c>
      <c r="AI119" s="38">
        <f>IF((ዕቁብ!AJ121/ቦኖ!$C$4&gt;0),(1/2),0)</f>
        <v>0.5</v>
      </c>
      <c r="AJ119" s="38">
        <f>IF((ዕቁብ!AK121/ቦኖ!$C$4&gt;0),(1/2),0)</f>
        <v>0.5</v>
      </c>
      <c r="AK119" s="38">
        <f>IF((ዕቁብ!AL121/ቦኖ!$C$4&gt;0),(1/2),0)</f>
        <v>0.5</v>
      </c>
      <c r="AL119" s="38">
        <f>IF((ዕቁብ!AM121/ቦኖ!$C$4&gt;0),(1/2),0)</f>
        <v>0.5</v>
      </c>
      <c r="AM119" s="38">
        <f>IF((ዕቁብ!AN121/ቦኖ!$C$4&gt;0),(1/2),0)</f>
        <v>0.5</v>
      </c>
      <c r="AN119" s="38">
        <f>IF((ዕቁብ!AO121/ቦኖ!$C$4&gt;0),(1/2),0)</f>
        <v>0.5</v>
      </c>
      <c r="AO119" s="38">
        <f>IF((ዕቁብ!AP121/ቦኖ!$C$4&gt;0),(1/2),0)</f>
        <v>0.5</v>
      </c>
      <c r="AP119" s="38">
        <f>IF((ዕቁብ!AQ121/ቦኖ!$C$4&gt;0),(1/2),0)</f>
        <v>0.5</v>
      </c>
      <c r="AQ119" s="38">
        <f>IF((ዕቁብ!AR121/ቦኖ!$C$4&gt;0),(1/2),0)</f>
        <v>0.5</v>
      </c>
      <c r="AR119" s="38">
        <f>IF((ዕቁብ!AS121/ቦኖ!$C$4&gt;0),(1/2),0)</f>
        <v>0.5</v>
      </c>
      <c r="AS119" s="38">
        <f>IF((ዕቁብ!AT121/ቦኖ!$C$4&gt;0),(1/2),0)</f>
        <v>0.5</v>
      </c>
      <c r="AT119" s="38">
        <f>IF((ዕቁብ!AU121/ቦኖ!$C$4&gt;0),(1/2),0)</f>
        <v>0.5</v>
      </c>
      <c r="AU119" s="38">
        <f>IF((ዕቁብ!AV121/ቦኖ!$C$4&gt;0),(1/2),0)</f>
        <v>0.5</v>
      </c>
      <c r="AV119" s="38">
        <f>IF((ዕቁብ!AW121/ቦኖ!$C$4&gt;0),(1/2),0)</f>
        <v>0.5</v>
      </c>
      <c r="AW119" s="38">
        <f>IF((ዕቁብ!AX121/ቦኖ!$C$4&gt;0),(1/2),0)</f>
        <v>0.5</v>
      </c>
      <c r="AX119" s="38">
        <f>IF((ዕቁብ!AY121/ቦኖ!$C$4&gt;0),(1/2),0)</f>
        <v>0.5</v>
      </c>
      <c r="AY119" s="38">
        <f>IF((ዕቁብ!AZ121/ቦኖ!$C$4&gt;0),(1/2),0)</f>
        <v>0.5</v>
      </c>
      <c r="AZ119" s="38">
        <f>IF((ዕቁብ!BA121/ቦኖ!$C$4&gt;0),(1/2),0)</f>
        <v>0.5</v>
      </c>
      <c r="BA119" s="38">
        <f>IF((ዕቁብ!BB121/ቦኖ!$C$4&gt;0),(1/2),0)</f>
        <v>0.5</v>
      </c>
      <c r="BB119" s="38">
        <f>IF((ዕቁብ!BC121/ቦኖ!$C$4&gt;0),(1/2),0)</f>
        <v>0.5</v>
      </c>
      <c r="BC119" s="38">
        <f>IF((ዕቁብ!BD121/ቦኖ!$C$4&gt;0),(1/2),0)</f>
        <v>0.5</v>
      </c>
      <c r="BD119" s="38">
        <f>IF((ዕቁብ!BE121/ቦኖ!$C$4&gt;0),(1/2),0)</f>
        <v>0.5</v>
      </c>
      <c r="BE119" s="38">
        <f>IF((ዕቁብ!BF121/ቦኖ!$C$4&gt;0),(1/2),0)</f>
        <v>0.5</v>
      </c>
      <c r="BF119" s="38">
        <f>IF((ዕቁብ!BG121/ቦኖ!$C$4&gt;0),(1/2),0)</f>
        <v>0.5</v>
      </c>
      <c r="BG119" s="38">
        <f>IF((ዕቁብ!BH121/ቦኖ!$C$4&gt;0),(1/2),0)</f>
        <v>0.5</v>
      </c>
      <c r="BH119" s="38">
        <f>IF((ዕቁብ!BI121/ቦኖ!$C$4&gt;0),(1/2),0)</f>
        <v>0.5</v>
      </c>
      <c r="BI119" s="38">
        <f>IF((ዕቁብ!BJ121/ቦኖ!$C$4&gt;0),(1/2),0)</f>
        <v>0</v>
      </c>
      <c r="BJ119" s="38">
        <f>IF((ዕቁብ!BK121/ቦኖ!$C$4&gt;0),(1/2),0)</f>
        <v>0.5</v>
      </c>
      <c r="BK119" s="38">
        <f>IF((ዕቁብ!BL121/ቦኖ!$C$4&gt;0),(1/2),0)</f>
        <v>0</v>
      </c>
      <c r="BL119" s="38">
        <f>IF((ዕቁብ!BM121/ቦኖ!$C$4&gt;0),(1/2),0)</f>
        <v>0.5</v>
      </c>
      <c r="BM119" s="38">
        <f>IF((ዕቁብ!BN121/ቦኖ!$C$4&gt;0),(1/2),0)</f>
        <v>0</v>
      </c>
      <c r="BN119" s="38">
        <f>IF((ዕቁብ!BO121/ቦኖ!$C$4&gt;0),(1/2),0)</f>
        <v>0</v>
      </c>
      <c r="BO119" s="38">
        <f>IF((ዕቁብ!BP121/ቦኖ!$C$4&gt;0),(1/2),0)</f>
        <v>0.5</v>
      </c>
      <c r="BP119" s="38">
        <f>IF((ዕቁብ!BQ121/ቦኖ!$C$4&gt;0),(1/2),0)</f>
        <v>0.5</v>
      </c>
      <c r="BQ119" s="38">
        <f>IF((ዕቁብ!BR121/ቦኖ!$C$4&gt;0),(1/2),0)</f>
        <v>0.5</v>
      </c>
      <c r="BR119" s="38">
        <f>IF((ዕቁብ!BS121/ቦኖ!$C$4&gt;0),(1/2),0)</f>
        <v>0.5</v>
      </c>
      <c r="BS119" s="38">
        <f>IF((ዕቁብ!BT121/ቦኖ!$C$4&gt;0),(1/2),0)</f>
        <v>0.5</v>
      </c>
      <c r="BT119" s="38">
        <f>IF((ዕቁብ!BU121/ቦኖ!$C$4&gt;0),(1/2),0)</f>
        <v>0.5</v>
      </c>
      <c r="BU119" s="38">
        <f>IF((ዕቁብ!BV121/ቦኖ!$C$4&gt;0),(1/2),0)</f>
        <v>0.5</v>
      </c>
      <c r="BV119" s="38">
        <f>IF((ዕቁብ!BW121/ቦኖ!$C$4&gt;0),(1/2),0)</f>
        <v>0</v>
      </c>
      <c r="BW119" s="38">
        <f>IF((ዕቁብ!BX121/ቦኖ!$C$4&gt;0),(1/2),0)</f>
        <v>0.5</v>
      </c>
      <c r="BX119" s="38">
        <f>IF((ዕቁብ!BY121/ቦኖ!$C$4&gt;0),(1/2),0)</f>
        <v>0</v>
      </c>
      <c r="BY119" s="38">
        <f>IF((ዕቁብ!BZ121/ቦኖ!$C$4&gt;0),(1/2),0)</f>
        <v>0.5</v>
      </c>
      <c r="BZ119" s="38">
        <f>IF((ዕቁብ!CA121/ቦኖ!$C$4&gt;0),(1/2),0)</f>
        <v>0</v>
      </c>
      <c r="CA119" s="38">
        <f>IF((ዕቁብ!CB121/ቦኖ!$C$4&gt;0),(1/2),0)</f>
        <v>0.5</v>
      </c>
      <c r="CB119" s="38">
        <f>IF((ዕቁብ!CC121/ቦኖ!$C$4&gt;0),(1/2),0)</f>
        <v>0</v>
      </c>
      <c r="CC119" s="38">
        <f>IF((ዕቁብ!CD121/ቦኖ!$C$4&gt;0),(1/2),0)</f>
        <v>0.5</v>
      </c>
      <c r="CD119" s="38">
        <f>IF((ዕቁብ!CE121/ቦኖ!$C$4&gt;0),(1/2),0)</f>
        <v>0</v>
      </c>
      <c r="CE119" s="38">
        <f>IF((ዕቁብ!CF121/ቦኖ!$C$4&gt;0),(1/2),0)</f>
        <v>0.5</v>
      </c>
      <c r="CF119" s="38">
        <f>IF((ዕቁብ!CG121/ቦኖ!$C$4&gt;0),(1/2),0)</f>
        <v>0</v>
      </c>
      <c r="CG119" s="38">
        <f>IF((ዕቁብ!CH121/ቦኖ!$C$4&gt;0),(1/2),0)</f>
        <v>0.5</v>
      </c>
      <c r="CH119" s="38">
        <f>IF((ዕቁብ!CI121/ቦኖ!$C$4&gt;0),(1/2),0)</f>
        <v>0</v>
      </c>
      <c r="CI119" s="38">
        <f>IF((ዕቁብ!CJ121/ቦኖ!$C$4&gt;0),(1/2),0)</f>
        <v>0</v>
      </c>
      <c r="CJ119" s="38">
        <f>IF((ዕቁብ!CK121/ቦኖ!$C$4&gt;0),(1/2),0)</f>
        <v>0.5</v>
      </c>
      <c r="CK119" s="38">
        <f>IF((ዕቁብ!CL121/ቦኖ!$C$4&gt;0),(1/2),0)</f>
        <v>0</v>
      </c>
      <c r="CL119" s="38">
        <f>IF((ዕቁብ!CM121/ቦኖ!$C$4&gt;0),(1/2),0)</f>
        <v>0.5</v>
      </c>
      <c r="CM119" s="38">
        <f>IF((ዕቁብ!CN121/ቦኖ!$C$4&gt;0),(1/2),0)</f>
        <v>0</v>
      </c>
      <c r="CN119" s="38">
        <f>IF((ዕቁብ!CO121/ቦኖ!$C$4&gt;0),(1/2),0)</f>
        <v>0.5</v>
      </c>
      <c r="CO119" s="38">
        <f>IF((ዕቁብ!CP121/ቦኖ!$C$4&gt;0),(1/2),0)</f>
        <v>0</v>
      </c>
      <c r="CP119" s="38">
        <f>IF((ዕቁብ!CQ121/ቦኖ!$C$4&gt;0),(1/2),0)</f>
        <v>0.5</v>
      </c>
      <c r="CQ119" s="38">
        <f>IF((ዕቁብ!CR121/ቦኖ!$C$4&gt;0),(1/2),0)</f>
        <v>0</v>
      </c>
      <c r="CR119" s="38">
        <f>IF((ዕቁብ!CS121/ቦኖ!$C$4&gt;0),(1/2),0)</f>
        <v>0.5</v>
      </c>
      <c r="CS119" s="38">
        <f>IF((ዕቁብ!CT121/ቦኖ!$C$4&gt;0),(1/2),0)</f>
        <v>0</v>
      </c>
      <c r="CT119" s="38">
        <f>IF((ዕቁብ!CU121/ቦኖ!$C$4&gt;0),(1/2),0)</f>
        <v>0.5</v>
      </c>
      <c r="CU119" s="38">
        <f>IF((ዕቁብ!CV121/ቦኖ!$C$4&gt;0),(1/2),0)</f>
        <v>0</v>
      </c>
      <c r="CV119" s="38">
        <f>IF((ዕቁብ!CW121/ቦኖ!$C$4&gt;0),(1/2),0)</f>
        <v>0</v>
      </c>
      <c r="CW119" s="38">
        <f>IF((ዕቁብ!CX121/ቦኖ!$C$4&gt;0),(1/2),0)</f>
        <v>0.5</v>
      </c>
      <c r="CX119" s="38">
        <f>IF((ዕቁብ!CY121/ቦኖ!$C$4&gt;0),(1/2),0)</f>
        <v>0</v>
      </c>
      <c r="CY119" s="38">
        <f>IF((ዕቁብ!CZ121/ቦኖ!$C$4&gt;0),(1/2),0)</f>
        <v>0</v>
      </c>
      <c r="CZ119" s="38">
        <f>IF((ዕቁብ!DA121/ቦኖ!$C$4&gt;0),(1/2),0)</f>
        <v>0</v>
      </c>
      <c r="DA119" s="38">
        <f>IF((ዕቁብ!DB121/ቦኖ!$C$4&gt;0),(1/2),0)</f>
        <v>0.5</v>
      </c>
      <c r="DB119" s="38">
        <f>IF((ዕቁብ!DC121/ቦኖ!$C$4&gt;0),(1/2),0)</f>
        <v>0</v>
      </c>
      <c r="DC119" s="38">
        <f>IF((ዕቁብ!DD121/ቦኖ!$C$4&gt;0),(1/2),0)</f>
        <v>0.5</v>
      </c>
      <c r="DD119" s="38">
        <f>IF((ዕቁብ!DE121/ቦኖ!$C$4&gt;0),(1/2),0)</f>
        <v>0</v>
      </c>
      <c r="DE119" s="38">
        <f>IF((ዕቁብ!DF121/ቦኖ!$C$4&gt;0),(1/2),0)</f>
        <v>0</v>
      </c>
      <c r="DF119" s="38">
        <f>IF((ዕቁብ!DG121/ቦኖ!$C$4&gt;0),(1/2),0)</f>
        <v>0.5</v>
      </c>
      <c r="DG119" s="38">
        <f>IF((ዕቁብ!DH121/ቦኖ!$C$4&gt;0),(1/2),0)</f>
        <v>0</v>
      </c>
      <c r="DH119" s="38">
        <f>IF((ዕቁብ!DI121/ቦኖ!$C$4&gt;0),(1/2),0)</f>
        <v>0</v>
      </c>
      <c r="DI119" s="38">
        <f>IF((ዕቁብ!DJ121/ቦኖ!$C$4&gt;0),(1/2),0)</f>
        <v>0</v>
      </c>
      <c r="DJ119" s="38">
        <f>IF((ዕቁብ!DK121/ቦኖ!$C$4&gt;0),(1/2),0)</f>
        <v>0</v>
      </c>
      <c r="DK119" s="38">
        <f>IF((ዕቁብ!DL121/ቦኖ!$C$4&gt;0),(1/2),0)</f>
        <v>0</v>
      </c>
      <c r="DL119" s="38">
        <f>IF((ዕቁብ!DM121/ቦኖ!$C$4&gt;0),(1/2),0)</f>
        <v>0</v>
      </c>
      <c r="DM119" s="38">
        <f>IF((ዕቁብ!DN121/ቦኖ!$C$4&gt;0),(1/2),0)</f>
        <v>0</v>
      </c>
      <c r="DN119" s="38">
        <f>IF((ዕቁብ!DO121/ቦኖ!$C$4&gt;0),(1/2),0)</f>
        <v>0</v>
      </c>
      <c r="DO119" s="38">
        <f>IF((ዕቁብ!DP121/ቦኖ!$C$4&gt;0),(1/2),0)</f>
        <v>0</v>
      </c>
      <c r="DP119" s="38">
        <f>IF((ዕቁብ!DQ121/ቦኖ!$C$4&gt;0),(1/2),0)</f>
        <v>0</v>
      </c>
      <c r="DQ119" s="38">
        <f>IF((ዕቁብ!DR121/ቦኖ!$C$4&gt;0),(1/2),0)</f>
        <v>0</v>
      </c>
    </row>
    <row r="120" spans="1:121" ht="15.75" customHeight="1" x14ac:dyDescent="0.3">
      <c r="A120" s="33">
        <f>ዕቁብ!A122</f>
        <v>105</v>
      </c>
      <c r="B120" s="33" t="str">
        <f>ዕቁብ!B122</f>
        <v>ኤልያስ አቢባ</v>
      </c>
      <c r="C120" s="37">
        <f>ዕቁብ!C122</f>
        <v>10500</v>
      </c>
      <c r="D120" s="38">
        <f>IF((ዕቁብ!E122/ቦኖ!$C$4&gt;0),(1/2),0)</f>
        <v>0.5</v>
      </c>
      <c r="E120" s="38">
        <f>IF((ዕቁብ!F122/ቦኖ!$C$4&gt;0),(1/2),0)</f>
        <v>0.5</v>
      </c>
      <c r="F120" s="38">
        <f>IF((ዕቁብ!G122/ቦኖ!$C$4&gt;0),(1/2),0)</f>
        <v>0.5</v>
      </c>
      <c r="G120" s="38">
        <f>IF((ዕቁብ!H122/ቦኖ!$C$4&gt;0),(1/2),0)</f>
        <v>0.5</v>
      </c>
      <c r="H120" s="38">
        <f>IF((ዕቁብ!I122/ቦኖ!$C$4&gt;0),(1/2),0)</f>
        <v>0.5</v>
      </c>
      <c r="I120" s="38">
        <f>IF((ዕቁብ!J122/ቦኖ!$C$4&gt;0),(1/2),0)</f>
        <v>0.5</v>
      </c>
      <c r="J120" s="38">
        <f>IF((ዕቁብ!K122/ቦኖ!$C$4&gt;0),(1/2),0)</f>
        <v>0.5</v>
      </c>
      <c r="K120" s="38">
        <f>IF((ዕቁብ!L122/ቦኖ!$C$4&gt;0),(1/2),0)</f>
        <v>0.5</v>
      </c>
      <c r="L120" s="38">
        <f>IF((ዕቁብ!M122/ቦኖ!$C$4&gt;0),(1/2),0)</f>
        <v>0.5</v>
      </c>
      <c r="M120" s="38">
        <f>IF((ዕቁብ!N122/ቦኖ!$C$4&gt;0),(1/2),0)</f>
        <v>0.5</v>
      </c>
      <c r="N120" s="38">
        <f>IF((ዕቁብ!O122/ቦኖ!$C$4&gt;0),(1/2),0)</f>
        <v>0.5</v>
      </c>
      <c r="O120" s="38">
        <f>IF((ዕቁብ!P122/ቦኖ!$C$4&gt;0),(1/2),0)</f>
        <v>0.5</v>
      </c>
      <c r="P120" s="38">
        <f>IF((ዕቁብ!Q122/ቦኖ!$C$4&gt;0),(1/2),0)</f>
        <v>0.5</v>
      </c>
      <c r="Q120" s="38">
        <f>IF((ዕቁብ!R122/ቦኖ!$C$4&gt;0),(1/2),0)</f>
        <v>0.5</v>
      </c>
      <c r="R120" s="38">
        <f>IF((ዕቁብ!S122/ቦኖ!$C$4&gt;0),(1/2),0)</f>
        <v>0.5</v>
      </c>
      <c r="S120" s="38">
        <f>IF((ዕቁብ!T122/ቦኖ!$C$4&gt;0),(1/2),0)</f>
        <v>0.5</v>
      </c>
      <c r="T120" s="38">
        <f>IF((ዕቁብ!U122/ቦኖ!$C$4&gt;0),(1/2),0)</f>
        <v>0.5</v>
      </c>
      <c r="U120" s="38">
        <f>IF((ዕቁብ!V122/ቦኖ!$C$4&gt;0),(1/2),0)</f>
        <v>0.5</v>
      </c>
      <c r="V120" s="38">
        <f>IF((ዕቁብ!W122/ቦኖ!$C$4&gt;0),(1/2),0)</f>
        <v>0.5</v>
      </c>
      <c r="W120" s="38">
        <f>IF((ዕቁብ!X122/ቦኖ!$C$4&gt;0),(1/2),0)</f>
        <v>0.5</v>
      </c>
      <c r="X120" s="38">
        <f>IF((ዕቁብ!Y122/ቦኖ!$C$4&gt;0),(1/2),0)</f>
        <v>0.5</v>
      </c>
      <c r="Y120" s="38">
        <f>IF((ዕቁብ!Z122/ቦኖ!$C$4&gt;0),(1/2),0)</f>
        <v>0.5</v>
      </c>
      <c r="Z120" s="38">
        <f>IF((ዕቁብ!AA122/ቦኖ!$C$4&gt;0),(1/2),0)</f>
        <v>0.5</v>
      </c>
      <c r="AA120" s="38">
        <f>IF((ዕቁብ!AB122/ቦኖ!$C$4&gt;0),(1/2),0)</f>
        <v>0.5</v>
      </c>
      <c r="AB120" s="38">
        <f>IF((ዕቁብ!AC122/ቦኖ!$C$4&gt;0),(1/2),0)</f>
        <v>0.5</v>
      </c>
      <c r="AC120" s="38">
        <f>IF((ዕቁብ!AD122/ቦኖ!$C$4&gt;0),(1/2),0)</f>
        <v>0.5</v>
      </c>
      <c r="AD120" s="38">
        <f>IF((ዕቁብ!AE122/ቦኖ!$C$4&gt;0),(1/2),0)</f>
        <v>0.5</v>
      </c>
      <c r="AE120" s="38">
        <f>IF((ዕቁብ!AF122/ቦኖ!$C$4&gt;0),(1/2),0)</f>
        <v>0.5</v>
      </c>
      <c r="AF120" s="38">
        <f>IF((ዕቁብ!AG122/ቦኖ!$C$4&gt;0),(1/2),0)</f>
        <v>0.5</v>
      </c>
      <c r="AG120" s="38">
        <f>IF((ዕቁብ!AH122/ቦኖ!$C$4&gt;0),(1/2),0)</f>
        <v>0.5</v>
      </c>
      <c r="AH120" s="38">
        <f>IF((ዕቁብ!AI122/ቦኖ!$C$4&gt;0),(1/2),0)</f>
        <v>0.5</v>
      </c>
      <c r="AI120" s="38">
        <f>IF((ዕቁብ!AJ122/ቦኖ!$C$4&gt;0),(1/2),0)</f>
        <v>0.5</v>
      </c>
      <c r="AJ120" s="38">
        <f>IF((ዕቁብ!AK122/ቦኖ!$C$4&gt;0),(1/2),0)</f>
        <v>0.5</v>
      </c>
      <c r="AK120" s="38">
        <f>IF((ዕቁብ!AL122/ቦኖ!$C$4&gt;0),(1/2),0)</f>
        <v>0.5</v>
      </c>
      <c r="AL120" s="38">
        <f>IF((ዕቁብ!AM122/ቦኖ!$C$4&gt;0),(1/2),0)</f>
        <v>0.5</v>
      </c>
      <c r="AM120" s="38">
        <f>IF((ዕቁብ!AN122/ቦኖ!$C$4&gt;0),(1/2),0)</f>
        <v>0.5</v>
      </c>
      <c r="AN120" s="38">
        <f>IF((ዕቁብ!AO122/ቦኖ!$C$4&gt;0),(1/2),0)</f>
        <v>0.5</v>
      </c>
      <c r="AO120" s="38">
        <f>IF((ዕቁብ!AP122/ቦኖ!$C$4&gt;0),(1/2),0)</f>
        <v>0.5</v>
      </c>
      <c r="AP120" s="38">
        <f>IF((ዕቁብ!AQ122/ቦኖ!$C$4&gt;0),(1/2),0)</f>
        <v>0.5</v>
      </c>
      <c r="AQ120" s="38">
        <f>IF((ዕቁብ!AR122/ቦኖ!$C$4&gt;0),(1/2),0)</f>
        <v>0.5</v>
      </c>
      <c r="AR120" s="38">
        <f>IF((ዕቁብ!AS122/ቦኖ!$C$4&gt;0),(1/2),0)</f>
        <v>0.5</v>
      </c>
      <c r="AS120" s="38">
        <f>IF((ዕቁብ!AT122/ቦኖ!$C$4&gt;0),(1/2),0)</f>
        <v>0.5</v>
      </c>
      <c r="AT120" s="38">
        <f>IF((ዕቁብ!AU122/ቦኖ!$C$4&gt;0),(1/2),0)</f>
        <v>0.5</v>
      </c>
      <c r="AU120" s="38">
        <f>IF((ዕቁብ!AV122/ቦኖ!$C$4&gt;0),(1/2),0)</f>
        <v>0.5</v>
      </c>
      <c r="AV120" s="38">
        <f>IF((ዕቁብ!AW122/ቦኖ!$C$4&gt;0),(1/2),0)</f>
        <v>0.5</v>
      </c>
      <c r="AW120" s="38">
        <f>IF((ዕቁብ!AX122/ቦኖ!$C$4&gt;0),(1/2),0)</f>
        <v>0.5</v>
      </c>
      <c r="AX120" s="38">
        <f>IF((ዕቁብ!AY122/ቦኖ!$C$4&gt;0),(1/2),0)</f>
        <v>0.5</v>
      </c>
      <c r="AY120" s="38">
        <f>IF((ዕቁብ!AZ122/ቦኖ!$C$4&gt;0),(1/2),0)</f>
        <v>0.5</v>
      </c>
      <c r="AZ120" s="38">
        <f>IF((ዕቁብ!BA122/ቦኖ!$C$4&gt;0),(1/2),0)</f>
        <v>0.5</v>
      </c>
      <c r="BA120" s="38">
        <f>IF((ዕቁብ!BB122/ቦኖ!$C$4&gt;0),(1/2),0)</f>
        <v>0.5</v>
      </c>
      <c r="BB120" s="38">
        <f>IF((ዕቁብ!BC122/ቦኖ!$C$4&gt;0),(1/2),0)</f>
        <v>0.5</v>
      </c>
      <c r="BC120" s="38">
        <f>IF((ዕቁብ!BD122/ቦኖ!$C$4&gt;0),(1/2),0)</f>
        <v>0.5</v>
      </c>
      <c r="BD120" s="38">
        <f>IF((ዕቁብ!BE122/ቦኖ!$C$4&gt;0),(1/2),0)</f>
        <v>0.5</v>
      </c>
      <c r="BE120" s="38">
        <f>IF((ዕቁብ!BF122/ቦኖ!$C$4&gt;0),(1/2),0)</f>
        <v>0.5</v>
      </c>
      <c r="BF120" s="38">
        <f>IF((ዕቁብ!BG122/ቦኖ!$C$4&gt;0),(1/2),0)</f>
        <v>0.5</v>
      </c>
      <c r="BG120" s="38">
        <f>IF((ዕቁብ!BH122/ቦኖ!$C$4&gt;0),(1/2),0)</f>
        <v>0.5</v>
      </c>
      <c r="BH120" s="38">
        <f>IF((ዕቁብ!BI122/ቦኖ!$C$4&gt;0),(1/2),0)</f>
        <v>0.5</v>
      </c>
      <c r="BI120" s="38">
        <f>IF((ዕቁብ!BJ122/ቦኖ!$C$4&gt;0),(1/2),0)</f>
        <v>0</v>
      </c>
      <c r="BJ120" s="38">
        <f>IF((ዕቁብ!BK122/ቦኖ!$C$4&gt;0),(1/2),0)</f>
        <v>0.5</v>
      </c>
      <c r="BK120" s="38">
        <f>IF((ዕቁብ!BL122/ቦኖ!$C$4&gt;0),(1/2),0)</f>
        <v>0.5</v>
      </c>
      <c r="BL120" s="38">
        <f>IF((ዕቁብ!BM122/ቦኖ!$C$4&gt;0),(1/2),0)</f>
        <v>0.5</v>
      </c>
      <c r="BM120" s="38">
        <f>IF((ዕቁብ!BN122/ቦኖ!$C$4&gt;0),(1/2),0)</f>
        <v>0</v>
      </c>
      <c r="BN120" s="38">
        <f>IF((ዕቁብ!BO122/ቦኖ!$C$4&gt;0),(1/2),0)</f>
        <v>0.5</v>
      </c>
      <c r="BO120" s="38">
        <f>IF((ዕቁብ!BP122/ቦኖ!$C$4&gt;0),(1/2),0)</f>
        <v>0</v>
      </c>
      <c r="BP120" s="38">
        <f>IF((ዕቁብ!BQ122/ቦኖ!$C$4&gt;0),(1/2),0)</f>
        <v>0.5</v>
      </c>
      <c r="BQ120" s="38">
        <f>IF((ዕቁብ!BR122/ቦኖ!$C$4&gt;0),(1/2),0)</f>
        <v>0.5</v>
      </c>
      <c r="BR120" s="38">
        <f>IF((ዕቁብ!BS122/ቦኖ!$C$4&gt;0),(1/2),0)</f>
        <v>0.5</v>
      </c>
      <c r="BS120" s="38">
        <f>IF((ዕቁብ!BT122/ቦኖ!$C$4&gt;0),(1/2),0)</f>
        <v>0.5</v>
      </c>
      <c r="BT120" s="38">
        <f>IF((ዕቁብ!BU122/ቦኖ!$C$4&gt;0),(1/2),0)</f>
        <v>0.5</v>
      </c>
      <c r="BU120" s="38">
        <f>IF((ዕቁብ!BV122/ቦኖ!$C$4&gt;0),(1/2),0)</f>
        <v>0.5</v>
      </c>
      <c r="BV120" s="38">
        <f>IF((ዕቁብ!BW122/ቦኖ!$C$4&gt;0),(1/2),0)</f>
        <v>0.5</v>
      </c>
      <c r="BW120" s="38">
        <f>IF((ዕቁብ!BX122/ቦኖ!$C$4&gt;0),(1/2),0)</f>
        <v>0</v>
      </c>
      <c r="BX120" s="38">
        <f>IF((ዕቁብ!BY122/ቦኖ!$C$4&gt;0),(1/2),0)</f>
        <v>0.5</v>
      </c>
      <c r="BY120" s="38">
        <f>IF((ዕቁብ!BZ122/ቦኖ!$C$4&gt;0),(1/2),0)</f>
        <v>0.5</v>
      </c>
      <c r="BZ120" s="38">
        <f>IF((ዕቁብ!CA122/ቦኖ!$C$4&gt;0),(1/2),0)</f>
        <v>0.5</v>
      </c>
      <c r="CA120" s="38">
        <f>IF((ዕቁብ!CB122/ቦኖ!$C$4&gt;0),(1/2),0)</f>
        <v>0.5</v>
      </c>
      <c r="CB120" s="38">
        <f>IF((ዕቁብ!CC122/ቦኖ!$C$4&gt;0),(1/2),0)</f>
        <v>0.5</v>
      </c>
      <c r="CC120" s="38">
        <f>IF((ዕቁብ!CD122/ቦኖ!$C$4&gt;0),(1/2),0)</f>
        <v>0.5</v>
      </c>
      <c r="CD120" s="38">
        <f>IF((ዕቁብ!CE122/ቦኖ!$C$4&gt;0),(1/2),0)</f>
        <v>0</v>
      </c>
      <c r="CE120" s="38">
        <f>IF((ዕቁብ!CF122/ቦኖ!$C$4&gt;0),(1/2),0)</f>
        <v>0.5</v>
      </c>
      <c r="CF120" s="38">
        <f>IF((ዕቁብ!CG122/ቦኖ!$C$4&gt;0),(1/2),0)</f>
        <v>0.5</v>
      </c>
      <c r="CG120" s="38">
        <f>IF((ዕቁብ!CH122/ቦኖ!$C$4&gt;0),(1/2),0)</f>
        <v>0</v>
      </c>
      <c r="CH120" s="38">
        <f>IF((ዕቁብ!CI122/ቦኖ!$C$4&gt;0),(1/2),0)</f>
        <v>0.5</v>
      </c>
      <c r="CI120" s="38">
        <f>IF((ዕቁብ!CJ122/ቦኖ!$C$4&gt;0),(1/2),0)</f>
        <v>0</v>
      </c>
      <c r="CJ120" s="38">
        <f>IF((ዕቁብ!CK122/ቦኖ!$C$4&gt;0),(1/2),0)</f>
        <v>0.5</v>
      </c>
      <c r="CK120" s="38">
        <f>IF((ዕቁብ!CL122/ቦኖ!$C$4&gt;0),(1/2),0)</f>
        <v>0.5</v>
      </c>
      <c r="CL120" s="38">
        <f>IF((ዕቁብ!CM122/ቦኖ!$C$4&gt;0),(1/2),0)</f>
        <v>0.5</v>
      </c>
      <c r="CM120" s="38">
        <f>IF((ዕቁብ!CN122/ቦኖ!$C$4&gt;0),(1/2),0)</f>
        <v>0.5</v>
      </c>
      <c r="CN120" s="38">
        <f>IF((ዕቁብ!CO122/ቦኖ!$C$4&gt;0),(1/2),0)</f>
        <v>0.5</v>
      </c>
      <c r="CO120" s="38">
        <f>IF((ዕቁብ!CP122/ቦኖ!$C$4&gt;0),(1/2),0)</f>
        <v>0.5</v>
      </c>
      <c r="CP120" s="38">
        <f>IF((ዕቁብ!CQ122/ቦኖ!$C$4&gt;0),(1/2),0)</f>
        <v>0.5</v>
      </c>
      <c r="CQ120" s="38">
        <f>IF((ዕቁብ!CR122/ቦኖ!$C$4&gt;0),(1/2),0)</f>
        <v>0</v>
      </c>
      <c r="CR120" s="38">
        <f>IF((ዕቁብ!CS122/ቦኖ!$C$4&gt;0),(1/2),0)</f>
        <v>0.5</v>
      </c>
      <c r="CS120" s="38">
        <f>IF((ዕቁብ!CT122/ቦኖ!$C$4&gt;0),(1/2),0)</f>
        <v>0.5</v>
      </c>
      <c r="CT120" s="38">
        <f>IF((ዕቁብ!CU122/ቦኖ!$C$4&gt;0),(1/2),0)</f>
        <v>0</v>
      </c>
      <c r="CU120" s="38">
        <f>IF((ዕቁብ!CV122/ቦኖ!$C$4&gt;0),(1/2),0)</f>
        <v>0</v>
      </c>
      <c r="CV120" s="38">
        <f>IF((ዕቁብ!CW122/ቦኖ!$C$4&gt;0),(1/2),0)</f>
        <v>0.5</v>
      </c>
      <c r="CW120" s="38">
        <f>IF((ዕቁብ!CX122/ቦኖ!$C$4&gt;0),(1/2),0)</f>
        <v>0.5</v>
      </c>
      <c r="CX120" s="38">
        <f>IF((ዕቁብ!CY122/ቦኖ!$C$4&gt;0),(1/2),0)</f>
        <v>0.5</v>
      </c>
      <c r="CY120" s="38">
        <f>IF((ዕቁብ!CZ122/ቦኖ!$C$4&gt;0),(1/2),0)</f>
        <v>0.5</v>
      </c>
      <c r="CZ120" s="38">
        <f>IF((ዕቁብ!DA122/ቦኖ!$C$4&gt;0),(1/2),0)</f>
        <v>0</v>
      </c>
      <c r="DA120" s="38">
        <f>IF((ዕቁብ!DB122/ቦኖ!$C$4&gt;0),(1/2),0)</f>
        <v>0.5</v>
      </c>
      <c r="DB120" s="38">
        <f>IF((ዕቁብ!DC122/ቦኖ!$C$4&gt;0),(1/2),0)</f>
        <v>0.5</v>
      </c>
      <c r="DC120" s="38">
        <f>IF((ዕቁብ!DD122/ቦኖ!$C$4&gt;0),(1/2),0)</f>
        <v>0.5</v>
      </c>
      <c r="DD120" s="38">
        <f>IF((ዕቁብ!DE122/ቦኖ!$C$4&gt;0),(1/2),0)</f>
        <v>0.5</v>
      </c>
      <c r="DE120" s="38">
        <f>IF((ዕቁብ!DF122/ቦኖ!$C$4&gt;0),(1/2),0)</f>
        <v>0.5</v>
      </c>
      <c r="DF120" s="38">
        <f>IF((ዕቁብ!DG122/ቦኖ!$C$4&gt;0),(1/2),0)</f>
        <v>0.5</v>
      </c>
      <c r="DG120" s="38">
        <f>IF((ዕቁብ!DH122/ቦኖ!$C$4&gt;0),(1/2),0)</f>
        <v>0.5</v>
      </c>
      <c r="DH120" s="38">
        <f>IF((ዕቁብ!DI122/ቦኖ!$C$4&gt;0),(1/2),0)</f>
        <v>0</v>
      </c>
      <c r="DI120" s="38">
        <f>IF((ዕቁብ!DJ122/ቦኖ!$C$4&gt;0),(1/2),0)</f>
        <v>0</v>
      </c>
      <c r="DJ120" s="38">
        <f>IF((ዕቁብ!DK122/ቦኖ!$C$4&gt;0),(1/2),0)</f>
        <v>0</v>
      </c>
      <c r="DK120" s="38">
        <f>IF((ዕቁብ!DL122/ቦኖ!$C$4&gt;0),(1/2),0)</f>
        <v>0</v>
      </c>
      <c r="DL120" s="38">
        <f>IF((ዕቁብ!DM122/ቦኖ!$C$4&gt;0),(1/2),0)</f>
        <v>0</v>
      </c>
      <c r="DM120" s="38">
        <f>IF((ዕቁብ!DN122/ቦኖ!$C$4&gt;0),(1/2),0)</f>
        <v>0</v>
      </c>
      <c r="DN120" s="38">
        <f>IF((ዕቁብ!DO122/ቦኖ!$C$4&gt;0),(1/2),0)</f>
        <v>0</v>
      </c>
      <c r="DO120" s="38">
        <f>IF((ዕቁብ!DP122/ቦኖ!$C$4&gt;0),(1/2),0)</f>
        <v>0</v>
      </c>
      <c r="DP120" s="38">
        <f>IF((ዕቁብ!DQ122/ቦኖ!$C$4&gt;0),(1/2),0)</f>
        <v>0</v>
      </c>
      <c r="DQ120" s="38">
        <f>IF((ዕቁብ!DR122/ቦኖ!$C$4&gt;0),(1/2),0)</f>
        <v>0</v>
      </c>
    </row>
    <row r="121" spans="1:121" ht="15.75" customHeight="1" x14ac:dyDescent="0.3">
      <c r="A121" s="33">
        <f>ዕቁብ!A123</f>
        <v>106</v>
      </c>
      <c r="B121" s="33" t="str">
        <f>ዕቁብ!B123</f>
        <v>ዮሴፍ ዮናስ</v>
      </c>
      <c r="C121" s="37">
        <f>ዕቁብ!C123</f>
        <v>10500</v>
      </c>
      <c r="D121" s="38">
        <f>IF((ዕቁብ!E123/ቦኖ!$C$4&gt;0),(1/2),0)</f>
        <v>0.5</v>
      </c>
      <c r="E121" s="38">
        <f>IF((ዕቁብ!F123/ቦኖ!$C$4&gt;0),(1/2),0)</f>
        <v>0.5</v>
      </c>
      <c r="F121" s="38">
        <f>IF((ዕቁብ!G123/ቦኖ!$C$4&gt;0),(1/2),0)</f>
        <v>0.5</v>
      </c>
      <c r="G121" s="38">
        <f>IF((ዕቁብ!H123/ቦኖ!$C$4&gt;0),(1/2),0)</f>
        <v>0.5</v>
      </c>
      <c r="H121" s="38">
        <f>IF((ዕቁብ!I123/ቦኖ!$C$4&gt;0),(1/2),0)</f>
        <v>0.5</v>
      </c>
      <c r="I121" s="38">
        <f>IF((ዕቁብ!J123/ቦኖ!$C$4&gt;0),(1/2),0)</f>
        <v>0.5</v>
      </c>
      <c r="J121" s="38">
        <f>IF((ዕቁብ!K123/ቦኖ!$C$4&gt;0),(1/2),0)</f>
        <v>0.5</v>
      </c>
      <c r="K121" s="38">
        <f>IF((ዕቁብ!L123/ቦኖ!$C$4&gt;0),(1/2),0)</f>
        <v>0.5</v>
      </c>
      <c r="L121" s="38">
        <f>IF((ዕቁብ!M123/ቦኖ!$C$4&gt;0),(1/2),0)</f>
        <v>0.5</v>
      </c>
      <c r="M121" s="38">
        <f>IF((ዕቁብ!N123/ቦኖ!$C$4&gt;0),(1/2),0)</f>
        <v>0.5</v>
      </c>
      <c r="N121" s="38">
        <f>IF((ዕቁብ!O123/ቦኖ!$C$4&gt;0),(1/2),0)</f>
        <v>0.5</v>
      </c>
      <c r="O121" s="38">
        <f>IF((ዕቁብ!P123/ቦኖ!$C$4&gt;0),(1/2),0)</f>
        <v>0.5</v>
      </c>
      <c r="P121" s="38">
        <f>IF((ዕቁብ!Q123/ቦኖ!$C$4&gt;0),(1/2),0)</f>
        <v>0.5</v>
      </c>
      <c r="Q121" s="38">
        <f>IF((ዕቁብ!R123/ቦኖ!$C$4&gt;0),(1/2),0)</f>
        <v>0.5</v>
      </c>
      <c r="R121" s="38">
        <f>IF((ዕቁብ!S123/ቦኖ!$C$4&gt;0),(1/2),0)</f>
        <v>0.5</v>
      </c>
      <c r="S121" s="38">
        <f>IF((ዕቁብ!T123/ቦኖ!$C$4&gt;0),(1/2),0)</f>
        <v>0.5</v>
      </c>
      <c r="T121" s="38">
        <f>IF((ዕቁብ!U123/ቦኖ!$C$4&gt;0),(1/2),0)</f>
        <v>0.5</v>
      </c>
      <c r="U121" s="38">
        <f>IF((ዕቁብ!V123/ቦኖ!$C$4&gt;0),(1/2),0)</f>
        <v>0.5</v>
      </c>
      <c r="V121" s="38">
        <f>IF((ዕቁብ!W123/ቦኖ!$C$4&gt;0),(1/2),0)</f>
        <v>0.5</v>
      </c>
      <c r="W121" s="38">
        <f>IF((ዕቁብ!X123/ቦኖ!$C$4&gt;0),(1/2),0)</f>
        <v>0.5</v>
      </c>
      <c r="X121" s="38">
        <f>IF((ዕቁብ!Y123/ቦኖ!$C$4&gt;0),(1/2),0)</f>
        <v>0.5</v>
      </c>
      <c r="Y121" s="38">
        <f>IF((ዕቁብ!Z123/ቦኖ!$C$4&gt;0),(1/2),0)</f>
        <v>0.5</v>
      </c>
      <c r="Z121" s="38">
        <f>IF((ዕቁብ!AA123/ቦኖ!$C$4&gt;0),(1/2),0)</f>
        <v>0.5</v>
      </c>
      <c r="AA121" s="38">
        <f>IF((ዕቁብ!AB123/ቦኖ!$C$4&gt;0),(1/2),0)</f>
        <v>0.5</v>
      </c>
      <c r="AB121" s="38">
        <f>IF((ዕቁብ!AC123/ቦኖ!$C$4&gt;0),(1/2),0)</f>
        <v>0.5</v>
      </c>
      <c r="AC121" s="38">
        <f>IF((ዕቁብ!AD123/ቦኖ!$C$4&gt;0),(1/2),0)</f>
        <v>0.5</v>
      </c>
      <c r="AD121" s="38">
        <f>IF((ዕቁብ!AE123/ቦኖ!$C$4&gt;0),(1/2),0)</f>
        <v>0.5</v>
      </c>
      <c r="AE121" s="38">
        <f>IF((ዕቁብ!AF123/ቦኖ!$C$4&gt;0),(1/2),0)</f>
        <v>0</v>
      </c>
      <c r="AF121" s="38">
        <f>IF((ዕቁብ!AG123/ቦኖ!$C$4&gt;0),(1/2),0)</f>
        <v>0.5</v>
      </c>
      <c r="AG121" s="38">
        <f>IF((ዕቁብ!AH123/ቦኖ!$C$4&gt;0),(1/2),0)</f>
        <v>0</v>
      </c>
      <c r="AH121" s="38">
        <f>IF((ዕቁብ!AI123/ቦኖ!$C$4&gt;0),(1/2),0)</f>
        <v>0.5</v>
      </c>
      <c r="AI121" s="38">
        <f>IF((ዕቁብ!AJ123/ቦኖ!$C$4&gt;0),(1/2),0)</f>
        <v>0.5</v>
      </c>
      <c r="AJ121" s="38">
        <f>IF((ዕቁብ!AK123/ቦኖ!$C$4&gt;0),(1/2),0)</f>
        <v>0.5</v>
      </c>
      <c r="AK121" s="38">
        <f>IF((ዕቁብ!AL123/ቦኖ!$C$4&gt;0),(1/2),0)</f>
        <v>0.5</v>
      </c>
      <c r="AL121" s="38">
        <f>IF((ዕቁብ!AM123/ቦኖ!$C$4&gt;0),(1/2),0)</f>
        <v>0.5</v>
      </c>
      <c r="AM121" s="38">
        <f>IF((ዕቁብ!AN123/ቦኖ!$C$4&gt;0),(1/2),0)</f>
        <v>0</v>
      </c>
      <c r="AN121" s="38">
        <f>IF((ዕቁብ!AO123/ቦኖ!$C$4&gt;0),(1/2),0)</f>
        <v>0.5</v>
      </c>
      <c r="AO121" s="38">
        <f>IF((ዕቁብ!AP123/ቦኖ!$C$4&gt;0),(1/2),0)</f>
        <v>0.5</v>
      </c>
      <c r="AP121" s="38">
        <f>IF((ዕቁብ!AQ123/ቦኖ!$C$4&gt;0),(1/2),0)</f>
        <v>0</v>
      </c>
      <c r="AQ121" s="38">
        <f>IF((ዕቁብ!AR123/ቦኖ!$C$4&gt;0),(1/2),0)</f>
        <v>0.5</v>
      </c>
      <c r="AR121" s="38">
        <f>IF((ዕቁብ!AS123/ቦኖ!$C$4&gt;0),(1/2),0)</f>
        <v>0</v>
      </c>
      <c r="AS121" s="38">
        <f>IF((ዕቁብ!AT123/ቦኖ!$C$4&gt;0),(1/2),0)</f>
        <v>0.5</v>
      </c>
      <c r="AT121" s="38">
        <f>IF((ዕቁብ!AU123/ቦኖ!$C$4&gt;0),(1/2),0)</f>
        <v>0</v>
      </c>
      <c r="AU121" s="38">
        <f>IF((ዕቁብ!AV123/ቦኖ!$C$4&gt;0),(1/2),0)</f>
        <v>0.5</v>
      </c>
      <c r="AV121" s="38">
        <f>IF((ዕቁብ!AW123/ቦኖ!$C$4&gt;0),(1/2),0)</f>
        <v>0.5</v>
      </c>
      <c r="AW121" s="38">
        <f>IF((ዕቁብ!AX123/ቦኖ!$C$4&gt;0),(1/2),0)</f>
        <v>0</v>
      </c>
      <c r="AX121" s="38">
        <f>IF((ዕቁብ!AY123/ቦኖ!$C$4&gt;0),(1/2),0)</f>
        <v>0</v>
      </c>
      <c r="AY121" s="38">
        <f>IF((ዕቁብ!AZ123/ቦኖ!$C$4&gt;0),(1/2),0)</f>
        <v>0.5</v>
      </c>
      <c r="AZ121" s="38">
        <f>IF((ዕቁብ!BA123/ቦኖ!$C$4&gt;0),(1/2),0)</f>
        <v>0.5</v>
      </c>
      <c r="BA121" s="38">
        <f>IF((ዕቁብ!BB123/ቦኖ!$C$4&gt;0),(1/2),0)</f>
        <v>0</v>
      </c>
      <c r="BB121" s="38">
        <f>IF((ዕቁብ!BC123/ቦኖ!$C$4&gt;0),(1/2),0)</f>
        <v>0.5</v>
      </c>
      <c r="BC121" s="38">
        <f>IF((ዕቁብ!BD123/ቦኖ!$C$4&gt;0),(1/2),0)</f>
        <v>0.5</v>
      </c>
      <c r="BD121" s="38">
        <f>IF((ዕቁብ!BE123/ቦኖ!$C$4&gt;0),(1/2),0)</f>
        <v>0</v>
      </c>
      <c r="BE121" s="38">
        <f>IF((ዕቁብ!BF123/ቦኖ!$C$4&gt;0),(1/2),0)</f>
        <v>0.5</v>
      </c>
      <c r="BF121" s="38">
        <f>IF((ዕቁብ!BG123/ቦኖ!$C$4&gt;0),(1/2),0)</f>
        <v>0</v>
      </c>
      <c r="BG121" s="38">
        <f>IF((ዕቁብ!BH123/ቦኖ!$C$4&gt;0),(1/2),0)</f>
        <v>0</v>
      </c>
      <c r="BH121" s="38">
        <f>IF((ዕቁብ!BI123/ቦኖ!$C$4&gt;0),(1/2),0)</f>
        <v>0</v>
      </c>
      <c r="BI121" s="38">
        <f>IF((ዕቁብ!BJ123/ቦኖ!$C$4&gt;0),(1/2),0)</f>
        <v>0.5</v>
      </c>
      <c r="BJ121" s="38">
        <f>IF((ዕቁብ!BK123/ቦኖ!$C$4&gt;0),(1/2),0)</f>
        <v>0</v>
      </c>
      <c r="BK121" s="38">
        <f>IF((ዕቁብ!BL123/ቦኖ!$C$4&gt;0),(1/2),0)</f>
        <v>0</v>
      </c>
      <c r="BL121" s="38">
        <f>IF((ዕቁብ!BM123/ቦኖ!$C$4&gt;0),(1/2),0)</f>
        <v>0.5</v>
      </c>
      <c r="BM121" s="38">
        <f>IF((ዕቁብ!BN123/ቦኖ!$C$4&gt;0),(1/2),0)</f>
        <v>0</v>
      </c>
      <c r="BN121" s="38">
        <f>IF((ዕቁብ!BO123/ቦኖ!$C$4&gt;0),(1/2),0)</f>
        <v>0</v>
      </c>
      <c r="BO121" s="38">
        <f>IF((ዕቁብ!BP123/ቦኖ!$C$4&gt;0),(1/2),0)</f>
        <v>0</v>
      </c>
      <c r="BP121" s="38">
        <f>IF((ዕቁብ!BQ123/ቦኖ!$C$4&gt;0),(1/2),0)</f>
        <v>0</v>
      </c>
      <c r="BQ121" s="38">
        <f>IF((ዕቁብ!BR123/ቦኖ!$C$4&gt;0),(1/2),0)</f>
        <v>0.5</v>
      </c>
      <c r="BR121" s="38">
        <f>IF((ዕቁብ!BS123/ቦኖ!$C$4&gt;0),(1/2),0)</f>
        <v>0</v>
      </c>
      <c r="BS121" s="38">
        <f>IF((ዕቁብ!BT123/ቦኖ!$C$4&gt;0),(1/2),0)</f>
        <v>0</v>
      </c>
      <c r="BT121" s="38">
        <f>IF((ዕቁብ!BU123/ቦኖ!$C$4&gt;0),(1/2),0)</f>
        <v>0</v>
      </c>
      <c r="BU121" s="38">
        <f>IF((ዕቁብ!BV123/ቦኖ!$C$4&gt;0),(1/2),0)</f>
        <v>0</v>
      </c>
      <c r="BV121" s="38">
        <f>IF((ዕቁብ!BW123/ቦኖ!$C$4&gt;0),(1/2),0)</f>
        <v>0</v>
      </c>
      <c r="BW121" s="38">
        <f>IF((ዕቁብ!BX123/ቦኖ!$C$4&gt;0),(1/2),0)</f>
        <v>0</v>
      </c>
      <c r="BX121" s="38">
        <f>IF((ዕቁብ!BY123/ቦኖ!$C$4&gt;0),(1/2),0)</f>
        <v>0</v>
      </c>
      <c r="BY121" s="38">
        <f>IF((ዕቁብ!BZ123/ቦኖ!$C$4&gt;0),(1/2),0)</f>
        <v>0</v>
      </c>
      <c r="BZ121" s="38">
        <f>IF((ዕቁብ!CA123/ቦኖ!$C$4&gt;0),(1/2),0)</f>
        <v>0</v>
      </c>
      <c r="CA121" s="38">
        <f>IF((ዕቁብ!CB123/ቦኖ!$C$4&gt;0),(1/2),0)</f>
        <v>0</v>
      </c>
      <c r="CB121" s="38">
        <f>IF((ዕቁብ!CC123/ቦኖ!$C$4&gt;0),(1/2),0)</f>
        <v>0</v>
      </c>
      <c r="CC121" s="38">
        <f>IF((ዕቁብ!CD123/ቦኖ!$C$4&gt;0),(1/2),0)</f>
        <v>0</v>
      </c>
      <c r="CD121" s="38">
        <f>IF((ዕቁብ!CE123/ቦኖ!$C$4&gt;0),(1/2),0)</f>
        <v>0</v>
      </c>
      <c r="CE121" s="38">
        <f>IF((ዕቁብ!CF123/ቦኖ!$C$4&gt;0),(1/2),0)</f>
        <v>0</v>
      </c>
      <c r="CF121" s="38">
        <f>IF((ዕቁብ!CG123/ቦኖ!$C$4&gt;0),(1/2),0)</f>
        <v>0</v>
      </c>
      <c r="CG121" s="38">
        <f>IF((ዕቁብ!CH123/ቦኖ!$C$4&gt;0),(1/2),0)</f>
        <v>0</v>
      </c>
      <c r="CH121" s="38">
        <f>IF((ዕቁብ!CI123/ቦኖ!$C$4&gt;0),(1/2),0)</f>
        <v>0</v>
      </c>
      <c r="CI121" s="38">
        <f>IF((ዕቁብ!CJ123/ቦኖ!$C$4&gt;0),(1/2),0)</f>
        <v>0</v>
      </c>
      <c r="CJ121" s="38">
        <f>IF((ዕቁብ!CK123/ቦኖ!$C$4&gt;0),(1/2),0)</f>
        <v>0</v>
      </c>
      <c r="CK121" s="38">
        <f>IF((ዕቁብ!CL123/ቦኖ!$C$4&gt;0),(1/2),0)</f>
        <v>0</v>
      </c>
      <c r="CL121" s="38">
        <f>IF((ዕቁብ!CM123/ቦኖ!$C$4&gt;0),(1/2),0)</f>
        <v>0.5</v>
      </c>
      <c r="CM121" s="38">
        <f>IF((ዕቁብ!CN123/ቦኖ!$C$4&gt;0),(1/2),0)</f>
        <v>0</v>
      </c>
      <c r="CN121" s="38">
        <f>IF((ዕቁብ!CO123/ቦኖ!$C$4&gt;0),(1/2),0)</f>
        <v>0</v>
      </c>
      <c r="CO121" s="38">
        <f>IF((ዕቁብ!CP123/ቦኖ!$C$4&gt;0),(1/2),0)</f>
        <v>0.5</v>
      </c>
      <c r="CP121" s="38">
        <f>IF((ዕቁብ!CQ123/ቦኖ!$C$4&gt;0),(1/2),0)</f>
        <v>0</v>
      </c>
      <c r="CQ121" s="38">
        <f>IF((ዕቁብ!CR123/ቦኖ!$C$4&gt;0),(1/2),0)</f>
        <v>0</v>
      </c>
      <c r="CR121" s="38">
        <f>IF((ዕቁብ!CS123/ቦኖ!$C$4&gt;0),(1/2),0)</f>
        <v>0</v>
      </c>
      <c r="CS121" s="38">
        <f>IF((ዕቁብ!CT123/ቦኖ!$C$4&gt;0),(1/2),0)</f>
        <v>0.5</v>
      </c>
      <c r="CT121" s="38">
        <f>IF((ዕቁብ!CU123/ቦኖ!$C$4&gt;0),(1/2),0)</f>
        <v>0</v>
      </c>
      <c r="CU121" s="38">
        <f>IF((ዕቁብ!CV123/ቦኖ!$C$4&gt;0),(1/2),0)</f>
        <v>0</v>
      </c>
      <c r="CV121" s="38">
        <f>IF((ዕቁብ!CW123/ቦኖ!$C$4&gt;0),(1/2),0)</f>
        <v>0</v>
      </c>
      <c r="CW121" s="38">
        <f>IF((ዕቁብ!CX123/ቦኖ!$C$4&gt;0),(1/2),0)</f>
        <v>0</v>
      </c>
      <c r="CX121" s="38">
        <f>IF((ዕቁብ!CY123/ቦኖ!$C$4&gt;0),(1/2),0)</f>
        <v>0</v>
      </c>
      <c r="CY121" s="38">
        <f>IF((ዕቁብ!CZ123/ቦኖ!$C$4&gt;0),(1/2),0)</f>
        <v>0</v>
      </c>
      <c r="CZ121" s="38">
        <f>IF((ዕቁብ!DA123/ቦኖ!$C$4&gt;0),(1/2),0)</f>
        <v>0</v>
      </c>
      <c r="DA121" s="38">
        <f>IF((ዕቁብ!DB123/ቦኖ!$C$4&gt;0),(1/2),0)</f>
        <v>0</v>
      </c>
      <c r="DB121" s="38">
        <f>IF((ዕቁብ!DC123/ቦኖ!$C$4&gt;0),(1/2),0)</f>
        <v>0</v>
      </c>
      <c r="DC121" s="38">
        <f>IF((ዕቁብ!DD123/ቦኖ!$C$4&gt;0),(1/2),0)</f>
        <v>0</v>
      </c>
      <c r="DD121" s="38">
        <f>IF((ዕቁብ!DE123/ቦኖ!$C$4&gt;0),(1/2),0)</f>
        <v>0</v>
      </c>
      <c r="DE121" s="38">
        <f>IF((ዕቁብ!DF123/ቦኖ!$C$4&gt;0),(1/2),0)</f>
        <v>0</v>
      </c>
      <c r="DF121" s="38">
        <f>IF((ዕቁብ!DG123/ቦኖ!$C$4&gt;0),(1/2),0)</f>
        <v>0</v>
      </c>
      <c r="DG121" s="38">
        <f>IF((ዕቁብ!DH123/ቦኖ!$C$4&gt;0),(1/2),0)</f>
        <v>0</v>
      </c>
      <c r="DH121" s="38">
        <f>IF((ዕቁብ!DI123/ቦኖ!$C$4&gt;0),(1/2),0)</f>
        <v>0</v>
      </c>
      <c r="DI121" s="38">
        <f>IF((ዕቁብ!DJ123/ቦኖ!$C$4&gt;0),(1/2),0)</f>
        <v>0</v>
      </c>
      <c r="DJ121" s="38">
        <f>IF((ዕቁብ!DK123/ቦኖ!$C$4&gt;0),(1/2),0)</f>
        <v>0</v>
      </c>
      <c r="DK121" s="38">
        <f>IF((ዕቁብ!DL123/ቦኖ!$C$4&gt;0),(1/2),0)</f>
        <v>0</v>
      </c>
      <c r="DL121" s="38">
        <f>IF((ዕቁብ!DM123/ቦኖ!$C$4&gt;0),(1/2),0)</f>
        <v>0</v>
      </c>
      <c r="DM121" s="38">
        <f>IF((ዕቁብ!DN123/ቦኖ!$C$4&gt;0),(1/2),0)</f>
        <v>0</v>
      </c>
      <c r="DN121" s="38">
        <f>IF((ዕቁብ!DO123/ቦኖ!$C$4&gt;0),(1/2),0)</f>
        <v>0</v>
      </c>
      <c r="DO121" s="38">
        <f>IF((ዕቁብ!DP123/ቦኖ!$C$4&gt;0),(1/2),0)</f>
        <v>0</v>
      </c>
      <c r="DP121" s="38">
        <f>IF((ዕቁብ!DQ123/ቦኖ!$C$4&gt;0),(1/2),0)</f>
        <v>0</v>
      </c>
      <c r="DQ121" s="38">
        <f>IF((ዕቁብ!DR123/ቦኖ!$C$4&gt;0),(1/2),0)</f>
        <v>0</v>
      </c>
    </row>
    <row r="122" spans="1:121" ht="15.75" customHeight="1" x14ac:dyDescent="0.3">
      <c r="A122" s="33">
        <f>ዕቁብ!A124</f>
        <v>106</v>
      </c>
      <c r="B122" s="33" t="str">
        <f>ዕቁብ!B124</f>
        <v>ሙሉ ቶማስ</v>
      </c>
      <c r="C122" s="37">
        <f>ዕቁብ!C124</f>
        <v>10500</v>
      </c>
      <c r="D122" s="38">
        <f>IF((ዕቁብ!E124/ቦኖ!$C$4&gt;0),(1/2),0)</f>
        <v>0.5</v>
      </c>
      <c r="E122" s="38">
        <f>IF((ዕቁብ!F124/ቦኖ!$C$4&gt;0),(1/2),0)</f>
        <v>0.5</v>
      </c>
      <c r="F122" s="38">
        <f>IF((ዕቁብ!G124/ቦኖ!$C$4&gt;0),(1/2),0)</f>
        <v>0.5</v>
      </c>
      <c r="G122" s="38">
        <f>IF((ዕቁብ!H124/ቦኖ!$C$4&gt;0),(1/2),0)</f>
        <v>0.5</v>
      </c>
      <c r="H122" s="38">
        <f>IF((ዕቁብ!I124/ቦኖ!$C$4&gt;0),(1/2),0)</f>
        <v>0.5</v>
      </c>
      <c r="I122" s="38">
        <f>IF((ዕቁብ!J124/ቦኖ!$C$4&gt;0),(1/2),0)</f>
        <v>0.5</v>
      </c>
      <c r="J122" s="38">
        <f>IF((ዕቁብ!K124/ቦኖ!$C$4&gt;0),(1/2),0)</f>
        <v>0.5</v>
      </c>
      <c r="K122" s="38">
        <f>IF((ዕቁብ!L124/ቦኖ!$C$4&gt;0),(1/2),0)</f>
        <v>0.5</v>
      </c>
      <c r="L122" s="38">
        <f>IF((ዕቁብ!M124/ቦኖ!$C$4&gt;0),(1/2),0)</f>
        <v>0.5</v>
      </c>
      <c r="M122" s="38">
        <f>IF((ዕቁብ!N124/ቦኖ!$C$4&gt;0),(1/2),0)</f>
        <v>0.5</v>
      </c>
      <c r="N122" s="38">
        <f>IF((ዕቁብ!O124/ቦኖ!$C$4&gt;0),(1/2),0)</f>
        <v>0.5</v>
      </c>
      <c r="O122" s="38">
        <f>IF((ዕቁብ!P124/ቦኖ!$C$4&gt;0),(1/2),0)</f>
        <v>0.5</v>
      </c>
      <c r="P122" s="38">
        <f>IF((ዕቁብ!Q124/ቦኖ!$C$4&gt;0),(1/2),0)</f>
        <v>0.5</v>
      </c>
      <c r="Q122" s="38">
        <f>IF((ዕቁብ!R124/ቦኖ!$C$4&gt;0),(1/2),0)</f>
        <v>0.5</v>
      </c>
      <c r="R122" s="38">
        <f>IF((ዕቁብ!S124/ቦኖ!$C$4&gt;0),(1/2),0)</f>
        <v>0.5</v>
      </c>
      <c r="S122" s="38">
        <f>IF((ዕቁብ!T124/ቦኖ!$C$4&gt;0),(1/2),0)</f>
        <v>0.5</v>
      </c>
      <c r="T122" s="38">
        <f>IF((ዕቁብ!U124/ቦኖ!$C$4&gt;0),(1/2),0)</f>
        <v>0.5</v>
      </c>
      <c r="U122" s="38">
        <f>IF((ዕቁብ!V124/ቦኖ!$C$4&gt;0),(1/2),0)</f>
        <v>0.5</v>
      </c>
      <c r="V122" s="38">
        <f>IF((ዕቁብ!W124/ቦኖ!$C$4&gt;0),(1/2),0)</f>
        <v>0.5</v>
      </c>
      <c r="W122" s="38">
        <f>IF((ዕቁብ!X124/ቦኖ!$C$4&gt;0),(1/2),0)</f>
        <v>0.5</v>
      </c>
      <c r="X122" s="38">
        <f>IF((ዕቁብ!Y124/ቦኖ!$C$4&gt;0),(1/2),0)</f>
        <v>0.5</v>
      </c>
      <c r="Y122" s="38">
        <f>IF((ዕቁብ!Z124/ቦኖ!$C$4&gt;0),(1/2),0)</f>
        <v>0.5</v>
      </c>
      <c r="Z122" s="38">
        <f>IF((ዕቁብ!AA124/ቦኖ!$C$4&gt;0),(1/2),0)</f>
        <v>0.5</v>
      </c>
      <c r="AA122" s="38">
        <f>IF((ዕቁብ!AB124/ቦኖ!$C$4&gt;0),(1/2),0)</f>
        <v>0.5</v>
      </c>
      <c r="AB122" s="38">
        <f>IF((ዕቁብ!AC124/ቦኖ!$C$4&gt;0),(1/2),0)</f>
        <v>0.5</v>
      </c>
      <c r="AC122" s="38">
        <f>IF((ዕቁብ!AD124/ቦኖ!$C$4&gt;0),(1/2),0)</f>
        <v>0.5</v>
      </c>
      <c r="AD122" s="38">
        <f>IF((ዕቁብ!AE124/ቦኖ!$C$4&gt;0),(1/2),0)</f>
        <v>0.5</v>
      </c>
      <c r="AE122" s="38">
        <f>IF((ዕቁብ!AF124/ቦኖ!$C$4&gt;0),(1/2),0)</f>
        <v>0.5</v>
      </c>
      <c r="AF122" s="38">
        <f>IF((ዕቁብ!AG124/ቦኖ!$C$4&gt;0),(1/2),0)</f>
        <v>0.5</v>
      </c>
      <c r="AG122" s="38">
        <f>IF((ዕቁብ!AH124/ቦኖ!$C$4&gt;0),(1/2),0)</f>
        <v>0.5</v>
      </c>
      <c r="AH122" s="38">
        <f>IF((ዕቁብ!AI124/ቦኖ!$C$4&gt;0),(1/2),0)</f>
        <v>0.5</v>
      </c>
      <c r="AI122" s="38">
        <f>IF((ዕቁብ!AJ124/ቦኖ!$C$4&gt;0),(1/2),0)</f>
        <v>0.5</v>
      </c>
      <c r="AJ122" s="38">
        <f>IF((ዕቁብ!AK124/ቦኖ!$C$4&gt;0),(1/2),0)</f>
        <v>0.5</v>
      </c>
      <c r="AK122" s="38">
        <f>IF((ዕቁብ!AL124/ቦኖ!$C$4&gt;0),(1/2),0)</f>
        <v>0.5</v>
      </c>
      <c r="AL122" s="38">
        <f>IF((ዕቁብ!AM124/ቦኖ!$C$4&gt;0),(1/2),0)</f>
        <v>0.5</v>
      </c>
      <c r="AM122" s="38">
        <f>IF((ዕቁብ!AN124/ቦኖ!$C$4&gt;0),(1/2),0)</f>
        <v>0</v>
      </c>
      <c r="AN122" s="38">
        <f>IF((ዕቁብ!AO124/ቦኖ!$C$4&gt;0),(1/2),0)</f>
        <v>0.5</v>
      </c>
      <c r="AO122" s="38">
        <f>IF((ዕቁብ!AP124/ቦኖ!$C$4&gt;0),(1/2),0)</f>
        <v>0.5</v>
      </c>
      <c r="AP122" s="38">
        <f>IF((ዕቁብ!AQ124/ቦኖ!$C$4&gt;0),(1/2),0)</f>
        <v>0.5</v>
      </c>
      <c r="AQ122" s="38">
        <f>IF((ዕቁብ!AR124/ቦኖ!$C$4&gt;0),(1/2),0)</f>
        <v>0.5</v>
      </c>
      <c r="AR122" s="38">
        <f>IF((ዕቁብ!AS124/ቦኖ!$C$4&gt;0),(1/2),0)</f>
        <v>0.5</v>
      </c>
      <c r="AS122" s="38">
        <f>IF((ዕቁብ!AT124/ቦኖ!$C$4&gt;0),(1/2),0)</f>
        <v>0.5</v>
      </c>
      <c r="AT122" s="38">
        <f>IF((ዕቁብ!AU124/ቦኖ!$C$4&gt;0),(1/2),0)</f>
        <v>0.5</v>
      </c>
      <c r="AU122" s="38">
        <f>IF((ዕቁብ!AV124/ቦኖ!$C$4&gt;0),(1/2),0)</f>
        <v>0.5</v>
      </c>
      <c r="AV122" s="38">
        <f>IF((ዕቁብ!AW124/ቦኖ!$C$4&gt;0),(1/2),0)</f>
        <v>0.5</v>
      </c>
      <c r="AW122" s="38">
        <f>IF((ዕቁብ!AX124/ቦኖ!$C$4&gt;0),(1/2),0)</f>
        <v>0.5</v>
      </c>
      <c r="AX122" s="38">
        <f>IF((ዕቁብ!AY124/ቦኖ!$C$4&gt;0),(1/2),0)</f>
        <v>0.5</v>
      </c>
      <c r="AY122" s="38">
        <f>IF((ዕቁብ!AZ124/ቦኖ!$C$4&gt;0),(1/2),0)</f>
        <v>0.5</v>
      </c>
      <c r="AZ122" s="38">
        <f>IF((ዕቁብ!BA124/ቦኖ!$C$4&gt;0),(1/2),0)</f>
        <v>0.5</v>
      </c>
      <c r="BA122" s="38">
        <f>IF((ዕቁብ!BB124/ቦኖ!$C$4&gt;0),(1/2),0)</f>
        <v>0.5</v>
      </c>
      <c r="BB122" s="38">
        <f>IF((ዕቁብ!BC124/ቦኖ!$C$4&gt;0),(1/2),0)</f>
        <v>0.5</v>
      </c>
      <c r="BC122" s="38">
        <f>IF((ዕቁብ!BD124/ቦኖ!$C$4&gt;0),(1/2),0)</f>
        <v>0.5</v>
      </c>
      <c r="BD122" s="38">
        <f>IF((ዕቁብ!BE124/ቦኖ!$C$4&gt;0),(1/2),0)</f>
        <v>0.5</v>
      </c>
      <c r="BE122" s="38">
        <f>IF((ዕቁብ!BF124/ቦኖ!$C$4&gt;0),(1/2),0)</f>
        <v>0.5</v>
      </c>
      <c r="BF122" s="38">
        <f>IF((ዕቁብ!BG124/ቦኖ!$C$4&gt;0),(1/2),0)</f>
        <v>0.5</v>
      </c>
      <c r="BG122" s="38">
        <f>IF((ዕቁብ!BH124/ቦኖ!$C$4&gt;0),(1/2),0)</f>
        <v>0.5</v>
      </c>
      <c r="BH122" s="38">
        <f>IF((ዕቁብ!BI124/ቦኖ!$C$4&gt;0),(1/2),0)</f>
        <v>0.5</v>
      </c>
      <c r="BI122" s="38">
        <f>IF((ዕቁብ!BJ124/ቦኖ!$C$4&gt;0),(1/2),0)</f>
        <v>0</v>
      </c>
      <c r="BJ122" s="38">
        <f>IF((ዕቁብ!BK124/ቦኖ!$C$4&gt;0),(1/2),0)</f>
        <v>0.5</v>
      </c>
      <c r="BK122" s="38">
        <f>IF((ዕቁብ!BL124/ቦኖ!$C$4&gt;0),(1/2),0)</f>
        <v>0</v>
      </c>
      <c r="BL122" s="38">
        <f>IF((ዕቁብ!BM124/ቦኖ!$C$4&gt;0),(1/2),0)</f>
        <v>0.5</v>
      </c>
      <c r="BM122" s="38">
        <f>IF((ዕቁብ!BN124/ቦኖ!$C$4&gt;0),(1/2),0)</f>
        <v>0.5</v>
      </c>
      <c r="BN122" s="38">
        <f>IF((ዕቁብ!BO124/ቦኖ!$C$4&gt;0),(1/2),0)</f>
        <v>0.5</v>
      </c>
      <c r="BO122" s="38">
        <f>IF((ዕቁብ!BP124/ቦኖ!$C$4&gt;0),(1/2),0)</f>
        <v>0</v>
      </c>
      <c r="BP122" s="38">
        <f>IF((ዕቁብ!BQ124/ቦኖ!$C$4&gt;0),(1/2),0)</f>
        <v>0.5</v>
      </c>
      <c r="BQ122" s="38">
        <f>IF((ዕቁብ!BR124/ቦኖ!$C$4&gt;0),(1/2),0)</f>
        <v>0.5</v>
      </c>
      <c r="BR122" s="38">
        <f>IF((ዕቁብ!BS124/ቦኖ!$C$4&gt;0),(1/2),0)</f>
        <v>0.5</v>
      </c>
      <c r="BS122" s="38">
        <f>IF((ዕቁብ!BT124/ቦኖ!$C$4&gt;0),(1/2),0)</f>
        <v>0</v>
      </c>
      <c r="BT122" s="38">
        <f>IF((ዕቁብ!BU124/ቦኖ!$C$4&gt;0),(1/2),0)</f>
        <v>0.5</v>
      </c>
      <c r="BU122" s="38">
        <f>IF((ዕቁብ!BV124/ቦኖ!$C$4&gt;0),(1/2),0)</f>
        <v>0.5</v>
      </c>
      <c r="BV122" s="38">
        <f>IF((ዕቁብ!BW124/ቦኖ!$C$4&gt;0),(1/2),0)</f>
        <v>0.5</v>
      </c>
      <c r="BW122" s="38">
        <f>IF((ዕቁብ!BX124/ቦኖ!$C$4&gt;0),(1/2),0)</f>
        <v>0</v>
      </c>
      <c r="BX122" s="38">
        <f>IF((ዕቁብ!BY124/ቦኖ!$C$4&gt;0),(1/2),0)</f>
        <v>0.5</v>
      </c>
      <c r="BY122" s="38">
        <f>IF((ዕቁብ!BZ124/ቦኖ!$C$4&gt;0),(1/2),0)</f>
        <v>0.5</v>
      </c>
      <c r="BZ122" s="38">
        <f>IF((ዕቁብ!CA124/ቦኖ!$C$4&gt;0),(1/2),0)</f>
        <v>0</v>
      </c>
      <c r="CA122" s="38">
        <f>IF((ዕቁብ!CB124/ቦኖ!$C$4&gt;0),(1/2),0)</f>
        <v>0.5</v>
      </c>
      <c r="CB122" s="38">
        <f>IF((ዕቁብ!CC124/ቦኖ!$C$4&gt;0),(1/2),0)</f>
        <v>0.5</v>
      </c>
      <c r="CC122" s="38">
        <f>IF((ዕቁብ!CD124/ቦኖ!$C$4&gt;0),(1/2),0)</f>
        <v>0.5</v>
      </c>
      <c r="CD122" s="38">
        <f>IF((ዕቁብ!CE124/ቦኖ!$C$4&gt;0),(1/2),0)</f>
        <v>0</v>
      </c>
      <c r="CE122" s="38">
        <f>IF((ዕቁብ!CF124/ቦኖ!$C$4&gt;0),(1/2),0)</f>
        <v>0.5</v>
      </c>
      <c r="CF122" s="38">
        <f>IF((ዕቁብ!CG124/ቦኖ!$C$4&gt;0),(1/2),0)</f>
        <v>0.5</v>
      </c>
      <c r="CG122" s="38">
        <f>IF((ዕቁብ!CH124/ቦኖ!$C$4&gt;0),(1/2),0)</f>
        <v>0.5</v>
      </c>
      <c r="CH122" s="38">
        <f>IF((ዕቁብ!CI124/ቦኖ!$C$4&gt;0),(1/2),0)</f>
        <v>0.5</v>
      </c>
      <c r="CI122" s="38">
        <f>IF((ዕቁብ!CJ124/ቦኖ!$C$4&gt;0),(1/2),0)</f>
        <v>0</v>
      </c>
      <c r="CJ122" s="38">
        <f>IF((ዕቁብ!CK124/ቦኖ!$C$4&gt;0),(1/2),0)</f>
        <v>0.5</v>
      </c>
      <c r="CK122" s="38">
        <f>IF((ዕቁብ!CL124/ቦኖ!$C$4&gt;0),(1/2),0)</f>
        <v>0.5</v>
      </c>
      <c r="CL122" s="38">
        <f>IF((ዕቁብ!CM124/ቦኖ!$C$4&gt;0),(1/2),0)</f>
        <v>0.5</v>
      </c>
      <c r="CM122" s="38">
        <f>IF((ዕቁብ!CN124/ቦኖ!$C$4&gt;0),(1/2),0)</f>
        <v>0</v>
      </c>
      <c r="CN122" s="38">
        <f>IF((ዕቁብ!CO124/ቦኖ!$C$4&gt;0),(1/2),0)</f>
        <v>0.5</v>
      </c>
      <c r="CO122" s="38">
        <f>IF((ዕቁብ!CP124/ቦኖ!$C$4&gt;0),(1/2),0)</f>
        <v>0.5</v>
      </c>
      <c r="CP122" s="38">
        <f>IF((ዕቁብ!CQ124/ቦኖ!$C$4&gt;0),(1/2),0)</f>
        <v>0.5</v>
      </c>
      <c r="CQ122" s="38">
        <f>IF((ዕቁብ!CR124/ቦኖ!$C$4&gt;0),(1/2),0)</f>
        <v>0.5</v>
      </c>
      <c r="CR122" s="38">
        <f>IF((ዕቁብ!CS124/ቦኖ!$C$4&gt;0),(1/2),0)</f>
        <v>0</v>
      </c>
      <c r="CS122" s="38">
        <f>IF((ዕቁብ!CT124/ቦኖ!$C$4&gt;0),(1/2),0)</f>
        <v>0.5</v>
      </c>
      <c r="CT122" s="38">
        <f>IF((ዕቁብ!CU124/ቦኖ!$C$4&gt;0),(1/2),0)</f>
        <v>0</v>
      </c>
      <c r="CU122" s="38">
        <f>IF((ዕቁብ!CV124/ቦኖ!$C$4&gt;0),(1/2),0)</f>
        <v>0.5</v>
      </c>
      <c r="CV122" s="38">
        <f>IF((ዕቁብ!CW124/ቦኖ!$C$4&gt;0),(1/2),0)</f>
        <v>0.5</v>
      </c>
      <c r="CW122" s="38">
        <f>IF((ዕቁብ!CX124/ቦኖ!$C$4&gt;0),(1/2),0)</f>
        <v>0</v>
      </c>
      <c r="CX122" s="38">
        <f>IF((ዕቁብ!CY124/ቦኖ!$C$4&gt;0),(1/2),0)</f>
        <v>0.5</v>
      </c>
      <c r="CY122" s="38">
        <f>IF((ዕቁብ!CZ124/ቦኖ!$C$4&gt;0),(1/2),0)</f>
        <v>0.5</v>
      </c>
      <c r="CZ122" s="38">
        <f>IF((ዕቁብ!DA124/ቦኖ!$C$4&gt;0),(1/2),0)</f>
        <v>0</v>
      </c>
      <c r="DA122" s="38">
        <f>IF((ዕቁብ!DB124/ቦኖ!$C$4&gt;0),(1/2),0)</f>
        <v>0.5</v>
      </c>
      <c r="DB122" s="38">
        <f>IF((ዕቁብ!DC124/ቦኖ!$C$4&gt;0),(1/2),0)</f>
        <v>0</v>
      </c>
      <c r="DC122" s="38">
        <f>IF((ዕቁብ!DD124/ቦኖ!$C$4&gt;0),(1/2),0)</f>
        <v>0.5</v>
      </c>
      <c r="DD122" s="38">
        <f>IF((ዕቁብ!DE124/ቦኖ!$C$4&gt;0),(1/2),0)</f>
        <v>0</v>
      </c>
      <c r="DE122" s="38">
        <f>IF((ዕቁብ!DF124/ቦኖ!$C$4&gt;0),(1/2),0)</f>
        <v>0.5</v>
      </c>
      <c r="DF122" s="38">
        <f>IF((ዕቁብ!DG124/ቦኖ!$C$4&gt;0),(1/2),0)</f>
        <v>0</v>
      </c>
      <c r="DG122" s="38">
        <f>IF((ዕቁብ!DH124/ቦኖ!$C$4&gt;0),(1/2),0)</f>
        <v>0.5</v>
      </c>
      <c r="DH122" s="38">
        <f>IF((ዕቁብ!DI124/ቦኖ!$C$4&gt;0),(1/2),0)</f>
        <v>0</v>
      </c>
      <c r="DI122" s="38">
        <f>IF((ዕቁብ!DJ124/ቦኖ!$C$4&gt;0),(1/2),0)</f>
        <v>0</v>
      </c>
      <c r="DJ122" s="38">
        <f>IF((ዕቁብ!DK124/ቦኖ!$C$4&gt;0),(1/2),0)</f>
        <v>0</v>
      </c>
      <c r="DK122" s="38">
        <f>IF((ዕቁብ!DL124/ቦኖ!$C$4&gt;0),(1/2),0)</f>
        <v>0</v>
      </c>
      <c r="DL122" s="38">
        <f>IF((ዕቁብ!DM124/ቦኖ!$C$4&gt;0),(1/2),0)</f>
        <v>0</v>
      </c>
      <c r="DM122" s="38">
        <f>IF((ዕቁብ!DN124/ቦኖ!$C$4&gt;0),(1/2),0)</f>
        <v>0</v>
      </c>
      <c r="DN122" s="38">
        <f>IF((ዕቁብ!DO124/ቦኖ!$C$4&gt;0),(1/2),0)</f>
        <v>0</v>
      </c>
      <c r="DO122" s="38">
        <f>IF((ዕቁብ!DP124/ቦኖ!$C$4&gt;0),(1/2),0)</f>
        <v>0</v>
      </c>
      <c r="DP122" s="38">
        <f>IF((ዕቁብ!DQ124/ቦኖ!$C$4&gt;0),(1/2),0)</f>
        <v>0</v>
      </c>
      <c r="DQ122" s="38">
        <f>IF((ዕቁብ!DR124/ቦኖ!$C$4&gt;0),(1/2),0)</f>
        <v>0</v>
      </c>
    </row>
    <row r="123" spans="1:121" ht="15.75" customHeight="1" x14ac:dyDescent="0.3">
      <c r="A123" s="33">
        <f>ዕቁብ!A125</f>
        <v>107</v>
      </c>
      <c r="B123" s="33" t="str">
        <f>ዕቁብ!B125</f>
        <v xml:space="preserve">ፀጋዩ ጀምበሬ </v>
      </c>
      <c r="C123" s="37">
        <f>ዕቁብ!C125</f>
        <v>10500</v>
      </c>
      <c r="D123" s="38">
        <f>IF((ዕቁብ!E125/ቦኖ!$C$4&gt;0),(1/2),0)</f>
        <v>0.5</v>
      </c>
      <c r="E123" s="38">
        <f>IF((ዕቁብ!F125/ቦኖ!$C$4&gt;0),(1/2),0)</f>
        <v>0.5</v>
      </c>
      <c r="F123" s="38">
        <f>IF((ዕቁብ!G125/ቦኖ!$C$4&gt;0),(1/2),0)</f>
        <v>0.5</v>
      </c>
      <c r="G123" s="38">
        <f>IF((ዕቁብ!H125/ቦኖ!$C$4&gt;0),(1/2),0)</f>
        <v>0.5</v>
      </c>
      <c r="H123" s="38">
        <f>IF((ዕቁብ!I125/ቦኖ!$C$4&gt;0),(1/2),0)</f>
        <v>0.5</v>
      </c>
      <c r="I123" s="38">
        <f>IF((ዕቁብ!J125/ቦኖ!$C$4&gt;0),(1/2),0)</f>
        <v>0.5</v>
      </c>
      <c r="J123" s="38">
        <f>IF((ዕቁብ!K125/ቦኖ!$C$4&gt;0),(1/2),0)</f>
        <v>0.5</v>
      </c>
      <c r="K123" s="38">
        <f>IF((ዕቁብ!L125/ቦኖ!$C$4&gt;0),(1/2),0)</f>
        <v>0.5</v>
      </c>
      <c r="L123" s="38">
        <f>IF((ዕቁብ!M125/ቦኖ!$C$4&gt;0),(1/2),0)</f>
        <v>0.5</v>
      </c>
      <c r="M123" s="38">
        <f>IF((ዕቁብ!N125/ቦኖ!$C$4&gt;0),(1/2),0)</f>
        <v>0.5</v>
      </c>
      <c r="N123" s="38">
        <f>IF((ዕቁብ!O125/ቦኖ!$C$4&gt;0),(1/2),0)</f>
        <v>0.5</v>
      </c>
      <c r="O123" s="38">
        <f>IF((ዕቁብ!P125/ቦኖ!$C$4&gt;0),(1/2),0)</f>
        <v>0.5</v>
      </c>
      <c r="P123" s="38">
        <f>IF((ዕቁብ!Q125/ቦኖ!$C$4&gt;0),(1/2),0)</f>
        <v>0.5</v>
      </c>
      <c r="Q123" s="38">
        <f>IF((ዕቁብ!R125/ቦኖ!$C$4&gt;0),(1/2),0)</f>
        <v>0.5</v>
      </c>
      <c r="R123" s="38">
        <f>IF((ዕቁብ!S125/ቦኖ!$C$4&gt;0),(1/2),0)</f>
        <v>0.5</v>
      </c>
      <c r="S123" s="38">
        <f>IF((ዕቁብ!T125/ቦኖ!$C$4&gt;0),(1/2),0)</f>
        <v>0.5</v>
      </c>
      <c r="T123" s="38">
        <f>IF((ዕቁብ!U125/ቦኖ!$C$4&gt;0),(1/2),0)</f>
        <v>0.5</v>
      </c>
      <c r="U123" s="38">
        <f>IF((ዕቁብ!V125/ቦኖ!$C$4&gt;0),(1/2),0)</f>
        <v>0.5</v>
      </c>
      <c r="V123" s="38">
        <f>IF((ዕቁብ!W125/ቦኖ!$C$4&gt;0),(1/2),0)</f>
        <v>0.5</v>
      </c>
      <c r="W123" s="38">
        <f>IF((ዕቁብ!X125/ቦኖ!$C$4&gt;0),(1/2),0)</f>
        <v>0.5</v>
      </c>
      <c r="X123" s="38">
        <f>IF((ዕቁብ!Y125/ቦኖ!$C$4&gt;0),(1/2),0)</f>
        <v>0.5</v>
      </c>
      <c r="Y123" s="38">
        <f>IF((ዕቁብ!Z125/ቦኖ!$C$4&gt;0),(1/2),0)</f>
        <v>0.5</v>
      </c>
      <c r="Z123" s="38">
        <f>IF((ዕቁብ!AA125/ቦኖ!$C$4&gt;0),(1/2),0)</f>
        <v>0.5</v>
      </c>
      <c r="AA123" s="38">
        <f>IF((ዕቁብ!AB125/ቦኖ!$C$4&gt;0),(1/2),0)</f>
        <v>0.5</v>
      </c>
      <c r="AB123" s="38">
        <f>IF((ዕቁብ!AC125/ቦኖ!$C$4&gt;0),(1/2),0)</f>
        <v>0.5</v>
      </c>
      <c r="AC123" s="38">
        <f>IF((ዕቁብ!AD125/ቦኖ!$C$4&gt;0),(1/2),0)</f>
        <v>0.5</v>
      </c>
      <c r="AD123" s="38">
        <f>IF((ዕቁብ!AE125/ቦኖ!$C$4&gt;0),(1/2),0)</f>
        <v>0.5</v>
      </c>
      <c r="AE123" s="38">
        <f>IF((ዕቁብ!AF125/ቦኖ!$C$4&gt;0),(1/2),0)</f>
        <v>0.5</v>
      </c>
      <c r="AF123" s="38">
        <f>IF((ዕቁብ!AG125/ቦኖ!$C$4&gt;0),(1/2),0)</f>
        <v>0.5</v>
      </c>
      <c r="AG123" s="38">
        <f>IF((ዕቁብ!AH125/ቦኖ!$C$4&gt;0),(1/2),0)</f>
        <v>0.5</v>
      </c>
      <c r="AH123" s="38">
        <f>IF((ዕቁብ!AI125/ቦኖ!$C$4&gt;0),(1/2),0)</f>
        <v>0.5</v>
      </c>
      <c r="AI123" s="38">
        <f>IF((ዕቁብ!AJ125/ቦኖ!$C$4&gt;0),(1/2),0)</f>
        <v>0.5</v>
      </c>
      <c r="AJ123" s="38">
        <f>IF((ዕቁብ!AK125/ቦኖ!$C$4&gt;0),(1/2),0)</f>
        <v>0.5</v>
      </c>
      <c r="AK123" s="38">
        <f>IF((ዕቁብ!AL125/ቦኖ!$C$4&gt;0),(1/2),0)</f>
        <v>0.5</v>
      </c>
      <c r="AL123" s="38">
        <f>IF((ዕቁብ!AM125/ቦኖ!$C$4&gt;0),(1/2),0)</f>
        <v>0</v>
      </c>
      <c r="AM123" s="38">
        <f>IF((ዕቁብ!AN125/ቦኖ!$C$4&gt;0),(1/2),0)</f>
        <v>0.5</v>
      </c>
      <c r="AN123" s="38">
        <f>IF((ዕቁብ!AO125/ቦኖ!$C$4&gt;0),(1/2),0)</f>
        <v>0.5</v>
      </c>
      <c r="AO123" s="38">
        <f>IF((ዕቁብ!AP125/ቦኖ!$C$4&gt;0),(1/2),0)</f>
        <v>0.5</v>
      </c>
      <c r="AP123" s="38">
        <f>IF((ዕቁብ!AQ125/ቦኖ!$C$4&gt;0),(1/2),0)</f>
        <v>0.5</v>
      </c>
      <c r="AQ123" s="38">
        <f>IF((ዕቁብ!AR125/ቦኖ!$C$4&gt;0),(1/2),0)</f>
        <v>0.5</v>
      </c>
      <c r="AR123" s="38">
        <f>IF((ዕቁብ!AS125/ቦኖ!$C$4&gt;0),(1/2),0)</f>
        <v>0</v>
      </c>
      <c r="AS123" s="38">
        <f>IF((ዕቁብ!AT125/ቦኖ!$C$4&gt;0),(1/2),0)</f>
        <v>0.5</v>
      </c>
      <c r="AT123" s="38">
        <f>IF((ዕቁብ!AU125/ቦኖ!$C$4&gt;0),(1/2),0)</f>
        <v>0.5</v>
      </c>
      <c r="AU123" s="38">
        <f>IF((ዕቁብ!AV125/ቦኖ!$C$4&gt;0),(1/2),0)</f>
        <v>0.5</v>
      </c>
      <c r="AV123" s="38">
        <f>IF((ዕቁብ!AW125/ቦኖ!$C$4&gt;0),(1/2),0)</f>
        <v>0.5</v>
      </c>
      <c r="AW123" s="38">
        <f>IF((ዕቁብ!AX125/ቦኖ!$C$4&gt;0),(1/2),0)</f>
        <v>0.5</v>
      </c>
      <c r="AX123" s="38">
        <f>IF((ዕቁብ!AY125/ቦኖ!$C$4&gt;0),(1/2),0)</f>
        <v>0.5</v>
      </c>
      <c r="AY123" s="38">
        <f>IF((ዕቁብ!AZ125/ቦኖ!$C$4&gt;0),(1/2),0)</f>
        <v>0.5</v>
      </c>
      <c r="AZ123" s="38">
        <f>IF((ዕቁብ!BA125/ቦኖ!$C$4&gt;0),(1/2),0)</f>
        <v>0.5</v>
      </c>
      <c r="BA123" s="38">
        <f>IF((ዕቁብ!BB125/ቦኖ!$C$4&gt;0),(1/2),0)</f>
        <v>0.5</v>
      </c>
      <c r="BB123" s="38">
        <f>IF((ዕቁብ!BC125/ቦኖ!$C$4&gt;0),(1/2),0)</f>
        <v>0.5</v>
      </c>
      <c r="BC123" s="38">
        <f>IF((ዕቁብ!BD125/ቦኖ!$C$4&gt;0),(1/2),0)</f>
        <v>0.5</v>
      </c>
      <c r="BD123" s="38">
        <f>IF((ዕቁብ!BE125/ቦኖ!$C$4&gt;0),(1/2),0)</f>
        <v>0.5</v>
      </c>
      <c r="BE123" s="38">
        <f>IF((ዕቁብ!BF125/ቦኖ!$C$4&gt;0),(1/2),0)</f>
        <v>0.5</v>
      </c>
      <c r="BF123" s="38">
        <f>IF((ዕቁብ!BG125/ቦኖ!$C$4&gt;0),(1/2),0)</f>
        <v>0.5</v>
      </c>
      <c r="BG123" s="38">
        <f>IF((ዕቁብ!BH125/ቦኖ!$C$4&gt;0),(1/2),0)</f>
        <v>0.5</v>
      </c>
      <c r="BH123" s="38">
        <f>IF((ዕቁብ!BI125/ቦኖ!$C$4&gt;0),(1/2),0)</f>
        <v>0.5</v>
      </c>
      <c r="BI123" s="38">
        <f>IF((ዕቁብ!BJ125/ቦኖ!$C$4&gt;0),(1/2),0)</f>
        <v>0.5</v>
      </c>
      <c r="BJ123" s="38">
        <f>IF((ዕቁብ!BK125/ቦኖ!$C$4&gt;0),(1/2),0)</f>
        <v>0.5</v>
      </c>
      <c r="BK123" s="38">
        <f>IF((ዕቁብ!BL125/ቦኖ!$C$4&gt;0),(1/2),0)</f>
        <v>0.5</v>
      </c>
      <c r="BL123" s="38">
        <f>IF((ዕቁብ!BM125/ቦኖ!$C$4&gt;0),(1/2),0)</f>
        <v>0.5</v>
      </c>
      <c r="BM123" s="38">
        <f>IF((ዕቁብ!BN125/ቦኖ!$C$4&gt;0),(1/2),0)</f>
        <v>0.5</v>
      </c>
      <c r="BN123" s="38">
        <f>IF((ዕቁብ!BO125/ቦኖ!$C$4&gt;0),(1/2),0)</f>
        <v>0.5</v>
      </c>
      <c r="BO123" s="38">
        <f>IF((ዕቁብ!BP125/ቦኖ!$C$4&gt;0),(1/2),0)</f>
        <v>0.5</v>
      </c>
      <c r="BP123" s="38">
        <f>IF((ዕቁብ!BQ125/ቦኖ!$C$4&gt;0),(1/2),0)</f>
        <v>0.5</v>
      </c>
      <c r="BQ123" s="38">
        <f>IF((ዕቁብ!BR125/ቦኖ!$C$4&gt;0),(1/2),0)</f>
        <v>0.5</v>
      </c>
      <c r="BR123" s="38">
        <f>IF((ዕቁብ!BS125/ቦኖ!$C$4&gt;0),(1/2),0)</f>
        <v>0.5</v>
      </c>
      <c r="BS123" s="38">
        <f>IF((ዕቁብ!BT125/ቦኖ!$C$4&gt;0),(1/2),0)</f>
        <v>0</v>
      </c>
      <c r="BT123" s="38">
        <f>IF((ዕቁብ!BU125/ቦኖ!$C$4&gt;0),(1/2),0)</f>
        <v>0.5</v>
      </c>
      <c r="BU123" s="38">
        <f>IF((ዕቁብ!BV125/ቦኖ!$C$4&gt;0),(1/2),0)</f>
        <v>0.5</v>
      </c>
      <c r="BV123" s="38">
        <f>IF((ዕቁብ!BW125/ቦኖ!$C$4&gt;0),(1/2),0)</f>
        <v>0.5</v>
      </c>
      <c r="BW123" s="38">
        <f>IF((ዕቁብ!BX125/ቦኖ!$C$4&gt;0),(1/2),0)</f>
        <v>0.5</v>
      </c>
      <c r="BX123" s="38">
        <f>IF((ዕቁብ!BY125/ቦኖ!$C$4&gt;0),(1/2),0)</f>
        <v>0.5</v>
      </c>
      <c r="BY123" s="38">
        <f>IF((ዕቁብ!BZ125/ቦኖ!$C$4&gt;0),(1/2),0)</f>
        <v>0.5</v>
      </c>
      <c r="BZ123" s="38">
        <f>IF((ዕቁብ!CA125/ቦኖ!$C$4&gt;0),(1/2),0)</f>
        <v>0.5</v>
      </c>
      <c r="CA123" s="38">
        <f>IF((ዕቁብ!CB125/ቦኖ!$C$4&gt;0),(1/2),0)</f>
        <v>0.5</v>
      </c>
      <c r="CB123" s="38">
        <f>IF((ዕቁብ!CC125/ቦኖ!$C$4&gt;0),(1/2),0)</f>
        <v>0.5</v>
      </c>
      <c r="CC123" s="38">
        <f>IF((ዕቁብ!CD125/ቦኖ!$C$4&gt;0),(1/2),0)</f>
        <v>0.5</v>
      </c>
      <c r="CD123" s="38">
        <f>IF((ዕቁብ!CE125/ቦኖ!$C$4&gt;0),(1/2),0)</f>
        <v>0.5</v>
      </c>
      <c r="CE123" s="38">
        <f>IF((ዕቁብ!CF125/ቦኖ!$C$4&gt;0),(1/2),0)</f>
        <v>0.5</v>
      </c>
      <c r="CF123" s="38">
        <f>IF((ዕቁብ!CG125/ቦኖ!$C$4&gt;0),(1/2),0)</f>
        <v>0.5</v>
      </c>
      <c r="CG123" s="38">
        <f>IF((ዕቁብ!CH125/ቦኖ!$C$4&gt;0),(1/2),0)</f>
        <v>0.5</v>
      </c>
      <c r="CH123" s="38">
        <f>IF((ዕቁብ!CI125/ቦኖ!$C$4&gt;0),(1/2),0)</f>
        <v>0.5</v>
      </c>
      <c r="CI123" s="38">
        <f>IF((ዕቁብ!CJ125/ቦኖ!$C$4&gt;0),(1/2),0)</f>
        <v>0.5</v>
      </c>
      <c r="CJ123" s="38">
        <f>IF((ዕቁብ!CK125/ቦኖ!$C$4&gt;0),(1/2),0)</f>
        <v>0.5</v>
      </c>
      <c r="CK123" s="38">
        <f>IF((ዕቁብ!CL125/ቦኖ!$C$4&gt;0),(1/2),0)</f>
        <v>0.5</v>
      </c>
      <c r="CL123" s="38">
        <f>IF((ዕቁብ!CM125/ቦኖ!$C$4&gt;0),(1/2),0)</f>
        <v>0</v>
      </c>
      <c r="CM123" s="38">
        <f>IF((ዕቁብ!CN125/ቦኖ!$C$4&gt;0),(1/2),0)</f>
        <v>0.5</v>
      </c>
      <c r="CN123" s="38">
        <f>IF((ዕቁብ!CO125/ቦኖ!$C$4&gt;0),(1/2),0)</f>
        <v>0.5</v>
      </c>
      <c r="CO123" s="38">
        <f>IF((ዕቁብ!CP125/ቦኖ!$C$4&gt;0),(1/2),0)</f>
        <v>0.5</v>
      </c>
      <c r="CP123" s="38">
        <f>IF((ዕቁብ!CQ125/ቦኖ!$C$4&gt;0),(1/2),0)</f>
        <v>0.5</v>
      </c>
      <c r="CQ123" s="38">
        <f>IF((ዕቁብ!CR125/ቦኖ!$C$4&gt;0),(1/2),0)</f>
        <v>0</v>
      </c>
      <c r="CR123" s="38">
        <f>IF((ዕቁብ!CS125/ቦኖ!$C$4&gt;0),(1/2),0)</f>
        <v>0.5</v>
      </c>
      <c r="CS123" s="38">
        <f>IF((ዕቁብ!CT125/ቦኖ!$C$4&gt;0),(1/2),0)</f>
        <v>0.5</v>
      </c>
      <c r="CT123" s="38">
        <f>IF((ዕቁብ!CU125/ቦኖ!$C$4&gt;0),(1/2),0)</f>
        <v>0.5</v>
      </c>
      <c r="CU123" s="38">
        <f>IF((ዕቁብ!CV125/ቦኖ!$C$4&gt;0),(1/2),0)</f>
        <v>0.5</v>
      </c>
      <c r="CV123" s="38">
        <f>IF((ዕቁብ!CW125/ቦኖ!$C$4&gt;0),(1/2),0)</f>
        <v>0.5</v>
      </c>
      <c r="CW123" s="38">
        <f>IF((ዕቁብ!CX125/ቦኖ!$C$4&gt;0),(1/2),0)</f>
        <v>0.5</v>
      </c>
      <c r="CX123" s="38">
        <f>IF((ዕቁብ!CY125/ቦኖ!$C$4&gt;0),(1/2),0)</f>
        <v>0.5</v>
      </c>
      <c r="CY123" s="38">
        <f>IF((ዕቁብ!CZ125/ቦኖ!$C$4&gt;0),(1/2),0)</f>
        <v>0</v>
      </c>
      <c r="CZ123" s="38">
        <f>IF((ዕቁብ!DA125/ቦኖ!$C$4&gt;0),(1/2),0)</f>
        <v>0.5</v>
      </c>
      <c r="DA123" s="38">
        <f>IF((ዕቁብ!DB125/ቦኖ!$C$4&gt;0),(1/2),0)</f>
        <v>0.5</v>
      </c>
      <c r="DB123" s="38">
        <f>IF((ዕቁብ!DC125/ቦኖ!$C$4&gt;0),(1/2),0)</f>
        <v>0</v>
      </c>
      <c r="DC123" s="38">
        <f>IF((ዕቁብ!DD125/ቦኖ!$C$4&gt;0),(1/2),0)</f>
        <v>0</v>
      </c>
      <c r="DD123" s="38">
        <f>IF((ዕቁብ!DE125/ቦኖ!$C$4&gt;0),(1/2),0)</f>
        <v>0</v>
      </c>
      <c r="DE123" s="38">
        <f>IF((ዕቁብ!DF125/ቦኖ!$C$4&gt;0),(1/2),0)</f>
        <v>0</v>
      </c>
      <c r="DF123" s="38">
        <f>IF((ዕቁብ!DG125/ቦኖ!$C$4&gt;0),(1/2),0)</f>
        <v>0.5</v>
      </c>
      <c r="DG123" s="38">
        <f>IF((ዕቁብ!DH125/ቦኖ!$C$4&gt;0),(1/2),0)</f>
        <v>0</v>
      </c>
      <c r="DH123" s="38">
        <f>IF((ዕቁብ!DI125/ቦኖ!$C$4&gt;0),(1/2),0)</f>
        <v>0</v>
      </c>
      <c r="DI123" s="38">
        <f>IF((ዕቁብ!DJ125/ቦኖ!$C$4&gt;0),(1/2),0)</f>
        <v>0</v>
      </c>
      <c r="DJ123" s="38">
        <f>IF((ዕቁብ!DK125/ቦኖ!$C$4&gt;0),(1/2),0)</f>
        <v>0</v>
      </c>
      <c r="DK123" s="38">
        <f>IF((ዕቁብ!DL125/ቦኖ!$C$4&gt;0),(1/2),0)</f>
        <v>0</v>
      </c>
      <c r="DL123" s="38">
        <f>IF((ዕቁብ!DM125/ቦኖ!$C$4&gt;0),(1/2),0)</f>
        <v>0</v>
      </c>
      <c r="DM123" s="38">
        <f>IF((ዕቁብ!DN125/ቦኖ!$C$4&gt;0),(1/2),0)</f>
        <v>0</v>
      </c>
      <c r="DN123" s="38">
        <f>IF((ዕቁብ!DO125/ቦኖ!$C$4&gt;0),(1/2),0)</f>
        <v>0</v>
      </c>
      <c r="DO123" s="38">
        <f>IF((ዕቁብ!DP125/ቦኖ!$C$4&gt;0),(1/2),0)</f>
        <v>0</v>
      </c>
      <c r="DP123" s="38">
        <f>IF((ዕቁብ!DQ125/ቦኖ!$C$4&gt;0),(1/2),0)</f>
        <v>0</v>
      </c>
      <c r="DQ123" s="38">
        <f>IF((ዕቁብ!DR125/ቦኖ!$C$4&gt;0),(1/2),0)</f>
        <v>0</v>
      </c>
    </row>
    <row r="124" spans="1:121" ht="15.75" customHeight="1" x14ac:dyDescent="0.3">
      <c r="A124" s="33">
        <f>ዕቁብ!A126</f>
        <v>107</v>
      </c>
      <c r="B124" s="33" t="str">
        <f>ዕቁብ!B126</f>
        <v>አለማየሁ ዳንኤል</v>
      </c>
      <c r="C124" s="37">
        <f>ዕቁብ!C126</f>
        <v>10500</v>
      </c>
      <c r="D124" s="38">
        <f>IF((ዕቁብ!E126/ቦኖ!$C$4&gt;0),(1/2),0)</f>
        <v>0.5</v>
      </c>
      <c r="E124" s="38">
        <f>IF((ዕቁብ!F126/ቦኖ!$C$4&gt;0),(1/2),0)</f>
        <v>0.5</v>
      </c>
      <c r="F124" s="38">
        <f>IF((ዕቁብ!G126/ቦኖ!$C$4&gt;0),(1/2),0)</f>
        <v>0.5</v>
      </c>
      <c r="G124" s="38">
        <f>IF((ዕቁብ!H126/ቦኖ!$C$4&gt;0),(1/2),0)</f>
        <v>0.5</v>
      </c>
      <c r="H124" s="38">
        <f>IF((ዕቁብ!I126/ቦኖ!$C$4&gt;0),(1/2),0)</f>
        <v>0.5</v>
      </c>
      <c r="I124" s="38">
        <f>IF((ዕቁብ!J126/ቦኖ!$C$4&gt;0),(1/2),0)</f>
        <v>0.5</v>
      </c>
      <c r="J124" s="38">
        <f>IF((ዕቁብ!K126/ቦኖ!$C$4&gt;0),(1/2),0)</f>
        <v>0.5</v>
      </c>
      <c r="K124" s="38">
        <f>IF((ዕቁብ!L126/ቦኖ!$C$4&gt;0),(1/2),0)</f>
        <v>0.5</v>
      </c>
      <c r="L124" s="38">
        <f>IF((ዕቁብ!M126/ቦኖ!$C$4&gt;0),(1/2),0)</f>
        <v>0.5</v>
      </c>
      <c r="M124" s="38">
        <f>IF((ዕቁብ!N126/ቦኖ!$C$4&gt;0),(1/2),0)</f>
        <v>0.5</v>
      </c>
      <c r="N124" s="38">
        <f>IF((ዕቁብ!O126/ቦኖ!$C$4&gt;0),(1/2),0)</f>
        <v>0.5</v>
      </c>
      <c r="O124" s="38">
        <f>IF((ዕቁብ!P126/ቦኖ!$C$4&gt;0),(1/2),0)</f>
        <v>0.5</v>
      </c>
      <c r="P124" s="38">
        <f>IF((ዕቁብ!Q126/ቦኖ!$C$4&gt;0),(1/2),0)</f>
        <v>0.5</v>
      </c>
      <c r="Q124" s="38">
        <f>IF((ዕቁብ!R126/ቦኖ!$C$4&gt;0),(1/2),0)</f>
        <v>0.5</v>
      </c>
      <c r="R124" s="38">
        <f>IF((ዕቁብ!S126/ቦኖ!$C$4&gt;0),(1/2),0)</f>
        <v>0.5</v>
      </c>
      <c r="S124" s="38">
        <f>IF((ዕቁብ!T126/ቦኖ!$C$4&gt;0),(1/2),0)</f>
        <v>0.5</v>
      </c>
      <c r="T124" s="38">
        <f>IF((ዕቁብ!U126/ቦኖ!$C$4&gt;0),(1/2),0)</f>
        <v>0.5</v>
      </c>
      <c r="U124" s="38">
        <f>IF((ዕቁብ!V126/ቦኖ!$C$4&gt;0),(1/2),0)</f>
        <v>0.5</v>
      </c>
      <c r="V124" s="38">
        <f>IF((ዕቁብ!W126/ቦኖ!$C$4&gt;0),(1/2),0)</f>
        <v>0.5</v>
      </c>
      <c r="W124" s="38">
        <f>IF((ዕቁብ!X126/ቦኖ!$C$4&gt;0),(1/2),0)</f>
        <v>0.5</v>
      </c>
      <c r="X124" s="38">
        <f>IF((ዕቁብ!Y126/ቦኖ!$C$4&gt;0),(1/2),0)</f>
        <v>0.5</v>
      </c>
      <c r="Y124" s="38">
        <f>IF((ዕቁብ!Z126/ቦኖ!$C$4&gt;0),(1/2),0)</f>
        <v>0.5</v>
      </c>
      <c r="Z124" s="38">
        <f>IF((ዕቁብ!AA126/ቦኖ!$C$4&gt;0),(1/2),0)</f>
        <v>0.5</v>
      </c>
      <c r="AA124" s="38">
        <f>IF((ዕቁብ!AB126/ቦኖ!$C$4&gt;0),(1/2),0)</f>
        <v>0</v>
      </c>
      <c r="AB124" s="38">
        <f>IF((ዕቁብ!AC126/ቦኖ!$C$4&gt;0),(1/2),0)</f>
        <v>0.5</v>
      </c>
      <c r="AC124" s="38">
        <f>IF((ዕቁብ!AD126/ቦኖ!$C$4&gt;0),(1/2),0)</f>
        <v>0.5</v>
      </c>
      <c r="AD124" s="38">
        <f>IF((ዕቁብ!AE126/ቦኖ!$C$4&gt;0),(1/2),0)</f>
        <v>0.5</v>
      </c>
      <c r="AE124" s="38">
        <f>IF((ዕቁብ!AF126/ቦኖ!$C$4&gt;0),(1/2),0)</f>
        <v>0.5</v>
      </c>
      <c r="AF124" s="38">
        <f>IF((ዕቁብ!AG126/ቦኖ!$C$4&gt;0),(1/2),0)</f>
        <v>0.5</v>
      </c>
      <c r="AG124" s="38">
        <f>IF((ዕቁብ!AH126/ቦኖ!$C$4&gt;0),(1/2),0)</f>
        <v>0.5</v>
      </c>
      <c r="AH124" s="38">
        <f>IF((ዕቁብ!AI126/ቦኖ!$C$4&gt;0),(1/2),0)</f>
        <v>0.5</v>
      </c>
      <c r="AI124" s="38">
        <f>IF((ዕቁብ!AJ126/ቦኖ!$C$4&gt;0),(1/2),0)</f>
        <v>0</v>
      </c>
      <c r="AJ124" s="38">
        <f>IF((ዕቁብ!AK126/ቦኖ!$C$4&gt;0),(1/2),0)</f>
        <v>0.5</v>
      </c>
      <c r="AK124" s="38">
        <f>IF((ዕቁብ!AL126/ቦኖ!$C$4&gt;0),(1/2),0)</f>
        <v>0.5</v>
      </c>
      <c r="AL124" s="38">
        <f>IF((ዕቁብ!AM126/ቦኖ!$C$4&gt;0),(1/2),0)</f>
        <v>0.5</v>
      </c>
      <c r="AM124" s="38">
        <f>IF((ዕቁብ!AN126/ቦኖ!$C$4&gt;0),(1/2),0)</f>
        <v>0.5</v>
      </c>
      <c r="AN124" s="38">
        <f>IF((ዕቁብ!AO126/ቦኖ!$C$4&gt;0),(1/2),0)</f>
        <v>0.5</v>
      </c>
      <c r="AO124" s="38">
        <f>IF((ዕቁብ!AP126/ቦኖ!$C$4&gt;0),(1/2),0)</f>
        <v>0.5</v>
      </c>
      <c r="AP124" s="38">
        <f>IF((ዕቁብ!AQ126/ቦኖ!$C$4&gt;0),(1/2),0)</f>
        <v>0</v>
      </c>
      <c r="AQ124" s="38">
        <f>IF((ዕቁብ!AR126/ቦኖ!$C$4&gt;0),(1/2),0)</f>
        <v>0.5</v>
      </c>
      <c r="AR124" s="38">
        <f>IF((ዕቁብ!AS126/ቦኖ!$C$4&gt;0),(1/2),0)</f>
        <v>0.5</v>
      </c>
      <c r="AS124" s="38">
        <f>IF((ዕቁብ!AT126/ቦኖ!$C$4&gt;0),(1/2),0)</f>
        <v>0.5</v>
      </c>
      <c r="AT124" s="38">
        <f>IF((ዕቁብ!AU126/ቦኖ!$C$4&gt;0),(1/2),0)</f>
        <v>0.5</v>
      </c>
      <c r="AU124" s="38">
        <f>IF((ዕቁብ!AV126/ቦኖ!$C$4&gt;0),(1/2),0)</f>
        <v>0.5</v>
      </c>
      <c r="AV124" s="38">
        <f>IF((ዕቁብ!AW126/ቦኖ!$C$4&gt;0),(1/2),0)</f>
        <v>0.5</v>
      </c>
      <c r="AW124" s="38">
        <f>IF((ዕቁብ!AX126/ቦኖ!$C$4&gt;0),(1/2),0)</f>
        <v>0.5</v>
      </c>
      <c r="AX124" s="38">
        <f>IF((ዕቁብ!AY126/ቦኖ!$C$4&gt;0),(1/2),0)</f>
        <v>0</v>
      </c>
      <c r="AY124" s="38">
        <f>IF((ዕቁብ!AZ126/ቦኖ!$C$4&gt;0),(1/2),0)</f>
        <v>0.5</v>
      </c>
      <c r="AZ124" s="38">
        <f>IF((ዕቁብ!BA126/ቦኖ!$C$4&gt;0),(1/2),0)</f>
        <v>0.5</v>
      </c>
      <c r="BA124" s="38">
        <f>IF((ዕቁብ!BB126/ቦኖ!$C$4&gt;0),(1/2),0)</f>
        <v>0.5</v>
      </c>
      <c r="BB124" s="38">
        <f>IF((ዕቁብ!BC126/ቦኖ!$C$4&gt;0),(1/2),0)</f>
        <v>0.5</v>
      </c>
      <c r="BC124" s="38">
        <f>IF((ዕቁብ!BD126/ቦኖ!$C$4&gt;0),(1/2),0)</f>
        <v>0</v>
      </c>
      <c r="BD124" s="38">
        <f>IF((ዕቁብ!BE126/ቦኖ!$C$4&gt;0),(1/2),0)</f>
        <v>0.5</v>
      </c>
      <c r="BE124" s="38">
        <f>IF((ዕቁብ!BF126/ቦኖ!$C$4&gt;0),(1/2),0)</f>
        <v>0.5</v>
      </c>
      <c r="BF124" s="38">
        <f>IF((ዕቁብ!BG126/ቦኖ!$C$4&gt;0),(1/2),0)</f>
        <v>0.5</v>
      </c>
      <c r="BG124" s="38">
        <f>IF((ዕቁብ!BH126/ቦኖ!$C$4&gt;0),(1/2),0)</f>
        <v>0</v>
      </c>
      <c r="BH124" s="38">
        <f>IF((ዕቁብ!BI126/ቦኖ!$C$4&gt;0),(1/2),0)</f>
        <v>0.5</v>
      </c>
      <c r="BI124" s="38">
        <f>IF((ዕቁብ!BJ126/ቦኖ!$C$4&gt;0),(1/2),0)</f>
        <v>0.5</v>
      </c>
      <c r="BJ124" s="38">
        <f>IF((ዕቁብ!BK126/ቦኖ!$C$4&gt;0),(1/2),0)</f>
        <v>0.5</v>
      </c>
      <c r="BK124" s="38">
        <f>IF((ዕቁብ!BL126/ቦኖ!$C$4&gt;0),(1/2),0)</f>
        <v>0</v>
      </c>
      <c r="BL124" s="38">
        <f>IF((ዕቁብ!BM126/ቦኖ!$C$4&gt;0),(1/2),0)</f>
        <v>0.5</v>
      </c>
      <c r="BM124" s="38">
        <f>IF((ዕቁብ!BN126/ቦኖ!$C$4&gt;0),(1/2),0)</f>
        <v>0</v>
      </c>
      <c r="BN124" s="38">
        <f>IF((ዕቁብ!BO126/ቦኖ!$C$4&gt;0),(1/2),0)</f>
        <v>0.5</v>
      </c>
      <c r="BO124" s="38">
        <f>IF((ዕቁብ!BP126/ቦኖ!$C$4&gt;0),(1/2),0)</f>
        <v>0.5</v>
      </c>
      <c r="BP124" s="38">
        <f>IF((ዕቁብ!BQ126/ቦኖ!$C$4&gt;0),(1/2),0)</f>
        <v>0</v>
      </c>
      <c r="BQ124" s="38">
        <f>IF((ዕቁብ!BR126/ቦኖ!$C$4&gt;0),(1/2),0)</f>
        <v>0.5</v>
      </c>
      <c r="BR124" s="38">
        <f>IF((ዕቁብ!BS126/ቦኖ!$C$4&gt;0),(1/2),0)</f>
        <v>0.5</v>
      </c>
      <c r="BS124" s="38">
        <f>IF((ዕቁብ!BT126/ቦኖ!$C$4&gt;0),(1/2),0)</f>
        <v>0</v>
      </c>
      <c r="BT124" s="38">
        <f>IF((ዕቁብ!BU126/ቦኖ!$C$4&gt;0),(1/2),0)</f>
        <v>0.5</v>
      </c>
      <c r="BU124" s="38">
        <f>IF((ዕቁብ!BV126/ቦኖ!$C$4&gt;0),(1/2),0)</f>
        <v>0.5</v>
      </c>
      <c r="BV124" s="38">
        <f>IF((ዕቁብ!BW126/ቦኖ!$C$4&gt;0),(1/2),0)</f>
        <v>0.5</v>
      </c>
      <c r="BW124" s="38">
        <f>IF((ዕቁብ!BX126/ቦኖ!$C$4&gt;0),(1/2),0)</f>
        <v>0.5</v>
      </c>
      <c r="BX124" s="38">
        <f>IF((ዕቁብ!BY126/ቦኖ!$C$4&gt;0),(1/2),0)</f>
        <v>0</v>
      </c>
      <c r="BY124" s="38">
        <f>IF((ዕቁብ!BZ126/ቦኖ!$C$4&gt;0),(1/2),0)</f>
        <v>0.5</v>
      </c>
      <c r="BZ124" s="38">
        <f>IF((ዕቁብ!CA126/ቦኖ!$C$4&gt;0),(1/2),0)</f>
        <v>0.5</v>
      </c>
      <c r="CA124" s="38">
        <f>IF((ዕቁብ!CB126/ቦኖ!$C$4&gt;0),(1/2),0)</f>
        <v>0</v>
      </c>
      <c r="CB124" s="38">
        <f>IF((ዕቁብ!CC126/ቦኖ!$C$4&gt;0),(1/2),0)</f>
        <v>0.5</v>
      </c>
      <c r="CC124" s="38">
        <f>IF((ዕቁብ!CD126/ቦኖ!$C$4&gt;0),(1/2),0)</f>
        <v>0</v>
      </c>
      <c r="CD124" s="38">
        <f>IF((ዕቁብ!CE126/ቦኖ!$C$4&gt;0),(1/2),0)</f>
        <v>0</v>
      </c>
      <c r="CE124" s="38">
        <f>IF((ዕቁብ!CF126/ቦኖ!$C$4&gt;0),(1/2),0)</f>
        <v>0.5</v>
      </c>
      <c r="CF124" s="38">
        <f>IF((ዕቁብ!CG126/ቦኖ!$C$4&gt;0),(1/2),0)</f>
        <v>0</v>
      </c>
      <c r="CG124" s="38">
        <f>IF((ዕቁብ!CH126/ቦኖ!$C$4&gt;0),(1/2),0)</f>
        <v>0</v>
      </c>
      <c r="CH124" s="38">
        <f>IF((ዕቁብ!CI126/ቦኖ!$C$4&gt;0),(1/2),0)</f>
        <v>0.5</v>
      </c>
      <c r="CI124" s="38">
        <f>IF((ዕቁብ!CJ126/ቦኖ!$C$4&gt;0),(1/2),0)</f>
        <v>0</v>
      </c>
      <c r="CJ124" s="38">
        <f>IF((ዕቁብ!CK126/ቦኖ!$C$4&gt;0),(1/2),0)</f>
        <v>0.5</v>
      </c>
      <c r="CK124" s="38">
        <f>IF((ዕቁብ!CL126/ቦኖ!$C$4&gt;0),(1/2),0)</f>
        <v>0</v>
      </c>
      <c r="CL124" s="38">
        <f>IF((ዕቁብ!CM126/ቦኖ!$C$4&gt;0),(1/2),0)</f>
        <v>0</v>
      </c>
      <c r="CM124" s="38">
        <f>IF((ዕቁብ!CN126/ቦኖ!$C$4&gt;0),(1/2),0)</f>
        <v>0.5</v>
      </c>
      <c r="CN124" s="38">
        <f>IF((ዕቁብ!CO126/ቦኖ!$C$4&gt;0),(1/2),0)</f>
        <v>0.5</v>
      </c>
      <c r="CO124" s="38">
        <f>IF((ዕቁብ!CP126/ቦኖ!$C$4&gt;0),(1/2),0)</f>
        <v>0</v>
      </c>
      <c r="CP124" s="38">
        <f>IF((ዕቁብ!CQ126/ቦኖ!$C$4&gt;0),(1/2),0)</f>
        <v>0.5</v>
      </c>
      <c r="CQ124" s="38">
        <f>IF((ዕቁብ!CR126/ቦኖ!$C$4&gt;0),(1/2),0)</f>
        <v>0.5</v>
      </c>
      <c r="CR124" s="38">
        <f>IF((ዕቁብ!CS126/ቦኖ!$C$4&gt;0),(1/2),0)</f>
        <v>0</v>
      </c>
      <c r="CS124" s="38">
        <f>IF((ዕቁብ!CT126/ቦኖ!$C$4&gt;0),(1/2),0)</f>
        <v>0</v>
      </c>
      <c r="CT124" s="38">
        <f>IF((ዕቁብ!CU126/ቦኖ!$C$4&gt;0),(1/2),0)</f>
        <v>0.5</v>
      </c>
      <c r="CU124" s="38">
        <f>IF((ዕቁብ!CV126/ቦኖ!$C$4&gt;0),(1/2),0)</f>
        <v>0.5</v>
      </c>
      <c r="CV124" s="38">
        <f>IF((ዕቁብ!CW126/ቦኖ!$C$4&gt;0),(1/2),0)</f>
        <v>0</v>
      </c>
      <c r="CW124" s="38">
        <f>IF((ዕቁብ!CX126/ቦኖ!$C$4&gt;0),(1/2),0)</f>
        <v>0.5</v>
      </c>
      <c r="CX124" s="38">
        <f>IF((ዕቁብ!CY126/ቦኖ!$C$4&gt;0),(1/2),0)</f>
        <v>0.5</v>
      </c>
      <c r="CY124" s="38">
        <f>IF((ዕቁብ!CZ126/ቦኖ!$C$4&gt;0),(1/2),0)</f>
        <v>0</v>
      </c>
      <c r="CZ124" s="38">
        <f>IF((ዕቁብ!DA126/ቦኖ!$C$4&gt;0),(1/2),0)</f>
        <v>0.5</v>
      </c>
      <c r="DA124" s="38">
        <f>IF((ዕቁብ!DB126/ቦኖ!$C$4&gt;0),(1/2),0)</f>
        <v>0.5</v>
      </c>
      <c r="DB124" s="38">
        <f>IF((ዕቁብ!DC126/ቦኖ!$C$4&gt;0),(1/2),0)</f>
        <v>0.5</v>
      </c>
      <c r="DC124" s="38">
        <f>IF((ዕቁብ!DD126/ቦኖ!$C$4&gt;0),(1/2),0)</f>
        <v>0</v>
      </c>
      <c r="DD124" s="38">
        <f>IF((ዕቁብ!DE126/ቦኖ!$C$4&gt;0),(1/2),0)</f>
        <v>0</v>
      </c>
      <c r="DE124" s="38">
        <f>IF((ዕቁብ!DF126/ቦኖ!$C$4&gt;0),(1/2),0)</f>
        <v>0.5</v>
      </c>
      <c r="DF124" s="38">
        <f>IF((ዕቁብ!DG126/ቦኖ!$C$4&gt;0),(1/2),0)</f>
        <v>0.5</v>
      </c>
      <c r="DG124" s="38">
        <f>IF((ዕቁብ!DH126/ቦኖ!$C$4&gt;0),(1/2),0)</f>
        <v>0.5</v>
      </c>
      <c r="DH124" s="38">
        <f>IF((ዕቁብ!DI126/ቦኖ!$C$4&gt;0),(1/2),0)</f>
        <v>0</v>
      </c>
      <c r="DI124" s="38">
        <f>IF((ዕቁብ!DJ126/ቦኖ!$C$4&gt;0),(1/2),0)</f>
        <v>0</v>
      </c>
      <c r="DJ124" s="38">
        <f>IF((ዕቁብ!DK126/ቦኖ!$C$4&gt;0),(1/2),0)</f>
        <v>0</v>
      </c>
      <c r="DK124" s="38">
        <f>IF((ዕቁብ!DL126/ቦኖ!$C$4&gt;0),(1/2),0)</f>
        <v>0</v>
      </c>
      <c r="DL124" s="38">
        <f>IF((ዕቁብ!DM126/ቦኖ!$C$4&gt;0),(1/2),0)</f>
        <v>0</v>
      </c>
      <c r="DM124" s="38">
        <f>IF((ዕቁብ!DN126/ቦኖ!$C$4&gt;0),(1/2),0)</f>
        <v>0</v>
      </c>
      <c r="DN124" s="38">
        <f>IF((ዕቁብ!DO126/ቦኖ!$C$4&gt;0),(1/2),0)</f>
        <v>0</v>
      </c>
      <c r="DO124" s="38">
        <f>IF((ዕቁብ!DP126/ቦኖ!$C$4&gt;0),(1/2),0)</f>
        <v>0</v>
      </c>
      <c r="DP124" s="38">
        <f>IF((ዕቁብ!DQ126/ቦኖ!$C$4&gt;0),(1/2),0)</f>
        <v>0</v>
      </c>
      <c r="DQ124" s="38">
        <f>IF((ዕቁብ!DR126/ቦኖ!$C$4&gt;0),(1/2),0)</f>
        <v>0</v>
      </c>
    </row>
    <row r="125" spans="1:121" ht="15.75" customHeight="1" x14ac:dyDescent="0.3">
      <c r="A125" s="33">
        <f>ዕቁብ!A127</f>
        <v>108</v>
      </c>
      <c r="B125" s="33" t="str">
        <f>ዕቁብ!B127</f>
        <v xml:space="preserve">ጀማል ኢብራይም </v>
      </c>
      <c r="C125" s="37">
        <f>ዕቁብ!C127</f>
        <v>10500</v>
      </c>
      <c r="D125" s="38">
        <f>IF((ዕቁብ!E127/ቦኖ!$C$4&gt;0),(1/2),0)</f>
        <v>0.5</v>
      </c>
      <c r="E125" s="38">
        <f>IF((ዕቁብ!F127/ቦኖ!$C$4&gt;0),(1/2),0)</f>
        <v>0.5</v>
      </c>
      <c r="F125" s="38">
        <f>IF((ዕቁብ!G127/ቦኖ!$C$4&gt;0),(1/2),0)</f>
        <v>0.5</v>
      </c>
      <c r="G125" s="38">
        <f>IF((ዕቁብ!H127/ቦኖ!$C$4&gt;0),(1/2),0)</f>
        <v>0.5</v>
      </c>
      <c r="H125" s="38">
        <f>IF((ዕቁብ!I127/ቦኖ!$C$4&gt;0),(1/2),0)</f>
        <v>0.5</v>
      </c>
      <c r="I125" s="38">
        <f>IF((ዕቁብ!J127/ቦኖ!$C$4&gt;0),(1/2),0)</f>
        <v>0.5</v>
      </c>
      <c r="J125" s="38">
        <f>IF((ዕቁብ!K127/ቦኖ!$C$4&gt;0),(1/2),0)</f>
        <v>0.5</v>
      </c>
      <c r="K125" s="38">
        <f>IF((ዕቁብ!L127/ቦኖ!$C$4&gt;0),(1/2),0)</f>
        <v>0.5</v>
      </c>
      <c r="L125" s="38">
        <f>IF((ዕቁብ!M127/ቦኖ!$C$4&gt;0),(1/2),0)</f>
        <v>0.5</v>
      </c>
      <c r="M125" s="38">
        <f>IF((ዕቁብ!N127/ቦኖ!$C$4&gt;0),(1/2),0)</f>
        <v>0.5</v>
      </c>
      <c r="N125" s="38">
        <f>IF((ዕቁብ!O127/ቦኖ!$C$4&gt;0),(1/2),0)</f>
        <v>0.5</v>
      </c>
      <c r="O125" s="38">
        <f>IF((ዕቁብ!P127/ቦኖ!$C$4&gt;0),(1/2),0)</f>
        <v>0.5</v>
      </c>
      <c r="P125" s="38">
        <f>IF((ዕቁብ!Q127/ቦኖ!$C$4&gt;0),(1/2),0)</f>
        <v>0.5</v>
      </c>
      <c r="Q125" s="38">
        <f>IF((ዕቁብ!R127/ቦኖ!$C$4&gt;0),(1/2),0)</f>
        <v>0.5</v>
      </c>
      <c r="R125" s="38">
        <f>IF((ዕቁብ!S127/ቦኖ!$C$4&gt;0),(1/2),0)</f>
        <v>0.5</v>
      </c>
      <c r="S125" s="38">
        <f>IF((ዕቁብ!T127/ቦኖ!$C$4&gt;0),(1/2),0)</f>
        <v>0.5</v>
      </c>
      <c r="T125" s="38">
        <f>IF((ዕቁብ!U127/ቦኖ!$C$4&gt;0),(1/2),0)</f>
        <v>0.5</v>
      </c>
      <c r="U125" s="38">
        <f>IF((ዕቁብ!V127/ቦኖ!$C$4&gt;0),(1/2),0)</f>
        <v>0.5</v>
      </c>
      <c r="V125" s="38">
        <f>IF((ዕቁብ!W127/ቦኖ!$C$4&gt;0),(1/2),0)</f>
        <v>0.5</v>
      </c>
      <c r="W125" s="38">
        <f>IF((ዕቁብ!X127/ቦኖ!$C$4&gt;0),(1/2),0)</f>
        <v>0.5</v>
      </c>
      <c r="X125" s="38">
        <f>IF((ዕቁብ!Y127/ቦኖ!$C$4&gt;0),(1/2),0)</f>
        <v>0.5</v>
      </c>
      <c r="Y125" s="38">
        <f>IF((ዕቁብ!Z127/ቦኖ!$C$4&gt;0),(1/2),0)</f>
        <v>0.5</v>
      </c>
      <c r="Z125" s="38">
        <f>IF((ዕቁብ!AA127/ቦኖ!$C$4&gt;0),(1/2),0)</f>
        <v>0.5</v>
      </c>
      <c r="AA125" s="38">
        <f>IF((ዕቁብ!AB127/ቦኖ!$C$4&gt;0),(1/2),0)</f>
        <v>0.5</v>
      </c>
      <c r="AB125" s="38">
        <f>IF((ዕቁብ!AC127/ቦኖ!$C$4&gt;0),(1/2),0)</f>
        <v>0.5</v>
      </c>
      <c r="AC125" s="38">
        <f>IF((ዕቁብ!AD127/ቦኖ!$C$4&gt;0),(1/2),0)</f>
        <v>0.5</v>
      </c>
      <c r="AD125" s="38">
        <f>IF((ዕቁብ!AE127/ቦኖ!$C$4&gt;0),(1/2),0)</f>
        <v>0.5</v>
      </c>
      <c r="AE125" s="38">
        <f>IF((ዕቁብ!AF127/ቦኖ!$C$4&gt;0),(1/2),0)</f>
        <v>0</v>
      </c>
      <c r="AF125" s="38">
        <f>IF((ዕቁብ!AG127/ቦኖ!$C$4&gt;0),(1/2),0)</f>
        <v>0.5</v>
      </c>
      <c r="AG125" s="38">
        <f>IF((ዕቁብ!AH127/ቦኖ!$C$4&gt;0),(1/2),0)</f>
        <v>0.5</v>
      </c>
      <c r="AH125" s="38">
        <f>IF((ዕቁብ!AI127/ቦኖ!$C$4&gt;0),(1/2),0)</f>
        <v>0.5</v>
      </c>
      <c r="AI125" s="38">
        <f>IF((ዕቁብ!AJ127/ቦኖ!$C$4&gt;0),(1/2),0)</f>
        <v>0.5</v>
      </c>
      <c r="AJ125" s="38">
        <f>IF((ዕቁብ!AK127/ቦኖ!$C$4&gt;0),(1/2),0)</f>
        <v>0</v>
      </c>
      <c r="AK125" s="38">
        <f>IF((ዕቁብ!AL127/ቦኖ!$C$4&gt;0),(1/2),0)</f>
        <v>0.5</v>
      </c>
      <c r="AL125" s="38">
        <f>IF((ዕቁብ!AM127/ቦኖ!$C$4&gt;0),(1/2),0)</f>
        <v>0.5</v>
      </c>
      <c r="AM125" s="38">
        <f>IF((ዕቁብ!AN127/ቦኖ!$C$4&gt;0),(1/2),0)</f>
        <v>0.5</v>
      </c>
      <c r="AN125" s="38">
        <f>IF((ዕቁብ!AO127/ቦኖ!$C$4&gt;0),(1/2),0)</f>
        <v>0.5</v>
      </c>
      <c r="AO125" s="38">
        <f>IF((ዕቁብ!AP127/ቦኖ!$C$4&gt;0),(1/2),0)</f>
        <v>0.5</v>
      </c>
      <c r="AP125" s="38">
        <f>IF((ዕቁብ!AQ127/ቦኖ!$C$4&gt;0),(1/2),0)</f>
        <v>0.5</v>
      </c>
      <c r="AQ125" s="38">
        <f>IF((ዕቁብ!AR127/ቦኖ!$C$4&gt;0),(1/2),0)</f>
        <v>0</v>
      </c>
      <c r="AR125" s="38">
        <f>IF((ዕቁብ!AS127/ቦኖ!$C$4&gt;0),(1/2),0)</f>
        <v>0.5</v>
      </c>
      <c r="AS125" s="38">
        <f>IF((ዕቁብ!AT127/ቦኖ!$C$4&gt;0),(1/2),0)</f>
        <v>0.5</v>
      </c>
      <c r="AT125" s="38">
        <f>IF((ዕቁብ!AU127/ቦኖ!$C$4&gt;0),(1/2),0)</f>
        <v>0.5</v>
      </c>
      <c r="AU125" s="38">
        <f>IF((ዕቁብ!AV127/ቦኖ!$C$4&gt;0),(1/2),0)</f>
        <v>0.5</v>
      </c>
      <c r="AV125" s="38">
        <f>IF((ዕቁብ!AW127/ቦኖ!$C$4&gt;0),(1/2),0)</f>
        <v>0.5</v>
      </c>
      <c r="AW125" s="38">
        <f>IF((ዕቁብ!AX127/ቦኖ!$C$4&gt;0),(1/2),0)</f>
        <v>0.5</v>
      </c>
      <c r="AX125" s="38">
        <f>IF((ዕቁብ!AY127/ቦኖ!$C$4&gt;0),(1/2),0)</f>
        <v>0.5</v>
      </c>
      <c r="AY125" s="38">
        <f>IF((ዕቁብ!AZ127/ቦኖ!$C$4&gt;0),(1/2),0)</f>
        <v>0.5</v>
      </c>
      <c r="AZ125" s="38">
        <f>IF((ዕቁብ!BA127/ቦኖ!$C$4&gt;0),(1/2),0)</f>
        <v>0.5</v>
      </c>
      <c r="BA125" s="38">
        <f>IF((ዕቁብ!BB127/ቦኖ!$C$4&gt;0),(1/2),0)</f>
        <v>0.5</v>
      </c>
      <c r="BB125" s="38">
        <f>IF((ዕቁብ!BC127/ቦኖ!$C$4&gt;0),(1/2),0)</f>
        <v>0.5</v>
      </c>
      <c r="BC125" s="38">
        <f>IF((ዕቁብ!BD127/ቦኖ!$C$4&gt;0),(1/2),0)</f>
        <v>0.5</v>
      </c>
      <c r="BD125" s="38">
        <f>IF((ዕቁብ!BE127/ቦኖ!$C$4&gt;0),(1/2),0)</f>
        <v>0.5</v>
      </c>
      <c r="BE125" s="38">
        <f>IF((ዕቁብ!BF127/ቦኖ!$C$4&gt;0),(1/2),0)</f>
        <v>0.5</v>
      </c>
      <c r="BF125" s="38">
        <f>IF((ዕቁብ!BG127/ቦኖ!$C$4&gt;0),(1/2),0)</f>
        <v>0.5</v>
      </c>
      <c r="BG125" s="38">
        <f>IF((ዕቁብ!BH127/ቦኖ!$C$4&gt;0),(1/2),0)</f>
        <v>0</v>
      </c>
      <c r="BH125" s="38">
        <f>IF((ዕቁብ!BI127/ቦኖ!$C$4&gt;0),(1/2),0)</f>
        <v>0</v>
      </c>
      <c r="BI125" s="38">
        <f>IF((ዕቁብ!BJ127/ቦኖ!$C$4&gt;0),(1/2),0)</f>
        <v>0</v>
      </c>
      <c r="BJ125" s="38">
        <f>IF((ዕቁብ!BK127/ቦኖ!$C$4&gt;0),(1/2),0)</f>
        <v>0.5</v>
      </c>
      <c r="BK125" s="38">
        <f>IF((ዕቁብ!BL127/ቦኖ!$C$4&gt;0),(1/2),0)</f>
        <v>0.5</v>
      </c>
      <c r="BL125" s="38">
        <f>IF((ዕቁብ!BM127/ቦኖ!$C$4&gt;0),(1/2),0)</f>
        <v>0.5</v>
      </c>
      <c r="BM125" s="38">
        <f>IF((ዕቁብ!BN127/ቦኖ!$C$4&gt;0),(1/2),0)</f>
        <v>0.5</v>
      </c>
      <c r="BN125" s="38">
        <f>IF((ዕቁብ!BO127/ቦኖ!$C$4&gt;0),(1/2),0)</f>
        <v>0.5</v>
      </c>
      <c r="BO125" s="38">
        <f>IF((ዕቁብ!BP127/ቦኖ!$C$4&gt;0),(1/2),0)</f>
        <v>0</v>
      </c>
      <c r="BP125" s="38">
        <f>IF((ዕቁብ!BQ127/ቦኖ!$C$4&gt;0),(1/2),0)</f>
        <v>0.5</v>
      </c>
      <c r="BQ125" s="38">
        <f>IF((ዕቁብ!BR127/ቦኖ!$C$4&gt;0),(1/2),0)</f>
        <v>0.5</v>
      </c>
      <c r="BR125" s="38">
        <f>IF((ዕቁብ!BS127/ቦኖ!$C$4&gt;0),(1/2),0)</f>
        <v>0.5</v>
      </c>
      <c r="BS125" s="38">
        <f>IF((ዕቁብ!BT127/ቦኖ!$C$4&gt;0),(1/2),0)</f>
        <v>0.5</v>
      </c>
      <c r="BT125" s="38">
        <f>IF((ዕቁብ!BU127/ቦኖ!$C$4&gt;0),(1/2),0)</f>
        <v>0.5</v>
      </c>
      <c r="BU125" s="38">
        <f>IF((ዕቁብ!BV127/ቦኖ!$C$4&gt;0),(1/2),0)</f>
        <v>0.5</v>
      </c>
      <c r="BV125" s="38">
        <f>IF((ዕቁብ!BW127/ቦኖ!$C$4&gt;0),(1/2),0)</f>
        <v>0.5</v>
      </c>
      <c r="BW125" s="38">
        <f>IF((ዕቁብ!BX127/ቦኖ!$C$4&gt;0),(1/2),0)</f>
        <v>0</v>
      </c>
      <c r="BX125" s="38">
        <f>IF((ዕቁብ!BY127/ቦኖ!$C$4&gt;0),(1/2),0)</f>
        <v>0.5</v>
      </c>
      <c r="BY125" s="38">
        <f>IF((ዕቁብ!BZ127/ቦኖ!$C$4&gt;0),(1/2),0)</f>
        <v>0.5</v>
      </c>
      <c r="BZ125" s="38">
        <f>IF((ዕቁብ!CA127/ቦኖ!$C$4&gt;0),(1/2),0)</f>
        <v>0</v>
      </c>
      <c r="CA125" s="38">
        <f>IF((ዕቁብ!CB127/ቦኖ!$C$4&gt;0),(1/2),0)</f>
        <v>0.5</v>
      </c>
      <c r="CB125" s="38">
        <f>IF((ዕቁብ!CC127/ቦኖ!$C$4&gt;0),(1/2),0)</f>
        <v>0.5</v>
      </c>
      <c r="CC125" s="38">
        <f>IF((ዕቁብ!CD127/ቦኖ!$C$4&gt;0),(1/2),0)</f>
        <v>0.5</v>
      </c>
      <c r="CD125" s="38">
        <f>IF((ዕቁብ!CE127/ቦኖ!$C$4&gt;0),(1/2),0)</f>
        <v>0</v>
      </c>
      <c r="CE125" s="38">
        <f>IF((ዕቁብ!CF127/ቦኖ!$C$4&gt;0),(1/2),0)</f>
        <v>0.5</v>
      </c>
      <c r="CF125" s="38">
        <f>IF((ዕቁብ!CG127/ቦኖ!$C$4&gt;0),(1/2),0)</f>
        <v>0.5</v>
      </c>
      <c r="CG125" s="38">
        <f>IF((ዕቁብ!CH127/ቦኖ!$C$4&gt;0),(1/2),0)</f>
        <v>0.5</v>
      </c>
      <c r="CH125" s="38">
        <f>IF((ዕቁብ!CI127/ቦኖ!$C$4&gt;0),(1/2),0)</f>
        <v>0.5</v>
      </c>
      <c r="CI125" s="38">
        <f>IF((ዕቁብ!CJ127/ቦኖ!$C$4&gt;0),(1/2),0)</f>
        <v>0</v>
      </c>
      <c r="CJ125" s="38">
        <f>IF((ዕቁብ!CK127/ቦኖ!$C$4&gt;0),(1/2),0)</f>
        <v>0.5</v>
      </c>
      <c r="CK125" s="38">
        <f>IF((ዕቁብ!CL127/ቦኖ!$C$4&gt;0),(1/2),0)</f>
        <v>0.5</v>
      </c>
      <c r="CL125" s="38">
        <f>IF((ዕቁብ!CM127/ቦኖ!$C$4&gt;0),(1/2),0)</f>
        <v>0.5</v>
      </c>
      <c r="CM125" s="38">
        <f>IF((ዕቁብ!CN127/ቦኖ!$C$4&gt;0),(1/2),0)</f>
        <v>0.5</v>
      </c>
      <c r="CN125" s="38">
        <f>IF((ዕቁብ!CO127/ቦኖ!$C$4&gt;0),(1/2),0)</f>
        <v>0.5</v>
      </c>
      <c r="CO125" s="38">
        <f>IF((ዕቁብ!CP127/ቦኖ!$C$4&gt;0),(1/2),0)</f>
        <v>0.5</v>
      </c>
      <c r="CP125" s="38">
        <f>IF((ዕቁብ!CQ127/ቦኖ!$C$4&gt;0),(1/2),0)</f>
        <v>0.5</v>
      </c>
      <c r="CQ125" s="38">
        <f>IF((ዕቁብ!CR127/ቦኖ!$C$4&gt;0),(1/2),0)</f>
        <v>0.5</v>
      </c>
      <c r="CR125" s="38">
        <f>IF((ዕቁብ!CS127/ቦኖ!$C$4&gt;0),(1/2),0)</f>
        <v>0</v>
      </c>
      <c r="CS125" s="38">
        <f>IF((ዕቁብ!CT127/ቦኖ!$C$4&gt;0),(1/2),0)</f>
        <v>0.5</v>
      </c>
      <c r="CT125" s="38">
        <f>IF((ዕቁብ!CU127/ቦኖ!$C$4&gt;0),(1/2),0)</f>
        <v>0.5</v>
      </c>
      <c r="CU125" s="38">
        <f>IF((ዕቁብ!CV127/ቦኖ!$C$4&gt;0),(1/2),0)</f>
        <v>0.5</v>
      </c>
      <c r="CV125" s="38">
        <f>IF((ዕቁብ!CW127/ቦኖ!$C$4&gt;0),(1/2),0)</f>
        <v>0.5</v>
      </c>
      <c r="CW125" s="38">
        <f>IF((ዕቁብ!CX127/ቦኖ!$C$4&gt;0),(1/2),0)</f>
        <v>0</v>
      </c>
      <c r="CX125" s="38">
        <f>IF((ዕቁብ!CY127/ቦኖ!$C$4&gt;0),(1/2),0)</f>
        <v>0.5</v>
      </c>
      <c r="CY125" s="38">
        <f>IF((ዕቁብ!CZ127/ቦኖ!$C$4&gt;0),(1/2),0)</f>
        <v>0</v>
      </c>
      <c r="CZ125" s="38">
        <f>IF((ዕቁብ!DA127/ቦኖ!$C$4&gt;0),(1/2),0)</f>
        <v>0.5</v>
      </c>
      <c r="DA125" s="38">
        <f>IF((ዕቁብ!DB127/ቦኖ!$C$4&gt;0),(1/2),0)</f>
        <v>0</v>
      </c>
      <c r="DB125" s="38">
        <f>IF((ዕቁብ!DC127/ቦኖ!$C$4&gt;0),(1/2),0)</f>
        <v>0</v>
      </c>
      <c r="DC125" s="38">
        <f>IF((ዕቁብ!DD127/ቦኖ!$C$4&gt;0),(1/2),0)</f>
        <v>0.5</v>
      </c>
      <c r="DD125" s="38">
        <f>IF((ዕቁብ!DE127/ቦኖ!$C$4&gt;0),(1/2),0)</f>
        <v>0</v>
      </c>
      <c r="DE125" s="38">
        <f>IF((ዕቁብ!DF127/ቦኖ!$C$4&gt;0),(1/2),0)</f>
        <v>0.5</v>
      </c>
      <c r="DF125" s="38">
        <f>IF((ዕቁብ!DG127/ቦኖ!$C$4&gt;0),(1/2),0)</f>
        <v>0.5</v>
      </c>
      <c r="DG125" s="38">
        <f>IF((ዕቁብ!DH127/ቦኖ!$C$4&gt;0),(1/2),0)</f>
        <v>0</v>
      </c>
      <c r="DH125" s="38">
        <f>IF((ዕቁብ!DI127/ቦኖ!$C$4&gt;0),(1/2),0)</f>
        <v>0</v>
      </c>
      <c r="DI125" s="38">
        <f>IF((ዕቁብ!DJ127/ቦኖ!$C$4&gt;0),(1/2),0)</f>
        <v>0</v>
      </c>
      <c r="DJ125" s="38">
        <f>IF((ዕቁብ!DK127/ቦኖ!$C$4&gt;0),(1/2),0)</f>
        <v>0</v>
      </c>
      <c r="DK125" s="38">
        <f>IF((ዕቁብ!DL127/ቦኖ!$C$4&gt;0),(1/2),0)</f>
        <v>0</v>
      </c>
      <c r="DL125" s="38">
        <f>IF((ዕቁብ!DM127/ቦኖ!$C$4&gt;0),(1/2),0)</f>
        <v>0</v>
      </c>
      <c r="DM125" s="38">
        <f>IF((ዕቁብ!DN127/ቦኖ!$C$4&gt;0),(1/2),0)</f>
        <v>0</v>
      </c>
      <c r="DN125" s="38">
        <f>IF((ዕቁብ!DO127/ቦኖ!$C$4&gt;0),(1/2),0)</f>
        <v>0</v>
      </c>
      <c r="DO125" s="38">
        <f>IF((ዕቁብ!DP127/ቦኖ!$C$4&gt;0),(1/2),0)</f>
        <v>0</v>
      </c>
      <c r="DP125" s="38">
        <f>IF((ዕቁብ!DQ127/ቦኖ!$C$4&gt;0),(1/2),0)</f>
        <v>0</v>
      </c>
      <c r="DQ125" s="38">
        <f>IF((ዕቁብ!DR127/ቦኖ!$C$4&gt;0),(1/2),0)</f>
        <v>0</v>
      </c>
    </row>
    <row r="126" spans="1:121" ht="15.75" customHeight="1" x14ac:dyDescent="0.3">
      <c r="A126" s="33">
        <f>ዕቁብ!A128</f>
        <v>108</v>
      </c>
      <c r="B126" s="33" t="str">
        <f>ዕቁብ!B128</f>
        <v>ተሻለ አሰፋ</v>
      </c>
      <c r="C126" s="37">
        <f>ዕቁብ!C128</f>
        <v>10500</v>
      </c>
      <c r="D126" s="38">
        <f>IF((ዕቁብ!E128/ቦኖ!$C$4&gt;0),(1/2),0)</f>
        <v>0.5</v>
      </c>
      <c r="E126" s="38">
        <f>IF((ዕቁብ!F128/ቦኖ!$C$4&gt;0),(1/2),0)</f>
        <v>0.5</v>
      </c>
      <c r="F126" s="38">
        <f>IF((ዕቁብ!G128/ቦኖ!$C$4&gt;0),(1/2),0)</f>
        <v>0.5</v>
      </c>
      <c r="G126" s="38">
        <f>IF((ዕቁብ!H128/ቦኖ!$C$4&gt;0),(1/2),0)</f>
        <v>0.5</v>
      </c>
      <c r="H126" s="38">
        <f>IF((ዕቁብ!I128/ቦኖ!$C$4&gt;0),(1/2),0)</f>
        <v>0.5</v>
      </c>
      <c r="I126" s="38">
        <f>IF((ዕቁብ!J128/ቦኖ!$C$4&gt;0),(1/2),0)</f>
        <v>0.5</v>
      </c>
      <c r="J126" s="38">
        <f>IF((ዕቁብ!K128/ቦኖ!$C$4&gt;0),(1/2),0)</f>
        <v>0.5</v>
      </c>
      <c r="K126" s="38">
        <f>IF((ዕቁብ!L128/ቦኖ!$C$4&gt;0),(1/2),0)</f>
        <v>0.5</v>
      </c>
      <c r="L126" s="38">
        <f>IF((ዕቁብ!M128/ቦኖ!$C$4&gt;0),(1/2),0)</f>
        <v>0.5</v>
      </c>
      <c r="M126" s="38">
        <f>IF((ዕቁብ!N128/ቦኖ!$C$4&gt;0),(1/2),0)</f>
        <v>0.5</v>
      </c>
      <c r="N126" s="38">
        <f>IF((ዕቁብ!O128/ቦኖ!$C$4&gt;0),(1/2),0)</f>
        <v>0.5</v>
      </c>
      <c r="O126" s="38">
        <f>IF((ዕቁብ!P128/ቦኖ!$C$4&gt;0),(1/2),0)</f>
        <v>0.5</v>
      </c>
      <c r="P126" s="38">
        <f>IF((ዕቁብ!Q128/ቦኖ!$C$4&gt;0),(1/2),0)</f>
        <v>0.5</v>
      </c>
      <c r="Q126" s="38">
        <f>IF((ዕቁብ!R128/ቦኖ!$C$4&gt;0),(1/2),0)</f>
        <v>0.5</v>
      </c>
      <c r="R126" s="38">
        <f>IF((ዕቁብ!S128/ቦኖ!$C$4&gt;0),(1/2),0)</f>
        <v>0.5</v>
      </c>
      <c r="S126" s="38">
        <f>IF((ዕቁብ!T128/ቦኖ!$C$4&gt;0),(1/2),0)</f>
        <v>0.5</v>
      </c>
      <c r="T126" s="38">
        <f>IF((ዕቁብ!U128/ቦኖ!$C$4&gt;0),(1/2),0)</f>
        <v>0.5</v>
      </c>
      <c r="U126" s="38">
        <f>IF((ዕቁብ!V128/ቦኖ!$C$4&gt;0),(1/2),0)</f>
        <v>0.5</v>
      </c>
      <c r="V126" s="38">
        <f>IF((ዕቁብ!W128/ቦኖ!$C$4&gt;0),(1/2),0)</f>
        <v>0.5</v>
      </c>
      <c r="W126" s="38">
        <f>IF((ዕቁብ!X128/ቦኖ!$C$4&gt;0),(1/2),0)</f>
        <v>0.5</v>
      </c>
      <c r="X126" s="38">
        <f>IF((ዕቁብ!Y128/ቦኖ!$C$4&gt;0),(1/2),0)</f>
        <v>0.5</v>
      </c>
      <c r="Y126" s="38">
        <f>IF((ዕቁብ!Z128/ቦኖ!$C$4&gt;0),(1/2),0)</f>
        <v>0.5</v>
      </c>
      <c r="Z126" s="38">
        <f>IF((ዕቁብ!AA128/ቦኖ!$C$4&gt;0),(1/2),0)</f>
        <v>0.5</v>
      </c>
      <c r="AA126" s="38">
        <f>IF((ዕቁብ!AB128/ቦኖ!$C$4&gt;0),(1/2),0)</f>
        <v>0</v>
      </c>
      <c r="AB126" s="38">
        <f>IF((ዕቁብ!AC128/ቦኖ!$C$4&gt;0),(1/2),0)</f>
        <v>0.5</v>
      </c>
      <c r="AC126" s="38">
        <f>IF((ዕቁብ!AD128/ቦኖ!$C$4&gt;0),(1/2),0)</f>
        <v>0.5</v>
      </c>
      <c r="AD126" s="38">
        <f>IF((ዕቁብ!AE128/ቦኖ!$C$4&gt;0),(1/2),0)</f>
        <v>0.5</v>
      </c>
      <c r="AE126" s="38">
        <f>IF((ዕቁብ!AF128/ቦኖ!$C$4&gt;0),(1/2),0)</f>
        <v>0.5</v>
      </c>
      <c r="AF126" s="38">
        <f>IF((ዕቁብ!AG128/ቦኖ!$C$4&gt;0),(1/2),0)</f>
        <v>0.5</v>
      </c>
      <c r="AG126" s="38">
        <f>IF((ዕቁብ!AH128/ቦኖ!$C$4&gt;0),(1/2),0)</f>
        <v>0.5</v>
      </c>
      <c r="AH126" s="38">
        <f>IF((ዕቁብ!AI128/ቦኖ!$C$4&gt;0),(1/2),0)</f>
        <v>0.5</v>
      </c>
      <c r="AI126" s="38">
        <f>IF((ዕቁብ!AJ128/ቦኖ!$C$4&gt;0),(1/2),0)</f>
        <v>0.5</v>
      </c>
      <c r="AJ126" s="38">
        <f>IF((ዕቁብ!AK128/ቦኖ!$C$4&gt;0),(1/2),0)</f>
        <v>0</v>
      </c>
      <c r="AK126" s="38">
        <f>IF((ዕቁብ!AL128/ቦኖ!$C$4&gt;0),(1/2),0)</f>
        <v>0.5</v>
      </c>
      <c r="AL126" s="38">
        <f>IF((ዕቁብ!AM128/ቦኖ!$C$4&gt;0),(1/2),0)</f>
        <v>0.5</v>
      </c>
      <c r="AM126" s="38">
        <f>IF((ዕቁብ!AN128/ቦኖ!$C$4&gt;0),(1/2),0)</f>
        <v>0.5</v>
      </c>
      <c r="AN126" s="38">
        <f>IF((ዕቁብ!AO128/ቦኖ!$C$4&gt;0),(1/2),0)</f>
        <v>0.5</v>
      </c>
      <c r="AO126" s="38">
        <f>IF((ዕቁብ!AP128/ቦኖ!$C$4&gt;0),(1/2),0)</f>
        <v>0</v>
      </c>
      <c r="AP126" s="38">
        <f>IF((ዕቁብ!AQ128/ቦኖ!$C$4&gt;0),(1/2),0)</f>
        <v>0.5</v>
      </c>
      <c r="AQ126" s="38">
        <f>IF((ዕቁብ!AR128/ቦኖ!$C$4&gt;0),(1/2),0)</f>
        <v>0.5</v>
      </c>
      <c r="AR126" s="38">
        <f>IF((ዕቁብ!AS128/ቦኖ!$C$4&gt;0),(1/2),0)</f>
        <v>0.5</v>
      </c>
      <c r="AS126" s="38">
        <f>IF((ዕቁብ!AT128/ቦኖ!$C$4&gt;0),(1/2),0)</f>
        <v>0.5</v>
      </c>
      <c r="AT126" s="38">
        <f>IF((ዕቁብ!AU128/ቦኖ!$C$4&gt;0),(1/2),0)</f>
        <v>0.5</v>
      </c>
      <c r="AU126" s="38">
        <f>IF((ዕቁብ!AV128/ቦኖ!$C$4&gt;0),(1/2),0)</f>
        <v>0.5</v>
      </c>
      <c r="AV126" s="38">
        <f>IF((ዕቁብ!AW128/ቦኖ!$C$4&gt;0),(1/2),0)</f>
        <v>0.5</v>
      </c>
      <c r="AW126" s="38">
        <f>IF((ዕቁብ!AX128/ቦኖ!$C$4&gt;0),(1/2),0)</f>
        <v>0.5</v>
      </c>
      <c r="AX126" s="38">
        <f>IF((ዕቁብ!AY128/ቦኖ!$C$4&gt;0),(1/2),0)</f>
        <v>0.5</v>
      </c>
      <c r="AY126" s="38">
        <f>IF((ዕቁብ!AZ128/ቦኖ!$C$4&gt;0),(1/2),0)</f>
        <v>0.5</v>
      </c>
      <c r="AZ126" s="38">
        <f>IF((ዕቁብ!BA128/ቦኖ!$C$4&gt;0),(1/2),0)</f>
        <v>0.5</v>
      </c>
      <c r="BA126" s="38">
        <f>IF((ዕቁብ!BB128/ቦኖ!$C$4&gt;0),(1/2),0)</f>
        <v>0.5</v>
      </c>
      <c r="BB126" s="38">
        <f>IF((ዕቁብ!BC128/ቦኖ!$C$4&gt;0),(1/2),0)</f>
        <v>0.5</v>
      </c>
      <c r="BC126" s="38">
        <f>IF((ዕቁብ!BD128/ቦኖ!$C$4&gt;0),(1/2),0)</f>
        <v>0.5</v>
      </c>
      <c r="BD126" s="38">
        <f>IF((ዕቁብ!BE128/ቦኖ!$C$4&gt;0),(1/2),0)</f>
        <v>0.5</v>
      </c>
      <c r="BE126" s="38">
        <f>IF((ዕቁብ!BF128/ቦኖ!$C$4&gt;0),(1/2),0)</f>
        <v>0.5</v>
      </c>
      <c r="BF126" s="38">
        <f>IF((ዕቁብ!BG128/ቦኖ!$C$4&gt;0),(1/2),0)</f>
        <v>0.5</v>
      </c>
      <c r="BG126" s="38">
        <f>IF((ዕቁብ!BH128/ቦኖ!$C$4&gt;0),(1/2),0)</f>
        <v>0</v>
      </c>
      <c r="BH126" s="38">
        <f>IF((ዕቁብ!BI128/ቦኖ!$C$4&gt;0),(1/2),0)</f>
        <v>0.5</v>
      </c>
      <c r="BI126" s="38">
        <f>IF((ዕቁብ!BJ128/ቦኖ!$C$4&gt;0),(1/2),0)</f>
        <v>0</v>
      </c>
      <c r="BJ126" s="38">
        <f>IF((ዕቁብ!BK128/ቦኖ!$C$4&gt;0),(1/2),0)</f>
        <v>0.5</v>
      </c>
      <c r="BK126" s="38">
        <f>IF((ዕቁብ!BL128/ቦኖ!$C$4&gt;0),(1/2),0)</f>
        <v>0.5</v>
      </c>
      <c r="BL126" s="38">
        <f>IF((ዕቁብ!BM128/ቦኖ!$C$4&gt;0),(1/2),0)</f>
        <v>0.5</v>
      </c>
      <c r="BM126" s="38">
        <f>IF((ዕቁብ!BN128/ቦኖ!$C$4&gt;0),(1/2),0)</f>
        <v>0.5</v>
      </c>
      <c r="BN126" s="38">
        <f>IF((ዕቁብ!BO128/ቦኖ!$C$4&gt;0),(1/2),0)</f>
        <v>0.5</v>
      </c>
      <c r="BO126" s="38">
        <f>IF((ዕቁብ!BP128/ቦኖ!$C$4&gt;0),(1/2),0)</f>
        <v>0</v>
      </c>
      <c r="BP126" s="38">
        <f>IF((ዕቁብ!BQ128/ቦኖ!$C$4&gt;0),(1/2),0)</f>
        <v>0.5</v>
      </c>
      <c r="BQ126" s="38">
        <f>IF((ዕቁብ!BR128/ቦኖ!$C$4&gt;0),(1/2),0)</f>
        <v>0.5</v>
      </c>
      <c r="BR126" s="38">
        <f>IF((ዕቁብ!BS128/ቦኖ!$C$4&gt;0),(1/2),0)</f>
        <v>0.5</v>
      </c>
      <c r="BS126" s="38">
        <f>IF((ዕቁብ!BT128/ቦኖ!$C$4&gt;0),(1/2),0)</f>
        <v>0</v>
      </c>
      <c r="BT126" s="38">
        <f>IF((ዕቁብ!BU128/ቦኖ!$C$4&gt;0),(1/2),0)</f>
        <v>0.5</v>
      </c>
      <c r="BU126" s="38">
        <f>IF((ዕቁብ!BV128/ቦኖ!$C$4&gt;0),(1/2),0)</f>
        <v>0.5</v>
      </c>
      <c r="BV126" s="38">
        <f>IF((ዕቁብ!BW128/ቦኖ!$C$4&gt;0),(1/2),0)</f>
        <v>0.5</v>
      </c>
      <c r="BW126" s="38">
        <f>IF((ዕቁብ!BX128/ቦኖ!$C$4&gt;0),(1/2),0)</f>
        <v>0</v>
      </c>
      <c r="BX126" s="38">
        <f>IF((ዕቁብ!BY128/ቦኖ!$C$4&gt;0),(1/2),0)</f>
        <v>0.5</v>
      </c>
      <c r="BY126" s="38">
        <f>IF((ዕቁብ!BZ128/ቦኖ!$C$4&gt;0),(1/2),0)</f>
        <v>0.5</v>
      </c>
      <c r="BZ126" s="38">
        <f>IF((ዕቁብ!CA128/ቦኖ!$C$4&gt;0),(1/2),0)</f>
        <v>0</v>
      </c>
      <c r="CA126" s="38">
        <f>IF((ዕቁብ!CB128/ቦኖ!$C$4&gt;0),(1/2),0)</f>
        <v>0.5</v>
      </c>
      <c r="CB126" s="38">
        <f>IF((ዕቁብ!CC128/ቦኖ!$C$4&gt;0),(1/2),0)</f>
        <v>0.5</v>
      </c>
      <c r="CC126" s="38">
        <f>IF((ዕቁብ!CD128/ቦኖ!$C$4&gt;0),(1/2),0)</f>
        <v>0</v>
      </c>
      <c r="CD126" s="38">
        <f>IF((ዕቁብ!CE128/ቦኖ!$C$4&gt;0),(1/2),0)</f>
        <v>0</v>
      </c>
      <c r="CE126" s="38">
        <f>IF((ዕቁብ!CF128/ቦኖ!$C$4&gt;0),(1/2),0)</f>
        <v>0.5</v>
      </c>
      <c r="CF126" s="38">
        <f>IF((ዕቁብ!CG128/ቦኖ!$C$4&gt;0),(1/2),0)</f>
        <v>0.5</v>
      </c>
      <c r="CG126" s="38">
        <f>IF((ዕቁብ!CH128/ቦኖ!$C$4&gt;0),(1/2),0)</f>
        <v>0.5</v>
      </c>
      <c r="CH126" s="38">
        <f>IF((ዕቁብ!CI128/ቦኖ!$C$4&gt;0),(1/2),0)</f>
        <v>0.5</v>
      </c>
      <c r="CI126" s="38">
        <f>IF((ዕቁብ!CJ128/ቦኖ!$C$4&gt;0),(1/2),0)</f>
        <v>0</v>
      </c>
      <c r="CJ126" s="38">
        <f>IF((ዕቁብ!CK128/ቦኖ!$C$4&gt;0),(1/2),0)</f>
        <v>0.5</v>
      </c>
      <c r="CK126" s="38">
        <f>IF((ዕቁብ!CL128/ቦኖ!$C$4&gt;0),(1/2),0)</f>
        <v>0.5</v>
      </c>
      <c r="CL126" s="38">
        <f>IF((ዕቁብ!CM128/ቦኖ!$C$4&gt;0),(1/2),0)</f>
        <v>0.5</v>
      </c>
      <c r="CM126" s="38">
        <f>IF((ዕቁብ!CN128/ቦኖ!$C$4&gt;0),(1/2),0)</f>
        <v>0.5</v>
      </c>
      <c r="CN126" s="38">
        <f>IF((ዕቁብ!CO128/ቦኖ!$C$4&gt;0),(1/2),0)</f>
        <v>0.5</v>
      </c>
      <c r="CO126" s="38">
        <f>IF((ዕቁብ!CP128/ቦኖ!$C$4&gt;0),(1/2),0)</f>
        <v>0.5</v>
      </c>
      <c r="CP126" s="38">
        <f>IF((ዕቁብ!CQ128/ቦኖ!$C$4&gt;0),(1/2),0)</f>
        <v>0.5</v>
      </c>
      <c r="CQ126" s="38">
        <f>IF((ዕቁብ!CR128/ቦኖ!$C$4&gt;0),(1/2),0)</f>
        <v>0.5</v>
      </c>
      <c r="CR126" s="38">
        <f>IF((ዕቁብ!CS128/ቦኖ!$C$4&gt;0),(1/2),0)</f>
        <v>0</v>
      </c>
      <c r="CS126" s="38">
        <f>IF((ዕቁብ!CT128/ቦኖ!$C$4&gt;0),(1/2),0)</f>
        <v>0.5</v>
      </c>
      <c r="CT126" s="38">
        <f>IF((ዕቁብ!CU128/ቦኖ!$C$4&gt;0),(1/2),0)</f>
        <v>0.5</v>
      </c>
      <c r="CU126" s="38">
        <f>IF((ዕቁብ!CV128/ቦኖ!$C$4&gt;0),(1/2),0)</f>
        <v>0.5</v>
      </c>
      <c r="CV126" s="38">
        <f>IF((ዕቁብ!CW128/ቦኖ!$C$4&gt;0),(1/2),0)</f>
        <v>0</v>
      </c>
      <c r="CW126" s="38">
        <f>IF((ዕቁብ!CX128/ቦኖ!$C$4&gt;0),(1/2),0)</f>
        <v>0.5</v>
      </c>
      <c r="CX126" s="38">
        <f>IF((ዕቁብ!CY128/ቦኖ!$C$4&gt;0),(1/2),0)</f>
        <v>0.5</v>
      </c>
      <c r="CY126" s="38">
        <f>IF((ዕቁብ!CZ128/ቦኖ!$C$4&gt;0),(1/2),0)</f>
        <v>0.5</v>
      </c>
      <c r="CZ126" s="38">
        <f>IF((ዕቁብ!DA128/ቦኖ!$C$4&gt;0),(1/2),0)</f>
        <v>0.5</v>
      </c>
      <c r="DA126" s="38">
        <f>IF((ዕቁብ!DB128/ቦኖ!$C$4&gt;0),(1/2),0)</f>
        <v>0.5</v>
      </c>
      <c r="DB126" s="38">
        <f>IF((ዕቁብ!DC128/ቦኖ!$C$4&gt;0),(1/2),0)</f>
        <v>0</v>
      </c>
      <c r="DC126" s="38">
        <f>IF((ዕቁብ!DD128/ቦኖ!$C$4&gt;0),(1/2),0)</f>
        <v>0</v>
      </c>
      <c r="DD126" s="38">
        <f>IF((ዕቁብ!DE128/ቦኖ!$C$4&gt;0),(1/2),0)</f>
        <v>0.5</v>
      </c>
      <c r="DE126" s="38">
        <f>IF((ዕቁብ!DF128/ቦኖ!$C$4&gt;0),(1/2),0)</f>
        <v>0.5</v>
      </c>
      <c r="DF126" s="38">
        <f>IF((ዕቁብ!DG128/ቦኖ!$C$4&gt;0),(1/2),0)</f>
        <v>0</v>
      </c>
      <c r="DG126" s="38">
        <f>IF((ዕቁብ!DH128/ቦኖ!$C$4&gt;0),(1/2),0)</f>
        <v>0</v>
      </c>
      <c r="DH126" s="38">
        <f>IF((ዕቁብ!DI128/ቦኖ!$C$4&gt;0),(1/2),0)</f>
        <v>0</v>
      </c>
      <c r="DI126" s="38">
        <f>IF((ዕቁብ!DJ128/ቦኖ!$C$4&gt;0),(1/2),0)</f>
        <v>0</v>
      </c>
      <c r="DJ126" s="38">
        <f>IF((ዕቁብ!DK128/ቦኖ!$C$4&gt;0),(1/2),0)</f>
        <v>0</v>
      </c>
      <c r="DK126" s="38">
        <f>IF((ዕቁብ!DL128/ቦኖ!$C$4&gt;0),(1/2),0)</f>
        <v>0</v>
      </c>
      <c r="DL126" s="38">
        <f>IF((ዕቁብ!DM128/ቦኖ!$C$4&gt;0),(1/2),0)</f>
        <v>0</v>
      </c>
      <c r="DM126" s="38">
        <f>IF((ዕቁብ!DN128/ቦኖ!$C$4&gt;0),(1/2),0)</f>
        <v>0</v>
      </c>
      <c r="DN126" s="38">
        <f>IF((ዕቁብ!DO128/ቦኖ!$C$4&gt;0),(1/2),0)</f>
        <v>0</v>
      </c>
      <c r="DO126" s="38">
        <f>IF((ዕቁብ!DP128/ቦኖ!$C$4&gt;0),(1/2),0)</f>
        <v>0</v>
      </c>
      <c r="DP126" s="38">
        <f>IF((ዕቁብ!DQ128/ቦኖ!$C$4&gt;0),(1/2),0)</f>
        <v>0</v>
      </c>
      <c r="DQ126" s="38">
        <f>IF((ዕቁብ!DR128/ቦኖ!$C$4&gt;0),(1/2),0)</f>
        <v>0</v>
      </c>
    </row>
    <row r="127" spans="1:121" ht="15.75" customHeight="1" x14ac:dyDescent="0.3">
      <c r="A127" s="33">
        <f>ዕቁብ!A129</f>
        <v>109</v>
      </c>
      <c r="B127" s="33" t="str">
        <f>ዕቁብ!B129</f>
        <v xml:space="preserve">ታደሰ ሪቂዋ </v>
      </c>
      <c r="C127" s="37">
        <f>ዕቁብ!C129</f>
        <v>10500</v>
      </c>
      <c r="D127" s="38">
        <f>IF((ዕቁብ!E129/ቦኖ!$C$4&gt;0),(1/2),0)</f>
        <v>0.5</v>
      </c>
      <c r="E127" s="38">
        <f>IF((ዕቁብ!F129/ቦኖ!$C$4&gt;0),(1/2),0)</f>
        <v>0.5</v>
      </c>
      <c r="F127" s="38">
        <f>IF((ዕቁብ!G129/ቦኖ!$C$4&gt;0),(1/2),0)</f>
        <v>0.5</v>
      </c>
      <c r="G127" s="38">
        <f>IF((ዕቁብ!H129/ቦኖ!$C$4&gt;0),(1/2),0)</f>
        <v>0.5</v>
      </c>
      <c r="H127" s="38">
        <f>IF((ዕቁብ!I129/ቦኖ!$C$4&gt;0),(1/2),0)</f>
        <v>0.5</v>
      </c>
      <c r="I127" s="38">
        <f>IF((ዕቁብ!J129/ቦኖ!$C$4&gt;0),(1/2),0)</f>
        <v>0.5</v>
      </c>
      <c r="J127" s="38">
        <f>IF((ዕቁብ!K129/ቦኖ!$C$4&gt;0),(1/2),0)</f>
        <v>0.5</v>
      </c>
      <c r="K127" s="38">
        <f>IF((ዕቁብ!L129/ቦኖ!$C$4&gt;0),(1/2),0)</f>
        <v>0.5</v>
      </c>
      <c r="L127" s="38">
        <f>IF((ዕቁብ!M129/ቦኖ!$C$4&gt;0),(1/2),0)</f>
        <v>0.5</v>
      </c>
      <c r="M127" s="38">
        <f>IF((ዕቁብ!N129/ቦኖ!$C$4&gt;0),(1/2),0)</f>
        <v>0.5</v>
      </c>
      <c r="N127" s="38">
        <f>IF((ዕቁብ!O129/ቦኖ!$C$4&gt;0),(1/2),0)</f>
        <v>0.5</v>
      </c>
      <c r="O127" s="38">
        <f>IF((ዕቁብ!P129/ቦኖ!$C$4&gt;0),(1/2),0)</f>
        <v>0.5</v>
      </c>
      <c r="P127" s="38">
        <f>IF((ዕቁብ!Q129/ቦኖ!$C$4&gt;0),(1/2),0)</f>
        <v>0.5</v>
      </c>
      <c r="Q127" s="38">
        <f>IF((ዕቁብ!R129/ቦኖ!$C$4&gt;0),(1/2),0)</f>
        <v>0.5</v>
      </c>
      <c r="R127" s="38">
        <f>IF((ዕቁብ!S129/ቦኖ!$C$4&gt;0),(1/2),0)</f>
        <v>0.5</v>
      </c>
      <c r="S127" s="38">
        <f>IF((ዕቁብ!T129/ቦኖ!$C$4&gt;0),(1/2),0)</f>
        <v>0.5</v>
      </c>
      <c r="T127" s="38">
        <f>IF((ዕቁብ!U129/ቦኖ!$C$4&gt;0),(1/2),0)</f>
        <v>0.5</v>
      </c>
      <c r="U127" s="38">
        <f>IF((ዕቁብ!V129/ቦኖ!$C$4&gt;0),(1/2),0)</f>
        <v>0</v>
      </c>
      <c r="V127" s="38">
        <f>IF((ዕቁብ!W129/ቦኖ!$C$4&gt;0),(1/2),0)</f>
        <v>0</v>
      </c>
      <c r="W127" s="38">
        <f>IF((ዕቁብ!X129/ቦኖ!$C$4&gt;0),(1/2),0)</f>
        <v>0</v>
      </c>
      <c r="X127" s="38">
        <f>IF((ዕቁብ!Y129/ቦኖ!$C$4&gt;0),(1/2),0)</f>
        <v>0.5</v>
      </c>
      <c r="Y127" s="38">
        <f>IF((ዕቁብ!Z129/ቦኖ!$C$4&gt;0),(1/2),0)</f>
        <v>0.5</v>
      </c>
      <c r="Z127" s="38">
        <f>IF((ዕቁብ!AA129/ቦኖ!$C$4&gt;0),(1/2),0)</f>
        <v>0.5</v>
      </c>
      <c r="AA127" s="38">
        <f>IF((ዕቁብ!AB129/ቦኖ!$C$4&gt;0),(1/2),0)</f>
        <v>0.5</v>
      </c>
      <c r="AB127" s="38">
        <f>IF((ዕቁብ!AC129/ቦኖ!$C$4&gt;0),(1/2),0)</f>
        <v>0.5</v>
      </c>
      <c r="AC127" s="38">
        <f>IF((ዕቁብ!AD129/ቦኖ!$C$4&gt;0),(1/2),0)</f>
        <v>0.5</v>
      </c>
      <c r="AD127" s="38">
        <f>IF((ዕቁብ!AE129/ቦኖ!$C$4&gt;0),(1/2),0)</f>
        <v>0</v>
      </c>
      <c r="AE127" s="38">
        <f>IF((ዕቁብ!AF129/ቦኖ!$C$4&gt;0),(1/2),0)</f>
        <v>0.5</v>
      </c>
      <c r="AF127" s="38">
        <f>IF((ዕቁብ!AG129/ቦኖ!$C$4&gt;0),(1/2),0)</f>
        <v>0.5</v>
      </c>
      <c r="AG127" s="38">
        <f>IF((ዕቁብ!AH129/ቦኖ!$C$4&gt;0),(1/2),0)</f>
        <v>0</v>
      </c>
      <c r="AH127" s="38">
        <f>IF((ዕቁብ!AI129/ቦኖ!$C$4&gt;0),(1/2),0)</f>
        <v>0.5</v>
      </c>
      <c r="AI127" s="38">
        <f>IF((ዕቁብ!AJ129/ቦኖ!$C$4&gt;0),(1/2),0)</f>
        <v>0.5</v>
      </c>
      <c r="AJ127" s="38">
        <f>IF((ዕቁብ!AK129/ቦኖ!$C$4&gt;0),(1/2),0)</f>
        <v>0</v>
      </c>
      <c r="AK127" s="38">
        <f>IF((ዕቁብ!AL129/ቦኖ!$C$4&gt;0),(1/2),0)</f>
        <v>0.5</v>
      </c>
      <c r="AL127" s="38">
        <f>IF((ዕቁብ!AM129/ቦኖ!$C$4&gt;0),(1/2),0)</f>
        <v>0.5</v>
      </c>
      <c r="AM127" s="38">
        <f>IF((ዕቁብ!AN129/ቦኖ!$C$4&gt;0),(1/2),0)</f>
        <v>0.5</v>
      </c>
      <c r="AN127" s="38">
        <f>IF((ዕቁብ!AO129/ቦኖ!$C$4&gt;0),(1/2),0)</f>
        <v>0.5</v>
      </c>
      <c r="AO127" s="38">
        <f>IF((ዕቁብ!AP129/ቦኖ!$C$4&gt;0),(1/2),0)</f>
        <v>0.5</v>
      </c>
      <c r="AP127" s="38">
        <f>IF((ዕቁብ!AQ129/ቦኖ!$C$4&gt;0),(1/2),0)</f>
        <v>0.5</v>
      </c>
      <c r="AQ127" s="38">
        <f>IF((ዕቁብ!AR129/ቦኖ!$C$4&gt;0),(1/2),0)</f>
        <v>0.5</v>
      </c>
      <c r="AR127" s="38">
        <f>IF((ዕቁብ!AS129/ቦኖ!$C$4&gt;0),(1/2),0)</f>
        <v>0.5</v>
      </c>
      <c r="AS127" s="38">
        <f>IF((ዕቁብ!AT129/ቦኖ!$C$4&gt;0),(1/2),0)</f>
        <v>0</v>
      </c>
      <c r="AT127" s="38">
        <f>IF((ዕቁብ!AU129/ቦኖ!$C$4&gt;0),(1/2),0)</f>
        <v>0.5</v>
      </c>
      <c r="AU127" s="38">
        <f>IF((ዕቁብ!AV129/ቦኖ!$C$4&gt;0),(1/2),0)</f>
        <v>0.5</v>
      </c>
      <c r="AV127" s="38">
        <f>IF((ዕቁብ!AW129/ቦኖ!$C$4&gt;0),(1/2),0)</f>
        <v>0</v>
      </c>
      <c r="AW127" s="38">
        <f>IF((ዕቁብ!AX129/ቦኖ!$C$4&gt;0),(1/2),0)</f>
        <v>0.5</v>
      </c>
      <c r="AX127" s="38">
        <f>IF((ዕቁብ!AY129/ቦኖ!$C$4&gt;0),(1/2),0)</f>
        <v>0</v>
      </c>
      <c r="AY127" s="38">
        <f>IF((ዕቁብ!AZ129/ቦኖ!$C$4&gt;0),(1/2),0)</f>
        <v>0.5</v>
      </c>
      <c r="AZ127" s="38">
        <f>IF((ዕቁብ!BA129/ቦኖ!$C$4&gt;0),(1/2),0)</f>
        <v>0.5</v>
      </c>
      <c r="BA127" s="38">
        <f>IF((ዕቁብ!BB129/ቦኖ!$C$4&gt;0),(1/2),0)</f>
        <v>0</v>
      </c>
      <c r="BB127" s="38">
        <f>IF((ዕቁብ!BC129/ቦኖ!$C$4&gt;0),(1/2),0)</f>
        <v>0.5</v>
      </c>
      <c r="BC127" s="38">
        <f>IF((ዕቁብ!BD129/ቦኖ!$C$4&gt;0),(1/2),0)</f>
        <v>0</v>
      </c>
      <c r="BD127" s="38">
        <f>IF((ዕቁብ!BE129/ቦኖ!$C$4&gt;0),(1/2),0)</f>
        <v>0.5</v>
      </c>
      <c r="BE127" s="38">
        <f>IF((ዕቁብ!BF129/ቦኖ!$C$4&gt;0),(1/2),0)</f>
        <v>0</v>
      </c>
      <c r="BF127" s="38">
        <f>IF((ዕቁብ!BG129/ቦኖ!$C$4&gt;0),(1/2),0)</f>
        <v>0</v>
      </c>
      <c r="BG127" s="38">
        <f>IF((ዕቁብ!BH129/ቦኖ!$C$4&gt;0),(1/2),0)</f>
        <v>0</v>
      </c>
      <c r="BH127" s="38">
        <f>IF((ዕቁብ!BI129/ቦኖ!$C$4&gt;0),(1/2),0)</f>
        <v>0.5</v>
      </c>
      <c r="BI127" s="38">
        <f>IF((ዕቁብ!BJ129/ቦኖ!$C$4&gt;0),(1/2),0)</f>
        <v>0</v>
      </c>
      <c r="BJ127" s="38">
        <f>IF((ዕቁብ!BK129/ቦኖ!$C$4&gt;0),(1/2),0)</f>
        <v>0</v>
      </c>
      <c r="BK127" s="38">
        <f>IF((ዕቁብ!BL129/ቦኖ!$C$4&gt;0),(1/2),0)</f>
        <v>0</v>
      </c>
      <c r="BL127" s="38">
        <f>IF((ዕቁብ!BM129/ቦኖ!$C$4&gt;0),(1/2),0)</f>
        <v>0</v>
      </c>
      <c r="BM127" s="38">
        <f>IF((ዕቁብ!BN129/ቦኖ!$C$4&gt;0),(1/2),0)</f>
        <v>0</v>
      </c>
      <c r="BN127" s="38">
        <f>IF((ዕቁብ!BO129/ቦኖ!$C$4&gt;0),(1/2),0)</f>
        <v>0</v>
      </c>
      <c r="BO127" s="38">
        <f>IF((ዕቁብ!BP129/ቦኖ!$C$4&gt;0),(1/2),0)</f>
        <v>0</v>
      </c>
      <c r="BP127" s="38">
        <f>IF((ዕቁብ!BQ129/ቦኖ!$C$4&gt;0),(1/2),0)</f>
        <v>0</v>
      </c>
      <c r="BQ127" s="38">
        <f>IF((ዕቁብ!BR129/ቦኖ!$C$4&gt;0),(1/2),0)</f>
        <v>0</v>
      </c>
      <c r="BR127" s="38">
        <f>IF((ዕቁብ!BS129/ቦኖ!$C$4&gt;0),(1/2),0)</f>
        <v>0</v>
      </c>
      <c r="BS127" s="38">
        <f>IF((ዕቁብ!BT129/ቦኖ!$C$4&gt;0),(1/2),0)</f>
        <v>0</v>
      </c>
      <c r="BT127" s="38">
        <f>IF((ዕቁብ!BU129/ቦኖ!$C$4&gt;0),(1/2),0)</f>
        <v>0</v>
      </c>
      <c r="BU127" s="38">
        <f>IF((ዕቁብ!BV129/ቦኖ!$C$4&gt;0),(1/2),0)</f>
        <v>0</v>
      </c>
      <c r="BV127" s="38">
        <f>IF((ዕቁብ!BW129/ቦኖ!$C$4&gt;0),(1/2),0)</f>
        <v>0</v>
      </c>
      <c r="BW127" s="38">
        <f>IF((ዕቁብ!BX129/ቦኖ!$C$4&gt;0),(1/2),0)</f>
        <v>0</v>
      </c>
      <c r="BX127" s="38">
        <f>IF((ዕቁብ!BY129/ቦኖ!$C$4&gt;0),(1/2),0)</f>
        <v>0</v>
      </c>
      <c r="BY127" s="38">
        <f>IF((ዕቁብ!BZ129/ቦኖ!$C$4&gt;0),(1/2),0)</f>
        <v>0</v>
      </c>
      <c r="BZ127" s="38">
        <f>IF((ዕቁብ!CA129/ቦኖ!$C$4&gt;0),(1/2),0)</f>
        <v>0</v>
      </c>
      <c r="CA127" s="38">
        <f>IF((ዕቁብ!CB129/ቦኖ!$C$4&gt;0),(1/2),0)</f>
        <v>0</v>
      </c>
      <c r="CB127" s="38">
        <f>IF((ዕቁብ!CC129/ቦኖ!$C$4&gt;0),(1/2),0)</f>
        <v>0</v>
      </c>
      <c r="CC127" s="38">
        <f>IF((ዕቁብ!CD129/ቦኖ!$C$4&gt;0),(1/2),0)</f>
        <v>0</v>
      </c>
      <c r="CD127" s="38">
        <f>IF((ዕቁብ!CE129/ቦኖ!$C$4&gt;0),(1/2),0)</f>
        <v>0</v>
      </c>
      <c r="CE127" s="38">
        <f>IF((ዕቁብ!CF129/ቦኖ!$C$4&gt;0),(1/2),0)</f>
        <v>0</v>
      </c>
      <c r="CF127" s="38">
        <f>IF((ዕቁብ!CG129/ቦኖ!$C$4&gt;0),(1/2),0)</f>
        <v>0</v>
      </c>
      <c r="CG127" s="38">
        <f>IF((ዕቁብ!CH129/ቦኖ!$C$4&gt;0),(1/2),0)</f>
        <v>0</v>
      </c>
      <c r="CH127" s="38">
        <f>IF((ዕቁብ!CI129/ቦኖ!$C$4&gt;0),(1/2),0)</f>
        <v>0</v>
      </c>
      <c r="CI127" s="38">
        <f>IF((ዕቁብ!CJ129/ቦኖ!$C$4&gt;0),(1/2),0)</f>
        <v>0</v>
      </c>
      <c r="CJ127" s="38">
        <f>IF((ዕቁብ!CK129/ቦኖ!$C$4&gt;0),(1/2),0)</f>
        <v>0</v>
      </c>
      <c r="CK127" s="38">
        <f>IF((ዕቁብ!CL129/ቦኖ!$C$4&gt;0),(1/2),0)</f>
        <v>0</v>
      </c>
      <c r="CL127" s="38">
        <f>IF((ዕቁብ!CM129/ቦኖ!$C$4&gt;0),(1/2),0)</f>
        <v>0</v>
      </c>
      <c r="CM127" s="38">
        <f>IF((ዕቁብ!CN129/ቦኖ!$C$4&gt;0),(1/2),0)</f>
        <v>0</v>
      </c>
      <c r="CN127" s="38">
        <f>IF((ዕቁብ!CO129/ቦኖ!$C$4&gt;0),(1/2),0)</f>
        <v>0</v>
      </c>
      <c r="CO127" s="38">
        <f>IF((ዕቁብ!CP129/ቦኖ!$C$4&gt;0),(1/2),0)</f>
        <v>0</v>
      </c>
      <c r="CP127" s="38">
        <f>IF((ዕቁብ!CQ129/ቦኖ!$C$4&gt;0),(1/2),0)</f>
        <v>0</v>
      </c>
      <c r="CQ127" s="38">
        <f>IF((ዕቁብ!CR129/ቦኖ!$C$4&gt;0),(1/2),0)</f>
        <v>0</v>
      </c>
      <c r="CR127" s="38">
        <f>IF((ዕቁብ!CS129/ቦኖ!$C$4&gt;0),(1/2),0)</f>
        <v>0</v>
      </c>
      <c r="CS127" s="38">
        <f>IF((ዕቁብ!CT129/ቦኖ!$C$4&gt;0),(1/2),0)</f>
        <v>0</v>
      </c>
      <c r="CT127" s="38">
        <f>IF((ዕቁብ!CU129/ቦኖ!$C$4&gt;0),(1/2),0)</f>
        <v>0</v>
      </c>
      <c r="CU127" s="38">
        <f>IF((ዕቁብ!CV129/ቦኖ!$C$4&gt;0),(1/2),0)</f>
        <v>0</v>
      </c>
      <c r="CV127" s="38">
        <f>IF((ዕቁብ!CW129/ቦኖ!$C$4&gt;0),(1/2),0)</f>
        <v>0</v>
      </c>
      <c r="CW127" s="38">
        <f>IF((ዕቁብ!CX129/ቦኖ!$C$4&gt;0),(1/2),0)</f>
        <v>0</v>
      </c>
      <c r="CX127" s="38">
        <f>IF((ዕቁብ!CY129/ቦኖ!$C$4&gt;0),(1/2),0)</f>
        <v>0</v>
      </c>
      <c r="CY127" s="38">
        <f>IF((ዕቁብ!CZ129/ቦኖ!$C$4&gt;0),(1/2),0)</f>
        <v>0</v>
      </c>
      <c r="CZ127" s="38">
        <f>IF((ዕቁብ!DA129/ቦኖ!$C$4&gt;0),(1/2),0)</f>
        <v>0</v>
      </c>
      <c r="DA127" s="38">
        <f>IF((ዕቁብ!DB129/ቦኖ!$C$4&gt;0),(1/2),0)</f>
        <v>0</v>
      </c>
      <c r="DB127" s="38">
        <f>IF((ዕቁብ!DC129/ቦኖ!$C$4&gt;0),(1/2),0)</f>
        <v>0</v>
      </c>
      <c r="DC127" s="38">
        <f>IF((ዕቁብ!DD129/ቦኖ!$C$4&gt;0),(1/2),0)</f>
        <v>0</v>
      </c>
      <c r="DD127" s="38">
        <f>IF((ዕቁብ!DE129/ቦኖ!$C$4&gt;0),(1/2),0)</f>
        <v>0</v>
      </c>
      <c r="DE127" s="38">
        <f>IF((ዕቁብ!DF129/ቦኖ!$C$4&gt;0),(1/2),0)</f>
        <v>0</v>
      </c>
      <c r="DF127" s="38">
        <f>IF((ዕቁብ!DG129/ቦኖ!$C$4&gt;0),(1/2),0)</f>
        <v>0</v>
      </c>
      <c r="DG127" s="38">
        <f>IF((ዕቁብ!DH129/ቦኖ!$C$4&gt;0),(1/2),0)</f>
        <v>0</v>
      </c>
      <c r="DH127" s="38">
        <f>IF((ዕቁብ!DI129/ቦኖ!$C$4&gt;0),(1/2),0)</f>
        <v>0</v>
      </c>
      <c r="DI127" s="38">
        <f>IF((ዕቁብ!DJ129/ቦኖ!$C$4&gt;0),(1/2),0)</f>
        <v>0</v>
      </c>
      <c r="DJ127" s="38">
        <f>IF((ዕቁብ!DK129/ቦኖ!$C$4&gt;0),(1/2),0)</f>
        <v>0</v>
      </c>
      <c r="DK127" s="38">
        <f>IF((ዕቁብ!DL129/ቦኖ!$C$4&gt;0),(1/2),0)</f>
        <v>0</v>
      </c>
      <c r="DL127" s="38">
        <f>IF((ዕቁብ!DM129/ቦኖ!$C$4&gt;0),(1/2),0)</f>
        <v>0</v>
      </c>
      <c r="DM127" s="38">
        <f>IF((ዕቁብ!DN129/ቦኖ!$C$4&gt;0),(1/2),0)</f>
        <v>0</v>
      </c>
      <c r="DN127" s="38">
        <f>IF((ዕቁብ!DO129/ቦኖ!$C$4&gt;0),(1/2),0)</f>
        <v>0</v>
      </c>
      <c r="DO127" s="38">
        <f>IF((ዕቁብ!DP129/ቦኖ!$C$4&gt;0),(1/2),0)</f>
        <v>0</v>
      </c>
      <c r="DP127" s="38">
        <f>IF((ዕቁብ!DQ129/ቦኖ!$C$4&gt;0),(1/2),0)</f>
        <v>0</v>
      </c>
      <c r="DQ127" s="38">
        <f>IF((ዕቁብ!DR129/ቦኖ!$C$4&gt;0),(1/2),0)</f>
        <v>0</v>
      </c>
    </row>
    <row r="128" spans="1:121" ht="15.75" customHeight="1" x14ac:dyDescent="0.3">
      <c r="A128" s="33">
        <f>ዕቁብ!A130</f>
        <v>109</v>
      </c>
      <c r="B128" s="33" t="str">
        <f>ዕቁብ!B130</f>
        <v>ዘይኑ ባጀግባ</v>
      </c>
      <c r="C128" s="37">
        <f>ዕቁብ!C130</f>
        <v>10500</v>
      </c>
      <c r="D128" s="38">
        <f>IF((ዕቁብ!E130/ቦኖ!$C$4&gt;0),(1/2),0)</f>
        <v>0.5</v>
      </c>
      <c r="E128" s="38">
        <f>IF((ዕቁብ!F130/ቦኖ!$C$4&gt;0),(1/2),0)</f>
        <v>0.5</v>
      </c>
      <c r="F128" s="38">
        <f>IF((ዕቁብ!G130/ቦኖ!$C$4&gt;0),(1/2),0)</f>
        <v>0.5</v>
      </c>
      <c r="G128" s="38">
        <f>IF((ዕቁብ!H130/ቦኖ!$C$4&gt;0),(1/2),0)</f>
        <v>0.5</v>
      </c>
      <c r="H128" s="38">
        <f>IF((ዕቁብ!I130/ቦኖ!$C$4&gt;0),(1/2),0)</f>
        <v>0.5</v>
      </c>
      <c r="I128" s="38">
        <f>IF((ዕቁብ!J130/ቦኖ!$C$4&gt;0),(1/2),0)</f>
        <v>0.5</v>
      </c>
      <c r="J128" s="38">
        <f>IF((ዕቁብ!K130/ቦኖ!$C$4&gt;0),(1/2),0)</f>
        <v>0.5</v>
      </c>
      <c r="K128" s="38">
        <f>IF((ዕቁብ!L130/ቦኖ!$C$4&gt;0),(1/2),0)</f>
        <v>0.5</v>
      </c>
      <c r="L128" s="38">
        <f>IF((ዕቁብ!M130/ቦኖ!$C$4&gt;0),(1/2),0)</f>
        <v>0.5</v>
      </c>
      <c r="M128" s="38">
        <f>IF((ዕቁብ!N130/ቦኖ!$C$4&gt;0),(1/2),0)</f>
        <v>0.5</v>
      </c>
      <c r="N128" s="38">
        <f>IF((ዕቁብ!O130/ቦኖ!$C$4&gt;0),(1/2),0)</f>
        <v>0.5</v>
      </c>
      <c r="O128" s="38">
        <f>IF((ዕቁብ!P130/ቦኖ!$C$4&gt;0),(1/2),0)</f>
        <v>0.5</v>
      </c>
      <c r="P128" s="38">
        <f>IF((ዕቁብ!Q130/ቦኖ!$C$4&gt;0),(1/2),0)</f>
        <v>0.5</v>
      </c>
      <c r="Q128" s="38">
        <f>IF((ዕቁብ!R130/ቦኖ!$C$4&gt;0),(1/2),0)</f>
        <v>0.5</v>
      </c>
      <c r="R128" s="38">
        <f>IF((ዕቁብ!S130/ቦኖ!$C$4&gt;0),(1/2),0)</f>
        <v>0.5</v>
      </c>
      <c r="S128" s="38">
        <f>IF((ዕቁብ!T130/ቦኖ!$C$4&gt;0),(1/2),0)</f>
        <v>0.5</v>
      </c>
      <c r="T128" s="38">
        <f>IF((ዕቁብ!U130/ቦኖ!$C$4&gt;0),(1/2),0)</f>
        <v>0.5</v>
      </c>
      <c r="U128" s="38">
        <f>IF((ዕቁብ!V130/ቦኖ!$C$4&gt;0),(1/2),0)</f>
        <v>0.5</v>
      </c>
      <c r="V128" s="38">
        <f>IF((ዕቁብ!W130/ቦኖ!$C$4&gt;0),(1/2),0)</f>
        <v>0.5</v>
      </c>
      <c r="W128" s="38">
        <f>IF((ዕቁብ!X130/ቦኖ!$C$4&gt;0),(1/2),0)</f>
        <v>0.5</v>
      </c>
      <c r="X128" s="38">
        <f>IF((ዕቁብ!Y130/ቦኖ!$C$4&gt;0),(1/2),0)</f>
        <v>0.5</v>
      </c>
      <c r="Y128" s="38">
        <f>IF((ዕቁብ!Z130/ቦኖ!$C$4&gt;0),(1/2),0)</f>
        <v>0.5</v>
      </c>
      <c r="Z128" s="38">
        <f>IF((ዕቁብ!AA130/ቦኖ!$C$4&gt;0),(1/2),0)</f>
        <v>0.5</v>
      </c>
      <c r="AA128" s="38">
        <f>IF((ዕቁብ!AB130/ቦኖ!$C$4&gt;0),(1/2),0)</f>
        <v>0.5</v>
      </c>
      <c r="AB128" s="38">
        <f>IF((ዕቁብ!AC130/ቦኖ!$C$4&gt;0),(1/2),0)</f>
        <v>0.5</v>
      </c>
      <c r="AC128" s="38">
        <f>IF((ዕቁብ!AD130/ቦኖ!$C$4&gt;0),(1/2),0)</f>
        <v>0.5</v>
      </c>
      <c r="AD128" s="38">
        <f>IF((ዕቁብ!AE130/ቦኖ!$C$4&gt;0),(1/2),0)</f>
        <v>0.5</v>
      </c>
      <c r="AE128" s="38">
        <f>IF((ዕቁብ!AF130/ቦኖ!$C$4&gt;0),(1/2),0)</f>
        <v>0.5</v>
      </c>
      <c r="AF128" s="38">
        <f>IF((ዕቁብ!AG130/ቦኖ!$C$4&gt;0),(1/2),0)</f>
        <v>0.5</v>
      </c>
      <c r="AG128" s="38">
        <f>IF((ዕቁብ!AH130/ቦኖ!$C$4&gt;0),(1/2),0)</f>
        <v>0.5</v>
      </c>
      <c r="AH128" s="38">
        <f>IF((ዕቁብ!AI130/ቦኖ!$C$4&gt;0),(1/2),0)</f>
        <v>0.5</v>
      </c>
      <c r="AI128" s="38">
        <f>IF((ዕቁብ!AJ130/ቦኖ!$C$4&gt;0),(1/2),0)</f>
        <v>0.5</v>
      </c>
      <c r="AJ128" s="38">
        <f>IF((ዕቁብ!AK130/ቦኖ!$C$4&gt;0),(1/2),0)</f>
        <v>0.5</v>
      </c>
      <c r="AK128" s="38">
        <f>IF((ዕቁብ!AL130/ቦኖ!$C$4&gt;0),(1/2),0)</f>
        <v>0.5</v>
      </c>
      <c r="AL128" s="38">
        <f>IF((ዕቁብ!AM130/ቦኖ!$C$4&gt;0),(1/2),0)</f>
        <v>0.5</v>
      </c>
      <c r="AM128" s="38">
        <f>IF((ዕቁብ!AN130/ቦኖ!$C$4&gt;0),(1/2),0)</f>
        <v>0.5</v>
      </c>
      <c r="AN128" s="38">
        <f>IF((ዕቁብ!AO130/ቦኖ!$C$4&gt;0),(1/2),0)</f>
        <v>0.5</v>
      </c>
      <c r="AO128" s="38">
        <f>IF((ዕቁብ!AP130/ቦኖ!$C$4&gt;0),(1/2),0)</f>
        <v>0.5</v>
      </c>
      <c r="AP128" s="38">
        <f>IF((ዕቁብ!AQ130/ቦኖ!$C$4&gt;0),(1/2),0)</f>
        <v>0.5</v>
      </c>
      <c r="AQ128" s="38">
        <f>IF((ዕቁብ!AR130/ቦኖ!$C$4&gt;0),(1/2),0)</f>
        <v>0.5</v>
      </c>
      <c r="AR128" s="38">
        <f>IF((ዕቁብ!AS130/ቦኖ!$C$4&gt;0),(1/2),0)</f>
        <v>0.5</v>
      </c>
      <c r="AS128" s="38">
        <f>IF((ዕቁብ!AT130/ቦኖ!$C$4&gt;0),(1/2),0)</f>
        <v>0.5</v>
      </c>
      <c r="AT128" s="38">
        <f>IF((ዕቁብ!AU130/ቦኖ!$C$4&gt;0),(1/2),0)</f>
        <v>0.5</v>
      </c>
      <c r="AU128" s="38">
        <f>IF((ዕቁብ!AV130/ቦኖ!$C$4&gt;0),(1/2),0)</f>
        <v>0.5</v>
      </c>
      <c r="AV128" s="38">
        <f>IF((ዕቁብ!AW130/ቦኖ!$C$4&gt;0),(1/2),0)</f>
        <v>0.5</v>
      </c>
      <c r="AW128" s="38">
        <f>IF((ዕቁብ!AX130/ቦኖ!$C$4&gt;0),(1/2),0)</f>
        <v>0.5</v>
      </c>
      <c r="AX128" s="38">
        <f>IF((ዕቁብ!AY130/ቦኖ!$C$4&gt;0),(1/2),0)</f>
        <v>0.5</v>
      </c>
      <c r="AY128" s="38">
        <f>IF((ዕቁብ!AZ130/ቦኖ!$C$4&gt;0),(1/2),0)</f>
        <v>0.5</v>
      </c>
      <c r="AZ128" s="38">
        <f>IF((ዕቁብ!BA130/ቦኖ!$C$4&gt;0),(1/2),0)</f>
        <v>0.5</v>
      </c>
      <c r="BA128" s="38">
        <f>IF((ዕቁብ!BB130/ቦኖ!$C$4&gt;0),(1/2),0)</f>
        <v>0.5</v>
      </c>
      <c r="BB128" s="38">
        <f>IF((ዕቁብ!BC130/ቦኖ!$C$4&gt;0),(1/2),0)</f>
        <v>0.5</v>
      </c>
      <c r="BC128" s="38">
        <f>IF((ዕቁብ!BD130/ቦኖ!$C$4&gt;0),(1/2),0)</f>
        <v>0.5</v>
      </c>
      <c r="BD128" s="38">
        <f>IF((ዕቁብ!BE130/ቦኖ!$C$4&gt;0),(1/2),0)</f>
        <v>0.5</v>
      </c>
      <c r="BE128" s="38">
        <f>IF((ዕቁብ!BF130/ቦኖ!$C$4&gt;0),(1/2),0)</f>
        <v>0.5</v>
      </c>
      <c r="BF128" s="38">
        <f>IF((ዕቁብ!BG130/ቦኖ!$C$4&gt;0),(1/2),0)</f>
        <v>0.5</v>
      </c>
      <c r="BG128" s="38">
        <f>IF((ዕቁብ!BH130/ቦኖ!$C$4&gt;0),(1/2),0)</f>
        <v>0.5</v>
      </c>
      <c r="BH128" s="38">
        <f>IF((ዕቁብ!BI130/ቦኖ!$C$4&gt;0),(1/2),0)</f>
        <v>0.5</v>
      </c>
      <c r="BI128" s="38">
        <f>IF((ዕቁብ!BJ130/ቦኖ!$C$4&gt;0),(1/2),0)</f>
        <v>0.5</v>
      </c>
      <c r="BJ128" s="38">
        <f>IF((ዕቁብ!BK130/ቦኖ!$C$4&gt;0),(1/2),0)</f>
        <v>0.5</v>
      </c>
      <c r="BK128" s="38">
        <f>IF((ዕቁብ!BL130/ቦኖ!$C$4&gt;0),(1/2),0)</f>
        <v>0.5</v>
      </c>
      <c r="BL128" s="38">
        <f>IF((ዕቁብ!BM130/ቦኖ!$C$4&gt;0),(1/2),0)</f>
        <v>0.5</v>
      </c>
      <c r="BM128" s="38">
        <f>IF((ዕቁብ!BN130/ቦኖ!$C$4&gt;0),(1/2),0)</f>
        <v>0</v>
      </c>
      <c r="BN128" s="38">
        <f>IF((ዕቁብ!BO130/ቦኖ!$C$4&gt;0),(1/2),0)</f>
        <v>0.5</v>
      </c>
      <c r="BO128" s="38">
        <f>IF((ዕቁብ!BP130/ቦኖ!$C$4&gt;0),(1/2),0)</f>
        <v>0.5</v>
      </c>
      <c r="BP128" s="38">
        <f>IF((ዕቁብ!BQ130/ቦኖ!$C$4&gt;0),(1/2),0)</f>
        <v>0.5</v>
      </c>
      <c r="BQ128" s="38">
        <f>IF((ዕቁብ!BR130/ቦኖ!$C$4&gt;0),(1/2),0)</f>
        <v>0.5</v>
      </c>
      <c r="BR128" s="38">
        <f>IF((ዕቁብ!BS130/ቦኖ!$C$4&gt;0),(1/2),0)</f>
        <v>0.5</v>
      </c>
      <c r="BS128" s="38">
        <f>IF((ዕቁብ!BT130/ቦኖ!$C$4&gt;0),(1/2),0)</f>
        <v>0.5</v>
      </c>
      <c r="BT128" s="38">
        <f>IF((ዕቁብ!BU130/ቦኖ!$C$4&gt;0),(1/2),0)</f>
        <v>0.5</v>
      </c>
      <c r="BU128" s="38">
        <f>IF((ዕቁብ!BV130/ቦኖ!$C$4&gt;0),(1/2),0)</f>
        <v>0.5</v>
      </c>
      <c r="BV128" s="38">
        <f>IF((ዕቁብ!BW130/ቦኖ!$C$4&gt;0),(1/2),0)</f>
        <v>0.5</v>
      </c>
      <c r="BW128" s="38">
        <f>IF((ዕቁብ!BX130/ቦኖ!$C$4&gt;0),(1/2),0)</f>
        <v>0.5</v>
      </c>
      <c r="BX128" s="38">
        <f>IF((ዕቁብ!BY130/ቦኖ!$C$4&gt;0),(1/2),0)</f>
        <v>0.5</v>
      </c>
      <c r="BY128" s="38">
        <f>IF((ዕቁብ!BZ130/ቦኖ!$C$4&gt;0),(1/2),0)</f>
        <v>0.5</v>
      </c>
      <c r="BZ128" s="38">
        <f>IF((ዕቁብ!CA130/ቦኖ!$C$4&gt;0),(1/2),0)</f>
        <v>0.5</v>
      </c>
      <c r="CA128" s="38">
        <f>IF((ዕቁብ!CB130/ቦኖ!$C$4&gt;0),(1/2),0)</f>
        <v>0.5</v>
      </c>
      <c r="CB128" s="38">
        <f>IF((ዕቁብ!CC130/ቦኖ!$C$4&gt;0),(1/2),0)</f>
        <v>0.5</v>
      </c>
      <c r="CC128" s="38">
        <f>IF((ዕቁብ!CD130/ቦኖ!$C$4&gt;0),(1/2),0)</f>
        <v>0.5</v>
      </c>
      <c r="CD128" s="38">
        <f>IF((ዕቁብ!CE130/ቦኖ!$C$4&gt;0),(1/2),0)</f>
        <v>0.5</v>
      </c>
      <c r="CE128" s="38">
        <f>IF((ዕቁብ!CF130/ቦኖ!$C$4&gt;0),(1/2),0)</f>
        <v>0.5</v>
      </c>
      <c r="CF128" s="38">
        <f>IF((ዕቁብ!CG130/ቦኖ!$C$4&gt;0),(1/2),0)</f>
        <v>0.5</v>
      </c>
      <c r="CG128" s="38">
        <f>IF((ዕቁብ!CH130/ቦኖ!$C$4&gt;0),(1/2),0)</f>
        <v>0.5</v>
      </c>
      <c r="CH128" s="38">
        <f>IF((ዕቁብ!CI130/ቦኖ!$C$4&gt;0),(1/2),0)</f>
        <v>0.5</v>
      </c>
      <c r="CI128" s="38">
        <f>IF((ዕቁብ!CJ130/ቦኖ!$C$4&gt;0),(1/2),0)</f>
        <v>0.5</v>
      </c>
      <c r="CJ128" s="38">
        <f>IF((ዕቁብ!CK130/ቦኖ!$C$4&gt;0),(1/2),0)</f>
        <v>0.5</v>
      </c>
      <c r="CK128" s="38">
        <f>IF((ዕቁብ!CL130/ቦኖ!$C$4&gt;0),(1/2),0)</f>
        <v>0.5</v>
      </c>
      <c r="CL128" s="38">
        <f>IF((ዕቁብ!CM130/ቦኖ!$C$4&gt;0),(1/2),0)</f>
        <v>0</v>
      </c>
      <c r="CM128" s="38">
        <f>IF((ዕቁብ!CN130/ቦኖ!$C$4&gt;0),(1/2),0)</f>
        <v>0.5</v>
      </c>
      <c r="CN128" s="38">
        <f>IF((ዕቁብ!CO130/ቦኖ!$C$4&gt;0),(1/2),0)</f>
        <v>0.5</v>
      </c>
      <c r="CO128" s="38">
        <f>IF((ዕቁብ!CP130/ቦኖ!$C$4&gt;0),(1/2),0)</f>
        <v>0.5</v>
      </c>
      <c r="CP128" s="38">
        <f>IF((ዕቁብ!CQ130/ቦኖ!$C$4&gt;0),(1/2),0)</f>
        <v>0.5</v>
      </c>
      <c r="CQ128" s="38">
        <f>IF((ዕቁብ!CR130/ቦኖ!$C$4&gt;0),(1/2),0)</f>
        <v>0.5</v>
      </c>
      <c r="CR128" s="38">
        <f>IF((ዕቁብ!CS130/ቦኖ!$C$4&gt;0),(1/2),0)</f>
        <v>0.5</v>
      </c>
      <c r="CS128" s="38">
        <f>IF((ዕቁብ!CT130/ቦኖ!$C$4&gt;0),(1/2),0)</f>
        <v>0.5</v>
      </c>
      <c r="CT128" s="38">
        <f>IF((ዕቁብ!CU130/ቦኖ!$C$4&gt;0),(1/2),0)</f>
        <v>0.5</v>
      </c>
      <c r="CU128" s="38">
        <f>IF((ዕቁብ!CV130/ቦኖ!$C$4&gt;0),(1/2),0)</f>
        <v>0.5</v>
      </c>
      <c r="CV128" s="38">
        <f>IF((ዕቁብ!CW130/ቦኖ!$C$4&gt;0),(1/2),0)</f>
        <v>0.5</v>
      </c>
      <c r="CW128" s="38">
        <f>IF((ዕቁብ!CX130/ቦኖ!$C$4&gt;0),(1/2),0)</f>
        <v>0.5</v>
      </c>
      <c r="CX128" s="38">
        <f>IF((ዕቁብ!CY130/ቦኖ!$C$4&gt;0),(1/2),0)</f>
        <v>0.5</v>
      </c>
      <c r="CY128" s="38">
        <f>IF((ዕቁብ!CZ130/ቦኖ!$C$4&gt;0),(1/2),0)</f>
        <v>0.5</v>
      </c>
      <c r="CZ128" s="38">
        <f>IF((ዕቁብ!DA130/ቦኖ!$C$4&gt;0),(1/2),0)</f>
        <v>0.5</v>
      </c>
      <c r="DA128" s="38">
        <f>IF((ዕቁብ!DB130/ቦኖ!$C$4&gt;0),(1/2),0)</f>
        <v>0.5</v>
      </c>
      <c r="DB128" s="38">
        <f>IF((ዕቁብ!DC130/ቦኖ!$C$4&gt;0),(1/2),0)</f>
        <v>0.5</v>
      </c>
      <c r="DC128" s="38">
        <f>IF((ዕቁብ!DD130/ቦኖ!$C$4&gt;0),(1/2),0)</f>
        <v>0.5</v>
      </c>
      <c r="DD128" s="38">
        <f>IF((ዕቁብ!DE130/ቦኖ!$C$4&gt;0),(1/2),0)</f>
        <v>0.5</v>
      </c>
      <c r="DE128" s="38">
        <f>IF((ዕቁብ!DF130/ቦኖ!$C$4&gt;0),(1/2),0)</f>
        <v>0.5</v>
      </c>
      <c r="DF128" s="38">
        <f>IF((ዕቁብ!DG130/ቦኖ!$C$4&gt;0),(1/2),0)</f>
        <v>0.5</v>
      </c>
      <c r="DG128" s="38">
        <f>IF((ዕቁብ!DH130/ቦኖ!$C$4&gt;0),(1/2),0)</f>
        <v>0.5</v>
      </c>
      <c r="DH128" s="38">
        <f>IF((ዕቁብ!DI130/ቦኖ!$C$4&gt;0),(1/2),0)</f>
        <v>0</v>
      </c>
      <c r="DI128" s="38">
        <f>IF((ዕቁብ!DJ130/ቦኖ!$C$4&gt;0),(1/2),0)</f>
        <v>0</v>
      </c>
      <c r="DJ128" s="38">
        <f>IF((ዕቁብ!DK130/ቦኖ!$C$4&gt;0),(1/2),0)</f>
        <v>0</v>
      </c>
      <c r="DK128" s="38">
        <f>IF((ዕቁብ!DL130/ቦኖ!$C$4&gt;0),(1/2),0)</f>
        <v>0</v>
      </c>
      <c r="DL128" s="38">
        <f>IF((ዕቁብ!DM130/ቦኖ!$C$4&gt;0),(1/2),0)</f>
        <v>0</v>
      </c>
      <c r="DM128" s="38">
        <f>IF((ዕቁብ!DN130/ቦኖ!$C$4&gt;0),(1/2),0)</f>
        <v>0</v>
      </c>
      <c r="DN128" s="38">
        <f>IF((ዕቁብ!DO130/ቦኖ!$C$4&gt;0),(1/2),0)</f>
        <v>0</v>
      </c>
      <c r="DO128" s="38">
        <f>IF((ዕቁብ!DP130/ቦኖ!$C$4&gt;0),(1/2),0)</f>
        <v>0</v>
      </c>
      <c r="DP128" s="38">
        <f>IF((ዕቁብ!DQ130/ቦኖ!$C$4&gt;0),(1/2),0)</f>
        <v>0</v>
      </c>
      <c r="DQ128" s="38">
        <f>IF((ዕቁብ!DR130/ቦኖ!$C$4&gt;0),(1/2),0)</f>
        <v>0</v>
      </c>
    </row>
    <row r="129" spans="1:122" ht="15.75" customHeight="1" x14ac:dyDescent="0.3">
      <c r="A129" s="33">
        <f>ዕቁብ!A131</f>
        <v>110</v>
      </c>
      <c r="B129" s="33" t="str">
        <f>ዕቁብ!B131</f>
        <v>ኤልያስ ኩኪሳ</v>
      </c>
      <c r="C129" s="37">
        <f>ዕቁብ!C131</f>
        <v>10500</v>
      </c>
      <c r="D129" s="38">
        <f>IF((ዕቁብ!E131/ቦኖ!$C$4&gt;0),(1/2),0)</f>
        <v>0.5</v>
      </c>
      <c r="E129" s="38">
        <f>IF((ዕቁብ!F131/ቦኖ!$C$4&gt;0),(1/2),0)</f>
        <v>0.5</v>
      </c>
      <c r="F129" s="38">
        <f>IF((ዕቁብ!G131/ቦኖ!$C$4&gt;0),(1/2),0)</f>
        <v>0.5</v>
      </c>
      <c r="G129" s="38">
        <f>IF((ዕቁብ!H131/ቦኖ!$C$4&gt;0),(1/2),0)</f>
        <v>0.5</v>
      </c>
      <c r="H129" s="38">
        <f>IF((ዕቁብ!I131/ቦኖ!$C$4&gt;0),(1/2),0)</f>
        <v>0.5</v>
      </c>
      <c r="I129" s="38">
        <f>IF((ዕቁብ!J131/ቦኖ!$C$4&gt;0),(1/2),0)</f>
        <v>0.5</v>
      </c>
      <c r="J129" s="38">
        <f>IF((ዕቁብ!K131/ቦኖ!$C$4&gt;0),(1/2),0)</f>
        <v>0.5</v>
      </c>
      <c r="K129" s="38">
        <f>IF((ዕቁብ!L131/ቦኖ!$C$4&gt;0),(1/2),0)</f>
        <v>0.5</v>
      </c>
      <c r="L129" s="38">
        <f>IF((ዕቁብ!M131/ቦኖ!$C$4&gt;0),(1/2),0)</f>
        <v>0.5</v>
      </c>
      <c r="M129" s="38">
        <f>IF((ዕቁብ!N131/ቦኖ!$C$4&gt;0),(1/2),0)</f>
        <v>0.5</v>
      </c>
      <c r="N129" s="38">
        <f>IF((ዕቁብ!O131/ቦኖ!$C$4&gt;0),(1/2),0)</f>
        <v>0.5</v>
      </c>
      <c r="O129" s="38">
        <f>IF((ዕቁብ!P131/ቦኖ!$C$4&gt;0),(1/2),0)</f>
        <v>0.5</v>
      </c>
      <c r="P129" s="38">
        <f>IF((ዕቁብ!Q131/ቦኖ!$C$4&gt;0),(1/2),0)</f>
        <v>0.5</v>
      </c>
      <c r="Q129" s="38">
        <f>IF((ዕቁብ!R131/ቦኖ!$C$4&gt;0),(1/2),0)</f>
        <v>0.5</v>
      </c>
      <c r="R129" s="38">
        <f>IF((ዕቁብ!S131/ቦኖ!$C$4&gt;0),(1/2),0)</f>
        <v>0.5</v>
      </c>
      <c r="S129" s="38">
        <f>IF((ዕቁብ!T131/ቦኖ!$C$4&gt;0),(1/2),0)</f>
        <v>0.5</v>
      </c>
      <c r="T129" s="38">
        <f>IF((ዕቁብ!U131/ቦኖ!$C$4&gt;0),(1/2),0)</f>
        <v>0.5</v>
      </c>
      <c r="U129" s="38">
        <f>IF((ዕቁብ!V131/ቦኖ!$C$4&gt;0),(1/2),0)</f>
        <v>0.5</v>
      </c>
      <c r="V129" s="38">
        <f>IF((ዕቁብ!W131/ቦኖ!$C$4&gt;0),(1/2),0)</f>
        <v>0.5</v>
      </c>
      <c r="W129" s="38">
        <f>IF((ዕቁብ!X131/ቦኖ!$C$4&gt;0),(1/2),0)</f>
        <v>0.5</v>
      </c>
      <c r="X129" s="38">
        <f>IF((ዕቁብ!Y131/ቦኖ!$C$4&gt;0),(1/2),0)</f>
        <v>0.5</v>
      </c>
      <c r="Y129" s="38">
        <f>IF((ዕቁብ!Z131/ቦኖ!$C$4&gt;0),(1/2),0)</f>
        <v>0.5</v>
      </c>
      <c r="Z129" s="38">
        <f>IF((ዕቁብ!AA131/ቦኖ!$C$4&gt;0),(1/2),0)</f>
        <v>0.5</v>
      </c>
      <c r="AA129" s="38">
        <f>IF((ዕቁብ!AB131/ቦኖ!$C$4&gt;0),(1/2),0)</f>
        <v>0.5</v>
      </c>
      <c r="AB129" s="38">
        <f>IF((ዕቁብ!AC131/ቦኖ!$C$4&gt;0),(1/2),0)</f>
        <v>0.5</v>
      </c>
      <c r="AC129" s="38">
        <f>IF((ዕቁብ!AD131/ቦኖ!$C$4&gt;0),(1/2),0)</f>
        <v>0.5</v>
      </c>
      <c r="AD129" s="38">
        <f>IF((ዕቁብ!AE131/ቦኖ!$C$4&gt;0),(1/2),0)</f>
        <v>0.5</v>
      </c>
      <c r="AE129" s="38">
        <f>IF((ዕቁብ!AF131/ቦኖ!$C$4&gt;0),(1/2),0)</f>
        <v>0.5</v>
      </c>
      <c r="AF129" s="38">
        <f>IF((ዕቁብ!AG131/ቦኖ!$C$4&gt;0),(1/2),0)</f>
        <v>0.5</v>
      </c>
      <c r="AG129" s="38">
        <f>IF((ዕቁብ!AH131/ቦኖ!$C$4&gt;0),(1/2),0)</f>
        <v>0.5</v>
      </c>
      <c r="AH129" s="38">
        <f>IF((ዕቁብ!AI131/ቦኖ!$C$4&gt;0),(1/2),0)</f>
        <v>0.5</v>
      </c>
      <c r="AI129" s="38">
        <f>IF((ዕቁብ!AJ131/ቦኖ!$C$4&gt;0),(1/2),0)</f>
        <v>0.5</v>
      </c>
      <c r="AJ129" s="38">
        <f>IF((ዕቁብ!AK131/ቦኖ!$C$4&gt;0),(1/2),0)</f>
        <v>0.5</v>
      </c>
      <c r="AK129" s="38">
        <f>IF((ዕቁብ!AL131/ቦኖ!$C$4&gt;0),(1/2),0)</f>
        <v>0.5</v>
      </c>
      <c r="AL129" s="38">
        <f>IF((ዕቁብ!AM131/ቦኖ!$C$4&gt;0),(1/2),0)</f>
        <v>0.5</v>
      </c>
      <c r="AM129" s="38">
        <f>IF((ዕቁብ!AN131/ቦኖ!$C$4&gt;0),(1/2),0)</f>
        <v>0.5</v>
      </c>
      <c r="AN129" s="38">
        <f>IF((ዕቁብ!AO131/ቦኖ!$C$4&gt;0),(1/2),0)</f>
        <v>0.5</v>
      </c>
      <c r="AO129" s="38">
        <f>IF((ዕቁብ!AP131/ቦኖ!$C$4&gt;0),(1/2),0)</f>
        <v>0.5</v>
      </c>
      <c r="AP129" s="38">
        <f>IF((ዕቁብ!AQ131/ቦኖ!$C$4&gt;0),(1/2),0)</f>
        <v>0.5</v>
      </c>
      <c r="AQ129" s="38">
        <f>IF((ዕቁብ!AR131/ቦኖ!$C$4&gt;0),(1/2),0)</f>
        <v>0.5</v>
      </c>
      <c r="AR129" s="38">
        <f>IF((ዕቁብ!AS131/ቦኖ!$C$4&gt;0),(1/2),0)</f>
        <v>0.5</v>
      </c>
      <c r="AS129" s="38">
        <f>IF((ዕቁብ!AT131/ቦኖ!$C$4&gt;0),(1/2),0)</f>
        <v>0.5</v>
      </c>
      <c r="AT129" s="38">
        <f>IF((ዕቁብ!AU131/ቦኖ!$C$4&gt;0),(1/2),0)</f>
        <v>0.5</v>
      </c>
      <c r="AU129" s="38">
        <f>IF((ዕቁብ!AV131/ቦኖ!$C$4&gt;0),(1/2),0)</f>
        <v>0.5</v>
      </c>
      <c r="AV129" s="38">
        <f>IF((ዕቁብ!AW131/ቦኖ!$C$4&gt;0),(1/2),0)</f>
        <v>0.5</v>
      </c>
      <c r="AW129" s="38">
        <f>IF((ዕቁብ!AX131/ቦኖ!$C$4&gt;0),(1/2),0)</f>
        <v>0.5</v>
      </c>
      <c r="AX129" s="38">
        <f>IF((ዕቁብ!AY131/ቦኖ!$C$4&gt;0),(1/2),0)</f>
        <v>0.5</v>
      </c>
      <c r="AY129" s="38">
        <f>IF((ዕቁብ!AZ131/ቦኖ!$C$4&gt;0),(1/2),0)</f>
        <v>0.5</v>
      </c>
      <c r="AZ129" s="38">
        <f>IF((ዕቁብ!BA131/ቦኖ!$C$4&gt;0),(1/2),0)</f>
        <v>0.5</v>
      </c>
      <c r="BA129" s="38">
        <f>IF((ዕቁብ!BB131/ቦኖ!$C$4&gt;0),(1/2),0)</f>
        <v>0.5</v>
      </c>
      <c r="BB129" s="38">
        <f>IF((ዕቁብ!BC131/ቦኖ!$C$4&gt;0),(1/2),0)</f>
        <v>0.5</v>
      </c>
      <c r="BC129" s="38">
        <f>IF((ዕቁብ!BD131/ቦኖ!$C$4&gt;0),(1/2),0)</f>
        <v>0.5</v>
      </c>
      <c r="BD129" s="38">
        <f>IF((ዕቁብ!BE131/ቦኖ!$C$4&gt;0),(1/2),0)</f>
        <v>0.5</v>
      </c>
      <c r="BE129" s="38">
        <f>IF((ዕቁብ!BF131/ቦኖ!$C$4&gt;0),(1/2),0)</f>
        <v>0.5</v>
      </c>
      <c r="BF129" s="38">
        <f>IF((ዕቁብ!BG131/ቦኖ!$C$4&gt;0),(1/2),0)</f>
        <v>0.5</v>
      </c>
      <c r="BG129" s="38">
        <f>IF((ዕቁብ!BH131/ቦኖ!$C$4&gt;0),(1/2),0)</f>
        <v>0.5</v>
      </c>
      <c r="BH129" s="38">
        <f>IF((ዕቁብ!BI131/ቦኖ!$C$4&gt;0),(1/2),0)</f>
        <v>0.5</v>
      </c>
      <c r="BI129" s="38">
        <f>IF((ዕቁብ!BJ131/ቦኖ!$C$4&gt;0),(1/2),0)</f>
        <v>0.5</v>
      </c>
      <c r="BJ129" s="38">
        <f>IF((ዕቁብ!BK131/ቦኖ!$C$4&gt;0),(1/2),0)</f>
        <v>0.5</v>
      </c>
      <c r="BK129" s="38">
        <f>IF((ዕቁብ!BL131/ቦኖ!$C$4&gt;0),(1/2),0)</f>
        <v>0.5</v>
      </c>
      <c r="BL129" s="38">
        <f>IF((ዕቁብ!BM131/ቦኖ!$C$4&gt;0),(1/2),0)</f>
        <v>0.5</v>
      </c>
      <c r="BM129" s="38">
        <f>IF((ዕቁብ!BN131/ቦኖ!$C$4&gt;0),(1/2),0)</f>
        <v>0</v>
      </c>
      <c r="BN129" s="38">
        <f>IF((ዕቁብ!BO131/ቦኖ!$C$4&gt;0),(1/2),0)</f>
        <v>0.5</v>
      </c>
      <c r="BO129" s="38">
        <f>IF((ዕቁብ!BP131/ቦኖ!$C$4&gt;0),(1/2),0)</f>
        <v>0.5</v>
      </c>
      <c r="BP129" s="38">
        <f>IF((ዕቁብ!BQ131/ቦኖ!$C$4&gt;0),(1/2),0)</f>
        <v>0.5</v>
      </c>
      <c r="BQ129" s="38">
        <f>IF((ዕቁብ!BR131/ቦኖ!$C$4&gt;0),(1/2),0)</f>
        <v>0.5</v>
      </c>
      <c r="BR129" s="38">
        <f>IF((ዕቁብ!BS131/ቦኖ!$C$4&gt;0),(1/2),0)</f>
        <v>0.5</v>
      </c>
      <c r="BS129" s="38">
        <f>IF((ዕቁብ!BT131/ቦኖ!$C$4&gt;0),(1/2),0)</f>
        <v>0.5</v>
      </c>
      <c r="BT129" s="38">
        <f>IF((ዕቁብ!BU131/ቦኖ!$C$4&gt;0),(1/2),0)</f>
        <v>0.5</v>
      </c>
      <c r="BU129" s="38">
        <f>IF((ዕቁብ!BV131/ቦኖ!$C$4&gt;0),(1/2),0)</f>
        <v>0.5</v>
      </c>
      <c r="BV129" s="38">
        <f>IF((ዕቁብ!BW131/ቦኖ!$C$4&gt;0),(1/2),0)</f>
        <v>0.5</v>
      </c>
      <c r="BW129" s="38">
        <f>IF((ዕቁብ!BX131/ቦኖ!$C$4&gt;0),(1/2),0)</f>
        <v>0.5</v>
      </c>
      <c r="BX129" s="38">
        <f>IF((ዕቁብ!BY131/ቦኖ!$C$4&gt;0),(1/2),0)</f>
        <v>0.5</v>
      </c>
      <c r="BY129" s="38">
        <f>IF((ዕቁብ!BZ131/ቦኖ!$C$4&gt;0),(1/2),0)</f>
        <v>0.5</v>
      </c>
      <c r="BZ129" s="38">
        <f>IF((ዕቁብ!CA131/ቦኖ!$C$4&gt;0),(1/2),0)</f>
        <v>0.5</v>
      </c>
      <c r="CA129" s="38">
        <f>IF((ዕቁብ!CB131/ቦኖ!$C$4&gt;0),(1/2),0)</f>
        <v>0.5</v>
      </c>
      <c r="CB129" s="38">
        <f>IF((ዕቁብ!CC131/ቦኖ!$C$4&gt;0),(1/2),0)</f>
        <v>0.5</v>
      </c>
      <c r="CC129" s="38">
        <f>IF((ዕቁብ!CD131/ቦኖ!$C$4&gt;0),(1/2),0)</f>
        <v>0.5</v>
      </c>
      <c r="CD129" s="38">
        <f>IF((ዕቁብ!CE131/ቦኖ!$C$4&gt;0),(1/2),0)</f>
        <v>0.5</v>
      </c>
      <c r="CE129" s="38">
        <f>IF((ዕቁብ!CF131/ቦኖ!$C$4&gt;0),(1/2),0)</f>
        <v>0.5</v>
      </c>
      <c r="CF129" s="38">
        <f>IF((ዕቁብ!CG131/ቦኖ!$C$4&gt;0),(1/2),0)</f>
        <v>0.5</v>
      </c>
      <c r="CG129" s="38">
        <f>IF((ዕቁብ!CH131/ቦኖ!$C$4&gt;0),(1/2),0)</f>
        <v>0.5</v>
      </c>
      <c r="CH129" s="38">
        <f>IF((ዕቁብ!CI131/ቦኖ!$C$4&gt;0),(1/2),0)</f>
        <v>0.5</v>
      </c>
      <c r="CI129" s="38">
        <f>IF((ዕቁብ!CJ131/ቦኖ!$C$4&gt;0),(1/2),0)</f>
        <v>0.5</v>
      </c>
      <c r="CJ129" s="38">
        <f>IF((ዕቁብ!CK131/ቦኖ!$C$4&gt;0),(1/2),0)</f>
        <v>0.5</v>
      </c>
      <c r="CK129" s="38">
        <f>IF((ዕቁብ!CL131/ቦኖ!$C$4&gt;0),(1/2),0)</f>
        <v>0.5</v>
      </c>
      <c r="CL129" s="38">
        <f>IF((ዕቁብ!CM131/ቦኖ!$C$4&gt;0),(1/2),0)</f>
        <v>0.5</v>
      </c>
      <c r="CM129" s="38">
        <f>IF((ዕቁብ!CN131/ቦኖ!$C$4&gt;0),(1/2),0)</f>
        <v>0.5</v>
      </c>
      <c r="CN129" s="38">
        <f>IF((ዕቁብ!CO131/ቦኖ!$C$4&gt;0),(1/2),0)</f>
        <v>0.5</v>
      </c>
      <c r="CO129" s="38">
        <f>IF((ዕቁብ!CP131/ቦኖ!$C$4&gt;0),(1/2),0)</f>
        <v>0.5</v>
      </c>
      <c r="CP129" s="38">
        <f>IF((ዕቁብ!CQ131/ቦኖ!$C$4&gt;0),(1/2),0)</f>
        <v>0.5</v>
      </c>
      <c r="CQ129" s="38">
        <f>IF((ዕቁብ!CR131/ቦኖ!$C$4&gt;0),(1/2),0)</f>
        <v>0.5</v>
      </c>
      <c r="CR129" s="38">
        <f>IF((ዕቁብ!CS131/ቦኖ!$C$4&gt;0),(1/2),0)</f>
        <v>0</v>
      </c>
      <c r="CS129" s="38">
        <f>IF((ዕቁብ!CT131/ቦኖ!$C$4&gt;0),(1/2),0)</f>
        <v>0.5</v>
      </c>
      <c r="CT129" s="38">
        <f>IF((ዕቁብ!CU131/ቦኖ!$C$4&gt;0),(1/2),0)</f>
        <v>0.5</v>
      </c>
      <c r="CU129" s="38">
        <f>IF((ዕቁብ!CV131/ቦኖ!$C$4&gt;0),(1/2),0)</f>
        <v>0.5</v>
      </c>
      <c r="CV129" s="38">
        <f>IF((ዕቁብ!CW131/ቦኖ!$C$4&gt;0),(1/2),0)</f>
        <v>0.5</v>
      </c>
      <c r="CW129" s="38">
        <f>IF((ዕቁብ!CX131/ቦኖ!$C$4&gt;0),(1/2),0)</f>
        <v>0.5</v>
      </c>
      <c r="CX129" s="38">
        <f>IF((ዕቁብ!CY131/ቦኖ!$C$4&gt;0),(1/2),0)</f>
        <v>0</v>
      </c>
      <c r="CY129" s="38">
        <f>IF((ዕቁብ!CZ131/ቦኖ!$C$4&gt;0),(1/2),0)</f>
        <v>0.5</v>
      </c>
      <c r="CZ129" s="38">
        <f>IF((ዕቁብ!DA131/ቦኖ!$C$4&gt;0),(1/2),0)</f>
        <v>0.5</v>
      </c>
      <c r="DA129" s="38">
        <f>IF((ዕቁብ!DB131/ቦኖ!$C$4&gt;0),(1/2),0)</f>
        <v>0.5</v>
      </c>
      <c r="DB129" s="38">
        <f>IF((ዕቁብ!DC131/ቦኖ!$C$4&gt;0),(1/2),0)</f>
        <v>0.5</v>
      </c>
      <c r="DC129" s="38">
        <f>IF((ዕቁብ!DD131/ቦኖ!$C$4&gt;0),(1/2),0)</f>
        <v>0.5</v>
      </c>
      <c r="DD129" s="38">
        <f>IF((ዕቁብ!DE131/ቦኖ!$C$4&gt;0),(1/2),0)</f>
        <v>0.5</v>
      </c>
      <c r="DE129" s="38">
        <f>IF((ዕቁብ!DF131/ቦኖ!$C$4&gt;0),(1/2),0)</f>
        <v>0.5</v>
      </c>
      <c r="DF129" s="38">
        <f>IF((ዕቁብ!DG131/ቦኖ!$C$4&gt;0),(1/2),0)</f>
        <v>0.5</v>
      </c>
      <c r="DG129" s="38">
        <f>IF((ዕቁብ!DH131/ቦኖ!$C$4&gt;0),(1/2),0)</f>
        <v>0.5</v>
      </c>
      <c r="DH129" s="38">
        <f>IF((ዕቁብ!DI131/ቦኖ!$C$4&gt;0),(1/2),0)</f>
        <v>0</v>
      </c>
      <c r="DI129" s="38">
        <f>IF((ዕቁብ!DJ131/ቦኖ!$C$4&gt;0),(1/2),0)</f>
        <v>0</v>
      </c>
      <c r="DJ129" s="38">
        <f>IF((ዕቁብ!DK131/ቦኖ!$C$4&gt;0),(1/2),0)</f>
        <v>0</v>
      </c>
      <c r="DK129" s="38">
        <f>IF((ዕቁብ!DL131/ቦኖ!$C$4&gt;0),(1/2),0)</f>
        <v>0</v>
      </c>
      <c r="DL129" s="38">
        <f>IF((ዕቁብ!DM131/ቦኖ!$C$4&gt;0),(1/2),0)</f>
        <v>0</v>
      </c>
      <c r="DM129" s="38">
        <f>IF((ዕቁብ!DN131/ቦኖ!$C$4&gt;0),(1/2),0)</f>
        <v>0</v>
      </c>
      <c r="DN129" s="38">
        <f>IF((ዕቁብ!DO131/ቦኖ!$C$4&gt;0),(1/2),0)</f>
        <v>0</v>
      </c>
      <c r="DO129" s="38">
        <f>IF((ዕቁብ!DP131/ቦኖ!$C$4&gt;0),(1/2),0)</f>
        <v>0</v>
      </c>
      <c r="DP129" s="38">
        <f>IF((ዕቁብ!DQ131/ቦኖ!$C$4&gt;0),(1/2),0)</f>
        <v>0</v>
      </c>
      <c r="DQ129" s="38">
        <f>IF((ዕቁብ!DR131/ቦኖ!$C$4&gt;0),(1/2),0)</f>
        <v>0</v>
      </c>
    </row>
    <row r="130" spans="1:122" ht="15.75" customHeight="1" x14ac:dyDescent="0.3">
      <c r="A130" s="33">
        <f>ዕቁብ!A132</f>
        <v>110</v>
      </c>
      <c r="B130" s="33" t="str">
        <f>ዕቁብ!B132</f>
        <v>በቀለ ዶሳ</v>
      </c>
      <c r="C130" s="37">
        <f>ዕቁብ!C132</f>
        <v>10500</v>
      </c>
      <c r="D130" s="38">
        <f>IF((ዕቁብ!E132/ቦኖ!$C$4&gt;0),(1/2),0)</f>
        <v>0.5</v>
      </c>
      <c r="E130" s="38">
        <f>IF((ዕቁብ!F132/ቦኖ!$C$4&gt;0),(1/2),0)</f>
        <v>0.5</v>
      </c>
      <c r="F130" s="38">
        <f>IF((ዕቁብ!G132/ቦኖ!$C$4&gt;0),(1/2),0)</f>
        <v>0.5</v>
      </c>
      <c r="G130" s="38">
        <f>IF((ዕቁብ!H132/ቦኖ!$C$4&gt;0),(1/2),0)</f>
        <v>0.5</v>
      </c>
      <c r="H130" s="38">
        <f>IF((ዕቁብ!I132/ቦኖ!$C$4&gt;0),(1/2),0)</f>
        <v>0.5</v>
      </c>
      <c r="I130" s="38">
        <f>IF((ዕቁብ!J132/ቦኖ!$C$4&gt;0),(1/2),0)</f>
        <v>0.5</v>
      </c>
      <c r="J130" s="38">
        <f>IF((ዕቁብ!K132/ቦኖ!$C$4&gt;0),(1/2),0)</f>
        <v>0.5</v>
      </c>
      <c r="K130" s="38">
        <f>IF((ዕቁብ!L132/ቦኖ!$C$4&gt;0),(1/2),0)</f>
        <v>0.5</v>
      </c>
      <c r="L130" s="38">
        <f>IF((ዕቁብ!M132/ቦኖ!$C$4&gt;0),(1/2),0)</f>
        <v>0.5</v>
      </c>
      <c r="M130" s="38">
        <f>IF((ዕቁብ!N132/ቦኖ!$C$4&gt;0),(1/2),0)</f>
        <v>0.5</v>
      </c>
      <c r="N130" s="38">
        <f>IF((ዕቁብ!O132/ቦኖ!$C$4&gt;0),(1/2),0)</f>
        <v>0.5</v>
      </c>
      <c r="O130" s="38">
        <f>IF((ዕቁብ!P132/ቦኖ!$C$4&gt;0),(1/2),0)</f>
        <v>0.5</v>
      </c>
      <c r="P130" s="38">
        <f>IF((ዕቁብ!Q132/ቦኖ!$C$4&gt;0),(1/2),0)</f>
        <v>0.5</v>
      </c>
      <c r="Q130" s="38">
        <f>IF((ዕቁብ!R132/ቦኖ!$C$4&gt;0),(1/2),0)</f>
        <v>0.5</v>
      </c>
      <c r="R130" s="38">
        <f>IF((ዕቁብ!S132/ቦኖ!$C$4&gt;0),(1/2),0)</f>
        <v>0.5</v>
      </c>
      <c r="S130" s="38">
        <f>IF((ዕቁብ!T132/ቦኖ!$C$4&gt;0),(1/2),0)</f>
        <v>0.5</v>
      </c>
      <c r="T130" s="38">
        <f>IF((ዕቁብ!U132/ቦኖ!$C$4&gt;0),(1/2),0)</f>
        <v>0.5</v>
      </c>
      <c r="U130" s="38">
        <f>IF((ዕቁብ!V132/ቦኖ!$C$4&gt;0),(1/2),0)</f>
        <v>0</v>
      </c>
      <c r="V130" s="38">
        <f>IF((ዕቁብ!W132/ቦኖ!$C$4&gt;0),(1/2),0)</f>
        <v>0</v>
      </c>
      <c r="W130" s="38">
        <f>IF((ዕቁብ!X132/ቦኖ!$C$4&gt;0),(1/2),0)</f>
        <v>0</v>
      </c>
      <c r="X130" s="38">
        <f>IF((ዕቁብ!Y132/ቦኖ!$C$4&gt;0),(1/2),0)</f>
        <v>0.5</v>
      </c>
      <c r="Y130" s="38">
        <f>IF((ዕቁብ!Z132/ቦኖ!$C$4&gt;0),(1/2),0)</f>
        <v>0.5</v>
      </c>
      <c r="Z130" s="38">
        <f>IF((ዕቁብ!AA132/ቦኖ!$C$4&gt;0),(1/2),0)</f>
        <v>0.5</v>
      </c>
      <c r="AA130" s="38">
        <f>IF((ዕቁብ!AB132/ቦኖ!$C$4&gt;0),(1/2),0)</f>
        <v>0</v>
      </c>
      <c r="AB130" s="38">
        <f>IF((ዕቁብ!AC132/ቦኖ!$C$4&gt;0),(1/2),0)</f>
        <v>0.5</v>
      </c>
      <c r="AC130" s="38">
        <f>IF((ዕቁብ!AD132/ቦኖ!$C$4&gt;0),(1/2),0)</f>
        <v>0.5</v>
      </c>
      <c r="AD130" s="38">
        <f>IF((ዕቁብ!AE132/ቦኖ!$C$4&gt;0),(1/2),0)</f>
        <v>0.5</v>
      </c>
      <c r="AE130" s="38">
        <f>IF((ዕቁብ!AF132/ቦኖ!$C$4&gt;0),(1/2),0)</f>
        <v>0</v>
      </c>
      <c r="AF130" s="38">
        <f>IF((ዕቁብ!AG132/ቦኖ!$C$4&gt;0),(1/2),0)</f>
        <v>0.5</v>
      </c>
      <c r="AG130" s="38">
        <f>IF((ዕቁብ!AH132/ቦኖ!$C$4&gt;0),(1/2),0)</f>
        <v>0.5</v>
      </c>
      <c r="AH130" s="38">
        <f>IF((ዕቁብ!AI132/ቦኖ!$C$4&gt;0),(1/2),0)</f>
        <v>0.5</v>
      </c>
      <c r="AI130" s="38">
        <f>IF((ዕቁብ!AJ132/ቦኖ!$C$4&gt;0),(1/2),0)</f>
        <v>0.5</v>
      </c>
      <c r="AJ130" s="38">
        <f>IF((ዕቁብ!AK132/ቦኖ!$C$4&gt;0),(1/2),0)</f>
        <v>0.5</v>
      </c>
      <c r="AK130" s="38">
        <f>IF((ዕቁብ!AL132/ቦኖ!$C$4&gt;0),(1/2),0)</f>
        <v>0.5</v>
      </c>
      <c r="AL130" s="38">
        <f>IF((ዕቁብ!AM132/ቦኖ!$C$4&gt;0),(1/2),0)</f>
        <v>0.5</v>
      </c>
      <c r="AM130" s="38">
        <f>IF((ዕቁብ!AN132/ቦኖ!$C$4&gt;0),(1/2),0)</f>
        <v>0</v>
      </c>
      <c r="AN130" s="38">
        <f>IF((ዕቁብ!AO132/ቦኖ!$C$4&gt;0),(1/2),0)</f>
        <v>0.5</v>
      </c>
      <c r="AO130" s="38">
        <f>IF((ዕቁብ!AP132/ቦኖ!$C$4&gt;0),(1/2),0)</f>
        <v>0.5</v>
      </c>
      <c r="AP130" s="38">
        <f>IF((ዕቁብ!AQ132/ቦኖ!$C$4&gt;0),(1/2),0)</f>
        <v>0.5</v>
      </c>
      <c r="AQ130" s="38">
        <f>IF((ዕቁብ!AR132/ቦኖ!$C$4&gt;0),(1/2),0)</f>
        <v>0</v>
      </c>
      <c r="AR130" s="38">
        <f>IF((ዕቁብ!AS132/ቦኖ!$C$4&gt;0),(1/2),0)</f>
        <v>0</v>
      </c>
      <c r="AS130" s="38">
        <f>IF((ዕቁብ!AT132/ቦኖ!$C$4&gt;0),(1/2),0)</f>
        <v>0.5</v>
      </c>
      <c r="AT130" s="38">
        <f>IF((ዕቁብ!AU132/ቦኖ!$C$4&gt;0),(1/2),0)</f>
        <v>0.5</v>
      </c>
      <c r="AU130" s="38">
        <f>IF((ዕቁብ!AV132/ቦኖ!$C$4&gt;0),(1/2),0)</f>
        <v>0</v>
      </c>
      <c r="AV130" s="38">
        <f>IF((ዕቁብ!AW132/ቦኖ!$C$4&gt;0),(1/2),0)</f>
        <v>0.5</v>
      </c>
      <c r="AW130" s="38">
        <f>IF((ዕቁብ!AX132/ቦኖ!$C$4&gt;0),(1/2),0)</f>
        <v>0</v>
      </c>
      <c r="AX130" s="38">
        <f>IF((ዕቁብ!AY132/ቦኖ!$C$4&gt;0),(1/2),0)</f>
        <v>0.5</v>
      </c>
      <c r="AY130" s="38">
        <f>IF((ዕቁብ!AZ132/ቦኖ!$C$4&gt;0),(1/2),0)</f>
        <v>0</v>
      </c>
      <c r="AZ130" s="38">
        <f>IF((ዕቁብ!BA132/ቦኖ!$C$4&gt;0),(1/2),0)</f>
        <v>0</v>
      </c>
      <c r="BA130" s="38">
        <f>IF((ዕቁብ!BB132/ቦኖ!$C$4&gt;0),(1/2),0)</f>
        <v>0</v>
      </c>
      <c r="BB130" s="38">
        <f>IF((ዕቁብ!BC132/ቦኖ!$C$4&gt;0),(1/2),0)</f>
        <v>0.5</v>
      </c>
      <c r="BC130" s="38">
        <f>IF((ዕቁብ!BD132/ቦኖ!$C$4&gt;0),(1/2),0)</f>
        <v>0</v>
      </c>
      <c r="BD130" s="38">
        <f>IF((ዕቁብ!BE132/ቦኖ!$C$4&gt;0),(1/2),0)</f>
        <v>0</v>
      </c>
      <c r="BE130" s="38">
        <f>IF((ዕቁብ!BF132/ቦኖ!$C$4&gt;0),(1/2),0)</f>
        <v>0.5</v>
      </c>
      <c r="BF130" s="38">
        <f>IF((ዕቁብ!BG132/ቦኖ!$C$4&gt;0),(1/2),0)</f>
        <v>0.5</v>
      </c>
      <c r="BG130" s="38">
        <f>IF((ዕቁብ!BH132/ቦኖ!$C$4&gt;0),(1/2),0)</f>
        <v>0</v>
      </c>
      <c r="BH130" s="38">
        <f>IF((ዕቁብ!BI132/ቦኖ!$C$4&gt;0),(1/2),0)</f>
        <v>0</v>
      </c>
      <c r="BI130" s="38">
        <f>IF((ዕቁብ!BJ132/ቦኖ!$C$4&gt;0),(1/2),0)</f>
        <v>0.5</v>
      </c>
      <c r="BJ130" s="38">
        <f>IF((ዕቁብ!BK132/ቦኖ!$C$4&gt;0),(1/2),0)</f>
        <v>0</v>
      </c>
      <c r="BK130" s="38">
        <f>IF((ዕቁብ!BL132/ቦኖ!$C$4&gt;0),(1/2),0)</f>
        <v>0.5</v>
      </c>
      <c r="BL130" s="38">
        <f>IF((ዕቁብ!BM132/ቦኖ!$C$4&gt;0),(1/2),0)</f>
        <v>0</v>
      </c>
      <c r="BM130" s="38">
        <f>IF((ዕቁብ!BN132/ቦኖ!$C$4&gt;0),(1/2),0)</f>
        <v>0</v>
      </c>
      <c r="BN130" s="38">
        <f>IF((ዕቁብ!BO132/ቦኖ!$C$4&gt;0),(1/2),0)</f>
        <v>0.5</v>
      </c>
      <c r="BO130" s="38">
        <f>IF((ዕቁብ!BP132/ቦኖ!$C$4&gt;0),(1/2),0)</f>
        <v>0</v>
      </c>
      <c r="BP130" s="38">
        <f>IF((ዕቁብ!BQ132/ቦኖ!$C$4&gt;0),(1/2),0)</f>
        <v>0</v>
      </c>
      <c r="BQ130" s="38">
        <f>IF((ዕቁብ!BR132/ቦኖ!$C$4&gt;0),(1/2),0)</f>
        <v>0.5</v>
      </c>
      <c r="BR130" s="38">
        <f>IF((ዕቁብ!BS132/ቦኖ!$C$4&gt;0),(1/2),0)</f>
        <v>0</v>
      </c>
      <c r="BS130" s="38">
        <f>IF((ዕቁብ!BT132/ቦኖ!$C$4&gt;0),(1/2),0)</f>
        <v>0</v>
      </c>
      <c r="BT130" s="38">
        <f>IF((ዕቁብ!BU132/ቦኖ!$C$4&gt;0),(1/2),0)</f>
        <v>0.5</v>
      </c>
      <c r="BU130" s="38">
        <f>IF((ዕቁብ!BV132/ቦኖ!$C$4&gt;0),(1/2),0)</f>
        <v>0</v>
      </c>
      <c r="BV130" s="38">
        <f>IF((ዕቁብ!BW132/ቦኖ!$C$4&gt;0),(1/2),0)</f>
        <v>0.5</v>
      </c>
      <c r="BW130" s="38">
        <f>IF((ዕቁብ!BX132/ቦኖ!$C$4&gt;0),(1/2),0)</f>
        <v>0</v>
      </c>
      <c r="BX130" s="38">
        <f>IF((ዕቁብ!BY132/ቦኖ!$C$4&gt;0),(1/2),0)</f>
        <v>0.5</v>
      </c>
      <c r="BY130" s="38">
        <f>IF((ዕቁብ!BZ132/ቦኖ!$C$4&gt;0),(1/2),0)</f>
        <v>0</v>
      </c>
      <c r="BZ130" s="38">
        <f>IF((ዕቁብ!CA132/ቦኖ!$C$4&gt;0),(1/2),0)</f>
        <v>0</v>
      </c>
      <c r="CA130" s="38">
        <f>IF((ዕቁብ!CB132/ቦኖ!$C$4&gt;0),(1/2),0)</f>
        <v>0.5</v>
      </c>
      <c r="CB130" s="38">
        <f>IF((ዕቁብ!CC132/ቦኖ!$C$4&gt;0),(1/2),0)</f>
        <v>0.5</v>
      </c>
      <c r="CC130" s="38">
        <f>IF((ዕቁብ!CD132/ቦኖ!$C$4&gt;0),(1/2),0)</f>
        <v>0</v>
      </c>
      <c r="CD130" s="38">
        <f>IF((ዕቁብ!CE132/ቦኖ!$C$4&gt;0),(1/2),0)</f>
        <v>0</v>
      </c>
      <c r="CE130" s="38">
        <f>IF((ዕቁብ!CF132/ቦኖ!$C$4&gt;0),(1/2),0)</f>
        <v>0</v>
      </c>
      <c r="CF130" s="38">
        <f>IF((ዕቁብ!CG132/ቦኖ!$C$4&gt;0),(1/2),0)</f>
        <v>0.5</v>
      </c>
      <c r="CG130" s="38">
        <f>IF((ዕቁብ!CH132/ቦኖ!$C$4&gt;0),(1/2),0)</f>
        <v>0.5</v>
      </c>
      <c r="CH130" s="38">
        <f>IF((ዕቁብ!CI132/ቦኖ!$C$4&gt;0),(1/2),0)</f>
        <v>0</v>
      </c>
      <c r="CI130" s="38">
        <f>IF((ዕቁብ!CJ132/ቦኖ!$C$4&gt;0),(1/2),0)</f>
        <v>0.5</v>
      </c>
      <c r="CJ130" s="38">
        <f>IF((ዕቁብ!CK132/ቦኖ!$C$4&gt;0),(1/2),0)</f>
        <v>0</v>
      </c>
      <c r="CK130" s="38">
        <f>IF((ዕቁብ!CL132/ቦኖ!$C$4&gt;0),(1/2),0)</f>
        <v>0</v>
      </c>
      <c r="CL130" s="38">
        <f>IF((ዕቁብ!CM132/ቦኖ!$C$4&gt;0),(1/2),0)</f>
        <v>0.5</v>
      </c>
      <c r="CM130" s="38">
        <f>IF((ዕቁብ!CN132/ቦኖ!$C$4&gt;0),(1/2),0)</f>
        <v>0</v>
      </c>
      <c r="CN130" s="38">
        <f>IF((ዕቁብ!CO132/ቦኖ!$C$4&gt;0),(1/2),0)</f>
        <v>0</v>
      </c>
      <c r="CO130" s="38">
        <f>IF((ዕቁብ!CP132/ቦኖ!$C$4&gt;0),(1/2),0)</f>
        <v>0</v>
      </c>
      <c r="CP130" s="38">
        <f>IF((ዕቁብ!CQ132/ቦኖ!$C$4&gt;0),(1/2),0)</f>
        <v>0</v>
      </c>
      <c r="CQ130" s="38">
        <f>IF((ዕቁብ!CR132/ቦኖ!$C$4&gt;0),(1/2),0)</f>
        <v>0</v>
      </c>
      <c r="CR130" s="38">
        <f>IF((ዕቁብ!CS132/ቦኖ!$C$4&gt;0),(1/2),0)</f>
        <v>0</v>
      </c>
      <c r="CS130" s="38">
        <f>IF((ዕቁብ!CT132/ቦኖ!$C$4&gt;0),(1/2),0)</f>
        <v>0</v>
      </c>
      <c r="CT130" s="38">
        <f>IF((ዕቁብ!CU132/ቦኖ!$C$4&gt;0),(1/2),0)</f>
        <v>0.5</v>
      </c>
      <c r="CU130" s="38">
        <f>IF((ዕቁብ!CV132/ቦኖ!$C$4&gt;0),(1/2),0)</f>
        <v>0</v>
      </c>
      <c r="CV130" s="38">
        <f>IF((ዕቁብ!CW132/ቦኖ!$C$4&gt;0),(1/2),0)</f>
        <v>0</v>
      </c>
      <c r="CW130" s="38">
        <f>IF((ዕቁብ!CX132/ቦኖ!$C$4&gt;0),(1/2),0)</f>
        <v>0</v>
      </c>
      <c r="CX130" s="38">
        <f>IF((ዕቁብ!CY132/ቦኖ!$C$4&gt;0),(1/2),0)</f>
        <v>0.5</v>
      </c>
      <c r="CY130" s="38">
        <f>IF((ዕቁብ!CZ132/ቦኖ!$C$4&gt;0),(1/2),0)</f>
        <v>0.5</v>
      </c>
      <c r="CZ130" s="38">
        <f>IF((ዕቁብ!DA132/ቦኖ!$C$4&gt;0),(1/2),0)</f>
        <v>0</v>
      </c>
      <c r="DA130" s="38">
        <f>IF((ዕቁብ!DB132/ቦኖ!$C$4&gt;0),(1/2),0)</f>
        <v>0.5</v>
      </c>
      <c r="DB130" s="38">
        <f>IF((ዕቁብ!DC132/ቦኖ!$C$4&gt;0),(1/2),0)</f>
        <v>0</v>
      </c>
      <c r="DC130" s="38">
        <f>IF((ዕቁብ!DD132/ቦኖ!$C$4&gt;0),(1/2),0)</f>
        <v>0</v>
      </c>
      <c r="DD130" s="38">
        <f>IF((ዕቁብ!DE132/ቦኖ!$C$4&gt;0),(1/2),0)</f>
        <v>0.5</v>
      </c>
      <c r="DE130" s="38">
        <f>IF((ዕቁብ!DF132/ቦኖ!$C$4&gt;0),(1/2),0)</f>
        <v>0</v>
      </c>
      <c r="DF130" s="38">
        <f>IF((ዕቁብ!DG132/ቦኖ!$C$4&gt;0),(1/2),0)</f>
        <v>0.5</v>
      </c>
      <c r="DG130" s="38">
        <f>IF((ዕቁብ!DH132/ቦኖ!$C$4&gt;0),(1/2),0)</f>
        <v>0</v>
      </c>
      <c r="DH130" s="38">
        <f>IF((ዕቁብ!DI132/ቦኖ!$C$4&gt;0),(1/2),0)</f>
        <v>0</v>
      </c>
      <c r="DI130" s="38">
        <f>IF((ዕቁብ!DJ132/ቦኖ!$C$4&gt;0),(1/2),0)</f>
        <v>0</v>
      </c>
      <c r="DJ130" s="38">
        <f>IF((ዕቁብ!DK132/ቦኖ!$C$4&gt;0),(1/2),0)</f>
        <v>0</v>
      </c>
      <c r="DK130" s="38">
        <f>IF((ዕቁብ!DL132/ቦኖ!$C$4&gt;0),(1/2),0)</f>
        <v>0</v>
      </c>
      <c r="DL130" s="38">
        <f>IF((ዕቁብ!DM132/ቦኖ!$C$4&gt;0),(1/2),0)</f>
        <v>0</v>
      </c>
      <c r="DM130" s="38">
        <f>IF((ዕቁብ!DN132/ቦኖ!$C$4&gt;0),(1/2),0)</f>
        <v>0</v>
      </c>
      <c r="DN130" s="38">
        <f>IF((ዕቁብ!DO132/ቦኖ!$C$4&gt;0),(1/2),0)</f>
        <v>0</v>
      </c>
      <c r="DO130" s="38">
        <f>IF((ዕቁብ!DP132/ቦኖ!$C$4&gt;0),(1/2),0)</f>
        <v>0</v>
      </c>
      <c r="DP130" s="38">
        <f>IF((ዕቁብ!DQ132/ቦኖ!$C$4&gt;0),(1/2),0)</f>
        <v>0</v>
      </c>
      <c r="DQ130" s="38">
        <f>IF((ዕቁብ!DR132/ቦኖ!$C$4&gt;0),(1/2),0)</f>
        <v>0</v>
      </c>
    </row>
    <row r="131" spans="1:122" ht="15.75" customHeight="1" x14ac:dyDescent="0.3">
      <c r="A131" s="33">
        <f>ዕቁብ!A133</f>
        <v>111</v>
      </c>
      <c r="B131" s="33" t="str">
        <f>ዕቁብ!B133</f>
        <v>አበጀ አላሮ</v>
      </c>
      <c r="C131" s="37">
        <f>ዕቁብ!C133</f>
        <v>10500</v>
      </c>
      <c r="D131" s="38">
        <f>IF((ዕቁብ!E133/ቦኖ!$C$4&gt;0),(1/2),0)</f>
        <v>0.5</v>
      </c>
      <c r="E131" s="38">
        <f>IF((ዕቁብ!F133/ቦኖ!$C$4&gt;0),(1/2),0)</f>
        <v>0.5</v>
      </c>
      <c r="F131" s="38">
        <f>IF((ዕቁብ!G133/ቦኖ!$C$4&gt;0),(1/2),0)</f>
        <v>0.5</v>
      </c>
      <c r="G131" s="38">
        <f>IF((ዕቁብ!H133/ቦኖ!$C$4&gt;0),(1/2),0)</f>
        <v>0.5</v>
      </c>
      <c r="H131" s="38">
        <f>IF((ዕቁብ!I133/ቦኖ!$C$4&gt;0),(1/2),0)</f>
        <v>0.5</v>
      </c>
      <c r="I131" s="38">
        <f>IF((ዕቁብ!J133/ቦኖ!$C$4&gt;0),(1/2),0)</f>
        <v>0.5</v>
      </c>
      <c r="J131" s="38">
        <f>IF((ዕቁብ!K133/ቦኖ!$C$4&gt;0),(1/2),0)</f>
        <v>0.5</v>
      </c>
      <c r="K131" s="38">
        <f>IF((ዕቁብ!L133/ቦኖ!$C$4&gt;0),(1/2),0)</f>
        <v>0.5</v>
      </c>
      <c r="L131" s="38">
        <f>IF((ዕቁብ!M133/ቦኖ!$C$4&gt;0),(1/2),0)</f>
        <v>0.5</v>
      </c>
      <c r="M131" s="38">
        <f>IF((ዕቁብ!N133/ቦኖ!$C$4&gt;0),(1/2),0)</f>
        <v>0.5</v>
      </c>
      <c r="N131" s="38">
        <f>IF((ዕቁብ!O133/ቦኖ!$C$4&gt;0),(1/2),0)</f>
        <v>0.5</v>
      </c>
      <c r="O131" s="38">
        <f>IF((ዕቁብ!P133/ቦኖ!$C$4&gt;0),(1/2),0)</f>
        <v>0.5</v>
      </c>
      <c r="P131" s="38">
        <f>IF((ዕቁብ!Q133/ቦኖ!$C$4&gt;0),(1/2),0)</f>
        <v>0.5</v>
      </c>
      <c r="Q131" s="38">
        <f>IF((ዕቁብ!R133/ቦኖ!$C$4&gt;0),(1/2),0)</f>
        <v>0.5</v>
      </c>
      <c r="R131" s="38">
        <f>IF((ዕቁብ!S133/ቦኖ!$C$4&gt;0),(1/2),0)</f>
        <v>0.5</v>
      </c>
      <c r="S131" s="38">
        <f>IF((ዕቁብ!T133/ቦኖ!$C$4&gt;0),(1/2),0)</f>
        <v>0.5</v>
      </c>
      <c r="T131" s="38">
        <f>IF((ዕቁብ!U133/ቦኖ!$C$4&gt;0),(1/2),0)</f>
        <v>0.5</v>
      </c>
      <c r="U131" s="38">
        <f>IF((ዕቁብ!V133/ቦኖ!$C$4&gt;0),(1/2),0)</f>
        <v>0.5</v>
      </c>
      <c r="V131" s="38">
        <f>IF((ዕቁብ!W133/ቦኖ!$C$4&gt;0),(1/2),0)</f>
        <v>0.5</v>
      </c>
      <c r="W131" s="38">
        <f>IF((ዕቁብ!X133/ቦኖ!$C$4&gt;0),(1/2),0)</f>
        <v>0.5</v>
      </c>
      <c r="X131" s="38">
        <f>IF((ዕቁብ!Y133/ቦኖ!$C$4&gt;0),(1/2),0)</f>
        <v>0.5</v>
      </c>
      <c r="Y131" s="38">
        <f>IF((ዕቁብ!Z133/ቦኖ!$C$4&gt;0),(1/2),0)</f>
        <v>0.5</v>
      </c>
      <c r="Z131" s="38">
        <f>IF((ዕቁብ!AA133/ቦኖ!$C$4&gt;0),(1/2),0)</f>
        <v>0.5</v>
      </c>
      <c r="AA131" s="38">
        <f>IF((ዕቁብ!AB133/ቦኖ!$C$4&gt;0),(1/2),0)</f>
        <v>0</v>
      </c>
      <c r="AB131" s="38">
        <f>IF((ዕቁብ!AC133/ቦኖ!$C$4&gt;0),(1/2),0)</f>
        <v>0.5</v>
      </c>
      <c r="AC131" s="38">
        <f>IF((ዕቁብ!AD133/ቦኖ!$C$4&gt;0),(1/2),0)</f>
        <v>0.5</v>
      </c>
      <c r="AD131" s="38">
        <f>IF((ዕቁብ!AE133/ቦኖ!$C$4&gt;0),(1/2),0)</f>
        <v>0.5</v>
      </c>
      <c r="AE131" s="38">
        <f>IF((ዕቁብ!AF133/ቦኖ!$C$4&gt;0),(1/2),0)</f>
        <v>0</v>
      </c>
      <c r="AF131" s="38">
        <f>IF((ዕቁብ!AG133/ቦኖ!$C$4&gt;0),(1/2),0)</f>
        <v>0.5</v>
      </c>
      <c r="AG131" s="38">
        <f>IF((ዕቁብ!AH133/ቦኖ!$C$4&gt;0),(1/2),0)</f>
        <v>0.5</v>
      </c>
      <c r="AH131" s="38">
        <f>IF((ዕቁብ!AI133/ቦኖ!$C$4&gt;0),(1/2),0)</f>
        <v>0.5</v>
      </c>
      <c r="AI131" s="38">
        <f>IF((ዕቁብ!AJ133/ቦኖ!$C$4&gt;0),(1/2),0)</f>
        <v>0.5</v>
      </c>
      <c r="AJ131" s="38">
        <f>IF((ዕቁብ!AK133/ቦኖ!$C$4&gt;0),(1/2),0)</f>
        <v>0.5</v>
      </c>
      <c r="AK131" s="38">
        <f>IF((ዕቁብ!AL133/ቦኖ!$C$4&gt;0),(1/2),0)</f>
        <v>0.5</v>
      </c>
      <c r="AL131" s="38">
        <f>IF((ዕቁብ!AM133/ቦኖ!$C$4&gt;0),(1/2),0)</f>
        <v>0.5</v>
      </c>
      <c r="AM131" s="38">
        <f>IF((ዕቁብ!AN133/ቦኖ!$C$4&gt;0),(1/2),0)</f>
        <v>0.5</v>
      </c>
      <c r="AN131" s="38">
        <f>IF((ዕቁብ!AO133/ቦኖ!$C$4&gt;0),(1/2),0)</f>
        <v>0.5</v>
      </c>
      <c r="AO131" s="38">
        <f>IF((ዕቁብ!AP133/ቦኖ!$C$4&gt;0),(1/2),0)</f>
        <v>0.5</v>
      </c>
      <c r="AP131" s="38">
        <f>IF((ዕቁብ!AQ133/ቦኖ!$C$4&gt;0),(1/2),0)</f>
        <v>0.5</v>
      </c>
      <c r="AQ131" s="38">
        <f>IF((ዕቁብ!AR133/ቦኖ!$C$4&gt;0),(1/2),0)</f>
        <v>0.5</v>
      </c>
      <c r="AR131" s="38">
        <f>IF((ዕቁብ!AS133/ቦኖ!$C$4&gt;0),(1/2),0)</f>
        <v>0.5</v>
      </c>
      <c r="AS131" s="38">
        <f>IF((ዕቁብ!AT133/ቦኖ!$C$4&gt;0),(1/2),0)</f>
        <v>0.5</v>
      </c>
      <c r="AT131" s="38">
        <f>IF((ዕቁብ!AU133/ቦኖ!$C$4&gt;0),(1/2),0)</f>
        <v>0.5</v>
      </c>
      <c r="AU131" s="38">
        <f>IF((ዕቁብ!AV133/ቦኖ!$C$4&gt;0),(1/2),0)</f>
        <v>0.5</v>
      </c>
      <c r="AV131" s="38">
        <f>IF((ዕቁብ!AW133/ቦኖ!$C$4&gt;0),(1/2),0)</f>
        <v>0.5</v>
      </c>
      <c r="AW131" s="38">
        <f>IF((ዕቁብ!AX133/ቦኖ!$C$4&gt;0),(1/2),0)</f>
        <v>0.5</v>
      </c>
      <c r="AX131" s="38">
        <f>IF((ዕቁብ!AY133/ቦኖ!$C$4&gt;0),(1/2),0)</f>
        <v>0.5</v>
      </c>
      <c r="AY131" s="38">
        <f>IF((ዕቁብ!AZ133/ቦኖ!$C$4&gt;0),(1/2),0)</f>
        <v>0</v>
      </c>
      <c r="AZ131" s="38">
        <f>IF((ዕቁብ!BA133/ቦኖ!$C$4&gt;0),(1/2),0)</f>
        <v>0.5</v>
      </c>
      <c r="BA131" s="38">
        <f>IF((ዕቁብ!BB133/ቦኖ!$C$4&gt;0),(1/2),0)</f>
        <v>0</v>
      </c>
      <c r="BB131" s="38">
        <f>IF((ዕቁብ!BC133/ቦኖ!$C$4&gt;0),(1/2),0)</f>
        <v>0.5</v>
      </c>
      <c r="BC131" s="38">
        <f>IF((ዕቁብ!BD133/ቦኖ!$C$4&gt;0),(1/2),0)</f>
        <v>0.5</v>
      </c>
      <c r="BD131" s="38">
        <f>IF((ዕቁብ!BE133/ቦኖ!$C$4&gt;0),(1/2),0)</f>
        <v>0.5</v>
      </c>
      <c r="BE131" s="38">
        <f>IF((ዕቁብ!BF133/ቦኖ!$C$4&gt;0),(1/2),0)</f>
        <v>0</v>
      </c>
      <c r="BF131" s="38">
        <f>IF((ዕቁብ!BG133/ቦኖ!$C$4&gt;0),(1/2),0)</f>
        <v>0.5</v>
      </c>
      <c r="BG131" s="38">
        <f>IF((ዕቁብ!BH133/ቦኖ!$C$4&gt;0),(1/2),0)</f>
        <v>0</v>
      </c>
      <c r="BH131" s="38">
        <f>IF((ዕቁብ!BI133/ቦኖ!$C$4&gt;0),(1/2),0)</f>
        <v>0.5</v>
      </c>
      <c r="BI131" s="38">
        <f>IF((ዕቁብ!BJ133/ቦኖ!$C$4&gt;0),(1/2),0)</f>
        <v>0</v>
      </c>
      <c r="BJ131" s="38">
        <f>IF((ዕቁብ!BK133/ቦኖ!$C$4&gt;0),(1/2),0)</f>
        <v>0.5</v>
      </c>
      <c r="BK131" s="38">
        <f>IF((ዕቁብ!BL133/ቦኖ!$C$4&gt;0),(1/2),0)</f>
        <v>0</v>
      </c>
      <c r="BL131" s="38">
        <f>IF((ዕቁብ!BM133/ቦኖ!$C$4&gt;0),(1/2),0)</f>
        <v>0</v>
      </c>
      <c r="BM131" s="38">
        <f>IF((ዕቁብ!BN133/ቦኖ!$C$4&gt;0),(1/2),0)</f>
        <v>0.5</v>
      </c>
      <c r="BN131" s="38">
        <f>IF((ዕቁብ!BO133/ቦኖ!$C$4&gt;0),(1/2),0)</f>
        <v>0.5</v>
      </c>
      <c r="BO131" s="38">
        <f>IF((ዕቁብ!BP133/ቦኖ!$C$4&gt;0),(1/2),0)</f>
        <v>0.5</v>
      </c>
      <c r="BP131" s="38">
        <f>IF((ዕቁብ!BQ133/ቦኖ!$C$4&gt;0),(1/2),0)</f>
        <v>0</v>
      </c>
      <c r="BQ131" s="38">
        <f>IF((ዕቁብ!BR133/ቦኖ!$C$4&gt;0),(1/2),0)</f>
        <v>0</v>
      </c>
      <c r="BR131" s="38">
        <f>IF((ዕቁብ!BS133/ቦኖ!$C$4&gt;0),(1/2),0)</f>
        <v>0.5</v>
      </c>
      <c r="BS131" s="38">
        <f>IF((ዕቁብ!BT133/ቦኖ!$C$4&gt;0),(1/2),0)</f>
        <v>0</v>
      </c>
      <c r="BT131" s="38">
        <f>IF((ዕቁብ!BU133/ቦኖ!$C$4&gt;0),(1/2),0)</f>
        <v>0</v>
      </c>
      <c r="BU131" s="38">
        <f>IF((ዕቁብ!BV133/ቦኖ!$C$4&gt;0),(1/2),0)</f>
        <v>0.5</v>
      </c>
      <c r="BV131" s="38">
        <f>IF((ዕቁብ!BW133/ቦኖ!$C$4&gt;0),(1/2),0)</f>
        <v>0</v>
      </c>
      <c r="BW131" s="38">
        <f>IF((ዕቁብ!BX133/ቦኖ!$C$4&gt;0),(1/2),0)</f>
        <v>0.5</v>
      </c>
      <c r="BX131" s="38">
        <f>IF((ዕቁብ!BY133/ቦኖ!$C$4&gt;0),(1/2),0)</f>
        <v>0</v>
      </c>
      <c r="BY131" s="38">
        <f>IF((ዕቁብ!BZ133/ቦኖ!$C$4&gt;0),(1/2),0)</f>
        <v>0.5</v>
      </c>
      <c r="BZ131" s="38">
        <f>IF((ዕቁብ!CA133/ቦኖ!$C$4&gt;0),(1/2),0)</f>
        <v>0</v>
      </c>
      <c r="CA131" s="38">
        <f>IF((ዕቁብ!CB133/ቦኖ!$C$4&gt;0),(1/2),0)</f>
        <v>0</v>
      </c>
      <c r="CB131" s="38">
        <f>IF((ዕቁብ!CC133/ቦኖ!$C$4&gt;0),(1/2),0)</f>
        <v>0.5</v>
      </c>
      <c r="CC131" s="38">
        <f>IF((ዕቁብ!CD133/ቦኖ!$C$4&gt;0),(1/2),0)</f>
        <v>0</v>
      </c>
      <c r="CD131" s="38">
        <f>IF((ዕቁብ!CE133/ቦኖ!$C$4&gt;0),(1/2),0)</f>
        <v>0.5</v>
      </c>
      <c r="CE131" s="38">
        <f>IF((ዕቁብ!CF133/ቦኖ!$C$4&gt;0),(1/2),0)</f>
        <v>0</v>
      </c>
      <c r="CF131" s="38">
        <f>IF((ዕቁብ!CG133/ቦኖ!$C$4&gt;0),(1/2),0)</f>
        <v>0.5</v>
      </c>
      <c r="CG131" s="38">
        <f>IF((ዕቁብ!CH133/ቦኖ!$C$4&gt;0),(1/2),0)</f>
        <v>0</v>
      </c>
      <c r="CH131" s="38">
        <f>IF((ዕቁብ!CI133/ቦኖ!$C$4&gt;0),(1/2),0)</f>
        <v>0.5</v>
      </c>
      <c r="CI131" s="38">
        <f>IF((ዕቁብ!CJ133/ቦኖ!$C$4&gt;0),(1/2),0)</f>
        <v>0.5</v>
      </c>
      <c r="CJ131" s="38">
        <f>IF((ዕቁብ!CK133/ቦኖ!$C$4&gt;0),(1/2),0)</f>
        <v>0</v>
      </c>
      <c r="CK131" s="38">
        <f>IF((ዕቁብ!CL133/ቦኖ!$C$4&gt;0),(1/2),0)</f>
        <v>0.5</v>
      </c>
      <c r="CL131" s="38">
        <f>IF((ዕቁብ!CM133/ቦኖ!$C$4&gt;0),(1/2),0)</f>
        <v>0</v>
      </c>
      <c r="CM131" s="38">
        <f>IF((ዕቁብ!CN133/ቦኖ!$C$4&gt;0),(1/2),0)</f>
        <v>0.5</v>
      </c>
      <c r="CN131" s="38">
        <f>IF((ዕቁብ!CO133/ቦኖ!$C$4&gt;0),(1/2),0)</f>
        <v>0</v>
      </c>
      <c r="CO131" s="38">
        <f>IF((ዕቁብ!CP133/ቦኖ!$C$4&gt;0),(1/2),0)</f>
        <v>0.5</v>
      </c>
      <c r="CP131" s="38">
        <f>IF((ዕቁብ!CQ133/ቦኖ!$C$4&gt;0),(1/2),0)</f>
        <v>0</v>
      </c>
      <c r="CQ131" s="38">
        <f>IF((ዕቁብ!CR133/ቦኖ!$C$4&gt;0),(1/2),0)</f>
        <v>0.5</v>
      </c>
      <c r="CR131" s="38">
        <f>IF((ዕቁብ!CS133/ቦኖ!$C$4&gt;0),(1/2),0)</f>
        <v>0</v>
      </c>
      <c r="CS131" s="38">
        <f>IF((ዕቁብ!CT133/ቦኖ!$C$4&gt;0),(1/2),0)</f>
        <v>0.5</v>
      </c>
      <c r="CT131" s="38">
        <f>IF((ዕቁብ!CU133/ቦኖ!$C$4&gt;0),(1/2),0)</f>
        <v>0</v>
      </c>
      <c r="CU131" s="38">
        <f>IF((ዕቁብ!CV133/ቦኖ!$C$4&gt;0),(1/2),0)</f>
        <v>0.5</v>
      </c>
      <c r="CV131" s="38">
        <f>IF((ዕቁብ!CW133/ቦኖ!$C$4&gt;0),(1/2),0)</f>
        <v>0</v>
      </c>
      <c r="CW131" s="38">
        <f>IF((ዕቁብ!CX133/ቦኖ!$C$4&gt;0),(1/2),0)</f>
        <v>0</v>
      </c>
      <c r="CX131" s="38">
        <f>IF((ዕቁብ!CY133/ቦኖ!$C$4&gt;0),(1/2),0)</f>
        <v>0.5</v>
      </c>
      <c r="CY131" s="38">
        <f>IF((ዕቁብ!CZ133/ቦኖ!$C$4&gt;0),(1/2),0)</f>
        <v>0</v>
      </c>
      <c r="CZ131" s="38">
        <f>IF((ዕቁብ!DA133/ቦኖ!$C$4&gt;0),(1/2),0)</f>
        <v>0.5</v>
      </c>
      <c r="DA131" s="38">
        <f>IF((ዕቁብ!DB133/ቦኖ!$C$4&gt;0),(1/2),0)</f>
        <v>0</v>
      </c>
      <c r="DB131" s="38">
        <f>IF((ዕቁብ!DC133/ቦኖ!$C$4&gt;0),(1/2),0)</f>
        <v>0</v>
      </c>
      <c r="DC131" s="38">
        <f>IF((ዕቁብ!DD133/ቦኖ!$C$4&gt;0),(1/2),0)</f>
        <v>0.5</v>
      </c>
      <c r="DD131" s="38">
        <f>IF((ዕቁብ!DE133/ቦኖ!$C$4&gt;0),(1/2),0)</f>
        <v>0</v>
      </c>
      <c r="DE131" s="38">
        <f>IF((ዕቁብ!DF133/ቦኖ!$C$4&gt;0),(1/2),0)</f>
        <v>0</v>
      </c>
      <c r="DF131" s="38">
        <f>IF((ዕቁብ!DG133/ቦኖ!$C$4&gt;0),(1/2),0)</f>
        <v>0.5</v>
      </c>
      <c r="DG131" s="38">
        <f>IF((ዕቁብ!DH133/ቦኖ!$C$4&gt;0),(1/2),0)</f>
        <v>0</v>
      </c>
      <c r="DH131" s="38">
        <f>IF((ዕቁብ!DI133/ቦኖ!$C$4&gt;0),(1/2),0)</f>
        <v>0</v>
      </c>
      <c r="DI131" s="38">
        <f>IF((ዕቁብ!DJ133/ቦኖ!$C$4&gt;0),(1/2),0)</f>
        <v>0</v>
      </c>
      <c r="DJ131" s="38">
        <f>IF((ዕቁብ!DK133/ቦኖ!$C$4&gt;0),(1/2),0)</f>
        <v>0</v>
      </c>
      <c r="DK131" s="38">
        <f>IF((ዕቁብ!DL133/ቦኖ!$C$4&gt;0),(1/2),0)</f>
        <v>0</v>
      </c>
      <c r="DL131" s="38">
        <f>IF((ዕቁብ!DM133/ቦኖ!$C$4&gt;0),(1/2),0)</f>
        <v>0</v>
      </c>
      <c r="DM131" s="38">
        <f>IF((ዕቁብ!DN133/ቦኖ!$C$4&gt;0),(1/2),0)</f>
        <v>0</v>
      </c>
      <c r="DN131" s="38">
        <f>IF((ዕቁብ!DO133/ቦኖ!$C$4&gt;0),(1/2),0)</f>
        <v>0</v>
      </c>
      <c r="DO131" s="38">
        <f>IF((ዕቁብ!DP133/ቦኖ!$C$4&gt;0),(1/2),0)</f>
        <v>0</v>
      </c>
      <c r="DP131" s="38">
        <f>IF((ዕቁብ!DQ133/ቦኖ!$C$4&gt;0),(1/2),0)</f>
        <v>0</v>
      </c>
      <c r="DQ131" s="38">
        <f>IF((ዕቁብ!DR133/ቦኖ!$C$4&gt;0),(1/2),0)</f>
        <v>0</v>
      </c>
    </row>
    <row r="132" spans="1:122" ht="15.75" customHeight="1" x14ac:dyDescent="0.3">
      <c r="A132" s="33">
        <f>ዕቁብ!A134</f>
        <v>111</v>
      </c>
      <c r="B132" s="33" t="str">
        <f>ዕቁብ!B134</f>
        <v>ሰለሞን ሰጋሮ</v>
      </c>
      <c r="C132" s="37">
        <f>ዕቁብ!C134</f>
        <v>10500</v>
      </c>
      <c r="D132" s="38">
        <f>IF((ዕቁብ!E134/ቦኖ!$C$4&gt;0),(1/2),0)</f>
        <v>0.5</v>
      </c>
      <c r="E132" s="38">
        <f>IF((ዕቁብ!F134/ቦኖ!$C$4&gt;0),(1/2),0)</f>
        <v>0.5</v>
      </c>
      <c r="F132" s="38">
        <f>IF((ዕቁብ!G134/ቦኖ!$C$4&gt;0),(1/2),0)</f>
        <v>0.5</v>
      </c>
      <c r="G132" s="38">
        <f>IF((ዕቁብ!H134/ቦኖ!$C$4&gt;0),(1/2),0)</f>
        <v>0.5</v>
      </c>
      <c r="H132" s="38">
        <f>IF((ዕቁብ!I134/ቦኖ!$C$4&gt;0),(1/2),0)</f>
        <v>0.5</v>
      </c>
      <c r="I132" s="38">
        <f>IF((ዕቁብ!J134/ቦኖ!$C$4&gt;0),(1/2),0)</f>
        <v>0.5</v>
      </c>
      <c r="J132" s="38">
        <f>IF((ዕቁብ!K134/ቦኖ!$C$4&gt;0),(1/2),0)</f>
        <v>0.5</v>
      </c>
      <c r="K132" s="38">
        <f>IF((ዕቁብ!L134/ቦኖ!$C$4&gt;0),(1/2),0)</f>
        <v>0.5</v>
      </c>
      <c r="L132" s="38">
        <f>IF((ዕቁብ!M134/ቦኖ!$C$4&gt;0),(1/2),0)</f>
        <v>0.5</v>
      </c>
      <c r="M132" s="38">
        <f>IF((ዕቁብ!N134/ቦኖ!$C$4&gt;0),(1/2),0)</f>
        <v>0.5</v>
      </c>
      <c r="N132" s="38">
        <f>IF((ዕቁብ!O134/ቦኖ!$C$4&gt;0),(1/2),0)</f>
        <v>0.5</v>
      </c>
      <c r="O132" s="38">
        <f>IF((ዕቁብ!P134/ቦኖ!$C$4&gt;0),(1/2),0)</f>
        <v>0.5</v>
      </c>
      <c r="P132" s="38">
        <f>IF((ዕቁብ!Q134/ቦኖ!$C$4&gt;0),(1/2),0)</f>
        <v>0.5</v>
      </c>
      <c r="Q132" s="38">
        <f>IF((ዕቁብ!R134/ቦኖ!$C$4&gt;0),(1/2),0)</f>
        <v>0.5</v>
      </c>
      <c r="R132" s="38">
        <f>IF((ዕቁብ!S134/ቦኖ!$C$4&gt;0),(1/2),0)</f>
        <v>0.5</v>
      </c>
      <c r="S132" s="38">
        <f>IF((ዕቁብ!T134/ቦኖ!$C$4&gt;0),(1/2),0)</f>
        <v>0.5</v>
      </c>
      <c r="T132" s="38">
        <f>IF((ዕቁብ!U134/ቦኖ!$C$4&gt;0),(1/2),0)</f>
        <v>0.5</v>
      </c>
      <c r="U132" s="38">
        <f>IF((ዕቁብ!V134/ቦኖ!$C$4&gt;0),(1/2),0)</f>
        <v>0.5</v>
      </c>
      <c r="V132" s="38">
        <f>IF((ዕቁብ!W134/ቦኖ!$C$4&gt;0),(1/2),0)</f>
        <v>0.5</v>
      </c>
      <c r="W132" s="38">
        <f>IF((ዕቁብ!X134/ቦኖ!$C$4&gt;0),(1/2),0)</f>
        <v>0.5</v>
      </c>
      <c r="X132" s="38">
        <f>IF((ዕቁብ!Y134/ቦኖ!$C$4&gt;0),(1/2),0)</f>
        <v>0.5</v>
      </c>
      <c r="Y132" s="38">
        <f>IF((ዕቁብ!Z134/ቦኖ!$C$4&gt;0),(1/2),0)</f>
        <v>0.5</v>
      </c>
      <c r="Z132" s="38">
        <f>IF((ዕቁብ!AA134/ቦኖ!$C$4&gt;0),(1/2),0)</f>
        <v>0.5</v>
      </c>
      <c r="AA132" s="38">
        <f>IF((ዕቁብ!AB134/ቦኖ!$C$4&gt;0),(1/2),0)</f>
        <v>0</v>
      </c>
      <c r="AB132" s="38">
        <f>IF((ዕቁብ!AC134/ቦኖ!$C$4&gt;0),(1/2),0)</f>
        <v>0.5</v>
      </c>
      <c r="AC132" s="38">
        <f>IF((ዕቁብ!AD134/ቦኖ!$C$4&gt;0),(1/2),0)</f>
        <v>0.5</v>
      </c>
      <c r="AD132" s="38">
        <f>IF((ዕቁብ!AE134/ቦኖ!$C$4&gt;0),(1/2),0)</f>
        <v>0.5</v>
      </c>
      <c r="AE132" s="38">
        <f>IF((ዕቁብ!AF134/ቦኖ!$C$4&gt;0),(1/2),0)</f>
        <v>0.5</v>
      </c>
      <c r="AF132" s="38">
        <f>IF((ዕቁብ!AG134/ቦኖ!$C$4&gt;0),(1/2),0)</f>
        <v>0.5</v>
      </c>
      <c r="AG132" s="38">
        <f>IF((ዕቁብ!AH134/ቦኖ!$C$4&gt;0),(1/2),0)</f>
        <v>0.5</v>
      </c>
      <c r="AH132" s="38">
        <f>IF((ዕቁብ!AI134/ቦኖ!$C$4&gt;0),(1/2),0)</f>
        <v>0.5</v>
      </c>
      <c r="AI132" s="38">
        <f>IF((ዕቁብ!AJ134/ቦኖ!$C$4&gt;0),(1/2),0)</f>
        <v>0.5</v>
      </c>
      <c r="AJ132" s="38">
        <f>IF((ዕቁብ!AK134/ቦኖ!$C$4&gt;0),(1/2),0)</f>
        <v>0.5</v>
      </c>
      <c r="AK132" s="38">
        <f>IF((ዕቁብ!AL134/ቦኖ!$C$4&gt;0),(1/2),0)</f>
        <v>0.5</v>
      </c>
      <c r="AL132" s="38">
        <f>IF((ዕቁብ!AM134/ቦኖ!$C$4&gt;0),(1/2),0)</f>
        <v>0.5</v>
      </c>
      <c r="AM132" s="38">
        <f>IF((ዕቁብ!AN134/ቦኖ!$C$4&gt;0),(1/2),0)</f>
        <v>0.5</v>
      </c>
      <c r="AN132" s="38">
        <f>IF((ዕቁብ!AO134/ቦኖ!$C$4&gt;0),(1/2),0)</f>
        <v>0.5</v>
      </c>
      <c r="AO132" s="38">
        <f>IF((ዕቁብ!AP134/ቦኖ!$C$4&gt;0),(1/2),0)</f>
        <v>0.5</v>
      </c>
      <c r="AP132" s="38">
        <f>IF((ዕቁብ!AQ134/ቦኖ!$C$4&gt;0),(1/2),0)</f>
        <v>0.5</v>
      </c>
      <c r="AQ132" s="38">
        <f>IF((ዕቁብ!AR134/ቦኖ!$C$4&gt;0),(1/2),0)</f>
        <v>0.5</v>
      </c>
      <c r="AR132" s="38">
        <f>IF((ዕቁብ!AS134/ቦኖ!$C$4&gt;0),(1/2),0)</f>
        <v>0.5</v>
      </c>
      <c r="AS132" s="38">
        <f>IF((ዕቁብ!AT134/ቦኖ!$C$4&gt;0),(1/2),0)</f>
        <v>0.5</v>
      </c>
      <c r="AT132" s="38">
        <f>IF((ዕቁብ!AU134/ቦኖ!$C$4&gt;0),(1/2),0)</f>
        <v>0</v>
      </c>
      <c r="AU132" s="38">
        <f>IF((ዕቁብ!AV134/ቦኖ!$C$4&gt;0),(1/2),0)</f>
        <v>0.5</v>
      </c>
      <c r="AV132" s="38">
        <f>IF((ዕቁብ!AW134/ቦኖ!$C$4&gt;0),(1/2),0)</f>
        <v>0.5</v>
      </c>
      <c r="AW132" s="38">
        <f>IF((ዕቁብ!AX134/ቦኖ!$C$4&gt;0),(1/2),0)</f>
        <v>0.5</v>
      </c>
      <c r="AX132" s="38">
        <f>IF((ዕቁብ!AY134/ቦኖ!$C$4&gt;0),(1/2),0)</f>
        <v>0.5</v>
      </c>
      <c r="AY132" s="38">
        <f>IF((ዕቁብ!AZ134/ቦኖ!$C$4&gt;0),(1/2),0)</f>
        <v>0.5</v>
      </c>
      <c r="AZ132" s="38">
        <f>IF((ዕቁብ!BA134/ቦኖ!$C$4&gt;0),(1/2),0)</f>
        <v>0</v>
      </c>
      <c r="BA132" s="38">
        <f>IF((ዕቁብ!BB134/ቦኖ!$C$4&gt;0),(1/2),0)</f>
        <v>0.5</v>
      </c>
      <c r="BB132" s="38">
        <f>IF((ዕቁብ!BC134/ቦኖ!$C$4&gt;0),(1/2),0)</f>
        <v>0</v>
      </c>
      <c r="BC132" s="38">
        <f>IF((ዕቁብ!BD134/ቦኖ!$C$4&gt;0),(1/2),0)</f>
        <v>0.5</v>
      </c>
      <c r="BD132" s="38">
        <f>IF((ዕቁብ!BE134/ቦኖ!$C$4&gt;0),(1/2),0)</f>
        <v>0.5</v>
      </c>
      <c r="BE132" s="38">
        <f>IF((ዕቁብ!BF134/ቦኖ!$C$4&gt;0),(1/2),0)</f>
        <v>0.5</v>
      </c>
      <c r="BF132" s="38">
        <f>IF((ዕቁብ!BG134/ቦኖ!$C$4&gt;0),(1/2),0)</f>
        <v>0.5</v>
      </c>
      <c r="BG132" s="38">
        <f>IF((ዕቁብ!BH134/ቦኖ!$C$4&gt;0),(1/2),0)</f>
        <v>0.5</v>
      </c>
      <c r="BH132" s="38">
        <f>IF((ዕቁብ!BI134/ቦኖ!$C$4&gt;0),(1/2),0)</f>
        <v>0.5</v>
      </c>
      <c r="BI132" s="38">
        <f>IF((ዕቁብ!BJ134/ቦኖ!$C$4&gt;0),(1/2),0)</f>
        <v>0.5</v>
      </c>
      <c r="BJ132" s="38">
        <f>IF((ዕቁብ!BK134/ቦኖ!$C$4&gt;0),(1/2),0)</f>
        <v>0.5</v>
      </c>
      <c r="BK132" s="38">
        <f>IF((ዕቁብ!BL134/ቦኖ!$C$4&gt;0),(1/2),0)</f>
        <v>0.5</v>
      </c>
      <c r="BL132" s="38">
        <f>IF((ዕቁብ!BM134/ቦኖ!$C$4&gt;0),(1/2),0)</f>
        <v>0</v>
      </c>
      <c r="BM132" s="38">
        <f>IF((ዕቁብ!BN134/ቦኖ!$C$4&gt;0),(1/2),0)</f>
        <v>0</v>
      </c>
      <c r="BN132" s="38">
        <f>IF((ዕቁብ!BO134/ቦኖ!$C$4&gt;0),(1/2),0)</f>
        <v>0.5</v>
      </c>
      <c r="BO132" s="38">
        <f>IF((ዕቁብ!BP134/ቦኖ!$C$4&gt;0),(1/2),0)</f>
        <v>0.5</v>
      </c>
      <c r="BP132" s="38">
        <f>IF((ዕቁብ!BQ134/ቦኖ!$C$4&gt;0),(1/2),0)</f>
        <v>0.5</v>
      </c>
      <c r="BQ132" s="38">
        <f>IF((ዕቁብ!BR134/ቦኖ!$C$4&gt;0),(1/2),0)</f>
        <v>0.5</v>
      </c>
      <c r="BR132" s="38">
        <f>IF((ዕቁብ!BS134/ቦኖ!$C$4&gt;0),(1/2),0)</f>
        <v>0.5</v>
      </c>
      <c r="BS132" s="38">
        <f>IF((ዕቁብ!BT134/ቦኖ!$C$4&gt;0),(1/2),0)</f>
        <v>0</v>
      </c>
      <c r="BT132" s="38">
        <f>IF((ዕቁብ!BU134/ቦኖ!$C$4&gt;0),(1/2),0)</f>
        <v>0</v>
      </c>
      <c r="BU132" s="38">
        <f>IF((ዕቁብ!BV134/ቦኖ!$C$4&gt;0),(1/2),0)</f>
        <v>0.5</v>
      </c>
      <c r="BV132" s="38">
        <f>IF((ዕቁብ!BW134/ቦኖ!$C$4&gt;0),(1/2),0)</f>
        <v>0.5</v>
      </c>
      <c r="BW132" s="38">
        <f>IF((ዕቁብ!BX134/ቦኖ!$C$4&gt;0),(1/2),0)</f>
        <v>0.5</v>
      </c>
      <c r="BX132" s="38">
        <f>IF((ዕቁብ!BY134/ቦኖ!$C$4&gt;0),(1/2),0)</f>
        <v>0.5</v>
      </c>
      <c r="BY132" s="38">
        <f>IF((ዕቁብ!BZ134/ቦኖ!$C$4&gt;0),(1/2),0)</f>
        <v>0.5</v>
      </c>
      <c r="BZ132" s="38">
        <f>IF((ዕቁብ!CA134/ቦኖ!$C$4&gt;0),(1/2),0)</f>
        <v>0.5</v>
      </c>
      <c r="CA132" s="38">
        <f>IF((ዕቁብ!CB134/ቦኖ!$C$4&gt;0),(1/2),0)</f>
        <v>0</v>
      </c>
      <c r="CB132" s="38">
        <f>IF((ዕቁብ!CC134/ቦኖ!$C$4&gt;0),(1/2),0)</f>
        <v>0.5</v>
      </c>
      <c r="CC132" s="38">
        <f>IF((ዕቁብ!CD134/ቦኖ!$C$4&gt;0),(1/2),0)</f>
        <v>0.5</v>
      </c>
      <c r="CD132" s="38">
        <f>IF((ዕቁብ!CE134/ቦኖ!$C$4&gt;0),(1/2),0)</f>
        <v>0</v>
      </c>
      <c r="CE132" s="38">
        <f>IF((ዕቁብ!CF134/ቦኖ!$C$4&gt;0),(1/2),0)</f>
        <v>0.5</v>
      </c>
      <c r="CF132" s="38">
        <f>IF((ዕቁብ!CG134/ቦኖ!$C$4&gt;0),(1/2),0)</f>
        <v>0</v>
      </c>
      <c r="CG132" s="38">
        <f>IF((ዕቁብ!CH134/ቦኖ!$C$4&gt;0),(1/2),0)</f>
        <v>0.5</v>
      </c>
      <c r="CH132" s="38">
        <f>IF((ዕቁብ!CI134/ቦኖ!$C$4&gt;0),(1/2),0)</f>
        <v>0</v>
      </c>
      <c r="CI132" s="38">
        <f>IF((ዕቁብ!CJ134/ቦኖ!$C$4&gt;0),(1/2),0)</f>
        <v>0.5</v>
      </c>
      <c r="CJ132" s="38">
        <f>IF((ዕቁብ!CK134/ቦኖ!$C$4&gt;0),(1/2),0)</f>
        <v>0</v>
      </c>
      <c r="CK132" s="38">
        <f>IF((ዕቁብ!CL134/ቦኖ!$C$4&gt;0),(1/2),0)</f>
        <v>0.5</v>
      </c>
      <c r="CL132" s="38">
        <f>IF((ዕቁብ!CM134/ቦኖ!$C$4&gt;0),(1/2),0)</f>
        <v>0</v>
      </c>
      <c r="CM132" s="38">
        <f>IF((ዕቁብ!CN134/ቦኖ!$C$4&gt;0),(1/2),0)</f>
        <v>0.5</v>
      </c>
      <c r="CN132" s="38">
        <f>IF((ዕቁብ!CO134/ቦኖ!$C$4&gt;0),(1/2),0)</f>
        <v>0</v>
      </c>
      <c r="CO132" s="38">
        <f>IF((ዕቁብ!CP134/ቦኖ!$C$4&gt;0),(1/2),0)</f>
        <v>0.5</v>
      </c>
      <c r="CP132" s="38">
        <f>IF((ዕቁብ!CQ134/ቦኖ!$C$4&gt;0),(1/2),0)</f>
        <v>0</v>
      </c>
      <c r="CQ132" s="38">
        <f>IF((ዕቁብ!CR134/ቦኖ!$C$4&gt;0),(1/2),0)</f>
        <v>0.5</v>
      </c>
      <c r="CR132" s="38">
        <f>IF((ዕቁብ!CS134/ቦኖ!$C$4&gt;0),(1/2),0)</f>
        <v>0</v>
      </c>
      <c r="CS132" s="38">
        <f>IF((ዕቁብ!CT134/ቦኖ!$C$4&gt;0),(1/2),0)</f>
        <v>0.5</v>
      </c>
      <c r="CT132" s="38">
        <f>IF((ዕቁብ!CU134/ቦኖ!$C$4&gt;0),(1/2),0)</f>
        <v>0</v>
      </c>
      <c r="CU132" s="38">
        <f>IF((ዕቁብ!CV134/ቦኖ!$C$4&gt;0),(1/2),0)</f>
        <v>0.5</v>
      </c>
      <c r="CV132" s="38">
        <f>IF((ዕቁብ!CW134/ቦኖ!$C$4&gt;0),(1/2),0)</f>
        <v>0.5</v>
      </c>
      <c r="CW132" s="38">
        <f>IF((ዕቁብ!CX134/ቦኖ!$C$4&gt;0),(1/2),0)</f>
        <v>0.5</v>
      </c>
      <c r="CX132" s="38">
        <f>IF((ዕቁብ!CY134/ቦኖ!$C$4&gt;0),(1/2),0)</f>
        <v>0.5</v>
      </c>
      <c r="CY132" s="38">
        <f>IF((ዕቁብ!CZ134/ቦኖ!$C$4&gt;0),(1/2),0)</f>
        <v>0</v>
      </c>
      <c r="CZ132" s="38">
        <f>IF((ዕቁብ!DA134/ቦኖ!$C$4&gt;0),(1/2),0)</f>
        <v>0.5</v>
      </c>
      <c r="DA132" s="38">
        <f>IF((ዕቁብ!DB134/ቦኖ!$C$4&gt;0),(1/2),0)</f>
        <v>0</v>
      </c>
      <c r="DB132" s="38">
        <f>IF((ዕቁብ!DC134/ቦኖ!$C$4&gt;0),(1/2),0)</f>
        <v>0</v>
      </c>
      <c r="DC132" s="38">
        <f>IF((ዕቁብ!DD134/ቦኖ!$C$4&gt;0),(1/2),0)</f>
        <v>0.5</v>
      </c>
      <c r="DD132" s="38">
        <f>IF((ዕቁብ!DE134/ቦኖ!$C$4&gt;0),(1/2),0)</f>
        <v>0</v>
      </c>
      <c r="DE132" s="38">
        <f>IF((ዕቁብ!DF134/ቦኖ!$C$4&gt;0),(1/2),0)</f>
        <v>0.5</v>
      </c>
      <c r="DF132" s="38">
        <f>IF((ዕቁብ!DG134/ቦኖ!$C$4&gt;0),(1/2),0)</f>
        <v>0</v>
      </c>
      <c r="DG132" s="38">
        <f>IF((ዕቁብ!DH134/ቦኖ!$C$4&gt;0),(1/2),0)</f>
        <v>0</v>
      </c>
      <c r="DH132" s="38">
        <f>IF((ዕቁብ!DI134/ቦኖ!$C$4&gt;0),(1/2),0)</f>
        <v>0</v>
      </c>
      <c r="DI132" s="38">
        <f>IF((ዕቁብ!DJ134/ቦኖ!$C$4&gt;0),(1/2),0)</f>
        <v>0</v>
      </c>
      <c r="DJ132" s="38">
        <f>IF((ዕቁብ!DK134/ቦኖ!$C$4&gt;0),(1/2),0)</f>
        <v>0</v>
      </c>
      <c r="DK132" s="38">
        <f>IF((ዕቁብ!DL134/ቦኖ!$C$4&gt;0),(1/2),0)</f>
        <v>0</v>
      </c>
      <c r="DL132" s="38">
        <f>IF((ዕቁብ!DM134/ቦኖ!$C$4&gt;0),(1/2),0)</f>
        <v>0</v>
      </c>
      <c r="DM132" s="38">
        <f>IF((ዕቁብ!DN134/ቦኖ!$C$4&gt;0),(1/2),0)</f>
        <v>0</v>
      </c>
      <c r="DN132" s="38">
        <f>IF((ዕቁብ!DO134/ቦኖ!$C$4&gt;0),(1/2),0)</f>
        <v>0</v>
      </c>
      <c r="DO132" s="38">
        <f>IF((ዕቁብ!DP134/ቦኖ!$C$4&gt;0),(1/2),0)</f>
        <v>0</v>
      </c>
      <c r="DP132" s="38">
        <f>IF((ዕቁብ!DQ134/ቦኖ!$C$4&gt;0),(1/2),0)</f>
        <v>0</v>
      </c>
      <c r="DQ132" s="38">
        <f>IF((ዕቁብ!DR134/ቦኖ!$C$4&gt;0),(1/2),0)</f>
        <v>0</v>
      </c>
    </row>
    <row r="133" spans="1:122" ht="15.75" customHeight="1" x14ac:dyDescent="0.3">
      <c r="A133" s="33">
        <f>ዕቁብ!A135</f>
        <v>112</v>
      </c>
      <c r="B133" s="33" t="str">
        <f>ዕቁብ!B135</f>
        <v>ማተጎ አመኖ</v>
      </c>
      <c r="C133" s="37">
        <f>ዕቁብ!C135</f>
        <v>10500</v>
      </c>
      <c r="D133" s="38">
        <f>IF((ዕቁብ!E135/ቦኖ!$C$4&gt;0),(1/2),0)</f>
        <v>0.5</v>
      </c>
      <c r="E133" s="38">
        <f>IF((ዕቁብ!F135/ቦኖ!$C$4&gt;0),(1/2),0)</f>
        <v>0.5</v>
      </c>
      <c r="F133" s="38">
        <f>IF((ዕቁብ!G135/ቦኖ!$C$4&gt;0),(1/2),0)</f>
        <v>0.5</v>
      </c>
      <c r="G133" s="38">
        <f>IF((ዕቁብ!H135/ቦኖ!$C$4&gt;0),(1/2),0)</f>
        <v>0.5</v>
      </c>
      <c r="H133" s="38">
        <f>IF((ዕቁብ!I135/ቦኖ!$C$4&gt;0),(1/2),0)</f>
        <v>0.5</v>
      </c>
      <c r="I133" s="38">
        <f>IF((ዕቁብ!J135/ቦኖ!$C$4&gt;0),(1/2),0)</f>
        <v>0.5</v>
      </c>
      <c r="J133" s="38">
        <f>IF((ዕቁብ!K135/ቦኖ!$C$4&gt;0),(1/2),0)</f>
        <v>0.5</v>
      </c>
      <c r="K133" s="38">
        <f>IF((ዕቁብ!L135/ቦኖ!$C$4&gt;0),(1/2),0)</f>
        <v>0.5</v>
      </c>
      <c r="L133" s="38">
        <f>IF((ዕቁብ!M135/ቦኖ!$C$4&gt;0),(1/2),0)</f>
        <v>0.5</v>
      </c>
      <c r="M133" s="38">
        <f>IF((ዕቁብ!N135/ቦኖ!$C$4&gt;0),(1/2),0)</f>
        <v>0.5</v>
      </c>
      <c r="N133" s="38">
        <f>IF((ዕቁብ!O135/ቦኖ!$C$4&gt;0),(1/2),0)</f>
        <v>0.5</v>
      </c>
      <c r="O133" s="38">
        <f>IF((ዕቁብ!P135/ቦኖ!$C$4&gt;0),(1/2),0)</f>
        <v>0.5</v>
      </c>
      <c r="P133" s="38">
        <f>IF((ዕቁብ!Q135/ቦኖ!$C$4&gt;0),(1/2),0)</f>
        <v>0.5</v>
      </c>
      <c r="Q133" s="38">
        <f>IF((ዕቁብ!R135/ቦኖ!$C$4&gt;0),(1/2),0)</f>
        <v>0.5</v>
      </c>
      <c r="R133" s="38">
        <f>IF((ዕቁብ!S135/ቦኖ!$C$4&gt;0),(1/2),0)</f>
        <v>0.5</v>
      </c>
      <c r="S133" s="38">
        <f>IF((ዕቁብ!T135/ቦኖ!$C$4&gt;0),(1/2),0)</f>
        <v>0.5</v>
      </c>
      <c r="T133" s="38">
        <f>IF((ዕቁብ!U135/ቦኖ!$C$4&gt;0),(1/2),0)</f>
        <v>0.5</v>
      </c>
      <c r="U133" s="38">
        <f>IF((ዕቁብ!V135/ቦኖ!$C$4&gt;0),(1/2),0)</f>
        <v>0.5</v>
      </c>
      <c r="V133" s="38">
        <f>IF((ዕቁብ!W135/ቦኖ!$C$4&gt;0),(1/2),0)</f>
        <v>0.5</v>
      </c>
      <c r="W133" s="38">
        <f>IF((ዕቁብ!X135/ቦኖ!$C$4&gt;0),(1/2),0)</f>
        <v>0.5</v>
      </c>
      <c r="X133" s="38">
        <f>IF((ዕቁብ!Y135/ቦኖ!$C$4&gt;0),(1/2),0)</f>
        <v>0.5</v>
      </c>
      <c r="Y133" s="38">
        <f>IF((ዕቁብ!Z135/ቦኖ!$C$4&gt;0),(1/2),0)</f>
        <v>0.5</v>
      </c>
      <c r="Z133" s="38">
        <f>IF((ዕቁብ!AA135/ቦኖ!$C$4&gt;0),(1/2),0)</f>
        <v>0.5</v>
      </c>
      <c r="AA133" s="38">
        <f>IF((ዕቁብ!AB135/ቦኖ!$C$4&gt;0),(1/2),0)</f>
        <v>0</v>
      </c>
      <c r="AB133" s="38">
        <f>IF((ዕቁብ!AC135/ቦኖ!$C$4&gt;0),(1/2),0)</f>
        <v>0.5</v>
      </c>
      <c r="AC133" s="38">
        <f>IF((ዕቁብ!AD135/ቦኖ!$C$4&gt;0),(1/2),0)</f>
        <v>0.5</v>
      </c>
      <c r="AD133" s="38">
        <f>IF((ዕቁብ!AE135/ቦኖ!$C$4&gt;0),(1/2),0)</f>
        <v>0.5</v>
      </c>
      <c r="AE133" s="38">
        <f>IF((ዕቁብ!AF135/ቦኖ!$C$4&gt;0),(1/2),0)</f>
        <v>0</v>
      </c>
      <c r="AF133" s="38">
        <f>IF((ዕቁብ!AG135/ቦኖ!$C$4&gt;0),(1/2),0)</f>
        <v>0.5</v>
      </c>
      <c r="AG133" s="38">
        <f>IF((ዕቁብ!AH135/ቦኖ!$C$4&gt;0),(1/2),0)</f>
        <v>0</v>
      </c>
      <c r="AH133" s="38">
        <f>IF((ዕቁብ!AI135/ቦኖ!$C$4&gt;0),(1/2),0)</f>
        <v>0.5</v>
      </c>
      <c r="AI133" s="38">
        <f>IF((ዕቁብ!AJ135/ቦኖ!$C$4&gt;0),(1/2),0)</f>
        <v>0</v>
      </c>
      <c r="AJ133" s="38">
        <f>IF((ዕቁብ!AK135/ቦኖ!$C$4&gt;0),(1/2),0)</f>
        <v>0.5</v>
      </c>
      <c r="AK133" s="38">
        <f>IF((ዕቁብ!AL135/ቦኖ!$C$4&gt;0),(1/2),0)</f>
        <v>0.5</v>
      </c>
      <c r="AL133" s="38">
        <f>IF((ዕቁብ!AM135/ቦኖ!$C$4&gt;0),(1/2),0)</f>
        <v>0.5</v>
      </c>
      <c r="AM133" s="38">
        <f>IF((ዕቁብ!AN135/ቦኖ!$C$4&gt;0),(1/2),0)</f>
        <v>0.5</v>
      </c>
      <c r="AN133" s="38">
        <f>IF((ዕቁብ!AO135/ቦኖ!$C$4&gt;0),(1/2),0)</f>
        <v>0.5</v>
      </c>
      <c r="AO133" s="38">
        <f>IF((ዕቁብ!AP135/ቦኖ!$C$4&gt;0),(1/2),0)</f>
        <v>0.5</v>
      </c>
      <c r="AP133" s="38">
        <f>IF((ዕቁብ!AQ135/ቦኖ!$C$4&gt;0),(1/2),0)</f>
        <v>0.5</v>
      </c>
      <c r="AQ133" s="38">
        <f>IF((ዕቁብ!AR135/ቦኖ!$C$4&gt;0),(1/2),0)</f>
        <v>0.5</v>
      </c>
      <c r="AR133" s="38">
        <f>IF((ዕቁብ!AS135/ቦኖ!$C$4&gt;0),(1/2),0)</f>
        <v>0.5</v>
      </c>
      <c r="AS133" s="38">
        <f>IF((ዕቁብ!AT135/ቦኖ!$C$4&gt;0),(1/2),0)</f>
        <v>0.5</v>
      </c>
      <c r="AT133" s="38">
        <f>IF((ዕቁብ!AU135/ቦኖ!$C$4&gt;0),(1/2),0)</f>
        <v>0.5</v>
      </c>
      <c r="AU133" s="38">
        <f>IF((ዕቁብ!AV135/ቦኖ!$C$4&gt;0),(1/2),0)</f>
        <v>0.5</v>
      </c>
      <c r="AV133" s="38">
        <f>IF((ዕቁብ!AW135/ቦኖ!$C$4&gt;0),(1/2),0)</f>
        <v>0.5</v>
      </c>
      <c r="AW133" s="38">
        <f>IF((ዕቁብ!AX135/ቦኖ!$C$4&gt;0),(1/2),0)</f>
        <v>0.5</v>
      </c>
      <c r="AX133" s="38">
        <f>IF((ዕቁብ!AY135/ቦኖ!$C$4&gt;0),(1/2),0)</f>
        <v>0.5</v>
      </c>
      <c r="AY133" s="38">
        <f>IF((ዕቁብ!AZ135/ቦኖ!$C$4&gt;0),(1/2),0)</f>
        <v>0</v>
      </c>
      <c r="AZ133" s="38">
        <f>IF((ዕቁብ!BA135/ቦኖ!$C$4&gt;0),(1/2),0)</f>
        <v>0.5</v>
      </c>
      <c r="BA133" s="38">
        <f>IF((ዕቁብ!BB135/ቦኖ!$C$4&gt;0),(1/2),0)</f>
        <v>0.5</v>
      </c>
      <c r="BB133" s="38">
        <f>IF((ዕቁብ!BC135/ቦኖ!$C$4&gt;0),(1/2),0)</f>
        <v>0.5</v>
      </c>
      <c r="BC133" s="38">
        <f>IF((ዕቁብ!BD135/ቦኖ!$C$4&gt;0),(1/2),0)</f>
        <v>0</v>
      </c>
      <c r="BD133" s="38">
        <f>IF((ዕቁብ!BE135/ቦኖ!$C$4&gt;0),(1/2),0)</f>
        <v>0.5</v>
      </c>
      <c r="BE133" s="38">
        <f>IF((ዕቁብ!BF135/ቦኖ!$C$4&gt;0),(1/2),0)</f>
        <v>0.5</v>
      </c>
      <c r="BF133" s="38">
        <f>IF((ዕቁብ!BG135/ቦኖ!$C$4&gt;0),(1/2),0)</f>
        <v>0.5</v>
      </c>
      <c r="BG133" s="38">
        <f>IF((ዕቁብ!BH135/ቦኖ!$C$4&gt;0),(1/2),0)</f>
        <v>0</v>
      </c>
      <c r="BH133" s="38">
        <f>IF((ዕቁብ!BI135/ቦኖ!$C$4&gt;0),(1/2),0)</f>
        <v>0.5</v>
      </c>
      <c r="BI133" s="38">
        <f>IF((ዕቁብ!BJ135/ቦኖ!$C$4&gt;0),(1/2),0)</f>
        <v>0.5</v>
      </c>
      <c r="BJ133" s="38">
        <f>IF((ዕቁብ!BK135/ቦኖ!$C$4&gt;0),(1/2),0)</f>
        <v>0.5</v>
      </c>
      <c r="BK133" s="38">
        <f>IF((ዕቁብ!BL135/ቦኖ!$C$4&gt;0),(1/2),0)</f>
        <v>0</v>
      </c>
      <c r="BL133" s="38">
        <f>IF((ዕቁብ!BM135/ቦኖ!$C$4&gt;0),(1/2),0)</f>
        <v>0.5</v>
      </c>
      <c r="BM133" s="38">
        <f>IF((ዕቁብ!BN135/ቦኖ!$C$4&gt;0),(1/2),0)</f>
        <v>0.5</v>
      </c>
      <c r="BN133" s="38">
        <f>IF((ዕቁብ!BO135/ቦኖ!$C$4&gt;0),(1/2),0)</f>
        <v>0.5</v>
      </c>
      <c r="BO133" s="38">
        <f>IF((ዕቁብ!BP135/ቦኖ!$C$4&gt;0),(1/2),0)</f>
        <v>0</v>
      </c>
      <c r="BP133" s="38">
        <f>IF((ዕቁብ!BQ135/ቦኖ!$C$4&gt;0),(1/2),0)</f>
        <v>0.5</v>
      </c>
      <c r="BQ133" s="38">
        <f>IF((ዕቁብ!BR135/ቦኖ!$C$4&gt;0),(1/2),0)</f>
        <v>0.5</v>
      </c>
      <c r="BR133" s="38">
        <f>IF((ዕቁብ!BS135/ቦኖ!$C$4&gt;0),(1/2),0)</f>
        <v>0.5</v>
      </c>
      <c r="BS133" s="38">
        <f>IF((ዕቁብ!BT135/ቦኖ!$C$4&gt;0),(1/2),0)</f>
        <v>0</v>
      </c>
      <c r="BT133" s="38">
        <f>IF((ዕቁብ!BU135/ቦኖ!$C$4&gt;0),(1/2),0)</f>
        <v>0.5</v>
      </c>
      <c r="BU133" s="38">
        <f>IF((ዕቁብ!BV135/ቦኖ!$C$4&gt;0),(1/2),0)</f>
        <v>0.5</v>
      </c>
      <c r="BV133" s="38">
        <f>IF((ዕቁብ!BW135/ቦኖ!$C$4&gt;0),(1/2),0)</f>
        <v>0.5</v>
      </c>
      <c r="BW133" s="38">
        <f>IF((ዕቁብ!BX135/ቦኖ!$C$4&gt;0),(1/2),0)</f>
        <v>0.5</v>
      </c>
      <c r="BX133" s="38">
        <f>IF((ዕቁብ!BY135/ቦኖ!$C$4&gt;0),(1/2),0)</f>
        <v>0.5</v>
      </c>
      <c r="BY133" s="38">
        <f>IF((ዕቁብ!BZ135/ቦኖ!$C$4&gt;0),(1/2),0)</f>
        <v>0.5</v>
      </c>
      <c r="BZ133" s="38">
        <f>IF((ዕቁብ!CA135/ቦኖ!$C$4&gt;0),(1/2),0)</f>
        <v>0.5</v>
      </c>
      <c r="CA133" s="38">
        <f>IF((ዕቁብ!CB135/ቦኖ!$C$4&gt;0),(1/2),0)</f>
        <v>0.5</v>
      </c>
      <c r="CB133" s="38">
        <f>IF((ዕቁብ!CC135/ቦኖ!$C$4&gt;0),(1/2),0)</f>
        <v>0.5</v>
      </c>
      <c r="CC133" s="38">
        <f>IF((ዕቁብ!CD135/ቦኖ!$C$4&gt;0),(1/2),0)</f>
        <v>0.5</v>
      </c>
      <c r="CD133" s="38">
        <f>IF((ዕቁብ!CE135/ቦኖ!$C$4&gt;0),(1/2),0)</f>
        <v>0</v>
      </c>
      <c r="CE133" s="38">
        <f>IF((ዕቁብ!CF135/ቦኖ!$C$4&gt;0),(1/2),0)</f>
        <v>0.5</v>
      </c>
      <c r="CF133" s="38">
        <f>IF((ዕቁብ!CG135/ቦኖ!$C$4&gt;0),(1/2),0)</f>
        <v>0.5</v>
      </c>
      <c r="CG133" s="38">
        <f>IF((ዕቁብ!CH135/ቦኖ!$C$4&gt;0),(1/2),0)</f>
        <v>0.5</v>
      </c>
      <c r="CH133" s="38">
        <f>IF((ዕቁብ!CI135/ቦኖ!$C$4&gt;0),(1/2),0)</f>
        <v>0.5</v>
      </c>
      <c r="CI133" s="38">
        <f>IF((ዕቁብ!CJ135/ቦኖ!$C$4&gt;0),(1/2),0)</f>
        <v>0.5</v>
      </c>
      <c r="CJ133" s="38">
        <f>IF((ዕቁብ!CK135/ቦኖ!$C$4&gt;0),(1/2),0)</f>
        <v>0.5</v>
      </c>
      <c r="CK133" s="38">
        <f>IF((ዕቁብ!CL135/ቦኖ!$C$4&gt;0),(1/2),0)</f>
        <v>0.5</v>
      </c>
      <c r="CL133" s="38">
        <f>IF((ዕቁብ!CM135/ቦኖ!$C$4&gt;0),(1/2),0)</f>
        <v>0.5</v>
      </c>
      <c r="CM133" s="38">
        <f>IF((ዕቁብ!CN135/ቦኖ!$C$4&gt;0),(1/2),0)</f>
        <v>0.5</v>
      </c>
      <c r="CN133" s="38">
        <f>IF((ዕቁብ!CO135/ቦኖ!$C$4&gt;0),(1/2),0)</f>
        <v>0.5</v>
      </c>
      <c r="CO133" s="38">
        <f>IF((ዕቁብ!CP135/ቦኖ!$C$4&gt;0),(1/2),0)</f>
        <v>0.5</v>
      </c>
      <c r="CP133" s="38">
        <f>IF((ዕቁብ!CQ135/ቦኖ!$C$4&gt;0),(1/2),0)</f>
        <v>0.5</v>
      </c>
      <c r="CQ133" s="38">
        <f>IF((ዕቁብ!CR135/ቦኖ!$C$4&gt;0),(1/2),0)</f>
        <v>0</v>
      </c>
      <c r="CR133" s="38">
        <f>IF((ዕቁብ!CS135/ቦኖ!$C$4&gt;0),(1/2),0)</f>
        <v>0.5</v>
      </c>
      <c r="CS133" s="38">
        <f>IF((ዕቁብ!CT135/ቦኖ!$C$4&gt;0),(1/2),0)</f>
        <v>0.5</v>
      </c>
      <c r="CT133" s="38">
        <f>IF((ዕቁብ!CU135/ቦኖ!$C$4&gt;0),(1/2),0)</f>
        <v>0.5</v>
      </c>
      <c r="CU133" s="38">
        <f>IF((ዕቁብ!CV135/ቦኖ!$C$4&gt;0),(1/2),0)</f>
        <v>0.5</v>
      </c>
      <c r="CV133" s="38">
        <f>IF((ዕቁብ!CW135/ቦኖ!$C$4&gt;0),(1/2),0)</f>
        <v>0.5</v>
      </c>
      <c r="CW133" s="38">
        <f>IF((ዕቁብ!CX135/ቦኖ!$C$4&gt;0),(1/2),0)</f>
        <v>0.5</v>
      </c>
      <c r="CX133" s="38">
        <f>IF((ዕቁብ!CY135/ቦኖ!$C$4&gt;0),(1/2),0)</f>
        <v>0.5</v>
      </c>
      <c r="CY133" s="38">
        <f>IF((ዕቁብ!CZ135/ቦኖ!$C$4&gt;0),(1/2),0)</f>
        <v>0</v>
      </c>
      <c r="CZ133" s="38">
        <f>IF((ዕቁብ!DA135/ቦኖ!$C$4&gt;0),(1/2),0)</f>
        <v>0.5</v>
      </c>
      <c r="DA133" s="38">
        <f>IF((ዕቁብ!DB135/ቦኖ!$C$4&gt;0),(1/2),0)</f>
        <v>0.5</v>
      </c>
      <c r="DB133" s="38">
        <f>IF((ዕቁብ!DC135/ቦኖ!$C$4&gt;0),(1/2),0)</f>
        <v>0.5</v>
      </c>
      <c r="DC133" s="38">
        <f>IF((ዕቁብ!DD135/ቦኖ!$C$4&gt;0),(1/2),0)</f>
        <v>0</v>
      </c>
      <c r="DD133" s="38">
        <f>IF((ዕቁብ!DE135/ቦኖ!$C$4&gt;0),(1/2),0)</f>
        <v>0.5</v>
      </c>
      <c r="DE133" s="38">
        <f>IF((ዕቁብ!DF135/ቦኖ!$C$4&gt;0),(1/2),0)</f>
        <v>0.5</v>
      </c>
      <c r="DF133" s="38">
        <f>IF((ዕቁብ!DG135/ቦኖ!$C$4&gt;0),(1/2),0)</f>
        <v>0.5</v>
      </c>
      <c r="DG133" s="38">
        <f>IF((ዕቁብ!DH135/ቦኖ!$C$4&gt;0),(1/2),0)</f>
        <v>0.5</v>
      </c>
      <c r="DH133" s="38">
        <f>IF((ዕቁብ!DI135/ቦኖ!$C$4&gt;0),(1/2),0)</f>
        <v>0</v>
      </c>
      <c r="DI133" s="38">
        <f>IF((ዕቁብ!DJ135/ቦኖ!$C$4&gt;0),(1/2),0)</f>
        <v>0</v>
      </c>
      <c r="DJ133" s="38">
        <f>IF((ዕቁብ!DK135/ቦኖ!$C$4&gt;0),(1/2),0)</f>
        <v>0</v>
      </c>
      <c r="DK133" s="38">
        <f>IF((ዕቁብ!DL135/ቦኖ!$C$4&gt;0),(1/2),0)</f>
        <v>0</v>
      </c>
      <c r="DL133" s="38">
        <f>IF((ዕቁብ!DM135/ቦኖ!$C$4&gt;0),(1/2),0)</f>
        <v>0</v>
      </c>
      <c r="DM133" s="38">
        <f>IF((ዕቁብ!DN135/ቦኖ!$C$4&gt;0),(1/2),0)</f>
        <v>0</v>
      </c>
      <c r="DN133" s="38">
        <f>IF((ዕቁብ!DO135/ቦኖ!$C$4&gt;0),(1/2),0)</f>
        <v>0</v>
      </c>
      <c r="DO133" s="38">
        <f>IF((ዕቁብ!DP135/ቦኖ!$C$4&gt;0),(1/2),0)</f>
        <v>0</v>
      </c>
      <c r="DP133" s="38">
        <f>IF((ዕቁብ!DQ135/ቦኖ!$C$4&gt;0),(1/2),0)</f>
        <v>0</v>
      </c>
      <c r="DQ133" s="38">
        <f>IF((ዕቁብ!DR135/ቦኖ!$C$4&gt;0),(1/2),0)</f>
        <v>0</v>
      </c>
    </row>
    <row r="134" spans="1:122" ht="15.75" customHeight="1" x14ac:dyDescent="0.3">
      <c r="A134" s="33">
        <f>ዕቁብ!A136</f>
        <v>112</v>
      </c>
      <c r="B134" s="33" t="str">
        <f>ዕቁብ!B136</f>
        <v>አማኑኤል አየለ</v>
      </c>
      <c r="C134" s="37">
        <f>ዕቁብ!C136</f>
        <v>10500</v>
      </c>
      <c r="D134" s="38">
        <f>IF((ዕቁብ!E136/ቦኖ!$C$4&gt;0),(1/2),0)</f>
        <v>0.5</v>
      </c>
      <c r="E134" s="38">
        <f>IF((ዕቁብ!F136/ቦኖ!$C$4&gt;0),(1/2),0)</f>
        <v>0.5</v>
      </c>
      <c r="F134" s="38">
        <f>IF((ዕቁብ!G136/ቦኖ!$C$4&gt;0),(1/2),0)</f>
        <v>0.5</v>
      </c>
      <c r="G134" s="38">
        <f>IF((ዕቁብ!H136/ቦኖ!$C$4&gt;0),(1/2),0)</f>
        <v>0.5</v>
      </c>
      <c r="H134" s="38">
        <f>IF((ዕቁብ!I136/ቦኖ!$C$4&gt;0),(1/2),0)</f>
        <v>0.5</v>
      </c>
      <c r="I134" s="38">
        <f>IF((ዕቁብ!J136/ቦኖ!$C$4&gt;0),(1/2),0)</f>
        <v>0.5</v>
      </c>
      <c r="J134" s="38">
        <f>IF((ዕቁብ!K136/ቦኖ!$C$4&gt;0),(1/2),0)</f>
        <v>0.5</v>
      </c>
      <c r="K134" s="38">
        <f>IF((ዕቁብ!L136/ቦኖ!$C$4&gt;0),(1/2),0)</f>
        <v>0.5</v>
      </c>
      <c r="L134" s="38">
        <f>IF((ዕቁብ!M136/ቦኖ!$C$4&gt;0),(1/2),0)</f>
        <v>0.5</v>
      </c>
      <c r="M134" s="38">
        <f>IF((ዕቁብ!N136/ቦኖ!$C$4&gt;0),(1/2),0)</f>
        <v>0.5</v>
      </c>
      <c r="N134" s="38">
        <f>IF((ዕቁብ!O136/ቦኖ!$C$4&gt;0),(1/2),0)</f>
        <v>0.5</v>
      </c>
      <c r="O134" s="38">
        <f>IF((ዕቁብ!P136/ቦኖ!$C$4&gt;0),(1/2),0)</f>
        <v>0.5</v>
      </c>
      <c r="P134" s="38">
        <f>IF((ዕቁብ!Q136/ቦኖ!$C$4&gt;0),(1/2),0)</f>
        <v>0.5</v>
      </c>
      <c r="Q134" s="38">
        <f>IF((ዕቁብ!R136/ቦኖ!$C$4&gt;0),(1/2),0)</f>
        <v>0.5</v>
      </c>
      <c r="R134" s="38">
        <f>IF((ዕቁብ!S136/ቦኖ!$C$4&gt;0),(1/2),0)</f>
        <v>0.5</v>
      </c>
      <c r="S134" s="38">
        <f>IF((ዕቁብ!T136/ቦኖ!$C$4&gt;0),(1/2),0)</f>
        <v>0.5</v>
      </c>
      <c r="T134" s="38">
        <f>IF((ዕቁብ!U136/ቦኖ!$C$4&gt;0),(1/2),0)</f>
        <v>0.5</v>
      </c>
      <c r="U134" s="38">
        <f>IF((ዕቁብ!V136/ቦኖ!$C$4&gt;0),(1/2),0)</f>
        <v>0.5</v>
      </c>
      <c r="V134" s="38">
        <f>IF((ዕቁብ!W136/ቦኖ!$C$4&gt;0),(1/2),0)</f>
        <v>0.5</v>
      </c>
      <c r="W134" s="38">
        <f>IF((ዕቁብ!X136/ቦኖ!$C$4&gt;0),(1/2),0)</f>
        <v>0.5</v>
      </c>
      <c r="X134" s="38">
        <f>IF((ዕቁብ!Y136/ቦኖ!$C$4&gt;0),(1/2),0)</f>
        <v>0.5</v>
      </c>
      <c r="Y134" s="38">
        <f>IF((ዕቁብ!Z136/ቦኖ!$C$4&gt;0),(1/2),0)</f>
        <v>0.5</v>
      </c>
      <c r="Z134" s="38">
        <f>IF((ዕቁብ!AA136/ቦኖ!$C$4&gt;0),(1/2),0)</f>
        <v>0.5</v>
      </c>
      <c r="AA134" s="38">
        <f>IF((ዕቁብ!AB136/ቦኖ!$C$4&gt;0),(1/2),0)</f>
        <v>0</v>
      </c>
      <c r="AB134" s="38">
        <f>IF((ዕቁብ!AC136/ቦኖ!$C$4&gt;0),(1/2),0)</f>
        <v>0.5</v>
      </c>
      <c r="AC134" s="38">
        <f>IF((ዕቁብ!AD136/ቦኖ!$C$4&gt;0),(1/2),0)</f>
        <v>0.5</v>
      </c>
      <c r="AD134" s="38">
        <f>IF((ዕቁብ!AE136/ቦኖ!$C$4&gt;0),(1/2),0)</f>
        <v>0.5</v>
      </c>
      <c r="AE134" s="38">
        <f>IF((ዕቁብ!AF136/ቦኖ!$C$4&gt;0),(1/2),0)</f>
        <v>0</v>
      </c>
      <c r="AF134" s="38">
        <f>IF((ዕቁብ!AG136/ቦኖ!$C$4&gt;0),(1/2),0)</f>
        <v>0.5</v>
      </c>
      <c r="AG134" s="38">
        <f>IF((ዕቁብ!AH136/ቦኖ!$C$4&gt;0),(1/2),0)</f>
        <v>0.5</v>
      </c>
      <c r="AH134" s="38">
        <f>IF((ዕቁብ!AI136/ቦኖ!$C$4&gt;0),(1/2),0)</f>
        <v>0.5</v>
      </c>
      <c r="AI134" s="38">
        <f>IF((ዕቁብ!AJ136/ቦኖ!$C$4&gt;0),(1/2),0)</f>
        <v>0</v>
      </c>
      <c r="AJ134" s="38">
        <f>IF((ዕቁብ!AK136/ቦኖ!$C$4&gt;0),(1/2),0)</f>
        <v>0.5</v>
      </c>
      <c r="AK134" s="38">
        <f>IF((ዕቁብ!AL136/ቦኖ!$C$4&gt;0),(1/2),0)</f>
        <v>0.5</v>
      </c>
      <c r="AL134" s="38">
        <f>IF((ዕቁብ!AM136/ቦኖ!$C$4&gt;0),(1/2),0)</f>
        <v>0.5</v>
      </c>
      <c r="AM134" s="38">
        <f>IF((ዕቁብ!AN136/ቦኖ!$C$4&gt;0),(1/2),0)</f>
        <v>0.5</v>
      </c>
      <c r="AN134" s="38">
        <f>IF((ዕቁብ!AO136/ቦኖ!$C$4&gt;0),(1/2),0)</f>
        <v>0.5</v>
      </c>
      <c r="AO134" s="38">
        <f>IF((ዕቁብ!AP136/ቦኖ!$C$4&gt;0),(1/2),0)</f>
        <v>0.5</v>
      </c>
      <c r="AP134" s="38">
        <f>IF((ዕቁብ!AQ136/ቦኖ!$C$4&gt;0),(1/2),0)</f>
        <v>0.5</v>
      </c>
      <c r="AQ134" s="38">
        <f>IF((ዕቁብ!AR136/ቦኖ!$C$4&gt;0),(1/2),0)</f>
        <v>0.5</v>
      </c>
      <c r="AR134" s="38">
        <f>IF((ዕቁብ!AS136/ቦኖ!$C$4&gt;0),(1/2),0)</f>
        <v>0.5</v>
      </c>
      <c r="AS134" s="38">
        <f>IF((ዕቁብ!AT136/ቦኖ!$C$4&gt;0),(1/2),0)</f>
        <v>0.5</v>
      </c>
      <c r="AT134" s="38">
        <f>IF((ዕቁብ!AU136/ቦኖ!$C$4&gt;0),(1/2),0)</f>
        <v>0.5</v>
      </c>
      <c r="AU134" s="38">
        <f>IF((ዕቁብ!AV136/ቦኖ!$C$4&gt;0),(1/2),0)</f>
        <v>0.5</v>
      </c>
      <c r="AV134" s="38">
        <f>IF((ዕቁብ!AW136/ቦኖ!$C$4&gt;0),(1/2),0)</f>
        <v>0.5</v>
      </c>
      <c r="AW134" s="38">
        <f>IF((ዕቁብ!AX136/ቦኖ!$C$4&gt;0),(1/2),0)</f>
        <v>0.5</v>
      </c>
      <c r="AX134" s="38">
        <f>IF((ዕቁብ!AY136/ቦኖ!$C$4&gt;0),(1/2),0)</f>
        <v>0.5</v>
      </c>
      <c r="AY134" s="38">
        <f>IF((ዕቁብ!AZ136/ቦኖ!$C$4&gt;0),(1/2),0)</f>
        <v>0</v>
      </c>
      <c r="AZ134" s="38">
        <f>IF((ዕቁብ!BA136/ቦኖ!$C$4&gt;0),(1/2),0)</f>
        <v>0.5</v>
      </c>
      <c r="BA134" s="38">
        <f>IF((ዕቁብ!BB136/ቦኖ!$C$4&gt;0),(1/2),0)</f>
        <v>0.5</v>
      </c>
      <c r="BB134" s="38">
        <f>IF((ዕቁብ!BC136/ቦኖ!$C$4&gt;0),(1/2),0)</f>
        <v>0.5</v>
      </c>
      <c r="BC134" s="38">
        <f>IF((ዕቁብ!BD136/ቦኖ!$C$4&gt;0),(1/2),0)</f>
        <v>0</v>
      </c>
      <c r="BD134" s="38">
        <f>IF((ዕቁብ!BE136/ቦኖ!$C$4&gt;0),(1/2),0)</f>
        <v>0.5</v>
      </c>
      <c r="BE134" s="38">
        <f>IF((ዕቁብ!BF136/ቦኖ!$C$4&gt;0),(1/2),0)</f>
        <v>0.5</v>
      </c>
      <c r="BF134" s="38">
        <f>IF((ዕቁብ!BG136/ቦኖ!$C$4&gt;0),(1/2),0)</f>
        <v>0.5</v>
      </c>
      <c r="BG134" s="38">
        <f>IF((ዕቁብ!BH136/ቦኖ!$C$4&gt;0),(1/2),0)</f>
        <v>0</v>
      </c>
      <c r="BH134" s="38">
        <f>IF((ዕቁብ!BI136/ቦኖ!$C$4&gt;0),(1/2),0)</f>
        <v>0.5</v>
      </c>
      <c r="BI134" s="38">
        <f>IF((ዕቁብ!BJ136/ቦኖ!$C$4&gt;0),(1/2),0)</f>
        <v>0.5</v>
      </c>
      <c r="BJ134" s="38">
        <f>IF((ዕቁብ!BK136/ቦኖ!$C$4&gt;0),(1/2),0)</f>
        <v>0.5</v>
      </c>
      <c r="BK134" s="38">
        <f>IF((ዕቁብ!BL136/ቦኖ!$C$4&gt;0),(1/2),0)</f>
        <v>0</v>
      </c>
      <c r="BL134" s="38">
        <f>IF((ዕቁብ!BM136/ቦኖ!$C$4&gt;0),(1/2),0)</f>
        <v>0.5</v>
      </c>
      <c r="BM134" s="38">
        <f>IF((ዕቁብ!BN136/ቦኖ!$C$4&gt;0),(1/2),0)</f>
        <v>0.5</v>
      </c>
      <c r="BN134" s="38">
        <f>IF((ዕቁብ!BO136/ቦኖ!$C$4&gt;0),(1/2),0)</f>
        <v>0.5</v>
      </c>
      <c r="BO134" s="38">
        <f>IF((ዕቁብ!BP136/ቦኖ!$C$4&gt;0),(1/2),0)</f>
        <v>0</v>
      </c>
      <c r="BP134" s="38">
        <f>IF((ዕቁብ!BQ136/ቦኖ!$C$4&gt;0),(1/2),0)</f>
        <v>0</v>
      </c>
      <c r="BQ134" s="38">
        <f>IF((ዕቁብ!BR136/ቦኖ!$C$4&gt;0),(1/2),0)</f>
        <v>0.5</v>
      </c>
      <c r="BR134" s="38">
        <f>IF((ዕቁብ!BS136/ቦኖ!$C$4&gt;0),(1/2),0)</f>
        <v>0.5</v>
      </c>
      <c r="BS134" s="38">
        <f>IF((ዕቁብ!BT136/ቦኖ!$C$4&gt;0),(1/2),0)</f>
        <v>0</v>
      </c>
      <c r="BT134" s="38">
        <f>IF((ዕቁብ!BU136/ቦኖ!$C$4&gt;0),(1/2),0)</f>
        <v>0.5</v>
      </c>
      <c r="BU134" s="38">
        <f>IF((ዕቁብ!BV136/ቦኖ!$C$4&gt;0),(1/2),0)</f>
        <v>0.5</v>
      </c>
      <c r="BV134" s="38">
        <f>IF((ዕቁብ!BW136/ቦኖ!$C$4&gt;0),(1/2),0)</f>
        <v>0.5</v>
      </c>
      <c r="BW134" s="38">
        <f>IF((ዕቁብ!BX136/ቦኖ!$C$4&gt;0),(1/2),0)</f>
        <v>0.5</v>
      </c>
      <c r="BX134" s="38">
        <f>IF((ዕቁብ!BY136/ቦኖ!$C$4&gt;0),(1/2),0)</f>
        <v>0.5</v>
      </c>
      <c r="BY134" s="38">
        <f>IF((ዕቁብ!BZ136/ቦኖ!$C$4&gt;0),(1/2),0)</f>
        <v>0.5</v>
      </c>
      <c r="BZ134" s="38">
        <f>IF((ዕቁብ!CA136/ቦኖ!$C$4&gt;0),(1/2),0)</f>
        <v>0.5</v>
      </c>
      <c r="CA134" s="38">
        <f>IF((ዕቁብ!CB136/ቦኖ!$C$4&gt;0),(1/2),0)</f>
        <v>0.5</v>
      </c>
      <c r="CB134" s="38">
        <f>IF((ዕቁብ!CC136/ቦኖ!$C$4&gt;0),(1/2),0)</f>
        <v>0.5</v>
      </c>
      <c r="CC134" s="38">
        <f>IF((ዕቁብ!CD136/ቦኖ!$C$4&gt;0),(1/2),0)</f>
        <v>0.5</v>
      </c>
      <c r="CD134" s="38">
        <f>IF((ዕቁብ!CE136/ቦኖ!$C$4&gt;0),(1/2),0)</f>
        <v>0</v>
      </c>
      <c r="CE134" s="38">
        <f>IF((ዕቁብ!CF136/ቦኖ!$C$4&gt;0),(1/2),0)</f>
        <v>0.5</v>
      </c>
      <c r="CF134" s="38">
        <f>IF((ዕቁብ!CG136/ቦኖ!$C$4&gt;0),(1/2),0)</f>
        <v>0.5</v>
      </c>
      <c r="CG134" s="38">
        <f>IF((ዕቁብ!CH136/ቦኖ!$C$4&gt;0),(1/2),0)</f>
        <v>0.5</v>
      </c>
      <c r="CH134" s="38">
        <f>IF((ዕቁብ!CI136/ቦኖ!$C$4&gt;0),(1/2),0)</f>
        <v>0.5</v>
      </c>
      <c r="CI134" s="38">
        <f>IF((ዕቁብ!CJ136/ቦኖ!$C$4&gt;0),(1/2),0)</f>
        <v>0.5</v>
      </c>
      <c r="CJ134" s="38">
        <f>IF((ዕቁብ!CK136/ቦኖ!$C$4&gt;0),(1/2),0)</f>
        <v>0.5</v>
      </c>
      <c r="CK134" s="38">
        <f>IF((ዕቁብ!CL136/ቦኖ!$C$4&gt;0),(1/2),0)</f>
        <v>0.5</v>
      </c>
      <c r="CL134" s="38">
        <f>IF((ዕቁብ!CM136/ቦኖ!$C$4&gt;0),(1/2),0)</f>
        <v>0.5</v>
      </c>
      <c r="CM134" s="38">
        <f>IF((ዕቁብ!CN136/ቦኖ!$C$4&gt;0),(1/2),0)</f>
        <v>0.5</v>
      </c>
      <c r="CN134" s="38">
        <f>IF((ዕቁብ!CO136/ቦኖ!$C$4&gt;0),(1/2),0)</f>
        <v>0</v>
      </c>
      <c r="CO134" s="38">
        <f>IF((ዕቁብ!CP136/ቦኖ!$C$4&gt;0),(1/2),0)</f>
        <v>0.5</v>
      </c>
      <c r="CP134" s="38">
        <f>IF((ዕቁብ!CQ136/ቦኖ!$C$4&gt;0),(1/2),0)</f>
        <v>0.5</v>
      </c>
      <c r="CQ134" s="38">
        <f>IF((ዕቁብ!CR136/ቦኖ!$C$4&gt;0),(1/2),0)</f>
        <v>0</v>
      </c>
      <c r="CR134" s="38">
        <f>IF((ዕቁብ!CS136/ቦኖ!$C$4&gt;0),(1/2),0)</f>
        <v>0.5</v>
      </c>
      <c r="CS134" s="38">
        <f>IF((ዕቁብ!CT136/ቦኖ!$C$4&gt;0),(1/2),0)</f>
        <v>0.5</v>
      </c>
      <c r="CT134" s="38">
        <f>IF((ዕቁብ!CU136/ቦኖ!$C$4&gt;0),(1/2),0)</f>
        <v>0</v>
      </c>
      <c r="CU134" s="38">
        <f>IF((ዕቁብ!CV136/ቦኖ!$C$4&gt;0),(1/2),0)</f>
        <v>0.5</v>
      </c>
      <c r="CV134" s="38">
        <f>IF((ዕቁብ!CW136/ቦኖ!$C$4&gt;0),(1/2),0)</f>
        <v>0.5</v>
      </c>
      <c r="CW134" s="38">
        <f>IF((ዕቁብ!CX136/ቦኖ!$C$4&gt;0),(1/2),0)</f>
        <v>0.5</v>
      </c>
      <c r="CX134" s="38">
        <f>IF((ዕቁብ!CY136/ቦኖ!$C$4&gt;0),(1/2),0)</f>
        <v>0.5</v>
      </c>
      <c r="CY134" s="38">
        <f>IF((ዕቁብ!CZ136/ቦኖ!$C$4&gt;0),(1/2),0)</f>
        <v>0</v>
      </c>
      <c r="CZ134" s="38">
        <f>IF((ዕቁብ!DA136/ቦኖ!$C$4&gt;0),(1/2),0)</f>
        <v>0.5</v>
      </c>
      <c r="DA134" s="38">
        <f>IF((ዕቁብ!DB136/ቦኖ!$C$4&gt;0),(1/2),0)</f>
        <v>0.5</v>
      </c>
      <c r="DB134" s="38">
        <f>IF((ዕቁብ!DC136/ቦኖ!$C$4&gt;0),(1/2),0)</f>
        <v>0.5</v>
      </c>
      <c r="DC134" s="38">
        <f>IF((ዕቁብ!DD136/ቦኖ!$C$4&gt;0),(1/2),0)</f>
        <v>0</v>
      </c>
      <c r="DD134" s="38">
        <f>IF((ዕቁብ!DE136/ቦኖ!$C$4&gt;0),(1/2),0)</f>
        <v>0</v>
      </c>
      <c r="DE134" s="38">
        <f>IF((ዕቁብ!DF136/ቦኖ!$C$4&gt;0),(1/2),0)</f>
        <v>0.5</v>
      </c>
      <c r="DF134" s="38">
        <f>IF((ዕቁብ!DG136/ቦኖ!$C$4&gt;0),(1/2),0)</f>
        <v>0.5</v>
      </c>
      <c r="DG134" s="38">
        <f>IF((ዕቁብ!DH136/ቦኖ!$C$4&gt;0),(1/2),0)</f>
        <v>0.5</v>
      </c>
      <c r="DH134" s="38">
        <f>IF((ዕቁብ!DI136/ቦኖ!$C$4&gt;0),(1/2),0)</f>
        <v>0</v>
      </c>
      <c r="DI134" s="38">
        <f>IF((ዕቁብ!DJ136/ቦኖ!$C$4&gt;0),(1/2),0)</f>
        <v>0</v>
      </c>
      <c r="DJ134" s="38">
        <f>IF((ዕቁብ!DK136/ቦኖ!$C$4&gt;0),(1/2),0)</f>
        <v>0</v>
      </c>
      <c r="DK134" s="38">
        <f>IF((ዕቁብ!DL136/ቦኖ!$C$4&gt;0),(1/2),0)</f>
        <v>0</v>
      </c>
      <c r="DL134" s="38">
        <f>IF((ዕቁብ!DM136/ቦኖ!$C$4&gt;0),(1/2),0)</f>
        <v>0</v>
      </c>
      <c r="DM134" s="38">
        <f>IF((ዕቁብ!DN136/ቦኖ!$C$4&gt;0),(1/2),0)</f>
        <v>0</v>
      </c>
      <c r="DN134" s="38">
        <f>IF((ዕቁብ!DO136/ቦኖ!$C$4&gt;0),(1/2),0)</f>
        <v>0</v>
      </c>
      <c r="DO134" s="38">
        <f>IF((ዕቁብ!DP136/ቦኖ!$C$4&gt;0),(1/2),0)</f>
        <v>0</v>
      </c>
      <c r="DP134" s="38">
        <f>IF((ዕቁብ!DQ136/ቦኖ!$C$4&gt;0),(1/2),0)</f>
        <v>0</v>
      </c>
      <c r="DQ134" s="38">
        <f>IF((ዕቁብ!DR136/ቦኖ!$C$4&gt;0),(1/2),0)</f>
        <v>0</v>
      </c>
    </row>
    <row r="135" spans="1:122" ht="15.75" customHeight="1" x14ac:dyDescent="0.3">
      <c r="A135" s="33">
        <f>ዕቁብ!A137</f>
        <v>113</v>
      </c>
      <c r="B135" s="33" t="str">
        <f>ዕቁብ!B137</f>
        <v>ጋሻቸዉ ሀብቱ</v>
      </c>
      <c r="C135" s="37">
        <f>ዕቁብ!C137</f>
        <v>10500</v>
      </c>
      <c r="D135" s="38">
        <f>IF((ዕቁብ!E137/ቦኖ!$C$4&gt;0),(1/2),0)</f>
        <v>0.5</v>
      </c>
      <c r="E135" s="38">
        <f>IF((ዕቁብ!F137/ቦኖ!$C$4&gt;0),(1/2),0)</f>
        <v>0.5</v>
      </c>
      <c r="F135" s="38">
        <f>IF((ዕቁብ!G137/ቦኖ!$C$4&gt;0),(1/2),0)</f>
        <v>0.5</v>
      </c>
      <c r="G135" s="38">
        <f>IF((ዕቁብ!H137/ቦኖ!$C$4&gt;0),(1/2),0)</f>
        <v>0.5</v>
      </c>
      <c r="H135" s="38">
        <f>IF((ዕቁብ!I137/ቦኖ!$C$4&gt;0),(1/2),0)</f>
        <v>0.5</v>
      </c>
      <c r="I135" s="38">
        <f>IF((ዕቁብ!J137/ቦኖ!$C$4&gt;0),(1/2),0)</f>
        <v>0.5</v>
      </c>
      <c r="J135" s="38">
        <f>IF((ዕቁብ!K137/ቦኖ!$C$4&gt;0),(1/2),0)</f>
        <v>0.5</v>
      </c>
      <c r="K135" s="38">
        <f>IF((ዕቁብ!L137/ቦኖ!$C$4&gt;0),(1/2),0)</f>
        <v>0.5</v>
      </c>
      <c r="L135" s="38">
        <f>IF((ዕቁብ!M137/ቦኖ!$C$4&gt;0),(1/2),0)</f>
        <v>0.5</v>
      </c>
      <c r="M135" s="38">
        <f>IF((ዕቁብ!N137/ቦኖ!$C$4&gt;0),(1/2),0)</f>
        <v>0.5</v>
      </c>
      <c r="N135" s="38">
        <f>IF((ዕቁብ!O137/ቦኖ!$C$4&gt;0),(1/2),0)</f>
        <v>0.5</v>
      </c>
      <c r="O135" s="38">
        <f>IF((ዕቁብ!P137/ቦኖ!$C$4&gt;0),(1/2),0)</f>
        <v>0.5</v>
      </c>
      <c r="P135" s="38">
        <f>IF((ዕቁብ!Q137/ቦኖ!$C$4&gt;0),(1/2),0)</f>
        <v>0.5</v>
      </c>
      <c r="Q135" s="38">
        <f>IF((ዕቁብ!R137/ቦኖ!$C$4&gt;0),(1/2),0)</f>
        <v>0.5</v>
      </c>
      <c r="R135" s="38">
        <f>IF((ዕቁብ!S137/ቦኖ!$C$4&gt;0),(1/2),0)</f>
        <v>0.5</v>
      </c>
      <c r="S135" s="38">
        <f>IF((ዕቁብ!T137/ቦኖ!$C$4&gt;0),(1/2),0)</f>
        <v>0.5</v>
      </c>
      <c r="T135" s="38">
        <f>IF((ዕቁብ!U137/ቦኖ!$C$4&gt;0),(1/2),0)</f>
        <v>0.5</v>
      </c>
      <c r="U135" s="38">
        <f>IF((ዕቁብ!V137/ቦኖ!$C$4&gt;0),(1/2),0)</f>
        <v>0.5</v>
      </c>
      <c r="V135" s="38">
        <f>IF((ዕቁብ!W137/ቦኖ!$C$4&gt;0),(1/2),0)</f>
        <v>0.5</v>
      </c>
      <c r="W135" s="38">
        <f>IF((ዕቁብ!X137/ቦኖ!$C$4&gt;0),(1/2),0)</f>
        <v>0.5</v>
      </c>
      <c r="X135" s="38">
        <f>IF((ዕቁብ!Y137/ቦኖ!$C$4&gt;0),(1/2),0)</f>
        <v>0.5</v>
      </c>
      <c r="Y135" s="38">
        <f>IF((ዕቁብ!Z137/ቦኖ!$C$4&gt;0),(1/2),0)</f>
        <v>0.5</v>
      </c>
      <c r="Z135" s="38">
        <f>IF((ዕቁብ!AA137/ቦኖ!$C$4&gt;0),(1/2),0)</f>
        <v>0.5</v>
      </c>
      <c r="AA135" s="38">
        <f>IF((ዕቁብ!AB137/ቦኖ!$C$4&gt;0),(1/2),0)</f>
        <v>0.5</v>
      </c>
      <c r="AB135" s="38">
        <f>IF((ዕቁብ!AC137/ቦኖ!$C$4&gt;0),(1/2),0)</f>
        <v>0.5</v>
      </c>
      <c r="AC135" s="38">
        <f>IF((ዕቁብ!AD137/ቦኖ!$C$4&gt;0),(1/2),0)</f>
        <v>0.5</v>
      </c>
      <c r="AD135" s="38">
        <f>IF((ዕቁብ!AE137/ቦኖ!$C$4&gt;0),(1/2),0)</f>
        <v>0.5</v>
      </c>
      <c r="AE135" s="38">
        <f>IF((ዕቁብ!AF137/ቦኖ!$C$4&gt;0),(1/2),0)</f>
        <v>0.5</v>
      </c>
      <c r="AF135" s="38">
        <f>IF((ዕቁብ!AG137/ቦኖ!$C$4&gt;0),(1/2),0)</f>
        <v>0.5</v>
      </c>
      <c r="AG135" s="38">
        <f>IF((ዕቁብ!AH137/ቦኖ!$C$4&gt;0),(1/2),0)</f>
        <v>0.5</v>
      </c>
      <c r="AH135" s="38">
        <f>IF((ዕቁብ!AI137/ቦኖ!$C$4&gt;0),(1/2),0)</f>
        <v>0.5</v>
      </c>
      <c r="AI135" s="38">
        <f>IF((ዕቁብ!AJ137/ቦኖ!$C$4&gt;0),(1/2),0)</f>
        <v>0.5</v>
      </c>
      <c r="AJ135" s="38">
        <f>IF((ዕቁብ!AK137/ቦኖ!$C$4&gt;0),(1/2),0)</f>
        <v>0.5</v>
      </c>
      <c r="AK135" s="38">
        <f>IF((ዕቁብ!AL137/ቦኖ!$C$4&gt;0),(1/2),0)</f>
        <v>0.5</v>
      </c>
      <c r="AL135" s="38">
        <f>IF((ዕቁብ!AM137/ቦኖ!$C$4&gt;0),(1/2),0)</f>
        <v>0.5</v>
      </c>
      <c r="AM135" s="38">
        <f>IF((ዕቁብ!AN137/ቦኖ!$C$4&gt;0),(1/2),0)</f>
        <v>0.5</v>
      </c>
      <c r="AN135" s="38">
        <f>IF((ዕቁብ!AO137/ቦኖ!$C$4&gt;0),(1/2),0)</f>
        <v>0.5</v>
      </c>
      <c r="AO135" s="38">
        <f>IF((ዕቁብ!AP137/ቦኖ!$C$4&gt;0),(1/2),0)</f>
        <v>0.5</v>
      </c>
      <c r="AP135" s="38">
        <f>IF((ዕቁብ!AQ137/ቦኖ!$C$4&gt;0),(1/2),0)</f>
        <v>0</v>
      </c>
      <c r="AQ135" s="38">
        <f>IF((ዕቁብ!AR137/ቦኖ!$C$4&gt;0),(1/2),0)</f>
        <v>0.5</v>
      </c>
      <c r="AR135" s="38">
        <f>IF((ዕቁብ!AS137/ቦኖ!$C$4&gt;0),(1/2),0)</f>
        <v>0.5</v>
      </c>
      <c r="AS135" s="38">
        <f>IF((ዕቁብ!AT137/ቦኖ!$C$4&gt;0),(1/2),0)</f>
        <v>0.5</v>
      </c>
      <c r="AT135" s="38">
        <f>IF((ዕቁብ!AU137/ቦኖ!$C$4&gt;0),(1/2),0)</f>
        <v>0.5</v>
      </c>
      <c r="AU135" s="38">
        <f>IF((ዕቁብ!AV137/ቦኖ!$C$4&gt;0),(1/2),0)</f>
        <v>0</v>
      </c>
      <c r="AV135" s="38">
        <f>IF((ዕቁብ!AW137/ቦኖ!$C$4&gt;0),(1/2),0)</f>
        <v>0.5</v>
      </c>
      <c r="AW135" s="38">
        <f>IF((ዕቁብ!AX137/ቦኖ!$C$4&gt;0),(1/2),0)</f>
        <v>0.5</v>
      </c>
      <c r="AX135" s="38">
        <f>IF((ዕቁብ!AY137/ቦኖ!$C$4&gt;0),(1/2),0)</f>
        <v>0.5</v>
      </c>
      <c r="AY135" s="38">
        <f>IF((ዕቁብ!AZ137/ቦኖ!$C$4&gt;0),(1/2),0)</f>
        <v>0.5</v>
      </c>
      <c r="AZ135" s="38">
        <f>IF((ዕቁብ!BA137/ቦኖ!$C$4&gt;0),(1/2),0)</f>
        <v>0.5</v>
      </c>
      <c r="BA135" s="38">
        <f>IF((ዕቁብ!BB137/ቦኖ!$C$4&gt;0),(1/2),0)</f>
        <v>0.5</v>
      </c>
      <c r="BB135" s="38">
        <f>IF((ዕቁብ!BC137/ቦኖ!$C$4&gt;0),(1/2),0)</f>
        <v>0.5</v>
      </c>
      <c r="BC135" s="38">
        <f>IF((ዕቁብ!BD137/ቦኖ!$C$4&gt;0),(1/2),0)</f>
        <v>0.5</v>
      </c>
      <c r="BD135" s="38">
        <f>IF((ዕቁብ!BE137/ቦኖ!$C$4&gt;0),(1/2),0)</f>
        <v>0.5</v>
      </c>
      <c r="BE135" s="38">
        <f>IF((ዕቁብ!BF137/ቦኖ!$C$4&gt;0),(1/2),0)</f>
        <v>0.5</v>
      </c>
      <c r="BF135" s="38">
        <f>IF((ዕቁብ!BG137/ቦኖ!$C$4&gt;0),(1/2),0)</f>
        <v>0.5</v>
      </c>
      <c r="BG135" s="38">
        <f>IF((ዕቁብ!BH137/ቦኖ!$C$4&gt;0),(1/2),0)</f>
        <v>0.5</v>
      </c>
      <c r="BH135" s="38">
        <f>IF((ዕቁብ!BI137/ቦኖ!$C$4&gt;0),(1/2),0)</f>
        <v>0.5</v>
      </c>
      <c r="BI135" s="38">
        <f>IF((ዕቁብ!BJ137/ቦኖ!$C$4&gt;0),(1/2),0)</f>
        <v>0.5</v>
      </c>
      <c r="BJ135" s="38">
        <f>IF((ዕቁብ!BK137/ቦኖ!$C$4&gt;0),(1/2),0)</f>
        <v>0.5</v>
      </c>
      <c r="BK135" s="38">
        <f>IF((ዕቁብ!BL137/ቦኖ!$C$4&gt;0),(1/2),0)</f>
        <v>0.5</v>
      </c>
      <c r="BL135" s="38">
        <f>IF((ዕቁብ!BM137/ቦኖ!$C$4&gt;0),(1/2),0)</f>
        <v>0.5</v>
      </c>
      <c r="BM135" s="38">
        <f>IF((ዕቁብ!BN137/ቦኖ!$C$4&gt;0),(1/2),0)</f>
        <v>0.5</v>
      </c>
      <c r="BN135" s="38">
        <f>IF((ዕቁብ!BO137/ቦኖ!$C$4&gt;0),(1/2),0)</f>
        <v>0.5</v>
      </c>
      <c r="BO135" s="38">
        <f>IF((ዕቁብ!BP137/ቦኖ!$C$4&gt;0),(1/2),0)</f>
        <v>0.5</v>
      </c>
      <c r="BP135" s="38">
        <f>IF((ዕቁብ!BQ137/ቦኖ!$C$4&gt;0),(1/2),0)</f>
        <v>0.5</v>
      </c>
      <c r="BQ135" s="38">
        <f>IF((ዕቁብ!BR137/ቦኖ!$C$4&gt;0),(1/2),0)</f>
        <v>0.5</v>
      </c>
      <c r="BR135" s="38">
        <f>IF((ዕቁብ!BS137/ቦኖ!$C$4&gt;0),(1/2),0)</f>
        <v>0.5</v>
      </c>
      <c r="BS135" s="38">
        <f>IF((ዕቁብ!BT137/ቦኖ!$C$4&gt;0),(1/2),0)</f>
        <v>0.5</v>
      </c>
      <c r="BT135" s="38">
        <f>IF((ዕቁብ!BU137/ቦኖ!$C$4&gt;0),(1/2),0)</f>
        <v>0.5</v>
      </c>
      <c r="BU135" s="38">
        <f>IF((ዕቁብ!BV137/ቦኖ!$C$4&gt;0),(1/2),0)</f>
        <v>0.5</v>
      </c>
      <c r="BV135" s="38">
        <f>IF((ዕቁብ!BW137/ቦኖ!$C$4&gt;0),(1/2),0)</f>
        <v>0.5</v>
      </c>
      <c r="BW135" s="38">
        <f>IF((ዕቁብ!BX137/ቦኖ!$C$4&gt;0),(1/2),0)</f>
        <v>0.5</v>
      </c>
      <c r="BX135" s="38">
        <f>IF((ዕቁብ!BY137/ቦኖ!$C$4&gt;0),(1/2),0)</f>
        <v>0.5</v>
      </c>
      <c r="BY135" s="38">
        <f>IF((ዕቁብ!BZ137/ቦኖ!$C$4&gt;0),(1/2),0)</f>
        <v>0.5</v>
      </c>
      <c r="BZ135" s="38">
        <f>IF((ዕቁብ!CA137/ቦኖ!$C$4&gt;0),(1/2),0)</f>
        <v>0.5</v>
      </c>
      <c r="CA135" s="38">
        <f>IF((ዕቁብ!CB137/ቦኖ!$C$4&gt;0),(1/2),0)</f>
        <v>0.5</v>
      </c>
      <c r="CB135" s="38">
        <f>IF((ዕቁብ!CC137/ቦኖ!$C$4&gt;0),(1/2),0)</f>
        <v>0.5</v>
      </c>
      <c r="CC135" s="38">
        <f>IF((ዕቁብ!CD137/ቦኖ!$C$4&gt;0),(1/2),0)</f>
        <v>0.5</v>
      </c>
      <c r="CD135" s="38">
        <f>IF((ዕቁብ!CE137/ቦኖ!$C$4&gt;0),(1/2),0)</f>
        <v>0.5</v>
      </c>
      <c r="CE135" s="38">
        <f>IF((ዕቁብ!CF137/ቦኖ!$C$4&gt;0),(1/2),0)</f>
        <v>0.5</v>
      </c>
      <c r="CF135" s="38">
        <f>IF((ዕቁብ!CG137/ቦኖ!$C$4&gt;0),(1/2),0)</f>
        <v>0.5</v>
      </c>
      <c r="CG135" s="38">
        <f>IF((ዕቁብ!CH137/ቦኖ!$C$4&gt;0),(1/2),0)</f>
        <v>0.5</v>
      </c>
      <c r="CH135" s="38">
        <f>IF((ዕቁብ!CI137/ቦኖ!$C$4&gt;0),(1/2),0)</f>
        <v>0.5</v>
      </c>
      <c r="CI135" s="38">
        <f>IF((ዕቁብ!CJ137/ቦኖ!$C$4&gt;0),(1/2),0)</f>
        <v>0.5</v>
      </c>
      <c r="CJ135" s="38">
        <f>IF((ዕቁብ!CK137/ቦኖ!$C$4&gt;0),(1/2),0)</f>
        <v>0.5</v>
      </c>
      <c r="CK135" s="38">
        <f>IF((ዕቁብ!CL137/ቦኖ!$C$4&gt;0),(1/2),0)</f>
        <v>0.5</v>
      </c>
      <c r="CL135" s="38">
        <f>IF((ዕቁብ!CM137/ቦኖ!$C$4&gt;0),(1/2),0)</f>
        <v>0</v>
      </c>
      <c r="CM135" s="38">
        <f>IF((ዕቁብ!CN137/ቦኖ!$C$4&gt;0),(1/2),0)</f>
        <v>0.5</v>
      </c>
      <c r="CN135" s="38">
        <f>IF((ዕቁብ!CO137/ቦኖ!$C$4&gt;0),(1/2),0)</f>
        <v>0.5</v>
      </c>
      <c r="CO135" s="38">
        <f>IF((ዕቁብ!CP137/ቦኖ!$C$4&gt;0),(1/2),0)</f>
        <v>0.5</v>
      </c>
      <c r="CP135" s="38">
        <f>IF((ዕቁብ!CQ137/ቦኖ!$C$4&gt;0),(1/2),0)</f>
        <v>0.5</v>
      </c>
      <c r="CQ135" s="38">
        <f>IF((ዕቁብ!CR137/ቦኖ!$C$4&gt;0),(1/2),0)</f>
        <v>0.5</v>
      </c>
      <c r="CR135" s="38">
        <f>IF((ዕቁብ!CS137/ቦኖ!$C$4&gt;0),(1/2),0)</f>
        <v>0.5</v>
      </c>
      <c r="CS135" s="38">
        <f>IF((ዕቁብ!CT137/ቦኖ!$C$4&gt;0),(1/2),0)</f>
        <v>0.5</v>
      </c>
      <c r="CT135" s="38">
        <f>IF((ዕቁብ!CU137/ቦኖ!$C$4&gt;0),(1/2),0)</f>
        <v>0.5</v>
      </c>
      <c r="CU135" s="38">
        <f>IF((ዕቁብ!CV137/ቦኖ!$C$4&gt;0),(1/2),0)</f>
        <v>0.5</v>
      </c>
      <c r="CV135" s="38">
        <f>IF((ዕቁብ!CW137/ቦኖ!$C$4&gt;0),(1/2),0)</f>
        <v>0.5</v>
      </c>
      <c r="CW135" s="38">
        <f>IF((ዕቁብ!CX137/ቦኖ!$C$4&gt;0),(1/2),0)</f>
        <v>0.5</v>
      </c>
      <c r="CX135" s="38">
        <f>IF((ዕቁብ!CY137/ቦኖ!$C$4&gt;0),(1/2),0)</f>
        <v>0.5</v>
      </c>
      <c r="CY135" s="38">
        <f>IF((ዕቁብ!CZ137/ቦኖ!$C$4&gt;0),(1/2),0)</f>
        <v>0.5</v>
      </c>
      <c r="CZ135" s="38">
        <f>IF((ዕቁብ!DA137/ቦኖ!$C$4&gt;0),(1/2),0)</f>
        <v>0.5</v>
      </c>
      <c r="DA135" s="38">
        <f>IF((ዕቁብ!DB137/ቦኖ!$C$4&gt;0),(1/2),0)</f>
        <v>0.5</v>
      </c>
      <c r="DB135" s="38">
        <f>IF((ዕቁብ!DC137/ቦኖ!$C$4&gt;0),(1/2),0)</f>
        <v>0.5</v>
      </c>
      <c r="DC135" s="38">
        <f>IF((ዕቁብ!DD137/ቦኖ!$C$4&gt;0),(1/2),0)</f>
        <v>0.5</v>
      </c>
      <c r="DD135" s="38">
        <f>IF((ዕቁብ!DE137/ቦኖ!$C$4&gt;0),(1/2),0)</f>
        <v>0.5</v>
      </c>
      <c r="DE135" s="38">
        <f>IF((ዕቁብ!DF137/ቦኖ!$C$4&gt;0),(1/2),0)</f>
        <v>0.5</v>
      </c>
      <c r="DF135" s="38">
        <f>IF((ዕቁብ!DG137/ቦኖ!$C$4&gt;0),(1/2),0)</f>
        <v>0.5</v>
      </c>
      <c r="DG135" s="38">
        <f>IF((ዕቁብ!DH137/ቦኖ!$C$4&gt;0),(1/2),0)</f>
        <v>0.5</v>
      </c>
      <c r="DH135" s="38">
        <f>IF((ዕቁብ!DI137/ቦኖ!$C$4&gt;0),(1/2),0)</f>
        <v>0</v>
      </c>
      <c r="DI135" s="38">
        <f>IF((ዕቁብ!DJ137/ቦኖ!$C$4&gt;0),(1/2),0)</f>
        <v>0</v>
      </c>
      <c r="DJ135" s="38">
        <f>IF((ዕቁብ!DK137/ቦኖ!$C$4&gt;0),(1/2),0)</f>
        <v>0</v>
      </c>
      <c r="DK135" s="38">
        <f>IF((ዕቁብ!DL137/ቦኖ!$C$4&gt;0),(1/2),0)</f>
        <v>0</v>
      </c>
      <c r="DL135" s="38">
        <f>IF((ዕቁብ!DM137/ቦኖ!$C$4&gt;0),(1/2),0)</f>
        <v>0</v>
      </c>
      <c r="DM135" s="38">
        <f>IF((ዕቁብ!DN137/ቦኖ!$C$4&gt;0),(1/2),0)</f>
        <v>0</v>
      </c>
      <c r="DN135" s="38">
        <f>IF((ዕቁብ!DO137/ቦኖ!$C$4&gt;0),(1/2),0)</f>
        <v>0</v>
      </c>
      <c r="DO135" s="38">
        <f>IF((ዕቁብ!DP137/ቦኖ!$C$4&gt;0),(1/2),0)</f>
        <v>0</v>
      </c>
      <c r="DP135" s="38">
        <f>IF((ዕቁብ!DQ137/ቦኖ!$C$4&gt;0),(1/2),0)</f>
        <v>0</v>
      </c>
      <c r="DQ135" s="38">
        <f>IF((ዕቁብ!DR137/ቦኖ!$C$4&gt;0),(1/2),0)</f>
        <v>0</v>
      </c>
    </row>
    <row r="136" spans="1:122" ht="15.75" customHeight="1" x14ac:dyDescent="0.3">
      <c r="A136" s="33">
        <f>ዕቁብ!A138</f>
        <v>113</v>
      </c>
      <c r="B136" s="33" t="str">
        <f>ዕቁብ!B138</f>
        <v>ሚልክያስ እዩኤል</v>
      </c>
      <c r="C136" s="37">
        <f>ዕቁብ!C138</f>
        <v>10500</v>
      </c>
      <c r="D136" s="38">
        <f>IF((ዕቁብ!E138/ቦኖ!$C$4&gt;0),(1/2),0)</f>
        <v>0.5</v>
      </c>
      <c r="E136" s="38">
        <f>IF((ዕቁብ!F138/ቦኖ!$C$4&gt;0),(1/2),0)</f>
        <v>0.5</v>
      </c>
      <c r="F136" s="38">
        <f>IF((ዕቁብ!G138/ቦኖ!$C$4&gt;0),(1/2),0)</f>
        <v>0.5</v>
      </c>
      <c r="G136" s="38">
        <f>IF((ዕቁብ!H138/ቦኖ!$C$4&gt;0),(1/2),0)</f>
        <v>0.5</v>
      </c>
      <c r="H136" s="38">
        <f>IF((ዕቁብ!I138/ቦኖ!$C$4&gt;0),(1/2),0)</f>
        <v>0.5</v>
      </c>
      <c r="I136" s="38">
        <f>IF((ዕቁብ!J138/ቦኖ!$C$4&gt;0),(1/2),0)</f>
        <v>0.5</v>
      </c>
      <c r="J136" s="38">
        <f>IF((ዕቁብ!K138/ቦኖ!$C$4&gt;0),(1/2),0)</f>
        <v>0.5</v>
      </c>
      <c r="K136" s="38">
        <f>IF((ዕቁብ!L138/ቦኖ!$C$4&gt;0),(1/2),0)</f>
        <v>0.5</v>
      </c>
      <c r="L136" s="38">
        <f>IF((ዕቁብ!M138/ቦኖ!$C$4&gt;0),(1/2),0)</f>
        <v>0.5</v>
      </c>
      <c r="M136" s="38">
        <f>IF((ዕቁብ!N138/ቦኖ!$C$4&gt;0),(1/2),0)</f>
        <v>0.5</v>
      </c>
      <c r="N136" s="38">
        <f>IF((ዕቁብ!O138/ቦኖ!$C$4&gt;0),(1/2),0)</f>
        <v>0.5</v>
      </c>
      <c r="O136" s="38">
        <f>IF((ዕቁብ!P138/ቦኖ!$C$4&gt;0),(1/2),0)</f>
        <v>0.5</v>
      </c>
      <c r="P136" s="38">
        <f>IF((ዕቁብ!Q138/ቦኖ!$C$4&gt;0),(1/2),0)</f>
        <v>0.5</v>
      </c>
      <c r="Q136" s="38">
        <f>IF((ዕቁብ!R138/ቦኖ!$C$4&gt;0),(1/2),0)</f>
        <v>0.5</v>
      </c>
      <c r="R136" s="38">
        <f>IF((ዕቁብ!S138/ቦኖ!$C$4&gt;0),(1/2),0)</f>
        <v>0.5</v>
      </c>
      <c r="S136" s="38">
        <f>IF((ዕቁብ!T138/ቦኖ!$C$4&gt;0),(1/2),0)</f>
        <v>0.5</v>
      </c>
      <c r="T136" s="38">
        <f>IF((ዕቁብ!U138/ቦኖ!$C$4&gt;0),(1/2),0)</f>
        <v>0.5</v>
      </c>
      <c r="U136" s="38">
        <f>IF((ዕቁብ!V138/ቦኖ!$C$4&gt;0),(1/2),0)</f>
        <v>0.5</v>
      </c>
      <c r="V136" s="38">
        <f>IF((ዕቁብ!W138/ቦኖ!$C$4&gt;0),(1/2),0)</f>
        <v>0.5</v>
      </c>
      <c r="W136" s="38">
        <f>IF((ዕቁብ!X138/ቦኖ!$C$4&gt;0),(1/2),0)</f>
        <v>0.5</v>
      </c>
      <c r="X136" s="38">
        <f>IF((ዕቁብ!Y138/ቦኖ!$C$4&gt;0),(1/2),0)</f>
        <v>0.5</v>
      </c>
      <c r="Y136" s="38">
        <f>IF((ዕቁብ!Z138/ቦኖ!$C$4&gt;0),(1/2),0)</f>
        <v>0.5</v>
      </c>
      <c r="Z136" s="38">
        <f>IF((ዕቁብ!AA138/ቦኖ!$C$4&gt;0),(1/2),0)</f>
        <v>0.5</v>
      </c>
      <c r="AA136" s="38">
        <f>IF((ዕቁብ!AB138/ቦኖ!$C$4&gt;0),(1/2),0)</f>
        <v>0</v>
      </c>
      <c r="AB136" s="38">
        <f>IF((ዕቁብ!AC138/ቦኖ!$C$4&gt;0),(1/2),0)</f>
        <v>0.5</v>
      </c>
      <c r="AC136" s="38">
        <f>IF((ዕቁብ!AD138/ቦኖ!$C$4&gt;0),(1/2),0)</f>
        <v>0.5</v>
      </c>
      <c r="AD136" s="38">
        <f>IF((ዕቁብ!AE138/ቦኖ!$C$4&gt;0),(1/2),0)</f>
        <v>0.5</v>
      </c>
      <c r="AE136" s="38">
        <f>IF((ዕቁብ!AF138/ቦኖ!$C$4&gt;0),(1/2),0)</f>
        <v>0.5</v>
      </c>
      <c r="AF136" s="38">
        <f>IF((ዕቁብ!AG138/ቦኖ!$C$4&gt;0),(1/2),0)</f>
        <v>0</v>
      </c>
      <c r="AG136" s="38">
        <f>IF((ዕቁብ!AH138/ቦኖ!$C$4&gt;0),(1/2),0)</f>
        <v>0.5</v>
      </c>
      <c r="AH136" s="38">
        <f>IF((ዕቁብ!AI138/ቦኖ!$C$4&gt;0),(1/2),0)</f>
        <v>0.5</v>
      </c>
      <c r="AI136" s="38">
        <f>IF((ዕቁብ!AJ138/ቦኖ!$C$4&gt;0),(1/2),0)</f>
        <v>0.5</v>
      </c>
      <c r="AJ136" s="38">
        <f>IF((ዕቁብ!AK138/ቦኖ!$C$4&gt;0),(1/2),0)</f>
        <v>0.5</v>
      </c>
      <c r="AK136" s="38">
        <f>IF((ዕቁብ!AL138/ቦኖ!$C$4&gt;0),(1/2),0)</f>
        <v>0</v>
      </c>
      <c r="AL136" s="38">
        <f>IF((ዕቁብ!AM138/ቦኖ!$C$4&gt;0),(1/2),0)</f>
        <v>0.5</v>
      </c>
      <c r="AM136" s="38">
        <f>IF((ዕቁብ!AN138/ቦኖ!$C$4&gt;0),(1/2),0)</f>
        <v>0.5</v>
      </c>
      <c r="AN136" s="38">
        <f>IF((ዕቁብ!AO138/ቦኖ!$C$4&gt;0),(1/2),0)</f>
        <v>0</v>
      </c>
      <c r="AO136" s="38">
        <f>IF((ዕቁብ!AP138/ቦኖ!$C$4&gt;0),(1/2),0)</f>
        <v>0</v>
      </c>
      <c r="AP136" s="38">
        <f>IF((ዕቁብ!AQ138/ቦኖ!$C$4&gt;0),(1/2),0)</f>
        <v>0.5</v>
      </c>
      <c r="AQ136" s="38">
        <f>IF((ዕቁብ!AR138/ቦኖ!$C$4&gt;0),(1/2),0)</f>
        <v>0</v>
      </c>
      <c r="AR136" s="38">
        <f>IF((ዕቁብ!AS138/ቦኖ!$C$4&gt;0),(1/2),0)</f>
        <v>0.5</v>
      </c>
      <c r="AS136" s="38">
        <f>IF((ዕቁብ!AT138/ቦኖ!$C$4&gt;0),(1/2),0)</f>
        <v>0.5</v>
      </c>
      <c r="AT136" s="38">
        <f>IF((ዕቁብ!AU138/ቦኖ!$C$4&gt;0),(1/2),0)</f>
        <v>0</v>
      </c>
      <c r="AU136" s="38">
        <f>IF((ዕቁብ!AV138/ቦኖ!$C$4&gt;0),(1/2),0)</f>
        <v>0.5</v>
      </c>
      <c r="AV136" s="38">
        <f>IF((ዕቁብ!AW138/ቦኖ!$C$4&gt;0),(1/2),0)</f>
        <v>0.5</v>
      </c>
      <c r="AW136" s="38">
        <f>IF((ዕቁብ!AX138/ቦኖ!$C$4&gt;0),(1/2),0)</f>
        <v>0.5</v>
      </c>
      <c r="AX136" s="38">
        <f>IF((ዕቁብ!AY138/ቦኖ!$C$4&gt;0),(1/2),0)</f>
        <v>0</v>
      </c>
      <c r="AY136" s="38">
        <f>IF((ዕቁብ!AZ138/ቦኖ!$C$4&gt;0),(1/2),0)</f>
        <v>0.5</v>
      </c>
      <c r="AZ136" s="38">
        <f>IF((ዕቁብ!BA138/ቦኖ!$C$4&gt;0),(1/2),0)</f>
        <v>0.5</v>
      </c>
      <c r="BA136" s="38">
        <f>IF((ዕቁብ!BB138/ቦኖ!$C$4&gt;0),(1/2),0)</f>
        <v>0</v>
      </c>
      <c r="BB136" s="38">
        <f>IF((ዕቁብ!BC138/ቦኖ!$C$4&gt;0),(1/2),0)</f>
        <v>0.5</v>
      </c>
      <c r="BC136" s="38">
        <f>IF((ዕቁብ!BD138/ቦኖ!$C$4&gt;0),(1/2),0)</f>
        <v>0.5</v>
      </c>
      <c r="BD136" s="38">
        <f>IF((ዕቁብ!BE138/ቦኖ!$C$4&gt;0),(1/2),0)</f>
        <v>0.5</v>
      </c>
      <c r="BE136" s="38">
        <f>IF((ዕቁብ!BF138/ቦኖ!$C$4&gt;0),(1/2),0)</f>
        <v>0</v>
      </c>
      <c r="BF136" s="38">
        <f>IF((ዕቁብ!BG138/ቦኖ!$C$4&gt;0),(1/2),0)</f>
        <v>0.5</v>
      </c>
      <c r="BG136" s="38">
        <f>IF((ዕቁብ!BH138/ቦኖ!$C$4&gt;0),(1/2),0)</f>
        <v>0</v>
      </c>
      <c r="BH136" s="38">
        <f>IF((ዕቁብ!BI138/ቦኖ!$C$4&gt;0),(1/2),0)</f>
        <v>0.5</v>
      </c>
      <c r="BI136" s="38">
        <f>IF((ዕቁብ!BJ138/ቦኖ!$C$4&gt;0),(1/2),0)</f>
        <v>0</v>
      </c>
      <c r="BJ136" s="38">
        <f>IF((ዕቁብ!BK138/ቦኖ!$C$4&gt;0),(1/2),0)</f>
        <v>0.5</v>
      </c>
      <c r="BK136" s="38">
        <f>IF((ዕቁብ!BL138/ቦኖ!$C$4&gt;0),(1/2),0)</f>
        <v>0</v>
      </c>
      <c r="BL136" s="38">
        <f>IF((ዕቁብ!BM138/ቦኖ!$C$4&gt;0),(1/2),0)</f>
        <v>0.5</v>
      </c>
      <c r="BM136" s="38">
        <f>IF((ዕቁብ!BN138/ቦኖ!$C$4&gt;0),(1/2),0)</f>
        <v>0.5</v>
      </c>
      <c r="BN136" s="38">
        <f>IF((ዕቁብ!BO138/ቦኖ!$C$4&gt;0),(1/2),0)</f>
        <v>0</v>
      </c>
      <c r="BO136" s="38">
        <f>IF((ዕቁብ!BP138/ቦኖ!$C$4&gt;0),(1/2),0)</f>
        <v>0.5</v>
      </c>
      <c r="BP136" s="38">
        <f>IF((ዕቁብ!BQ138/ቦኖ!$C$4&gt;0),(1/2),0)</f>
        <v>0</v>
      </c>
      <c r="BQ136" s="38">
        <f>IF((ዕቁብ!BR138/ቦኖ!$C$4&gt;0),(1/2),0)</f>
        <v>0.5</v>
      </c>
      <c r="BR136" s="38">
        <f>IF((ዕቁብ!BS138/ቦኖ!$C$4&gt;0),(1/2),0)</f>
        <v>0</v>
      </c>
      <c r="BS136" s="38">
        <f>IF((ዕቁብ!BT138/ቦኖ!$C$4&gt;0),(1/2),0)</f>
        <v>0</v>
      </c>
      <c r="BT136" s="38">
        <f>IF((ዕቁብ!BU138/ቦኖ!$C$4&gt;0),(1/2),0)</f>
        <v>0.5</v>
      </c>
      <c r="BU136" s="38">
        <f>IF((ዕቁብ!BV138/ቦኖ!$C$4&gt;0),(1/2),0)</f>
        <v>0</v>
      </c>
      <c r="BV136" s="38">
        <f>IF((ዕቁብ!BW138/ቦኖ!$C$4&gt;0),(1/2),0)</f>
        <v>0</v>
      </c>
      <c r="BW136" s="38">
        <f>IF((ዕቁብ!BX138/ቦኖ!$C$4&gt;0),(1/2),0)</f>
        <v>0</v>
      </c>
      <c r="BX136" s="38">
        <f>IF((ዕቁብ!BY138/ቦኖ!$C$4&gt;0),(1/2),0)</f>
        <v>0.5</v>
      </c>
      <c r="BY136" s="38">
        <f>IF((ዕቁብ!BZ138/ቦኖ!$C$4&gt;0),(1/2),0)</f>
        <v>0</v>
      </c>
      <c r="BZ136" s="38">
        <f>IF((ዕቁብ!CA138/ቦኖ!$C$4&gt;0),(1/2),0)</f>
        <v>0.5</v>
      </c>
      <c r="CA136" s="38">
        <f>IF((ዕቁብ!CB138/ቦኖ!$C$4&gt;0),(1/2),0)</f>
        <v>0</v>
      </c>
      <c r="CB136" s="38">
        <f>IF((ዕቁብ!CC138/ቦኖ!$C$4&gt;0),(1/2),0)</f>
        <v>0.5</v>
      </c>
      <c r="CC136" s="38">
        <f>IF((ዕቁብ!CD138/ቦኖ!$C$4&gt;0),(1/2),0)</f>
        <v>0</v>
      </c>
      <c r="CD136" s="38">
        <f>IF((ዕቁብ!CE138/ቦኖ!$C$4&gt;0),(1/2),0)</f>
        <v>0.5</v>
      </c>
      <c r="CE136" s="38">
        <f>IF((ዕቁብ!CF138/ቦኖ!$C$4&gt;0),(1/2),0)</f>
        <v>0</v>
      </c>
      <c r="CF136" s="38">
        <f>IF((ዕቁብ!CG138/ቦኖ!$C$4&gt;0),(1/2),0)</f>
        <v>0.5</v>
      </c>
      <c r="CG136" s="38">
        <f>IF((ዕቁብ!CH138/ቦኖ!$C$4&gt;0),(1/2),0)</f>
        <v>0</v>
      </c>
      <c r="CH136" s="38">
        <f>IF((ዕቁብ!CI138/ቦኖ!$C$4&gt;0),(1/2),0)</f>
        <v>0</v>
      </c>
      <c r="CI136" s="38">
        <f>IF((ዕቁብ!CJ138/ቦኖ!$C$4&gt;0),(1/2),0)</f>
        <v>0</v>
      </c>
      <c r="CJ136" s="38">
        <f>IF((ዕቁብ!CK138/ቦኖ!$C$4&gt;0),(1/2),0)</f>
        <v>0.5</v>
      </c>
      <c r="CK136" s="38">
        <f>IF((ዕቁብ!CL138/ቦኖ!$C$4&gt;0),(1/2),0)</f>
        <v>0</v>
      </c>
      <c r="CL136" s="38">
        <f>IF((ዕቁብ!CM138/ቦኖ!$C$4&gt;0),(1/2),0)</f>
        <v>0</v>
      </c>
      <c r="CM136" s="38">
        <f>IF((ዕቁብ!CN138/ቦኖ!$C$4&gt;0),(1/2),0)</f>
        <v>0.5</v>
      </c>
      <c r="CN136" s="38">
        <f>IF((ዕቁብ!CO138/ቦኖ!$C$4&gt;0),(1/2),0)</f>
        <v>0</v>
      </c>
      <c r="CO136" s="38">
        <f>IF((ዕቁብ!CP138/ቦኖ!$C$4&gt;0),(1/2),0)</f>
        <v>0</v>
      </c>
      <c r="CP136" s="38">
        <f>IF((ዕቁብ!CQ138/ቦኖ!$C$4&gt;0),(1/2),0)</f>
        <v>0.5</v>
      </c>
      <c r="CQ136" s="38">
        <f>IF((ዕቁብ!CR138/ቦኖ!$C$4&gt;0),(1/2),0)</f>
        <v>0</v>
      </c>
      <c r="CR136" s="38">
        <f>IF((ዕቁብ!CS138/ቦኖ!$C$4&gt;0),(1/2),0)</f>
        <v>0</v>
      </c>
      <c r="CS136" s="38">
        <f>IF((ዕቁብ!CT138/ቦኖ!$C$4&gt;0),(1/2),0)</f>
        <v>0.5</v>
      </c>
      <c r="CT136" s="38">
        <f>IF((ዕቁብ!CU138/ቦኖ!$C$4&gt;0),(1/2),0)</f>
        <v>0</v>
      </c>
      <c r="CU136" s="38">
        <f>IF((ዕቁብ!CV138/ቦኖ!$C$4&gt;0),(1/2),0)</f>
        <v>0</v>
      </c>
      <c r="CV136" s="38">
        <f>IF((ዕቁብ!CW138/ቦኖ!$C$4&gt;0),(1/2),0)</f>
        <v>0</v>
      </c>
      <c r="CW136" s="38">
        <f>IF((ዕቁብ!CX138/ቦኖ!$C$4&gt;0),(1/2),0)</f>
        <v>0</v>
      </c>
      <c r="CX136" s="38">
        <f>IF((ዕቁብ!CY138/ቦኖ!$C$4&gt;0),(1/2),0)</f>
        <v>0</v>
      </c>
      <c r="CY136" s="38">
        <f>IF((ዕቁብ!CZ138/ቦኖ!$C$4&gt;0),(1/2),0)</f>
        <v>0</v>
      </c>
      <c r="CZ136" s="38">
        <f>IF((ዕቁብ!DA138/ቦኖ!$C$4&gt;0),(1/2),0)</f>
        <v>0.5</v>
      </c>
      <c r="DA136" s="38">
        <f>IF((ዕቁብ!DB138/ቦኖ!$C$4&gt;0),(1/2),0)</f>
        <v>0</v>
      </c>
      <c r="DB136" s="38">
        <f>IF((ዕቁብ!DC138/ቦኖ!$C$4&gt;0),(1/2),0)</f>
        <v>0</v>
      </c>
      <c r="DC136" s="38">
        <f>IF((ዕቁብ!DD138/ቦኖ!$C$4&gt;0),(1/2),0)</f>
        <v>0</v>
      </c>
      <c r="DD136" s="38">
        <f>IF((ዕቁብ!DE138/ቦኖ!$C$4&gt;0),(1/2),0)</f>
        <v>0.5</v>
      </c>
      <c r="DE136" s="38">
        <f>IF((ዕቁብ!DF138/ቦኖ!$C$4&gt;0),(1/2),0)</f>
        <v>0</v>
      </c>
      <c r="DF136" s="38">
        <f>IF((ዕቁብ!DG138/ቦኖ!$C$4&gt;0),(1/2),0)</f>
        <v>0</v>
      </c>
      <c r="DG136" s="38">
        <f>IF((ዕቁብ!DH138/ቦኖ!$C$4&gt;0),(1/2),0)</f>
        <v>0</v>
      </c>
      <c r="DH136" s="38">
        <f>IF((ዕቁብ!DI138/ቦኖ!$C$4&gt;0),(1/2),0)</f>
        <v>0</v>
      </c>
      <c r="DI136" s="38">
        <f>IF((ዕቁብ!DJ138/ቦኖ!$C$4&gt;0),(1/2),0)</f>
        <v>0</v>
      </c>
      <c r="DJ136" s="38">
        <f>IF((ዕቁብ!DK138/ቦኖ!$C$4&gt;0),(1/2),0)</f>
        <v>0</v>
      </c>
      <c r="DK136" s="38">
        <f>IF((ዕቁብ!DL138/ቦኖ!$C$4&gt;0),(1/2),0)</f>
        <v>0</v>
      </c>
      <c r="DL136" s="38">
        <f>IF((ዕቁብ!DM138/ቦኖ!$C$4&gt;0),(1/2),0)</f>
        <v>0</v>
      </c>
      <c r="DM136" s="38">
        <f>IF((ዕቁብ!DN138/ቦኖ!$C$4&gt;0),(1/2),0)</f>
        <v>0</v>
      </c>
      <c r="DN136" s="38">
        <f>IF((ዕቁብ!DO138/ቦኖ!$C$4&gt;0),(1/2),0)</f>
        <v>0</v>
      </c>
      <c r="DO136" s="38">
        <f>IF((ዕቁብ!DP138/ቦኖ!$C$4&gt;0),(1/2),0)</f>
        <v>0</v>
      </c>
      <c r="DP136" s="38">
        <f>IF((ዕቁብ!DQ138/ቦኖ!$C$4&gt;0),(1/2),0)</f>
        <v>0</v>
      </c>
      <c r="DQ136" s="38">
        <f>IF((ዕቁብ!DR138/ቦኖ!$C$4&gt;0),(1/2),0)</f>
        <v>0</v>
      </c>
    </row>
    <row r="137" spans="1:122" ht="15.75" customHeight="1" x14ac:dyDescent="0.3">
      <c r="A137" s="33"/>
      <c r="B137" s="33"/>
      <c r="C137" s="33"/>
      <c r="D137" s="33">
        <f t="shared" ref="D137:DQ137" si="2">SUM(D4:D136)</f>
        <v>107</v>
      </c>
      <c r="E137" s="33">
        <f t="shared" si="2"/>
        <v>106.5</v>
      </c>
      <c r="F137" s="33">
        <f t="shared" si="2"/>
        <v>106.5</v>
      </c>
      <c r="G137" s="33">
        <f t="shared" si="2"/>
        <v>106.5</v>
      </c>
      <c r="H137" s="33">
        <f t="shared" si="2"/>
        <v>106.5</v>
      </c>
      <c r="I137" s="33">
        <f t="shared" si="2"/>
        <v>106.5</v>
      </c>
      <c r="J137" s="33">
        <f t="shared" si="2"/>
        <v>106.5</v>
      </c>
      <c r="K137" s="33">
        <f t="shared" si="2"/>
        <v>106.5</v>
      </c>
      <c r="L137" s="33">
        <f t="shared" si="2"/>
        <v>106.5</v>
      </c>
      <c r="M137" s="33">
        <f t="shared" si="2"/>
        <v>106.5</v>
      </c>
      <c r="N137" s="33">
        <f t="shared" si="2"/>
        <v>106.5</v>
      </c>
      <c r="O137" s="33">
        <f t="shared" si="2"/>
        <v>106.5</v>
      </c>
      <c r="P137" s="33">
        <f t="shared" si="2"/>
        <v>106.5</v>
      </c>
      <c r="Q137" s="33">
        <f t="shared" si="2"/>
        <v>106.5</v>
      </c>
      <c r="R137" s="33">
        <f t="shared" si="2"/>
        <v>106.5</v>
      </c>
      <c r="S137" s="33">
        <f t="shared" si="2"/>
        <v>106.5</v>
      </c>
      <c r="T137" s="33">
        <f t="shared" si="2"/>
        <v>106.5</v>
      </c>
      <c r="U137" s="33">
        <f t="shared" si="2"/>
        <v>105.5</v>
      </c>
      <c r="V137" s="33">
        <f t="shared" si="2"/>
        <v>105.5</v>
      </c>
      <c r="W137" s="33">
        <f t="shared" si="2"/>
        <v>99</v>
      </c>
      <c r="X137" s="33">
        <f t="shared" si="2"/>
        <v>101.5</v>
      </c>
      <c r="Y137" s="33">
        <f t="shared" si="2"/>
        <v>100</v>
      </c>
      <c r="Z137" s="33">
        <f t="shared" si="2"/>
        <v>104</v>
      </c>
      <c r="AA137" s="33">
        <f t="shared" si="2"/>
        <v>80</v>
      </c>
      <c r="AB137" s="33">
        <f t="shared" si="2"/>
        <v>104.5</v>
      </c>
      <c r="AC137" s="33">
        <f t="shared" si="2"/>
        <v>101.5</v>
      </c>
      <c r="AD137" s="33">
        <f t="shared" si="2"/>
        <v>99</v>
      </c>
      <c r="AE137" s="33">
        <f t="shared" si="2"/>
        <v>92</v>
      </c>
      <c r="AF137" s="33">
        <f t="shared" si="2"/>
        <v>99</v>
      </c>
      <c r="AG137" s="33">
        <f t="shared" si="2"/>
        <v>100.5</v>
      </c>
      <c r="AH137" s="33">
        <f t="shared" si="2"/>
        <v>99.5</v>
      </c>
      <c r="AI137" s="33">
        <f t="shared" si="2"/>
        <v>96.5</v>
      </c>
      <c r="AJ137" s="33">
        <f t="shared" si="2"/>
        <v>97.5</v>
      </c>
      <c r="AK137" s="33">
        <f t="shared" si="2"/>
        <v>99.5</v>
      </c>
      <c r="AL137" s="33">
        <f t="shared" si="2"/>
        <v>97.5</v>
      </c>
      <c r="AM137" s="33">
        <f t="shared" si="2"/>
        <v>100</v>
      </c>
      <c r="AN137" s="33">
        <f t="shared" si="2"/>
        <v>99.5</v>
      </c>
      <c r="AO137" s="33">
        <f t="shared" si="2"/>
        <v>101</v>
      </c>
      <c r="AP137" s="33">
        <f t="shared" si="2"/>
        <v>99.5</v>
      </c>
      <c r="AQ137" s="33">
        <f t="shared" si="2"/>
        <v>100</v>
      </c>
      <c r="AR137" s="33">
        <f t="shared" si="2"/>
        <v>90.5</v>
      </c>
      <c r="AS137" s="33">
        <f t="shared" si="2"/>
        <v>99</v>
      </c>
      <c r="AT137" s="33">
        <f t="shared" si="2"/>
        <v>96</v>
      </c>
      <c r="AU137" s="33">
        <f t="shared" si="2"/>
        <v>89.5</v>
      </c>
      <c r="AV137" s="33">
        <f t="shared" si="2"/>
        <v>92.5</v>
      </c>
      <c r="AW137" s="33">
        <f t="shared" si="2"/>
        <v>94</v>
      </c>
      <c r="AX137" s="33">
        <f t="shared" si="2"/>
        <v>90</v>
      </c>
      <c r="AY137" s="33">
        <f t="shared" si="2"/>
        <v>92.5</v>
      </c>
      <c r="AZ137" s="33">
        <f t="shared" si="2"/>
        <v>95.5</v>
      </c>
      <c r="BA137" s="33">
        <f t="shared" si="2"/>
        <v>93</v>
      </c>
      <c r="BB137" s="33">
        <f t="shared" si="2"/>
        <v>95.5</v>
      </c>
      <c r="BC137" s="33">
        <f t="shared" si="2"/>
        <v>91</v>
      </c>
      <c r="BD137" s="33">
        <f t="shared" si="2"/>
        <v>93.5</v>
      </c>
      <c r="BE137" s="33">
        <f t="shared" si="2"/>
        <v>91.5</v>
      </c>
      <c r="BF137" s="33">
        <f t="shared" si="2"/>
        <v>97</v>
      </c>
      <c r="BG137" s="33">
        <f t="shared" si="2"/>
        <v>77</v>
      </c>
      <c r="BH137" s="33">
        <f t="shared" si="2"/>
        <v>92.5</v>
      </c>
      <c r="BI137" s="33">
        <f t="shared" si="2"/>
        <v>86</v>
      </c>
      <c r="BJ137" s="33">
        <f t="shared" si="2"/>
        <v>95</v>
      </c>
      <c r="BK137" s="33">
        <f t="shared" si="2"/>
        <v>84</v>
      </c>
      <c r="BL137" s="33">
        <f t="shared" si="2"/>
        <v>95.5</v>
      </c>
      <c r="BM137" s="33">
        <f t="shared" si="2"/>
        <v>54</v>
      </c>
      <c r="BN137" s="33">
        <f t="shared" si="2"/>
        <v>94</v>
      </c>
      <c r="BO137" s="33">
        <f t="shared" si="2"/>
        <v>71</v>
      </c>
      <c r="BP137" s="33">
        <f t="shared" si="2"/>
        <v>91.5</v>
      </c>
      <c r="BQ137" s="33">
        <f t="shared" si="2"/>
        <v>86</v>
      </c>
      <c r="BR137" s="33">
        <f t="shared" si="2"/>
        <v>88.5</v>
      </c>
      <c r="BS137" s="33">
        <f t="shared" si="2"/>
        <v>86</v>
      </c>
      <c r="BT137" s="33">
        <f t="shared" si="2"/>
        <v>89.5</v>
      </c>
      <c r="BU137" s="33">
        <f t="shared" si="2"/>
        <v>81</v>
      </c>
      <c r="BV137" s="33">
        <f t="shared" si="2"/>
        <v>83</v>
      </c>
      <c r="BW137" s="33">
        <f t="shared" si="2"/>
        <v>72.5</v>
      </c>
      <c r="BX137" s="33">
        <f t="shared" si="2"/>
        <v>82.5</v>
      </c>
      <c r="BY137" s="33">
        <f t="shared" si="2"/>
        <v>74</v>
      </c>
      <c r="BZ137" s="33">
        <f t="shared" si="2"/>
        <v>77.5</v>
      </c>
      <c r="CA137" s="33">
        <f t="shared" si="2"/>
        <v>80.5</v>
      </c>
      <c r="CB137" s="33">
        <f t="shared" si="2"/>
        <v>85</v>
      </c>
      <c r="CC137" s="33">
        <f t="shared" si="2"/>
        <v>74</v>
      </c>
      <c r="CD137" s="33">
        <f t="shared" si="2"/>
        <v>48</v>
      </c>
      <c r="CE137" s="33">
        <f t="shared" si="2"/>
        <v>87.5</v>
      </c>
      <c r="CF137" s="33">
        <f t="shared" si="2"/>
        <v>75</v>
      </c>
      <c r="CG137" s="33">
        <f t="shared" si="2"/>
        <v>82</v>
      </c>
      <c r="CH137" s="33">
        <f t="shared" si="2"/>
        <v>78</v>
      </c>
      <c r="CI137" s="33">
        <f t="shared" si="2"/>
        <v>79.5</v>
      </c>
      <c r="CJ137" s="33">
        <f t="shared" si="2"/>
        <v>81</v>
      </c>
      <c r="CK137" s="33">
        <f t="shared" si="2"/>
        <v>72.5</v>
      </c>
      <c r="CL137" s="33">
        <f t="shared" si="2"/>
        <v>78</v>
      </c>
      <c r="CM137" s="33">
        <f t="shared" si="2"/>
        <v>81.5</v>
      </c>
      <c r="CN137" s="33">
        <f t="shared" si="2"/>
        <v>76.5</v>
      </c>
      <c r="CO137" s="33">
        <f t="shared" si="2"/>
        <v>76</v>
      </c>
      <c r="CP137" s="33">
        <f t="shared" si="2"/>
        <v>74</v>
      </c>
      <c r="CQ137" s="33">
        <f t="shared" si="2"/>
        <v>72.5</v>
      </c>
      <c r="CR137" s="33">
        <f t="shared" si="2"/>
        <v>75</v>
      </c>
      <c r="CS137" s="33">
        <f t="shared" si="2"/>
        <v>78</v>
      </c>
      <c r="CT137" s="33">
        <f t="shared" si="2"/>
        <v>67.5</v>
      </c>
      <c r="CU137" s="33">
        <f t="shared" si="2"/>
        <v>78.5</v>
      </c>
      <c r="CV137" s="33">
        <f t="shared" si="2"/>
        <v>74</v>
      </c>
      <c r="CW137" s="33">
        <f t="shared" si="2"/>
        <v>69.5</v>
      </c>
      <c r="CX137" s="33">
        <f t="shared" si="2"/>
        <v>76.5</v>
      </c>
      <c r="CY137" s="33">
        <f t="shared" si="2"/>
        <v>57</v>
      </c>
      <c r="CZ137" s="33">
        <f t="shared" si="2"/>
        <v>80.5</v>
      </c>
      <c r="DA137" s="33">
        <f t="shared" si="2"/>
        <v>81.5</v>
      </c>
      <c r="DB137" s="33">
        <f t="shared" si="2"/>
        <v>56.5</v>
      </c>
      <c r="DC137" s="33">
        <f t="shared" si="2"/>
        <v>73</v>
      </c>
      <c r="DD137" s="33">
        <f t="shared" si="2"/>
        <v>71</v>
      </c>
      <c r="DE137" s="33">
        <f t="shared" si="2"/>
        <v>63.5</v>
      </c>
      <c r="DF137" s="33">
        <f t="shared" si="2"/>
        <v>76.5</v>
      </c>
      <c r="DG137" s="33">
        <f t="shared" si="2"/>
        <v>64</v>
      </c>
      <c r="DH137" s="33">
        <f t="shared" si="2"/>
        <v>0</v>
      </c>
      <c r="DI137" s="33">
        <f t="shared" si="2"/>
        <v>0</v>
      </c>
      <c r="DJ137" s="33">
        <f t="shared" si="2"/>
        <v>0</v>
      </c>
      <c r="DK137" s="33">
        <f t="shared" si="2"/>
        <v>0</v>
      </c>
      <c r="DL137" s="33">
        <f t="shared" si="2"/>
        <v>0</v>
      </c>
      <c r="DM137" s="33">
        <f t="shared" si="2"/>
        <v>0</v>
      </c>
      <c r="DN137" s="33">
        <f t="shared" si="2"/>
        <v>0</v>
      </c>
      <c r="DO137" s="33">
        <f t="shared" si="2"/>
        <v>0</v>
      </c>
      <c r="DP137" s="33">
        <f t="shared" si="2"/>
        <v>0</v>
      </c>
      <c r="DQ137" s="33">
        <f t="shared" si="2"/>
        <v>0</v>
      </c>
      <c r="DR137" s="39"/>
    </row>
    <row r="138" spans="1:122" ht="15.75" customHeight="1" x14ac:dyDescent="0.3">
      <c r="DR138" s="26"/>
    </row>
    <row r="139" spans="1:122" ht="15.75" customHeight="1" x14ac:dyDescent="0.3"/>
    <row r="140" spans="1:122" ht="15.75" customHeight="1" x14ac:dyDescent="0.3"/>
    <row r="141" spans="1:122" ht="15.75" customHeight="1" x14ac:dyDescent="0.3"/>
    <row r="142" spans="1:122" ht="15.75" customHeight="1" x14ac:dyDescent="0.3"/>
    <row r="143" spans="1:122" ht="15.75" customHeight="1" x14ac:dyDescent="0.3"/>
    <row r="144" spans="1:122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A3"/>
    <mergeCell ref="B1:B3"/>
  </mergeCells>
  <conditionalFormatting sqref="D4:DQ136">
    <cfRule type="cellIs" dxfId="3" priority="1" operator="equal">
      <formula>0</formula>
    </cfRule>
  </conditionalFormatting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Q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1" sqref="D1"/>
    </sheetView>
  </sheetViews>
  <sheetFormatPr defaultColWidth="14.44140625" defaultRowHeight="15" customHeight="1" x14ac:dyDescent="0.3"/>
  <cols>
    <col min="1" max="1" width="7.88671875" customWidth="1"/>
    <col min="2" max="2" width="17.33203125" customWidth="1"/>
    <col min="3" max="4" width="10.109375" customWidth="1"/>
    <col min="5" max="7" width="10" customWidth="1"/>
    <col min="8" max="11" width="9.6640625" customWidth="1"/>
    <col min="12" max="16" width="9.33203125" customWidth="1"/>
    <col min="17" max="20" width="9.6640625" customWidth="1"/>
    <col min="21" max="24" width="9.88671875" customWidth="1"/>
    <col min="25" max="29" width="9.5546875" customWidth="1"/>
    <col min="30" max="33" width="10.109375" customWidth="1"/>
    <col min="34" max="37" width="9.44140625" customWidth="1"/>
    <col min="38" max="42" width="8.88671875" customWidth="1"/>
    <col min="43" max="46" width="9.88671875" customWidth="1"/>
    <col min="47" max="50" width="9.6640625" customWidth="1"/>
    <col min="51" max="55" width="9.44140625" customWidth="1"/>
    <col min="56" max="59" width="10" customWidth="1"/>
    <col min="60" max="64" width="9.6640625" customWidth="1"/>
    <col min="65" max="68" width="9.33203125" customWidth="1"/>
    <col min="69" max="72" width="9.6640625" customWidth="1"/>
    <col min="73" max="77" width="9.88671875" customWidth="1"/>
    <col min="78" max="81" width="9.5546875" customWidth="1"/>
    <col min="82" max="85" width="10.109375" customWidth="1"/>
    <col min="86" max="90" width="9.44140625" customWidth="1"/>
    <col min="91" max="94" width="8.88671875" customWidth="1"/>
    <col min="95" max="98" width="9.88671875" customWidth="1"/>
    <col min="99" max="103" width="9.6640625" customWidth="1"/>
    <col min="104" max="107" width="9.44140625" customWidth="1"/>
    <col min="108" max="111" width="10" customWidth="1"/>
    <col min="112" max="116" width="9.6640625" customWidth="1"/>
    <col min="117" max="120" width="9.33203125" customWidth="1"/>
    <col min="121" max="121" width="9.6640625" customWidth="1"/>
  </cols>
  <sheetData>
    <row r="1" spans="1:121" ht="14.4" x14ac:dyDescent="0.3">
      <c r="A1" s="93" t="str">
        <f>ዕቁብ!A1</f>
        <v>ዕጣ ቁጥር</v>
      </c>
      <c r="B1" s="93" t="str">
        <f>ዕቁብ!B1</f>
        <v>ስም</v>
      </c>
      <c r="D1" s="40">
        <f>ዕቁብ!E1</f>
        <v>1</v>
      </c>
      <c r="E1" s="40">
        <f>ዕቁብ!F1</f>
        <v>2</v>
      </c>
      <c r="F1" s="40">
        <f>ዕቁብ!G1</f>
        <v>3</v>
      </c>
      <c r="G1" s="40">
        <f>ዕቁብ!H1</f>
        <v>4</v>
      </c>
      <c r="H1" s="40">
        <f>ዕቁብ!I1</f>
        <v>5</v>
      </c>
      <c r="I1" s="40">
        <f>ዕቁብ!J1</f>
        <v>6</v>
      </c>
      <c r="J1" s="40">
        <f>ዕቁብ!K1</f>
        <v>7</v>
      </c>
      <c r="K1" s="40">
        <f>ዕቁብ!L1</f>
        <v>8</v>
      </c>
      <c r="L1" s="40">
        <f>ዕቁብ!M1</f>
        <v>9</v>
      </c>
      <c r="M1" s="40">
        <f>ዕቁብ!N1</f>
        <v>10</v>
      </c>
      <c r="N1" s="40">
        <f>ዕቁብ!O1</f>
        <v>11</v>
      </c>
      <c r="O1" s="40">
        <f>ዕቁብ!P1</f>
        <v>12</v>
      </c>
      <c r="P1" s="40">
        <f>ዕቁብ!Q1</f>
        <v>13</v>
      </c>
      <c r="Q1" s="40">
        <f>ዕቁብ!R1</f>
        <v>14</v>
      </c>
      <c r="R1" s="40">
        <f>ዕቁብ!S1</f>
        <v>15</v>
      </c>
      <c r="S1" s="40">
        <f>ዕቁብ!T1</f>
        <v>16</v>
      </c>
      <c r="T1" s="40">
        <f>ዕቁብ!U1</f>
        <v>17</v>
      </c>
      <c r="U1" s="40">
        <f>ዕቁብ!V1</f>
        <v>18</v>
      </c>
      <c r="V1" s="40">
        <f>ዕቁብ!W1</f>
        <v>19</v>
      </c>
      <c r="W1" s="40">
        <f>ዕቁብ!X1</f>
        <v>20</v>
      </c>
      <c r="X1" s="40">
        <f>ዕቁብ!Y1</f>
        <v>21</v>
      </c>
      <c r="Y1" s="40">
        <f>ዕቁብ!Z1</f>
        <v>22</v>
      </c>
      <c r="Z1" s="40">
        <f>ዕቁብ!AA1</f>
        <v>23</v>
      </c>
      <c r="AA1" s="40">
        <f>ዕቁብ!AB1</f>
        <v>24</v>
      </c>
      <c r="AB1" s="40">
        <f>ዕቁብ!AC1</f>
        <v>25</v>
      </c>
      <c r="AC1" s="40">
        <f>ዕቁብ!AD1</f>
        <v>26</v>
      </c>
      <c r="AD1" s="40">
        <f>ዕቁብ!AE1</f>
        <v>27</v>
      </c>
      <c r="AE1" s="40">
        <f>ዕቁብ!AF1</f>
        <v>28</v>
      </c>
      <c r="AF1" s="40">
        <f>ዕቁብ!AG1</f>
        <v>29</v>
      </c>
      <c r="AG1" s="40">
        <f>ዕቁብ!AH1</f>
        <v>30</v>
      </c>
      <c r="AH1" s="40">
        <f>ዕቁብ!AI1</f>
        <v>31</v>
      </c>
      <c r="AI1" s="40">
        <f>ዕቁብ!AJ1</f>
        <v>32</v>
      </c>
      <c r="AJ1" s="40">
        <f>ዕቁብ!AK1</f>
        <v>33</v>
      </c>
      <c r="AK1" s="40">
        <f>ዕቁብ!AL1</f>
        <v>34</v>
      </c>
      <c r="AL1" s="40">
        <f>ዕቁብ!AM1</f>
        <v>35</v>
      </c>
      <c r="AM1" s="40">
        <f>ዕቁብ!AN1</f>
        <v>36</v>
      </c>
      <c r="AN1" s="40">
        <f>ዕቁብ!AO1</f>
        <v>37</v>
      </c>
      <c r="AO1" s="40">
        <f>ዕቁብ!AP1</f>
        <v>38</v>
      </c>
      <c r="AP1" s="40">
        <f>ዕቁብ!AQ1</f>
        <v>39</v>
      </c>
      <c r="AQ1" s="40">
        <f>ዕቁብ!AR1</f>
        <v>40</v>
      </c>
      <c r="AR1" s="40">
        <f>ዕቁብ!AS1</f>
        <v>41</v>
      </c>
      <c r="AS1" s="40">
        <f>ዕቁብ!AT1</f>
        <v>42</v>
      </c>
      <c r="AT1" s="40">
        <f>ዕቁብ!AU1</f>
        <v>43</v>
      </c>
      <c r="AU1" s="40">
        <f>ዕቁብ!AV1</f>
        <v>44</v>
      </c>
      <c r="AV1" s="40">
        <f>ዕቁብ!AW1</f>
        <v>45</v>
      </c>
      <c r="AW1" s="40">
        <f>ዕቁብ!AX1</f>
        <v>46</v>
      </c>
      <c r="AX1" s="40">
        <f>ዕቁብ!AY1</f>
        <v>47</v>
      </c>
      <c r="AY1" s="40">
        <f>ዕቁብ!AZ1</f>
        <v>48</v>
      </c>
      <c r="AZ1" s="40">
        <f>ዕቁብ!BA1</f>
        <v>49</v>
      </c>
      <c r="BA1" s="40">
        <f>ዕቁብ!BB1</f>
        <v>50</v>
      </c>
      <c r="BB1" s="40">
        <f>ዕቁብ!BC1</f>
        <v>51</v>
      </c>
      <c r="BC1" s="40">
        <f>ዕቁብ!BD1</f>
        <v>52</v>
      </c>
      <c r="BD1" s="40">
        <f>ዕቁብ!BE1</f>
        <v>53</v>
      </c>
      <c r="BE1" s="40">
        <f>ዕቁብ!BF1</f>
        <v>54</v>
      </c>
      <c r="BF1" s="40">
        <f>ዕቁብ!BG1</f>
        <v>55</v>
      </c>
      <c r="BG1" s="40">
        <f>ዕቁብ!BH1</f>
        <v>56</v>
      </c>
      <c r="BH1" s="40">
        <f>ዕቁብ!BI1</f>
        <v>57</v>
      </c>
      <c r="BI1" s="40">
        <f>ዕቁብ!BJ1</f>
        <v>58</v>
      </c>
      <c r="BJ1" s="40">
        <f>ዕቁብ!BK1</f>
        <v>59</v>
      </c>
      <c r="BK1" s="40">
        <f>ዕቁብ!BL1</f>
        <v>60</v>
      </c>
      <c r="BL1" s="40">
        <f>ዕቁብ!BM1</f>
        <v>61</v>
      </c>
      <c r="BM1" s="40">
        <f>ዕቁብ!BN1</f>
        <v>62</v>
      </c>
      <c r="BN1" s="40">
        <f>ዕቁብ!BO1</f>
        <v>63</v>
      </c>
      <c r="BO1" s="40">
        <f>ዕቁብ!BP1</f>
        <v>64</v>
      </c>
      <c r="BP1" s="40">
        <f>ዕቁብ!BQ1</f>
        <v>65</v>
      </c>
      <c r="BQ1" s="40">
        <f>ዕቁብ!BR1</f>
        <v>66</v>
      </c>
      <c r="BR1" s="40">
        <f>ዕቁብ!BS1</f>
        <v>67</v>
      </c>
      <c r="BS1" s="40">
        <f>ዕቁብ!BT1</f>
        <v>68</v>
      </c>
      <c r="BT1" s="40">
        <f>ዕቁብ!BU1</f>
        <v>69</v>
      </c>
      <c r="BU1" s="40">
        <f>ዕቁብ!BV1</f>
        <v>70</v>
      </c>
      <c r="BV1" s="40">
        <f>ዕቁብ!BW1</f>
        <v>71</v>
      </c>
      <c r="BW1" s="40">
        <f>ዕቁብ!BX1</f>
        <v>72</v>
      </c>
      <c r="BX1" s="40">
        <f>ዕቁብ!BY1</f>
        <v>73</v>
      </c>
      <c r="BY1" s="40">
        <f>ዕቁብ!BZ1</f>
        <v>74</v>
      </c>
      <c r="BZ1" s="40">
        <f>ዕቁብ!CA1</f>
        <v>75</v>
      </c>
      <c r="CA1" s="40">
        <f>ዕቁብ!CB1</f>
        <v>76</v>
      </c>
      <c r="CB1" s="40">
        <f>ዕቁብ!CC1</f>
        <v>77</v>
      </c>
      <c r="CC1" s="40">
        <f>ዕቁብ!CD1</f>
        <v>78</v>
      </c>
      <c r="CD1" s="40">
        <f>ዕቁብ!CE1</f>
        <v>79</v>
      </c>
      <c r="CE1" s="40">
        <f>ዕቁብ!CF1</f>
        <v>80</v>
      </c>
      <c r="CF1" s="40">
        <f>ዕቁብ!CG1</f>
        <v>81</v>
      </c>
      <c r="CG1" s="40">
        <f>ዕቁብ!CH1</f>
        <v>82</v>
      </c>
      <c r="CH1" s="40">
        <f>ዕቁብ!CI1</f>
        <v>83</v>
      </c>
      <c r="CI1" s="40">
        <f>ዕቁብ!CJ1</f>
        <v>84</v>
      </c>
      <c r="CJ1" s="40">
        <f>ዕቁብ!CK1</f>
        <v>85</v>
      </c>
      <c r="CK1" s="40">
        <f>ዕቁብ!CL1</f>
        <v>86</v>
      </c>
      <c r="CL1" s="40">
        <f>ዕቁብ!CM1</f>
        <v>87</v>
      </c>
      <c r="CM1" s="40">
        <f>ዕቁብ!CN1</f>
        <v>88</v>
      </c>
      <c r="CN1" s="40">
        <f>ዕቁብ!CO1</f>
        <v>89</v>
      </c>
      <c r="CO1" s="40">
        <f>ዕቁብ!CP1</f>
        <v>90</v>
      </c>
      <c r="CP1" s="40">
        <f>ዕቁብ!CQ1</f>
        <v>91</v>
      </c>
      <c r="CQ1" s="40">
        <f>ዕቁብ!CR1</f>
        <v>92</v>
      </c>
      <c r="CR1" s="40">
        <f>ዕቁብ!CS1</f>
        <v>93</v>
      </c>
      <c r="CS1" s="40">
        <f>ዕቁብ!CT1</f>
        <v>94</v>
      </c>
      <c r="CT1" s="40">
        <f>ዕቁብ!CU1</f>
        <v>95</v>
      </c>
      <c r="CU1" s="40">
        <f>ዕቁብ!CV1</f>
        <v>96</v>
      </c>
      <c r="CV1" s="40">
        <f>ዕቁብ!CW1</f>
        <v>97</v>
      </c>
      <c r="CW1" s="40">
        <f>ዕቁብ!CX1</f>
        <v>98</v>
      </c>
      <c r="CX1" s="40">
        <f>ዕቁብ!CY1</f>
        <v>99</v>
      </c>
      <c r="CY1" s="40">
        <f>ዕቁብ!CZ1</f>
        <v>100</v>
      </c>
      <c r="CZ1" s="40">
        <f>ዕቁብ!DA1</f>
        <v>101</v>
      </c>
      <c r="DA1" s="40">
        <f>ዕቁብ!DB1</f>
        <v>102</v>
      </c>
      <c r="DB1" s="40">
        <f>ዕቁብ!DC1</f>
        <v>103</v>
      </c>
      <c r="DC1" s="40">
        <f>ዕቁብ!DD1</f>
        <v>104</v>
      </c>
      <c r="DD1" s="40">
        <f>ዕቁብ!DE1</f>
        <v>105</v>
      </c>
      <c r="DE1" s="40">
        <f>ዕቁብ!DF1</f>
        <v>106</v>
      </c>
      <c r="DF1" s="40">
        <f>ዕቁብ!DG1</f>
        <v>107</v>
      </c>
      <c r="DG1" s="40">
        <f>ዕቁብ!DH1</f>
        <v>108</v>
      </c>
      <c r="DH1" s="40">
        <f>ዕቁብ!DI1</f>
        <v>109</v>
      </c>
      <c r="DI1" s="40">
        <f>ዕቁብ!DJ1</f>
        <v>110</v>
      </c>
      <c r="DJ1" s="40">
        <f>ዕቁብ!DK1</f>
        <v>111</v>
      </c>
      <c r="DK1" s="40">
        <f>ዕቁብ!DL1</f>
        <v>112</v>
      </c>
      <c r="DL1" s="40">
        <f>ዕቁብ!DM1</f>
        <v>113</v>
      </c>
      <c r="DM1" s="40">
        <f>ዕቁብ!DN1</f>
        <v>114</v>
      </c>
      <c r="DN1" s="40">
        <f>ዕቁብ!DO1</f>
        <v>115</v>
      </c>
      <c r="DO1" s="40">
        <f>ዕቁብ!DP1</f>
        <v>116</v>
      </c>
      <c r="DP1" s="40">
        <f>ዕቁብ!DQ1</f>
        <v>117</v>
      </c>
      <c r="DQ1" s="40">
        <f>ዕቁብ!DR1</f>
        <v>118</v>
      </c>
    </row>
    <row r="2" spans="1:121" ht="14.4" x14ac:dyDescent="0.3">
      <c r="A2" s="90"/>
      <c r="B2" s="90"/>
      <c r="C2" s="41" t="str">
        <f>ዕቁብ!C1</f>
        <v>ክፍያ መጠን</v>
      </c>
      <c r="D2" s="42">
        <f>ዕቁብ!E2</f>
        <v>44871</v>
      </c>
      <c r="E2" s="42">
        <f>ዕቁብ!F2</f>
        <v>44878</v>
      </c>
      <c r="F2" s="42">
        <f>ዕቁብ!G2</f>
        <v>44885</v>
      </c>
      <c r="G2" s="42">
        <f>ዕቁብ!H2</f>
        <v>44892</v>
      </c>
      <c r="H2" s="42">
        <f>ዕቁብ!I2</f>
        <v>44899</v>
      </c>
      <c r="I2" s="42">
        <f>ዕቁብ!J2</f>
        <v>44906</v>
      </c>
      <c r="J2" s="42">
        <f>ዕቁብ!K2</f>
        <v>44913</v>
      </c>
      <c r="K2" s="42">
        <f>ዕቁብ!L2</f>
        <v>44920</v>
      </c>
      <c r="L2" s="42">
        <f>ዕቁብ!M2</f>
        <v>44927</v>
      </c>
      <c r="M2" s="42">
        <f>ዕቁብ!N2</f>
        <v>44934</v>
      </c>
      <c r="N2" s="42">
        <f>ዕቁብ!O2</f>
        <v>44941</v>
      </c>
      <c r="O2" s="42">
        <f>ዕቁብ!P2</f>
        <v>44948</v>
      </c>
      <c r="P2" s="42">
        <f>ዕቁብ!Q2</f>
        <v>44955</v>
      </c>
      <c r="Q2" s="42">
        <f>ዕቁብ!R2</f>
        <v>44962</v>
      </c>
      <c r="R2" s="42">
        <f>ዕቁብ!S2</f>
        <v>44969</v>
      </c>
      <c r="S2" s="42">
        <f>ዕቁብ!T2</f>
        <v>44976</v>
      </c>
      <c r="T2" s="42">
        <f>ዕቁብ!U2</f>
        <v>44983</v>
      </c>
      <c r="U2" s="42">
        <f>ዕቁብ!V2</f>
        <v>44990</v>
      </c>
      <c r="V2" s="42">
        <f>ዕቁብ!W2</f>
        <v>44997</v>
      </c>
      <c r="W2" s="42">
        <f>ዕቁብ!X2</f>
        <v>45004</v>
      </c>
      <c r="X2" s="42">
        <f>ዕቁብ!Y2</f>
        <v>45011</v>
      </c>
      <c r="Y2" s="42">
        <f>ዕቁብ!Z2</f>
        <v>45018</v>
      </c>
      <c r="Z2" s="42">
        <f>ዕቁብ!AA2</f>
        <v>45025</v>
      </c>
      <c r="AA2" s="42">
        <f>ዕቁብ!AB2</f>
        <v>45032</v>
      </c>
      <c r="AB2" s="42">
        <f>ዕቁብ!AC2</f>
        <v>45039</v>
      </c>
      <c r="AC2" s="42">
        <f>ዕቁብ!AD2</f>
        <v>45046</v>
      </c>
      <c r="AD2" s="42">
        <f>ዕቁብ!AE2</f>
        <v>45053</v>
      </c>
      <c r="AE2" s="42">
        <f>ዕቁብ!AF2</f>
        <v>45060</v>
      </c>
      <c r="AF2" s="42">
        <f>ዕቁብ!AG2</f>
        <v>45067</v>
      </c>
      <c r="AG2" s="42">
        <f>ዕቁብ!AH2</f>
        <v>45074</v>
      </c>
      <c r="AH2" s="42">
        <f>ዕቁብ!AI2</f>
        <v>45081</v>
      </c>
      <c r="AI2" s="42">
        <f>ዕቁብ!AJ2</f>
        <v>45088</v>
      </c>
      <c r="AJ2" s="42">
        <f>ዕቁብ!AK2</f>
        <v>45095</v>
      </c>
      <c r="AK2" s="42">
        <f>ዕቁብ!AL2</f>
        <v>45102</v>
      </c>
      <c r="AL2" s="42">
        <f>ዕቁብ!AM2</f>
        <v>45109</v>
      </c>
      <c r="AM2" s="42">
        <f>ዕቁብ!AN2</f>
        <v>45116</v>
      </c>
      <c r="AN2" s="42">
        <f>ዕቁብ!AO2</f>
        <v>45123</v>
      </c>
      <c r="AO2" s="42">
        <f>ዕቁብ!AP2</f>
        <v>45130</v>
      </c>
      <c r="AP2" s="42">
        <f>ዕቁብ!AQ2</f>
        <v>45137</v>
      </c>
      <c r="AQ2" s="42">
        <f>ዕቁብ!AR2</f>
        <v>45144</v>
      </c>
      <c r="AR2" s="42">
        <f>ዕቁብ!AS2</f>
        <v>45151</v>
      </c>
      <c r="AS2" s="42">
        <f>ዕቁብ!AT2</f>
        <v>45158</v>
      </c>
      <c r="AT2" s="42">
        <f>ዕቁብ!AU2</f>
        <v>45165</v>
      </c>
      <c r="AU2" s="42">
        <f>ዕቁብ!AV2</f>
        <v>45172</v>
      </c>
      <c r="AV2" s="42">
        <f>ዕቁብ!AW2</f>
        <v>45179</v>
      </c>
      <c r="AW2" s="42">
        <f>ዕቁብ!AX2</f>
        <v>45186</v>
      </c>
      <c r="AX2" s="42">
        <f>ዕቁብ!AY2</f>
        <v>45193</v>
      </c>
      <c r="AY2" s="42">
        <f>ዕቁብ!AZ2</f>
        <v>45200</v>
      </c>
      <c r="AZ2" s="42">
        <f>ዕቁብ!BA2</f>
        <v>45207</v>
      </c>
      <c r="BA2" s="42">
        <f>ዕቁብ!BB2</f>
        <v>45214</v>
      </c>
      <c r="BB2" s="42">
        <f>ዕቁብ!BC2</f>
        <v>45221</v>
      </c>
      <c r="BC2" s="42">
        <f>ዕቁብ!BD2</f>
        <v>45228</v>
      </c>
      <c r="BD2" s="42">
        <f>ዕቁብ!BE2</f>
        <v>45235</v>
      </c>
      <c r="BE2" s="42">
        <f>ዕቁብ!BF2</f>
        <v>45242</v>
      </c>
      <c r="BF2" s="42">
        <f>ዕቁብ!BG2</f>
        <v>45249</v>
      </c>
      <c r="BG2" s="42">
        <f>ዕቁብ!BH2</f>
        <v>45256</v>
      </c>
      <c r="BH2" s="42">
        <f>ዕቁብ!BI2</f>
        <v>45263</v>
      </c>
      <c r="BI2" s="42">
        <f>ዕቁብ!BJ2</f>
        <v>45270</v>
      </c>
      <c r="BJ2" s="42">
        <f>ዕቁብ!BK2</f>
        <v>45277</v>
      </c>
      <c r="BK2" s="42">
        <f>ዕቁብ!BL2</f>
        <v>45284</v>
      </c>
      <c r="BL2" s="42">
        <f>ዕቁብ!BM2</f>
        <v>45291</v>
      </c>
      <c r="BM2" s="42">
        <f>ዕቁብ!BN2</f>
        <v>45298</v>
      </c>
      <c r="BN2" s="42">
        <f>ዕቁብ!BO2</f>
        <v>45305</v>
      </c>
      <c r="BO2" s="42">
        <f>ዕቁብ!BP2</f>
        <v>45312</v>
      </c>
      <c r="BP2" s="42">
        <f>ዕቁብ!BQ2</f>
        <v>45319</v>
      </c>
      <c r="BQ2" s="42">
        <f>ዕቁብ!BR2</f>
        <v>45326</v>
      </c>
      <c r="BR2" s="42">
        <f>ዕቁብ!BS2</f>
        <v>45333</v>
      </c>
      <c r="BS2" s="42">
        <f>ዕቁብ!BT2</f>
        <v>45340</v>
      </c>
      <c r="BT2" s="42">
        <f>ዕቁብ!BU2</f>
        <v>45347</v>
      </c>
      <c r="BU2" s="42">
        <f>ዕቁብ!BV2</f>
        <v>45354</v>
      </c>
      <c r="BV2" s="42">
        <f>ዕቁብ!BW2</f>
        <v>45361</v>
      </c>
      <c r="BW2" s="42">
        <f>ዕቁብ!BX2</f>
        <v>45368</v>
      </c>
      <c r="BX2" s="42">
        <f>ዕቁብ!BY2</f>
        <v>45375</v>
      </c>
      <c r="BY2" s="42">
        <f>ዕቁብ!BZ2</f>
        <v>45382</v>
      </c>
      <c r="BZ2" s="42">
        <f>ዕቁብ!CA2</f>
        <v>45389</v>
      </c>
      <c r="CA2" s="42">
        <f>ዕቁብ!CB2</f>
        <v>45396</v>
      </c>
      <c r="CB2" s="42">
        <f>ዕቁብ!CC2</f>
        <v>45403</v>
      </c>
      <c r="CC2" s="42">
        <f>ዕቁብ!CD2</f>
        <v>45410</v>
      </c>
      <c r="CD2" s="42">
        <f>ዕቁብ!CE2</f>
        <v>45417</v>
      </c>
      <c r="CE2" s="42">
        <f>ዕቁብ!CF2</f>
        <v>45424</v>
      </c>
      <c r="CF2" s="42">
        <f>ዕቁብ!CG2</f>
        <v>45431</v>
      </c>
      <c r="CG2" s="42">
        <f>ዕቁብ!CH2</f>
        <v>45438</v>
      </c>
      <c r="CH2" s="42">
        <f>ዕቁብ!CI2</f>
        <v>45445</v>
      </c>
      <c r="CI2" s="42">
        <f>ዕቁብ!CJ2</f>
        <v>45452</v>
      </c>
      <c r="CJ2" s="42">
        <f>ዕቁብ!CK2</f>
        <v>45459</v>
      </c>
      <c r="CK2" s="42">
        <f>ዕቁብ!CL2</f>
        <v>45466</v>
      </c>
      <c r="CL2" s="42">
        <f>ዕቁብ!CM2</f>
        <v>45473</v>
      </c>
      <c r="CM2" s="42">
        <f>ዕቁብ!CN2</f>
        <v>45480</v>
      </c>
      <c r="CN2" s="42">
        <f>ዕቁብ!CO2</f>
        <v>45487</v>
      </c>
      <c r="CO2" s="42">
        <f>ዕቁብ!CP2</f>
        <v>45494</v>
      </c>
      <c r="CP2" s="42">
        <f>ዕቁብ!CQ2</f>
        <v>45501</v>
      </c>
      <c r="CQ2" s="42">
        <f>ዕቁብ!CR2</f>
        <v>45508</v>
      </c>
      <c r="CR2" s="42">
        <f>ዕቁብ!CS2</f>
        <v>45515</v>
      </c>
      <c r="CS2" s="42">
        <f>ዕቁብ!CT2</f>
        <v>45522</v>
      </c>
      <c r="CT2" s="42">
        <f>ዕቁብ!CU2</f>
        <v>45529</v>
      </c>
      <c r="CU2" s="42">
        <f>ዕቁብ!CV2</f>
        <v>45536</v>
      </c>
      <c r="CV2" s="42">
        <f>ዕቁብ!CW2</f>
        <v>45543</v>
      </c>
      <c r="CW2" s="42">
        <f>ዕቁብ!CX2</f>
        <v>45550</v>
      </c>
      <c r="CX2" s="42">
        <f>ዕቁብ!CY2</f>
        <v>45557</v>
      </c>
      <c r="CY2" s="42">
        <f>ዕቁብ!CZ2</f>
        <v>45564</v>
      </c>
      <c r="CZ2" s="42">
        <f>ዕቁብ!DA2</f>
        <v>45571</v>
      </c>
      <c r="DA2" s="42">
        <f>ዕቁብ!DB2</f>
        <v>45578</v>
      </c>
      <c r="DB2" s="42">
        <f>ዕቁብ!DC2</f>
        <v>45585</v>
      </c>
      <c r="DC2" s="42">
        <f>ዕቁብ!DD2</f>
        <v>45592</v>
      </c>
      <c r="DD2" s="42">
        <f>ዕቁብ!DE2</f>
        <v>45599</v>
      </c>
      <c r="DE2" s="42">
        <f>ዕቁብ!DF2</f>
        <v>45606</v>
      </c>
      <c r="DF2" s="42">
        <f>ዕቁብ!DG2</f>
        <v>45613</v>
      </c>
      <c r="DG2" s="42">
        <f>ዕቁብ!DH2</f>
        <v>45620</v>
      </c>
      <c r="DH2" s="42">
        <f>ዕቁብ!DI2</f>
        <v>45627</v>
      </c>
      <c r="DI2" s="42">
        <f>ዕቁብ!DJ2</f>
        <v>45634</v>
      </c>
      <c r="DJ2" s="42">
        <f>ዕቁብ!DK2</f>
        <v>45641</v>
      </c>
      <c r="DK2" s="42">
        <f>ዕቁብ!DL2</f>
        <v>45648</v>
      </c>
      <c r="DL2" s="42">
        <f>ዕቁብ!DM2</f>
        <v>45655</v>
      </c>
      <c r="DM2" s="42">
        <f>ዕቁብ!DN2</f>
        <v>45662</v>
      </c>
      <c r="DN2" s="42">
        <f>ዕቁብ!DO2</f>
        <v>45669</v>
      </c>
      <c r="DO2" s="42">
        <f>ዕቁብ!DP2</f>
        <v>45676</v>
      </c>
      <c r="DP2" s="42">
        <f>ዕቁብ!DQ2</f>
        <v>45683</v>
      </c>
      <c r="DQ2" s="42">
        <f>ዕቁብ!DR2</f>
        <v>45690</v>
      </c>
    </row>
    <row r="3" spans="1:121" ht="14.4" x14ac:dyDescent="0.3">
      <c r="A3" s="40">
        <f>ዕቁብ!A6</f>
        <v>1</v>
      </c>
      <c r="B3" s="40" t="str">
        <f>ዕቁብ!B6</f>
        <v>መስፍን ሀ/ማሪያም</v>
      </c>
      <c r="C3" s="30">
        <f>ዕቁብ!C6</f>
        <v>21000</v>
      </c>
      <c r="D3" s="43">
        <f>ዕቁብ!E6/Sheet4!$C3</f>
        <v>1</v>
      </c>
      <c r="E3" s="43">
        <f>ዕቁብ!F6/Sheet4!$C3</f>
        <v>1</v>
      </c>
      <c r="F3" s="43">
        <f>ዕቁብ!G6/Sheet4!$C3</f>
        <v>1</v>
      </c>
      <c r="G3" s="43">
        <f>ዕቁብ!H6/Sheet4!$C3</f>
        <v>1</v>
      </c>
      <c r="H3" s="43">
        <f>ዕቁብ!I6/Sheet4!$C3</f>
        <v>1</v>
      </c>
      <c r="I3" s="43">
        <f>ዕቁብ!J6/Sheet4!$C3</f>
        <v>1</v>
      </c>
      <c r="J3" s="43">
        <f>ዕቁብ!K6/Sheet4!$C3</f>
        <v>1</v>
      </c>
      <c r="K3" s="43">
        <f>ዕቁብ!L6/Sheet4!$C3</f>
        <v>1</v>
      </c>
      <c r="L3" s="43">
        <f>ዕቁብ!M6/Sheet4!$C3</f>
        <v>1</v>
      </c>
      <c r="M3" s="43">
        <f>ዕቁብ!N6/Sheet4!$C3</f>
        <v>1</v>
      </c>
      <c r="N3" s="43">
        <f>ዕቁብ!O6/Sheet4!$C3</f>
        <v>1</v>
      </c>
      <c r="O3" s="43">
        <f>ዕቁብ!P6/Sheet4!$C3</f>
        <v>1</v>
      </c>
      <c r="P3" s="43">
        <f>ዕቁብ!Q6/Sheet4!$C3</f>
        <v>1</v>
      </c>
      <c r="Q3" s="43">
        <f>ዕቁብ!R6/Sheet4!$C3</f>
        <v>1</v>
      </c>
      <c r="R3" s="43">
        <f>ዕቁብ!S6/Sheet4!$C3</f>
        <v>1</v>
      </c>
      <c r="S3" s="43">
        <f>ዕቁብ!T6/Sheet4!$C3</f>
        <v>1</v>
      </c>
      <c r="T3" s="43">
        <f>ዕቁብ!U6/Sheet4!$C3</f>
        <v>1</v>
      </c>
      <c r="U3" s="43">
        <f>ዕቁብ!V6/Sheet4!$C3</f>
        <v>1</v>
      </c>
      <c r="V3" s="43">
        <f>ዕቁብ!W6/Sheet4!$C3</f>
        <v>1</v>
      </c>
      <c r="W3" s="43">
        <f>ዕቁብ!X6/Sheet4!$C3</f>
        <v>0</v>
      </c>
      <c r="X3" s="43">
        <f>ዕቁብ!Y6/Sheet4!$C3</f>
        <v>1</v>
      </c>
      <c r="Y3" s="43">
        <f>ዕቁብ!Z6/Sheet4!$C3</f>
        <v>2</v>
      </c>
      <c r="Z3" s="43">
        <f>ዕቁብ!AA6/Sheet4!$C3</f>
        <v>1</v>
      </c>
      <c r="AA3" s="43">
        <f>ዕቁብ!AB6/Sheet4!$C3</f>
        <v>1</v>
      </c>
      <c r="AB3" s="43">
        <f>ዕቁብ!AC6/Sheet4!$C3</f>
        <v>1</v>
      </c>
      <c r="AC3" s="43">
        <f>ዕቁብ!AD6/Sheet4!$C3</f>
        <v>1</v>
      </c>
      <c r="AD3" s="43">
        <f>ዕቁብ!AE6/Sheet4!$C3</f>
        <v>1</v>
      </c>
      <c r="AE3" s="43">
        <f>ዕቁብ!AF6/Sheet4!$C3</f>
        <v>1</v>
      </c>
      <c r="AF3" s="43">
        <f>ዕቁብ!AG6/Sheet4!$C3</f>
        <v>1</v>
      </c>
      <c r="AG3" s="43">
        <f>ዕቁብ!AH6/Sheet4!$C3</f>
        <v>1</v>
      </c>
      <c r="AH3" s="43">
        <f>ዕቁብ!AI6/Sheet4!$C3</f>
        <v>0</v>
      </c>
      <c r="AI3" s="43">
        <f>ዕቁብ!AJ6/Sheet4!$C3</f>
        <v>2</v>
      </c>
      <c r="AJ3" s="43">
        <f>ዕቁብ!AK6/Sheet4!$C3</f>
        <v>0</v>
      </c>
      <c r="AK3" s="43">
        <f>ዕቁብ!AL6/Sheet4!$C3</f>
        <v>2</v>
      </c>
      <c r="AL3" s="43">
        <f>ዕቁብ!AM6/Sheet4!$C3</f>
        <v>1</v>
      </c>
      <c r="AM3" s="43">
        <f>ዕቁብ!AN6/Sheet4!$C3</f>
        <v>1</v>
      </c>
      <c r="AN3" s="43">
        <f>ዕቁብ!AO6/Sheet4!$C3</f>
        <v>1</v>
      </c>
      <c r="AO3" s="43">
        <f>ዕቁብ!AP6/Sheet4!$C3</f>
        <v>1</v>
      </c>
      <c r="AP3" s="43">
        <f>ዕቁብ!AQ6/Sheet4!$C3</f>
        <v>1</v>
      </c>
      <c r="AQ3" s="43">
        <f>ዕቁብ!AR6/Sheet4!$C3</f>
        <v>0</v>
      </c>
      <c r="AR3" s="43">
        <f>ዕቁብ!AS6/Sheet4!$C3</f>
        <v>0</v>
      </c>
      <c r="AS3" s="43">
        <f>ዕቁብ!AT6/Sheet4!$C3</f>
        <v>0</v>
      </c>
      <c r="AT3" s="43">
        <f>ዕቁብ!AU6/Sheet4!$C3</f>
        <v>4</v>
      </c>
      <c r="AU3" s="43">
        <f>ዕቁብ!AV6/Sheet4!$C3</f>
        <v>1</v>
      </c>
      <c r="AV3" s="43">
        <f>ዕቁብ!AW6/Sheet4!$C3</f>
        <v>1</v>
      </c>
      <c r="AW3" s="43">
        <f>ዕቁብ!AX6/Sheet4!$C3</f>
        <v>1</v>
      </c>
      <c r="AX3" s="43">
        <f>ዕቁብ!AY6/Sheet4!$C3</f>
        <v>0</v>
      </c>
      <c r="AY3" s="43">
        <f>ዕቁብ!AZ6/Sheet4!$C3</f>
        <v>1</v>
      </c>
      <c r="AZ3" s="43">
        <f>ዕቁብ!BA6/Sheet4!$C3</f>
        <v>1</v>
      </c>
      <c r="BA3" s="43">
        <f>ዕቁብ!BB6/Sheet4!$C3</f>
        <v>0</v>
      </c>
      <c r="BB3" s="43">
        <f>ዕቁብ!BC6/Sheet4!$C3</f>
        <v>2</v>
      </c>
      <c r="BC3" s="43">
        <f>ዕቁብ!BD6/Sheet4!$C3</f>
        <v>1</v>
      </c>
      <c r="BD3" s="43">
        <f>ዕቁብ!BE6/Sheet4!$C3</f>
        <v>2</v>
      </c>
      <c r="BE3" s="43">
        <f>ዕቁብ!BF6/Sheet4!$C3</f>
        <v>1</v>
      </c>
      <c r="BF3" s="43">
        <f>ዕቁብ!BG6/Sheet4!$C3</f>
        <v>0</v>
      </c>
      <c r="BG3" s="43">
        <f>ዕቁብ!BH6/Sheet4!$C3</f>
        <v>1</v>
      </c>
      <c r="BH3" s="43">
        <f>ዕቁብ!BI6/Sheet4!$C3</f>
        <v>2</v>
      </c>
      <c r="BI3" s="43">
        <f>ዕቁብ!BJ6/Sheet4!$C3</f>
        <v>0</v>
      </c>
      <c r="BJ3" s="43">
        <f>ዕቁብ!BK6/Sheet4!$C3</f>
        <v>2</v>
      </c>
      <c r="BK3" s="43">
        <f>ዕቁብ!BL6/Sheet4!$C3</f>
        <v>0</v>
      </c>
      <c r="BL3" s="43">
        <f>ዕቁብ!BM6/Sheet4!$C3</f>
        <v>0</v>
      </c>
      <c r="BM3" s="43">
        <f>ዕቁብ!BN6/Sheet4!$C3</f>
        <v>0</v>
      </c>
      <c r="BN3" s="43">
        <f>ዕቁብ!BO6/Sheet4!$C3</f>
        <v>4</v>
      </c>
      <c r="BO3" s="43">
        <f>ዕቁብ!BP6/Sheet4!$C3</f>
        <v>0</v>
      </c>
      <c r="BP3" s="43">
        <f>ዕቁብ!BQ6/Sheet4!$C3</f>
        <v>0</v>
      </c>
      <c r="BQ3" s="43">
        <f>ዕቁብ!BR6/Sheet4!$C3</f>
        <v>3</v>
      </c>
      <c r="BR3" s="43">
        <f>ዕቁብ!BS6/Sheet4!$C3</f>
        <v>0</v>
      </c>
      <c r="BS3" s="43">
        <f>ዕቁብ!BT6/Sheet4!$C3</f>
        <v>2</v>
      </c>
      <c r="BT3" s="43">
        <f>ዕቁብ!BU6/Sheet4!$C3</f>
        <v>1</v>
      </c>
      <c r="BU3" s="43">
        <f>ዕቁብ!BV6/Sheet4!$C3</f>
        <v>0</v>
      </c>
      <c r="BV3" s="43">
        <f>ዕቁብ!BW6/Sheet4!$C3</f>
        <v>2</v>
      </c>
      <c r="BW3" s="43">
        <f>ዕቁብ!BX6/Sheet4!$C3</f>
        <v>0</v>
      </c>
      <c r="BX3" s="43">
        <f>ዕቁብ!BY6/Sheet4!$C3</f>
        <v>0</v>
      </c>
      <c r="BY3" s="43">
        <f>ዕቁብ!BZ6/Sheet4!$C3</f>
        <v>2</v>
      </c>
      <c r="BZ3" s="43">
        <f>ዕቁብ!CA6/Sheet4!$C3</f>
        <v>1</v>
      </c>
      <c r="CA3" s="43">
        <f>ዕቁብ!CB6/Sheet4!$C3</f>
        <v>0</v>
      </c>
      <c r="CB3" s="43">
        <f>ዕቁብ!CC6/Sheet4!$C3</f>
        <v>0</v>
      </c>
      <c r="CC3" s="43">
        <f>ዕቁብ!CD6/Sheet4!$C3</f>
        <v>0</v>
      </c>
      <c r="CD3" s="43">
        <f>ዕቁብ!CE6/Sheet4!$C3</f>
        <v>0</v>
      </c>
      <c r="CE3" s="43">
        <f>ዕቁብ!CF6/Sheet4!$C3</f>
        <v>0</v>
      </c>
      <c r="CF3" s="43">
        <f>ዕቁብ!CG6/Sheet4!$C3</f>
        <v>2</v>
      </c>
      <c r="CG3" s="43">
        <f>ዕቁብ!CH6/Sheet4!$C3</f>
        <v>0</v>
      </c>
      <c r="CH3" s="43">
        <f>ዕቁብ!CI6/Sheet4!$C3</f>
        <v>4</v>
      </c>
      <c r="CI3" s="43">
        <f>ዕቁብ!CJ6/Sheet4!$C3</f>
        <v>0</v>
      </c>
      <c r="CJ3" s="43">
        <f>ዕቁብ!CK6/Sheet4!$C3</f>
        <v>5</v>
      </c>
      <c r="CK3" s="43">
        <f>ዕቁብ!CL6/Sheet4!$C3</f>
        <v>1</v>
      </c>
      <c r="CL3" s="43">
        <f>ዕቁብ!CM6/Sheet4!$C3</f>
        <v>1</v>
      </c>
      <c r="CM3" s="43">
        <f>ዕቁብ!CN6/Sheet4!$C3</f>
        <v>1</v>
      </c>
      <c r="CN3" s="43">
        <f>ዕቁብ!CO6/Sheet4!$C3</f>
        <v>0</v>
      </c>
      <c r="CO3" s="43">
        <f>ዕቁብ!CP6/Sheet4!$C3</f>
        <v>0</v>
      </c>
      <c r="CP3" s="43">
        <f>ዕቁብ!CQ6/Sheet4!$C3</f>
        <v>1</v>
      </c>
      <c r="CQ3" s="43">
        <f>ዕቁብ!CR6/Sheet4!$C3</f>
        <v>2</v>
      </c>
      <c r="CR3" s="43">
        <f>ዕቁብ!CS6/Sheet4!$C3</f>
        <v>2</v>
      </c>
      <c r="CS3" s="43">
        <f>ዕቁብ!CT6/Sheet4!$C3</f>
        <v>1</v>
      </c>
      <c r="CT3" s="43">
        <f>ዕቁብ!CU6/Sheet4!$C3</f>
        <v>0</v>
      </c>
      <c r="CU3" s="43">
        <f>ዕቁብ!CV6/Sheet4!$C3</f>
        <v>0</v>
      </c>
      <c r="CV3" s="43">
        <f>ዕቁብ!CW6/Sheet4!$C3</f>
        <v>1</v>
      </c>
      <c r="CW3" s="43">
        <f>ዕቁብ!CX6/Sheet4!$C3</f>
        <v>1</v>
      </c>
      <c r="CX3" s="43">
        <f>ዕቁብ!CY6/Sheet4!$C3</f>
        <v>2</v>
      </c>
      <c r="CY3" s="43">
        <f>ዕቁብ!CZ6/Sheet4!$C3</f>
        <v>0</v>
      </c>
      <c r="CZ3" s="43">
        <f>ዕቁብ!DA6/Sheet4!$C3</f>
        <v>0</v>
      </c>
      <c r="DA3" s="43">
        <f>ዕቁብ!DB6/Sheet4!$C3</f>
        <v>0</v>
      </c>
      <c r="DB3" s="43">
        <f>ዕቁብ!DC6/Sheet4!$C3</f>
        <v>1</v>
      </c>
      <c r="DC3" s="43">
        <f>ዕቁብ!DD6/Sheet4!$C3</f>
        <v>2</v>
      </c>
      <c r="DD3" s="43">
        <f>ዕቁብ!DE6/Sheet4!$C3</f>
        <v>1</v>
      </c>
      <c r="DE3" s="43">
        <f>ዕቁብ!DF6/Sheet4!$C3</f>
        <v>1</v>
      </c>
      <c r="DF3" s="43">
        <f>ዕቁብ!DG6/Sheet4!$C3</f>
        <v>0</v>
      </c>
      <c r="DG3" s="43">
        <f>ዕቁብ!DH6/Sheet4!$C3</f>
        <v>0</v>
      </c>
      <c r="DH3" s="43">
        <f>ዕቁብ!DI6/Sheet4!$C3</f>
        <v>0</v>
      </c>
      <c r="DI3" s="43">
        <f>ዕቁብ!DJ6/Sheet4!$C3</f>
        <v>0</v>
      </c>
      <c r="DJ3" s="43">
        <f>ዕቁብ!DK6/Sheet4!$C3</f>
        <v>0</v>
      </c>
      <c r="DK3" s="43">
        <f>ዕቁብ!DL6/Sheet4!$C3</f>
        <v>0</v>
      </c>
      <c r="DL3" s="43">
        <f>ዕቁብ!DM6/Sheet4!$C3</f>
        <v>0</v>
      </c>
      <c r="DM3" s="43">
        <f>ዕቁብ!DN6/Sheet4!$C3</f>
        <v>0</v>
      </c>
      <c r="DN3" s="43">
        <f>ዕቁብ!DO6/Sheet4!$C3</f>
        <v>0</v>
      </c>
      <c r="DO3" s="43">
        <f>ዕቁብ!DP6/Sheet4!$C3</f>
        <v>0</v>
      </c>
      <c r="DP3" s="43">
        <f>ዕቁብ!DQ6/Sheet4!$C3</f>
        <v>0</v>
      </c>
      <c r="DQ3" s="43">
        <f>ዕቁብ!DR6/Sheet4!$C3</f>
        <v>0</v>
      </c>
    </row>
    <row r="4" spans="1:121" ht="14.4" x14ac:dyDescent="0.3">
      <c r="A4" s="40">
        <f>ዕቁብ!A7</f>
        <v>2</v>
      </c>
      <c r="B4" s="40" t="str">
        <f>ዕቁብ!B7</f>
        <v>ዓማኑኤል አላሮ</v>
      </c>
      <c r="C4" s="30">
        <f>ዕቁብ!C7</f>
        <v>21000</v>
      </c>
      <c r="D4" s="43">
        <f>ዕቁብ!E7/Sheet4!$C4</f>
        <v>1</v>
      </c>
      <c r="E4" s="43">
        <f>ዕቁብ!F7/Sheet4!$C4</f>
        <v>1</v>
      </c>
      <c r="F4" s="43">
        <f>ዕቁብ!G7/Sheet4!$C4</f>
        <v>1</v>
      </c>
      <c r="G4" s="43">
        <f>ዕቁብ!H7/Sheet4!$C4</f>
        <v>1</v>
      </c>
      <c r="H4" s="43">
        <f>ዕቁብ!I7/Sheet4!$C4</f>
        <v>1</v>
      </c>
      <c r="I4" s="43">
        <f>ዕቁብ!J7/Sheet4!$C4</f>
        <v>1</v>
      </c>
      <c r="J4" s="43">
        <f>ዕቁብ!K7/Sheet4!$C4</f>
        <v>1</v>
      </c>
      <c r="K4" s="43">
        <f>ዕቁብ!L7/Sheet4!$C4</f>
        <v>1</v>
      </c>
      <c r="L4" s="43">
        <f>ዕቁብ!M7/Sheet4!$C4</f>
        <v>1</v>
      </c>
      <c r="M4" s="43">
        <f>ዕቁብ!N7/Sheet4!$C4</f>
        <v>1</v>
      </c>
      <c r="N4" s="43">
        <f>ዕቁብ!O7/Sheet4!$C4</f>
        <v>1</v>
      </c>
      <c r="O4" s="43">
        <f>ዕቁብ!P7/Sheet4!$C4</f>
        <v>1</v>
      </c>
      <c r="P4" s="43">
        <f>ዕቁብ!Q7/Sheet4!$C4</f>
        <v>1</v>
      </c>
      <c r="Q4" s="43">
        <f>ዕቁብ!R7/Sheet4!$C4</f>
        <v>1</v>
      </c>
      <c r="R4" s="43">
        <f>ዕቁብ!S7/Sheet4!$C4</f>
        <v>1</v>
      </c>
      <c r="S4" s="43">
        <f>ዕቁብ!T7/Sheet4!$C4</f>
        <v>1</v>
      </c>
      <c r="T4" s="43">
        <f>ዕቁብ!U7/Sheet4!$C4</f>
        <v>1</v>
      </c>
      <c r="U4" s="43">
        <f>ዕቁብ!V7/Sheet4!$C4</f>
        <v>1</v>
      </c>
      <c r="V4" s="43">
        <f>ዕቁብ!W7/Sheet4!$C4</f>
        <v>1</v>
      </c>
      <c r="W4" s="43">
        <f>ዕቁብ!X7/Sheet4!$C4</f>
        <v>1</v>
      </c>
      <c r="X4" s="43">
        <f>ዕቁብ!Y7/Sheet4!$C4</f>
        <v>1</v>
      </c>
      <c r="Y4" s="43">
        <f>ዕቁብ!Z7/Sheet4!$C4</f>
        <v>1</v>
      </c>
      <c r="Z4" s="43">
        <f>ዕቁብ!AA7/Sheet4!$C4</f>
        <v>1</v>
      </c>
      <c r="AA4" s="43">
        <f>ዕቁብ!AB7/Sheet4!$C4</f>
        <v>1</v>
      </c>
      <c r="AB4" s="43">
        <f>ዕቁብ!AC7/Sheet4!$C4</f>
        <v>1</v>
      </c>
      <c r="AC4" s="43">
        <f>ዕቁብ!AD7/Sheet4!$C4</f>
        <v>1</v>
      </c>
      <c r="AD4" s="43">
        <f>ዕቁብ!AE7/Sheet4!$C4</f>
        <v>1</v>
      </c>
      <c r="AE4" s="43">
        <f>ዕቁብ!AF7/Sheet4!$C4</f>
        <v>1</v>
      </c>
      <c r="AF4" s="43">
        <f>ዕቁብ!AG7/Sheet4!$C4</f>
        <v>1</v>
      </c>
      <c r="AG4" s="43">
        <f>ዕቁብ!AH7/Sheet4!$C4</f>
        <v>1</v>
      </c>
      <c r="AH4" s="43">
        <f>ዕቁብ!AI7/Sheet4!$C4</f>
        <v>1</v>
      </c>
      <c r="AI4" s="43">
        <f>ዕቁብ!AJ7/Sheet4!$C4</f>
        <v>1</v>
      </c>
      <c r="AJ4" s="43">
        <f>ዕቁብ!AK7/Sheet4!$C4</f>
        <v>1</v>
      </c>
      <c r="AK4" s="43">
        <f>ዕቁብ!AL7/Sheet4!$C4</f>
        <v>1</v>
      </c>
      <c r="AL4" s="43">
        <f>ዕቁብ!AM7/Sheet4!$C4</f>
        <v>1</v>
      </c>
      <c r="AM4" s="43">
        <f>ዕቁብ!AN7/Sheet4!$C4</f>
        <v>1</v>
      </c>
      <c r="AN4" s="43">
        <f>ዕቁብ!AO7/Sheet4!$C4</f>
        <v>1</v>
      </c>
      <c r="AO4" s="43">
        <f>ዕቁብ!AP7/Sheet4!$C4</f>
        <v>1</v>
      </c>
      <c r="AP4" s="43">
        <f>ዕቁብ!AQ7/Sheet4!$C4</f>
        <v>1</v>
      </c>
      <c r="AQ4" s="43">
        <f>ዕቁብ!AR7/Sheet4!$C4</f>
        <v>1</v>
      </c>
      <c r="AR4" s="43">
        <f>ዕቁብ!AS7/Sheet4!$C4</f>
        <v>1</v>
      </c>
      <c r="AS4" s="43">
        <f>ዕቁብ!AT7/Sheet4!$C4</f>
        <v>1</v>
      </c>
      <c r="AT4" s="43">
        <f>ዕቁብ!AU7/Sheet4!$C4</f>
        <v>1</v>
      </c>
      <c r="AU4" s="43">
        <f>ዕቁብ!AV7/Sheet4!$C4</f>
        <v>1</v>
      </c>
      <c r="AV4" s="43">
        <f>ዕቁብ!AW7/Sheet4!$C4</f>
        <v>1</v>
      </c>
      <c r="AW4" s="43">
        <f>ዕቁብ!AX7/Sheet4!$C4</f>
        <v>1</v>
      </c>
      <c r="AX4" s="43">
        <f>ዕቁብ!AY7/Sheet4!$C4</f>
        <v>1</v>
      </c>
      <c r="AY4" s="43">
        <f>ዕቁብ!AZ7/Sheet4!$C4</f>
        <v>1</v>
      </c>
      <c r="AZ4" s="43">
        <f>ዕቁብ!BA7/Sheet4!$C4</f>
        <v>1</v>
      </c>
      <c r="BA4" s="43">
        <f>ዕቁብ!BB7/Sheet4!$C4</f>
        <v>1</v>
      </c>
      <c r="BB4" s="43">
        <f>ዕቁብ!BC7/Sheet4!$C4</f>
        <v>1</v>
      </c>
      <c r="BC4" s="43">
        <f>ዕቁብ!BD7/Sheet4!$C4</f>
        <v>1</v>
      </c>
      <c r="BD4" s="43">
        <f>ዕቁብ!BE7/Sheet4!$C4</f>
        <v>1</v>
      </c>
      <c r="BE4" s="43">
        <f>ዕቁብ!BF7/Sheet4!$C4</f>
        <v>1</v>
      </c>
      <c r="BF4" s="43">
        <f>ዕቁብ!BG7/Sheet4!$C4</f>
        <v>1</v>
      </c>
      <c r="BG4" s="43">
        <f>ዕቁብ!BH7/Sheet4!$C4</f>
        <v>1</v>
      </c>
      <c r="BH4" s="43">
        <f>ዕቁብ!BI7/Sheet4!$C4</f>
        <v>1</v>
      </c>
      <c r="BI4" s="43">
        <f>ዕቁብ!BJ7/Sheet4!$C4</f>
        <v>1</v>
      </c>
      <c r="BJ4" s="43">
        <f>ዕቁብ!BK7/Sheet4!$C4</f>
        <v>1</v>
      </c>
      <c r="BK4" s="43">
        <f>ዕቁብ!BL7/Sheet4!$C4</f>
        <v>1</v>
      </c>
      <c r="BL4" s="43">
        <f>ዕቁብ!BM7/Sheet4!$C4</f>
        <v>1</v>
      </c>
      <c r="BM4" s="43">
        <f>ዕቁብ!BN7/Sheet4!$C4</f>
        <v>1</v>
      </c>
      <c r="BN4" s="43">
        <f>ዕቁብ!BO7/Sheet4!$C4</f>
        <v>1</v>
      </c>
      <c r="BO4" s="43">
        <f>ዕቁብ!BP7/Sheet4!$C4</f>
        <v>1</v>
      </c>
      <c r="BP4" s="43">
        <f>ዕቁብ!BQ7/Sheet4!$C4</f>
        <v>1</v>
      </c>
      <c r="BQ4" s="43">
        <f>ዕቁብ!BR7/Sheet4!$C4</f>
        <v>1</v>
      </c>
      <c r="BR4" s="43">
        <f>ዕቁብ!BS7/Sheet4!$C4</f>
        <v>1</v>
      </c>
      <c r="BS4" s="43">
        <f>ዕቁብ!BT7/Sheet4!$C4</f>
        <v>1</v>
      </c>
      <c r="BT4" s="43">
        <f>ዕቁብ!BU7/Sheet4!$C4</f>
        <v>1</v>
      </c>
      <c r="BU4" s="43">
        <f>ዕቁብ!BV7/Sheet4!$C4</f>
        <v>1</v>
      </c>
      <c r="BV4" s="43">
        <f>ዕቁብ!BW7/Sheet4!$C4</f>
        <v>1</v>
      </c>
      <c r="BW4" s="43">
        <f>ዕቁብ!BX7/Sheet4!$C4</f>
        <v>1</v>
      </c>
      <c r="BX4" s="43">
        <f>ዕቁብ!BY7/Sheet4!$C4</f>
        <v>1</v>
      </c>
      <c r="BY4" s="43">
        <f>ዕቁብ!BZ7/Sheet4!$C4</f>
        <v>1</v>
      </c>
      <c r="BZ4" s="43">
        <f>ዕቁብ!CA7/Sheet4!$C4</f>
        <v>1</v>
      </c>
      <c r="CA4" s="43">
        <f>ዕቁብ!CB7/Sheet4!$C4</f>
        <v>1</v>
      </c>
      <c r="CB4" s="43">
        <f>ዕቁብ!CC7/Sheet4!$C4</f>
        <v>1</v>
      </c>
      <c r="CC4" s="43">
        <f>ዕቁብ!CD7/Sheet4!$C4</f>
        <v>1</v>
      </c>
      <c r="CD4" s="43">
        <f>ዕቁብ!CE7/Sheet4!$C4</f>
        <v>1</v>
      </c>
      <c r="CE4" s="43">
        <f>ዕቁብ!CF7/Sheet4!$C4</f>
        <v>1</v>
      </c>
      <c r="CF4" s="43">
        <f>ዕቁብ!CG7/Sheet4!$C4</f>
        <v>1</v>
      </c>
      <c r="CG4" s="43">
        <f>ዕቁብ!CH7/Sheet4!$C4</f>
        <v>1</v>
      </c>
      <c r="CH4" s="43">
        <f>ዕቁብ!CI7/Sheet4!$C4</f>
        <v>1</v>
      </c>
      <c r="CI4" s="43">
        <f>ዕቁብ!CJ7/Sheet4!$C4</f>
        <v>1</v>
      </c>
      <c r="CJ4" s="43">
        <f>ዕቁብ!CK7/Sheet4!$C4</f>
        <v>1</v>
      </c>
      <c r="CK4" s="43">
        <f>ዕቁብ!CL7/Sheet4!$C4</f>
        <v>1</v>
      </c>
      <c r="CL4" s="43">
        <f>ዕቁብ!CM7/Sheet4!$C4</f>
        <v>1</v>
      </c>
      <c r="CM4" s="43">
        <f>ዕቁብ!CN7/Sheet4!$C4</f>
        <v>1</v>
      </c>
      <c r="CN4" s="43">
        <f>ዕቁብ!CO7/Sheet4!$C4</f>
        <v>1</v>
      </c>
      <c r="CO4" s="43">
        <f>ዕቁብ!CP7/Sheet4!$C4</f>
        <v>1</v>
      </c>
      <c r="CP4" s="43">
        <f>ዕቁብ!CQ7/Sheet4!$C4</f>
        <v>1</v>
      </c>
      <c r="CQ4" s="43">
        <f>ዕቁብ!CR7/Sheet4!$C4</f>
        <v>1</v>
      </c>
      <c r="CR4" s="43">
        <f>ዕቁብ!CS7/Sheet4!$C4</f>
        <v>1</v>
      </c>
      <c r="CS4" s="43">
        <f>ዕቁብ!CT7/Sheet4!$C4</f>
        <v>1</v>
      </c>
      <c r="CT4" s="43">
        <f>ዕቁብ!CU7/Sheet4!$C4</f>
        <v>1</v>
      </c>
      <c r="CU4" s="43">
        <f>ዕቁብ!CV7/Sheet4!$C4</f>
        <v>1</v>
      </c>
      <c r="CV4" s="43">
        <f>ዕቁብ!CW7/Sheet4!$C4</f>
        <v>1</v>
      </c>
      <c r="CW4" s="43">
        <f>ዕቁብ!CX7/Sheet4!$C4</f>
        <v>1</v>
      </c>
      <c r="CX4" s="43">
        <f>ዕቁብ!CY7/Sheet4!$C4</f>
        <v>1</v>
      </c>
      <c r="CY4" s="43">
        <f>ዕቁብ!CZ7/Sheet4!$C4</f>
        <v>1</v>
      </c>
      <c r="CZ4" s="43">
        <f>ዕቁብ!DA7/Sheet4!$C4</f>
        <v>1</v>
      </c>
      <c r="DA4" s="43">
        <f>ዕቁብ!DB7/Sheet4!$C4</f>
        <v>1</v>
      </c>
      <c r="DB4" s="43">
        <f>ዕቁብ!DC7/Sheet4!$C4</f>
        <v>1</v>
      </c>
      <c r="DC4" s="43">
        <f>ዕቁብ!DD7/Sheet4!$C4</f>
        <v>1</v>
      </c>
      <c r="DD4" s="43">
        <f>ዕቁብ!DE7/Sheet4!$C4</f>
        <v>1</v>
      </c>
      <c r="DE4" s="43">
        <f>ዕቁብ!DF7/Sheet4!$C4</f>
        <v>1</v>
      </c>
      <c r="DF4" s="43">
        <f>ዕቁብ!DG7/Sheet4!$C4</f>
        <v>1</v>
      </c>
      <c r="DG4" s="43">
        <f>ዕቁብ!DH7/Sheet4!$C4</f>
        <v>1</v>
      </c>
      <c r="DH4" s="43">
        <f>ዕቁብ!DI7/Sheet4!$C4</f>
        <v>0</v>
      </c>
      <c r="DI4" s="43">
        <f>ዕቁብ!DJ7/Sheet4!$C4</f>
        <v>0</v>
      </c>
      <c r="DJ4" s="43">
        <f>ዕቁብ!DK7/Sheet4!$C4</f>
        <v>0</v>
      </c>
      <c r="DK4" s="43">
        <f>ዕቁብ!DL7/Sheet4!$C4</f>
        <v>0</v>
      </c>
      <c r="DL4" s="43">
        <f>ዕቁብ!DM7/Sheet4!$C4</f>
        <v>0</v>
      </c>
      <c r="DM4" s="43">
        <f>ዕቁብ!DN7/Sheet4!$C4</f>
        <v>0</v>
      </c>
      <c r="DN4" s="43">
        <f>ዕቁብ!DO7/Sheet4!$C4</f>
        <v>0</v>
      </c>
      <c r="DO4" s="43">
        <f>ዕቁብ!DP7/Sheet4!$C4</f>
        <v>0</v>
      </c>
      <c r="DP4" s="43">
        <f>ዕቁብ!DQ7/Sheet4!$C4</f>
        <v>0</v>
      </c>
      <c r="DQ4" s="43">
        <f>ዕቁብ!DR7/Sheet4!$C4</f>
        <v>0</v>
      </c>
    </row>
    <row r="5" spans="1:121" ht="14.4" x14ac:dyDescent="0.3">
      <c r="A5" s="40">
        <f>ዕቁብ!A8</f>
        <v>3</v>
      </c>
      <c r="B5" s="40" t="str">
        <f>ዕቁብ!B8</f>
        <v>ብርሃኑ ማሩ</v>
      </c>
      <c r="C5" s="30">
        <f>ዕቁብ!C8</f>
        <v>21000</v>
      </c>
      <c r="D5" s="43">
        <f>ዕቁብ!E8/Sheet4!$C5</f>
        <v>1</v>
      </c>
      <c r="E5" s="43">
        <f>ዕቁብ!F8/Sheet4!$C5</f>
        <v>1</v>
      </c>
      <c r="F5" s="43">
        <f>ዕቁብ!G8/Sheet4!$C5</f>
        <v>1</v>
      </c>
      <c r="G5" s="43">
        <f>ዕቁብ!H8/Sheet4!$C5</f>
        <v>1</v>
      </c>
      <c r="H5" s="43">
        <f>ዕቁብ!I8/Sheet4!$C5</f>
        <v>1</v>
      </c>
      <c r="I5" s="43">
        <f>ዕቁብ!J8/Sheet4!$C5</f>
        <v>1</v>
      </c>
      <c r="J5" s="43">
        <f>ዕቁብ!K8/Sheet4!$C5</f>
        <v>1</v>
      </c>
      <c r="K5" s="43">
        <f>ዕቁብ!L8/Sheet4!$C5</f>
        <v>1</v>
      </c>
      <c r="L5" s="43">
        <f>ዕቁብ!M8/Sheet4!$C5</f>
        <v>1</v>
      </c>
      <c r="M5" s="43">
        <f>ዕቁብ!N8/Sheet4!$C5</f>
        <v>1</v>
      </c>
      <c r="N5" s="43">
        <f>ዕቁብ!O8/Sheet4!$C5</f>
        <v>1</v>
      </c>
      <c r="O5" s="43">
        <f>ዕቁብ!P8/Sheet4!$C5</f>
        <v>1</v>
      </c>
      <c r="P5" s="43">
        <f>ዕቁብ!Q8/Sheet4!$C5</f>
        <v>1</v>
      </c>
      <c r="Q5" s="43">
        <f>ዕቁብ!R8/Sheet4!$C5</f>
        <v>1</v>
      </c>
      <c r="R5" s="43">
        <f>ዕቁብ!S8/Sheet4!$C5</f>
        <v>1</v>
      </c>
      <c r="S5" s="43">
        <f>ዕቁብ!T8/Sheet4!$C5</f>
        <v>1</v>
      </c>
      <c r="T5" s="43">
        <f>ዕቁብ!U8/Sheet4!$C5</f>
        <v>1</v>
      </c>
      <c r="U5" s="43">
        <f>ዕቁብ!V8/Sheet4!$C5</f>
        <v>1</v>
      </c>
      <c r="V5" s="43">
        <f>ዕቁብ!W8/Sheet4!$C5</f>
        <v>1</v>
      </c>
      <c r="W5" s="43">
        <f>ዕቁብ!X8/Sheet4!$C5</f>
        <v>1</v>
      </c>
      <c r="X5" s="43">
        <f>ዕቁብ!Y8/Sheet4!$C5</f>
        <v>1</v>
      </c>
      <c r="Y5" s="43">
        <f>ዕቁብ!Z8/Sheet4!$C5</f>
        <v>1</v>
      </c>
      <c r="Z5" s="43">
        <f>ዕቁብ!AA8/Sheet4!$C5</f>
        <v>1</v>
      </c>
      <c r="AA5" s="43">
        <f>ዕቁብ!AB8/Sheet4!$C5</f>
        <v>1</v>
      </c>
      <c r="AB5" s="43">
        <f>ዕቁብ!AC8/Sheet4!$C5</f>
        <v>1</v>
      </c>
      <c r="AC5" s="43">
        <f>ዕቁብ!AD8/Sheet4!$C5</f>
        <v>1</v>
      </c>
      <c r="AD5" s="43">
        <f>ዕቁብ!AE8/Sheet4!$C5</f>
        <v>1</v>
      </c>
      <c r="AE5" s="43">
        <f>ዕቁብ!AF8/Sheet4!$C5</f>
        <v>1</v>
      </c>
      <c r="AF5" s="43">
        <f>ዕቁብ!AG8/Sheet4!$C5</f>
        <v>1</v>
      </c>
      <c r="AG5" s="43">
        <f>ዕቁብ!AH8/Sheet4!$C5</f>
        <v>1</v>
      </c>
      <c r="AH5" s="43">
        <f>ዕቁብ!AI8/Sheet4!$C5</f>
        <v>1</v>
      </c>
      <c r="AI5" s="43">
        <f>ዕቁብ!AJ8/Sheet4!$C5</f>
        <v>1</v>
      </c>
      <c r="AJ5" s="43">
        <f>ዕቁብ!AK8/Sheet4!$C5</f>
        <v>1</v>
      </c>
      <c r="AK5" s="43">
        <f>ዕቁብ!AL8/Sheet4!$C5</f>
        <v>1</v>
      </c>
      <c r="AL5" s="43">
        <f>ዕቁብ!AM8/Sheet4!$C5</f>
        <v>1</v>
      </c>
      <c r="AM5" s="43">
        <f>ዕቁብ!AN8/Sheet4!$C5</f>
        <v>1</v>
      </c>
      <c r="AN5" s="43">
        <f>ዕቁብ!AO8/Sheet4!$C5</f>
        <v>1</v>
      </c>
      <c r="AO5" s="43">
        <f>ዕቁብ!AP8/Sheet4!$C5</f>
        <v>1</v>
      </c>
      <c r="AP5" s="43">
        <f>ዕቁብ!AQ8/Sheet4!$C5</f>
        <v>1</v>
      </c>
      <c r="AQ5" s="43">
        <f>ዕቁብ!AR8/Sheet4!$C5</f>
        <v>1</v>
      </c>
      <c r="AR5" s="43">
        <f>ዕቁብ!AS8/Sheet4!$C5</f>
        <v>1</v>
      </c>
      <c r="AS5" s="43">
        <f>ዕቁብ!AT8/Sheet4!$C5</f>
        <v>1</v>
      </c>
      <c r="AT5" s="43">
        <f>ዕቁብ!AU8/Sheet4!$C5</f>
        <v>1</v>
      </c>
      <c r="AU5" s="43">
        <f>ዕቁብ!AV8/Sheet4!$C5</f>
        <v>1</v>
      </c>
      <c r="AV5" s="43">
        <f>ዕቁብ!AW8/Sheet4!$C5</f>
        <v>1</v>
      </c>
      <c r="AW5" s="43">
        <f>ዕቁብ!AX8/Sheet4!$C5</f>
        <v>1</v>
      </c>
      <c r="AX5" s="43">
        <f>ዕቁብ!AY8/Sheet4!$C5</f>
        <v>1</v>
      </c>
      <c r="AY5" s="43">
        <f>ዕቁብ!AZ8/Sheet4!$C5</f>
        <v>1</v>
      </c>
      <c r="AZ5" s="43">
        <f>ዕቁብ!BA8/Sheet4!$C5</f>
        <v>1</v>
      </c>
      <c r="BA5" s="43">
        <f>ዕቁብ!BB8/Sheet4!$C5</f>
        <v>1</v>
      </c>
      <c r="BB5" s="43">
        <f>ዕቁብ!BC8/Sheet4!$C5</f>
        <v>1</v>
      </c>
      <c r="BC5" s="43">
        <f>ዕቁብ!BD8/Sheet4!$C5</f>
        <v>1</v>
      </c>
      <c r="BD5" s="43">
        <f>ዕቁብ!BE8/Sheet4!$C5</f>
        <v>1</v>
      </c>
      <c r="BE5" s="43">
        <f>ዕቁብ!BF8/Sheet4!$C5</f>
        <v>1</v>
      </c>
      <c r="BF5" s="43">
        <f>ዕቁብ!BG8/Sheet4!$C5</f>
        <v>1</v>
      </c>
      <c r="BG5" s="43">
        <f>ዕቁብ!BH8/Sheet4!$C5</f>
        <v>1</v>
      </c>
      <c r="BH5" s="43">
        <f>ዕቁብ!BI8/Sheet4!$C5</f>
        <v>1</v>
      </c>
      <c r="BI5" s="43">
        <f>ዕቁብ!BJ8/Sheet4!$C5</f>
        <v>1</v>
      </c>
      <c r="BJ5" s="43">
        <f>ዕቁብ!BK8/Sheet4!$C5</f>
        <v>1</v>
      </c>
      <c r="BK5" s="43">
        <f>ዕቁብ!BL8/Sheet4!$C5</f>
        <v>1</v>
      </c>
      <c r="BL5" s="43">
        <f>ዕቁብ!BM8/Sheet4!$C5</f>
        <v>1</v>
      </c>
      <c r="BM5" s="43">
        <f>ዕቁብ!BN8/Sheet4!$C5</f>
        <v>1</v>
      </c>
      <c r="BN5" s="43">
        <f>ዕቁብ!BO8/Sheet4!$C5</f>
        <v>0</v>
      </c>
      <c r="BO5" s="43">
        <f>ዕቁብ!BP8/Sheet4!$C5</f>
        <v>1</v>
      </c>
      <c r="BP5" s="43">
        <f>ዕቁብ!BQ8/Sheet4!$C5</f>
        <v>1</v>
      </c>
      <c r="BQ5" s="43">
        <f>ዕቁብ!BR8/Sheet4!$C5</f>
        <v>1</v>
      </c>
      <c r="BR5" s="43">
        <f>ዕቁብ!BS8/Sheet4!$C5</f>
        <v>1</v>
      </c>
      <c r="BS5" s="43">
        <f>ዕቁብ!BT8/Sheet4!$C5</f>
        <v>1</v>
      </c>
      <c r="BT5" s="43">
        <f>ዕቁብ!BU8/Sheet4!$C5</f>
        <v>1</v>
      </c>
      <c r="BU5" s="43">
        <f>ዕቁብ!BV8/Sheet4!$C5</f>
        <v>1</v>
      </c>
      <c r="BV5" s="43">
        <f>ዕቁብ!BW8/Sheet4!$C5</f>
        <v>1</v>
      </c>
      <c r="BW5" s="43">
        <f>ዕቁብ!BX8/Sheet4!$C5</f>
        <v>1</v>
      </c>
      <c r="BX5" s="43">
        <f>ዕቁብ!BY8/Sheet4!$C5</f>
        <v>1</v>
      </c>
      <c r="BY5" s="43">
        <f>ዕቁብ!BZ8/Sheet4!$C5</f>
        <v>1</v>
      </c>
      <c r="BZ5" s="43">
        <f>ዕቁብ!CA8/Sheet4!$C5</f>
        <v>1</v>
      </c>
      <c r="CA5" s="43">
        <f>ዕቁብ!CB8/Sheet4!$C5</f>
        <v>1</v>
      </c>
      <c r="CB5" s="43">
        <f>ዕቁብ!CC8/Sheet4!$C5</f>
        <v>1</v>
      </c>
      <c r="CC5" s="43">
        <f>ዕቁብ!CD8/Sheet4!$C5</f>
        <v>1</v>
      </c>
      <c r="CD5" s="43">
        <f>ዕቁብ!CE8/Sheet4!$C5</f>
        <v>1</v>
      </c>
      <c r="CE5" s="43">
        <f>ዕቁብ!CF8/Sheet4!$C5</f>
        <v>1</v>
      </c>
      <c r="CF5" s="43">
        <f>ዕቁብ!CG8/Sheet4!$C5</f>
        <v>1</v>
      </c>
      <c r="CG5" s="43">
        <f>ዕቁብ!CH8/Sheet4!$C5</f>
        <v>1</v>
      </c>
      <c r="CH5" s="43">
        <f>ዕቁብ!CI8/Sheet4!$C5</f>
        <v>1</v>
      </c>
      <c r="CI5" s="43">
        <f>ዕቁብ!CJ8/Sheet4!$C5</f>
        <v>1</v>
      </c>
      <c r="CJ5" s="43">
        <f>ዕቁብ!CK8/Sheet4!$C5</f>
        <v>1</v>
      </c>
      <c r="CK5" s="43">
        <f>ዕቁብ!CL8/Sheet4!$C5</f>
        <v>1</v>
      </c>
      <c r="CL5" s="43">
        <f>ዕቁብ!CM8/Sheet4!$C5</f>
        <v>1</v>
      </c>
      <c r="CM5" s="43">
        <f>ዕቁብ!CN8/Sheet4!$C5</f>
        <v>1</v>
      </c>
      <c r="CN5" s="43">
        <f>ዕቁብ!CO8/Sheet4!$C5</f>
        <v>1</v>
      </c>
      <c r="CO5" s="43">
        <f>ዕቁብ!CP8/Sheet4!$C5</f>
        <v>1</v>
      </c>
      <c r="CP5" s="43">
        <f>ዕቁብ!CQ8/Sheet4!$C5</f>
        <v>1</v>
      </c>
      <c r="CQ5" s="43">
        <f>ዕቁብ!CR8/Sheet4!$C5</f>
        <v>1</v>
      </c>
      <c r="CR5" s="43">
        <f>ዕቁብ!CS8/Sheet4!$C5</f>
        <v>1</v>
      </c>
      <c r="CS5" s="43">
        <f>ዕቁብ!CT8/Sheet4!$C5</f>
        <v>1</v>
      </c>
      <c r="CT5" s="43">
        <f>ዕቁብ!CU8/Sheet4!$C5</f>
        <v>1</v>
      </c>
      <c r="CU5" s="43">
        <f>ዕቁብ!CV8/Sheet4!$C5</f>
        <v>1</v>
      </c>
      <c r="CV5" s="43">
        <f>ዕቁብ!CW8/Sheet4!$C5</f>
        <v>1</v>
      </c>
      <c r="CW5" s="43">
        <f>ዕቁብ!CX8/Sheet4!$C5</f>
        <v>1</v>
      </c>
      <c r="CX5" s="43">
        <f>ዕቁብ!CY8/Sheet4!$C5</f>
        <v>1</v>
      </c>
      <c r="CY5" s="43">
        <f>ዕቁብ!CZ8/Sheet4!$C5</f>
        <v>1</v>
      </c>
      <c r="CZ5" s="43">
        <f>ዕቁብ!DA8/Sheet4!$C5</f>
        <v>1</v>
      </c>
      <c r="DA5" s="43">
        <f>ዕቁብ!DB8/Sheet4!$C5</f>
        <v>1</v>
      </c>
      <c r="DB5" s="43">
        <f>ዕቁብ!DC8/Sheet4!$C5</f>
        <v>1</v>
      </c>
      <c r="DC5" s="43">
        <f>ዕቁብ!DD8/Sheet4!$C5</f>
        <v>1</v>
      </c>
      <c r="DD5" s="43">
        <f>ዕቁብ!DE8/Sheet4!$C5</f>
        <v>0</v>
      </c>
      <c r="DE5" s="43">
        <f>ዕቁብ!DF8/Sheet4!$C5</f>
        <v>2</v>
      </c>
      <c r="DF5" s="43">
        <f>ዕቁብ!DG8/Sheet4!$C5</f>
        <v>1</v>
      </c>
      <c r="DG5" s="43">
        <f>ዕቁብ!DH8/Sheet4!$C5</f>
        <v>1</v>
      </c>
      <c r="DH5" s="43">
        <f>ዕቁብ!DI8/Sheet4!$C5</f>
        <v>0</v>
      </c>
      <c r="DI5" s="43">
        <f>ዕቁብ!DJ8/Sheet4!$C5</f>
        <v>0</v>
      </c>
      <c r="DJ5" s="43">
        <f>ዕቁብ!DK8/Sheet4!$C5</f>
        <v>0</v>
      </c>
      <c r="DK5" s="43">
        <f>ዕቁብ!DL8/Sheet4!$C5</f>
        <v>0</v>
      </c>
      <c r="DL5" s="43">
        <f>ዕቁብ!DM8/Sheet4!$C5</f>
        <v>0</v>
      </c>
      <c r="DM5" s="43">
        <f>ዕቁብ!DN8/Sheet4!$C5</f>
        <v>0</v>
      </c>
      <c r="DN5" s="43">
        <f>ዕቁብ!DO8/Sheet4!$C5</f>
        <v>0</v>
      </c>
      <c r="DO5" s="43">
        <f>ዕቁብ!DP8/Sheet4!$C5</f>
        <v>0</v>
      </c>
      <c r="DP5" s="43">
        <f>ዕቁብ!DQ8/Sheet4!$C5</f>
        <v>0</v>
      </c>
      <c r="DQ5" s="43">
        <f>ዕቁብ!DR8/Sheet4!$C5</f>
        <v>0</v>
      </c>
    </row>
    <row r="6" spans="1:121" ht="14.4" x14ac:dyDescent="0.3">
      <c r="A6" s="40">
        <f>ዕቁብ!A9</f>
        <v>4</v>
      </c>
      <c r="B6" s="40" t="str">
        <f>ዕቁብ!B9</f>
        <v>ከፈለኝ ፃዲቁ</v>
      </c>
      <c r="C6" s="30">
        <f>ዕቁብ!C9</f>
        <v>21000</v>
      </c>
      <c r="D6" s="43">
        <f>ዕቁብ!E9/Sheet4!$C6</f>
        <v>0</v>
      </c>
      <c r="E6" s="43">
        <f>ዕቁብ!F9/Sheet4!$C6</f>
        <v>0</v>
      </c>
      <c r="F6" s="43">
        <f>ዕቁብ!G9/Sheet4!$C6</f>
        <v>0</v>
      </c>
      <c r="G6" s="43">
        <f>ዕቁብ!H9/Sheet4!$C6</f>
        <v>0</v>
      </c>
      <c r="H6" s="43">
        <f>ዕቁብ!I9/Sheet4!$C6</f>
        <v>0</v>
      </c>
      <c r="I6" s="43">
        <f>ዕቁብ!J9/Sheet4!$C6</f>
        <v>0</v>
      </c>
      <c r="J6" s="43">
        <f>ዕቁብ!K9/Sheet4!$C6</f>
        <v>0</v>
      </c>
      <c r="K6" s="43">
        <f>ዕቁብ!L9/Sheet4!$C6</f>
        <v>0</v>
      </c>
      <c r="L6" s="43">
        <f>ዕቁብ!M9/Sheet4!$C6</f>
        <v>0</v>
      </c>
      <c r="M6" s="43">
        <f>ዕቁብ!N9/Sheet4!$C6</f>
        <v>0</v>
      </c>
      <c r="N6" s="43">
        <f>ዕቁብ!O9/Sheet4!$C6</f>
        <v>0</v>
      </c>
      <c r="O6" s="43">
        <f>ዕቁብ!P9/Sheet4!$C6</f>
        <v>0</v>
      </c>
      <c r="P6" s="43">
        <f>ዕቁብ!Q9/Sheet4!$C6</f>
        <v>0</v>
      </c>
      <c r="Q6" s="43">
        <f>ዕቁብ!R9/Sheet4!$C6</f>
        <v>0</v>
      </c>
      <c r="R6" s="43">
        <f>ዕቁብ!S9/Sheet4!$C6</f>
        <v>0</v>
      </c>
      <c r="S6" s="43">
        <f>ዕቁብ!T9/Sheet4!$C6</f>
        <v>0</v>
      </c>
      <c r="T6" s="43">
        <f>ዕቁብ!U9/Sheet4!$C6</f>
        <v>0</v>
      </c>
      <c r="U6" s="43">
        <f>ዕቁብ!V9/Sheet4!$C6</f>
        <v>0</v>
      </c>
      <c r="V6" s="43">
        <f>ዕቁብ!W9/Sheet4!$C6</f>
        <v>0</v>
      </c>
      <c r="W6" s="43">
        <f>ዕቁብ!X9/Sheet4!$C6</f>
        <v>0</v>
      </c>
      <c r="X6" s="43">
        <f>ዕቁብ!Y9/Sheet4!$C6</f>
        <v>0</v>
      </c>
      <c r="Y6" s="43">
        <f>ዕቁብ!Z9/Sheet4!$C6</f>
        <v>0</v>
      </c>
      <c r="Z6" s="43">
        <f>ዕቁብ!AA9/Sheet4!$C6</f>
        <v>0</v>
      </c>
      <c r="AA6" s="43">
        <f>ዕቁብ!AB9/Sheet4!$C6</f>
        <v>0</v>
      </c>
      <c r="AB6" s="43">
        <f>ዕቁብ!AC9/Sheet4!$C6</f>
        <v>0</v>
      </c>
      <c r="AC6" s="43">
        <f>ዕቁብ!AD9/Sheet4!$C6</f>
        <v>0</v>
      </c>
      <c r="AD6" s="43">
        <f>ዕቁብ!AE9/Sheet4!$C6</f>
        <v>0</v>
      </c>
      <c r="AE6" s="43">
        <f>ዕቁብ!AF9/Sheet4!$C6</f>
        <v>0</v>
      </c>
      <c r="AF6" s="43">
        <f>ዕቁብ!AG9/Sheet4!$C6</f>
        <v>0</v>
      </c>
      <c r="AG6" s="43">
        <f>ዕቁብ!AH9/Sheet4!$C6</f>
        <v>0</v>
      </c>
      <c r="AH6" s="43">
        <f>ዕቁብ!AI9/Sheet4!$C6</f>
        <v>0</v>
      </c>
      <c r="AI6" s="43">
        <f>ዕቁብ!AJ9/Sheet4!$C6</f>
        <v>0</v>
      </c>
      <c r="AJ6" s="43">
        <f>ዕቁብ!AK9/Sheet4!$C6</f>
        <v>0</v>
      </c>
      <c r="AK6" s="43">
        <f>ዕቁብ!AL9/Sheet4!$C6</f>
        <v>0</v>
      </c>
      <c r="AL6" s="43">
        <f>ዕቁብ!AM9/Sheet4!$C6</f>
        <v>0</v>
      </c>
      <c r="AM6" s="43">
        <f>ዕቁብ!AN9/Sheet4!$C6</f>
        <v>0</v>
      </c>
      <c r="AN6" s="43">
        <f>ዕቁብ!AO9/Sheet4!$C6</f>
        <v>0</v>
      </c>
      <c r="AO6" s="43">
        <f>ዕቁብ!AP9/Sheet4!$C6</f>
        <v>0</v>
      </c>
      <c r="AP6" s="43">
        <f>ዕቁብ!AQ9/Sheet4!$C6</f>
        <v>0</v>
      </c>
      <c r="AQ6" s="43">
        <f>ዕቁብ!AR9/Sheet4!$C6</f>
        <v>0</v>
      </c>
      <c r="AR6" s="43">
        <f>ዕቁብ!AS9/Sheet4!$C6</f>
        <v>0</v>
      </c>
      <c r="AS6" s="43">
        <f>ዕቁብ!AT9/Sheet4!$C6</f>
        <v>0</v>
      </c>
      <c r="AT6" s="43">
        <f>ዕቁብ!AU9/Sheet4!$C6</f>
        <v>0</v>
      </c>
      <c r="AU6" s="43">
        <f>ዕቁብ!AV9/Sheet4!$C6</f>
        <v>0</v>
      </c>
      <c r="AV6" s="43">
        <f>ዕቁብ!AW9/Sheet4!$C6</f>
        <v>0</v>
      </c>
      <c r="AW6" s="43">
        <f>ዕቁብ!AX9/Sheet4!$C6</f>
        <v>0</v>
      </c>
      <c r="AX6" s="43">
        <f>ዕቁብ!AY9/Sheet4!$C6</f>
        <v>0</v>
      </c>
      <c r="AY6" s="43">
        <f>ዕቁብ!AZ9/Sheet4!$C6</f>
        <v>0</v>
      </c>
      <c r="AZ6" s="43">
        <f>ዕቁብ!BA9/Sheet4!$C6</f>
        <v>0</v>
      </c>
      <c r="BA6" s="43">
        <f>ዕቁብ!BB9/Sheet4!$C6</f>
        <v>0</v>
      </c>
      <c r="BB6" s="43">
        <f>ዕቁብ!BC9/Sheet4!$C6</f>
        <v>0</v>
      </c>
      <c r="BC6" s="43">
        <f>ዕቁብ!BD9/Sheet4!$C6</f>
        <v>0</v>
      </c>
      <c r="BD6" s="43">
        <f>ዕቁብ!BE9/Sheet4!$C6</f>
        <v>0</v>
      </c>
      <c r="BE6" s="43">
        <f>ዕቁብ!BF9/Sheet4!$C6</f>
        <v>0</v>
      </c>
      <c r="BF6" s="43">
        <f>ዕቁብ!BG9/Sheet4!$C6</f>
        <v>0</v>
      </c>
      <c r="BG6" s="43">
        <f>ዕቁብ!BH9/Sheet4!$C6</f>
        <v>0</v>
      </c>
      <c r="BH6" s="43">
        <f>ዕቁብ!BI9/Sheet4!$C6</f>
        <v>0</v>
      </c>
      <c r="BI6" s="43">
        <f>ዕቁብ!BJ9/Sheet4!$C6</f>
        <v>0</v>
      </c>
      <c r="BJ6" s="43">
        <f>ዕቁብ!BK9/Sheet4!$C6</f>
        <v>0</v>
      </c>
      <c r="BK6" s="43">
        <f>ዕቁብ!BL9/Sheet4!$C6</f>
        <v>0</v>
      </c>
      <c r="BL6" s="43">
        <f>ዕቁብ!BM9/Sheet4!$C6</f>
        <v>0</v>
      </c>
      <c r="BM6" s="43">
        <f>ዕቁብ!BN9/Sheet4!$C6</f>
        <v>0</v>
      </c>
      <c r="BN6" s="43">
        <f>ዕቁብ!BO9/Sheet4!$C6</f>
        <v>0</v>
      </c>
      <c r="BO6" s="43">
        <f>ዕቁብ!BP9/Sheet4!$C6</f>
        <v>0</v>
      </c>
      <c r="BP6" s="43">
        <f>ዕቁብ!BQ9/Sheet4!$C6</f>
        <v>0</v>
      </c>
      <c r="BQ6" s="43">
        <f>ዕቁብ!BR9/Sheet4!$C6</f>
        <v>0</v>
      </c>
      <c r="BR6" s="43">
        <f>ዕቁብ!BS9/Sheet4!$C6</f>
        <v>0</v>
      </c>
      <c r="BS6" s="43">
        <f>ዕቁብ!BT9/Sheet4!$C6</f>
        <v>0</v>
      </c>
      <c r="BT6" s="43">
        <f>ዕቁብ!BU9/Sheet4!$C6</f>
        <v>0</v>
      </c>
      <c r="BU6" s="43">
        <f>ዕቁብ!BV9/Sheet4!$C6</f>
        <v>0</v>
      </c>
      <c r="BV6" s="43">
        <f>ዕቁብ!BW9/Sheet4!$C6</f>
        <v>0</v>
      </c>
      <c r="BW6" s="43">
        <f>ዕቁብ!BX9/Sheet4!$C6</f>
        <v>0</v>
      </c>
      <c r="BX6" s="43">
        <f>ዕቁብ!BY9/Sheet4!$C6</f>
        <v>0</v>
      </c>
      <c r="BY6" s="43">
        <f>ዕቁብ!BZ9/Sheet4!$C6</f>
        <v>0</v>
      </c>
      <c r="BZ6" s="43">
        <f>ዕቁብ!CA9/Sheet4!$C6</f>
        <v>0</v>
      </c>
      <c r="CA6" s="43">
        <f>ዕቁብ!CB9/Sheet4!$C6</f>
        <v>0</v>
      </c>
      <c r="CB6" s="43">
        <f>ዕቁብ!CC9/Sheet4!$C6</f>
        <v>0</v>
      </c>
      <c r="CC6" s="43">
        <f>ዕቁብ!CD9/Sheet4!$C6</f>
        <v>0</v>
      </c>
      <c r="CD6" s="43">
        <f>ዕቁብ!CE9/Sheet4!$C6</f>
        <v>0</v>
      </c>
      <c r="CE6" s="43">
        <f>ዕቁብ!CF9/Sheet4!$C6</f>
        <v>0</v>
      </c>
      <c r="CF6" s="43">
        <f>ዕቁብ!CG9/Sheet4!$C6</f>
        <v>0</v>
      </c>
      <c r="CG6" s="43">
        <f>ዕቁብ!CH9/Sheet4!$C6</f>
        <v>0</v>
      </c>
      <c r="CH6" s="43">
        <f>ዕቁብ!CI9/Sheet4!$C6</f>
        <v>0</v>
      </c>
      <c r="CI6" s="43">
        <f>ዕቁብ!CJ9/Sheet4!$C6</f>
        <v>0</v>
      </c>
      <c r="CJ6" s="43">
        <f>ዕቁብ!CK9/Sheet4!$C6</f>
        <v>0</v>
      </c>
      <c r="CK6" s="43">
        <f>ዕቁብ!CL9/Sheet4!$C6</f>
        <v>0</v>
      </c>
      <c r="CL6" s="43">
        <f>ዕቁብ!CM9/Sheet4!$C6</f>
        <v>0</v>
      </c>
      <c r="CM6" s="43">
        <f>ዕቁብ!CN9/Sheet4!$C6</f>
        <v>0</v>
      </c>
      <c r="CN6" s="43">
        <f>ዕቁብ!CO9/Sheet4!$C6</f>
        <v>0</v>
      </c>
      <c r="CO6" s="43">
        <f>ዕቁብ!CP9/Sheet4!$C6</f>
        <v>0</v>
      </c>
      <c r="CP6" s="43">
        <f>ዕቁብ!CQ9/Sheet4!$C6</f>
        <v>0</v>
      </c>
      <c r="CQ6" s="43">
        <f>ዕቁብ!CR9/Sheet4!$C6</f>
        <v>0</v>
      </c>
      <c r="CR6" s="43">
        <f>ዕቁብ!CS9/Sheet4!$C6</f>
        <v>0</v>
      </c>
      <c r="CS6" s="43">
        <f>ዕቁብ!CT9/Sheet4!$C6</f>
        <v>0</v>
      </c>
      <c r="CT6" s="43">
        <f>ዕቁብ!CU9/Sheet4!$C6</f>
        <v>0</v>
      </c>
      <c r="CU6" s="43">
        <f>ዕቁብ!CV9/Sheet4!$C6</f>
        <v>0</v>
      </c>
      <c r="CV6" s="43">
        <f>ዕቁብ!CW9/Sheet4!$C6</f>
        <v>0</v>
      </c>
      <c r="CW6" s="43">
        <f>ዕቁብ!CX9/Sheet4!$C6</f>
        <v>0</v>
      </c>
      <c r="CX6" s="43">
        <f>ዕቁብ!CY9/Sheet4!$C6</f>
        <v>0</v>
      </c>
      <c r="CY6" s="43">
        <f>ዕቁብ!CZ9/Sheet4!$C6</f>
        <v>0</v>
      </c>
      <c r="CZ6" s="43">
        <f>ዕቁብ!DA9/Sheet4!$C6</f>
        <v>0</v>
      </c>
      <c r="DA6" s="43">
        <f>ዕቁብ!DB9/Sheet4!$C6</f>
        <v>0</v>
      </c>
      <c r="DB6" s="43">
        <f>ዕቁብ!DC9/Sheet4!$C6</f>
        <v>0</v>
      </c>
      <c r="DC6" s="43">
        <f>ዕቁብ!DD9/Sheet4!$C6</f>
        <v>0</v>
      </c>
      <c r="DD6" s="43">
        <f>ዕቁብ!DE9/Sheet4!$C6</f>
        <v>0</v>
      </c>
      <c r="DE6" s="43">
        <f>ዕቁብ!DF9/Sheet4!$C6</f>
        <v>0</v>
      </c>
      <c r="DF6" s="43">
        <f>ዕቁብ!DG9/Sheet4!$C6</f>
        <v>0</v>
      </c>
      <c r="DG6" s="43">
        <f>ዕቁብ!DH9/Sheet4!$C6</f>
        <v>0</v>
      </c>
      <c r="DH6" s="43">
        <f>ዕቁብ!DI9/Sheet4!$C6</f>
        <v>0</v>
      </c>
      <c r="DI6" s="43">
        <f>ዕቁብ!DJ9/Sheet4!$C6</f>
        <v>0</v>
      </c>
      <c r="DJ6" s="43">
        <f>ዕቁብ!DK9/Sheet4!$C6</f>
        <v>0</v>
      </c>
      <c r="DK6" s="43">
        <f>ዕቁብ!DL9/Sheet4!$C6</f>
        <v>0</v>
      </c>
      <c r="DL6" s="43">
        <f>ዕቁብ!DM9/Sheet4!$C6</f>
        <v>0</v>
      </c>
      <c r="DM6" s="43">
        <f>ዕቁብ!DN9/Sheet4!$C6</f>
        <v>0</v>
      </c>
      <c r="DN6" s="43">
        <f>ዕቁብ!DO9/Sheet4!$C6</f>
        <v>0</v>
      </c>
      <c r="DO6" s="43">
        <f>ዕቁብ!DP9/Sheet4!$C6</f>
        <v>0</v>
      </c>
      <c r="DP6" s="43">
        <f>ዕቁብ!DQ9/Sheet4!$C6</f>
        <v>0</v>
      </c>
      <c r="DQ6" s="43">
        <f>ዕቁብ!DR9/Sheet4!$C6</f>
        <v>0</v>
      </c>
    </row>
    <row r="7" spans="1:121" ht="14.4" x14ac:dyDescent="0.3">
      <c r="A7" s="40">
        <f>ዕቁብ!A10</f>
        <v>5</v>
      </c>
      <c r="B7" s="40" t="str">
        <f>ዕቁብ!B10</f>
        <v>አስፈው ወርጂ</v>
      </c>
      <c r="C7" s="30">
        <f>ዕቁብ!C10</f>
        <v>21000</v>
      </c>
      <c r="D7" s="43">
        <f>ዕቁብ!E10/Sheet4!$C7</f>
        <v>1</v>
      </c>
      <c r="E7" s="43">
        <f>ዕቁብ!F10/Sheet4!$C7</f>
        <v>1</v>
      </c>
      <c r="F7" s="43">
        <f>ዕቁብ!G10/Sheet4!$C7</f>
        <v>1</v>
      </c>
      <c r="G7" s="43">
        <f>ዕቁብ!H10/Sheet4!$C7</f>
        <v>1</v>
      </c>
      <c r="H7" s="43">
        <f>ዕቁብ!I10/Sheet4!$C7</f>
        <v>1</v>
      </c>
      <c r="I7" s="43">
        <f>ዕቁብ!J10/Sheet4!$C7</f>
        <v>1</v>
      </c>
      <c r="J7" s="43">
        <f>ዕቁብ!K10/Sheet4!$C7</f>
        <v>1</v>
      </c>
      <c r="K7" s="43">
        <f>ዕቁብ!L10/Sheet4!$C7</f>
        <v>1</v>
      </c>
      <c r="L7" s="43">
        <f>ዕቁብ!M10/Sheet4!$C7</f>
        <v>1</v>
      </c>
      <c r="M7" s="43">
        <f>ዕቁብ!N10/Sheet4!$C7</f>
        <v>1</v>
      </c>
      <c r="N7" s="43">
        <f>ዕቁብ!O10/Sheet4!$C7</f>
        <v>1</v>
      </c>
      <c r="O7" s="43">
        <f>ዕቁብ!P10/Sheet4!$C7</f>
        <v>1</v>
      </c>
      <c r="P7" s="43">
        <f>ዕቁብ!Q10/Sheet4!$C7</f>
        <v>1</v>
      </c>
      <c r="Q7" s="43">
        <f>ዕቁብ!R10/Sheet4!$C7</f>
        <v>1</v>
      </c>
      <c r="R7" s="43">
        <f>ዕቁብ!S10/Sheet4!$C7</f>
        <v>1</v>
      </c>
      <c r="S7" s="43">
        <f>ዕቁብ!T10/Sheet4!$C7</f>
        <v>1</v>
      </c>
      <c r="T7" s="43">
        <f>ዕቁብ!U10/Sheet4!$C7</f>
        <v>1</v>
      </c>
      <c r="U7" s="43">
        <f>ዕቁብ!V10/Sheet4!$C7</f>
        <v>1</v>
      </c>
      <c r="V7" s="43">
        <f>ዕቁብ!W10/Sheet4!$C7</f>
        <v>1</v>
      </c>
      <c r="W7" s="43">
        <f>ዕቁብ!X10/Sheet4!$C7</f>
        <v>1</v>
      </c>
      <c r="X7" s="43">
        <f>ዕቁብ!Y10/Sheet4!$C7</f>
        <v>1</v>
      </c>
      <c r="Y7" s="43">
        <f>ዕቁብ!Z10/Sheet4!$C7</f>
        <v>1</v>
      </c>
      <c r="Z7" s="43">
        <f>ዕቁብ!AA10/Sheet4!$C7</f>
        <v>1</v>
      </c>
      <c r="AA7" s="43">
        <f>ዕቁብ!AB10/Sheet4!$C7</f>
        <v>1</v>
      </c>
      <c r="AB7" s="43">
        <f>ዕቁብ!AC10/Sheet4!$C7</f>
        <v>1</v>
      </c>
      <c r="AC7" s="43">
        <f>ዕቁብ!AD10/Sheet4!$C7</f>
        <v>1</v>
      </c>
      <c r="AD7" s="43">
        <f>ዕቁብ!AE10/Sheet4!$C7</f>
        <v>1</v>
      </c>
      <c r="AE7" s="43">
        <f>ዕቁብ!AF10/Sheet4!$C7</f>
        <v>1</v>
      </c>
      <c r="AF7" s="43">
        <f>ዕቁብ!AG10/Sheet4!$C7</f>
        <v>1</v>
      </c>
      <c r="AG7" s="43">
        <f>ዕቁብ!AH10/Sheet4!$C7</f>
        <v>1</v>
      </c>
      <c r="AH7" s="43">
        <f>ዕቁብ!AI10/Sheet4!$C7</f>
        <v>0</v>
      </c>
      <c r="AI7" s="43">
        <f>ዕቁብ!AJ10/Sheet4!$C7</f>
        <v>2</v>
      </c>
      <c r="AJ7" s="43">
        <f>ዕቁብ!AK10/Sheet4!$C7</f>
        <v>1</v>
      </c>
      <c r="AK7" s="43">
        <f>ዕቁብ!AL10/Sheet4!$C7</f>
        <v>1</v>
      </c>
      <c r="AL7" s="43">
        <f>ዕቁብ!AM10/Sheet4!$C7</f>
        <v>1</v>
      </c>
      <c r="AM7" s="43">
        <f>ዕቁብ!AN10/Sheet4!$C7</f>
        <v>1</v>
      </c>
      <c r="AN7" s="43">
        <f>ዕቁብ!AO10/Sheet4!$C7</f>
        <v>1</v>
      </c>
      <c r="AO7" s="43">
        <f>ዕቁብ!AP10/Sheet4!$C7</f>
        <v>1</v>
      </c>
      <c r="AP7" s="43">
        <f>ዕቁብ!AQ10/Sheet4!$C7</f>
        <v>1</v>
      </c>
      <c r="AQ7" s="43">
        <f>ዕቁብ!AR10/Sheet4!$C7</f>
        <v>1</v>
      </c>
      <c r="AR7" s="43">
        <f>ዕቁብ!AS10/Sheet4!$C7</f>
        <v>1</v>
      </c>
      <c r="AS7" s="43">
        <f>ዕቁብ!AT10/Sheet4!$C7</f>
        <v>1</v>
      </c>
      <c r="AT7" s="43">
        <f>ዕቁብ!AU10/Sheet4!$C7</f>
        <v>1</v>
      </c>
      <c r="AU7" s="43">
        <f>ዕቁብ!AV10/Sheet4!$C7</f>
        <v>0</v>
      </c>
      <c r="AV7" s="43">
        <f>ዕቁብ!AW10/Sheet4!$C7</f>
        <v>2</v>
      </c>
      <c r="AW7" s="43">
        <f>ዕቁብ!AX10/Sheet4!$C7</f>
        <v>1</v>
      </c>
      <c r="AX7" s="43">
        <f>ዕቁብ!AY10/Sheet4!$C7</f>
        <v>1</v>
      </c>
      <c r="AY7" s="43">
        <f>ዕቁብ!AZ10/Sheet4!$C7</f>
        <v>1</v>
      </c>
      <c r="AZ7" s="43">
        <f>ዕቁብ!BA10/Sheet4!$C7</f>
        <v>1</v>
      </c>
      <c r="BA7" s="43">
        <f>ዕቁብ!BB10/Sheet4!$C7</f>
        <v>1</v>
      </c>
      <c r="BB7" s="43">
        <f>ዕቁብ!BC10/Sheet4!$C7</f>
        <v>1</v>
      </c>
      <c r="BC7" s="43">
        <f>ዕቁብ!BD10/Sheet4!$C7</f>
        <v>1</v>
      </c>
      <c r="BD7" s="43">
        <f>ዕቁብ!BE10/Sheet4!$C7</f>
        <v>1</v>
      </c>
      <c r="BE7" s="43">
        <f>ዕቁብ!BF10/Sheet4!$C7</f>
        <v>1</v>
      </c>
      <c r="BF7" s="43">
        <f>ዕቁብ!BG10/Sheet4!$C7</f>
        <v>1</v>
      </c>
      <c r="BG7" s="43">
        <f>ዕቁብ!BH10/Sheet4!$C7</f>
        <v>1</v>
      </c>
      <c r="BH7" s="43">
        <f>ዕቁብ!BI10/Sheet4!$C7</f>
        <v>1</v>
      </c>
      <c r="BI7" s="43">
        <f>ዕቁብ!BJ10/Sheet4!$C7</f>
        <v>1</v>
      </c>
      <c r="BJ7" s="43">
        <f>ዕቁብ!BK10/Sheet4!$C7</f>
        <v>1</v>
      </c>
      <c r="BK7" s="43">
        <f>ዕቁብ!BL10/Sheet4!$C7</f>
        <v>0</v>
      </c>
      <c r="BL7" s="43">
        <f>ዕቁብ!BM10/Sheet4!$C7</f>
        <v>2</v>
      </c>
      <c r="BM7" s="43">
        <f>ዕቁብ!BN10/Sheet4!$C7</f>
        <v>1</v>
      </c>
      <c r="BN7" s="43">
        <f>ዕቁብ!BO10/Sheet4!$C7</f>
        <v>1</v>
      </c>
      <c r="BO7" s="43">
        <f>ዕቁብ!BP10/Sheet4!$C7</f>
        <v>0</v>
      </c>
      <c r="BP7" s="43">
        <f>ዕቁብ!BQ10/Sheet4!$C7</f>
        <v>2</v>
      </c>
      <c r="BQ7" s="43">
        <f>ዕቁብ!BR10/Sheet4!$C7</f>
        <v>1</v>
      </c>
      <c r="BR7" s="43">
        <f>ዕቁብ!BS10/Sheet4!$C7</f>
        <v>1</v>
      </c>
      <c r="BS7" s="43">
        <f>ዕቁብ!BT10/Sheet4!$C7</f>
        <v>1</v>
      </c>
      <c r="BT7" s="43">
        <f>ዕቁብ!BU10/Sheet4!$C7</f>
        <v>1</v>
      </c>
      <c r="BU7" s="43">
        <f>ዕቁብ!BV10/Sheet4!$C7</f>
        <v>1</v>
      </c>
      <c r="BV7" s="43">
        <f>ዕቁብ!BW10/Sheet4!$C7</f>
        <v>1</v>
      </c>
      <c r="BW7" s="43">
        <f>ዕቁብ!BX10/Sheet4!$C7</f>
        <v>1</v>
      </c>
      <c r="BX7" s="43">
        <f>ዕቁብ!BY10/Sheet4!$C7</f>
        <v>1</v>
      </c>
      <c r="BY7" s="43">
        <f>ዕቁብ!BZ10/Sheet4!$C7</f>
        <v>1</v>
      </c>
      <c r="BZ7" s="43">
        <f>ዕቁብ!CA10/Sheet4!$C7</f>
        <v>1</v>
      </c>
      <c r="CA7" s="43">
        <f>ዕቁብ!CB10/Sheet4!$C7</f>
        <v>1</v>
      </c>
      <c r="CB7" s="43">
        <f>ዕቁብ!CC10/Sheet4!$C7</f>
        <v>1</v>
      </c>
      <c r="CC7" s="43">
        <f>ዕቁብ!CD10/Sheet4!$C7</f>
        <v>1</v>
      </c>
      <c r="CD7" s="43">
        <f>ዕቁብ!CE10/Sheet4!$C7</f>
        <v>1</v>
      </c>
      <c r="CE7" s="43">
        <f>ዕቁብ!CF10/Sheet4!$C7</f>
        <v>1</v>
      </c>
      <c r="CF7" s="43">
        <f>ዕቁብ!CG10/Sheet4!$C7</f>
        <v>1</v>
      </c>
      <c r="CG7" s="43">
        <f>ዕቁብ!CH10/Sheet4!$C7</f>
        <v>0</v>
      </c>
      <c r="CH7" s="43">
        <f>ዕቁብ!CI10/Sheet4!$C7</f>
        <v>2</v>
      </c>
      <c r="CI7" s="43">
        <f>ዕቁብ!CJ10/Sheet4!$C7</f>
        <v>1</v>
      </c>
      <c r="CJ7" s="43">
        <f>ዕቁብ!CK10/Sheet4!$C7</f>
        <v>1</v>
      </c>
      <c r="CK7" s="43">
        <f>ዕቁብ!CL10/Sheet4!$C7</f>
        <v>1</v>
      </c>
      <c r="CL7" s="43">
        <f>ዕቁብ!CM10/Sheet4!$C7</f>
        <v>1</v>
      </c>
      <c r="CM7" s="43">
        <f>ዕቁብ!CN10/Sheet4!$C7</f>
        <v>1</v>
      </c>
      <c r="CN7" s="43">
        <f>ዕቁብ!CO10/Sheet4!$C7</f>
        <v>1</v>
      </c>
      <c r="CO7" s="43">
        <f>ዕቁብ!CP10/Sheet4!$C7</f>
        <v>1</v>
      </c>
      <c r="CP7" s="43">
        <f>ዕቁብ!CQ10/Sheet4!$C7</f>
        <v>0</v>
      </c>
      <c r="CQ7" s="43">
        <f>ዕቁብ!CR10/Sheet4!$C7</f>
        <v>2</v>
      </c>
      <c r="CR7" s="43">
        <f>ዕቁብ!CS10/Sheet4!$C7</f>
        <v>1</v>
      </c>
      <c r="CS7" s="43">
        <f>ዕቁብ!CT10/Sheet4!$C7</f>
        <v>0</v>
      </c>
      <c r="CT7" s="43">
        <f>ዕቁብ!CU10/Sheet4!$C7</f>
        <v>0</v>
      </c>
      <c r="CU7" s="43">
        <f>ዕቁብ!CV10/Sheet4!$C7</f>
        <v>3</v>
      </c>
      <c r="CV7" s="43">
        <f>ዕቁብ!CW10/Sheet4!$C7</f>
        <v>1</v>
      </c>
      <c r="CW7" s="43">
        <f>ዕቁብ!CX10/Sheet4!$C7</f>
        <v>1</v>
      </c>
      <c r="CX7" s="43">
        <f>ዕቁብ!CY10/Sheet4!$C7</f>
        <v>0</v>
      </c>
      <c r="CY7" s="43">
        <f>ዕቁብ!CZ10/Sheet4!$C7</f>
        <v>2</v>
      </c>
      <c r="CZ7" s="43">
        <f>ዕቁብ!DA10/Sheet4!$C7</f>
        <v>1</v>
      </c>
      <c r="DA7" s="43">
        <f>ዕቁብ!DB10/Sheet4!$C7</f>
        <v>0</v>
      </c>
      <c r="DB7" s="43">
        <f>ዕቁብ!DC10/Sheet4!$C7</f>
        <v>2</v>
      </c>
      <c r="DC7" s="43">
        <f>ዕቁብ!DD10/Sheet4!$C7</f>
        <v>0</v>
      </c>
      <c r="DD7" s="43">
        <f>ዕቁብ!DE10/Sheet4!$C7</f>
        <v>0</v>
      </c>
      <c r="DE7" s="43">
        <f>ዕቁብ!DF10/Sheet4!$C7</f>
        <v>3</v>
      </c>
      <c r="DF7" s="43">
        <f>ዕቁብ!DG10/Sheet4!$C7</f>
        <v>0</v>
      </c>
      <c r="DG7" s="43">
        <f>ዕቁብ!DH10/Sheet4!$C7</f>
        <v>2</v>
      </c>
      <c r="DH7" s="43">
        <f>ዕቁብ!DI10/Sheet4!$C7</f>
        <v>0</v>
      </c>
      <c r="DI7" s="43">
        <f>ዕቁብ!DJ10/Sheet4!$C7</f>
        <v>0</v>
      </c>
      <c r="DJ7" s="43">
        <f>ዕቁብ!DK10/Sheet4!$C7</f>
        <v>0</v>
      </c>
      <c r="DK7" s="43">
        <f>ዕቁብ!DL10/Sheet4!$C7</f>
        <v>0</v>
      </c>
      <c r="DL7" s="43">
        <f>ዕቁብ!DM10/Sheet4!$C7</f>
        <v>0</v>
      </c>
      <c r="DM7" s="43">
        <f>ዕቁብ!DN10/Sheet4!$C7</f>
        <v>0</v>
      </c>
      <c r="DN7" s="43">
        <f>ዕቁብ!DO10/Sheet4!$C7</f>
        <v>0</v>
      </c>
      <c r="DO7" s="43">
        <f>ዕቁብ!DP10/Sheet4!$C7</f>
        <v>0</v>
      </c>
      <c r="DP7" s="43">
        <f>ዕቁብ!DQ10/Sheet4!$C7</f>
        <v>0</v>
      </c>
      <c r="DQ7" s="43">
        <f>ዕቁብ!DR10/Sheet4!$C7</f>
        <v>0</v>
      </c>
    </row>
    <row r="8" spans="1:121" ht="14.4" x14ac:dyDescent="0.3">
      <c r="A8" s="40">
        <f>ዕቁብ!A11</f>
        <v>6</v>
      </c>
      <c r="B8" s="40" t="str">
        <f>ዕቁብ!B11</f>
        <v>ከተማ ለማ</v>
      </c>
      <c r="C8" s="30">
        <f>ዕቁብ!C11</f>
        <v>21000</v>
      </c>
      <c r="D8" s="43">
        <f>ዕቁብ!E11/Sheet4!$C8</f>
        <v>1</v>
      </c>
      <c r="E8" s="43">
        <f>ዕቁብ!F11/Sheet4!$C8</f>
        <v>1</v>
      </c>
      <c r="F8" s="43">
        <f>ዕቁብ!G11/Sheet4!$C8</f>
        <v>1</v>
      </c>
      <c r="G8" s="43">
        <f>ዕቁብ!H11/Sheet4!$C8</f>
        <v>1</v>
      </c>
      <c r="H8" s="43">
        <f>ዕቁብ!I11/Sheet4!$C8</f>
        <v>1</v>
      </c>
      <c r="I8" s="43">
        <f>ዕቁብ!J11/Sheet4!$C8</f>
        <v>1</v>
      </c>
      <c r="J8" s="43">
        <f>ዕቁብ!K11/Sheet4!$C8</f>
        <v>1</v>
      </c>
      <c r="K8" s="43">
        <f>ዕቁብ!L11/Sheet4!$C8</f>
        <v>1</v>
      </c>
      <c r="L8" s="43">
        <f>ዕቁብ!M11/Sheet4!$C8</f>
        <v>1</v>
      </c>
      <c r="M8" s="43">
        <f>ዕቁብ!N11/Sheet4!$C8</f>
        <v>1</v>
      </c>
      <c r="N8" s="43">
        <f>ዕቁብ!O11/Sheet4!$C8</f>
        <v>1</v>
      </c>
      <c r="O8" s="43">
        <f>ዕቁብ!P11/Sheet4!$C8</f>
        <v>1</v>
      </c>
      <c r="P8" s="43">
        <f>ዕቁብ!Q11/Sheet4!$C8</f>
        <v>1</v>
      </c>
      <c r="Q8" s="43">
        <f>ዕቁብ!R11/Sheet4!$C8</f>
        <v>1</v>
      </c>
      <c r="R8" s="43">
        <f>ዕቁብ!S11/Sheet4!$C8</f>
        <v>1</v>
      </c>
      <c r="S8" s="43">
        <f>ዕቁብ!T11/Sheet4!$C8</f>
        <v>1</v>
      </c>
      <c r="T8" s="43">
        <f>ዕቁብ!U11/Sheet4!$C8</f>
        <v>1</v>
      </c>
      <c r="U8" s="43">
        <f>ዕቁብ!V11/Sheet4!$C8</f>
        <v>1</v>
      </c>
      <c r="V8" s="43">
        <f>ዕቁብ!W11/Sheet4!$C8</f>
        <v>1</v>
      </c>
      <c r="W8" s="43">
        <f>ዕቁብ!X11/Sheet4!$C8</f>
        <v>1</v>
      </c>
      <c r="X8" s="43">
        <f>ዕቁብ!Y11/Sheet4!$C8</f>
        <v>1</v>
      </c>
      <c r="Y8" s="43">
        <f>ዕቁብ!Z11/Sheet4!$C8</f>
        <v>1</v>
      </c>
      <c r="Z8" s="43">
        <f>ዕቁብ!AA11/Sheet4!$C8</f>
        <v>1</v>
      </c>
      <c r="AA8" s="43">
        <f>ዕቁብ!AB11/Sheet4!$C8</f>
        <v>1</v>
      </c>
      <c r="AB8" s="43">
        <f>ዕቁብ!AC11/Sheet4!$C8</f>
        <v>1</v>
      </c>
      <c r="AC8" s="43">
        <f>ዕቁብ!AD11/Sheet4!$C8</f>
        <v>1</v>
      </c>
      <c r="AD8" s="43">
        <f>ዕቁብ!AE11/Sheet4!$C8</f>
        <v>1</v>
      </c>
      <c r="AE8" s="43">
        <f>ዕቁብ!AF11/Sheet4!$C8</f>
        <v>1</v>
      </c>
      <c r="AF8" s="43">
        <f>ዕቁብ!AG11/Sheet4!$C8</f>
        <v>1</v>
      </c>
      <c r="AG8" s="43">
        <f>ዕቁብ!AH11/Sheet4!$C8</f>
        <v>1</v>
      </c>
      <c r="AH8" s="43">
        <f>ዕቁብ!AI11/Sheet4!$C8</f>
        <v>1</v>
      </c>
      <c r="AI8" s="43">
        <f>ዕቁብ!AJ11/Sheet4!$C8</f>
        <v>1</v>
      </c>
      <c r="AJ8" s="43">
        <f>ዕቁብ!AK11/Sheet4!$C8</f>
        <v>1</v>
      </c>
      <c r="AK8" s="43">
        <f>ዕቁብ!AL11/Sheet4!$C8</f>
        <v>1</v>
      </c>
      <c r="AL8" s="43">
        <f>ዕቁብ!AM11/Sheet4!$C8</f>
        <v>1</v>
      </c>
      <c r="AM8" s="43">
        <f>ዕቁብ!AN11/Sheet4!$C8</f>
        <v>1</v>
      </c>
      <c r="AN8" s="43">
        <f>ዕቁብ!AO11/Sheet4!$C8</f>
        <v>1</v>
      </c>
      <c r="AO8" s="43">
        <f>ዕቁብ!AP11/Sheet4!$C8</f>
        <v>1</v>
      </c>
      <c r="AP8" s="43">
        <f>ዕቁብ!AQ11/Sheet4!$C8</f>
        <v>1</v>
      </c>
      <c r="AQ8" s="43">
        <f>ዕቁብ!AR11/Sheet4!$C8</f>
        <v>1</v>
      </c>
      <c r="AR8" s="43">
        <f>ዕቁብ!AS11/Sheet4!$C8</f>
        <v>1</v>
      </c>
      <c r="AS8" s="43">
        <f>ዕቁብ!AT11/Sheet4!$C8</f>
        <v>1</v>
      </c>
      <c r="AT8" s="43">
        <f>ዕቁብ!AU11/Sheet4!$C8</f>
        <v>1</v>
      </c>
      <c r="AU8" s="43">
        <f>ዕቁብ!AV11/Sheet4!$C8</f>
        <v>1</v>
      </c>
      <c r="AV8" s="43">
        <f>ዕቁብ!AW11/Sheet4!$C8</f>
        <v>1</v>
      </c>
      <c r="AW8" s="43">
        <f>ዕቁብ!AX11/Sheet4!$C8</f>
        <v>1</v>
      </c>
      <c r="AX8" s="43">
        <f>ዕቁብ!AY11/Sheet4!$C8</f>
        <v>1</v>
      </c>
      <c r="AY8" s="43">
        <f>ዕቁብ!AZ11/Sheet4!$C8</f>
        <v>1</v>
      </c>
      <c r="AZ8" s="43">
        <f>ዕቁብ!BA11/Sheet4!$C8</f>
        <v>1</v>
      </c>
      <c r="BA8" s="43">
        <f>ዕቁብ!BB11/Sheet4!$C8</f>
        <v>1</v>
      </c>
      <c r="BB8" s="43">
        <f>ዕቁብ!BC11/Sheet4!$C8</f>
        <v>1</v>
      </c>
      <c r="BC8" s="43">
        <f>ዕቁብ!BD11/Sheet4!$C8</f>
        <v>1</v>
      </c>
      <c r="BD8" s="43">
        <f>ዕቁብ!BE11/Sheet4!$C8</f>
        <v>1</v>
      </c>
      <c r="BE8" s="43">
        <f>ዕቁብ!BF11/Sheet4!$C8</f>
        <v>1</v>
      </c>
      <c r="BF8" s="43">
        <f>ዕቁብ!BG11/Sheet4!$C8</f>
        <v>1</v>
      </c>
      <c r="BG8" s="43">
        <f>ዕቁብ!BH11/Sheet4!$C8</f>
        <v>1</v>
      </c>
      <c r="BH8" s="43">
        <f>ዕቁብ!BI11/Sheet4!$C8</f>
        <v>1</v>
      </c>
      <c r="BI8" s="43">
        <f>ዕቁብ!BJ11/Sheet4!$C8</f>
        <v>1</v>
      </c>
      <c r="BJ8" s="43">
        <f>ዕቁብ!BK11/Sheet4!$C8</f>
        <v>1</v>
      </c>
      <c r="BK8" s="43">
        <f>ዕቁብ!BL11/Sheet4!$C8</f>
        <v>1</v>
      </c>
      <c r="BL8" s="43">
        <f>ዕቁብ!BM11/Sheet4!$C8</f>
        <v>1</v>
      </c>
      <c r="BM8" s="43">
        <f>ዕቁብ!BN11/Sheet4!$C8</f>
        <v>1</v>
      </c>
      <c r="BN8" s="43">
        <f>ዕቁብ!BO11/Sheet4!$C8</f>
        <v>1</v>
      </c>
      <c r="BO8" s="43">
        <f>ዕቁብ!BP11/Sheet4!$C8</f>
        <v>1</v>
      </c>
      <c r="BP8" s="43">
        <f>ዕቁብ!BQ11/Sheet4!$C8</f>
        <v>1</v>
      </c>
      <c r="BQ8" s="43">
        <f>ዕቁብ!BR11/Sheet4!$C8</f>
        <v>1</v>
      </c>
      <c r="BR8" s="43">
        <f>ዕቁብ!BS11/Sheet4!$C8</f>
        <v>1</v>
      </c>
      <c r="BS8" s="43">
        <f>ዕቁብ!BT11/Sheet4!$C8</f>
        <v>1</v>
      </c>
      <c r="BT8" s="43">
        <f>ዕቁብ!BU11/Sheet4!$C8</f>
        <v>1</v>
      </c>
      <c r="BU8" s="43">
        <f>ዕቁብ!BV11/Sheet4!$C8</f>
        <v>1</v>
      </c>
      <c r="BV8" s="43">
        <f>ዕቁብ!BW11/Sheet4!$C8</f>
        <v>1</v>
      </c>
      <c r="BW8" s="43">
        <f>ዕቁብ!BX11/Sheet4!$C8</f>
        <v>1</v>
      </c>
      <c r="BX8" s="43">
        <f>ዕቁብ!BY11/Sheet4!$C8</f>
        <v>1</v>
      </c>
      <c r="BY8" s="43">
        <f>ዕቁብ!BZ11/Sheet4!$C8</f>
        <v>1</v>
      </c>
      <c r="BZ8" s="43">
        <f>ዕቁብ!CA11/Sheet4!$C8</f>
        <v>1</v>
      </c>
      <c r="CA8" s="43">
        <f>ዕቁብ!CB11/Sheet4!$C8</f>
        <v>1</v>
      </c>
      <c r="CB8" s="43">
        <f>ዕቁብ!CC11/Sheet4!$C8</f>
        <v>1</v>
      </c>
      <c r="CC8" s="43">
        <f>ዕቁብ!CD11/Sheet4!$C8</f>
        <v>0</v>
      </c>
      <c r="CD8" s="43">
        <f>ዕቁብ!CE11/Sheet4!$C8</f>
        <v>2</v>
      </c>
      <c r="CE8" s="43">
        <f>ዕቁብ!CF11/Sheet4!$C8</f>
        <v>1</v>
      </c>
      <c r="CF8" s="43">
        <f>ዕቁብ!CG11/Sheet4!$C8</f>
        <v>1</v>
      </c>
      <c r="CG8" s="43">
        <f>ዕቁብ!CH11/Sheet4!$C8</f>
        <v>1</v>
      </c>
      <c r="CH8" s="43">
        <f>ዕቁብ!CI11/Sheet4!$C8</f>
        <v>1</v>
      </c>
      <c r="CI8" s="43">
        <f>ዕቁብ!CJ11/Sheet4!$C8</f>
        <v>0</v>
      </c>
      <c r="CJ8" s="43">
        <f>ዕቁብ!CK11/Sheet4!$C8</f>
        <v>2</v>
      </c>
      <c r="CK8" s="43">
        <f>ዕቁብ!CL11/Sheet4!$C8</f>
        <v>1</v>
      </c>
      <c r="CL8" s="43">
        <f>ዕቁብ!CM11/Sheet4!$C8</f>
        <v>1</v>
      </c>
      <c r="CM8" s="43">
        <f>ዕቁብ!CN11/Sheet4!$C8</f>
        <v>1</v>
      </c>
      <c r="CN8" s="43">
        <f>ዕቁብ!CO11/Sheet4!$C8</f>
        <v>1</v>
      </c>
      <c r="CO8" s="43">
        <f>ዕቁብ!CP11/Sheet4!$C8</f>
        <v>1</v>
      </c>
      <c r="CP8" s="43">
        <f>ዕቁብ!CQ11/Sheet4!$C8</f>
        <v>1</v>
      </c>
      <c r="CQ8" s="43">
        <f>ዕቁብ!CR11/Sheet4!$C8</f>
        <v>1</v>
      </c>
      <c r="CR8" s="43">
        <f>ዕቁብ!CS11/Sheet4!$C8</f>
        <v>1</v>
      </c>
      <c r="CS8" s="43">
        <f>ዕቁብ!CT11/Sheet4!$C8</f>
        <v>1</v>
      </c>
      <c r="CT8" s="43">
        <f>ዕቁብ!CU11/Sheet4!$C8</f>
        <v>0</v>
      </c>
      <c r="CU8" s="43">
        <f>ዕቁብ!CV11/Sheet4!$C8</f>
        <v>1</v>
      </c>
      <c r="CV8" s="43">
        <f>ዕቁብ!CW11/Sheet4!$C8</f>
        <v>1</v>
      </c>
      <c r="CW8" s="43">
        <f>ዕቁብ!CX11/Sheet4!$C8</f>
        <v>1</v>
      </c>
      <c r="CX8" s="43">
        <f>ዕቁብ!CY11/Sheet4!$C8</f>
        <v>1</v>
      </c>
      <c r="CY8" s="43">
        <f>ዕቁብ!CZ11/Sheet4!$C8</f>
        <v>1</v>
      </c>
      <c r="CZ8" s="43">
        <f>ዕቁብ!DA11/Sheet4!$C8</f>
        <v>1</v>
      </c>
      <c r="DA8" s="43">
        <f>ዕቁብ!DB11/Sheet4!$C8</f>
        <v>1</v>
      </c>
      <c r="DB8" s="43">
        <f>ዕቁብ!DC11/Sheet4!$C8</f>
        <v>1</v>
      </c>
      <c r="DC8" s="43">
        <f>ዕቁብ!DD11/Sheet4!$C8</f>
        <v>1</v>
      </c>
      <c r="DD8" s="43">
        <f>ዕቁብ!DE11/Sheet4!$C8</f>
        <v>1</v>
      </c>
      <c r="DE8" s="43">
        <f>ዕቁብ!DF11/Sheet4!$C8</f>
        <v>1</v>
      </c>
      <c r="DF8" s="43">
        <f>ዕቁብ!DG11/Sheet4!$C8</f>
        <v>1</v>
      </c>
      <c r="DG8" s="43">
        <f>ዕቁብ!DH11/Sheet4!$C8</f>
        <v>1</v>
      </c>
      <c r="DH8" s="43">
        <f>ዕቁብ!DI11/Sheet4!$C8</f>
        <v>0</v>
      </c>
      <c r="DI8" s="43">
        <f>ዕቁብ!DJ11/Sheet4!$C8</f>
        <v>0</v>
      </c>
      <c r="DJ8" s="43">
        <f>ዕቁብ!DK11/Sheet4!$C8</f>
        <v>0</v>
      </c>
      <c r="DK8" s="43">
        <f>ዕቁብ!DL11/Sheet4!$C8</f>
        <v>0</v>
      </c>
      <c r="DL8" s="43">
        <f>ዕቁብ!DM11/Sheet4!$C8</f>
        <v>0</v>
      </c>
      <c r="DM8" s="43">
        <f>ዕቁብ!DN11/Sheet4!$C8</f>
        <v>0</v>
      </c>
      <c r="DN8" s="43">
        <f>ዕቁብ!DO11/Sheet4!$C8</f>
        <v>0</v>
      </c>
      <c r="DO8" s="43">
        <f>ዕቁብ!DP11/Sheet4!$C8</f>
        <v>0</v>
      </c>
      <c r="DP8" s="43">
        <f>ዕቁብ!DQ11/Sheet4!$C8</f>
        <v>0</v>
      </c>
      <c r="DQ8" s="43">
        <f>ዕቁብ!DR11/Sheet4!$C8</f>
        <v>0</v>
      </c>
    </row>
    <row r="9" spans="1:121" ht="14.4" x14ac:dyDescent="0.3">
      <c r="A9" s="40">
        <f>ዕቁብ!A12</f>
        <v>7</v>
      </c>
      <c r="B9" s="40" t="str">
        <f>ዕቁብ!B12</f>
        <v>ጥላነሽ ከበደ</v>
      </c>
      <c r="C9" s="30">
        <f>ዕቁብ!C12</f>
        <v>21000</v>
      </c>
      <c r="D9" s="43">
        <f>ዕቁብ!E12/Sheet4!$C9</f>
        <v>1</v>
      </c>
      <c r="E9" s="43">
        <f>ዕቁብ!F12/Sheet4!$C9</f>
        <v>1</v>
      </c>
      <c r="F9" s="43">
        <f>ዕቁብ!G12/Sheet4!$C9</f>
        <v>1</v>
      </c>
      <c r="G9" s="43">
        <f>ዕቁብ!H12/Sheet4!$C9</f>
        <v>1</v>
      </c>
      <c r="H9" s="43">
        <f>ዕቁብ!I12/Sheet4!$C9</f>
        <v>1</v>
      </c>
      <c r="I9" s="43">
        <f>ዕቁብ!J12/Sheet4!$C9</f>
        <v>1</v>
      </c>
      <c r="J9" s="43">
        <f>ዕቁብ!K12/Sheet4!$C9</f>
        <v>1</v>
      </c>
      <c r="K9" s="43">
        <f>ዕቁብ!L12/Sheet4!$C9</f>
        <v>1</v>
      </c>
      <c r="L9" s="43">
        <f>ዕቁብ!M12/Sheet4!$C9</f>
        <v>1</v>
      </c>
      <c r="M9" s="43">
        <f>ዕቁብ!N12/Sheet4!$C9</f>
        <v>1</v>
      </c>
      <c r="N9" s="43">
        <f>ዕቁብ!O12/Sheet4!$C9</f>
        <v>1</v>
      </c>
      <c r="O9" s="43">
        <f>ዕቁብ!P12/Sheet4!$C9</f>
        <v>1</v>
      </c>
      <c r="P9" s="43">
        <f>ዕቁብ!Q12/Sheet4!$C9</f>
        <v>1</v>
      </c>
      <c r="Q9" s="43">
        <f>ዕቁብ!R12/Sheet4!$C9</f>
        <v>1</v>
      </c>
      <c r="R9" s="43">
        <f>ዕቁብ!S12/Sheet4!$C9</f>
        <v>1</v>
      </c>
      <c r="S9" s="43">
        <f>ዕቁብ!T12/Sheet4!$C9</f>
        <v>1</v>
      </c>
      <c r="T9" s="43">
        <f>ዕቁብ!U12/Sheet4!$C9</f>
        <v>1</v>
      </c>
      <c r="U9" s="43">
        <f>ዕቁብ!V12/Sheet4!$C9</f>
        <v>1</v>
      </c>
      <c r="V9" s="43">
        <f>ዕቁብ!W12/Sheet4!$C9</f>
        <v>1</v>
      </c>
      <c r="W9" s="43">
        <f>ዕቁብ!X12/Sheet4!$C9</f>
        <v>1</v>
      </c>
      <c r="X9" s="43">
        <f>ዕቁብ!Y12/Sheet4!$C9</f>
        <v>1</v>
      </c>
      <c r="Y9" s="43">
        <f>ዕቁብ!Z12/Sheet4!$C9</f>
        <v>1</v>
      </c>
      <c r="Z9" s="43">
        <f>ዕቁብ!AA12/Sheet4!$C9</f>
        <v>1</v>
      </c>
      <c r="AA9" s="43">
        <f>ዕቁብ!AB12/Sheet4!$C9</f>
        <v>1</v>
      </c>
      <c r="AB9" s="43">
        <f>ዕቁብ!AC12/Sheet4!$C9</f>
        <v>1</v>
      </c>
      <c r="AC9" s="43">
        <f>ዕቁብ!AD12/Sheet4!$C9</f>
        <v>1</v>
      </c>
      <c r="AD9" s="43">
        <f>ዕቁብ!AE12/Sheet4!$C9</f>
        <v>1</v>
      </c>
      <c r="AE9" s="43">
        <f>ዕቁብ!AF12/Sheet4!$C9</f>
        <v>1</v>
      </c>
      <c r="AF9" s="43">
        <f>ዕቁብ!AG12/Sheet4!$C9</f>
        <v>1</v>
      </c>
      <c r="AG9" s="43">
        <f>ዕቁብ!AH12/Sheet4!$C9</f>
        <v>1</v>
      </c>
      <c r="AH9" s="43">
        <f>ዕቁብ!AI12/Sheet4!$C9</f>
        <v>1</v>
      </c>
      <c r="AI9" s="43">
        <f>ዕቁብ!AJ12/Sheet4!$C9</f>
        <v>1</v>
      </c>
      <c r="AJ9" s="43">
        <f>ዕቁብ!AK12/Sheet4!$C9</f>
        <v>1</v>
      </c>
      <c r="AK9" s="43">
        <f>ዕቁብ!AL12/Sheet4!$C9</f>
        <v>1</v>
      </c>
      <c r="AL9" s="43">
        <f>ዕቁብ!AM12/Sheet4!$C9</f>
        <v>1</v>
      </c>
      <c r="AM9" s="43">
        <f>ዕቁብ!AN12/Sheet4!$C9</f>
        <v>1</v>
      </c>
      <c r="AN9" s="43">
        <f>ዕቁብ!AO12/Sheet4!$C9</f>
        <v>1</v>
      </c>
      <c r="AO9" s="43">
        <f>ዕቁብ!AP12/Sheet4!$C9</f>
        <v>0</v>
      </c>
      <c r="AP9" s="43">
        <f>ዕቁብ!AQ12/Sheet4!$C9</f>
        <v>2</v>
      </c>
      <c r="AQ9" s="43">
        <f>ዕቁብ!AR12/Sheet4!$C9</f>
        <v>1</v>
      </c>
      <c r="AR9" s="43">
        <f>ዕቁብ!AS12/Sheet4!$C9</f>
        <v>1</v>
      </c>
      <c r="AS9" s="43">
        <f>ዕቁብ!AT12/Sheet4!$C9</f>
        <v>1</v>
      </c>
      <c r="AT9" s="43">
        <f>ዕቁብ!AU12/Sheet4!$C9</f>
        <v>1</v>
      </c>
      <c r="AU9" s="43">
        <f>ዕቁብ!AV12/Sheet4!$C9</f>
        <v>1</v>
      </c>
      <c r="AV9" s="43">
        <f>ዕቁብ!AW12/Sheet4!$C9</f>
        <v>1</v>
      </c>
      <c r="AW9" s="43">
        <f>ዕቁብ!AX12/Sheet4!$C9</f>
        <v>1</v>
      </c>
      <c r="AX9" s="43">
        <f>ዕቁብ!AY12/Sheet4!$C9</f>
        <v>1</v>
      </c>
      <c r="AY9" s="43">
        <f>ዕቁብ!AZ12/Sheet4!$C9</f>
        <v>1</v>
      </c>
      <c r="AZ9" s="43">
        <f>ዕቁብ!BA12/Sheet4!$C9</f>
        <v>1</v>
      </c>
      <c r="BA9" s="43">
        <f>ዕቁብ!BB12/Sheet4!$C9</f>
        <v>1</v>
      </c>
      <c r="BB9" s="43">
        <f>ዕቁብ!BC12/Sheet4!$C9</f>
        <v>1</v>
      </c>
      <c r="BC9" s="43">
        <f>ዕቁብ!BD12/Sheet4!$C9</f>
        <v>1</v>
      </c>
      <c r="BD9" s="43">
        <f>ዕቁብ!BE12/Sheet4!$C9</f>
        <v>1</v>
      </c>
      <c r="BE9" s="43">
        <f>ዕቁብ!BF12/Sheet4!$C9</f>
        <v>1</v>
      </c>
      <c r="BF9" s="43">
        <f>ዕቁብ!BG12/Sheet4!$C9</f>
        <v>1</v>
      </c>
      <c r="BG9" s="43">
        <f>ዕቁብ!BH12/Sheet4!$C9</f>
        <v>1</v>
      </c>
      <c r="BH9" s="43">
        <f>ዕቁብ!BI12/Sheet4!$C9</f>
        <v>1</v>
      </c>
      <c r="BI9" s="43">
        <f>ዕቁብ!BJ12/Sheet4!$C9</f>
        <v>1</v>
      </c>
      <c r="BJ9" s="43">
        <f>ዕቁብ!BK12/Sheet4!$C9</f>
        <v>1</v>
      </c>
      <c r="BK9" s="43">
        <f>ዕቁብ!BL12/Sheet4!$C9</f>
        <v>1</v>
      </c>
      <c r="BL9" s="43">
        <f>ዕቁብ!BM12/Sheet4!$C9</f>
        <v>1</v>
      </c>
      <c r="BM9" s="43">
        <f>ዕቁብ!BN12/Sheet4!$C9</f>
        <v>0</v>
      </c>
      <c r="BN9" s="43">
        <f>ዕቁብ!BO12/Sheet4!$C9</f>
        <v>2</v>
      </c>
      <c r="BO9" s="43">
        <f>ዕቁብ!BP12/Sheet4!$C9</f>
        <v>1</v>
      </c>
      <c r="BP9" s="43">
        <f>ዕቁብ!BQ12/Sheet4!$C9</f>
        <v>1</v>
      </c>
      <c r="BQ9" s="43">
        <f>ዕቁብ!BR12/Sheet4!$C9</f>
        <v>1</v>
      </c>
      <c r="BR9" s="43">
        <f>ዕቁብ!BS12/Sheet4!$C9</f>
        <v>1</v>
      </c>
      <c r="BS9" s="43">
        <f>ዕቁብ!BT12/Sheet4!$C9</f>
        <v>1</v>
      </c>
      <c r="BT9" s="43">
        <f>ዕቁብ!BU12/Sheet4!$C9</f>
        <v>1</v>
      </c>
      <c r="BU9" s="43">
        <f>ዕቁብ!BV12/Sheet4!$C9</f>
        <v>1</v>
      </c>
      <c r="BV9" s="43">
        <f>ዕቁብ!BW12/Sheet4!$C9</f>
        <v>1</v>
      </c>
      <c r="BW9" s="43">
        <f>ዕቁብ!BX12/Sheet4!$C9</f>
        <v>1</v>
      </c>
      <c r="BX9" s="43">
        <f>ዕቁብ!BY12/Sheet4!$C9</f>
        <v>1</v>
      </c>
      <c r="BY9" s="43">
        <f>ዕቁብ!BZ12/Sheet4!$C9</f>
        <v>1</v>
      </c>
      <c r="BZ9" s="43">
        <f>ዕቁብ!CA12/Sheet4!$C9</f>
        <v>1</v>
      </c>
      <c r="CA9" s="43">
        <f>ዕቁብ!CB12/Sheet4!$C9</f>
        <v>1</v>
      </c>
      <c r="CB9" s="43">
        <f>ዕቁብ!CC12/Sheet4!$C9</f>
        <v>1</v>
      </c>
      <c r="CC9" s="43">
        <f>ዕቁብ!CD12/Sheet4!$C9</f>
        <v>1</v>
      </c>
      <c r="CD9" s="43">
        <f>ዕቁብ!CE12/Sheet4!$C9</f>
        <v>0</v>
      </c>
      <c r="CE9" s="43">
        <f>ዕቁብ!CF12/Sheet4!$C9</f>
        <v>2</v>
      </c>
      <c r="CF9" s="43">
        <f>ዕቁብ!CG12/Sheet4!$C9</f>
        <v>1</v>
      </c>
      <c r="CG9" s="43">
        <f>ዕቁብ!CH12/Sheet4!$C9</f>
        <v>1</v>
      </c>
      <c r="CH9" s="43">
        <f>ዕቁብ!CI12/Sheet4!$C9</f>
        <v>1</v>
      </c>
      <c r="CI9" s="43">
        <f>ዕቁብ!CJ12/Sheet4!$C9</f>
        <v>1</v>
      </c>
      <c r="CJ9" s="43">
        <f>ዕቁብ!CK12/Sheet4!$C9</f>
        <v>1</v>
      </c>
      <c r="CK9" s="43">
        <f>ዕቁብ!CL12/Sheet4!$C9</f>
        <v>1</v>
      </c>
      <c r="CL9" s="43">
        <f>ዕቁብ!CM12/Sheet4!$C9</f>
        <v>1</v>
      </c>
      <c r="CM9" s="43">
        <f>ዕቁብ!CN12/Sheet4!$C9</f>
        <v>1</v>
      </c>
      <c r="CN9" s="43">
        <f>ዕቁብ!CO12/Sheet4!$C9</f>
        <v>1</v>
      </c>
      <c r="CO9" s="43">
        <f>ዕቁብ!CP12/Sheet4!$C9</f>
        <v>1</v>
      </c>
      <c r="CP9" s="43">
        <f>ዕቁብ!CQ12/Sheet4!$C9</f>
        <v>1</v>
      </c>
      <c r="CQ9" s="43">
        <f>ዕቁብ!CR12/Sheet4!$C9</f>
        <v>1</v>
      </c>
      <c r="CR9" s="43">
        <f>ዕቁብ!CS12/Sheet4!$C9</f>
        <v>1</v>
      </c>
      <c r="CS9" s="43">
        <f>ዕቁብ!CT12/Sheet4!$C9</f>
        <v>1</v>
      </c>
      <c r="CT9" s="43">
        <f>ዕቁብ!CU12/Sheet4!$C9</f>
        <v>1</v>
      </c>
      <c r="CU9" s="43">
        <f>ዕቁብ!CV12/Sheet4!$C9</f>
        <v>1</v>
      </c>
      <c r="CV9" s="43">
        <f>ዕቁብ!CW12/Sheet4!$C9</f>
        <v>1</v>
      </c>
      <c r="CW9" s="43">
        <f>ዕቁብ!CX12/Sheet4!$C9</f>
        <v>1</v>
      </c>
      <c r="CX9" s="43">
        <f>ዕቁብ!CY12/Sheet4!$C9</f>
        <v>1</v>
      </c>
      <c r="CY9" s="43">
        <f>ዕቁብ!CZ12/Sheet4!$C9</f>
        <v>1</v>
      </c>
      <c r="CZ9" s="43">
        <f>ዕቁብ!DA12/Sheet4!$C9</f>
        <v>1</v>
      </c>
      <c r="DA9" s="43">
        <f>ዕቁብ!DB12/Sheet4!$C9</f>
        <v>1</v>
      </c>
      <c r="DB9" s="43">
        <f>ዕቁብ!DC12/Sheet4!$C9</f>
        <v>1</v>
      </c>
      <c r="DC9" s="43">
        <f>ዕቁብ!DD12/Sheet4!$C9</f>
        <v>1</v>
      </c>
      <c r="DD9" s="43">
        <f>ዕቁብ!DE12/Sheet4!$C9</f>
        <v>1</v>
      </c>
      <c r="DE9" s="43">
        <f>ዕቁብ!DF12/Sheet4!$C9</f>
        <v>1</v>
      </c>
      <c r="DF9" s="43">
        <f>ዕቁብ!DG12/Sheet4!$C9</f>
        <v>1</v>
      </c>
      <c r="DG9" s="43">
        <f>ዕቁብ!DH12/Sheet4!$C9</f>
        <v>1</v>
      </c>
      <c r="DH9" s="43">
        <f>ዕቁብ!DI12/Sheet4!$C9</f>
        <v>0</v>
      </c>
      <c r="DI9" s="43">
        <f>ዕቁብ!DJ12/Sheet4!$C9</f>
        <v>0</v>
      </c>
      <c r="DJ9" s="43">
        <f>ዕቁብ!DK12/Sheet4!$C9</f>
        <v>0</v>
      </c>
      <c r="DK9" s="43">
        <f>ዕቁብ!DL12/Sheet4!$C9</f>
        <v>0</v>
      </c>
      <c r="DL9" s="43">
        <f>ዕቁብ!DM12/Sheet4!$C9</f>
        <v>0</v>
      </c>
      <c r="DM9" s="43">
        <f>ዕቁብ!DN12/Sheet4!$C9</f>
        <v>0</v>
      </c>
      <c r="DN9" s="43">
        <f>ዕቁብ!DO12/Sheet4!$C9</f>
        <v>0</v>
      </c>
      <c r="DO9" s="43">
        <f>ዕቁብ!DP12/Sheet4!$C9</f>
        <v>0</v>
      </c>
      <c r="DP9" s="43">
        <f>ዕቁብ!DQ12/Sheet4!$C9</f>
        <v>0</v>
      </c>
      <c r="DQ9" s="43">
        <f>ዕቁብ!DR12/Sheet4!$C9</f>
        <v>0</v>
      </c>
    </row>
    <row r="10" spans="1:121" ht="14.4" x14ac:dyDescent="0.3">
      <c r="A10" s="40">
        <f>ዕቁብ!A13</f>
        <v>8</v>
      </c>
      <c r="B10" s="40" t="str">
        <f>ዕቁብ!B13</f>
        <v>ሲሳይ ባህሩ</v>
      </c>
      <c r="C10" s="30">
        <f>ዕቁብ!C13</f>
        <v>21000</v>
      </c>
      <c r="D10" s="43">
        <f>ዕቁብ!E13/Sheet4!$C10</f>
        <v>1</v>
      </c>
      <c r="E10" s="43">
        <f>ዕቁብ!F13/Sheet4!$C10</f>
        <v>1</v>
      </c>
      <c r="F10" s="43">
        <f>ዕቁብ!G13/Sheet4!$C10</f>
        <v>1</v>
      </c>
      <c r="G10" s="43">
        <f>ዕቁብ!H13/Sheet4!$C10</f>
        <v>1</v>
      </c>
      <c r="H10" s="43">
        <f>ዕቁብ!I13/Sheet4!$C10</f>
        <v>1</v>
      </c>
      <c r="I10" s="43">
        <f>ዕቁብ!J13/Sheet4!$C10</f>
        <v>1</v>
      </c>
      <c r="J10" s="43">
        <f>ዕቁብ!K13/Sheet4!$C10</f>
        <v>1</v>
      </c>
      <c r="K10" s="43">
        <f>ዕቁብ!L13/Sheet4!$C10</f>
        <v>1</v>
      </c>
      <c r="L10" s="43">
        <f>ዕቁብ!M13/Sheet4!$C10</f>
        <v>1</v>
      </c>
      <c r="M10" s="43">
        <f>ዕቁብ!N13/Sheet4!$C10</f>
        <v>1</v>
      </c>
      <c r="N10" s="43">
        <f>ዕቁብ!O13/Sheet4!$C10</f>
        <v>1</v>
      </c>
      <c r="O10" s="43">
        <f>ዕቁብ!P13/Sheet4!$C10</f>
        <v>1</v>
      </c>
      <c r="P10" s="43">
        <f>ዕቁብ!Q13/Sheet4!$C10</f>
        <v>1</v>
      </c>
      <c r="Q10" s="43">
        <f>ዕቁብ!R13/Sheet4!$C10</f>
        <v>1</v>
      </c>
      <c r="R10" s="43">
        <f>ዕቁብ!S13/Sheet4!$C10</f>
        <v>1</v>
      </c>
      <c r="S10" s="43">
        <f>ዕቁብ!T13/Sheet4!$C10</f>
        <v>1</v>
      </c>
      <c r="T10" s="43">
        <f>ዕቁብ!U13/Sheet4!$C10</f>
        <v>1</v>
      </c>
      <c r="U10" s="43">
        <f>ዕቁብ!V13/Sheet4!$C10</f>
        <v>1</v>
      </c>
      <c r="V10" s="43">
        <f>ዕቁብ!W13/Sheet4!$C10</f>
        <v>1</v>
      </c>
      <c r="W10" s="43">
        <f>ዕቁብ!X13/Sheet4!$C10</f>
        <v>1</v>
      </c>
      <c r="X10" s="43">
        <f>ዕቁብ!Y13/Sheet4!$C10</f>
        <v>1</v>
      </c>
      <c r="Y10" s="43">
        <f>ዕቁብ!Z13/Sheet4!$C10</f>
        <v>1</v>
      </c>
      <c r="Z10" s="43">
        <f>ዕቁብ!AA13/Sheet4!$C10</f>
        <v>1</v>
      </c>
      <c r="AA10" s="43">
        <f>ዕቁብ!AB13/Sheet4!$C10</f>
        <v>1</v>
      </c>
      <c r="AB10" s="43">
        <f>ዕቁብ!AC13/Sheet4!$C10</f>
        <v>1</v>
      </c>
      <c r="AC10" s="43">
        <f>ዕቁብ!AD13/Sheet4!$C10</f>
        <v>1</v>
      </c>
      <c r="AD10" s="43">
        <f>ዕቁብ!AE13/Sheet4!$C10</f>
        <v>1</v>
      </c>
      <c r="AE10" s="43">
        <f>ዕቁብ!AF13/Sheet4!$C10</f>
        <v>1</v>
      </c>
      <c r="AF10" s="43">
        <f>ዕቁብ!AG13/Sheet4!$C10</f>
        <v>1</v>
      </c>
      <c r="AG10" s="43">
        <f>ዕቁብ!AH13/Sheet4!$C10</f>
        <v>1</v>
      </c>
      <c r="AH10" s="43">
        <f>ዕቁብ!AI13/Sheet4!$C10</f>
        <v>1</v>
      </c>
      <c r="AI10" s="43">
        <f>ዕቁብ!AJ13/Sheet4!$C10</f>
        <v>1</v>
      </c>
      <c r="AJ10" s="43">
        <f>ዕቁብ!AK13/Sheet4!$C10</f>
        <v>1</v>
      </c>
      <c r="AK10" s="43">
        <f>ዕቁብ!AL13/Sheet4!$C10</f>
        <v>1</v>
      </c>
      <c r="AL10" s="43">
        <f>ዕቁብ!AM13/Sheet4!$C10</f>
        <v>1</v>
      </c>
      <c r="AM10" s="43">
        <f>ዕቁብ!AN13/Sheet4!$C10</f>
        <v>1</v>
      </c>
      <c r="AN10" s="43">
        <f>ዕቁብ!AO13/Sheet4!$C10</f>
        <v>1</v>
      </c>
      <c r="AO10" s="43">
        <f>ዕቁብ!AP13/Sheet4!$C10</f>
        <v>1</v>
      </c>
      <c r="AP10" s="43">
        <f>ዕቁብ!AQ13/Sheet4!$C10</f>
        <v>1</v>
      </c>
      <c r="AQ10" s="43">
        <f>ዕቁብ!AR13/Sheet4!$C10</f>
        <v>1</v>
      </c>
      <c r="AR10" s="43">
        <f>ዕቁብ!AS13/Sheet4!$C10</f>
        <v>1</v>
      </c>
      <c r="AS10" s="43">
        <f>ዕቁብ!AT13/Sheet4!$C10</f>
        <v>1</v>
      </c>
      <c r="AT10" s="43">
        <f>ዕቁብ!AU13/Sheet4!$C10</f>
        <v>1</v>
      </c>
      <c r="AU10" s="43">
        <f>ዕቁብ!AV13/Sheet4!$C10</f>
        <v>1</v>
      </c>
      <c r="AV10" s="43">
        <f>ዕቁብ!AW13/Sheet4!$C10</f>
        <v>1</v>
      </c>
      <c r="AW10" s="43">
        <f>ዕቁብ!AX13/Sheet4!$C10</f>
        <v>1</v>
      </c>
      <c r="AX10" s="43">
        <f>ዕቁብ!AY13/Sheet4!$C10</f>
        <v>1</v>
      </c>
      <c r="AY10" s="43">
        <f>ዕቁብ!AZ13/Sheet4!$C10</f>
        <v>1</v>
      </c>
      <c r="AZ10" s="43">
        <f>ዕቁብ!BA13/Sheet4!$C10</f>
        <v>1</v>
      </c>
      <c r="BA10" s="43">
        <f>ዕቁብ!BB13/Sheet4!$C10</f>
        <v>1</v>
      </c>
      <c r="BB10" s="43">
        <f>ዕቁብ!BC13/Sheet4!$C10</f>
        <v>1</v>
      </c>
      <c r="BC10" s="43">
        <f>ዕቁብ!BD13/Sheet4!$C10</f>
        <v>1</v>
      </c>
      <c r="BD10" s="43">
        <f>ዕቁብ!BE13/Sheet4!$C10</f>
        <v>1</v>
      </c>
      <c r="BE10" s="43">
        <f>ዕቁብ!BF13/Sheet4!$C10</f>
        <v>1</v>
      </c>
      <c r="BF10" s="43">
        <f>ዕቁብ!BG13/Sheet4!$C10</f>
        <v>1</v>
      </c>
      <c r="BG10" s="43">
        <f>ዕቁብ!BH13/Sheet4!$C10</f>
        <v>1</v>
      </c>
      <c r="BH10" s="43">
        <f>ዕቁብ!BI13/Sheet4!$C10</f>
        <v>1</v>
      </c>
      <c r="BI10" s="43">
        <f>ዕቁብ!BJ13/Sheet4!$C10</f>
        <v>1</v>
      </c>
      <c r="BJ10" s="43">
        <f>ዕቁብ!BK13/Sheet4!$C10</f>
        <v>1</v>
      </c>
      <c r="BK10" s="43">
        <f>ዕቁብ!BL13/Sheet4!$C10</f>
        <v>1</v>
      </c>
      <c r="BL10" s="43">
        <f>ዕቁብ!BM13/Sheet4!$C10</f>
        <v>1</v>
      </c>
      <c r="BM10" s="43">
        <f>ዕቁብ!BN13/Sheet4!$C10</f>
        <v>1</v>
      </c>
      <c r="BN10" s="43">
        <f>ዕቁብ!BO13/Sheet4!$C10</f>
        <v>1</v>
      </c>
      <c r="BO10" s="43">
        <f>ዕቁብ!BP13/Sheet4!$C10</f>
        <v>1</v>
      </c>
      <c r="BP10" s="43">
        <f>ዕቁብ!BQ13/Sheet4!$C10</f>
        <v>1</v>
      </c>
      <c r="BQ10" s="43">
        <f>ዕቁብ!BR13/Sheet4!$C10</f>
        <v>1</v>
      </c>
      <c r="BR10" s="43">
        <f>ዕቁብ!BS13/Sheet4!$C10</f>
        <v>1</v>
      </c>
      <c r="BS10" s="43">
        <f>ዕቁብ!BT13/Sheet4!$C10</f>
        <v>1</v>
      </c>
      <c r="BT10" s="43">
        <f>ዕቁብ!BU13/Sheet4!$C10</f>
        <v>1</v>
      </c>
      <c r="BU10" s="43">
        <f>ዕቁብ!BV13/Sheet4!$C10</f>
        <v>1</v>
      </c>
      <c r="BV10" s="43">
        <f>ዕቁብ!BW13/Sheet4!$C10</f>
        <v>1</v>
      </c>
      <c r="BW10" s="43">
        <f>ዕቁብ!BX13/Sheet4!$C10</f>
        <v>1</v>
      </c>
      <c r="BX10" s="43">
        <f>ዕቁብ!BY13/Sheet4!$C10</f>
        <v>1</v>
      </c>
      <c r="BY10" s="43">
        <f>ዕቁብ!BZ13/Sheet4!$C10</f>
        <v>1</v>
      </c>
      <c r="BZ10" s="43">
        <f>ዕቁብ!CA13/Sheet4!$C10</f>
        <v>1</v>
      </c>
      <c r="CA10" s="43">
        <f>ዕቁብ!CB13/Sheet4!$C10</f>
        <v>1</v>
      </c>
      <c r="CB10" s="43">
        <f>ዕቁብ!CC13/Sheet4!$C10</f>
        <v>1</v>
      </c>
      <c r="CC10" s="43">
        <f>ዕቁብ!CD13/Sheet4!$C10</f>
        <v>1</v>
      </c>
      <c r="CD10" s="43">
        <f>ዕቁብ!CE13/Sheet4!$C10</f>
        <v>1</v>
      </c>
      <c r="CE10" s="43">
        <f>ዕቁብ!CF13/Sheet4!$C10</f>
        <v>1</v>
      </c>
      <c r="CF10" s="43">
        <f>ዕቁብ!CG13/Sheet4!$C10</f>
        <v>1</v>
      </c>
      <c r="CG10" s="43">
        <f>ዕቁብ!CH13/Sheet4!$C10</f>
        <v>1</v>
      </c>
      <c r="CH10" s="43">
        <f>ዕቁብ!CI13/Sheet4!$C10</f>
        <v>1</v>
      </c>
      <c r="CI10" s="43">
        <f>ዕቁብ!CJ13/Sheet4!$C10</f>
        <v>1</v>
      </c>
      <c r="CJ10" s="43">
        <f>ዕቁብ!CK13/Sheet4!$C10</f>
        <v>1</v>
      </c>
      <c r="CK10" s="43">
        <f>ዕቁብ!CL13/Sheet4!$C10</f>
        <v>1</v>
      </c>
      <c r="CL10" s="43">
        <f>ዕቁብ!CM13/Sheet4!$C10</f>
        <v>1</v>
      </c>
      <c r="CM10" s="43">
        <f>ዕቁብ!CN13/Sheet4!$C10</f>
        <v>1</v>
      </c>
      <c r="CN10" s="43">
        <f>ዕቁብ!CO13/Sheet4!$C10</f>
        <v>1</v>
      </c>
      <c r="CO10" s="43">
        <f>ዕቁብ!CP13/Sheet4!$C10</f>
        <v>1</v>
      </c>
      <c r="CP10" s="43">
        <f>ዕቁብ!CQ13/Sheet4!$C10</f>
        <v>1</v>
      </c>
      <c r="CQ10" s="43">
        <f>ዕቁብ!CR13/Sheet4!$C10</f>
        <v>1</v>
      </c>
      <c r="CR10" s="43">
        <f>ዕቁብ!CS13/Sheet4!$C10</f>
        <v>1</v>
      </c>
      <c r="CS10" s="43">
        <f>ዕቁብ!CT13/Sheet4!$C10</f>
        <v>1</v>
      </c>
      <c r="CT10" s="43">
        <f>ዕቁብ!CU13/Sheet4!$C10</f>
        <v>1</v>
      </c>
      <c r="CU10" s="43">
        <f>ዕቁብ!CV13/Sheet4!$C10</f>
        <v>1</v>
      </c>
      <c r="CV10" s="43">
        <f>ዕቁብ!CW13/Sheet4!$C10</f>
        <v>1</v>
      </c>
      <c r="CW10" s="43">
        <f>ዕቁብ!CX13/Sheet4!$C10</f>
        <v>1</v>
      </c>
      <c r="CX10" s="43">
        <f>ዕቁብ!CY13/Sheet4!$C10</f>
        <v>1</v>
      </c>
      <c r="CY10" s="43">
        <f>ዕቁብ!CZ13/Sheet4!$C10</f>
        <v>1</v>
      </c>
      <c r="CZ10" s="43">
        <f>ዕቁብ!DA13/Sheet4!$C10</f>
        <v>1</v>
      </c>
      <c r="DA10" s="43">
        <f>ዕቁብ!DB13/Sheet4!$C10</f>
        <v>1</v>
      </c>
      <c r="DB10" s="43">
        <f>ዕቁብ!DC13/Sheet4!$C10</f>
        <v>1</v>
      </c>
      <c r="DC10" s="43">
        <f>ዕቁብ!DD13/Sheet4!$C10</f>
        <v>1</v>
      </c>
      <c r="DD10" s="43">
        <f>ዕቁብ!DE13/Sheet4!$C10</f>
        <v>1</v>
      </c>
      <c r="DE10" s="43">
        <f>ዕቁብ!DF13/Sheet4!$C10</f>
        <v>1</v>
      </c>
      <c r="DF10" s="43">
        <f>ዕቁብ!DG13/Sheet4!$C10</f>
        <v>1</v>
      </c>
      <c r="DG10" s="43">
        <f>ዕቁብ!DH13/Sheet4!$C10</f>
        <v>1</v>
      </c>
      <c r="DH10" s="43">
        <f>ዕቁብ!DI13/Sheet4!$C10</f>
        <v>0</v>
      </c>
      <c r="DI10" s="43">
        <f>ዕቁብ!DJ13/Sheet4!$C10</f>
        <v>0</v>
      </c>
      <c r="DJ10" s="43">
        <f>ዕቁብ!DK13/Sheet4!$C10</f>
        <v>0</v>
      </c>
      <c r="DK10" s="43">
        <f>ዕቁብ!DL13/Sheet4!$C10</f>
        <v>0</v>
      </c>
      <c r="DL10" s="43">
        <f>ዕቁብ!DM13/Sheet4!$C10</f>
        <v>0</v>
      </c>
      <c r="DM10" s="43">
        <f>ዕቁብ!DN13/Sheet4!$C10</f>
        <v>0</v>
      </c>
      <c r="DN10" s="43">
        <f>ዕቁብ!DO13/Sheet4!$C10</f>
        <v>0</v>
      </c>
      <c r="DO10" s="43">
        <f>ዕቁብ!DP13/Sheet4!$C10</f>
        <v>0</v>
      </c>
      <c r="DP10" s="43">
        <f>ዕቁብ!DQ13/Sheet4!$C10</f>
        <v>0</v>
      </c>
      <c r="DQ10" s="43">
        <f>ዕቁብ!DR13/Sheet4!$C10</f>
        <v>0</v>
      </c>
    </row>
    <row r="11" spans="1:121" ht="14.4" x14ac:dyDescent="0.3">
      <c r="A11" s="40">
        <f>ዕቁብ!A14</f>
        <v>9</v>
      </c>
      <c r="B11" s="40" t="str">
        <f>ዕቁብ!B14</f>
        <v>ሲንታየሁ ካሳ</v>
      </c>
      <c r="C11" s="30">
        <f>ዕቁብ!C14</f>
        <v>21000</v>
      </c>
      <c r="D11" s="43">
        <f>ዕቁብ!E14/Sheet4!$C11</f>
        <v>1</v>
      </c>
      <c r="E11" s="43">
        <f>ዕቁብ!F14/Sheet4!$C11</f>
        <v>1</v>
      </c>
      <c r="F11" s="43">
        <f>ዕቁብ!G14/Sheet4!$C11</f>
        <v>1</v>
      </c>
      <c r="G11" s="43">
        <f>ዕቁብ!H14/Sheet4!$C11</f>
        <v>1</v>
      </c>
      <c r="H11" s="43">
        <f>ዕቁብ!I14/Sheet4!$C11</f>
        <v>1</v>
      </c>
      <c r="I11" s="43">
        <f>ዕቁብ!J14/Sheet4!$C11</f>
        <v>1</v>
      </c>
      <c r="J11" s="43">
        <f>ዕቁብ!K14/Sheet4!$C11</f>
        <v>1</v>
      </c>
      <c r="K11" s="43">
        <f>ዕቁብ!L14/Sheet4!$C11</f>
        <v>1</v>
      </c>
      <c r="L11" s="43">
        <f>ዕቁብ!M14/Sheet4!$C11</f>
        <v>1</v>
      </c>
      <c r="M11" s="43">
        <f>ዕቁብ!N14/Sheet4!$C11</f>
        <v>1</v>
      </c>
      <c r="N11" s="43">
        <f>ዕቁብ!O14/Sheet4!$C11</f>
        <v>1</v>
      </c>
      <c r="O11" s="43">
        <f>ዕቁብ!P14/Sheet4!$C11</f>
        <v>1</v>
      </c>
      <c r="P11" s="43">
        <f>ዕቁብ!Q14/Sheet4!$C11</f>
        <v>1</v>
      </c>
      <c r="Q11" s="43">
        <f>ዕቁብ!R14/Sheet4!$C11</f>
        <v>1</v>
      </c>
      <c r="R11" s="43">
        <f>ዕቁብ!S14/Sheet4!$C11</f>
        <v>1</v>
      </c>
      <c r="S11" s="43">
        <f>ዕቁብ!T14/Sheet4!$C11</f>
        <v>1</v>
      </c>
      <c r="T11" s="43">
        <f>ዕቁብ!U14/Sheet4!$C11</f>
        <v>1</v>
      </c>
      <c r="U11" s="43">
        <f>ዕቁብ!V14/Sheet4!$C11</f>
        <v>1</v>
      </c>
      <c r="V11" s="43">
        <f>ዕቁብ!W14/Sheet4!$C11</f>
        <v>1</v>
      </c>
      <c r="W11" s="43">
        <f>ዕቁብ!X14/Sheet4!$C11</f>
        <v>1</v>
      </c>
      <c r="X11" s="43">
        <f>ዕቁብ!Y14/Sheet4!$C11</f>
        <v>1</v>
      </c>
      <c r="Y11" s="43">
        <f>ዕቁብ!Z14/Sheet4!$C11</f>
        <v>1</v>
      </c>
      <c r="Z11" s="43">
        <f>ዕቁብ!AA14/Sheet4!$C11</f>
        <v>1</v>
      </c>
      <c r="AA11" s="43">
        <f>ዕቁብ!AB14/Sheet4!$C11</f>
        <v>1</v>
      </c>
      <c r="AB11" s="43">
        <f>ዕቁብ!AC14/Sheet4!$C11</f>
        <v>1</v>
      </c>
      <c r="AC11" s="43">
        <f>ዕቁብ!AD14/Sheet4!$C11</f>
        <v>1</v>
      </c>
      <c r="AD11" s="43">
        <f>ዕቁብ!AE14/Sheet4!$C11</f>
        <v>1</v>
      </c>
      <c r="AE11" s="43">
        <f>ዕቁብ!AF14/Sheet4!$C11</f>
        <v>1</v>
      </c>
      <c r="AF11" s="43">
        <f>ዕቁብ!AG14/Sheet4!$C11</f>
        <v>1</v>
      </c>
      <c r="AG11" s="43">
        <f>ዕቁብ!AH14/Sheet4!$C11</f>
        <v>1</v>
      </c>
      <c r="AH11" s="43">
        <f>ዕቁብ!AI14/Sheet4!$C11</f>
        <v>1</v>
      </c>
      <c r="AI11" s="43">
        <f>ዕቁብ!AJ14/Sheet4!$C11</f>
        <v>1</v>
      </c>
      <c r="AJ11" s="43">
        <f>ዕቁብ!AK14/Sheet4!$C11</f>
        <v>1</v>
      </c>
      <c r="AK11" s="43">
        <f>ዕቁብ!AL14/Sheet4!$C11</f>
        <v>1</v>
      </c>
      <c r="AL11" s="43">
        <f>ዕቁብ!AM14/Sheet4!$C11</f>
        <v>1</v>
      </c>
      <c r="AM11" s="43">
        <f>ዕቁብ!AN14/Sheet4!$C11</f>
        <v>1</v>
      </c>
      <c r="AN11" s="43">
        <f>ዕቁብ!AO14/Sheet4!$C11</f>
        <v>1</v>
      </c>
      <c r="AO11" s="43">
        <f>ዕቁብ!AP14/Sheet4!$C11</f>
        <v>1</v>
      </c>
      <c r="AP11" s="43">
        <f>ዕቁብ!AQ14/Sheet4!$C11</f>
        <v>1</v>
      </c>
      <c r="AQ11" s="43">
        <f>ዕቁብ!AR14/Sheet4!$C11</f>
        <v>1</v>
      </c>
      <c r="AR11" s="43">
        <f>ዕቁብ!AS14/Sheet4!$C11</f>
        <v>1</v>
      </c>
      <c r="AS11" s="43">
        <f>ዕቁብ!AT14/Sheet4!$C11</f>
        <v>1</v>
      </c>
      <c r="AT11" s="43">
        <f>ዕቁብ!AU14/Sheet4!$C11</f>
        <v>1</v>
      </c>
      <c r="AU11" s="43">
        <f>ዕቁብ!AV14/Sheet4!$C11</f>
        <v>1</v>
      </c>
      <c r="AV11" s="43">
        <f>ዕቁብ!AW14/Sheet4!$C11</f>
        <v>1</v>
      </c>
      <c r="AW11" s="43">
        <f>ዕቁብ!AX14/Sheet4!$C11</f>
        <v>1</v>
      </c>
      <c r="AX11" s="43">
        <f>ዕቁብ!AY14/Sheet4!$C11</f>
        <v>1</v>
      </c>
      <c r="AY11" s="43">
        <f>ዕቁብ!AZ14/Sheet4!$C11</f>
        <v>1</v>
      </c>
      <c r="AZ11" s="43">
        <f>ዕቁብ!BA14/Sheet4!$C11</f>
        <v>1</v>
      </c>
      <c r="BA11" s="43">
        <f>ዕቁብ!BB14/Sheet4!$C11</f>
        <v>1</v>
      </c>
      <c r="BB11" s="43">
        <f>ዕቁብ!BC14/Sheet4!$C11</f>
        <v>1</v>
      </c>
      <c r="BC11" s="43">
        <f>ዕቁብ!BD14/Sheet4!$C11</f>
        <v>1</v>
      </c>
      <c r="BD11" s="43">
        <f>ዕቁብ!BE14/Sheet4!$C11</f>
        <v>1</v>
      </c>
      <c r="BE11" s="43">
        <f>ዕቁብ!BF14/Sheet4!$C11</f>
        <v>1</v>
      </c>
      <c r="BF11" s="43">
        <f>ዕቁብ!BG14/Sheet4!$C11</f>
        <v>1</v>
      </c>
      <c r="BG11" s="43">
        <f>ዕቁብ!BH14/Sheet4!$C11</f>
        <v>1</v>
      </c>
      <c r="BH11" s="43">
        <f>ዕቁብ!BI14/Sheet4!$C11</f>
        <v>1</v>
      </c>
      <c r="BI11" s="43">
        <f>ዕቁብ!BJ14/Sheet4!$C11</f>
        <v>1</v>
      </c>
      <c r="BJ11" s="43">
        <f>ዕቁብ!BK14/Sheet4!$C11</f>
        <v>1</v>
      </c>
      <c r="BK11" s="43">
        <f>ዕቁብ!BL14/Sheet4!$C11</f>
        <v>1</v>
      </c>
      <c r="BL11" s="43">
        <f>ዕቁብ!BM14/Sheet4!$C11</f>
        <v>1</v>
      </c>
      <c r="BM11" s="43">
        <f>ዕቁብ!BN14/Sheet4!$C11</f>
        <v>1</v>
      </c>
      <c r="BN11" s="43">
        <f>ዕቁብ!BO14/Sheet4!$C11</f>
        <v>1</v>
      </c>
      <c r="BO11" s="43">
        <f>ዕቁብ!BP14/Sheet4!$C11</f>
        <v>0</v>
      </c>
      <c r="BP11" s="43">
        <f>ዕቁብ!BQ14/Sheet4!$C11</f>
        <v>2</v>
      </c>
      <c r="BQ11" s="43">
        <f>ዕቁብ!BR14/Sheet4!$C11</f>
        <v>1</v>
      </c>
      <c r="BR11" s="43">
        <f>ዕቁብ!BS14/Sheet4!$C11</f>
        <v>1</v>
      </c>
      <c r="BS11" s="43">
        <f>ዕቁብ!BT14/Sheet4!$C11</f>
        <v>1</v>
      </c>
      <c r="BT11" s="43">
        <f>ዕቁብ!BU14/Sheet4!$C11</f>
        <v>1</v>
      </c>
      <c r="BU11" s="43">
        <f>ዕቁብ!BV14/Sheet4!$C11</f>
        <v>1</v>
      </c>
      <c r="BV11" s="43">
        <f>ዕቁብ!BW14/Sheet4!$C11</f>
        <v>1</v>
      </c>
      <c r="BW11" s="43">
        <f>ዕቁብ!BX14/Sheet4!$C11</f>
        <v>1</v>
      </c>
      <c r="BX11" s="43">
        <f>ዕቁብ!BY14/Sheet4!$C11</f>
        <v>1</v>
      </c>
      <c r="BY11" s="43">
        <f>ዕቁብ!BZ14/Sheet4!$C11</f>
        <v>1</v>
      </c>
      <c r="BZ11" s="43">
        <f>ዕቁብ!CA14/Sheet4!$C11</f>
        <v>1</v>
      </c>
      <c r="CA11" s="43">
        <f>ዕቁብ!CB14/Sheet4!$C11</f>
        <v>1</v>
      </c>
      <c r="CB11" s="43">
        <f>ዕቁብ!CC14/Sheet4!$C11</f>
        <v>1</v>
      </c>
      <c r="CC11" s="43">
        <f>ዕቁብ!CD14/Sheet4!$C11</f>
        <v>1</v>
      </c>
      <c r="CD11" s="43">
        <f>ዕቁብ!CE14/Sheet4!$C11</f>
        <v>1</v>
      </c>
      <c r="CE11" s="43">
        <f>ዕቁብ!CF14/Sheet4!$C11</f>
        <v>1</v>
      </c>
      <c r="CF11" s="43">
        <f>ዕቁብ!CG14/Sheet4!$C11</f>
        <v>1</v>
      </c>
      <c r="CG11" s="43">
        <f>ዕቁብ!CH14/Sheet4!$C11</f>
        <v>1</v>
      </c>
      <c r="CH11" s="43">
        <f>ዕቁብ!CI14/Sheet4!$C11</f>
        <v>1</v>
      </c>
      <c r="CI11" s="43">
        <f>ዕቁብ!CJ14/Sheet4!$C11</f>
        <v>1</v>
      </c>
      <c r="CJ11" s="43">
        <f>ዕቁብ!CK14/Sheet4!$C11</f>
        <v>1</v>
      </c>
      <c r="CK11" s="43">
        <f>ዕቁብ!CL14/Sheet4!$C11</f>
        <v>1</v>
      </c>
      <c r="CL11" s="43">
        <f>ዕቁብ!CM14/Sheet4!$C11</f>
        <v>1</v>
      </c>
      <c r="CM11" s="43">
        <f>ዕቁብ!CN14/Sheet4!$C11</f>
        <v>1</v>
      </c>
      <c r="CN11" s="43">
        <f>ዕቁብ!CO14/Sheet4!$C11</f>
        <v>1</v>
      </c>
      <c r="CO11" s="43">
        <f>ዕቁብ!CP14/Sheet4!$C11</f>
        <v>1</v>
      </c>
      <c r="CP11" s="43">
        <f>ዕቁብ!CQ14/Sheet4!$C11</f>
        <v>1</v>
      </c>
      <c r="CQ11" s="43">
        <f>ዕቁብ!CR14/Sheet4!$C11</f>
        <v>1</v>
      </c>
      <c r="CR11" s="43">
        <f>ዕቁብ!CS14/Sheet4!$C11</f>
        <v>1</v>
      </c>
      <c r="CS11" s="43">
        <f>ዕቁብ!CT14/Sheet4!$C11</f>
        <v>1</v>
      </c>
      <c r="CT11" s="43">
        <f>ዕቁብ!CU14/Sheet4!$C11</f>
        <v>1</v>
      </c>
      <c r="CU11" s="43">
        <f>ዕቁብ!CV14/Sheet4!$C11</f>
        <v>1</v>
      </c>
      <c r="CV11" s="43">
        <f>ዕቁብ!CW14/Sheet4!$C11</f>
        <v>1</v>
      </c>
      <c r="CW11" s="43">
        <f>ዕቁብ!CX14/Sheet4!$C11</f>
        <v>1</v>
      </c>
      <c r="CX11" s="43">
        <f>ዕቁብ!CY14/Sheet4!$C11</f>
        <v>1</v>
      </c>
      <c r="CY11" s="43">
        <f>ዕቁብ!CZ14/Sheet4!$C11</f>
        <v>1</v>
      </c>
      <c r="CZ11" s="43">
        <f>ዕቁብ!DA14/Sheet4!$C11</f>
        <v>1</v>
      </c>
      <c r="DA11" s="43">
        <f>ዕቁብ!DB14/Sheet4!$C11</f>
        <v>1</v>
      </c>
      <c r="DB11" s="43">
        <f>ዕቁብ!DC14/Sheet4!$C11</f>
        <v>1</v>
      </c>
      <c r="DC11" s="43">
        <f>ዕቁብ!DD14/Sheet4!$C11</f>
        <v>1</v>
      </c>
      <c r="DD11" s="43">
        <f>ዕቁብ!DE14/Sheet4!$C11</f>
        <v>1</v>
      </c>
      <c r="DE11" s="43">
        <f>ዕቁብ!DF14/Sheet4!$C11</f>
        <v>1</v>
      </c>
      <c r="DF11" s="43">
        <f>ዕቁብ!DG14/Sheet4!$C11</f>
        <v>1</v>
      </c>
      <c r="DG11" s="43">
        <f>ዕቁብ!DH14/Sheet4!$C11</f>
        <v>1</v>
      </c>
      <c r="DH11" s="43">
        <f>ዕቁብ!DI14/Sheet4!$C11</f>
        <v>0</v>
      </c>
      <c r="DI11" s="43">
        <f>ዕቁብ!DJ14/Sheet4!$C11</f>
        <v>0</v>
      </c>
      <c r="DJ11" s="43">
        <f>ዕቁብ!DK14/Sheet4!$C11</f>
        <v>0</v>
      </c>
      <c r="DK11" s="43">
        <f>ዕቁብ!DL14/Sheet4!$C11</f>
        <v>0</v>
      </c>
      <c r="DL11" s="43">
        <f>ዕቁብ!DM14/Sheet4!$C11</f>
        <v>0</v>
      </c>
      <c r="DM11" s="43">
        <f>ዕቁብ!DN14/Sheet4!$C11</f>
        <v>0</v>
      </c>
      <c r="DN11" s="43">
        <f>ዕቁብ!DO14/Sheet4!$C11</f>
        <v>0</v>
      </c>
      <c r="DO11" s="43">
        <f>ዕቁብ!DP14/Sheet4!$C11</f>
        <v>0</v>
      </c>
      <c r="DP11" s="43">
        <f>ዕቁብ!DQ14/Sheet4!$C11</f>
        <v>0</v>
      </c>
      <c r="DQ11" s="43">
        <f>ዕቁብ!DR14/Sheet4!$C11</f>
        <v>0</v>
      </c>
    </row>
    <row r="12" spans="1:121" ht="14.4" x14ac:dyDescent="0.3">
      <c r="A12" s="40">
        <f>ዕቁብ!A15</f>
        <v>10</v>
      </c>
      <c r="B12" s="40" t="str">
        <f>ዕቁብ!B15</f>
        <v>ጥላነሽ ከበደ</v>
      </c>
      <c r="C12" s="30">
        <f>ዕቁብ!C15</f>
        <v>21000</v>
      </c>
      <c r="D12" s="43">
        <f>ዕቁብ!E15/Sheet4!$C12</f>
        <v>1</v>
      </c>
      <c r="E12" s="43">
        <f>ዕቁብ!F15/Sheet4!$C12</f>
        <v>1</v>
      </c>
      <c r="F12" s="43">
        <f>ዕቁብ!G15/Sheet4!$C12</f>
        <v>1</v>
      </c>
      <c r="G12" s="43">
        <f>ዕቁብ!H15/Sheet4!$C12</f>
        <v>1</v>
      </c>
      <c r="H12" s="43">
        <f>ዕቁብ!I15/Sheet4!$C12</f>
        <v>1</v>
      </c>
      <c r="I12" s="43">
        <f>ዕቁብ!J15/Sheet4!$C12</f>
        <v>1</v>
      </c>
      <c r="J12" s="43">
        <f>ዕቁብ!K15/Sheet4!$C12</f>
        <v>1</v>
      </c>
      <c r="K12" s="43">
        <f>ዕቁብ!L15/Sheet4!$C12</f>
        <v>1</v>
      </c>
      <c r="L12" s="43">
        <f>ዕቁብ!M15/Sheet4!$C12</f>
        <v>1</v>
      </c>
      <c r="M12" s="43">
        <f>ዕቁብ!N15/Sheet4!$C12</f>
        <v>1</v>
      </c>
      <c r="N12" s="43">
        <f>ዕቁብ!O15/Sheet4!$C12</f>
        <v>1</v>
      </c>
      <c r="O12" s="43">
        <f>ዕቁብ!P15/Sheet4!$C12</f>
        <v>1</v>
      </c>
      <c r="P12" s="43">
        <f>ዕቁብ!Q15/Sheet4!$C12</f>
        <v>1</v>
      </c>
      <c r="Q12" s="43">
        <f>ዕቁብ!R15/Sheet4!$C12</f>
        <v>1</v>
      </c>
      <c r="R12" s="43">
        <f>ዕቁብ!S15/Sheet4!$C12</f>
        <v>1</v>
      </c>
      <c r="S12" s="43">
        <f>ዕቁብ!T15/Sheet4!$C12</f>
        <v>1</v>
      </c>
      <c r="T12" s="43">
        <f>ዕቁብ!U15/Sheet4!$C12</f>
        <v>1</v>
      </c>
      <c r="U12" s="43">
        <f>ዕቁብ!V15/Sheet4!$C12</f>
        <v>1</v>
      </c>
      <c r="V12" s="43">
        <f>ዕቁብ!W15/Sheet4!$C12</f>
        <v>1</v>
      </c>
      <c r="W12" s="43">
        <f>ዕቁብ!X15/Sheet4!$C12</f>
        <v>1</v>
      </c>
      <c r="X12" s="43">
        <f>ዕቁብ!Y15/Sheet4!$C12</f>
        <v>1</v>
      </c>
      <c r="Y12" s="43">
        <f>ዕቁብ!Z15/Sheet4!$C12</f>
        <v>1</v>
      </c>
      <c r="Z12" s="43">
        <f>ዕቁብ!AA15/Sheet4!$C12</f>
        <v>1</v>
      </c>
      <c r="AA12" s="43">
        <f>ዕቁብ!AB15/Sheet4!$C12</f>
        <v>1</v>
      </c>
      <c r="AB12" s="43">
        <f>ዕቁብ!AC15/Sheet4!$C12</f>
        <v>1</v>
      </c>
      <c r="AC12" s="43">
        <f>ዕቁብ!AD15/Sheet4!$C12</f>
        <v>1</v>
      </c>
      <c r="AD12" s="43">
        <f>ዕቁብ!AE15/Sheet4!$C12</f>
        <v>1</v>
      </c>
      <c r="AE12" s="43">
        <f>ዕቁብ!AF15/Sheet4!$C12</f>
        <v>1</v>
      </c>
      <c r="AF12" s="43">
        <f>ዕቁብ!AG15/Sheet4!$C12</f>
        <v>1</v>
      </c>
      <c r="AG12" s="43">
        <f>ዕቁብ!AH15/Sheet4!$C12</f>
        <v>1</v>
      </c>
      <c r="AH12" s="43">
        <f>ዕቁብ!AI15/Sheet4!$C12</f>
        <v>1</v>
      </c>
      <c r="AI12" s="43">
        <f>ዕቁብ!AJ15/Sheet4!$C12</f>
        <v>1</v>
      </c>
      <c r="AJ12" s="43">
        <f>ዕቁብ!AK15/Sheet4!$C12</f>
        <v>1</v>
      </c>
      <c r="AK12" s="43">
        <f>ዕቁብ!AL15/Sheet4!$C12</f>
        <v>1</v>
      </c>
      <c r="AL12" s="43">
        <f>ዕቁብ!AM15/Sheet4!$C12</f>
        <v>1</v>
      </c>
      <c r="AM12" s="43">
        <f>ዕቁብ!AN15/Sheet4!$C12</f>
        <v>1</v>
      </c>
      <c r="AN12" s="43">
        <f>ዕቁብ!AO15/Sheet4!$C12</f>
        <v>1</v>
      </c>
      <c r="AO12" s="43">
        <f>ዕቁብ!AP15/Sheet4!$C12</f>
        <v>0</v>
      </c>
      <c r="AP12" s="43">
        <f>ዕቁብ!AQ15/Sheet4!$C12</f>
        <v>2</v>
      </c>
      <c r="AQ12" s="43">
        <f>ዕቁብ!AR15/Sheet4!$C12</f>
        <v>1</v>
      </c>
      <c r="AR12" s="43">
        <f>ዕቁብ!AS15/Sheet4!$C12</f>
        <v>1</v>
      </c>
      <c r="AS12" s="43">
        <f>ዕቁብ!AT15/Sheet4!$C12</f>
        <v>1</v>
      </c>
      <c r="AT12" s="43">
        <f>ዕቁብ!AU15/Sheet4!$C12</f>
        <v>1</v>
      </c>
      <c r="AU12" s="43">
        <f>ዕቁብ!AV15/Sheet4!$C12</f>
        <v>1</v>
      </c>
      <c r="AV12" s="43">
        <f>ዕቁብ!AW15/Sheet4!$C12</f>
        <v>1</v>
      </c>
      <c r="AW12" s="43">
        <f>ዕቁብ!AX15/Sheet4!$C12</f>
        <v>1</v>
      </c>
      <c r="AX12" s="43">
        <f>ዕቁብ!AY15/Sheet4!$C12</f>
        <v>1</v>
      </c>
      <c r="AY12" s="43">
        <f>ዕቁብ!AZ15/Sheet4!$C12</f>
        <v>1</v>
      </c>
      <c r="AZ12" s="43">
        <f>ዕቁብ!BA15/Sheet4!$C12</f>
        <v>1</v>
      </c>
      <c r="BA12" s="43">
        <f>ዕቁብ!BB15/Sheet4!$C12</f>
        <v>1</v>
      </c>
      <c r="BB12" s="43">
        <f>ዕቁብ!BC15/Sheet4!$C12</f>
        <v>1</v>
      </c>
      <c r="BC12" s="43">
        <f>ዕቁብ!BD15/Sheet4!$C12</f>
        <v>1</v>
      </c>
      <c r="BD12" s="43">
        <f>ዕቁብ!BE15/Sheet4!$C12</f>
        <v>1</v>
      </c>
      <c r="BE12" s="43">
        <f>ዕቁብ!BF15/Sheet4!$C12</f>
        <v>1</v>
      </c>
      <c r="BF12" s="43">
        <f>ዕቁብ!BG15/Sheet4!$C12</f>
        <v>1</v>
      </c>
      <c r="BG12" s="43">
        <f>ዕቁብ!BH15/Sheet4!$C12</f>
        <v>1</v>
      </c>
      <c r="BH12" s="43">
        <f>ዕቁብ!BI15/Sheet4!$C12</f>
        <v>1</v>
      </c>
      <c r="BI12" s="43">
        <f>ዕቁብ!BJ15/Sheet4!$C12</f>
        <v>1</v>
      </c>
      <c r="BJ12" s="43">
        <f>ዕቁብ!BK15/Sheet4!$C12</f>
        <v>1</v>
      </c>
      <c r="BK12" s="43">
        <f>ዕቁብ!BL15/Sheet4!$C12</f>
        <v>1</v>
      </c>
      <c r="BL12" s="43">
        <f>ዕቁብ!BM15/Sheet4!$C12</f>
        <v>1</v>
      </c>
      <c r="BM12" s="43">
        <f>ዕቁብ!BN15/Sheet4!$C12</f>
        <v>0</v>
      </c>
      <c r="BN12" s="43">
        <f>ዕቁብ!BO15/Sheet4!$C12</f>
        <v>2</v>
      </c>
      <c r="BO12" s="43">
        <f>ዕቁብ!BP15/Sheet4!$C12</f>
        <v>1</v>
      </c>
      <c r="BP12" s="43">
        <f>ዕቁብ!BQ15/Sheet4!$C12</f>
        <v>1</v>
      </c>
      <c r="BQ12" s="43">
        <f>ዕቁብ!BR15/Sheet4!$C12</f>
        <v>1</v>
      </c>
      <c r="BR12" s="43">
        <f>ዕቁብ!BS15/Sheet4!$C12</f>
        <v>1</v>
      </c>
      <c r="BS12" s="43">
        <f>ዕቁብ!BT15/Sheet4!$C12</f>
        <v>1</v>
      </c>
      <c r="BT12" s="43">
        <f>ዕቁብ!BU15/Sheet4!$C12</f>
        <v>1</v>
      </c>
      <c r="BU12" s="43">
        <f>ዕቁብ!BV15/Sheet4!$C12</f>
        <v>1</v>
      </c>
      <c r="BV12" s="43">
        <f>ዕቁብ!BW15/Sheet4!$C12</f>
        <v>1</v>
      </c>
      <c r="BW12" s="43">
        <f>ዕቁብ!BX15/Sheet4!$C12</f>
        <v>1</v>
      </c>
      <c r="BX12" s="43">
        <f>ዕቁብ!BY15/Sheet4!$C12</f>
        <v>1</v>
      </c>
      <c r="BY12" s="43">
        <f>ዕቁብ!BZ15/Sheet4!$C12</f>
        <v>1</v>
      </c>
      <c r="BZ12" s="43">
        <f>ዕቁብ!CA15/Sheet4!$C12</f>
        <v>1</v>
      </c>
      <c r="CA12" s="43">
        <f>ዕቁብ!CB15/Sheet4!$C12</f>
        <v>1</v>
      </c>
      <c r="CB12" s="43">
        <f>ዕቁብ!CC15/Sheet4!$C12</f>
        <v>1</v>
      </c>
      <c r="CC12" s="43">
        <f>ዕቁብ!CD15/Sheet4!$C12</f>
        <v>1</v>
      </c>
      <c r="CD12" s="43">
        <f>ዕቁብ!CE15/Sheet4!$C12</f>
        <v>0</v>
      </c>
      <c r="CE12" s="43">
        <f>ዕቁብ!CF15/Sheet4!$C12</f>
        <v>2</v>
      </c>
      <c r="CF12" s="43">
        <f>ዕቁብ!CG15/Sheet4!$C12</f>
        <v>1</v>
      </c>
      <c r="CG12" s="43">
        <f>ዕቁብ!CH15/Sheet4!$C12</f>
        <v>1</v>
      </c>
      <c r="CH12" s="43">
        <f>ዕቁብ!CI15/Sheet4!$C12</f>
        <v>1</v>
      </c>
      <c r="CI12" s="43">
        <f>ዕቁብ!CJ15/Sheet4!$C12</f>
        <v>1</v>
      </c>
      <c r="CJ12" s="43">
        <f>ዕቁብ!CK15/Sheet4!$C12</f>
        <v>1</v>
      </c>
      <c r="CK12" s="43">
        <f>ዕቁብ!CL15/Sheet4!$C12</f>
        <v>1</v>
      </c>
      <c r="CL12" s="43">
        <f>ዕቁብ!CM15/Sheet4!$C12</f>
        <v>1</v>
      </c>
      <c r="CM12" s="43">
        <f>ዕቁብ!CN15/Sheet4!$C12</f>
        <v>1</v>
      </c>
      <c r="CN12" s="43">
        <f>ዕቁብ!CO15/Sheet4!$C12</f>
        <v>1</v>
      </c>
      <c r="CO12" s="43">
        <f>ዕቁብ!CP15/Sheet4!$C12</f>
        <v>1</v>
      </c>
      <c r="CP12" s="43">
        <f>ዕቁብ!CQ15/Sheet4!$C12</f>
        <v>1</v>
      </c>
      <c r="CQ12" s="43">
        <f>ዕቁብ!CR15/Sheet4!$C12</f>
        <v>1</v>
      </c>
      <c r="CR12" s="43">
        <f>ዕቁብ!CS15/Sheet4!$C12</f>
        <v>1</v>
      </c>
      <c r="CS12" s="43">
        <f>ዕቁብ!CT15/Sheet4!$C12</f>
        <v>1</v>
      </c>
      <c r="CT12" s="43">
        <f>ዕቁብ!CU15/Sheet4!$C12</f>
        <v>1</v>
      </c>
      <c r="CU12" s="43">
        <f>ዕቁብ!CV15/Sheet4!$C12</f>
        <v>1</v>
      </c>
      <c r="CV12" s="43">
        <f>ዕቁብ!CW15/Sheet4!$C12</f>
        <v>1</v>
      </c>
      <c r="CW12" s="43">
        <f>ዕቁብ!CX15/Sheet4!$C12</f>
        <v>1</v>
      </c>
      <c r="CX12" s="43">
        <f>ዕቁብ!CY15/Sheet4!$C12</f>
        <v>1</v>
      </c>
      <c r="CY12" s="43">
        <f>ዕቁብ!CZ15/Sheet4!$C12</f>
        <v>1</v>
      </c>
      <c r="CZ12" s="43">
        <f>ዕቁብ!DA15/Sheet4!$C12</f>
        <v>1</v>
      </c>
      <c r="DA12" s="43">
        <f>ዕቁብ!DB15/Sheet4!$C12</f>
        <v>1</v>
      </c>
      <c r="DB12" s="43">
        <f>ዕቁብ!DC15/Sheet4!$C12</f>
        <v>1</v>
      </c>
      <c r="DC12" s="43">
        <f>ዕቁብ!DD15/Sheet4!$C12</f>
        <v>1</v>
      </c>
      <c r="DD12" s="43">
        <f>ዕቁብ!DE15/Sheet4!$C12</f>
        <v>1</v>
      </c>
      <c r="DE12" s="43">
        <f>ዕቁብ!DF15/Sheet4!$C12</f>
        <v>1</v>
      </c>
      <c r="DF12" s="43">
        <f>ዕቁብ!DG15/Sheet4!$C12</f>
        <v>1</v>
      </c>
      <c r="DG12" s="43">
        <f>ዕቁብ!DH15/Sheet4!$C12</f>
        <v>1</v>
      </c>
      <c r="DH12" s="43">
        <f>ዕቁብ!DI15/Sheet4!$C12</f>
        <v>0</v>
      </c>
      <c r="DI12" s="43">
        <f>ዕቁብ!DJ15/Sheet4!$C12</f>
        <v>0</v>
      </c>
      <c r="DJ12" s="43">
        <f>ዕቁብ!DK15/Sheet4!$C12</f>
        <v>0</v>
      </c>
      <c r="DK12" s="43">
        <f>ዕቁብ!DL15/Sheet4!$C12</f>
        <v>0</v>
      </c>
      <c r="DL12" s="43">
        <f>ዕቁብ!DM15/Sheet4!$C12</f>
        <v>0</v>
      </c>
      <c r="DM12" s="43">
        <f>ዕቁብ!DN15/Sheet4!$C12</f>
        <v>0</v>
      </c>
      <c r="DN12" s="43">
        <f>ዕቁብ!DO15/Sheet4!$C12</f>
        <v>0</v>
      </c>
      <c r="DO12" s="43">
        <f>ዕቁብ!DP15/Sheet4!$C12</f>
        <v>0</v>
      </c>
      <c r="DP12" s="43">
        <f>ዕቁብ!DQ15/Sheet4!$C12</f>
        <v>0</v>
      </c>
      <c r="DQ12" s="43">
        <f>ዕቁብ!DR15/Sheet4!$C12</f>
        <v>0</v>
      </c>
    </row>
    <row r="13" spans="1:121" ht="14.4" x14ac:dyDescent="0.3">
      <c r="A13" s="40">
        <f>ዕቁብ!A16</f>
        <v>11</v>
      </c>
      <c r="B13" s="40" t="str">
        <f>ዕቁብ!B16</f>
        <v>ሄኖክ በቀለ</v>
      </c>
      <c r="C13" s="30">
        <f>ዕቁብ!C16</f>
        <v>21000</v>
      </c>
      <c r="D13" s="43">
        <f>ዕቁብ!E16/Sheet4!$C13</f>
        <v>1</v>
      </c>
      <c r="E13" s="43">
        <f>ዕቁብ!F16/Sheet4!$C13</f>
        <v>1</v>
      </c>
      <c r="F13" s="43">
        <f>ዕቁብ!G16/Sheet4!$C13</f>
        <v>1</v>
      </c>
      <c r="G13" s="43">
        <f>ዕቁብ!H16/Sheet4!$C13</f>
        <v>1</v>
      </c>
      <c r="H13" s="43">
        <f>ዕቁብ!I16/Sheet4!$C13</f>
        <v>1</v>
      </c>
      <c r="I13" s="43">
        <f>ዕቁብ!J16/Sheet4!$C13</f>
        <v>1</v>
      </c>
      <c r="J13" s="43">
        <f>ዕቁብ!K16/Sheet4!$C13</f>
        <v>1</v>
      </c>
      <c r="K13" s="43">
        <f>ዕቁብ!L16/Sheet4!$C13</f>
        <v>1</v>
      </c>
      <c r="L13" s="43">
        <f>ዕቁብ!M16/Sheet4!$C13</f>
        <v>1</v>
      </c>
      <c r="M13" s="43">
        <f>ዕቁብ!N16/Sheet4!$C13</f>
        <v>1</v>
      </c>
      <c r="N13" s="43">
        <f>ዕቁብ!O16/Sheet4!$C13</f>
        <v>1</v>
      </c>
      <c r="O13" s="43">
        <f>ዕቁብ!P16/Sheet4!$C13</f>
        <v>1</v>
      </c>
      <c r="P13" s="43">
        <f>ዕቁብ!Q16/Sheet4!$C13</f>
        <v>1</v>
      </c>
      <c r="Q13" s="43">
        <f>ዕቁብ!R16/Sheet4!$C13</f>
        <v>1</v>
      </c>
      <c r="R13" s="43">
        <f>ዕቁብ!S16/Sheet4!$C13</f>
        <v>1</v>
      </c>
      <c r="S13" s="43">
        <f>ዕቁብ!T16/Sheet4!$C13</f>
        <v>1</v>
      </c>
      <c r="T13" s="43">
        <f>ዕቁብ!U16/Sheet4!$C13</f>
        <v>1</v>
      </c>
      <c r="U13" s="43">
        <f>ዕቁብ!V16/Sheet4!$C13</f>
        <v>1</v>
      </c>
      <c r="V13" s="43">
        <f>ዕቁብ!W16/Sheet4!$C13</f>
        <v>1</v>
      </c>
      <c r="W13" s="43">
        <f>ዕቁብ!X16/Sheet4!$C13</f>
        <v>1</v>
      </c>
      <c r="X13" s="43">
        <f>ዕቁብ!Y16/Sheet4!$C13</f>
        <v>1</v>
      </c>
      <c r="Y13" s="43">
        <f>ዕቁብ!Z16/Sheet4!$C13</f>
        <v>1</v>
      </c>
      <c r="Z13" s="43">
        <f>ዕቁብ!AA16/Sheet4!$C13</f>
        <v>1</v>
      </c>
      <c r="AA13" s="43">
        <f>ዕቁብ!AB16/Sheet4!$C13</f>
        <v>1</v>
      </c>
      <c r="AB13" s="43">
        <f>ዕቁብ!AC16/Sheet4!$C13</f>
        <v>1</v>
      </c>
      <c r="AC13" s="43">
        <f>ዕቁብ!AD16/Sheet4!$C13</f>
        <v>1</v>
      </c>
      <c r="AD13" s="43">
        <f>ዕቁብ!AE16/Sheet4!$C13</f>
        <v>1</v>
      </c>
      <c r="AE13" s="43">
        <f>ዕቁብ!AF16/Sheet4!$C13</f>
        <v>1</v>
      </c>
      <c r="AF13" s="43">
        <f>ዕቁብ!AG16/Sheet4!$C13</f>
        <v>0</v>
      </c>
      <c r="AG13" s="43">
        <f>ዕቁብ!AH16/Sheet4!$C13</f>
        <v>2</v>
      </c>
      <c r="AH13" s="43">
        <f>ዕቁብ!AI16/Sheet4!$C13</f>
        <v>1</v>
      </c>
      <c r="AI13" s="43">
        <f>ዕቁብ!AJ16/Sheet4!$C13</f>
        <v>1</v>
      </c>
      <c r="AJ13" s="43">
        <f>ዕቁብ!AK16/Sheet4!$C13</f>
        <v>1</v>
      </c>
      <c r="AK13" s="43">
        <f>ዕቁብ!AL16/Sheet4!$C13</f>
        <v>1</v>
      </c>
      <c r="AL13" s="43">
        <f>ዕቁብ!AM16/Sheet4!$C13</f>
        <v>1</v>
      </c>
      <c r="AM13" s="43">
        <f>ዕቁብ!AN16/Sheet4!$C13</f>
        <v>1</v>
      </c>
      <c r="AN13" s="43">
        <f>ዕቁብ!AO16/Sheet4!$C13</f>
        <v>1</v>
      </c>
      <c r="AO13" s="43">
        <f>ዕቁብ!AP16/Sheet4!$C13</f>
        <v>1</v>
      </c>
      <c r="AP13" s="43">
        <f>ዕቁብ!AQ16/Sheet4!$C13</f>
        <v>1</v>
      </c>
      <c r="AQ13" s="43">
        <f>ዕቁብ!AR16/Sheet4!$C13</f>
        <v>1</v>
      </c>
      <c r="AR13" s="43">
        <f>ዕቁብ!AS16/Sheet4!$C13</f>
        <v>1</v>
      </c>
      <c r="AS13" s="43">
        <f>ዕቁብ!AT16/Sheet4!$C13</f>
        <v>1</v>
      </c>
      <c r="AT13" s="43">
        <f>ዕቁብ!AU16/Sheet4!$C13</f>
        <v>1</v>
      </c>
      <c r="AU13" s="43">
        <f>ዕቁብ!AV16/Sheet4!$C13</f>
        <v>0</v>
      </c>
      <c r="AV13" s="43">
        <f>ዕቁብ!AW16/Sheet4!$C13</f>
        <v>2</v>
      </c>
      <c r="AW13" s="43">
        <f>ዕቁብ!AX16/Sheet4!$C13</f>
        <v>1</v>
      </c>
      <c r="AX13" s="43">
        <f>ዕቁብ!AY16/Sheet4!$C13</f>
        <v>1</v>
      </c>
      <c r="AY13" s="43">
        <f>ዕቁብ!AZ16/Sheet4!$C13</f>
        <v>1</v>
      </c>
      <c r="AZ13" s="43">
        <f>ዕቁብ!BA16/Sheet4!$C13</f>
        <v>1</v>
      </c>
      <c r="BA13" s="43">
        <f>ዕቁብ!BB16/Sheet4!$C13</f>
        <v>1</v>
      </c>
      <c r="BB13" s="43">
        <f>ዕቁብ!BC16/Sheet4!$C13</f>
        <v>1</v>
      </c>
      <c r="BC13" s="43">
        <f>ዕቁብ!BD16/Sheet4!$C13</f>
        <v>0</v>
      </c>
      <c r="BD13" s="43">
        <f>ዕቁብ!BE16/Sheet4!$C13</f>
        <v>1</v>
      </c>
      <c r="BE13" s="43">
        <f>ዕቁብ!BF16/Sheet4!$C13</f>
        <v>1</v>
      </c>
      <c r="BF13" s="43">
        <f>ዕቁብ!BG16/Sheet4!$C13</f>
        <v>1</v>
      </c>
      <c r="BG13" s="43">
        <f>ዕቁብ!BH16/Sheet4!$C13</f>
        <v>2</v>
      </c>
      <c r="BH13" s="43">
        <f>ዕቁብ!BI16/Sheet4!$C13</f>
        <v>1</v>
      </c>
      <c r="BI13" s="43">
        <f>ዕቁብ!BJ16/Sheet4!$C13</f>
        <v>1</v>
      </c>
      <c r="BJ13" s="43">
        <f>ዕቁብ!BK16/Sheet4!$C13</f>
        <v>1</v>
      </c>
      <c r="BK13" s="43">
        <f>ዕቁብ!BL16/Sheet4!$C13</f>
        <v>1</v>
      </c>
      <c r="BL13" s="43">
        <f>ዕቁብ!BM16/Sheet4!$C13</f>
        <v>1</v>
      </c>
      <c r="BM13" s="43">
        <f>ዕቁብ!BN16/Sheet4!$C13</f>
        <v>0</v>
      </c>
      <c r="BN13" s="43">
        <f>ዕቁብ!BO16/Sheet4!$C13</f>
        <v>1</v>
      </c>
      <c r="BO13" s="43">
        <f>ዕቁብ!BP16/Sheet4!$C13</f>
        <v>1</v>
      </c>
      <c r="BP13" s="43">
        <f>ዕቁብ!BQ16/Sheet4!$C13</f>
        <v>1</v>
      </c>
      <c r="BQ13" s="43">
        <f>ዕቁብ!BR16/Sheet4!$C13</f>
        <v>1</v>
      </c>
      <c r="BR13" s="43">
        <f>ዕቁብ!BS16/Sheet4!$C13</f>
        <v>1</v>
      </c>
      <c r="BS13" s="43">
        <f>ዕቁብ!BT16/Sheet4!$C13</f>
        <v>1</v>
      </c>
      <c r="BT13" s="43">
        <f>ዕቁብ!BU16/Sheet4!$C13</f>
        <v>1</v>
      </c>
      <c r="BU13" s="43">
        <f>ዕቁብ!BV16/Sheet4!$C13</f>
        <v>1</v>
      </c>
      <c r="BV13" s="43">
        <f>ዕቁብ!BW16/Sheet4!$C13</f>
        <v>1</v>
      </c>
      <c r="BW13" s="43">
        <f>ዕቁብ!BX16/Sheet4!$C13</f>
        <v>0</v>
      </c>
      <c r="BX13" s="43">
        <f>ዕቁብ!BY16/Sheet4!$C13</f>
        <v>1</v>
      </c>
      <c r="BY13" s="43">
        <f>ዕቁብ!BZ16/Sheet4!$C13</f>
        <v>0</v>
      </c>
      <c r="BZ13" s="43">
        <f>ዕቁብ!CA16/Sheet4!$C13</f>
        <v>0</v>
      </c>
      <c r="CA13" s="43">
        <f>ዕቁብ!CB16/Sheet4!$C13</f>
        <v>0</v>
      </c>
      <c r="CB13" s="43">
        <f>ዕቁብ!CC16/Sheet4!$C13</f>
        <v>0</v>
      </c>
      <c r="CC13" s="43">
        <f>ዕቁብ!CD16/Sheet4!$C13</f>
        <v>0</v>
      </c>
      <c r="CD13" s="43">
        <f>ዕቁብ!CE16/Sheet4!$C13</f>
        <v>0</v>
      </c>
      <c r="CE13" s="43">
        <f>ዕቁብ!CF16/Sheet4!$C13</f>
        <v>1</v>
      </c>
      <c r="CF13" s="43">
        <f>ዕቁብ!CG16/Sheet4!$C13</f>
        <v>1</v>
      </c>
      <c r="CG13" s="43">
        <f>ዕቁብ!CH16/Sheet4!$C13</f>
        <v>1</v>
      </c>
      <c r="CH13" s="43">
        <f>ዕቁብ!CI16/Sheet4!$C13</f>
        <v>1</v>
      </c>
      <c r="CI13" s="43">
        <f>ዕቁብ!CJ16/Sheet4!$C13</f>
        <v>2</v>
      </c>
      <c r="CJ13" s="43">
        <f>ዕቁብ!CK16/Sheet4!$C13</f>
        <v>0</v>
      </c>
      <c r="CK13" s="43">
        <f>ዕቁብ!CL16/Sheet4!$C13</f>
        <v>0</v>
      </c>
      <c r="CL13" s="43">
        <f>ዕቁብ!CM16/Sheet4!$C13</f>
        <v>1</v>
      </c>
      <c r="CM13" s="43">
        <f>ዕቁብ!CN16/Sheet4!$C13</f>
        <v>1</v>
      </c>
      <c r="CN13" s="43">
        <f>ዕቁብ!CO16/Sheet4!$C13</f>
        <v>0</v>
      </c>
      <c r="CO13" s="43">
        <f>ዕቁብ!CP16/Sheet4!$C13</f>
        <v>0</v>
      </c>
      <c r="CP13" s="43">
        <f>ዕቁብ!CQ16/Sheet4!$C13</f>
        <v>0</v>
      </c>
      <c r="CQ13" s="43">
        <f>ዕቁብ!CR16/Sheet4!$C13</f>
        <v>1</v>
      </c>
      <c r="CR13" s="43">
        <f>ዕቁብ!CS16/Sheet4!$C13</f>
        <v>0</v>
      </c>
      <c r="CS13" s="43">
        <f>ዕቁብ!CT16/Sheet4!$C13</f>
        <v>4</v>
      </c>
      <c r="CT13" s="43">
        <f>ዕቁብ!CU16/Sheet4!$C13</f>
        <v>0</v>
      </c>
      <c r="CU13" s="43">
        <f>ዕቁብ!CV16/Sheet4!$C13</f>
        <v>3</v>
      </c>
      <c r="CV13" s="43">
        <f>ዕቁብ!CW16/Sheet4!$C13</f>
        <v>0</v>
      </c>
      <c r="CW13" s="43">
        <f>ዕቁብ!CX16/Sheet4!$C13</f>
        <v>3</v>
      </c>
      <c r="CX13" s="43">
        <f>ዕቁብ!CY16/Sheet4!$C13</f>
        <v>1</v>
      </c>
      <c r="CY13" s="43">
        <f>ዕቁብ!CZ16/Sheet4!$C13</f>
        <v>2</v>
      </c>
      <c r="CZ13" s="43">
        <f>ዕቁብ!DA16/Sheet4!$C13</f>
        <v>1</v>
      </c>
      <c r="DA13" s="43">
        <f>ዕቁብ!DB16/Sheet4!$C13</f>
        <v>1</v>
      </c>
      <c r="DB13" s="43">
        <f>ዕቁብ!DC16/Sheet4!$C13</f>
        <v>0</v>
      </c>
      <c r="DC13" s="43">
        <f>ዕቁብ!DD16/Sheet4!$C13</f>
        <v>1</v>
      </c>
      <c r="DD13" s="43">
        <f>ዕቁብ!DE16/Sheet4!$C13</f>
        <v>2</v>
      </c>
      <c r="DE13" s="43">
        <f>ዕቁብ!DF16/Sheet4!$C13</f>
        <v>0</v>
      </c>
      <c r="DF13" s="43">
        <f>ዕቁብ!DG16/Sheet4!$C13</f>
        <v>2</v>
      </c>
      <c r="DG13" s="43">
        <f>ዕቁብ!DH16/Sheet4!$C13</f>
        <v>1</v>
      </c>
      <c r="DH13" s="43">
        <f>ዕቁብ!DI16/Sheet4!$C13</f>
        <v>0</v>
      </c>
      <c r="DI13" s="43">
        <f>ዕቁብ!DJ16/Sheet4!$C13</f>
        <v>0</v>
      </c>
      <c r="DJ13" s="43">
        <f>ዕቁብ!DK16/Sheet4!$C13</f>
        <v>0</v>
      </c>
      <c r="DK13" s="43">
        <f>ዕቁብ!DL16/Sheet4!$C13</f>
        <v>0</v>
      </c>
      <c r="DL13" s="43">
        <f>ዕቁብ!DM16/Sheet4!$C13</f>
        <v>0</v>
      </c>
      <c r="DM13" s="43">
        <f>ዕቁብ!DN16/Sheet4!$C13</f>
        <v>0</v>
      </c>
      <c r="DN13" s="43">
        <f>ዕቁብ!DO16/Sheet4!$C13</f>
        <v>0</v>
      </c>
      <c r="DO13" s="43">
        <f>ዕቁብ!DP16/Sheet4!$C13</f>
        <v>0</v>
      </c>
      <c r="DP13" s="43">
        <f>ዕቁብ!DQ16/Sheet4!$C13</f>
        <v>0</v>
      </c>
      <c r="DQ13" s="43">
        <f>ዕቁብ!DR16/Sheet4!$C13</f>
        <v>0</v>
      </c>
    </row>
    <row r="14" spans="1:121" ht="14.4" x14ac:dyDescent="0.3">
      <c r="A14" s="40">
        <f>ዕቁብ!A17</f>
        <v>12</v>
      </c>
      <c r="B14" s="40" t="str">
        <f>ዕቁብ!B17</f>
        <v>ሀብታሙ ፃዲቁ</v>
      </c>
      <c r="C14" s="30">
        <f>ዕቁብ!C17</f>
        <v>21000</v>
      </c>
      <c r="D14" s="43">
        <f>ዕቁብ!E17/Sheet4!$C14</f>
        <v>0</v>
      </c>
      <c r="E14" s="43">
        <f>ዕቁብ!F17/Sheet4!$C14</f>
        <v>0</v>
      </c>
      <c r="F14" s="43">
        <f>ዕቁብ!G17/Sheet4!$C14</f>
        <v>0</v>
      </c>
      <c r="G14" s="43">
        <f>ዕቁብ!H17/Sheet4!$C14</f>
        <v>0</v>
      </c>
      <c r="H14" s="43">
        <f>ዕቁብ!I17/Sheet4!$C14</f>
        <v>0</v>
      </c>
      <c r="I14" s="43">
        <f>ዕቁብ!J17/Sheet4!$C14</f>
        <v>0</v>
      </c>
      <c r="J14" s="43">
        <f>ዕቁብ!K17/Sheet4!$C14</f>
        <v>0</v>
      </c>
      <c r="K14" s="43">
        <f>ዕቁብ!L17/Sheet4!$C14</f>
        <v>0</v>
      </c>
      <c r="L14" s="43">
        <f>ዕቁብ!M17/Sheet4!$C14</f>
        <v>0</v>
      </c>
      <c r="M14" s="43">
        <f>ዕቁብ!N17/Sheet4!$C14</f>
        <v>0</v>
      </c>
      <c r="N14" s="43">
        <f>ዕቁብ!O17/Sheet4!$C14</f>
        <v>0</v>
      </c>
      <c r="O14" s="43">
        <f>ዕቁብ!P17/Sheet4!$C14</f>
        <v>0</v>
      </c>
      <c r="P14" s="43">
        <f>ዕቁብ!Q17/Sheet4!$C14</f>
        <v>0</v>
      </c>
      <c r="Q14" s="43">
        <f>ዕቁብ!R17/Sheet4!$C14</f>
        <v>0</v>
      </c>
      <c r="R14" s="43">
        <f>ዕቁብ!S17/Sheet4!$C14</f>
        <v>0</v>
      </c>
      <c r="S14" s="43">
        <f>ዕቁብ!T17/Sheet4!$C14</f>
        <v>0</v>
      </c>
      <c r="T14" s="43">
        <f>ዕቁብ!U17/Sheet4!$C14</f>
        <v>0</v>
      </c>
      <c r="U14" s="43">
        <f>ዕቁብ!V17/Sheet4!$C14</f>
        <v>0</v>
      </c>
      <c r="V14" s="43">
        <f>ዕቁብ!W17/Sheet4!$C14</f>
        <v>0</v>
      </c>
      <c r="W14" s="43">
        <f>ዕቁብ!X17/Sheet4!$C14</f>
        <v>0</v>
      </c>
      <c r="X14" s="43">
        <f>ዕቁብ!Y17/Sheet4!$C14</f>
        <v>0</v>
      </c>
      <c r="Y14" s="43">
        <f>ዕቁብ!Z17/Sheet4!$C14</f>
        <v>0</v>
      </c>
      <c r="Z14" s="43">
        <f>ዕቁብ!AA17/Sheet4!$C14</f>
        <v>0</v>
      </c>
      <c r="AA14" s="43">
        <f>ዕቁብ!AB17/Sheet4!$C14</f>
        <v>0</v>
      </c>
      <c r="AB14" s="43">
        <f>ዕቁብ!AC17/Sheet4!$C14</f>
        <v>0</v>
      </c>
      <c r="AC14" s="43">
        <f>ዕቁብ!AD17/Sheet4!$C14</f>
        <v>0</v>
      </c>
      <c r="AD14" s="43">
        <f>ዕቁብ!AE17/Sheet4!$C14</f>
        <v>0</v>
      </c>
      <c r="AE14" s="43">
        <f>ዕቁብ!AF17/Sheet4!$C14</f>
        <v>0</v>
      </c>
      <c r="AF14" s="43">
        <f>ዕቁብ!AG17/Sheet4!$C14</f>
        <v>0</v>
      </c>
      <c r="AG14" s="43">
        <f>ዕቁብ!AH17/Sheet4!$C14</f>
        <v>0</v>
      </c>
      <c r="AH14" s="43">
        <f>ዕቁብ!AI17/Sheet4!$C14</f>
        <v>0</v>
      </c>
      <c r="AI14" s="43">
        <f>ዕቁብ!AJ17/Sheet4!$C14</f>
        <v>0</v>
      </c>
      <c r="AJ14" s="43">
        <f>ዕቁብ!AK17/Sheet4!$C14</f>
        <v>0</v>
      </c>
      <c r="AK14" s="43">
        <f>ዕቁብ!AL17/Sheet4!$C14</f>
        <v>0</v>
      </c>
      <c r="AL14" s="43">
        <f>ዕቁብ!AM17/Sheet4!$C14</f>
        <v>0</v>
      </c>
      <c r="AM14" s="43">
        <f>ዕቁብ!AN17/Sheet4!$C14</f>
        <v>0</v>
      </c>
      <c r="AN14" s="43">
        <f>ዕቁብ!AO17/Sheet4!$C14</f>
        <v>0</v>
      </c>
      <c r="AO14" s="43">
        <f>ዕቁብ!AP17/Sheet4!$C14</f>
        <v>0</v>
      </c>
      <c r="AP14" s="43">
        <f>ዕቁብ!AQ17/Sheet4!$C14</f>
        <v>0</v>
      </c>
      <c r="AQ14" s="43">
        <f>ዕቁብ!AR17/Sheet4!$C14</f>
        <v>0</v>
      </c>
      <c r="AR14" s="43">
        <f>ዕቁብ!AS17/Sheet4!$C14</f>
        <v>0</v>
      </c>
      <c r="AS14" s="43">
        <f>ዕቁብ!AT17/Sheet4!$C14</f>
        <v>0</v>
      </c>
      <c r="AT14" s="43">
        <f>ዕቁብ!AU17/Sheet4!$C14</f>
        <v>0</v>
      </c>
      <c r="AU14" s="43">
        <f>ዕቁብ!AV17/Sheet4!$C14</f>
        <v>0</v>
      </c>
      <c r="AV14" s="43">
        <f>ዕቁብ!AW17/Sheet4!$C14</f>
        <v>0</v>
      </c>
      <c r="AW14" s="43">
        <f>ዕቁብ!AX17/Sheet4!$C14</f>
        <v>0</v>
      </c>
      <c r="AX14" s="43">
        <f>ዕቁብ!AY17/Sheet4!$C14</f>
        <v>0</v>
      </c>
      <c r="AY14" s="43">
        <f>ዕቁብ!AZ17/Sheet4!$C14</f>
        <v>0</v>
      </c>
      <c r="AZ14" s="43">
        <f>ዕቁብ!BA17/Sheet4!$C14</f>
        <v>0</v>
      </c>
      <c r="BA14" s="43">
        <f>ዕቁብ!BB17/Sheet4!$C14</f>
        <v>0</v>
      </c>
      <c r="BB14" s="43">
        <f>ዕቁብ!BC17/Sheet4!$C14</f>
        <v>0</v>
      </c>
      <c r="BC14" s="43">
        <f>ዕቁብ!BD17/Sheet4!$C14</f>
        <v>0</v>
      </c>
      <c r="BD14" s="43">
        <f>ዕቁብ!BE17/Sheet4!$C14</f>
        <v>0</v>
      </c>
      <c r="BE14" s="43">
        <f>ዕቁብ!BF17/Sheet4!$C14</f>
        <v>0</v>
      </c>
      <c r="BF14" s="43">
        <f>ዕቁብ!BG17/Sheet4!$C14</f>
        <v>0</v>
      </c>
      <c r="BG14" s="43">
        <f>ዕቁብ!BH17/Sheet4!$C14</f>
        <v>0</v>
      </c>
      <c r="BH14" s="43">
        <f>ዕቁብ!BI17/Sheet4!$C14</f>
        <v>0</v>
      </c>
      <c r="BI14" s="43">
        <f>ዕቁብ!BJ17/Sheet4!$C14</f>
        <v>0</v>
      </c>
      <c r="BJ14" s="43">
        <f>ዕቁብ!BK17/Sheet4!$C14</f>
        <v>0</v>
      </c>
      <c r="BK14" s="43">
        <f>ዕቁብ!BL17/Sheet4!$C14</f>
        <v>0</v>
      </c>
      <c r="BL14" s="43">
        <f>ዕቁብ!BM17/Sheet4!$C14</f>
        <v>0</v>
      </c>
      <c r="BM14" s="43">
        <f>ዕቁብ!BN17/Sheet4!$C14</f>
        <v>0</v>
      </c>
      <c r="BN14" s="43">
        <f>ዕቁብ!BO17/Sheet4!$C14</f>
        <v>0</v>
      </c>
      <c r="BO14" s="43">
        <f>ዕቁብ!BP17/Sheet4!$C14</f>
        <v>0</v>
      </c>
      <c r="BP14" s="43">
        <f>ዕቁብ!BQ17/Sheet4!$C14</f>
        <v>0</v>
      </c>
      <c r="BQ14" s="43">
        <f>ዕቁብ!BR17/Sheet4!$C14</f>
        <v>0</v>
      </c>
      <c r="BR14" s="43">
        <f>ዕቁብ!BS17/Sheet4!$C14</f>
        <v>0</v>
      </c>
      <c r="BS14" s="43">
        <f>ዕቁብ!BT17/Sheet4!$C14</f>
        <v>0</v>
      </c>
      <c r="BT14" s="43">
        <f>ዕቁብ!BU17/Sheet4!$C14</f>
        <v>0</v>
      </c>
      <c r="BU14" s="43">
        <f>ዕቁብ!BV17/Sheet4!$C14</f>
        <v>0</v>
      </c>
      <c r="BV14" s="43">
        <f>ዕቁብ!BW17/Sheet4!$C14</f>
        <v>0</v>
      </c>
      <c r="BW14" s="43">
        <f>ዕቁብ!BX17/Sheet4!$C14</f>
        <v>0</v>
      </c>
      <c r="BX14" s="43">
        <f>ዕቁብ!BY17/Sheet4!$C14</f>
        <v>0</v>
      </c>
      <c r="BY14" s="43">
        <f>ዕቁብ!BZ17/Sheet4!$C14</f>
        <v>0</v>
      </c>
      <c r="BZ14" s="43">
        <f>ዕቁብ!CA17/Sheet4!$C14</f>
        <v>0</v>
      </c>
      <c r="CA14" s="43">
        <f>ዕቁብ!CB17/Sheet4!$C14</f>
        <v>0</v>
      </c>
      <c r="CB14" s="43">
        <f>ዕቁብ!CC17/Sheet4!$C14</f>
        <v>0</v>
      </c>
      <c r="CC14" s="43">
        <f>ዕቁብ!CD17/Sheet4!$C14</f>
        <v>0</v>
      </c>
      <c r="CD14" s="43">
        <f>ዕቁብ!CE17/Sheet4!$C14</f>
        <v>0</v>
      </c>
      <c r="CE14" s="43">
        <f>ዕቁብ!CF17/Sheet4!$C14</f>
        <v>0</v>
      </c>
      <c r="CF14" s="43">
        <f>ዕቁብ!CG17/Sheet4!$C14</f>
        <v>0</v>
      </c>
      <c r="CG14" s="43">
        <f>ዕቁብ!CH17/Sheet4!$C14</f>
        <v>0</v>
      </c>
      <c r="CH14" s="43">
        <f>ዕቁብ!CI17/Sheet4!$C14</f>
        <v>0</v>
      </c>
      <c r="CI14" s="43">
        <f>ዕቁብ!CJ17/Sheet4!$C14</f>
        <v>0</v>
      </c>
      <c r="CJ14" s="43">
        <f>ዕቁብ!CK17/Sheet4!$C14</f>
        <v>0</v>
      </c>
      <c r="CK14" s="43">
        <f>ዕቁብ!CL17/Sheet4!$C14</f>
        <v>0</v>
      </c>
      <c r="CL14" s="43">
        <f>ዕቁብ!CM17/Sheet4!$C14</f>
        <v>0</v>
      </c>
      <c r="CM14" s="43">
        <f>ዕቁብ!CN17/Sheet4!$C14</f>
        <v>0</v>
      </c>
      <c r="CN14" s="43">
        <f>ዕቁብ!CO17/Sheet4!$C14</f>
        <v>0</v>
      </c>
      <c r="CO14" s="43">
        <f>ዕቁብ!CP17/Sheet4!$C14</f>
        <v>0</v>
      </c>
      <c r="CP14" s="43">
        <f>ዕቁብ!CQ17/Sheet4!$C14</f>
        <v>0</v>
      </c>
      <c r="CQ14" s="43">
        <f>ዕቁብ!CR17/Sheet4!$C14</f>
        <v>0</v>
      </c>
      <c r="CR14" s="43">
        <f>ዕቁብ!CS17/Sheet4!$C14</f>
        <v>0</v>
      </c>
      <c r="CS14" s="43">
        <f>ዕቁብ!CT17/Sheet4!$C14</f>
        <v>0</v>
      </c>
      <c r="CT14" s="43">
        <f>ዕቁብ!CU17/Sheet4!$C14</f>
        <v>0</v>
      </c>
      <c r="CU14" s="43">
        <f>ዕቁብ!CV17/Sheet4!$C14</f>
        <v>0</v>
      </c>
      <c r="CV14" s="43">
        <f>ዕቁብ!CW17/Sheet4!$C14</f>
        <v>0</v>
      </c>
      <c r="CW14" s="43">
        <f>ዕቁብ!CX17/Sheet4!$C14</f>
        <v>0</v>
      </c>
      <c r="CX14" s="43">
        <f>ዕቁብ!CY17/Sheet4!$C14</f>
        <v>0</v>
      </c>
      <c r="CY14" s="43">
        <f>ዕቁብ!CZ17/Sheet4!$C14</f>
        <v>0</v>
      </c>
      <c r="CZ14" s="43">
        <f>ዕቁብ!DA17/Sheet4!$C14</f>
        <v>0</v>
      </c>
      <c r="DA14" s="43">
        <f>ዕቁብ!DB17/Sheet4!$C14</f>
        <v>0</v>
      </c>
      <c r="DB14" s="43">
        <f>ዕቁብ!DC17/Sheet4!$C14</f>
        <v>0</v>
      </c>
      <c r="DC14" s="43">
        <f>ዕቁብ!DD17/Sheet4!$C14</f>
        <v>0</v>
      </c>
      <c r="DD14" s="43">
        <f>ዕቁብ!DE17/Sheet4!$C14</f>
        <v>0</v>
      </c>
      <c r="DE14" s="43">
        <f>ዕቁብ!DF17/Sheet4!$C14</f>
        <v>0</v>
      </c>
      <c r="DF14" s="43">
        <f>ዕቁብ!DG17/Sheet4!$C14</f>
        <v>0</v>
      </c>
      <c r="DG14" s="43">
        <f>ዕቁብ!DH17/Sheet4!$C14</f>
        <v>0</v>
      </c>
      <c r="DH14" s="43">
        <f>ዕቁብ!DI17/Sheet4!$C14</f>
        <v>0</v>
      </c>
      <c r="DI14" s="43">
        <f>ዕቁብ!DJ17/Sheet4!$C14</f>
        <v>0</v>
      </c>
      <c r="DJ14" s="43">
        <f>ዕቁብ!DK17/Sheet4!$C14</f>
        <v>0</v>
      </c>
      <c r="DK14" s="43">
        <f>ዕቁብ!DL17/Sheet4!$C14</f>
        <v>0</v>
      </c>
      <c r="DL14" s="43">
        <f>ዕቁብ!DM17/Sheet4!$C14</f>
        <v>0</v>
      </c>
      <c r="DM14" s="43">
        <f>ዕቁብ!DN17/Sheet4!$C14</f>
        <v>0</v>
      </c>
      <c r="DN14" s="43">
        <f>ዕቁብ!DO17/Sheet4!$C14</f>
        <v>0</v>
      </c>
      <c r="DO14" s="43">
        <f>ዕቁብ!DP17/Sheet4!$C14</f>
        <v>0</v>
      </c>
      <c r="DP14" s="43">
        <f>ዕቁብ!DQ17/Sheet4!$C14</f>
        <v>0</v>
      </c>
      <c r="DQ14" s="43">
        <f>ዕቁብ!DR17/Sheet4!$C14</f>
        <v>0</v>
      </c>
    </row>
    <row r="15" spans="1:121" ht="14.4" x14ac:dyDescent="0.3">
      <c r="A15" s="40">
        <f>ዕቁብ!A18</f>
        <v>13</v>
      </c>
      <c r="B15" s="40" t="str">
        <f>ዕቁብ!B18</f>
        <v>ፍሬው ኢትዮጲያ</v>
      </c>
      <c r="C15" s="30">
        <f>ዕቁብ!C18</f>
        <v>21000</v>
      </c>
      <c r="D15" s="43">
        <f>ዕቁብ!E18/Sheet4!$C15</f>
        <v>1</v>
      </c>
      <c r="E15" s="43">
        <f>ዕቁብ!F18/Sheet4!$C15</f>
        <v>1</v>
      </c>
      <c r="F15" s="43">
        <f>ዕቁብ!G18/Sheet4!$C15</f>
        <v>1</v>
      </c>
      <c r="G15" s="43">
        <f>ዕቁብ!H18/Sheet4!$C15</f>
        <v>1</v>
      </c>
      <c r="H15" s="43">
        <f>ዕቁብ!I18/Sheet4!$C15</f>
        <v>1</v>
      </c>
      <c r="I15" s="43">
        <f>ዕቁብ!J18/Sheet4!$C15</f>
        <v>1</v>
      </c>
      <c r="J15" s="43">
        <f>ዕቁብ!K18/Sheet4!$C15</f>
        <v>1</v>
      </c>
      <c r="K15" s="43">
        <f>ዕቁብ!L18/Sheet4!$C15</f>
        <v>1</v>
      </c>
      <c r="L15" s="43">
        <f>ዕቁብ!M18/Sheet4!$C15</f>
        <v>1</v>
      </c>
      <c r="M15" s="43">
        <f>ዕቁብ!N18/Sheet4!$C15</f>
        <v>1</v>
      </c>
      <c r="N15" s="43">
        <f>ዕቁብ!O18/Sheet4!$C15</f>
        <v>1</v>
      </c>
      <c r="O15" s="43">
        <f>ዕቁብ!P18/Sheet4!$C15</f>
        <v>1</v>
      </c>
      <c r="P15" s="43">
        <f>ዕቁብ!Q18/Sheet4!$C15</f>
        <v>1</v>
      </c>
      <c r="Q15" s="43">
        <f>ዕቁብ!R18/Sheet4!$C15</f>
        <v>1</v>
      </c>
      <c r="R15" s="43">
        <f>ዕቁብ!S18/Sheet4!$C15</f>
        <v>1</v>
      </c>
      <c r="S15" s="43">
        <f>ዕቁብ!T18/Sheet4!$C15</f>
        <v>1</v>
      </c>
      <c r="T15" s="43">
        <f>ዕቁብ!U18/Sheet4!$C15</f>
        <v>1</v>
      </c>
      <c r="U15" s="43">
        <f>ዕቁብ!V18/Sheet4!$C15</f>
        <v>1</v>
      </c>
      <c r="V15" s="43">
        <f>ዕቁብ!W18/Sheet4!$C15</f>
        <v>1</v>
      </c>
      <c r="W15" s="43">
        <f>ዕቁብ!X18/Sheet4!$C15</f>
        <v>1</v>
      </c>
      <c r="X15" s="43">
        <f>ዕቁብ!Y18/Sheet4!$C15</f>
        <v>1</v>
      </c>
      <c r="Y15" s="43">
        <f>ዕቁብ!Z18/Sheet4!$C15</f>
        <v>1</v>
      </c>
      <c r="Z15" s="43">
        <f>ዕቁብ!AA18/Sheet4!$C15</f>
        <v>1</v>
      </c>
      <c r="AA15" s="43">
        <f>ዕቁብ!AB18/Sheet4!$C15</f>
        <v>1</v>
      </c>
      <c r="AB15" s="43">
        <f>ዕቁብ!AC18/Sheet4!$C15</f>
        <v>1</v>
      </c>
      <c r="AC15" s="43">
        <f>ዕቁብ!AD18/Sheet4!$C15</f>
        <v>1</v>
      </c>
      <c r="AD15" s="43">
        <f>ዕቁብ!AE18/Sheet4!$C15</f>
        <v>1</v>
      </c>
      <c r="AE15" s="43">
        <f>ዕቁብ!AF18/Sheet4!$C15</f>
        <v>1</v>
      </c>
      <c r="AF15" s="43">
        <f>ዕቁብ!AG18/Sheet4!$C15</f>
        <v>1</v>
      </c>
      <c r="AG15" s="43">
        <f>ዕቁብ!AH18/Sheet4!$C15</f>
        <v>1</v>
      </c>
      <c r="AH15" s="43">
        <f>ዕቁብ!AI18/Sheet4!$C15</f>
        <v>1</v>
      </c>
      <c r="AI15" s="43">
        <f>ዕቁብ!AJ18/Sheet4!$C15</f>
        <v>1</v>
      </c>
      <c r="AJ15" s="43">
        <f>ዕቁብ!AK18/Sheet4!$C15</f>
        <v>1</v>
      </c>
      <c r="AK15" s="43">
        <f>ዕቁብ!AL18/Sheet4!$C15</f>
        <v>1</v>
      </c>
      <c r="AL15" s="43">
        <f>ዕቁብ!AM18/Sheet4!$C15</f>
        <v>1</v>
      </c>
      <c r="AM15" s="43">
        <f>ዕቁብ!AN18/Sheet4!$C15</f>
        <v>1</v>
      </c>
      <c r="AN15" s="43">
        <f>ዕቁብ!AO18/Sheet4!$C15</f>
        <v>1</v>
      </c>
      <c r="AO15" s="43">
        <f>ዕቁብ!AP18/Sheet4!$C15</f>
        <v>1</v>
      </c>
      <c r="AP15" s="43">
        <f>ዕቁብ!AQ18/Sheet4!$C15</f>
        <v>1</v>
      </c>
      <c r="AQ15" s="43">
        <f>ዕቁብ!AR18/Sheet4!$C15</f>
        <v>1</v>
      </c>
      <c r="AR15" s="43">
        <f>ዕቁብ!AS18/Sheet4!$C15</f>
        <v>1</v>
      </c>
      <c r="AS15" s="43">
        <f>ዕቁብ!AT18/Sheet4!$C15</f>
        <v>1</v>
      </c>
      <c r="AT15" s="43">
        <f>ዕቁብ!AU18/Sheet4!$C15</f>
        <v>1</v>
      </c>
      <c r="AU15" s="43">
        <f>ዕቁብ!AV18/Sheet4!$C15</f>
        <v>1</v>
      </c>
      <c r="AV15" s="43">
        <f>ዕቁብ!AW18/Sheet4!$C15</f>
        <v>1</v>
      </c>
      <c r="AW15" s="43">
        <f>ዕቁብ!AX18/Sheet4!$C15</f>
        <v>1</v>
      </c>
      <c r="AX15" s="43">
        <f>ዕቁብ!AY18/Sheet4!$C15</f>
        <v>1</v>
      </c>
      <c r="AY15" s="43">
        <f>ዕቁብ!AZ18/Sheet4!$C15</f>
        <v>1</v>
      </c>
      <c r="AZ15" s="43">
        <f>ዕቁብ!BA18/Sheet4!$C15</f>
        <v>1</v>
      </c>
      <c r="BA15" s="43">
        <f>ዕቁብ!BB18/Sheet4!$C15</f>
        <v>1</v>
      </c>
      <c r="BB15" s="43">
        <f>ዕቁብ!BC18/Sheet4!$C15</f>
        <v>1</v>
      </c>
      <c r="BC15" s="43">
        <f>ዕቁብ!BD18/Sheet4!$C15</f>
        <v>1</v>
      </c>
      <c r="BD15" s="43">
        <f>ዕቁብ!BE18/Sheet4!$C15</f>
        <v>1</v>
      </c>
      <c r="BE15" s="43">
        <f>ዕቁብ!BF18/Sheet4!$C15</f>
        <v>1</v>
      </c>
      <c r="BF15" s="43">
        <f>ዕቁብ!BG18/Sheet4!$C15</f>
        <v>1</v>
      </c>
      <c r="BG15" s="43">
        <f>ዕቁብ!BH18/Sheet4!$C15</f>
        <v>1</v>
      </c>
      <c r="BH15" s="43">
        <f>ዕቁብ!BI18/Sheet4!$C15</f>
        <v>1</v>
      </c>
      <c r="BI15" s="43">
        <f>ዕቁብ!BJ18/Sheet4!$C15</f>
        <v>1</v>
      </c>
      <c r="BJ15" s="43">
        <f>ዕቁብ!BK18/Sheet4!$C15</f>
        <v>1</v>
      </c>
      <c r="BK15" s="43">
        <f>ዕቁብ!BL18/Sheet4!$C15</f>
        <v>1</v>
      </c>
      <c r="BL15" s="43">
        <f>ዕቁብ!BM18/Sheet4!$C15</f>
        <v>1</v>
      </c>
      <c r="BM15" s="43">
        <f>ዕቁብ!BN18/Sheet4!$C15</f>
        <v>1</v>
      </c>
      <c r="BN15" s="43">
        <f>ዕቁብ!BO18/Sheet4!$C15</f>
        <v>1</v>
      </c>
      <c r="BO15" s="43">
        <f>ዕቁብ!BP18/Sheet4!$C15</f>
        <v>1</v>
      </c>
      <c r="BP15" s="43">
        <f>ዕቁብ!BQ18/Sheet4!$C15</f>
        <v>1</v>
      </c>
      <c r="BQ15" s="43">
        <f>ዕቁብ!BR18/Sheet4!$C15</f>
        <v>1</v>
      </c>
      <c r="BR15" s="43">
        <f>ዕቁብ!BS18/Sheet4!$C15</f>
        <v>1</v>
      </c>
      <c r="BS15" s="43">
        <f>ዕቁብ!BT18/Sheet4!$C15</f>
        <v>1</v>
      </c>
      <c r="BT15" s="43">
        <f>ዕቁብ!BU18/Sheet4!$C15</f>
        <v>1</v>
      </c>
      <c r="BU15" s="43">
        <f>ዕቁብ!BV18/Sheet4!$C15</f>
        <v>1</v>
      </c>
      <c r="BV15" s="43">
        <f>ዕቁብ!BW18/Sheet4!$C15</f>
        <v>1</v>
      </c>
      <c r="BW15" s="43">
        <f>ዕቁብ!BX18/Sheet4!$C15</f>
        <v>1</v>
      </c>
      <c r="BX15" s="43">
        <f>ዕቁብ!BY18/Sheet4!$C15</f>
        <v>1</v>
      </c>
      <c r="BY15" s="43">
        <f>ዕቁብ!BZ18/Sheet4!$C15</f>
        <v>1</v>
      </c>
      <c r="BZ15" s="43">
        <f>ዕቁብ!CA18/Sheet4!$C15</f>
        <v>1</v>
      </c>
      <c r="CA15" s="43">
        <f>ዕቁብ!CB18/Sheet4!$C15</f>
        <v>1</v>
      </c>
      <c r="CB15" s="43">
        <f>ዕቁብ!CC18/Sheet4!$C15</f>
        <v>1</v>
      </c>
      <c r="CC15" s="43">
        <f>ዕቁብ!CD18/Sheet4!$C15</f>
        <v>1</v>
      </c>
      <c r="CD15" s="43">
        <f>ዕቁብ!CE18/Sheet4!$C15</f>
        <v>1</v>
      </c>
      <c r="CE15" s="43">
        <f>ዕቁብ!CF18/Sheet4!$C15</f>
        <v>1</v>
      </c>
      <c r="CF15" s="43">
        <f>ዕቁብ!CG18/Sheet4!$C15</f>
        <v>1</v>
      </c>
      <c r="CG15" s="43">
        <f>ዕቁብ!CH18/Sheet4!$C15</f>
        <v>1</v>
      </c>
      <c r="CH15" s="43">
        <f>ዕቁብ!CI18/Sheet4!$C15</f>
        <v>1</v>
      </c>
      <c r="CI15" s="43">
        <f>ዕቁብ!CJ18/Sheet4!$C15</f>
        <v>1</v>
      </c>
      <c r="CJ15" s="43">
        <f>ዕቁብ!CK18/Sheet4!$C15</f>
        <v>1</v>
      </c>
      <c r="CK15" s="43">
        <f>ዕቁብ!CL18/Sheet4!$C15</f>
        <v>1</v>
      </c>
      <c r="CL15" s="43">
        <f>ዕቁብ!CM18/Sheet4!$C15</f>
        <v>1</v>
      </c>
      <c r="CM15" s="43">
        <f>ዕቁብ!CN18/Sheet4!$C15</f>
        <v>1</v>
      </c>
      <c r="CN15" s="43">
        <f>ዕቁብ!CO18/Sheet4!$C15</f>
        <v>1</v>
      </c>
      <c r="CO15" s="43">
        <f>ዕቁብ!CP18/Sheet4!$C15</f>
        <v>1</v>
      </c>
      <c r="CP15" s="43">
        <f>ዕቁብ!CQ18/Sheet4!$C15</f>
        <v>1</v>
      </c>
      <c r="CQ15" s="43">
        <f>ዕቁብ!CR18/Sheet4!$C15</f>
        <v>1</v>
      </c>
      <c r="CR15" s="43">
        <f>ዕቁብ!CS18/Sheet4!$C15</f>
        <v>1</v>
      </c>
      <c r="CS15" s="43">
        <f>ዕቁብ!CT18/Sheet4!$C15</f>
        <v>1</v>
      </c>
      <c r="CT15" s="43">
        <f>ዕቁብ!CU18/Sheet4!$C15</f>
        <v>1</v>
      </c>
      <c r="CU15" s="43">
        <f>ዕቁብ!CV18/Sheet4!$C15</f>
        <v>1</v>
      </c>
      <c r="CV15" s="43">
        <f>ዕቁብ!CW18/Sheet4!$C15</f>
        <v>1</v>
      </c>
      <c r="CW15" s="43">
        <f>ዕቁብ!CX18/Sheet4!$C15</f>
        <v>1</v>
      </c>
      <c r="CX15" s="43">
        <f>ዕቁብ!CY18/Sheet4!$C15</f>
        <v>1</v>
      </c>
      <c r="CY15" s="43">
        <f>ዕቁብ!CZ18/Sheet4!$C15</f>
        <v>1</v>
      </c>
      <c r="CZ15" s="43">
        <f>ዕቁብ!DA18/Sheet4!$C15</f>
        <v>1</v>
      </c>
      <c r="DA15" s="43">
        <f>ዕቁብ!DB18/Sheet4!$C15</f>
        <v>1</v>
      </c>
      <c r="DB15" s="43">
        <f>ዕቁብ!DC18/Sheet4!$C15</f>
        <v>1</v>
      </c>
      <c r="DC15" s="43">
        <f>ዕቁብ!DD18/Sheet4!$C15</f>
        <v>1</v>
      </c>
      <c r="DD15" s="43">
        <f>ዕቁብ!DE18/Sheet4!$C15</f>
        <v>1</v>
      </c>
      <c r="DE15" s="43">
        <f>ዕቁብ!DF18/Sheet4!$C15</f>
        <v>1</v>
      </c>
      <c r="DF15" s="43">
        <f>ዕቁብ!DG18/Sheet4!$C15</f>
        <v>1</v>
      </c>
      <c r="DG15" s="43">
        <f>ዕቁብ!DH18/Sheet4!$C15</f>
        <v>1</v>
      </c>
      <c r="DH15" s="43">
        <f>ዕቁብ!DI18/Sheet4!$C15</f>
        <v>0</v>
      </c>
      <c r="DI15" s="43">
        <f>ዕቁብ!DJ18/Sheet4!$C15</f>
        <v>0</v>
      </c>
      <c r="DJ15" s="43">
        <f>ዕቁብ!DK18/Sheet4!$C15</f>
        <v>0</v>
      </c>
      <c r="DK15" s="43">
        <f>ዕቁብ!DL18/Sheet4!$C15</f>
        <v>0</v>
      </c>
      <c r="DL15" s="43">
        <f>ዕቁብ!DM18/Sheet4!$C15</f>
        <v>0</v>
      </c>
      <c r="DM15" s="43">
        <f>ዕቁብ!DN18/Sheet4!$C15</f>
        <v>0</v>
      </c>
      <c r="DN15" s="43">
        <f>ዕቁብ!DO18/Sheet4!$C15</f>
        <v>0</v>
      </c>
      <c r="DO15" s="43">
        <f>ዕቁብ!DP18/Sheet4!$C15</f>
        <v>0</v>
      </c>
      <c r="DP15" s="43">
        <f>ዕቁብ!DQ18/Sheet4!$C15</f>
        <v>0</v>
      </c>
      <c r="DQ15" s="43">
        <f>ዕቁብ!DR18/Sheet4!$C15</f>
        <v>0</v>
      </c>
    </row>
    <row r="16" spans="1:121" ht="14.4" x14ac:dyDescent="0.3">
      <c r="A16" s="40">
        <f>ዕቁብ!A19</f>
        <v>14</v>
      </c>
      <c r="B16" s="40" t="str">
        <f>ዕቁብ!B19</f>
        <v>አስራት ኩሳ</v>
      </c>
      <c r="C16" s="30">
        <f>ዕቁብ!C19</f>
        <v>21000</v>
      </c>
      <c r="D16" s="43">
        <f>ዕቁብ!E19/Sheet4!$C16</f>
        <v>1</v>
      </c>
      <c r="E16" s="43">
        <f>ዕቁብ!F19/Sheet4!$C16</f>
        <v>1</v>
      </c>
      <c r="F16" s="43">
        <f>ዕቁብ!G19/Sheet4!$C16</f>
        <v>1</v>
      </c>
      <c r="G16" s="43">
        <f>ዕቁብ!H19/Sheet4!$C16</f>
        <v>1</v>
      </c>
      <c r="H16" s="43">
        <f>ዕቁብ!I19/Sheet4!$C16</f>
        <v>1</v>
      </c>
      <c r="I16" s="43">
        <f>ዕቁብ!J19/Sheet4!$C16</f>
        <v>1</v>
      </c>
      <c r="J16" s="43">
        <f>ዕቁብ!K19/Sheet4!$C16</f>
        <v>1</v>
      </c>
      <c r="K16" s="43">
        <f>ዕቁብ!L19/Sheet4!$C16</f>
        <v>1</v>
      </c>
      <c r="L16" s="43">
        <f>ዕቁብ!M19/Sheet4!$C16</f>
        <v>1</v>
      </c>
      <c r="M16" s="43">
        <f>ዕቁብ!N19/Sheet4!$C16</f>
        <v>1</v>
      </c>
      <c r="N16" s="43">
        <f>ዕቁብ!O19/Sheet4!$C16</f>
        <v>1</v>
      </c>
      <c r="O16" s="43">
        <f>ዕቁብ!P19/Sheet4!$C16</f>
        <v>1</v>
      </c>
      <c r="P16" s="43">
        <f>ዕቁብ!Q19/Sheet4!$C16</f>
        <v>1</v>
      </c>
      <c r="Q16" s="43">
        <f>ዕቁብ!R19/Sheet4!$C16</f>
        <v>1</v>
      </c>
      <c r="R16" s="43">
        <f>ዕቁብ!S19/Sheet4!$C16</f>
        <v>1</v>
      </c>
      <c r="S16" s="43">
        <f>ዕቁብ!T19/Sheet4!$C16</f>
        <v>1</v>
      </c>
      <c r="T16" s="43">
        <f>ዕቁብ!U19/Sheet4!$C16</f>
        <v>1</v>
      </c>
      <c r="U16" s="43">
        <f>ዕቁብ!V19/Sheet4!$C16</f>
        <v>1</v>
      </c>
      <c r="V16" s="43">
        <f>ዕቁብ!W19/Sheet4!$C16</f>
        <v>1</v>
      </c>
      <c r="W16" s="43">
        <f>ዕቁብ!X19/Sheet4!$C16</f>
        <v>0</v>
      </c>
      <c r="X16" s="43">
        <f>ዕቁብ!Y19/Sheet4!$C16</f>
        <v>2</v>
      </c>
      <c r="Y16" s="43">
        <f>ዕቁብ!Z19/Sheet4!$C16</f>
        <v>1</v>
      </c>
      <c r="Z16" s="43">
        <f>ዕቁብ!AA19/Sheet4!$C16</f>
        <v>1</v>
      </c>
      <c r="AA16" s="43">
        <f>ዕቁብ!AB19/Sheet4!$C16</f>
        <v>1</v>
      </c>
      <c r="AB16" s="43">
        <f>ዕቁብ!AC19/Sheet4!$C16</f>
        <v>1</v>
      </c>
      <c r="AC16" s="43">
        <f>ዕቁብ!AD19/Sheet4!$C16</f>
        <v>1</v>
      </c>
      <c r="AD16" s="43">
        <f>ዕቁብ!AE19/Sheet4!$C16</f>
        <v>1</v>
      </c>
      <c r="AE16" s="43">
        <f>ዕቁብ!AF19/Sheet4!$C16</f>
        <v>0</v>
      </c>
      <c r="AF16" s="43">
        <f>ዕቁብ!AG19/Sheet4!$C16</f>
        <v>2</v>
      </c>
      <c r="AG16" s="43">
        <f>ዕቁብ!AH19/Sheet4!$C16</f>
        <v>1</v>
      </c>
      <c r="AH16" s="43">
        <f>ዕቁብ!AI19/Sheet4!$C16</f>
        <v>1</v>
      </c>
      <c r="AI16" s="43">
        <f>ዕቁብ!AJ19/Sheet4!$C16</f>
        <v>0</v>
      </c>
      <c r="AJ16" s="43">
        <f>ዕቁብ!AK19/Sheet4!$C16</f>
        <v>2</v>
      </c>
      <c r="AK16" s="43">
        <f>ዕቁብ!AL19/Sheet4!$C16</f>
        <v>1</v>
      </c>
      <c r="AL16" s="43">
        <f>ዕቁብ!AM19/Sheet4!$C16</f>
        <v>1</v>
      </c>
      <c r="AM16" s="43">
        <f>ዕቁብ!AN19/Sheet4!$C16</f>
        <v>0</v>
      </c>
      <c r="AN16" s="43">
        <f>ዕቁብ!AO19/Sheet4!$C16</f>
        <v>2</v>
      </c>
      <c r="AO16" s="43">
        <f>ዕቁብ!AP19/Sheet4!$C16</f>
        <v>1</v>
      </c>
      <c r="AP16" s="43">
        <f>ዕቁብ!AQ19/Sheet4!$C16</f>
        <v>1</v>
      </c>
      <c r="AQ16" s="43">
        <f>ዕቁብ!AR19/Sheet4!$C16</f>
        <v>1</v>
      </c>
      <c r="AR16" s="43">
        <f>ዕቁብ!AS19/Sheet4!$C16</f>
        <v>1</v>
      </c>
      <c r="AS16" s="43">
        <f>ዕቁብ!AT19/Sheet4!$C16</f>
        <v>1</v>
      </c>
      <c r="AT16" s="43">
        <f>ዕቁብ!AU19/Sheet4!$C16</f>
        <v>1</v>
      </c>
      <c r="AU16" s="43">
        <f>ዕቁብ!AV19/Sheet4!$C16</f>
        <v>1</v>
      </c>
      <c r="AV16" s="43">
        <f>ዕቁብ!AW19/Sheet4!$C16</f>
        <v>0</v>
      </c>
      <c r="AW16" s="43">
        <f>ዕቁብ!AX19/Sheet4!$C16</f>
        <v>1</v>
      </c>
      <c r="AX16" s="43">
        <f>ዕቁብ!AY19/Sheet4!$C16</f>
        <v>1</v>
      </c>
      <c r="AY16" s="43">
        <f>ዕቁብ!AZ19/Sheet4!$C16</f>
        <v>2</v>
      </c>
      <c r="AZ16" s="43">
        <f>ዕቁብ!BA19/Sheet4!$C16</f>
        <v>1</v>
      </c>
      <c r="BA16" s="43">
        <f>ዕቁብ!BB19/Sheet4!$C16</f>
        <v>1</v>
      </c>
      <c r="BB16" s="43">
        <f>ዕቁብ!BC19/Sheet4!$C16</f>
        <v>1</v>
      </c>
      <c r="BC16" s="43">
        <f>ዕቁብ!BD19/Sheet4!$C16</f>
        <v>1</v>
      </c>
      <c r="BD16" s="43">
        <f>ዕቁብ!BE19/Sheet4!$C16</f>
        <v>1</v>
      </c>
      <c r="BE16" s="43">
        <f>ዕቁብ!BF19/Sheet4!$C16</f>
        <v>1</v>
      </c>
      <c r="BF16" s="43">
        <f>ዕቁብ!BG19/Sheet4!$C16</f>
        <v>1</v>
      </c>
      <c r="BG16" s="43">
        <f>ዕቁብ!BH19/Sheet4!$C16</f>
        <v>0</v>
      </c>
      <c r="BH16" s="43">
        <f>ዕቁብ!BI19/Sheet4!$C16</f>
        <v>2</v>
      </c>
      <c r="BI16" s="43">
        <f>ዕቁብ!BJ19/Sheet4!$C16</f>
        <v>1</v>
      </c>
      <c r="BJ16" s="43">
        <f>ዕቁብ!BK19/Sheet4!$C16</f>
        <v>1</v>
      </c>
      <c r="BK16" s="43">
        <f>ዕቁብ!BL19/Sheet4!$C16</f>
        <v>0</v>
      </c>
      <c r="BL16" s="43">
        <f>ዕቁብ!BM19/Sheet4!$C16</f>
        <v>2</v>
      </c>
      <c r="BM16" s="43">
        <f>ዕቁብ!BN19/Sheet4!$C16</f>
        <v>1</v>
      </c>
      <c r="BN16" s="43">
        <f>ዕቁብ!BO19/Sheet4!$C16</f>
        <v>1</v>
      </c>
      <c r="BO16" s="43">
        <f>ዕቁብ!BP19/Sheet4!$C16</f>
        <v>0</v>
      </c>
      <c r="BP16" s="43">
        <f>ዕቁብ!BQ19/Sheet4!$C16</f>
        <v>2</v>
      </c>
      <c r="BQ16" s="43">
        <f>ዕቁብ!BR19/Sheet4!$C16</f>
        <v>0</v>
      </c>
      <c r="BR16" s="43">
        <f>ዕቁብ!BS19/Sheet4!$C16</f>
        <v>1</v>
      </c>
      <c r="BS16" s="43">
        <f>ዕቁብ!BT19/Sheet4!$C16</f>
        <v>1</v>
      </c>
      <c r="BT16" s="43">
        <f>ዕቁብ!BU19/Sheet4!$C16</f>
        <v>2</v>
      </c>
      <c r="BU16" s="43">
        <f>ዕቁብ!BV19/Sheet4!$C16</f>
        <v>1</v>
      </c>
      <c r="BV16" s="43">
        <f>ዕቁብ!BW19/Sheet4!$C16</f>
        <v>1</v>
      </c>
      <c r="BW16" s="43">
        <f>ዕቁብ!BX19/Sheet4!$C16</f>
        <v>0</v>
      </c>
      <c r="BX16" s="43">
        <f>ዕቁብ!BY19/Sheet4!$C16</f>
        <v>2</v>
      </c>
      <c r="BY16" s="43">
        <f>ዕቁብ!BZ19/Sheet4!$C16</f>
        <v>0</v>
      </c>
      <c r="BZ16" s="43">
        <f>ዕቁብ!CA19/Sheet4!$C16</f>
        <v>2</v>
      </c>
      <c r="CA16" s="43">
        <f>ዕቁብ!CB19/Sheet4!$C16</f>
        <v>1</v>
      </c>
      <c r="CB16" s="43">
        <f>ዕቁብ!CC19/Sheet4!$C16</f>
        <v>1</v>
      </c>
      <c r="CC16" s="43">
        <f>ዕቁብ!CD19/Sheet4!$C16</f>
        <v>1</v>
      </c>
      <c r="CD16" s="43">
        <f>ዕቁብ!CE19/Sheet4!$C16</f>
        <v>0</v>
      </c>
      <c r="CE16" s="43">
        <f>ዕቁብ!CF19/Sheet4!$C16</f>
        <v>2</v>
      </c>
      <c r="CF16" s="43">
        <f>ዕቁብ!CG19/Sheet4!$C16</f>
        <v>0</v>
      </c>
      <c r="CG16" s="43">
        <f>ዕቁብ!CH19/Sheet4!$C16</f>
        <v>1</v>
      </c>
      <c r="CH16" s="43">
        <f>ዕቁብ!CI19/Sheet4!$C16</f>
        <v>2</v>
      </c>
      <c r="CI16" s="43">
        <f>ዕቁብ!CJ19/Sheet4!$C16</f>
        <v>1</v>
      </c>
      <c r="CJ16" s="43">
        <f>ዕቁብ!CK19/Sheet4!$C16</f>
        <v>1</v>
      </c>
      <c r="CK16" s="43">
        <f>ዕቁብ!CL19/Sheet4!$C16</f>
        <v>1</v>
      </c>
      <c r="CL16" s="43">
        <f>ዕቁብ!CM19/Sheet4!$C16</f>
        <v>0</v>
      </c>
      <c r="CM16" s="43">
        <f>ዕቁብ!CN19/Sheet4!$C16</f>
        <v>2</v>
      </c>
      <c r="CN16" s="43">
        <f>ዕቁብ!CO19/Sheet4!$C16</f>
        <v>1</v>
      </c>
      <c r="CO16" s="43">
        <f>ዕቁብ!CP19/Sheet4!$C16</f>
        <v>0</v>
      </c>
      <c r="CP16" s="43">
        <f>ዕቁብ!CQ19/Sheet4!$C16</f>
        <v>2</v>
      </c>
      <c r="CQ16" s="43">
        <f>ዕቁብ!CR19/Sheet4!$C16</f>
        <v>0</v>
      </c>
      <c r="CR16" s="43">
        <f>ዕቁብ!CS19/Sheet4!$C16</f>
        <v>2</v>
      </c>
      <c r="CS16" s="43">
        <f>ዕቁብ!CT19/Sheet4!$C16</f>
        <v>0</v>
      </c>
      <c r="CT16" s="43">
        <f>ዕቁብ!CU19/Sheet4!$C16</f>
        <v>0</v>
      </c>
      <c r="CU16" s="43">
        <f>ዕቁብ!CV19/Sheet4!$C16</f>
        <v>0</v>
      </c>
      <c r="CV16" s="43">
        <f>ዕቁብ!CW19/Sheet4!$C16</f>
        <v>3</v>
      </c>
      <c r="CW16" s="43">
        <f>ዕቁብ!CX19/Sheet4!$C16</f>
        <v>0</v>
      </c>
      <c r="CX16" s="43">
        <f>ዕቁብ!CY19/Sheet4!$C16</f>
        <v>0</v>
      </c>
      <c r="CY16" s="43">
        <f>ዕቁብ!CZ19/Sheet4!$C16</f>
        <v>0</v>
      </c>
      <c r="CZ16" s="43">
        <f>ዕቁብ!DA19/Sheet4!$C16</f>
        <v>5</v>
      </c>
      <c r="DA16" s="43">
        <f>ዕቁብ!DB19/Sheet4!$C16</f>
        <v>1</v>
      </c>
      <c r="DB16" s="43">
        <f>ዕቁብ!DC19/Sheet4!$C16</f>
        <v>0</v>
      </c>
      <c r="DC16" s="43">
        <f>ዕቁብ!DD19/Sheet4!$C16</f>
        <v>0</v>
      </c>
      <c r="DD16" s="43">
        <f>ዕቁብ!DE19/Sheet4!$C16</f>
        <v>2</v>
      </c>
      <c r="DE16" s="43">
        <f>ዕቁብ!DF19/Sheet4!$C16</f>
        <v>0</v>
      </c>
      <c r="DF16" s="43">
        <f>ዕቁብ!DG19/Sheet4!$C16</f>
        <v>2</v>
      </c>
      <c r="DG16" s="43">
        <f>ዕቁብ!DH19/Sheet4!$C16</f>
        <v>0</v>
      </c>
      <c r="DH16" s="43">
        <f>ዕቁብ!DI19/Sheet4!$C16</f>
        <v>0</v>
      </c>
      <c r="DI16" s="43">
        <f>ዕቁብ!DJ19/Sheet4!$C16</f>
        <v>0</v>
      </c>
      <c r="DJ16" s="43">
        <f>ዕቁብ!DK19/Sheet4!$C16</f>
        <v>0</v>
      </c>
      <c r="DK16" s="43">
        <f>ዕቁብ!DL19/Sheet4!$C16</f>
        <v>0</v>
      </c>
      <c r="DL16" s="43">
        <f>ዕቁብ!DM19/Sheet4!$C16</f>
        <v>0</v>
      </c>
      <c r="DM16" s="43">
        <f>ዕቁብ!DN19/Sheet4!$C16</f>
        <v>0</v>
      </c>
      <c r="DN16" s="43">
        <f>ዕቁብ!DO19/Sheet4!$C16</f>
        <v>0</v>
      </c>
      <c r="DO16" s="43">
        <f>ዕቁብ!DP19/Sheet4!$C16</f>
        <v>0</v>
      </c>
      <c r="DP16" s="43">
        <f>ዕቁብ!DQ19/Sheet4!$C16</f>
        <v>0</v>
      </c>
      <c r="DQ16" s="43">
        <f>ዕቁብ!DR19/Sheet4!$C16</f>
        <v>0</v>
      </c>
    </row>
    <row r="17" spans="1:121" ht="14.4" x14ac:dyDescent="0.3">
      <c r="A17" s="40">
        <f>ዕቁብ!A20</f>
        <v>15</v>
      </c>
      <c r="B17" s="40" t="str">
        <f>ዕቁብ!B20</f>
        <v xml:space="preserve">አበራ ዩሐንስ </v>
      </c>
      <c r="C17" s="30">
        <f>ዕቁብ!C20</f>
        <v>21000</v>
      </c>
      <c r="D17" s="43">
        <f>ዕቁብ!E20/Sheet4!$C17</f>
        <v>1</v>
      </c>
      <c r="E17" s="43">
        <f>ዕቁብ!F20/Sheet4!$C17</f>
        <v>1</v>
      </c>
      <c r="F17" s="43">
        <f>ዕቁብ!G20/Sheet4!$C17</f>
        <v>1</v>
      </c>
      <c r="G17" s="43">
        <f>ዕቁብ!H20/Sheet4!$C17</f>
        <v>1</v>
      </c>
      <c r="H17" s="43">
        <f>ዕቁብ!I20/Sheet4!$C17</f>
        <v>1</v>
      </c>
      <c r="I17" s="43">
        <f>ዕቁብ!J20/Sheet4!$C17</f>
        <v>1</v>
      </c>
      <c r="J17" s="43">
        <f>ዕቁብ!K20/Sheet4!$C17</f>
        <v>1</v>
      </c>
      <c r="K17" s="43">
        <f>ዕቁብ!L20/Sheet4!$C17</f>
        <v>1</v>
      </c>
      <c r="L17" s="43">
        <f>ዕቁብ!M20/Sheet4!$C17</f>
        <v>1</v>
      </c>
      <c r="M17" s="43">
        <f>ዕቁብ!N20/Sheet4!$C17</f>
        <v>1</v>
      </c>
      <c r="N17" s="43">
        <f>ዕቁብ!O20/Sheet4!$C17</f>
        <v>1</v>
      </c>
      <c r="O17" s="43">
        <f>ዕቁብ!P20/Sheet4!$C17</f>
        <v>1</v>
      </c>
      <c r="P17" s="43">
        <f>ዕቁብ!Q20/Sheet4!$C17</f>
        <v>1</v>
      </c>
      <c r="Q17" s="43">
        <f>ዕቁብ!R20/Sheet4!$C17</f>
        <v>1</v>
      </c>
      <c r="R17" s="43">
        <f>ዕቁብ!S20/Sheet4!$C17</f>
        <v>1</v>
      </c>
      <c r="S17" s="43">
        <f>ዕቁብ!T20/Sheet4!$C17</f>
        <v>1</v>
      </c>
      <c r="T17" s="43">
        <f>ዕቁብ!U20/Sheet4!$C17</f>
        <v>1</v>
      </c>
      <c r="U17" s="43">
        <f>ዕቁብ!V20/Sheet4!$C17</f>
        <v>1</v>
      </c>
      <c r="V17" s="43">
        <f>ዕቁብ!W20/Sheet4!$C17</f>
        <v>1</v>
      </c>
      <c r="W17" s="43">
        <f>ዕቁብ!X20/Sheet4!$C17</f>
        <v>1</v>
      </c>
      <c r="X17" s="43">
        <f>ዕቁብ!Y20/Sheet4!$C17</f>
        <v>1</v>
      </c>
      <c r="Y17" s="43">
        <f>ዕቁብ!Z20/Sheet4!$C17</f>
        <v>1</v>
      </c>
      <c r="Z17" s="43">
        <f>ዕቁብ!AA20/Sheet4!$C17</f>
        <v>1</v>
      </c>
      <c r="AA17" s="43">
        <f>ዕቁብ!AB20/Sheet4!$C17</f>
        <v>1</v>
      </c>
      <c r="AB17" s="43">
        <f>ዕቁብ!AC20/Sheet4!$C17</f>
        <v>1</v>
      </c>
      <c r="AC17" s="43">
        <f>ዕቁብ!AD20/Sheet4!$C17</f>
        <v>1</v>
      </c>
      <c r="AD17" s="43">
        <f>ዕቁብ!AE20/Sheet4!$C17</f>
        <v>1</v>
      </c>
      <c r="AE17" s="43">
        <f>ዕቁብ!AF20/Sheet4!$C17</f>
        <v>1</v>
      </c>
      <c r="AF17" s="43">
        <f>ዕቁብ!AG20/Sheet4!$C17</f>
        <v>1</v>
      </c>
      <c r="AG17" s="43">
        <f>ዕቁብ!AH20/Sheet4!$C17</f>
        <v>1</v>
      </c>
      <c r="AH17" s="43">
        <f>ዕቁብ!AI20/Sheet4!$C17</f>
        <v>1</v>
      </c>
      <c r="AI17" s="43">
        <f>ዕቁብ!AJ20/Sheet4!$C17</f>
        <v>1</v>
      </c>
      <c r="AJ17" s="43">
        <f>ዕቁብ!AK20/Sheet4!$C17</f>
        <v>1</v>
      </c>
      <c r="AK17" s="43">
        <f>ዕቁብ!AL20/Sheet4!$C17</f>
        <v>1</v>
      </c>
      <c r="AL17" s="43">
        <f>ዕቁብ!AM20/Sheet4!$C17</f>
        <v>1</v>
      </c>
      <c r="AM17" s="43">
        <f>ዕቁብ!AN20/Sheet4!$C17</f>
        <v>1</v>
      </c>
      <c r="AN17" s="43">
        <f>ዕቁብ!AO20/Sheet4!$C17</f>
        <v>1</v>
      </c>
      <c r="AO17" s="43">
        <f>ዕቁብ!AP20/Sheet4!$C17</f>
        <v>1</v>
      </c>
      <c r="AP17" s="43">
        <f>ዕቁብ!AQ20/Sheet4!$C17</f>
        <v>1</v>
      </c>
      <c r="AQ17" s="43">
        <f>ዕቁብ!AR20/Sheet4!$C17</f>
        <v>1</v>
      </c>
      <c r="AR17" s="43">
        <f>ዕቁብ!AS20/Sheet4!$C17</f>
        <v>1</v>
      </c>
      <c r="AS17" s="43">
        <f>ዕቁብ!AT20/Sheet4!$C17</f>
        <v>1</v>
      </c>
      <c r="AT17" s="43">
        <f>ዕቁብ!AU20/Sheet4!$C17</f>
        <v>1</v>
      </c>
      <c r="AU17" s="43">
        <f>ዕቁብ!AV20/Sheet4!$C17</f>
        <v>0</v>
      </c>
      <c r="AV17" s="43">
        <f>ዕቁብ!AW20/Sheet4!$C17</f>
        <v>0</v>
      </c>
      <c r="AW17" s="43">
        <f>ዕቁብ!AX20/Sheet4!$C17</f>
        <v>0</v>
      </c>
      <c r="AX17" s="43">
        <f>ዕቁብ!AY20/Sheet4!$C17</f>
        <v>1</v>
      </c>
      <c r="AY17" s="43">
        <f>ዕቁብ!AZ20/Sheet4!$C17</f>
        <v>1</v>
      </c>
      <c r="AZ17" s="43">
        <f>ዕቁብ!BA20/Sheet4!$C17</f>
        <v>3</v>
      </c>
      <c r="BA17" s="43">
        <f>ዕቁብ!BB20/Sheet4!$C17</f>
        <v>1</v>
      </c>
      <c r="BB17" s="43">
        <f>ዕቁብ!BC20/Sheet4!$C17</f>
        <v>2</v>
      </c>
      <c r="BC17" s="43">
        <f>ዕቁብ!BD20/Sheet4!$C17</f>
        <v>1</v>
      </c>
      <c r="BD17" s="43">
        <f>ዕቁብ!BE20/Sheet4!$C17</f>
        <v>1</v>
      </c>
      <c r="BE17" s="43">
        <f>ዕቁብ!BF20/Sheet4!$C17</f>
        <v>1</v>
      </c>
      <c r="BF17" s="43">
        <f>ዕቁብ!BG20/Sheet4!$C17</f>
        <v>1</v>
      </c>
      <c r="BG17" s="43">
        <f>ዕቁብ!BH20/Sheet4!$C17</f>
        <v>1</v>
      </c>
      <c r="BH17" s="43">
        <f>ዕቁብ!BI20/Sheet4!$C17</f>
        <v>1</v>
      </c>
      <c r="BI17" s="43">
        <f>ዕቁብ!BJ20/Sheet4!$C17</f>
        <v>1</v>
      </c>
      <c r="BJ17" s="43">
        <f>ዕቁብ!BK20/Sheet4!$C17</f>
        <v>1</v>
      </c>
      <c r="BK17" s="43">
        <f>ዕቁብ!BL20/Sheet4!$C17</f>
        <v>1</v>
      </c>
      <c r="BL17" s="43">
        <f>ዕቁብ!BM20/Sheet4!$C17</f>
        <v>0</v>
      </c>
      <c r="BM17" s="43">
        <f>ዕቁብ!BN20/Sheet4!$C17</f>
        <v>0</v>
      </c>
      <c r="BN17" s="43">
        <f>ዕቁብ!BO20/Sheet4!$C17</f>
        <v>0</v>
      </c>
      <c r="BO17" s="43">
        <f>ዕቁብ!BP20/Sheet4!$C17</f>
        <v>1</v>
      </c>
      <c r="BP17" s="43">
        <f>ዕቁብ!BQ20/Sheet4!$C17</f>
        <v>0</v>
      </c>
      <c r="BQ17" s="43">
        <f>ዕቁብ!BR20/Sheet4!$C17</f>
        <v>0</v>
      </c>
      <c r="BR17" s="43">
        <f>ዕቁብ!BS20/Sheet4!$C17</f>
        <v>2</v>
      </c>
      <c r="BS17" s="43">
        <f>ዕቁብ!BT20/Sheet4!$C17</f>
        <v>1</v>
      </c>
      <c r="BT17" s="43">
        <f>ዕቁብ!BU20/Sheet4!$C17</f>
        <v>1</v>
      </c>
      <c r="BU17" s="43">
        <f>ዕቁብ!BV20/Sheet4!$C17</f>
        <v>0</v>
      </c>
      <c r="BV17" s="43">
        <f>ዕቁብ!BW20/Sheet4!$C17</f>
        <v>0</v>
      </c>
      <c r="BW17" s="43">
        <f>ዕቁብ!BX20/Sheet4!$C17</f>
        <v>0</v>
      </c>
      <c r="BX17" s="43">
        <f>ዕቁብ!BY20/Sheet4!$C17</f>
        <v>0</v>
      </c>
      <c r="BY17" s="43">
        <f>ዕቁብ!BZ20/Sheet4!$C17</f>
        <v>0</v>
      </c>
      <c r="BZ17" s="43">
        <f>ዕቁብ!CA20/Sheet4!$C17</f>
        <v>0</v>
      </c>
      <c r="CA17" s="43">
        <f>ዕቁብ!CB20/Sheet4!$C17</f>
        <v>0</v>
      </c>
      <c r="CB17" s="43">
        <f>ዕቁብ!CC20/Sheet4!$C17</f>
        <v>0</v>
      </c>
      <c r="CC17" s="43">
        <f>ዕቁብ!CD20/Sheet4!$C17</f>
        <v>1</v>
      </c>
      <c r="CD17" s="43">
        <f>ዕቁብ!CE20/Sheet4!$C17</f>
        <v>0</v>
      </c>
      <c r="CE17" s="43">
        <f>ዕቁብ!CF20/Sheet4!$C17</f>
        <v>0</v>
      </c>
      <c r="CF17" s="43">
        <f>ዕቁብ!CG20/Sheet4!$C17</f>
        <v>0</v>
      </c>
      <c r="CG17" s="43">
        <f>ዕቁብ!CH20/Sheet4!$C17</f>
        <v>0</v>
      </c>
      <c r="CH17" s="43">
        <f>ዕቁብ!CI20/Sheet4!$C17</f>
        <v>0</v>
      </c>
      <c r="CI17" s="43">
        <f>ዕቁብ!CJ20/Sheet4!$C17</f>
        <v>0</v>
      </c>
      <c r="CJ17" s="43">
        <f>ዕቁብ!CK20/Sheet4!$C17</f>
        <v>0</v>
      </c>
      <c r="CK17" s="43">
        <f>ዕቁብ!CL20/Sheet4!$C17</f>
        <v>0</v>
      </c>
      <c r="CL17" s="43">
        <f>ዕቁብ!CM20/Sheet4!$C17</f>
        <v>0</v>
      </c>
      <c r="CM17" s="43">
        <f>ዕቁብ!CN20/Sheet4!$C17</f>
        <v>0</v>
      </c>
      <c r="CN17" s="43">
        <f>ዕቁብ!CO20/Sheet4!$C17</f>
        <v>0</v>
      </c>
      <c r="CO17" s="43">
        <f>ዕቁብ!CP20/Sheet4!$C17</f>
        <v>12</v>
      </c>
      <c r="CP17" s="43">
        <f>ዕቁብ!CQ20/Sheet4!$C17</f>
        <v>5</v>
      </c>
      <c r="CQ17" s="43">
        <f>ዕቁብ!CR20/Sheet4!$C17</f>
        <v>5</v>
      </c>
      <c r="CR17" s="43">
        <f>ዕቁብ!CS20/Sheet4!$C17</f>
        <v>0</v>
      </c>
      <c r="CS17" s="43">
        <f>ዕቁብ!CT20/Sheet4!$C17</f>
        <v>0</v>
      </c>
      <c r="CT17" s="43">
        <f>ዕቁብ!CU20/Sheet4!$C17</f>
        <v>0</v>
      </c>
      <c r="CU17" s="43">
        <f>ዕቁብ!CV20/Sheet4!$C17</f>
        <v>0</v>
      </c>
      <c r="CV17" s="43">
        <f>ዕቁብ!CW20/Sheet4!$C17</f>
        <v>0</v>
      </c>
      <c r="CW17" s="43">
        <f>ዕቁብ!CX20/Sheet4!$C17</f>
        <v>0</v>
      </c>
      <c r="CX17" s="43">
        <f>ዕቁብ!CY20/Sheet4!$C17</f>
        <v>0</v>
      </c>
      <c r="CY17" s="43">
        <f>ዕቁብ!CZ20/Sheet4!$C17</f>
        <v>0</v>
      </c>
      <c r="CZ17" s="43">
        <f>ዕቁብ!DA20/Sheet4!$C17</f>
        <v>0</v>
      </c>
      <c r="DA17" s="43">
        <f>ዕቁብ!DB20/Sheet4!$C17</f>
        <v>0</v>
      </c>
      <c r="DB17" s="43">
        <f>ዕቁብ!DC20/Sheet4!$C17</f>
        <v>0</v>
      </c>
      <c r="DC17" s="43">
        <f>ዕቁብ!DD20/Sheet4!$C17</f>
        <v>0</v>
      </c>
      <c r="DD17" s="43">
        <f>ዕቁብ!DE20/Sheet4!$C17</f>
        <v>0</v>
      </c>
      <c r="DE17" s="43">
        <f>ዕቁብ!DF20/Sheet4!$C17</f>
        <v>0</v>
      </c>
      <c r="DF17" s="43">
        <f>ዕቁብ!DG20/Sheet4!$C17</f>
        <v>0</v>
      </c>
      <c r="DG17" s="43">
        <f>ዕቁብ!DH20/Sheet4!$C17</f>
        <v>0</v>
      </c>
      <c r="DH17" s="43">
        <f>ዕቁብ!DI20/Sheet4!$C17</f>
        <v>0</v>
      </c>
      <c r="DI17" s="43">
        <f>ዕቁብ!DJ20/Sheet4!$C17</f>
        <v>0</v>
      </c>
      <c r="DJ17" s="43">
        <f>ዕቁብ!DK20/Sheet4!$C17</f>
        <v>0</v>
      </c>
      <c r="DK17" s="43">
        <f>ዕቁብ!DL20/Sheet4!$C17</f>
        <v>0</v>
      </c>
      <c r="DL17" s="43">
        <f>ዕቁብ!DM20/Sheet4!$C17</f>
        <v>0</v>
      </c>
      <c r="DM17" s="43">
        <f>ዕቁብ!DN20/Sheet4!$C17</f>
        <v>0</v>
      </c>
      <c r="DN17" s="43">
        <f>ዕቁብ!DO20/Sheet4!$C17</f>
        <v>0</v>
      </c>
      <c r="DO17" s="43">
        <f>ዕቁብ!DP20/Sheet4!$C17</f>
        <v>0</v>
      </c>
      <c r="DP17" s="43">
        <f>ዕቁብ!DQ20/Sheet4!$C17</f>
        <v>0</v>
      </c>
      <c r="DQ17" s="43">
        <f>ዕቁብ!DR20/Sheet4!$C17</f>
        <v>0</v>
      </c>
    </row>
    <row r="18" spans="1:121" ht="14.4" x14ac:dyDescent="0.3">
      <c r="A18" s="40">
        <f>ዕቁብ!A21</f>
        <v>16</v>
      </c>
      <c r="B18" s="40" t="str">
        <f>ዕቁብ!B21</f>
        <v>አለማየሁ ገዛህኝ</v>
      </c>
      <c r="C18" s="30">
        <f>ዕቁብ!C21</f>
        <v>21000</v>
      </c>
      <c r="D18" s="43">
        <f>ዕቁብ!E21/Sheet4!$C18</f>
        <v>1</v>
      </c>
      <c r="E18" s="43">
        <f>ዕቁብ!F21/Sheet4!$C18</f>
        <v>1</v>
      </c>
      <c r="F18" s="43">
        <f>ዕቁብ!G21/Sheet4!$C18</f>
        <v>1</v>
      </c>
      <c r="G18" s="43">
        <f>ዕቁብ!H21/Sheet4!$C18</f>
        <v>1</v>
      </c>
      <c r="H18" s="43">
        <f>ዕቁብ!I21/Sheet4!$C18</f>
        <v>1</v>
      </c>
      <c r="I18" s="43">
        <f>ዕቁብ!J21/Sheet4!$C18</f>
        <v>1</v>
      </c>
      <c r="J18" s="43">
        <f>ዕቁብ!K21/Sheet4!$C18</f>
        <v>1</v>
      </c>
      <c r="K18" s="43">
        <f>ዕቁብ!L21/Sheet4!$C18</f>
        <v>1</v>
      </c>
      <c r="L18" s="43">
        <f>ዕቁብ!M21/Sheet4!$C18</f>
        <v>1</v>
      </c>
      <c r="M18" s="43">
        <f>ዕቁብ!N21/Sheet4!$C18</f>
        <v>1</v>
      </c>
      <c r="N18" s="43">
        <f>ዕቁብ!O21/Sheet4!$C18</f>
        <v>1</v>
      </c>
      <c r="O18" s="43">
        <f>ዕቁብ!P21/Sheet4!$C18</f>
        <v>1</v>
      </c>
      <c r="P18" s="43">
        <f>ዕቁብ!Q21/Sheet4!$C18</f>
        <v>1</v>
      </c>
      <c r="Q18" s="43">
        <f>ዕቁብ!R21/Sheet4!$C18</f>
        <v>1</v>
      </c>
      <c r="R18" s="43">
        <f>ዕቁብ!S21/Sheet4!$C18</f>
        <v>1</v>
      </c>
      <c r="S18" s="43">
        <f>ዕቁብ!T21/Sheet4!$C18</f>
        <v>1</v>
      </c>
      <c r="T18" s="43">
        <f>ዕቁብ!U21/Sheet4!$C18</f>
        <v>1</v>
      </c>
      <c r="U18" s="43">
        <f>ዕቁብ!V21/Sheet4!$C18</f>
        <v>1</v>
      </c>
      <c r="V18" s="43">
        <f>ዕቁብ!W21/Sheet4!$C18</f>
        <v>1</v>
      </c>
      <c r="W18" s="43">
        <f>ዕቁብ!X21/Sheet4!$C18</f>
        <v>1</v>
      </c>
      <c r="X18" s="43">
        <f>ዕቁብ!Y21/Sheet4!$C18</f>
        <v>1</v>
      </c>
      <c r="Y18" s="43">
        <f>ዕቁብ!Z21/Sheet4!$C18</f>
        <v>1</v>
      </c>
      <c r="Z18" s="43">
        <f>ዕቁብ!AA21/Sheet4!$C18</f>
        <v>1</v>
      </c>
      <c r="AA18" s="43">
        <f>ዕቁብ!AB21/Sheet4!$C18</f>
        <v>1</v>
      </c>
      <c r="AB18" s="43">
        <f>ዕቁብ!AC21/Sheet4!$C18</f>
        <v>1</v>
      </c>
      <c r="AC18" s="43">
        <f>ዕቁብ!AD21/Sheet4!$C18</f>
        <v>1</v>
      </c>
      <c r="AD18" s="43">
        <f>ዕቁብ!AE21/Sheet4!$C18</f>
        <v>1</v>
      </c>
      <c r="AE18" s="43">
        <f>ዕቁብ!AF21/Sheet4!$C18</f>
        <v>1</v>
      </c>
      <c r="AF18" s="43">
        <f>ዕቁብ!AG21/Sheet4!$C18</f>
        <v>1</v>
      </c>
      <c r="AG18" s="43">
        <f>ዕቁብ!AH21/Sheet4!$C18</f>
        <v>1</v>
      </c>
      <c r="AH18" s="43">
        <f>ዕቁብ!AI21/Sheet4!$C18</f>
        <v>1</v>
      </c>
      <c r="AI18" s="43">
        <f>ዕቁብ!AJ21/Sheet4!$C18</f>
        <v>1</v>
      </c>
      <c r="AJ18" s="43">
        <f>ዕቁብ!AK21/Sheet4!$C18</f>
        <v>1</v>
      </c>
      <c r="AK18" s="43">
        <f>ዕቁብ!AL21/Sheet4!$C18</f>
        <v>1</v>
      </c>
      <c r="AL18" s="43">
        <f>ዕቁብ!AM21/Sheet4!$C18</f>
        <v>1</v>
      </c>
      <c r="AM18" s="43">
        <f>ዕቁብ!AN21/Sheet4!$C18</f>
        <v>1</v>
      </c>
      <c r="AN18" s="43">
        <f>ዕቁብ!AO21/Sheet4!$C18</f>
        <v>1</v>
      </c>
      <c r="AO18" s="43">
        <f>ዕቁብ!AP21/Sheet4!$C18</f>
        <v>1</v>
      </c>
      <c r="AP18" s="43">
        <f>ዕቁብ!AQ21/Sheet4!$C18</f>
        <v>1</v>
      </c>
      <c r="AQ18" s="43">
        <f>ዕቁብ!AR21/Sheet4!$C18</f>
        <v>1</v>
      </c>
      <c r="AR18" s="43">
        <f>ዕቁብ!AS21/Sheet4!$C18</f>
        <v>1</v>
      </c>
      <c r="AS18" s="43">
        <f>ዕቁብ!AT21/Sheet4!$C18</f>
        <v>1</v>
      </c>
      <c r="AT18" s="43">
        <f>ዕቁብ!AU21/Sheet4!$C18</f>
        <v>1</v>
      </c>
      <c r="AU18" s="43">
        <f>ዕቁብ!AV21/Sheet4!$C18</f>
        <v>1</v>
      </c>
      <c r="AV18" s="43">
        <f>ዕቁብ!AW21/Sheet4!$C18</f>
        <v>1</v>
      </c>
      <c r="AW18" s="43">
        <f>ዕቁብ!AX21/Sheet4!$C18</f>
        <v>1</v>
      </c>
      <c r="AX18" s="43">
        <f>ዕቁብ!AY21/Sheet4!$C18</f>
        <v>1</v>
      </c>
      <c r="AY18" s="43">
        <f>ዕቁብ!AZ21/Sheet4!$C18</f>
        <v>1</v>
      </c>
      <c r="AZ18" s="43">
        <f>ዕቁብ!BA21/Sheet4!$C18</f>
        <v>1</v>
      </c>
      <c r="BA18" s="43">
        <f>ዕቁብ!BB21/Sheet4!$C18</f>
        <v>1</v>
      </c>
      <c r="BB18" s="43">
        <f>ዕቁብ!BC21/Sheet4!$C18</f>
        <v>1</v>
      </c>
      <c r="BC18" s="43">
        <f>ዕቁብ!BD21/Sheet4!$C18</f>
        <v>0</v>
      </c>
      <c r="BD18" s="43">
        <f>ዕቁብ!BE21/Sheet4!$C18</f>
        <v>2</v>
      </c>
      <c r="BE18" s="43">
        <f>ዕቁብ!BF21/Sheet4!$C18</f>
        <v>1</v>
      </c>
      <c r="BF18" s="43">
        <f>ዕቁብ!BG21/Sheet4!$C18</f>
        <v>1</v>
      </c>
      <c r="BG18" s="43">
        <f>ዕቁብ!BH21/Sheet4!$C18</f>
        <v>1</v>
      </c>
      <c r="BH18" s="43">
        <f>ዕቁብ!BI21/Sheet4!$C18</f>
        <v>1</v>
      </c>
      <c r="BI18" s="43">
        <f>ዕቁብ!BJ21/Sheet4!$C18</f>
        <v>1</v>
      </c>
      <c r="BJ18" s="43">
        <f>ዕቁብ!BK21/Sheet4!$C18</f>
        <v>1</v>
      </c>
      <c r="BK18" s="43">
        <f>ዕቁብ!BL21/Sheet4!$C18</f>
        <v>1</v>
      </c>
      <c r="BL18" s="43">
        <f>ዕቁብ!BM21/Sheet4!$C18</f>
        <v>1</v>
      </c>
      <c r="BM18" s="43">
        <f>ዕቁብ!BN21/Sheet4!$C18</f>
        <v>1</v>
      </c>
      <c r="BN18" s="43">
        <f>ዕቁብ!BO21/Sheet4!$C18</f>
        <v>1</v>
      </c>
      <c r="BO18" s="43">
        <f>ዕቁብ!BP21/Sheet4!$C18</f>
        <v>1</v>
      </c>
      <c r="BP18" s="43">
        <f>ዕቁብ!BQ21/Sheet4!$C18</f>
        <v>1</v>
      </c>
      <c r="BQ18" s="43">
        <f>ዕቁብ!BR21/Sheet4!$C18</f>
        <v>1</v>
      </c>
      <c r="BR18" s="43">
        <f>ዕቁብ!BS21/Sheet4!$C18</f>
        <v>1</v>
      </c>
      <c r="BS18" s="43">
        <f>ዕቁብ!BT21/Sheet4!$C18</f>
        <v>1</v>
      </c>
      <c r="BT18" s="43">
        <f>ዕቁብ!BU21/Sheet4!$C18</f>
        <v>1</v>
      </c>
      <c r="BU18" s="43">
        <f>ዕቁብ!BV21/Sheet4!$C18</f>
        <v>1</v>
      </c>
      <c r="BV18" s="43">
        <f>ዕቁብ!BW21/Sheet4!$C18</f>
        <v>1</v>
      </c>
      <c r="BW18" s="43">
        <f>ዕቁብ!BX21/Sheet4!$C18</f>
        <v>1</v>
      </c>
      <c r="BX18" s="43">
        <f>ዕቁብ!BY21/Sheet4!$C18</f>
        <v>1</v>
      </c>
      <c r="BY18" s="43">
        <f>ዕቁብ!BZ21/Sheet4!$C18</f>
        <v>1</v>
      </c>
      <c r="BZ18" s="43">
        <f>ዕቁብ!CA21/Sheet4!$C18</f>
        <v>1</v>
      </c>
      <c r="CA18" s="43">
        <f>ዕቁብ!CB21/Sheet4!$C18</f>
        <v>1</v>
      </c>
      <c r="CB18" s="43">
        <f>ዕቁብ!CC21/Sheet4!$C18</f>
        <v>1</v>
      </c>
      <c r="CC18" s="43">
        <f>ዕቁብ!CD21/Sheet4!$C18</f>
        <v>1</v>
      </c>
      <c r="CD18" s="43">
        <f>ዕቁብ!CE21/Sheet4!$C18</f>
        <v>1</v>
      </c>
      <c r="CE18" s="43">
        <f>ዕቁብ!CF21/Sheet4!$C18</f>
        <v>1</v>
      </c>
      <c r="CF18" s="43">
        <f>ዕቁብ!CG21/Sheet4!$C18</f>
        <v>1</v>
      </c>
      <c r="CG18" s="43">
        <f>ዕቁብ!CH21/Sheet4!$C18</f>
        <v>1</v>
      </c>
      <c r="CH18" s="43">
        <f>ዕቁብ!CI21/Sheet4!$C18</f>
        <v>1</v>
      </c>
      <c r="CI18" s="43">
        <f>ዕቁብ!CJ21/Sheet4!$C18</f>
        <v>1</v>
      </c>
      <c r="CJ18" s="43">
        <f>ዕቁብ!CK21/Sheet4!$C18</f>
        <v>1</v>
      </c>
      <c r="CK18" s="43">
        <f>ዕቁብ!CL21/Sheet4!$C18</f>
        <v>1</v>
      </c>
      <c r="CL18" s="43">
        <f>ዕቁብ!CM21/Sheet4!$C18</f>
        <v>1</v>
      </c>
      <c r="CM18" s="43">
        <f>ዕቁብ!CN21/Sheet4!$C18</f>
        <v>1</v>
      </c>
      <c r="CN18" s="43">
        <f>ዕቁብ!CO21/Sheet4!$C18</f>
        <v>1</v>
      </c>
      <c r="CO18" s="43">
        <f>ዕቁብ!CP21/Sheet4!$C18</f>
        <v>0</v>
      </c>
      <c r="CP18" s="43">
        <f>ዕቁብ!CQ21/Sheet4!$C18</f>
        <v>2</v>
      </c>
      <c r="CQ18" s="43">
        <f>ዕቁብ!CR21/Sheet4!$C18</f>
        <v>1</v>
      </c>
      <c r="CR18" s="43">
        <f>ዕቁብ!CS21/Sheet4!$C18</f>
        <v>1</v>
      </c>
      <c r="CS18" s="43">
        <f>ዕቁብ!CT21/Sheet4!$C18</f>
        <v>1</v>
      </c>
      <c r="CT18" s="43">
        <f>ዕቁብ!CU21/Sheet4!$C18</f>
        <v>1</v>
      </c>
      <c r="CU18" s="43">
        <f>ዕቁብ!CV21/Sheet4!$C18</f>
        <v>1</v>
      </c>
      <c r="CV18" s="43">
        <f>ዕቁብ!CW21/Sheet4!$C18</f>
        <v>1</v>
      </c>
      <c r="CW18" s="43">
        <f>ዕቁብ!CX21/Sheet4!$C18</f>
        <v>1</v>
      </c>
      <c r="CX18" s="43">
        <f>ዕቁብ!CY21/Sheet4!$C18</f>
        <v>1</v>
      </c>
      <c r="CY18" s="43">
        <f>ዕቁብ!CZ21/Sheet4!$C18</f>
        <v>1</v>
      </c>
      <c r="CZ18" s="43">
        <f>ዕቁብ!DA21/Sheet4!$C18</f>
        <v>1</v>
      </c>
      <c r="DA18" s="43">
        <f>ዕቁብ!DB21/Sheet4!$C18</f>
        <v>1</v>
      </c>
      <c r="DB18" s="43">
        <f>ዕቁብ!DC21/Sheet4!$C18</f>
        <v>1</v>
      </c>
      <c r="DC18" s="43">
        <f>ዕቁብ!DD21/Sheet4!$C18</f>
        <v>1</v>
      </c>
      <c r="DD18" s="43">
        <f>ዕቁብ!DE21/Sheet4!$C18</f>
        <v>1</v>
      </c>
      <c r="DE18" s="43">
        <f>ዕቁብ!DF21/Sheet4!$C18</f>
        <v>1</v>
      </c>
      <c r="DF18" s="43">
        <f>ዕቁብ!DG21/Sheet4!$C18</f>
        <v>1</v>
      </c>
      <c r="DG18" s="43">
        <f>ዕቁብ!DH21/Sheet4!$C18</f>
        <v>1</v>
      </c>
      <c r="DH18" s="43">
        <f>ዕቁብ!DI21/Sheet4!$C18</f>
        <v>0</v>
      </c>
      <c r="DI18" s="43">
        <f>ዕቁብ!DJ21/Sheet4!$C18</f>
        <v>0</v>
      </c>
      <c r="DJ18" s="43">
        <f>ዕቁብ!DK21/Sheet4!$C18</f>
        <v>0</v>
      </c>
      <c r="DK18" s="43">
        <f>ዕቁብ!DL21/Sheet4!$C18</f>
        <v>0</v>
      </c>
      <c r="DL18" s="43">
        <f>ዕቁብ!DM21/Sheet4!$C18</f>
        <v>0</v>
      </c>
      <c r="DM18" s="43">
        <f>ዕቁብ!DN21/Sheet4!$C18</f>
        <v>0</v>
      </c>
      <c r="DN18" s="43">
        <f>ዕቁብ!DO21/Sheet4!$C18</f>
        <v>0</v>
      </c>
      <c r="DO18" s="43">
        <f>ዕቁብ!DP21/Sheet4!$C18</f>
        <v>0</v>
      </c>
      <c r="DP18" s="43">
        <f>ዕቁብ!DQ21/Sheet4!$C18</f>
        <v>0</v>
      </c>
      <c r="DQ18" s="43">
        <f>ዕቁብ!DR21/Sheet4!$C18</f>
        <v>0</v>
      </c>
    </row>
    <row r="19" spans="1:121" ht="14.4" x14ac:dyDescent="0.3">
      <c r="A19" s="40">
        <f>ዕቁብ!A22</f>
        <v>17</v>
      </c>
      <c r="B19" s="40" t="str">
        <f>ዕቁብ!B22</f>
        <v>እንግዳ ካሳዬ</v>
      </c>
      <c r="C19" s="30">
        <f>ዕቁብ!C22</f>
        <v>21000</v>
      </c>
      <c r="D19" s="43">
        <f>ዕቁብ!E22/Sheet4!$C19</f>
        <v>1</v>
      </c>
      <c r="E19" s="43">
        <f>ዕቁብ!F22/Sheet4!$C19</f>
        <v>1</v>
      </c>
      <c r="F19" s="43">
        <f>ዕቁብ!G22/Sheet4!$C19</f>
        <v>1</v>
      </c>
      <c r="G19" s="43">
        <f>ዕቁብ!H22/Sheet4!$C19</f>
        <v>1</v>
      </c>
      <c r="H19" s="43">
        <f>ዕቁብ!I22/Sheet4!$C19</f>
        <v>1</v>
      </c>
      <c r="I19" s="43">
        <f>ዕቁብ!J22/Sheet4!$C19</f>
        <v>1</v>
      </c>
      <c r="J19" s="43">
        <f>ዕቁብ!K22/Sheet4!$C19</f>
        <v>1</v>
      </c>
      <c r="K19" s="43">
        <f>ዕቁብ!L22/Sheet4!$C19</f>
        <v>1</v>
      </c>
      <c r="L19" s="43">
        <f>ዕቁብ!M22/Sheet4!$C19</f>
        <v>1</v>
      </c>
      <c r="M19" s="43">
        <f>ዕቁብ!N22/Sheet4!$C19</f>
        <v>1</v>
      </c>
      <c r="N19" s="43">
        <f>ዕቁብ!O22/Sheet4!$C19</f>
        <v>1</v>
      </c>
      <c r="O19" s="43">
        <f>ዕቁብ!P22/Sheet4!$C19</f>
        <v>1</v>
      </c>
      <c r="P19" s="43">
        <f>ዕቁብ!Q22/Sheet4!$C19</f>
        <v>1</v>
      </c>
      <c r="Q19" s="43">
        <f>ዕቁብ!R22/Sheet4!$C19</f>
        <v>1</v>
      </c>
      <c r="R19" s="43">
        <f>ዕቁብ!S22/Sheet4!$C19</f>
        <v>1</v>
      </c>
      <c r="S19" s="43">
        <f>ዕቁብ!T22/Sheet4!$C19</f>
        <v>1</v>
      </c>
      <c r="T19" s="43">
        <f>ዕቁብ!U22/Sheet4!$C19</f>
        <v>1</v>
      </c>
      <c r="U19" s="43">
        <f>ዕቁብ!V22/Sheet4!$C19</f>
        <v>1</v>
      </c>
      <c r="V19" s="43">
        <f>ዕቁብ!W22/Sheet4!$C19</f>
        <v>1</v>
      </c>
      <c r="W19" s="43">
        <f>ዕቁብ!X22/Sheet4!$C19</f>
        <v>1</v>
      </c>
      <c r="X19" s="43">
        <f>ዕቁብ!Y22/Sheet4!$C19</f>
        <v>1</v>
      </c>
      <c r="Y19" s="43">
        <f>ዕቁብ!Z22/Sheet4!$C19</f>
        <v>1</v>
      </c>
      <c r="Z19" s="43">
        <f>ዕቁብ!AA22/Sheet4!$C19</f>
        <v>1</v>
      </c>
      <c r="AA19" s="43">
        <f>ዕቁብ!AB22/Sheet4!$C19</f>
        <v>0</v>
      </c>
      <c r="AB19" s="43">
        <f>ዕቁብ!AC22/Sheet4!$C19</f>
        <v>2</v>
      </c>
      <c r="AC19" s="43">
        <f>ዕቁብ!AD22/Sheet4!$C19</f>
        <v>1</v>
      </c>
      <c r="AD19" s="43">
        <f>ዕቁብ!AE22/Sheet4!$C19</f>
        <v>1</v>
      </c>
      <c r="AE19" s="43">
        <f>ዕቁብ!AF22/Sheet4!$C19</f>
        <v>1</v>
      </c>
      <c r="AF19" s="43">
        <f>ዕቁብ!AG22/Sheet4!$C19</f>
        <v>1</v>
      </c>
      <c r="AG19" s="43">
        <f>ዕቁብ!AH22/Sheet4!$C19</f>
        <v>1</v>
      </c>
      <c r="AH19" s="43">
        <f>ዕቁብ!AI22/Sheet4!$C19</f>
        <v>1</v>
      </c>
      <c r="AI19" s="43">
        <f>ዕቁብ!AJ22/Sheet4!$C19</f>
        <v>1</v>
      </c>
      <c r="AJ19" s="43">
        <f>ዕቁብ!AK22/Sheet4!$C19</f>
        <v>1</v>
      </c>
      <c r="AK19" s="43">
        <f>ዕቁብ!AL22/Sheet4!$C19</f>
        <v>1</v>
      </c>
      <c r="AL19" s="43">
        <f>ዕቁብ!AM22/Sheet4!$C19</f>
        <v>1</v>
      </c>
      <c r="AM19" s="43">
        <f>ዕቁብ!AN22/Sheet4!$C19</f>
        <v>1</v>
      </c>
      <c r="AN19" s="43">
        <f>ዕቁብ!AO22/Sheet4!$C19</f>
        <v>1</v>
      </c>
      <c r="AO19" s="43">
        <f>ዕቁብ!AP22/Sheet4!$C19</f>
        <v>1</v>
      </c>
      <c r="AP19" s="43">
        <f>ዕቁብ!AQ22/Sheet4!$C19</f>
        <v>1</v>
      </c>
      <c r="AQ19" s="43">
        <f>ዕቁብ!AR22/Sheet4!$C19</f>
        <v>1</v>
      </c>
      <c r="AR19" s="43">
        <f>ዕቁብ!AS22/Sheet4!$C19</f>
        <v>1</v>
      </c>
      <c r="AS19" s="43">
        <f>ዕቁብ!AT22/Sheet4!$C19</f>
        <v>1</v>
      </c>
      <c r="AT19" s="43">
        <f>ዕቁብ!AU22/Sheet4!$C19</f>
        <v>1</v>
      </c>
      <c r="AU19" s="43">
        <f>ዕቁብ!AV22/Sheet4!$C19</f>
        <v>1</v>
      </c>
      <c r="AV19" s="43">
        <f>ዕቁብ!AW22/Sheet4!$C19</f>
        <v>1</v>
      </c>
      <c r="AW19" s="43">
        <f>ዕቁብ!AX22/Sheet4!$C19</f>
        <v>1</v>
      </c>
      <c r="AX19" s="43">
        <f>ዕቁብ!AY22/Sheet4!$C19</f>
        <v>1</v>
      </c>
      <c r="AY19" s="43">
        <f>ዕቁብ!AZ22/Sheet4!$C19</f>
        <v>1</v>
      </c>
      <c r="AZ19" s="43">
        <f>ዕቁብ!BA22/Sheet4!$C19</f>
        <v>1</v>
      </c>
      <c r="BA19" s="43">
        <f>ዕቁብ!BB22/Sheet4!$C19</f>
        <v>1</v>
      </c>
      <c r="BB19" s="43">
        <f>ዕቁብ!BC22/Sheet4!$C19</f>
        <v>1</v>
      </c>
      <c r="BC19" s="43">
        <f>ዕቁብ!BD22/Sheet4!$C19</f>
        <v>1</v>
      </c>
      <c r="BD19" s="43">
        <f>ዕቁብ!BE22/Sheet4!$C19</f>
        <v>1</v>
      </c>
      <c r="BE19" s="43">
        <f>ዕቁብ!BF22/Sheet4!$C19</f>
        <v>0</v>
      </c>
      <c r="BF19" s="43">
        <f>ዕቁብ!BG22/Sheet4!$C19</f>
        <v>1</v>
      </c>
      <c r="BG19" s="43">
        <f>ዕቁብ!BH22/Sheet4!$C19</f>
        <v>1</v>
      </c>
      <c r="BH19" s="43">
        <f>ዕቁብ!BI22/Sheet4!$C19</f>
        <v>1</v>
      </c>
      <c r="BI19" s="43">
        <f>ዕቁብ!BJ22/Sheet4!$C19</f>
        <v>1</v>
      </c>
      <c r="BJ19" s="43">
        <f>ዕቁብ!BK22/Sheet4!$C19</f>
        <v>1</v>
      </c>
      <c r="BK19" s="43">
        <f>ዕቁብ!BL22/Sheet4!$C19</f>
        <v>1</v>
      </c>
      <c r="BL19" s="43">
        <f>ዕቁብ!BM22/Sheet4!$C19</f>
        <v>1</v>
      </c>
      <c r="BM19" s="43">
        <f>ዕቁብ!BN22/Sheet4!$C19</f>
        <v>0</v>
      </c>
      <c r="BN19" s="43">
        <f>ዕቁብ!BO22/Sheet4!$C19</f>
        <v>2</v>
      </c>
      <c r="BO19" s="43">
        <f>ዕቁብ!BP22/Sheet4!$C19</f>
        <v>1</v>
      </c>
      <c r="BP19" s="43">
        <f>ዕቁብ!BQ22/Sheet4!$C19</f>
        <v>1</v>
      </c>
      <c r="BQ19" s="43">
        <f>ዕቁብ!BR22/Sheet4!$C19</f>
        <v>1</v>
      </c>
      <c r="BR19" s="43">
        <f>ዕቁብ!BS22/Sheet4!$C19</f>
        <v>1</v>
      </c>
      <c r="BS19" s="43">
        <f>ዕቁብ!BT22/Sheet4!$C19</f>
        <v>1</v>
      </c>
      <c r="BT19" s="43">
        <f>ዕቁብ!BU22/Sheet4!$C19</f>
        <v>1</v>
      </c>
      <c r="BU19" s="43">
        <f>ዕቁብ!BV22/Sheet4!$C19</f>
        <v>1</v>
      </c>
      <c r="BV19" s="43">
        <f>ዕቁብ!BW22/Sheet4!$C19</f>
        <v>1</v>
      </c>
      <c r="BW19" s="43">
        <f>ዕቁብ!BX22/Sheet4!$C19</f>
        <v>1</v>
      </c>
      <c r="BX19" s="43">
        <f>ዕቁብ!BY22/Sheet4!$C19</f>
        <v>1</v>
      </c>
      <c r="BY19" s="43">
        <f>ዕቁብ!BZ22/Sheet4!$C19</f>
        <v>1</v>
      </c>
      <c r="BZ19" s="43">
        <f>ዕቁብ!CA22/Sheet4!$C19</f>
        <v>1</v>
      </c>
      <c r="CA19" s="43">
        <f>ዕቁብ!CB22/Sheet4!$C19</f>
        <v>0</v>
      </c>
      <c r="CB19" s="43">
        <f>ዕቁብ!CC22/Sheet4!$C19</f>
        <v>2</v>
      </c>
      <c r="CC19" s="43">
        <f>ዕቁብ!CD22/Sheet4!$C19</f>
        <v>1</v>
      </c>
      <c r="CD19" s="43">
        <f>ዕቁብ!CE22/Sheet4!$C19</f>
        <v>0</v>
      </c>
      <c r="CE19" s="43">
        <f>ዕቁብ!CF22/Sheet4!$C19</f>
        <v>1</v>
      </c>
      <c r="CF19" s="43">
        <f>ዕቁብ!CG22/Sheet4!$C19</f>
        <v>0</v>
      </c>
      <c r="CG19" s="43">
        <f>ዕቁብ!CH22/Sheet4!$C19</f>
        <v>1</v>
      </c>
      <c r="CH19" s="43">
        <f>ዕቁብ!CI22/Sheet4!$C19</f>
        <v>1</v>
      </c>
      <c r="CI19" s="43">
        <f>ዕቁብ!CJ22/Sheet4!$C19</f>
        <v>1</v>
      </c>
      <c r="CJ19" s="43">
        <f>ዕቁብ!CK22/Sheet4!$C19</f>
        <v>1</v>
      </c>
      <c r="CK19" s="43">
        <f>ዕቁብ!CL22/Sheet4!$C19</f>
        <v>0</v>
      </c>
      <c r="CL19" s="43">
        <f>ዕቁብ!CM22/Sheet4!$C19</f>
        <v>2</v>
      </c>
      <c r="CM19" s="43">
        <f>ዕቁብ!CN22/Sheet4!$C19</f>
        <v>1</v>
      </c>
      <c r="CN19" s="43">
        <f>ዕቁብ!CO22/Sheet4!$C19</f>
        <v>1</v>
      </c>
      <c r="CO19" s="43">
        <f>ዕቁብ!CP22/Sheet4!$C19</f>
        <v>0</v>
      </c>
      <c r="CP19" s="43">
        <f>ዕቁብ!CQ22/Sheet4!$C19</f>
        <v>1</v>
      </c>
      <c r="CQ19" s="43">
        <f>ዕቁብ!CR22/Sheet4!$C19</f>
        <v>1</v>
      </c>
      <c r="CR19" s="43">
        <f>ዕቁብ!CS22/Sheet4!$C19</f>
        <v>1</v>
      </c>
      <c r="CS19" s="43">
        <f>ዕቁብ!CT22/Sheet4!$C19</f>
        <v>1</v>
      </c>
      <c r="CT19" s="43">
        <f>ዕቁብ!CU22/Sheet4!$C19</f>
        <v>1</v>
      </c>
      <c r="CU19" s="43">
        <f>ዕቁብ!CV22/Sheet4!$C19</f>
        <v>1</v>
      </c>
      <c r="CV19" s="43">
        <f>ዕቁብ!CW22/Sheet4!$C19</f>
        <v>0</v>
      </c>
      <c r="CW19" s="43">
        <f>ዕቁብ!CX22/Sheet4!$C19</f>
        <v>1</v>
      </c>
      <c r="CX19" s="43">
        <f>ዕቁብ!CY22/Sheet4!$C19</f>
        <v>0</v>
      </c>
      <c r="CY19" s="43">
        <f>ዕቁብ!CZ22/Sheet4!$C19</f>
        <v>0</v>
      </c>
      <c r="CZ19" s="43">
        <f>ዕቁብ!DA22/Sheet4!$C19</f>
        <v>1</v>
      </c>
      <c r="DA19" s="43">
        <f>ዕቁብ!DB22/Sheet4!$C19</f>
        <v>1</v>
      </c>
      <c r="DB19" s="43">
        <f>ዕቁብ!DC22/Sheet4!$C19</f>
        <v>1</v>
      </c>
      <c r="DC19" s="43">
        <f>ዕቁብ!DD22/Sheet4!$C19</f>
        <v>0</v>
      </c>
      <c r="DD19" s="43">
        <f>ዕቁብ!DE22/Sheet4!$C19</f>
        <v>1</v>
      </c>
      <c r="DE19" s="43">
        <f>ዕቁብ!DF22/Sheet4!$C19</f>
        <v>1</v>
      </c>
      <c r="DF19" s="43">
        <f>ዕቁብ!DG22/Sheet4!$C19</f>
        <v>1</v>
      </c>
      <c r="DG19" s="43">
        <f>ዕቁብ!DH22/Sheet4!$C19</f>
        <v>1</v>
      </c>
      <c r="DH19" s="43">
        <f>ዕቁብ!DI22/Sheet4!$C19</f>
        <v>0</v>
      </c>
      <c r="DI19" s="43">
        <f>ዕቁብ!DJ22/Sheet4!$C19</f>
        <v>0</v>
      </c>
      <c r="DJ19" s="43">
        <f>ዕቁብ!DK22/Sheet4!$C19</f>
        <v>0</v>
      </c>
      <c r="DK19" s="43">
        <f>ዕቁብ!DL22/Sheet4!$C19</f>
        <v>0</v>
      </c>
      <c r="DL19" s="43">
        <f>ዕቁብ!DM22/Sheet4!$C19</f>
        <v>0</v>
      </c>
      <c r="DM19" s="43">
        <f>ዕቁብ!DN22/Sheet4!$C19</f>
        <v>0</v>
      </c>
      <c r="DN19" s="43">
        <f>ዕቁብ!DO22/Sheet4!$C19</f>
        <v>0</v>
      </c>
      <c r="DO19" s="43">
        <f>ዕቁብ!DP22/Sheet4!$C19</f>
        <v>0</v>
      </c>
      <c r="DP19" s="43">
        <f>ዕቁብ!DQ22/Sheet4!$C19</f>
        <v>0</v>
      </c>
      <c r="DQ19" s="43">
        <f>ዕቁብ!DR22/Sheet4!$C19</f>
        <v>0</v>
      </c>
    </row>
    <row r="20" spans="1:121" ht="14.4" x14ac:dyDescent="0.3">
      <c r="A20" s="40">
        <f>ዕቁብ!A23</f>
        <v>18</v>
      </c>
      <c r="B20" s="40" t="str">
        <f>ዕቁብ!B23</f>
        <v>ህዝቄል ጴጥሮስ</v>
      </c>
      <c r="C20" s="30">
        <f>ዕቁብ!C23</f>
        <v>21000</v>
      </c>
      <c r="D20" s="43">
        <f>ዕቁብ!E23/Sheet4!$C20</f>
        <v>1</v>
      </c>
      <c r="E20" s="43">
        <f>ዕቁብ!F23/Sheet4!$C20</f>
        <v>1</v>
      </c>
      <c r="F20" s="43">
        <f>ዕቁብ!G23/Sheet4!$C20</f>
        <v>1</v>
      </c>
      <c r="G20" s="43">
        <f>ዕቁብ!H23/Sheet4!$C20</f>
        <v>1</v>
      </c>
      <c r="H20" s="43">
        <f>ዕቁብ!I23/Sheet4!$C20</f>
        <v>1</v>
      </c>
      <c r="I20" s="43">
        <f>ዕቁብ!J23/Sheet4!$C20</f>
        <v>1</v>
      </c>
      <c r="J20" s="43">
        <f>ዕቁብ!K23/Sheet4!$C20</f>
        <v>1</v>
      </c>
      <c r="K20" s="43">
        <f>ዕቁብ!L23/Sheet4!$C20</f>
        <v>1</v>
      </c>
      <c r="L20" s="43">
        <f>ዕቁብ!M23/Sheet4!$C20</f>
        <v>1</v>
      </c>
      <c r="M20" s="43">
        <f>ዕቁብ!N23/Sheet4!$C20</f>
        <v>1</v>
      </c>
      <c r="N20" s="43">
        <f>ዕቁብ!O23/Sheet4!$C20</f>
        <v>1</v>
      </c>
      <c r="O20" s="43">
        <f>ዕቁብ!P23/Sheet4!$C20</f>
        <v>1</v>
      </c>
      <c r="P20" s="43">
        <f>ዕቁብ!Q23/Sheet4!$C20</f>
        <v>1</v>
      </c>
      <c r="Q20" s="43">
        <f>ዕቁብ!R23/Sheet4!$C20</f>
        <v>1</v>
      </c>
      <c r="R20" s="43">
        <f>ዕቁብ!S23/Sheet4!$C20</f>
        <v>1</v>
      </c>
      <c r="S20" s="43">
        <f>ዕቁብ!T23/Sheet4!$C20</f>
        <v>1</v>
      </c>
      <c r="T20" s="43">
        <f>ዕቁብ!U23/Sheet4!$C20</f>
        <v>1</v>
      </c>
      <c r="U20" s="43">
        <f>ዕቁብ!V23/Sheet4!$C20</f>
        <v>1</v>
      </c>
      <c r="V20" s="43">
        <f>ዕቁብ!W23/Sheet4!$C20</f>
        <v>1</v>
      </c>
      <c r="W20" s="43">
        <f>ዕቁብ!X23/Sheet4!$C20</f>
        <v>1</v>
      </c>
      <c r="X20" s="43">
        <f>ዕቁብ!Y23/Sheet4!$C20</f>
        <v>1</v>
      </c>
      <c r="Y20" s="43">
        <f>ዕቁብ!Z23/Sheet4!$C20</f>
        <v>1</v>
      </c>
      <c r="Z20" s="43">
        <f>ዕቁብ!AA23/Sheet4!$C20</f>
        <v>1</v>
      </c>
      <c r="AA20" s="43">
        <f>ዕቁብ!AB23/Sheet4!$C20</f>
        <v>1</v>
      </c>
      <c r="AB20" s="43">
        <f>ዕቁብ!AC23/Sheet4!$C20</f>
        <v>1</v>
      </c>
      <c r="AC20" s="43">
        <f>ዕቁብ!AD23/Sheet4!$C20</f>
        <v>1</v>
      </c>
      <c r="AD20" s="43">
        <f>ዕቁብ!AE23/Sheet4!$C20</f>
        <v>1</v>
      </c>
      <c r="AE20" s="43">
        <f>ዕቁብ!AF23/Sheet4!$C20</f>
        <v>1</v>
      </c>
      <c r="AF20" s="43">
        <f>ዕቁብ!AG23/Sheet4!$C20</f>
        <v>1</v>
      </c>
      <c r="AG20" s="43">
        <f>ዕቁብ!AH23/Sheet4!$C20</f>
        <v>1</v>
      </c>
      <c r="AH20" s="43">
        <f>ዕቁብ!AI23/Sheet4!$C20</f>
        <v>1</v>
      </c>
      <c r="AI20" s="43">
        <f>ዕቁብ!AJ23/Sheet4!$C20</f>
        <v>1</v>
      </c>
      <c r="AJ20" s="43">
        <f>ዕቁብ!AK23/Sheet4!$C20</f>
        <v>1</v>
      </c>
      <c r="AK20" s="43">
        <f>ዕቁብ!AL23/Sheet4!$C20</f>
        <v>0</v>
      </c>
      <c r="AL20" s="43">
        <f>ዕቁብ!AM23/Sheet4!$C20</f>
        <v>2</v>
      </c>
      <c r="AM20" s="43">
        <f>ዕቁብ!AN23/Sheet4!$C20</f>
        <v>1</v>
      </c>
      <c r="AN20" s="43">
        <f>ዕቁብ!AO23/Sheet4!$C20</f>
        <v>1</v>
      </c>
      <c r="AO20" s="43">
        <f>ዕቁብ!AP23/Sheet4!$C20</f>
        <v>1</v>
      </c>
      <c r="AP20" s="43">
        <f>ዕቁብ!AQ23/Sheet4!$C20</f>
        <v>1</v>
      </c>
      <c r="AQ20" s="43">
        <f>ዕቁብ!AR23/Sheet4!$C20</f>
        <v>1</v>
      </c>
      <c r="AR20" s="43">
        <f>ዕቁብ!AS23/Sheet4!$C20</f>
        <v>1</v>
      </c>
      <c r="AS20" s="43">
        <f>ዕቁብ!AT23/Sheet4!$C20</f>
        <v>1</v>
      </c>
      <c r="AT20" s="43">
        <f>ዕቁብ!AU23/Sheet4!$C20</f>
        <v>1</v>
      </c>
      <c r="AU20" s="43">
        <f>ዕቁብ!AV23/Sheet4!$C20</f>
        <v>1</v>
      </c>
      <c r="AV20" s="43">
        <f>ዕቁብ!AW23/Sheet4!$C20</f>
        <v>1</v>
      </c>
      <c r="AW20" s="43">
        <f>ዕቁብ!AX23/Sheet4!$C20</f>
        <v>1</v>
      </c>
      <c r="AX20" s="43">
        <f>ዕቁብ!AY23/Sheet4!$C20</f>
        <v>1</v>
      </c>
      <c r="AY20" s="43">
        <f>ዕቁብ!AZ23/Sheet4!$C20</f>
        <v>1</v>
      </c>
      <c r="AZ20" s="43">
        <f>ዕቁብ!BA23/Sheet4!$C20</f>
        <v>1</v>
      </c>
      <c r="BA20" s="43">
        <f>ዕቁብ!BB23/Sheet4!$C20</f>
        <v>1</v>
      </c>
      <c r="BB20" s="43">
        <f>ዕቁብ!BC23/Sheet4!$C20</f>
        <v>1</v>
      </c>
      <c r="BC20" s="43">
        <f>ዕቁብ!BD23/Sheet4!$C20</f>
        <v>1</v>
      </c>
      <c r="BD20" s="43">
        <f>ዕቁብ!BE23/Sheet4!$C20</f>
        <v>1</v>
      </c>
      <c r="BE20" s="43">
        <f>ዕቁብ!BF23/Sheet4!$C20</f>
        <v>1</v>
      </c>
      <c r="BF20" s="43">
        <f>ዕቁብ!BG23/Sheet4!$C20</f>
        <v>1</v>
      </c>
      <c r="BG20" s="43">
        <f>ዕቁብ!BH23/Sheet4!$C20</f>
        <v>1</v>
      </c>
      <c r="BH20" s="43">
        <f>ዕቁብ!BI23/Sheet4!$C20</f>
        <v>1</v>
      </c>
      <c r="BI20" s="43">
        <f>ዕቁብ!BJ23/Sheet4!$C20</f>
        <v>1</v>
      </c>
      <c r="BJ20" s="43">
        <f>ዕቁብ!BK23/Sheet4!$C20</f>
        <v>1</v>
      </c>
      <c r="BK20" s="43">
        <f>ዕቁብ!BL23/Sheet4!$C20</f>
        <v>1</v>
      </c>
      <c r="BL20" s="43">
        <f>ዕቁብ!BM23/Sheet4!$C20</f>
        <v>1</v>
      </c>
      <c r="BM20" s="43">
        <f>ዕቁብ!BN23/Sheet4!$C20</f>
        <v>1</v>
      </c>
      <c r="BN20" s="43">
        <f>ዕቁብ!BO23/Sheet4!$C20</f>
        <v>1</v>
      </c>
      <c r="BO20" s="43">
        <f>ዕቁብ!BP23/Sheet4!$C20</f>
        <v>1</v>
      </c>
      <c r="BP20" s="43">
        <f>ዕቁብ!BQ23/Sheet4!$C20</f>
        <v>0</v>
      </c>
      <c r="BQ20" s="43">
        <f>ዕቁብ!BR23/Sheet4!$C20</f>
        <v>1</v>
      </c>
      <c r="BR20" s="43">
        <f>ዕቁብ!BS23/Sheet4!$C20</f>
        <v>1</v>
      </c>
      <c r="BS20" s="43">
        <f>ዕቁብ!BT23/Sheet4!$C20</f>
        <v>1</v>
      </c>
      <c r="BT20" s="43">
        <f>ዕቁብ!BU23/Sheet4!$C20</f>
        <v>1</v>
      </c>
      <c r="BU20" s="43">
        <f>ዕቁብ!BV23/Sheet4!$C20</f>
        <v>1</v>
      </c>
      <c r="BV20" s="43">
        <f>ዕቁብ!BW23/Sheet4!$C20</f>
        <v>1</v>
      </c>
      <c r="BW20" s="43">
        <f>ዕቁብ!BX23/Sheet4!$C20</f>
        <v>1</v>
      </c>
      <c r="BX20" s="43">
        <f>ዕቁብ!BY23/Sheet4!$C20</f>
        <v>1</v>
      </c>
      <c r="BY20" s="43">
        <f>ዕቁብ!BZ23/Sheet4!$C20</f>
        <v>1</v>
      </c>
      <c r="BZ20" s="43">
        <f>ዕቁብ!CA23/Sheet4!$C20</f>
        <v>1</v>
      </c>
      <c r="CA20" s="43">
        <f>ዕቁብ!CB23/Sheet4!$C20</f>
        <v>1</v>
      </c>
      <c r="CB20" s="43">
        <f>ዕቁብ!CC23/Sheet4!$C20</f>
        <v>1</v>
      </c>
      <c r="CC20" s="43">
        <f>ዕቁብ!CD23/Sheet4!$C20</f>
        <v>1</v>
      </c>
      <c r="CD20" s="43">
        <f>ዕቁብ!CE23/Sheet4!$C20</f>
        <v>0</v>
      </c>
      <c r="CE20" s="43">
        <f>ዕቁብ!CF23/Sheet4!$C20</f>
        <v>2</v>
      </c>
      <c r="CF20" s="43">
        <f>ዕቁብ!CG23/Sheet4!$C20</f>
        <v>1</v>
      </c>
      <c r="CG20" s="43">
        <f>ዕቁብ!CH23/Sheet4!$C20</f>
        <v>1</v>
      </c>
      <c r="CH20" s="43">
        <f>ዕቁብ!CI23/Sheet4!$C20</f>
        <v>1</v>
      </c>
      <c r="CI20" s="43">
        <f>ዕቁብ!CJ23/Sheet4!$C20</f>
        <v>1</v>
      </c>
      <c r="CJ20" s="43">
        <f>ዕቁብ!CK23/Sheet4!$C20</f>
        <v>1</v>
      </c>
      <c r="CK20" s="43">
        <f>ዕቁብ!CL23/Sheet4!$C20</f>
        <v>0</v>
      </c>
      <c r="CL20" s="43">
        <f>ዕቁብ!CM23/Sheet4!$C20</f>
        <v>2</v>
      </c>
      <c r="CM20" s="43">
        <f>ዕቁብ!CN23/Sheet4!$C20</f>
        <v>1</v>
      </c>
      <c r="CN20" s="43">
        <f>ዕቁብ!CO23/Sheet4!$C20</f>
        <v>1</v>
      </c>
      <c r="CO20" s="43">
        <f>ዕቁብ!CP23/Sheet4!$C20</f>
        <v>1</v>
      </c>
      <c r="CP20" s="43">
        <f>ዕቁብ!CQ23/Sheet4!$C20</f>
        <v>1</v>
      </c>
      <c r="CQ20" s="43">
        <f>ዕቁብ!CR23/Sheet4!$C20</f>
        <v>1</v>
      </c>
      <c r="CR20" s="43">
        <f>ዕቁብ!CS23/Sheet4!$C20</f>
        <v>0</v>
      </c>
      <c r="CS20" s="43">
        <f>ዕቁብ!CT23/Sheet4!$C20</f>
        <v>1</v>
      </c>
      <c r="CT20" s="43">
        <f>ዕቁብ!CU23/Sheet4!$C20</f>
        <v>1</v>
      </c>
      <c r="CU20" s="43">
        <f>ዕቁብ!CV23/Sheet4!$C20</f>
        <v>1</v>
      </c>
      <c r="CV20" s="43">
        <f>ዕቁብ!CW23/Sheet4!$C20</f>
        <v>1</v>
      </c>
      <c r="CW20" s="43">
        <f>ዕቁብ!CX23/Sheet4!$C20</f>
        <v>1</v>
      </c>
      <c r="CX20" s="43">
        <f>ዕቁብ!CY23/Sheet4!$C20</f>
        <v>1</v>
      </c>
      <c r="CY20" s="43">
        <f>ዕቁብ!CZ23/Sheet4!$C20</f>
        <v>1</v>
      </c>
      <c r="CZ20" s="43">
        <f>ዕቁብ!DA23/Sheet4!$C20</f>
        <v>1</v>
      </c>
      <c r="DA20" s="43">
        <f>ዕቁብ!DB23/Sheet4!$C20</f>
        <v>1</v>
      </c>
      <c r="DB20" s="43">
        <f>ዕቁብ!DC23/Sheet4!$C20</f>
        <v>0</v>
      </c>
      <c r="DC20" s="43">
        <f>ዕቁብ!DD23/Sheet4!$C20</f>
        <v>2</v>
      </c>
      <c r="DD20" s="43">
        <f>ዕቁብ!DE23/Sheet4!$C20</f>
        <v>0</v>
      </c>
      <c r="DE20" s="43">
        <f>ዕቁብ!DF23/Sheet4!$C20</f>
        <v>2</v>
      </c>
      <c r="DF20" s="43">
        <f>ዕቁብ!DG23/Sheet4!$C20</f>
        <v>0</v>
      </c>
      <c r="DG20" s="43">
        <f>ዕቁብ!DH23/Sheet4!$C20</f>
        <v>2</v>
      </c>
      <c r="DH20" s="43">
        <f>ዕቁብ!DI23/Sheet4!$C20</f>
        <v>0</v>
      </c>
      <c r="DI20" s="43">
        <f>ዕቁብ!DJ23/Sheet4!$C20</f>
        <v>0</v>
      </c>
      <c r="DJ20" s="43">
        <f>ዕቁብ!DK23/Sheet4!$C20</f>
        <v>0</v>
      </c>
      <c r="DK20" s="43">
        <f>ዕቁብ!DL23/Sheet4!$C20</f>
        <v>0</v>
      </c>
      <c r="DL20" s="43">
        <f>ዕቁብ!DM23/Sheet4!$C20</f>
        <v>0</v>
      </c>
      <c r="DM20" s="43">
        <f>ዕቁብ!DN23/Sheet4!$C20</f>
        <v>0</v>
      </c>
      <c r="DN20" s="43">
        <f>ዕቁብ!DO23/Sheet4!$C20</f>
        <v>0</v>
      </c>
      <c r="DO20" s="43">
        <f>ዕቁብ!DP23/Sheet4!$C20</f>
        <v>0</v>
      </c>
      <c r="DP20" s="43">
        <f>ዕቁብ!DQ23/Sheet4!$C20</f>
        <v>0</v>
      </c>
      <c r="DQ20" s="43">
        <f>ዕቁብ!DR23/Sheet4!$C20</f>
        <v>0</v>
      </c>
    </row>
    <row r="21" spans="1:121" ht="15.75" customHeight="1" x14ac:dyDescent="0.3">
      <c r="A21" s="40">
        <f>ዕቁብ!A24</f>
        <v>19</v>
      </c>
      <c r="B21" s="40" t="str">
        <f>ዕቁብ!B24</f>
        <v xml:space="preserve">አንተነህ ግዛዉ </v>
      </c>
      <c r="C21" s="30">
        <f>ዕቁብ!C24</f>
        <v>10500</v>
      </c>
      <c r="D21" s="43">
        <f>ዕቁብ!E24/Sheet4!$C21</f>
        <v>1</v>
      </c>
      <c r="E21" s="43">
        <f>ዕቁብ!F24/Sheet4!$C21</f>
        <v>1</v>
      </c>
      <c r="F21" s="43">
        <f>ዕቁብ!G24/Sheet4!$C21</f>
        <v>1</v>
      </c>
      <c r="G21" s="43">
        <f>ዕቁብ!H24/Sheet4!$C21</f>
        <v>1</v>
      </c>
      <c r="H21" s="43">
        <f>ዕቁብ!I24/Sheet4!$C21</f>
        <v>1</v>
      </c>
      <c r="I21" s="43">
        <f>ዕቁብ!J24/Sheet4!$C21</f>
        <v>1</v>
      </c>
      <c r="J21" s="43">
        <f>ዕቁብ!K24/Sheet4!$C21</f>
        <v>1</v>
      </c>
      <c r="K21" s="43">
        <f>ዕቁብ!L24/Sheet4!$C21</f>
        <v>1</v>
      </c>
      <c r="L21" s="43">
        <f>ዕቁብ!M24/Sheet4!$C21</f>
        <v>1</v>
      </c>
      <c r="M21" s="43">
        <f>ዕቁብ!N24/Sheet4!$C21</f>
        <v>1</v>
      </c>
      <c r="N21" s="43">
        <f>ዕቁብ!O24/Sheet4!$C21</f>
        <v>1</v>
      </c>
      <c r="O21" s="43">
        <f>ዕቁብ!P24/Sheet4!$C21</f>
        <v>1</v>
      </c>
      <c r="P21" s="43">
        <f>ዕቁብ!Q24/Sheet4!$C21</f>
        <v>1</v>
      </c>
      <c r="Q21" s="43">
        <f>ዕቁብ!R24/Sheet4!$C21</f>
        <v>1</v>
      </c>
      <c r="R21" s="43">
        <f>ዕቁብ!S24/Sheet4!$C21</f>
        <v>1</v>
      </c>
      <c r="S21" s="43">
        <f>ዕቁብ!T24/Sheet4!$C21</f>
        <v>1</v>
      </c>
      <c r="T21" s="43">
        <f>ዕቁብ!U24/Sheet4!$C21</f>
        <v>1</v>
      </c>
      <c r="U21" s="43">
        <f>ዕቁብ!V24/Sheet4!$C21</f>
        <v>1</v>
      </c>
      <c r="V21" s="43">
        <f>ዕቁብ!W24/Sheet4!$C21</f>
        <v>1</v>
      </c>
      <c r="W21" s="43">
        <f>ዕቁብ!X24/Sheet4!$C21</f>
        <v>1</v>
      </c>
      <c r="X21" s="43">
        <f>ዕቁብ!Y24/Sheet4!$C21</f>
        <v>1</v>
      </c>
      <c r="Y21" s="43">
        <f>ዕቁብ!Z24/Sheet4!$C21</f>
        <v>0</v>
      </c>
      <c r="Z21" s="43">
        <f>ዕቁብ!AA24/Sheet4!$C21</f>
        <v>2</v>
      </c>
      <c r="AA21" s="43">
        <f>ዕቁብ!AB24/Sheet4!$C21</f>
        <v>1</v>
      </c>
      <c r="AB21" s="43">
        <f>ዕቁብ!AC24/Sheet4!$C21</f>
        <v>1</v>
      </c>
      <c r="AC21" s="43">
        <f>ዕቁብ!AD24/Sheet4!$C21</f>
        <v>1</v>
      </c>
      <c r="AD21" s="43">
        <f>ዕቁብ!AE24/Sheet4!$C21</f>
        <v>0</v>
      </c>
      <c r="AE21" s="43">
        <f>ዕቁብ!AF24/Sheet4!$C21</f>
        <v>1</v>
      </c>
      <c r="AF21" s="43">
        <f>ዕቁብ!AG24/Sheet4!$C21</f>
        <v>2</v>
      </c>
      <c r="AG21" s="43">
        <f>ዕቁብ!AH24/Sheet4!$C21</f>
        <v>1</v>
      </c>
      <c r="AH21" s="43">
        <f>ዕቁብ!AI24/Sheet4!$C21</f>
        <v>1</v>
      </c>
      <c r="AI21" s="43">
        <f>ዕቁብ!AJ24/Sheet4!$C21</f>
        <v>0</v>
      </c>
      <c r="AJ21" s="43">
        <f>ዕቁብ!AK24/Sheet4!$C21</f>
        <v>2</v>
      </c>
      <c r="AK21" s="43">
        <f>ዕቁብ!AL24/Sheet4!$C21</f>
        <v>1</v>
      </c>
      <c r="AL21" s="43">
        <f>ዕቁብ!AM24/Sheet4!$C21</f>
        <v>1</v>
      </c>
      <c r="AM21" s="43">
        <f>ዕቁብ!AN24/Sheet4!$C21</f>
        <v>1</v>
      </c>
      <c r="AN21" s="43">
        <f>ዕቁብ!AO24/Sheet4!$C21</f>
        <v>1</v>
      </c>
      <c r="AO21" s="43">
        <f>ዕቁብ!AP24/Sheet4!$C21</f>
        <v>1</v>
      </c>
      <c r="AP21" s="43">
        <f>ዕቁብ!AQ24/Sheet4!$C21</f>
        <v>0</v>
      </c>
      <c r="AQ21" s="43">
        <f>ዕቁብ!AR24/Sheet4!$C21</f>
        <v>1</v>
      </c>
      <c r="AR21" s="43">
        <f>ዕቁብ!AS24/Sheet4!$C21</f>
        <v>2</v>
      </c>
      <c r="AS21" s="43">
        <f>ዕቁብ!AT24/Sheet4!$C21</f>
        <v>0</v>
      </c>
      <c r="AT21" s="43">
        <f>ዕቁብ!AU24/Sheet4!$C21</f>
        <v>2</v>
      </c>
      <c r="AU21" s="43">
        <f>ዕቁብ!AV24/Sheet4!$C21</f>
        <v>1</v>
      </c>
      <c r="AV21" s="43">
        <f>ዕቁብ!AW24/Sheet4!$C21</f>
        <v>1</v>
      </c>
      <c r="AW21" s="43">
        <f>ዕቁብ!AX24/Sheet4!$C21</f>
        <v>1</v>
      </c>
      <c r="AX21" s="43">
        <f>ዕቁብ!AY24/Sheet4!$C21</f>
        <v>1</v>
      </c>
      <c r="AY21" s="43">
        <f>ዕቁብ!AZ24/Sheet4!$C21</f>
        <v>0</v>
      </c>
      <c r="AZ21" s="43">
        <f>ዕቁብ!BA24/Sheet4!$C21</f>
        <v>1</v>
      </c>
      <c r="BA21" s="43">
        <f>ዕቁብ!BB24/Sheet4!$C21</f>
        <v>1</v>
      </c>
      <c r="BB21" s="43">
        <f>ዕቁብ!BC24/Sheet4!$C21</f>
        <v>1</v>
      </c>
      <c r="BC21" s="43">
        <f>ዕቁብ!BD24/Sheet4!$C21</f>
        <v>1</v>
      </c>
      <c r="BD21" s="43">
        <f>ዕቁብ!BE24/Sheet4!$C21</f>
        <v>1</v>
      </c>
      <c r="BE21" s="43">
        <f>ዕቁብ!BF24/Sheet4!$C21</f>
        <v>1</v>
      </c>
      <c r="BF21" s="43">
        <f>ዕቁብ!BG24/Sheet4!$C21</f>
        <v>1</v>
      </c>
      <c r="BG21" s="43">
        <f>ዕቁብ!BH24/Sheet4!$C21</f>
        <v>1</v>
      </c>
      <c r="BH21" s="43">
        <f>ዕቁብ!BI24/Sheet4!$C21</f>
        <v>1</v>
      </c>
      <c r="BI21" s="43">
        <f>ዕቁብ!BJ24/Sheet4!$C21</f>
        <v>1</v>
      </c>
      <c r="BJ21" s="43">
        <f>ዕቁብ!BK24/Sheet4!$C21</f>
        <v>1</v>
      </c>
      <c r="BK21" s="43">
        <f>ዕቁብ!BL24/Sheet4!$C21</f>
        <v>1</v>
      </c>
      <c r="BL21" s="43">
        <f>ዕቁብ!BM24/Sheet4!$C21</f>
        <v>1</v>
      </c>
      <c r="BM21" s="43">
        <f>ዕቁብ!BN24/Sheet4!$C21</f>
        <v>1</v>
      </c>
      <c r="BN21" s="43">
        <f>ዕቁብ!BO24/Sheet4!$C21</f>
        <v>1</v>
      </c>
      <c r="BO21" s="43">
        <f>ዕቁብ!BP24/Sheet4!$C21</f>
        <v>0</v>
      </c>
      <c r="BP21" s="43">
        <f>ዕቁብ!BQ24/Sheet4!$C21</f>
        <v>2</v>
      </c>
      <c r="BQ21" s="43">
        <f>ዕቁብ!BR24/Sheet4!$C21</f>
        <v>1</v>
      </c>
      <c r="BR21" s="43">
        <f>ዕቁብ!BS24/Sheet4!$C21</f>
        <v>1</v>
      </c>
      <c r="BS21" s="43">
        <f>ዕቁብ!BT24/Sheet4!$C21</f>
        <v>0</v>
      </c>
      <c r="BT21" s="43">
        <f>ዕቁብ!BU24/Sheet4!$C21</f>
        <v>2</v>
      </c>
      <c r="BU21" s="43">
        <f>ዕቁብ!BV24/Sheet4!$C21</f>
        <v>0</v>
      </c>
      <c r="BV21" s="43">
        <f>ዕቁብ!BW24/Sheet4!$C21</f>
        <v>2</v>
      </c>
      <c r="BW21" s="43">
        <f>ዕቁብ!BX24/Sheet4!$C21</f>
        <v>1</v>
      </c>
      <c r="BX21" s="43">
        <f>ዕቁብ!BY24/Sheet4!$C21</f>
        <v>1</v>
      </c>
      <c r="BY21" s="43">
        <f>ዕቁብ!BZ24/Sheet4!$C21</f>
        <v>1</v>
      </c>
      <c r="BZ21" s="43">
        <f>ዕቁብ!CA24/Sheet4!$C21</f>
        <v>1</v>
      </c>
      <c r="CA21" s="43">
        <f>ዕቁብ!CB24/Sheet4!$C21</f>
        <v>1</v>
      </c>
      <c r="CB21" s="43">
        <f>ዕቁብ!CC24/Sheet4!$C21</f>
        <v>1</v>
      </c>
      <c r="CC21" s="43">
        <f>ዕቁብ!CD24/Sheet4!$C21</f>
        <v>1</v>
      </c>
      <c r="CD21" s="43">
        <f>ዕቁብ!CE24/Sheet4!$C21</f>
        <v>0</v>
      </c>
      <c r="CE21" s="43">
        <f>ዕቁብ!CF24/Sheet4!$C21</f>
        <v>1</v>
      </c>
      <c r="CF21" s="43">
        <f>ዕቁብ!CG24/Sheet4!$C21</f>
        <v>1</v>
      </c>
      <c r="CG21" s="43">
        <f>ዕቁብ!CH24/Sheet4!$C21</f>
        <v>1</v>
      </c>
      <c r="CH21" s="43">
        <f>ዕቁብ!CI24/Sheet4!$C21</f>
        <v>0</v>
      </c>
      <c r="CI21" s="43">
        <f>ዕቁብ!CJ24/Sheet4!$C21</f>
        <v>2</v>
      </c>
      <c r="CJ21" s="43">
        <f>ዕቁብ!CK24/Sheet4!$C21</f>
        <v>1</v>
      </c>
      <c r="CK21" s="43">
        <f>ዕቁብ!CL24/Sheet4!$C21</f>
        <v>1</v>
      </c>
      <c r="CL21" s="43">
        <f>ዕቁብ!CM24/Sheet4!$C21</f>
        <v>1</v>
      </c>
      <c r="CM21" s="43">
        <f>ዕቁብ!CN24/Sheet4!$C21</f>
        <v>1</v>
      </c>
      <c r="CN21" s="43">
        <f>ዕቁብ!CO24/Sheet4!$C21</f>
        <v>1</v>
      </c>
      <c r="CO21" s="43">
        <f>ዕቁብ!CP24/Sheet4!$C21</f>
        <v>1</v>
      </c>
      <c r="CP21" s="43">
        <f>ዕቁብ!CQ24/Sheet4!$C21</f>
        <v>1</v>
      </c>
      <c r="CQ21" s="43">
        <f>ዕቁብ!CR24/Sheet4!$C21</f>
        <v>1</v>
      </c>
      <c r="CR21" s="43">
        <f>ዕቁብ!CS24/Sheet4!$C21</f>
        <v>1</v>
      </c>
      <c r="CS21" s="43">
        <f>ዕቁብ!CT24/Sheet4!$C21</f>
        <v>1</v>
      </c>
      <c r="CT21" s="43">
        <f>ዕቁብ!CU24/Sheet4!$C21</f>
        <v>1</v>
      </c>
      <c r="CU21" s="43">
        <f>ዕቁብ!CV24/Sheet4!$C21</f>
        <v>1</v>
      </c>
      <c r="CV21" s="43">
        <f>ዕቁብ!CW24/Sheet4!$C21</f>
        <v>1</v>
      </c>
      <c r="CW21" s="43">
        <f>ዕቁብ!CX24/Sheet4!$C21</f>
        <v>0</v>
      </c>
      <c r="CX21" s="43">
        <f>ዕቁብ!CY24/Sheet4!$C21</f>
        <v>2</v>
      </c>
      <c r="CY21" s="43">
        <f>ዕቁብ!CZ24/Sheet4!$C21</f>
        <v>0</v>
      </c>
      <c r="CZ21" s="43">
        <f>ዕቁብ!DA24/Sheet4!$C21</f>
        <v>2</v>
      </c>
      <c r="DA21" s="43">
        <f>ዕቁብ!DB24/Sheet4!$C21</f>
        <v>1</v>
      </c>
      <c r="DB21" s="43">
        <f>ዕቁብ!DC24/Sheet4!$C21</f>
        <v>0</v>
      </c>
      <c r="DC21" s="43">
        <f>ዕቁብ!DD24/Sheet4!$C21</f>
        <v>0</v>
      </c>
      <c r="DD21" s="43">
        <f>ዕቁብ!DE24/Sheet4!$C21</f>
        <v>2</v>
      </c>
      <c r="DE21" s="43">
        <f>ዕቁብ!DF24/Sheet4!$C21</f>
        <v>1</v>
      </c>
      <c r="DF21" s="43">
        <f>ዕቁብ!DG24/Sheet4!$C21</f>
        <v>1</v>
      </c>
      <c r="DG21" s="43">
        <f>ዕቁብ!DH24/Sheet4!$C21</f>
        <v>1</v>
      </c>
      <c r="DH21" s="43">
        <f>ዕቁብ!DI24/Sheet4!$C21</f>
        <v>0</v>
      </c>
      <c r="DI21" s="43">
        <f>ዕቁብ!DJ24/Sheet4!$C21</f>
        <v>0</v>
      </c>
      <c r="DJ21" s="43">
        <f>ዕቁብ!DK24/Sheet4!$C21</f>
        <v>0</v>
      </c>
      <c r="DK21" s="43">
        <f>ዕቁብ!DL24/Sheet4!$C21</f>
        <v>0</v>
      </c>
      <c r="DL21" s="43">
        <f>ዕቁብ!DM24/Sheet4!$C21</f>
        <v>0</v>
      </c>
      <c r="DM21" s="43">
        <f>ዕቁብ!DN24/Sheet4!$C21</f>
        <v>0</v>
      </c>
      <c r="DN21" s="43">
        <f>ዕቁብ!DO24/Sheet4!$C21</f>
        <v>0</v>
      </c>
      <c r="DO21" s="43">
        <f>ዕቁብ!DP24/Sheet4!$C21</f>
        <v>0</v>
      </c>
      <c r="DP21" s="43">
        <f>ዕቁብ!DQ24/Sheet4!$C21</f>
        <v>0</v>
      </c>
      <c r="DQ21" s="43">
        <f>ዕቁብ!DR24/Sheet4!$C21</f>
        <v>0</v>
      </c>
    </row>
    <row r="22" spans="1:121" ht="15.75" customHeight="1" x14ac:dyDescent="0.3">
      <c r="A22" s="40">
        <f>ዕቁብ!A25</f>
        <v>19</v>
      </c>
      <c r="B22" s="40" t="str">
        <f>ዕቁብ!B25</f>
        <v>አለማየሁ ገዛህኝ</v>
      </c>
      <c r="C22" s="30">
        <f>ዕቁብ!C25</f>
        <v>10500</v>
      </c>
      <c r="D22" s="43">
        <f>ዕቁብ!E25/Sheet4!$C22</f>
        <v>1</v>
      </c>
      <c r="E22" s="43">
        <f>ዕቁብ!F25/Sheet4!$C22</f>
        <v>1</v>
      </c>
      <c r="F22" s="43">
        <f>ዕቁብ!G25/Sheet4!$C22</f>
        <v>1</v>
      </c>
      <c r="G22" s="43">
        <f>ዕቁብ!H25/Sheet4!$C22</f>
        <v>1</v>
      </c>
      <c r="H22" s="43">
        <f>ዕቁብ!I25/Sheet4!$C22</f>
        <v>1</v>
      </c>
      <c r="I22" s="43">
        <f>ዕቁብ!J25/Sheet4!$C22</f>
        <v>1</v>
      </c>
      <c r="J22" s="43">
        <f>ዕቁብ!K25/Sheet4!$C22</f>
        <v>1</v>
      </c>
      <c r="K22" s="43">
        <f>ዕቁብ!L25/Sheet4!$C22</f>
        <v>1</v>
      </c>
      <c r="L22" s="43">
        <f>ዕቁብ!M25/Sheet4!$C22</f>
        <v>1</v>
      </c>
      <c r="M22" s="43">
        <f>ዕቁብ!N25/Sheet4!$C22</f>
        <v>1</v>
      </c>
      <c r="N22" s="43">
        <f>ዕቁብ!O25/Sheet4!$C22</f>
        <v>1</v>
      </c>
      <c r="O22" s="43">
        <f>ዕቁብ!P25/Sheet4!$C22</f>
        <v>1</v>
      </c>
      <c r="P22" s="43">
        <f>ዕቁብ!Q25/Sheet4!$C22</f>
        <v>1</v>
      </c>
      <c r="Q22" s="43">
        <f>ዕቁብ!R25/Sheet4!$C22</f>
        <v>1</v>
      </c>
      <c r="R22" s="43">
        <f>ዕቁብ!S25/Sheet4!$C22</f>
        <v>1</v>
      </c>
      <c r="S22" s="43">
        <f>ዕቁብ!T25/Sheet4!$C22</f>
        <v>1</v>
      </c>
      <c r="T22" s="43">
        <f>ዕቁብ!U25/Sheet4!$C22</f>
        <v>1</v>
      </c>
      <c r="U22" s="43">
        <f>ዕቁብ!V25/Sheet4!$C22</f>
        <v>1</v>
      </c>
      <c r="V22" s="43">
        <f>ዕቁብ!W25/Sheet4!$C22</f>
        <v>1</v>
      </c>
      <c r="W22" s="43">
        <f>ዕቁብ!X25/Sheet4!$C22</f>
        <v>1</v>
      </c>
      <c r="X22" s="43">
        <f>ዕቁብ!Y25/Sheet4!$C22</f>
        <v>1</v>
      </c>
      <c r="Y22" s="43">
        <f>ዕቁብ!Z25/Sheet4!$C22</f>
        <v>1</v>
      </c>
      <c r="Z22" s="43">
        <f>ዕቁብ!AA25/Sheet4!$C22</f>
        <v>1</v>
      </c>
      <c r="AA22" s="43">
        <f>ዕቁብ!AB25/Sheet4!$C22</f>
        <v>1</v>
      </c>
      <c r="AB22" s="43">
        <f>ዕቁብ!AC25/Sheet4!$C22</f>
        <v>1</v>
      </c>
      <c r="AC22" s="43">
        <f>ዕቁብ!AD25/Sheet4!$C22</f>
        <v>1</v>
      </c>
      <c r="AD22" s="43">
        <f>ዕቁብ!AE25/Sheet4!$C22</f>
        <v>1</v>
      </c>
      <c r="AE22" s="43">
        <f>ዕቁብ!AF25/Sheet4!$C22</f>
        <v>1</v>
      </c>
      <c r="AF22" s="43">
        <f>ዕቁብ!AG25/Sheet4!$C22</f>
        <v>1</v>
      </c>
      <c r="AG22" s="43">
        <f>ዕቁብ!AH25/Sheet4!$C22</f>
        <v>1</v>
      </c>
      <c r="AH22" s="43">
        <f>ዕቁብ!AI25/Sheet4!$C22</f>
        <v>1</v>
      </c>
      <c r="AI22" s="43">
        <f>ዕቁብ!AJ25/Sheet4!$C22</f>
        <v>1</v>
      </c>
      <c r="AJ22" s="43">
        <f>ዕቁብ!AK25/Sheet4!$C22</f>
        <v>1</v>
      </c>
      <c r="AK22" s="43">
        <f>ዕቁብ!AL25/Sheet4!$C22</f>
        <v>1</v>
      </c>
      <c r="AL22" s="43">
        <f>ዕቁብ!AM25/Sheet4!$C22</f>
        <v>1</v>
      </c>
      <c r="AM22" s="43">
        <f>ዕቁብ!AN25/Sheet4!$C22</f>
        <v>1</v>
      </c>
      <c r="AN22" s="43">
        <f>ዕቁብ!AO25/Sheet4!$C22</f>
        <v>1</v>
      </c>
      <c r="AO22" s="43">
        <f>ዕቁብ!AP25/Sheet4!$C22</f>
        <v>1</v>
      </c>
      <c r="AP22" s="43">
        <f>ዕቁብ!AQ25/Sheet4!$C22</f>
        <v>1</v>
      </c>
      <c r="AQ22" s="43">
        <f>ዕቁብ!AR25/Sheet4!$C22</f>
        <v>1</v>
      </c>
      <c r="AR22" s="43">
        <f>ዕቁብ!AS25/Sheet4!$C22</f>
        <v>1</v>
      </c>
      <c r="AS22" s="43">
        <f>ዕቁብ!AT25/Sheet4!$C22</f>
        <v>1</v>
      </c>
      <c r="AT22" s="43">
        <f>ዕቁብ!AU25/Sheet4!$C22</f>
        <v>1</v>
      </c>
      <c r="AU22" s="43">
        <f>ዕቁብ!AV25/Sheet4!$C22</f>
        <v>1</v>
      </c>
      <c r="AV22" s="43">
        <f>ዕቁብ!AW25/Sheet4!$C22</f>
        <v>1</v>
      </c>
      <c r="AW22" s="43">
        <f>ዕቁብ!AX25/Sheet4!$C22</f>
        <v>1</v>
      </c>
      <c r="AX22" s="43">
        <f>ዕቁብ!AY25/Sheet4!$C22</f>
        <v>1</v>
      </c>
      <c r="AY22" s="43">
        <f>ዕቁብ!AZ25/Sheet4!$C22</f>
        <v>1</v>
      </c>
      <c r="AZ22" s="43">
        <f>ዕቁብ!BA25/Sheet4!$C22</f>
        <v>1</v>
      </c>
      <c r="BA22" s="43">
        <f>ዕቁብ!BB25/Sheet4!$C22</f>
        <v>1</v>
      </c>
      <c r="BB22" s="43">
        <f>ዕቁብ!BC25/Sheet4!$C22</f>
        <v>1</v>
      </c>
      <c r="BC22" s="43">
        <f>ዕቁብ!BD25/Sheet4!$C22</f>
        <v>0</v>
      </c>
      <c r="BD22" s="43">
        <f>ዕቁብ!BE25/Sheet4!$C22</f>
        <v>2</v>
      </c>
      <c r="BE22" s="43">
        <f>ዕቁብ!BF25/Sheet4!$C22</f>
        <v>1</v>
      </c>
      <c r="BF22" s="43">
        <f>ዕቁብ!BG25/Sheet4!$C22</f>
        <v>1</v>
      </c>
      <c r="BG22" s="43">
        <f>ዕቁብ!BH25/Sheet4!$C22</f>
        <v>1</v>
      </c>
      <c r="BH22" s="43">
        <f>ዕቁብ!BI25/Sheet4!$C22</f>
        <v>1</v>
      </c>
      <c r="BI22" s="43">
        <f>ዕቁብ!BJ25/Sheet4!$C22</f>
        <v>1</v>
      </c>
      <c r="BJ22" s="43">
        <f>ዕቁብ!BK25/Sheet4!$C22</f>
        <v>1</v>
      </c>
      <c r="BK22" s="43">
        <f>ዕቁብ!BL25/Sheet4!$C22</f>
        <v>1</v>
      </c>
      <c r="BL22" s="43">
        <f>ዕቁብ!BM25/Sheet4!$C22</f>
        <v>1</v>
      </c>
      <c r="BM22" s="43">
        <f>ዕቁብ!BN25/Sheet4!$C22</f>
        <v>1</v>
      </c>
      <c r="BN22" s="43">
        <f>ዕቁብ!BO25/Sheet4!$C22</f>
        <v>1</v>
      </c>
      <c r="BO22" s="43">
        <f>ዕቁብ!BP25/Sheet4!$C22</f>
        <v>1</v>
      </c>
      <c r="BP22" s="43">
        <f>ዕቁብ!BQ25/Sheet4!$C22</f>
        <v>1</v>
      </c>
      <c r="BQ22" s="43">
        <f>ዕቁብ!BR25/Sheet4!$C22</f>
        <v>1</v>
      </c>
      <c r="BR22" s="43">
        <f>ዕቁብ!BS25/Sheet4!$C22</f>
        <v>1</v>
      </c>
      <c r="BS22" s="43">
        <f>ዕቁብ!BT25/Sheet4!$C22</f>
        <v>1</v>
      </c>
      <c r="BT22" s="43">
        <f>ዕቁብ!BU25/Sheet4!$C22</f>
        <v>1</v>
      </c>
      <c r="BU22" s="43">
        <f>ዕቁብ!BV25/Sheet4!$C22</f>
        <v>1</v>
      </c>
      <c r="BV22" s="43">
        <f>ዕቁብ!BW25/Sheet4!$C22</f>
        <v>1</v>
      </c>
      <c r="BW22" s="43">
        <f>ዕቁብ!BX25/Sheet4!$C22</f>
        <v>1</v>
      </c>
      <c r="BX22" s="43">
        <f>ዕቁብ!BY25/Sheet4!$C22</f>
        <v>1</v>
      </c>
      <c r="BY22" s="43">
        <f>ዕቁብ!BZ25/Sheet4!$C22</f>
        <v>1</v>
      </c>
      <c r="BZ22" s="43">
        <f>ዕቁብ!CA25/Sheet4!$C22</f>
        <v>1</v>
      </c>
      <c r="CA22" s="43">
        <f>ዕቁብ!CB25/Sheet4!$C22</f>
        <v>1</v>
      </c>
      <c r="CB22" s="43">
        <f>ዕቁብ!CC25/Sheet4!$C22</f>
        <v>1</v>
      </c>
      <c r="CC22" s="43">
        <f>ዕቁብ!CD25/Sheet4!$C22</f>
        <v>1</v>
      </c>
      <c r="CD22" s="43">
        <f>ዕቁብ!CE25/Sheet4!$C22</f>
        <v>1</v>
      </c>
      <c r="CE22" s="43">
        <f>ዕቁብ!CF25/Sheet4!$C22</f>
        <v>1</v>
      </c>
      <c r="CF22" s="43">
        <f>ዕቁብ!CG25/Sheet4!$C22</f>
        <v>1</v>
      </c>
      <c r="CG22" s="43">
        <f>ዕቁብ!CH25/Sheet4!$C22</f>
        <v>1</v>
      </c>
      <c r="CH22" s="43">
        <f>ዕቁብ!CI25/Sheet4!$C22</f>
        <v>1</v>
      </c>
      <c r="CI22" s="43">
        <f>ዕቁብ!CJ25/Sheet4!$C22</f>
        <v>1</v>
      </c>
      <c r="CJ22" s="43">
        <f>ዕቁብ!CK25/Sheet4!$C22</f>
        <v>1</v>
      </c>
      <c r="CK22" s="43">
        <f>ዕቁብ!CL25/Sheet4!$C22</f>
        <v>1</v>
      </c>
      <c r="CL22" s="43">
        <f>ዕቁብ!CM25/Sheet4!$C22</f>
        <v>1</v>
      </c>
      <c r="CM22" s="43">
        <f>ዕቁብ!CN25/Sheet4!$C22</f>
        <v>1</v>
      </c>
      <c r="CN22" s="43">
        <f>ዕቁብ!CO25/Sheet4!$C22</f>
        <v>1</v>
      </c>
      <c r="CO22" s="43">
        <f>ዕቁብ!CP25/Sheet4!$C22</f>
        <v>0</v>
      </c>
      <c r="CP22" s="43">
        <f>ዕቁብ!CQ25/Sheet4!$C22</f>
        <v>1</v>
      </c>
      <c r="CQ22" s="43">
        <f>ዕቁብ!CR25/Sheet4!$C22</f>
        <v>1</v>
      </c>
      <c r="CR22" s="43">
        <f>ዕቁብ!CS25/Sheet4!$C22</f>
        <v>1</v>
      </c>
      <c r="CS22" s="43">
        <f>ዕቁብ!CT25/Sheet4!$C22</f>
        <v>2</v>
      </c>
      <c r="CT22" s="43">
        <f>ዕቁብ!CU25/Sheet4!$C22</f>
        <v>1</v>
      </c>
      <c r="CU22" s="43">
        <f>ዕቁብ!CV25/Sheet4!$C22</f>
        <v>1</v>
      </c>
      <c r="CV22" s="43">
        <f>ዕቁብ!CW25/Sheet4!$C22</f>
        <v>1</v>
      </c>
      <c r="CW22" s="43">
        <f>ዕቁብ!CX25/Sheet4!$C22</f>
        <v>1</v>
      </c>
      <c r="CX22" s="43">
        <f>ዕቁብ!CY25/Sheet4!$C22</f>
        <v>1</v>
      </c>
      <c r="CY22" s="43">
        <f>ዕቁብ!CZ25/Sheet4!$C22</f>
        <v>1</v>
      </c>
      <c r="CZ22" s="43">
        <f>ዕቁብ!DA25/Sheet4!$C22</f>
        <v>1</v>
      </c>
      <c r="DA22" s="43">
        <f>ዕቁብ!DB25/Sheet4!$C22</f>
        <v>1</v>
      </c>
      <c r="DB22" s="43">
        <f>ዕቁብ!DC25/Sheet4!$C22</f>
        <v>1</v>
      </c>
      <c r="DC22" s="43">
        <f>ዕቁብ!DD25/Sheet4!$C22</f>
        <v>1</v>
      </c>
      <c r="DD22" s="43">
        <f>ዕቁብ!DE25/Sheet4!$C22</f>
        <v>1</v>
      </c>
      <c r="DE22" s="43">
        <f>ዕቁብ!DF25/Sheet4!$C22</f>
        <v>1</v>
      </c>
      <c r="DF22" s="43">
        <f>ዕቁብ!DG25/Sheet4!$C22</f>
        <v>1</v>
      </c>
      <c r="DG22" s="43">
        <f>ዕቁብ!DH25/Sheet4!$C22</f>
        <v>1</v>
      </c>
      <c r="DH22" s="43">
        <f>ዕቁብ!DI25/Sheet4!$C22</f>
        <v>0</v>
      </c>
      <c r="DI22" s="43">
        <f>ዕቁብ!DJ25/Sheet4!$C22</f>
        <v>0</v>
      </c>
      <c r="DJ22" s="43">
        <f>ዕቁብ!DK25/Sheet4!$C22</f>
        <v>0</v>
      </c>
      <c r="DK22" s="43">
        <f>ዕቁብ!DL25/Sheet4!$C22</f>
        <v>0</v>
      </c>
      <c r="DL22" s="43">
        <f>ዕቁብ!DM25/Sheet4!$C22</f>
        <v>0</v>
      </c>
      <c r="DM22" s="43">
        <f>ዕቁብ!DN25/Sheet4!$C22</f>
        <v>0</v>
      </c>
      <c r="DN22" s="43">
        <f>ዕቁብ!DO25/Sheet4!$C22</f>
        <v>0</v>
      </c>
      <c r="DO22" s="43">
        <f>ዕቁብ!DP25/Sheet4!$C22</f>
        <v>0</v>
      </c>
      <c r="DP22" s="43">
        <f>ዕቁብ!DQ25/Sheet4!$C22</f>
        <v>0</v>
      </c>
      <c r="DQ22" s="43">
        <f>ዕቁብ!DR25/Sheet4!$C22</f>
        <v>0</v>
      </c>
    </row>
    <row r="23" spans="1:121" ht="15.75" customHeight="1" x14ac:dyDescent="0.3">
      <c r="A23" s="40">
        <f>ዕቁብ!A26</f>
        <v>20</v>
      </c>
      <c r="B23" s="40" t="str">
        <f>ዕቁብ!B26</f>
        <v>ሻምበል ቦንጃ</v>
      </c>
      <c r="C23" s="30">
        <f>ዕቁብ!C26</f>
        <v>21000</v>
      </c>
      <c r="D23" s="43">
        <f>ዕቁብ!E26/Sheet4!$C23</f>
        <v>1</v>
      </c>
      <c r="E23" s="43">
        <f>ዕቁብ!F26/Sheet4!$C23</f>
        <v>1</v>
      </c>
      <c r="F23" s="43">
        <f>ዕቁብ!G26/Sheet4!$C23</f>
        <v>1</v>
      </c>
      <c r="G23" s="43">
        <f>ዕቁብ!H26/Sheet4!$C23</f>
        <v>1</v>
      </c>
      <c r="H23" s="43">
        <f>ዕቁብ!I26/Sheet4!$C23</f>
        <v>1</v>
      </c>
      <c r="I23" s="43">
        <f>ዕቁብ!J26/Sheet4!$C23</f>
        <v>1</v>
      </c>
      <c r="J23" s="43">
        <f>ዕቁብ!K26/Sheet4!$C23</f>
        <v>1</v>
      </c>
      <c r="K23" s="43">
        <f>ዕቁብ!L26/Sheet4!$C23</f>
        <v>1</v>
      </c>
      <c r="L23" s="43">
        <f>ዕቁብ!M26/Sheet4!$C23</f>
        <v>1</v>
      </c>
      <c r="M23" s="43">
        <f>ዕቁብ!N26/Sheet4!$C23</f>
        <v>1</v>
      </c>
      <c r="N23" s="43">
        <f>ዕቁብ!O26/Sheet4!$C23</f>
        <v>1</v>
      </c>
      <c r="O23" s="43">
        <f>ዕቁብ!P26/Sheet4!$C23</f>
        <v>1</v>
      </c>
      <c r="P23" s="43">
        <f>ዕቁብ!Q26/Sheet4!$C23</f>
        <v>1</v>
      </c>
      <c r="Q23" s="43">
        <f>ዕቁብ!R26/Sheet4!$C23</f>
        <v>1</v>
      </c>
      <c r="R23" s="43">
        <f>ዕቁብ!S26/Sheet4!$C23</f>
        <v>1</v>
      </c>
      <c r="S23" s="43">
        <f>ዕቁብ!T26/Sheet4!$C23</f>
        <v>1</v>
      </c>
      <c r="T23" s="43">
        <f>ዕቁብ!U26/Sheet4!$C23</f>
        <v>1</v>
      </c>
      <c r="U23" s="43">
        <f>ዕቁብ!V26/Sheet4!$C23</f>
        <v>1</v>
      </c>
      <c r="V23" s="43">
        <f>ዕቁብ!W26/Sheet4!$C23</f>
        <v>1</v>
      </c>
      <c r="W23" s="43">
        <f>ዕቁብ!X26/Sheet4!$C23</f>
        <v>1</v>
      </c>
      <c r="X23" s="43">
        <f>ዕቁብ!Y26/Sheet4!$C23</f>
        <v>1</v>
      </c>
      <c r="Y23" s="43">
        <f>ዕቁብ!Z26/Sheet4!$C23</f>
        <v>1</v>
      </c>
      <c r="Z23" s="43">
        <f>ዕቁብ!AA26/Sheet4!$C23</f>
        <v>1</v>
      </c>
      <c r="AA23" s="43">
        <f>ዕቁብ!AB26/Sheet4!$C23</f>
        <v>1</v>
      </c>
      <c r="AB23" s="43">
        <f>ዕቁብ!AC26/Sheet4!$C23</f>
        <v>1</v>
      </c>
      <c r="AC23" s="43">
        <f>ዕቁብ!AD26/Sheet4!$C23</f>
        <v>1</v>
      </c>
      <c r="AD23" s="43">
        <f>ዕቁብ!AE26/Sheet4!$C23</f>
        <v>1</v>
      </c>
      <c r="AE23" s="43">
        <f>ዕቁብ!AF26/Sheet4!$C23</f>
        <v>0</v>
      </c>
      <c r="AF23" s="43">
        <f>ዕቁብ!AG26/Sheet4!$C23</f>
        <v>2</v>
      </c>
      <c r="AG23" s="43">
        <f>ዕቁብ!AH26/Sheet4!$C23</f>
        <v>1</v>
      </c>
      <c r="AH23" s="43">
        <f>ዕቁብ!AI26/Sheet4!$C23</f>
        <v>1</v>
      </c>
      <c r="AI23" s="43">
        <f>ዕቁብ!AJ26/Sheet4!$C23</f>
        <v>1</v>
      </c>
      <c r="AJ23" s="43">
        <f>ዕቁብ!AK26/Sheet4!$C23</f>
        <v>1</v>
      </c>
      <c r="AK23" s="43">
        <f>ዕቁብ!AL26/Sheet4!$C23</f>
        <v>1</v>
      </c>
      <c r="AL23" s="43">
        <f>ዕቁብ!AM26/Sheet4!$C23</f>
        <v>0</v>
      </c>
      <c r="AM23" s="43">
        <f>ዕቁብ!AN26/Sheet4!$C23</f>
        <v>2</v>
      </c>
      <c r="AN23" s="43">
        <f>ዕቁብ!AO26/Sheet4!$C23</f>
        <v>1</v>
      </c>
      <c r="AO23" s="43">
        <f>ዕቁብ!AP26/Sheet4!$C23</f>
        <v>1</v>
      </c>
      <c r="AP23" s="43">
        <f>ዕቁብ!AQ26/Sheet4!$C23</f>
        <v>1</v>
      </c>
      <c r="AQ23" s="43">
        <f>ዕቁብ!AR26/Sheet4!$C23</f>
        <v>1</v>
      </c>
      <c r="AR23" s="43">
        <f>ዕቁብ!AS26/Sheet4!$C23</f>
        <v>0</v>
      </c>
      <c r="AS23" s="43">
        <f>ዕቁብ!AT26/Sheet4!$C23</f>
        <v>2</v>
      </c>
      <c r="AT23" s="43">
        <f>ዕቁብ!AU26/Sheet4!$C23</f>
        <v>0</v>
      </c>
      <c r="AU23" s="43">
        <f>ዕቁብ!AV26/Sheet4!$C23</f>
        <v>2</v>
      </c>
      <c r="AV23" s="43">
        <f>ዕቁብ!AW26/Sheet4!$C23</f>
        <v>1</v>
      </c>
      <c r="AW23" s="43">
        <f>ዕቁብ!AX26/Sheet4!$C23</f>
        <v>1</v>
      </c>
      <c r="AX23" s="43">
        <f>ዕቁብ!AY26/Sheet4!$C23</f>
        <v>0</v>
      </c>
      <c r="AY23" s="43">
        <f>ዕቁብ!AZ26/Sheet4!$C23</f>
        <v>2</v>
      </c>
      <c r="AZ23" s="43">
        <f>ዕቁብ!BA26/Sheet4!$C23</f>
        <v>0</v>
      </c>
      <c r="BA23" s="43">
        <f>ዕቁብ!BB26/Sheet4!$C23</f>
        <v>2</v>
      </c>
      <c r="BB23" s="43">
        <f>ዕቁብ!BC26/Sheet4!$C23</f>
        <v>1</v>
      </c>
      <c r="BC23" s="43">
        <f>ዕቁብ!BD26/Sheet4!$C23</f>
        <v>0</v>
      </c>
      <c r="BD23" s="43">
        <f>ዕቁብ!BE26/Sheet4!$C23</f>
        <v>2</v>
      </c>
      <c r="BE23" s="43">
        <f>ዕቁብ!BF26/Sheet4!$C23</f>
        <v>0</v>
      </c>
      <c r="BF23" s="43">
        <f>ዕቁብ!BG26/Sheet4!$C23</f>
        <v>2</v>
      </c>
      <c r="BG23" s="43">
        <f>ዕቁብ!BH26/Sheet4!$C23</f>
        <v>1</v>
      </c>
      <c r="BH23" s="43">
        <f>ዕቁብ!BI26/Sheet4!$C23</f>
        <v>1</v>
      </c>
      <c r="BI23" s="43">
        <f>ዕቁብ!BJ26/Sheet4!$C23</f>
        <v>1</v>
      </c>
      <c r="BJ23" s="43">
        <f>ዕቁብ!BK26/Sheet4!$C23</f>
        <v>1</v>
      </c>
      <c r="BK23" s="43">
        <f>ዕቁብ!BL26/Sheet4!$C23</f>
        <v>1</v>
      </c>
      <c r="BL23" s="43">
        <f>ዕቁብ!BM26/Sheet4!$C23</f>
        <v>1</v>
      </c>
      <c r="BM23" s="43">
        <f>ዕቁብ!BN26/Sheet4!$C23</f>
        <v>0</v>
      </c>
      <c r="BN23" s="43">
        <f>ዕቁብ!BO26/Sheet4!$C23</f>
        <v>2</v>
      </c>
      <c r="BO23" s="43">
        <f>ዕቁብ!BP26/Sheet4!$C23</f>
        <v>1</v>
      </c>
      <c r="BP23" s="43">
        <f>ዕቁብ!BQ26/Sheet4!$C23</f>
        <v>1</v>
      </c>
      <c r="BQ23" s="43">
        <f>ዕቁብ!BR26/Sheet4!$C23</f>
        <v>0</v>
      </c>
      <c r="BR23" s="43">
        <f>ዕቁብ!BS26/Sheet4!$C23</f>
        <v>2</v>
      </c>
      <c r="BS23" s="43">
        <f>ዕቁብ!BT26/Sheet4!$C23</f>
        <v>1</v>
      </c>
      <c r="BT23" s="43">
        <f>ዕቁብ!BU26/Sheet4!$C23</f>
        <v>0</v>
      </c>
      <c r="BU23" s="43">
        <f>ዕቁብ!BV26/Sheet4!$C23</f>
        <v>0</v>
      </c>
      <c r="BV23" s="43">
        <f>ዕቁብ!BW26/Sheet4!$C23</f>
        <v>3</v>
      </c>
      <c r="BW23" s="43">
        <f>ዕቁብ!BX26/Sheet4!$C23</f>
        <v>0</v>
      </c>
      <c r="BX23" s="43">
        <f>ዕቁብ!BY26/Sheet4!$C23</f>
        <v>2</v>
      </c>
      <c r="BY23" s="43">
        <f>ዕቁብ!BZ26/Sheet4!$C23</f>
        <v>0</v>
      </c>
      <c r="BZ23" s="43">
        <f>ዕቁብ!CA26/Sheet4!$C23</f>
        <v>0</v>
      </c>
      <c r="CA23" s="43">
        <f>ዕቁብ!CB26/Sheet4!$C23</f>
        <v>3</v>
      </c>
      <c r="CB23" s="43">
        <f>ዕቁብ!CC26/Sheet4!$C23</f>
        <v>1</v>
      </c>
      <c r="CC23" s="43">
        <f>ዕቁብ!CD26/Sheet4!$C23</f>
        <v>1</v>
      </c>
      <c r="CD23" s="43">
        <f>ዕቁብ!CE26/Sheet4!$C23</f>
        <v>0</v>
      </c>
      <c r="CE23" s="43">
        <f>ዕቁብ!CF26/Sheet4!$C23</f>
        <v>0</v>
      </c>
      <c r="CF23" s="43">
        <f>ዕቁብ!CG26/Sheet4!$C23</f>
        <v>3</v>
      </c>
      <c r="CG23" s="43">
        <f>ዕቁብ!CH26/Sheet4!$C23</f>
        <v>1</v>
      </c>
      <c r="CH23" s="43">
        <f>ዕቁብ!CI26/Sheet4!$C23</f>
        <v>1</v>
      </c>
      <c r="CI23" s="43">
        <f>ዕቁብ!CJ26/Sheet4!$C23</f>
        <v>1</v>
      </c>
      <c r="CJ23" s="43">
        <f>ዕቁብ!CK26/Sheet4!$C23</f>
        <v>0</v>
      </c>
      <c r="CK23" s="43">
        <f>ዕቁብ!CL26/Sheet4!$C23</f>
        <v>0</v>
      </c>
      <c r="CL23" s="43">
        <f>ዕቁብ!CM26/Sheet4!$C23</f>
        <v>2</v>
      </c>
      <c r="CM23" s="43">
        <f>ዕቁብ!CN26/Sheet4!$C23</f>
        <v>0</v>
      </c>
      <c r="CN23" s="43">
        <f>ዕቁብ!CO26/Sheet4!$C23</f>
        <v>0</v>
      </c>
      <c r="CO23" s="43">
        <f>ዕቁብ!CP26/Sheet4!$C23</f>
        <v>2</v>
      </c>
      <c r="CP23" s="43">
        <f>ዕቁብ!CQ26/Sheet4!$C23</f>
        <v>0</v>
      </c>
      <c r="CQ23" s="43">
        <f>ዕቁብ!CR26/Sheet4!$C23</f>
        <v>2</v>
      </c>
      <c r="CR23" s="43">
        <f>ዕቁብ!CS26/Sheet4!$C23</f>
        <v>1</v>
      </c>
      <c r="CS23" s="43">
        <f>ዕቁብ!CT26/Sheet4!$C23</f>
        <v>0</v>
      </c>
      <c r="CT23" s="43">
        <f>ዕቁብ!CU26/Sheet4!$C23</f>
        <v>2</v>
      </c>
      <c r="CU23" s="43">
        <f>ዕቁብ!CV26/Sheet4!$C23</f>
        <v>0</v>
      </c>
      <c r="CV23" s="43">
        <f>ዕቁብ!CW26/Sheet4!$C23</f>
        <v>2</v>
      </c>
      <c r="CW23" s="43">
        <f>ዕቁብ!CX26/Sheet4!$C23</f>
        <v>0</v>
      </c>
      <c r="CX23" s="43">
        <f>ዕቁብ!CY26/Sheet4!$C23</f>
        <v>2</v>
      </c>
      <c r="CY23" s="43">
        <f>ዕቁብ!CZ26/Sheet4!$C23</f>
        <v>0</v>
      </c>
      <c r="CZ23" s="43">
        <f>ዕቁብ!DA26/Sheet4!$C23</f>
        <v>2</v>
      </c>
      <c r="DA23" s="43">
        <f>ዕቁብ!DB26/Sheet4!$C23</f>
        <v>1</v>
      </c>
      <c r="DB23" s="43">
        <f>ዕቁብ!DC26/Sheet4!$C23</f>
        <v>0</v>
      </c>
      <c r="DC23" s="43">
        <f>ዕቁብ!DD26/Sheet4!$C23</f>
        <v>2</v>
      </c>
      <c r="DD23" s="43">
        <f>ዕቁብ!DE26/Sheet4!$C23</f>
        <v>0</v>
      </c>
      <c r="DE23" s="43">
        <f>ዕቁብ!DF26/Sheet4!$C23</f>
        <v>2</v>
      </c>
      <c r="DF23" s="43">
        <f>ዕቁብ!DG26/Sheet4!$C23</f>
        <v>0</v>
      </c>
      <c r="DG23" s="43">
        <f>ዕቁብ!DH26/Sheet4!$C23</f>
        <v>2</v>
      </c>
      <c r="DH23" s="43">
        <f>ዕቁብ!DI26/Sheet4!$C23</f>
        <v>0</v>
      </c>
      <c r="DI23" s="43">
        <f>ዕቁብ!DJ26/Sheet4!$C23</f>
        <v>0</v>
      </c>
      <c r="DJ23" s="43">
        <f>ዕቁብ!DK26/Sheet4!$C23</f>
        <v>0</v>
      </c>
      <c r="DK23" s="43">
        <f>ዕቁብ!DL26/Sheet4!$C23</f>
        <v>0</v>
      </c>
      <c r="DL23" s="43">
        <f>ዕቁብ!DM26/Sheet4!$C23</f>
        <v>0</v>
      </c>
      <c r="DM23" s="43">
        <f>ዕቁብ!DN26/Sheet4!$C23</f>
        <v>0</v>
      </c>
      <c r="DN23" s="43">
        <f>ዕቁብ!DO26/Sheet4!$C23</f>
        <v>0</v>
      </c>
      <c r="DO23" s="43">
        <f>ዕቁብ!DP26/Sheet4!$C23</f>
        <v>0</v>
      </c>
      <c r="DP23" s="43">
        <f>ዕቁብ!DQ26/Sheet4!$C23</f>
        <v>0</v>
      </c>
      <c r="DQ23" s="43">
        <f>ዕቁብ!DR26/Sheet4!$C23</f>
        <v>0</v>
      </c>
    </row>
    <row r="24" spans="1:121" ht="15.75" customHeight="1" x14ac:dyDescent="0.3">
      <c r="A24" s="40">
        <f>ዕቁብ!A27</f>
        <v>21</v>
      </c>
      <c r="B24" s="40" t="str">
        <f>ዕቁብ!B27</f>
        <v>ማተጎ አመኖ</v>
      </c>
      <c r="C24" s="30">
        <f>ዕቁብ!C27</f>
        <v>21000</v>
      </c>
      <c r="D24" s="43">
        <f>ዕቁብ!E27/Sheet4!$C24</f>
        <v>1</v>
      </c>
      <c r="E24" s="43">
        <f>ዕቁብ!F27/Sheet4!$C24</f>
        <v>1</v>
      </c>
      <c r="F24" s="43">
        <f>ዕቁብ!G27/Sheet4!$C24</f>
        <v>1</v>
      </c>
      <c r="G24" s="43">
        <f>ዕቁብ!H27/Sheet4!$C24</f>
        <v>1</v>
      </c>
      <c r="H24" s="43">
        <f>ዕቁብ!I27/Sheet4!$C24</f>
        <v>1</v>
      </c>
      <c r="I24" s="43">
        <f>ዕቁብ!J27/Sheet4!$C24</f>
        <v>1</v>
      </c>
      <c r="J24" s="43">
        <f>ዕቁብ!K27/Sheet4!$C24</f>
        <v>1</v>
      </c>
      <c r="K24" s="43">
        <f>ዕቁብ!L27/Sheet4!$C24</f>
        <v>1</v>
      </c>
      <c r="L24" s="43">
        <f>ዕቁብ!M27/Sheet4!$C24</f>
        <v>1</v>
      </c>
      <c r="M24" s="43">
        <f>ዕቁብ!N27/Sheet4!$C24</f>
        <v>1</v>
      </c>
      <c r="N24" s="43">
        <f>ዕቁብ!O27/Sheet4!$C24</f>
        <v>1</v>
      </c>
      <c r="O24" s="43">
        <f>ዕቁብ!P27/Sheet4!$C24</f>
        <v>1</v>
      </c>
      <c r="P24" s="43">
        <f>ዕቁብ!Q27/Sheet4!$C24</f>
        <v>1</v>
      </c>
      <c r="Q24" s="43">
        <f>ዕቁብ!R27/Sheet4!$C24</f>
        <v>1</v>
      </c>
      <c r="R24" s="43">
        <f>ዕቁብ!S27/Sheet4!$C24</f>
        <v>1</v>
      </c>
      <c r="S24" s="43">
        <f>ዕቁብ!T27/Sheet4!$C24</f>
        <v>1</v>
      </c>
      <c r="T24" s="43">
        <f>ዕቁብ!U27/Sheet4!$C24</f>
        <v>1</v>
      </c>
      <c r="U24" s="43">
        <f>ዕቁብ!V27/Sheet4!$C24</f>
        <v>1</v>
      </c>
      <c r="V24" s="43">
        <f>ዕቁብ!W27/Sheet4!$C24</f>
        <v>1</v>
      </c>
      <c r="W24" s="43">
        <f>ዕቁብ!X27/Sheet4!$C24</f>
        <v>0</v>
      </c>
      <c r="X24" s="43">
        <f>ዕቁብ!Y27/Sheet4!$C24</f>
        <v>2</v>
      </c>
      <c r="Y24" s="43">
        <f>ዕቁብ!Z27/Sheet4!$C24</f>
        <v>1</v>
      </c>
      <c r="Z24" s="43">
        <f>ዕቁብ!AA27/Sheet4!$C24</f>
        <v>1</v>
      </c>
      <c r="AA24" s="43">
        <f>ዕቁብ!AB27/Sheet4!$C24</f>
        <v>0</v>
      </c>
      <c r="AB24" s="43">
        <f>ዕቁብ!AC27/Sheet4!$C24</f>
        <v>2</v>
      </c>
      <c r="AC24" s="43">
        <f>ዕቁብ!AD27/Sheet4!$C24</f>
        <v>1</v>
      </c>
      <c r="AD24" s="43">
        <f>ዕቁብ!AE27/Sheet4!$C24</f>
        <v>1</v>
      </c>
      <c r="AE24" s="43">
        <f>ዕቁብ!AF27/Sheet4!$C24</f>
        <v>0</v>
      </c>
      <c r="AF24" s="43">
        <f>ዕቁብ!AG27/Sheet4!$C24</f>
        <v>2</v>
      </c>
      <c r="AG24" s="43">
        <f>ዕቁብ!AH27/Sheet4!$C24</f>
        <v>1</v>
      </c>
      <c r="AH24" s="43">
        <f>ዕቁብ!AI27/Sheet4!$C24</f>
        <v>1</v>
      </c>
      <c r="AI24" s="43">
        <f>ዕቁብ!AJ27/Sheet4!$C24</f>
        <v>0</v>
      </c>
      <c r="AJ24" s="43">
        <f>ዕቁብ!AK27/Sheet4!$C24</f>
        <v>2</v>
      </c>
      <c r="AK24" s="43">
        <f>ዕቁብ!AL27/Sheet4!$C24</f>
        <v>1</v>
      </c>
      <c r="AL24" s="43">
        <f>ዕቁብ!AM27/Sheet4!$C24</f>
        <v>1</v>
      </c>
      <c r="AM24" s="43">
        <f>ዕቁብ!AN27/Sheet4!$C24</f>
        <v>1</v>
      </c>
      <c r="AN24" s="43">
        <f>ዕቁብ!AO27/Sheet4!$C24</f>
        <v>1</v>
      </c>
      <c r="AO24" s="43">
        <f>ዕቁብ!AP27/Sheet4!$C24</f>
        <v>1</v>
      </c>
      <c r="AP24" s="43">
        <f>ዕቁብ!AQ27/Sheet4!$C24</f>
        <v>1</v>
      </c>
      <c r="AQ24" s="43">
        <f>ዕቁብ!AR27/Sheet4!$C24</f>
        <v>1</v>
      </c>
      <c r="AR24" s="43">
        <f>ዕቁብ!AS27/Sheet4!$C24</f>
        <v>1</v>
      </c>
      <c r="AS24" s="43">
        <f>ዕቁብ!AT27/Sheet4!$C24</f>
        <v>1</v>
      </c>
      <c r="AT24" s="43">
        <f>ዕቁብ!AU27/Sheet4!$C24</f>
        <v>1</v>
      </c>
      <c r="AU24" s="43">
        <f>ዕቁብ!AV27/Sheet4!$C24</f>
        <v>1</v>
      </c>
      <c r="AV24" s="43">
        <f>ዕቁብ!AW27/Sheet4!$C24</f>
        <v>1</v>
      </c>
      <c r="AW24" s="43">
        <f>ዕቁብ!AX27/Sheet4!$C24</f>
        <v>1</v>
      </c>
      <c r="AX24" s="43">
        <f>ዕቁብ!AY27/Sheet4!$C24</f>
        <v>1</v>
      </c>
      <c r="AY24" s="43">
        <f>ዕቁብ!AZ27/Sheet4!$C24</f>
        <v>0</v>
      </c>
      <c r="AZ24" s="43">
        <f>ዕቁብ!BA27/Sheet4!$C24</f>
        <v>2</v>
      </c>
      <c r="BA24" s="43">
        <f>ዕቁብ!BB27/Sheet4!$C24</f>
        <v>1</v>
      </c>
      <c r="BB24" s="43">
        <f>ዕቁብ!BC27/Sheet4!$C24</f>
        <v>1</v>
      </c>
      <c r="BC24" s="43">
        <f>ዕቁብ!BD27/Sheet4!$C24</f>
        <v>0</v>
      </c>
      <c r="BD24" s="43">
        <f>ዕቁብ!BE27/Sheet4!$C24</f>
        <v>2</v>
      </c>
      <c r="BE24" s="43">
        <f>ዕቁብ!BF27/Sheet4!$C24</f>
        <v>1</v>
      </c>
      <c r="BF24" s="43">
        <f>ዕቁብ!BG27/Sheet4!$C24</f>
        <v>1</v>
      </c>
      <c r="BG24" s="43">
        <f>ዕቁብ!BH27/Sheet4!$C24</f>
        <v>0</v>
      </c>
      <c r="BH24" s="43">
        <f>ዕቁብ!BI27/Sheet4!$C24</f>
        <v>2</v>
      </c>
      <c r="BI24" s="43">
        <f>ዕቁብ!BJ27/Sheet4!$C24</f>
        <v>1</v>
      </c>
      <c r="BJ24" s="43">
        <f>ዕቁብ!BK27/Sheet4!$C24</f>
        <v>1</v>
      </c>
      <c r="BK24" s="43">
        <f>ዕቁብ!BL27/Sheet4!$C24</f>
        <v>0</v>
      </c>
      <c r="BL24" s="43">
        <f>ዕቁብ!BM27/Sheet4!$C24</f>
        <v>2</v>
      </c>
      <c r="BM24" s="43">
        <f>ዕቁብ!BN27/Sheet4!$C24</f>
        <v>1</v>
      </c>
      <c r="BN24" s="43">
        <f>ዕቁብ!BO27/Sheet4!$C24</f>
        <v>1</v>
      </c>
      <c r="BO24" s="43">
        <f>ዕቁብ!BP27/Sheet4!$C24</f>
        <v>0</v>
      </c>
      <c r="BP24" s="43">
        <f>ዕቁብ!BQ27/Sheet4!$C24</f>
        <v>2</v>
      </c>
      <c r="BQ24" s="43">
        <f>ዕቁብ!BR27/Sheet4!$C24</f>
        <v>1</v>
      </c>
      <c r="BR24" s="43">
        <f>ዕቁብ!BS27/Sheet4!$C24</f>
        <v>1</v>
      </c>
      <c r="BS24" s="43">
        <f>ዕቁብ!BT27/Sheet4!$C24</f>
        <v>0</v>
      </c>
      <c r="BT24" s="43">
        <f>ዕቁብ!BU27/Sheet4!$C24</f>
        <v>1</v>
      </c>
      <c r="BU24" s="43">
        <f>ዕቁብ!BV27/Sheet4!$C24</f>
        <v>1</v>
      </c>
      <c r="BV24" s="43">
        <f>ዕቁብ!BW27/Sheet4!$C24</f>
        <v>2</v>
      </c>
      <c r="BW24" s="43">
        <f>ዕቁብ!BX27/Sheet4!$C24</f>
        <v>1</v>
      </c>
      <c r="BX24" s="43">
        <f>ዕቁብ!BY27/Sheet4!$C24</f>
        <v>1</v>
      </c>
      <c r="BY24" s="43">
        <f>ዕቁብ!BZ27/Sheet4!$C24</f>
        <v>1</v>
      </c>
      <c r="BZ24" s="43">
        <f>ዕቁብ!CA27/Sheet4!$C24</f>
        <v>1</v>
      </c>
      <c r="CA24" s="43">
        <f>ዕቁብ!CB27/Sheet4!$C24</f>
        <v>1</v>
      </c>
      <c r="CB24" s="43">
        <f>ዕቁብ!CC27/Sheet4!$C24</f>
        <v>1</v>
      </c>
      <c r="CC24" s="43">
        <f>ዕቁብ!CD27/Sheet4!$C24</f>
        <v>1</v>
      </c>
      <c r="CD24" s="43">
        <f>ዕቁብ!CE27/Sheet4!$C24</f>
        <v>0</v>
      </c>
      <c r="CE24" s="43">
        <f>ዕቁብ!CF27/Sheet4!$C24</f>
        <v>1</v>
      </c>
      <c r="CF24" s="43">
        <f>ዕቁብ!CG27/Sheet4!$C24</f>
        <v>1</v>
      </c>
      <c r="CG24" s="43">
        <f>ዕቁብ!CH27/Sheet4!$C24</f>
        <v>1</v>
      </c>
      <c r="CH24" s="43">
        <f>ዕቁብ!CI27/Sheet4!$C24</f>
        <v>1</v>
      </c>
      <c r="CI24" s="43">
        <f>ዕቁብ!CJ27/Sheet4!$C24</f>
        <v>1</v>
      </c>
      <c r="CJ24" s="43">
        <f>ዕቁብ!CK27/Sheet4!$C24</f>
        <v>1</v>
      </c>
      <c r="CK24" s="43">
        <f>ዕቁብ!CL27/Sheet4!$C24</f>
        <v>1</v>
      </c>
      <c r="CL24" s="43">
        <f>ዕቁብ!CM27/Sheet4!$C24</f>
        <v>1</v>
      </c>
      <c r="CM24" s="43">
        <f>ዕቁብ!CN27/Sheet4!$C24</f>
        <v>1</v>
      </c>
      <c r="CN24" s="43">
        <f>ዕቁብ!CO27/Sheet4!$C24</f>
        <v>1</v>
      </c>
      <c r="CO24" s="43">
        <f>ዕቁብ!CP27/Sheet4!$C24</f>
        <v>1</v>
      </c>
      <c r="CP24" s="43">
        <f>ዕቁብ!CQ27/Sheet4!$C24</f>
        <v>2</v>
      </c>
      <c r="CQ24" s="43">
        <f>ዕቁብ!CR27/Sheet4!$C24</f>
        <v>0</v>
      </c>
      <c r="CR24" s="43">
        <f>ዕቁብ!CS27/Sheet4!$C24</f>
        <v>1</v>
      </c>
      <c r="CS24" s="43">
        <f>ዕቁብ!CT27/Sheet4!$C24</f>
        <v>1</v>
      </c>
      <c r="CT24" s="43">
        <f>ዕቁብ!CU27/Sheet4!$C24</f>
        <v>1</v>
      </c>
      <c r="CU24" s="43">
        <f>ዕቁብ!CV27/Sheet4!$C24</f>
        <v>1</v>
      </c>
      <c r="CV24" s="43">
        <f>ዕቁብ!CW27/Sheet4!$C24</f>
        <v>1</v>
      </c>
      <c r="CW24" s="43">
        <f>ዕቁብ!CX27/Sheet4!$C24</f>
        <v>1</v>
      </c>
      <c r="CX24" s="43">
        <f>ዕቁብ!CY27/Sheet4!$C24</f>
        <v>1</v>
      </c>
      <c r="CY24" s="43">
        <f>ዕቁብ!CZ27/Sheet4!$C24</f>
        <v>0</v>
      </c>
      <c r="CZ24" s="43">
        <f>ዕቁብ!DA27/Sheet4!$C24</f>
        <v>1</v>
      </c>
      <c r="DA24" s="43">
        <f>ዕቁብ!DB27/Sheet4!$C24</f>
        <v>1</v>
      </c>
      <c r="DB24" s="43">
        <f>ዕቁብ!DC27/Sheet4!$C24</f>
        <v>1</v>
      </c>
      <c r="DC24" s="43">
        <f>ዕቁብ!DD27/Sheet4!$C24</f>
        <v>0</v>
      </c>
      <c r="DD24" s="43">
        <f>ዕቁብ!DE27/Sheet4!$C24</f>
        <v>2</v>
      </c>
      <c r="DE24" s="43">
        <f>ዕቁብ!DF27/Sheet4!$C24</f>
        <v>1</v>
      </c>
      <c r="DF24" s="43">
        <f>ዕቁብ!DG27/Sheet4!$C24</f>
        <v>1</v>
      </c>
      <c r="DG24" s="43">
        <f>ዕቁብ!DH27/Sheet4!$C24</f>
        <v>1</v>
      </c>
      <c r="DH24" s="43">
        <f>ዕቁብ!DI27/Sheet4!$C24</f>
        <v>0</v>
      </c>
      <c r="DI24" s="43">
        <f>ዕቁብ!DJ27/Sheet4!$C24</f>
        <v>0</v>
      </c>
      <c r="DJ24" s="43">
        <f>ዕቁብ!DK27/Sheet4!$C24</f>
        <v>0</v>
      </c>
      <c r="DK24" s="43">
        <f>ዕቁብ!DL27/Sheet4!$C24</f>
        <v>0</v>
      </c>
      <c r="DL24" s="43">
        <f>ዕቁብ!DM27/Sheet4!$C24</f>
        <v>0</v>
      </c>
      <c r="DM24" s="43">
        <f>ዕቁብ!DN27/Sheet4!$C24</f>
        <v>0</v>
      </c>
      <c r="DN24" s="43">
        <f>ዕቁብ!DO27/Sheet4!$C24</f>
        <v>0</v>
      </c>
      <c r="DO24" s="43">
        <f>ዕቁብ!DP27/Sheet4!$C24</f>
        <v>0</v>
      </c>
      <c r="DP24" s="43">
        <f>ዕቁብ!DQ27/Sheet4!$C24</f>
        <v>0</v>
      </c>
      <c r="DQ24" s="43">
        <f>ዕቁብ!DR27/Sheet4!$C24</f>
        <v>0</v>
      </c>
    </row>
    <row r="25" spans="1:121" ht="15.75" customHeight="1" x14ac:dyDescent="0.3">
      <c r="A25" s="40">
        <f>ዕቁብ!A28</f>
        <v>22</v>
      </c>
      <c r="B25" s="40" t="str">
        <f>ዕቁብ!B28</f>
        <v>ማሩ እርቅይሁን</v>
      </c>
      <c r="C25" s="30">
        <f>ዕቁብ!C28</f>
        <v>21000</v>
      </c>
      <c r="D25" s="43">
        <f>ዕቁብ!E28/Sheet4!$C25</f>
        <v>1</v>
      </c>
      <c r="E25" s="43">
        <f>ዕቁብ!F28/Sheet4!$C25</f>
        <v>1</v>
      </c>
      <c r="F25" s="43">
        <f>ዕቁብ!G28/Sheet4!$C25</f>
        <v>1</v>
      </c>
      <c r="G25" s="43">
        <f>ዕቁብ!H28/Sheet4!$C25</f>
        <v>1</v>
      </c>
      <c r="H25" s="43">
        <f>ዕቁብ!I28/Sheet4!$C25</f>
        <v>1</v>
      </c>
      <c r="I25" s="43">
        <f>ዕቁብ!J28/Sheet4!$C25</f>
        <v>1</v>
      </c>
      <c r="J25" s="43">
        <f>ዕቁብ!K28/Sheet4!$C25</f>
        <v>1</v>
      </c>
      <c r="K25" s="43">
        <f>ዕቁብ!L28/Sheet4!$C25</f>
        <v>1</v>
      </c>
      <c r="L25" s="43">
        <f>ዕቁብ!M28/Sheet4!$C25</f>
        <v>1</v>
      </c>
      <c r="M25" s="43">
        <f>ዕቁብ!N28/Sheet4!$C25</f>
        <v>1</v>
      </c>
      <c r="N25" s="43">
        <f>ዕቁብ!O28/Sheet4!$C25</f>
        <v>1</v>
      </c>
      <c r="O25" s="43">
        <f>ዕቁብ!P28/Sheet4!$C25</f>
        <v>1</v>
      </c>
      <c r="P25" s="43">
        <f>ዕቁብ!Q28/Sheet4!$C25</f>
        <v>1</v>
      </c>
      <c r="Q25" s="43">
        <f>ዕቁብ!R28/Sheet4!$C25</f>
        <v>1</v>
      </c>
      <c r="R25" s="43">
        <f>ዕቁብ!S28/Sheet4!$C25</f>
        <v>1</v>
      </c>
      <c r="S25" s="43">
        <f>ዕቁብ!T28/Sheet4!$C25</f>
        <v>1</v>
      </c>
      <c r="T25" s="43">
        <f>ዕቁብ!U28/Sheet4!$C25</f>
        <v>1</v>
      </c>
      <c r="U25" s="43">
        <f>ዕቁብ!V28/Sheet4!$C25</f>
        <v>1</v>
      </c>
      <c r="V25" s="43">
        <f>ዕቁብ!W28/Sheet4!$C25</f>
        <v>1</v>
      </c>
      <c r="W25" s="43">
        <f>ዕቁብ!X28/Sheet4!$C25</f>
        <v>1</v>
      </c>
      <c r="X25" s="43">
        <f>ዕቁብ!Y28/Sheet4!$C25</f>
        <v>1</v>
      </c>
      <c r="Y25" s="43">
        <f>ዕቁብ!Z28/Sheet4!$C25</f>
        <v>1</v>
      </c>
      <c r="Z25" s="43">
        <f>ዕቁብ!AA28/Sheet4!$C25</f>
        <v>1</v>
      </c>
      <c r="AA25" s="43">
        <f>ዕቁብ!AB28/Sheet4!$C25</f>
        <v>1</v>
      </c>
      <c r="AB25" s="43">
        <f>ዕቁብ!AC28/Sheet4!$C25</f>
        <v>1</v>
      </c>
      <c r="AC25" s="43">
        <f>ዕቁብ!AD28/Sheet4!$C25</f>
        <v>1</v>
      </c>
      <c r="AD25" s="43">
        <f>ዕቁብ!AE28/Sheet4!$C25</f>
        <v>1</v>
      </c>
      <c r="AE25" s="43">
        <f>ዕቁብ!AF28/Sheet4!$C25</f>
        <v>1</v>
      </c>
      <c r="AF25" s="43">
        <f>ዕቁብ!AG28/Sheet4!$C25</f>
        <v>1</v>
      </c>
      <c r="AG25" s="43">
        <f>ዕቁብ!AH28/Sheet4!$C25</f>
        <v>1</v>
      </c>
      <c r="AH25" s="43">
        <f>ዕቁብ!AI28/Sheet4!$C25</f>
        <v>1</v>
      </c>
      <c r="AI25" s="43">
        <f>ዕቁብ!AJ28/Sheet4!$C25</f>
        <v>1</v>
      </c>
      <c r="AJ25" s="43">
        <f>ዕቁብ!AK28/Sheet4!$C25</f>
        <v>1</v>
      </c>
      <c r="AK25" s="43">
        <f>ዕቁብ!AL28/Sheet4!$C25</f>
        <v>1</v>
      </c>
      <c r="AL25" s="43">
        <f>ዕቁብ!AM28/Sheet4!$C25</f>
        <v>1</v>
      </c>
      <c r="AM25" s="43">
        <f>ዕቁብ!AN28/Sheet4!$C25</f>
        <v>1</v>
      </c>
      <c r="AN25" s="43">
        <f>ዕቁብ!AO28/Sheet4!$C25</f>
        <v>1</v>
      </c>
      <c r="AO25" s="43">
        <f>ዕቁብ!AP28/Sheet4!$C25</f>
        <v>0</v>
      </c>
      <c r="AP25" s="43">
        <f>ዕቁብ!AQ28/Sheet4!$C25</f>
        <v>2</v>
      </c>
      <c r="AQ25" s="43">
        <f>ዕቁብ!AR28/Sheet4!$C25</f>
        <v>1</v>
      </c>
      <c r="AR25" s="43">
        <f>ዕቁብ!AS28/Sheet4!$C25</f>
        <v>1</v>
      </c>
      <c r="AS25" s="43">
        <f>ዕቁብ!AT28/Sheet4!$C25</f>
        <v>1</v>
      </c>
      <c r="AT25" s="43">
        <f>ዕቁብ!AU28/Sheet4!$C25</f>
        <v>1</v>
      </c>
      <c r="AU25" s="43">
        <f>ዕቁብ!AV28/Sheet4!$C25</f>
        <v>1</v>
      </c>
      <c r="AV25" s="43">
        <f>ዕቁብ!AW28/Sheet4!$C25</f>
        <v>1</v>
      </c>
      <c r="AW25" s="43">
        <f>ዕቁብ!AX28/Sheet4!$C25</f>
        <v>1</v>
      </c>
      <c r="AX25" s="43">
        <f>ዕቁብ!AY28/Sheet4!$C25</f>
        <v>1</v>
      </c>
      <c r="AY25" s="43">
        <f>ዕቁብ!AZ28/Sheet4!$C25</f>
        <v>1</v>
      </c>
      <c r="AZ25" s="43">
        <f>ዕቁብ!BA28/Sheet4!$C25</f>
        <v>1</v>
      </c>
      <c r="BA25" s="43">
        <f>ዕቁብ!BB28/Sheet4!$C25</f>
        <v>1</v>
      </c>
      <c r="BB25" s="43">
        <f>ዕቁብ!BC28/Sheet4!$C25</f>
        <v>1</v>
      </c>
      <c r="BC25" s="43">
        <f>ዕቁብ!BD28/Sheet4!$C25</f>
        <v>1</v>
      </c>
      <c r="BD25" s="43">
        <f>ዕቁብ!BE28/Sheet4!$C25</f>
        <v>1</v>
      </c>
      <c r="BE25" s="43">
        <f>ዕቁብ!BF28/Sheet4!$C25</f>
        <v>1</v>
      </c>
      <c r="BF25" s="43">
        <f>ዕቁብ!BG28/Sheet4!$C25</f>
        <v>1</v>
      </c>
      <c r="BG25" s="43">
        <f>ዕቁብ!BH28/Sheet4!$C25</f>
        <v>1</v>
      </c>
      <c r="BH25" s="43">
        <f>ዕቁብ!BI28/Sheet4!$C25</f>
        <v>1</v>
      </c>
      <c r="BI25" s="43">
        <f>ዕቁብ!BJ28/Sheet4!$C25</f>
        <v>1</v>
      </c>
      <c r="BJ25" s="43">
        <f>ዕቁብ!BK28/Sheet4!$C25</f>
        <v>1</v>
      </c>
      <c r="BK25" s="43">
        <f>ዕቁብ!BL28/Sheet4!$C25</f>
        <v>1</v>
      </c>
      <c r="BL25" s="43">
        <f>ዕቁብ!BM28/Sheet4!$C25</f>
        <v>1</v>
      </c>
      <c r="BM25" s="43">
        <f>ዕቁብ!BN28/Sheet4!$C25</f>
        <v>0</v>
      </c>
      <c r="BN25" s="43">
        <f>ዕቁብ!BO28/Sheet4!$C25</f>
        <v>2</v>
      </c>
      <c r="BO25" s="43">
        <f>ዕቁብ!BP28/Sheet4!$C25</f>
        <v>1</v>
      </c>
      <c r="BP25" s="43">
        <f>ዕቁብ!BQ28/Sheet4!$C25</f>
        <v>1</v>
      </c>
      <c r="BQ25" s="43">
        <f>ዕቁብ!BR28/Sheet4!$C25</f>
        <v>1</v>
      </c>
      <c r="BR25" s="43">
        <f>ዕቁብ!BS28/Sheet4!$C25</f>
        <v>1</v>
      </c>
      <c r="BS25" s="43">
        <f>ዕቁብ!BT28/Sheet4!$C25</f>
        <v>1</v>
      </c>
      <c r="BT25" s="43">
        <f>ዕቁብ!BU28/Sheet4!$C25</f>
        <v>1</v>
      </c>
      <c r="BU25" s="43">
        <f>ዕቁብ!BV28/Sheet4!$C25</f>
        <v>1</v>
      </c>
      <c r="BV25" s="43">
        <f>ዕቁብ!BW28/Sheet4!$C25</f>
        <v>1</v>
      </c>
      <c r="BW25" s="43">
        <f>ዕቁብ!BX28/Sheet4!$C25</f>
        <v>1</v>
      </c>
      <c r="BX25" s="43">
        <f>ዕቁብ!BY28/Sheet4!$C25</f>
        <v>1</v>
      </c>
      <c r="BY25" s="43">
        <f>ዕቁብ!BZ28/Sheet4!$C25</f>
        <v>1</v>
      </c>
      <c r="BZ25" s="43">
        <f>ዕቁብ!CA28/Sheet4!$C25</f>
        <v>1</v>
      </c>
      <c r="CA25" s="43">
        <f>ዕቁብ!CB28/Sheet4!$C25</f>
        <v>1</v>
      </c>
      <c r="CB25" s="43">
        <f>ዕቁብ!CC28/Sheet4!$C25</f>
        <v>1</v>
      </c>
      <c r="CC25" s="43">
        <f>ዕቁብ!CD28/Sheet4!$C25</f>
        <v>1</v>
      </c>
      <c r="CD25" s="43">
        <f>ዕቁብ!CE28/Sheet4!$C25</f>
        <v>0</v>
      </c>
      <c r="CE25" s="43">
        <f>ዕቁብ!CF28/Sheet4!$C25</f>
        <v>2</v>
      </c>
      <c r="CF25" s="43">
        <f>ዕቁብ!CG28/Sheet4!$C25</f>
        <v>1</v>
      </c>
      <c r="CG25" s="43">
        <f>ዕቁብ!CH28/Sheet4!$C25</f>
        <v>1</v>
      </c>
      <c r="CH25" s="43">
        <f>ዕቁብ!CI28/Sheet4!$C25</f>
        <v>1</v>
      </c>
      <c r="CI25" s="43">
        <f>ዕቁብ!CJ28/Sheet4!$C25</f>
        <v>1</v>
      </c>
      <c r="CJ25" s="43">
        <f>ዕቁብ!CK28/Sheet4!$C25</f>
        <v>1</v>
      </c>
      <c r="CK25" s="43">
        <f>ዕቁብ!CL28/Sheet4!$C25</f>
        <v>1</v>
      </c>
      <c r="CL25" s="43">
        <f>ዕቁብ!CM28/Sheet4!$C25</f>
        <v>1</v>
      </c>
      <c r="CM25" s="43">
        <f>ዕቁብ!CN28/Sheet4!$C25</f>
        <v>1</v>
      </c>
      <c r="CN25" s="43">
        <f>ዕቁብ!CO28/Sheet4!$C25</f>
        <v>1</v>
      </c>
      <c r="CO25" s="43">
        <f>ዕቁብ!CP28/Sheet4!$C25</f>
        <v>1</v>
      </c>
      <c r="CP25" s="43">
        <f>ዕቁብ!CQ28/Sheet4!$C25</f>
        <v>1</v>
      </c>
      <c r="CQ25" s="43">
        <f>ዕቁብ!CR28/Sheet4!$C25</f>
        <v>1</v>
      </c>
      <c r="CR25" s="43">
        <f>ዕቁብ!CS28/Sheet4!$C25</f>
        <v>1</v>
      </c>
      <c r="CS25" s="43">
        <f>ዕቁብ!CT28/Sheet4!$C25</f>
        <v>1</v>
      </c>
      <c r="CT25" s="43">
        <f>ዕቁብ!CU28/Sheet4!$C25</f>
        <v>1</v>
      </c>
      <c r="CU25" s="43">
        <f>ዕቁብ!CV28/Sheet4!$C25</f>
        <v>1</v>
      </c>
      <c r="CV25" s="43">
        <f>ዕቁብ!CW28/Sheet4!$C25</f>
        <v>1</v>
      </c>
      <c r="CW25" s="43">
        <f>ዕቁብ!CX28/Sheet4!$C25</f>
        <v>1</v>
      </c>
      <c r="CX25" s="43">
        <f>ዕቁብ!CY28/Sheet4!$C25</f>
        <v>1</v>
      </c>
      <c r="CY25" s="43">
        <f>ዕቁብ!CZ28/Sheet4!$C25</f>
        <v>1</v>
      </c>
      <c r="CZ25" s="43">
        <f>ዕቁብ!DA28/Sheet4!$C25</f>
        <v>1</v>
      </c>
      <c r="DA25" s="43">
        <f>ዕቁብ!DB28/Sheet4!$C25</f>
        <v>1</v>
      </c>
      <c r="DB25" s="43">
        <f>ዕቁብ!DC28/Sheet4!$C25</f>
        <v>1</v>
      </c>
      <c r="DC25" s="43">
        <f>ዕቁብ!DD28/Sheet4!$C25</f>
        <v>1</v>
      </c>
      <c r="DD25" s="43">
        <f>ዕቁብ!DE28/Sheet4!$C25</f>
        <v>1</v>
      </c>
      <c r="DE25" s="43">
        <f>ዕቁብ!DF28/Sheet4!$C25</f>
        <v>1</v>
      </c>
      <c r="DF25" s="43">
        <f>ዕቁብ!DG28/Sheet4!$C25</f>
        <v>1</v>
      </c>
      <c r="DG25" s="43">
        <f>ዕቁብ!DH28/Sheet4!$C25</f>
        <v>1</v>
      </c>
      <c r="DH25" s="43">
        <f>ዕቁብ!DI28/Sheet4!$C25</f>
        <v>0</v>
      </c>
      <c r="DI25" s="43">
        <f>ዕቁብ!DJ28/Sheet4!$C25</f>
        <v>0</v>
      </c>
      <c r="DJ25" s="43">
        <f>ዕቁብ!DK28/Sheet4!$C25</f>
        <v>0</v>
      </c>
      <c r="DK25" s="43">
        <f>ዕቁብ!DL28/Sheet4!$C25</f>
        <v>0</v>
      </c>
      <c r="DL25" s="43">
        <f>ዕቁብ!DM28/Sheet4!$C25</f>
        <v>0</v>
      </c>
      <c r="DM25" s="43">
        <f>ዕቁብ!DN28/Sheet4!$C25</f>
        <v>0</v>
      </c>
      <c r="DN25" s="43">
        <f>ዕቁብ!DO28/Sheet4!$C25</f>
        <v>0</v>
      </c>
      <c r="DO25" s="43">
        <f>ዕቁብ!DP28/Sheet4!$C25</f>
        <v>0</v>
      </c>
      <c r="DP25" s="43">
        <f>ዕቁብ!DQ28/Sheet4!$C25</f>
        <v>0</v>
      </c>
      <c r="DQ25" s="43">
        <f>ዕቁብ!DR28/Sheet4!$C25</f>
        <v>0</v>
      </c>
    </row>
    <row r="26" spans="1:121" ht="15.75" customHeight="1" x14ac:dyDescent="0.3">
      <c r="A26" s="40">
        <f>ዕቁብ!A29</f>
        <v>23</v>
      </c>
      <c r="B26" s="40" t="str">
        <f>ዕቁብ!B29</f>
        <v>ደረጀ ታደግ</v>
      </c>
      <c r="C26" s="30">
        <f>ዕቁብ!C29</f>
        <v>21000</v>
      </c>
      <c r="D26" s="43">
        <f>ዕቁብ!E29/Sheet4!$C26</f>
        <v>1</v>
      </c>
      <c r="E26" s="43">
        <f>ዕቁብ!F29/Sheet4!$C26</f>
        <v>1</v>
      </c>
      <c r="F26" s="43">
        <f>ዕቁብ!G29/Sheet4!$C26</f>
        <v>1</v>
      </c>
      <c r="G26" s="43">
        <f>ዕቁብ!H29/Sheet4!$C26</f>
        <v>1</v>
      </c>
      <c r="H26" s="43">
        <f>ዕቁብ!I29/Sheet4!$C26</f>
        <v>1</v>
      </c>
      <c r="I26" s="43">
        <f>ዕቁብ!J29/Sheet4!$C26</f>
        <v>1</v>
      </c>
      <c r="J26" s="43">
        <f>ዕቁብ!K29/Sheet4!$C26</f>
        <v>1</v>
      </c>
      <c r="K26" s="43">
        <f>ዕቁብ!L29/Sheet4!$C26</f>
        <v>1</v>
      </c>
      <c r="L26" s="43">
        <f>ዕቁብ!M29/Sheet4!$C26</f>
        <v>1</v>
      </c>
      <c r="M26" s="43">
        <f>ዕቁብ!N29/Sheet4!$C26</f>
        <v>1</v>
      </c>
      <c r="N26" s="43">
        <f>ዕቁብ!O29/Sheet4!$C26</f>
        <v>1</v>
      </c>
      <c r="O26" s="43">
        <f>ዕቁብ!P29/Sheet4!$C26</f>
        <v>1</v>
      </c>
      <c r="P26" s="43">
        <f>ዕቁብ!Q29/Sheet4!$C26</f>
        <v>1</v>
      </c>
      <c r="Q26" s="43">
        <f>ዕቁብ!R29/Sheet4!$C26</f>
        <v>1</v>
      </c>
      <c r="R26" s="43">
        <f>ዕቁብ!S29/Sheet4!$C26</f>
        <v>1</v>
      </c>
      <c r="S26" s="43">
        <f>ዕቁብ!T29/Sheet4!$C26</f>
        <v>1</v>
      </c>
      <c r="T26" s="43">
        <f>ዕቁብ!U29/Sheet4!$C26</f>
        <v>1</v>
      </c>
      <c r="U26" s="43">
        <f>ዕቁብ!V29/Sheet4!$C26</f>
        <v>1</v>
      </c>
      <c r="V26" s="43">
        <f>ዕቁብ!W29/Sheet4!$C26</f>
        <v>1</v>
      </c>
      <c r="W26" s="43">
        <f>ዕቁብ!X29/Sheet4!$C26</f>
        <v>1</v>
      </c>
      <c r="X26" s="43">
        <f>ዕቁብ!Y29/Sheet4!$C26</f>
        <v>1</v>
      </c>
      <c r="Y26" s="43">
        <f>ዕቁብ!Z29/Sheet4!$C26</f>
        <v>1</v>
      </c>
      <c r="Z26" s="43">
        <f>ዕቁብ!AA29/Sheet4!$C26</f>
        <v>1</v>
      </c>
      <c r="AA26" s="43">
        <f>ዕቁብ!AB29/Sheet4!$C26</f>
        <v>1</v>
      </c>
      <c r="AB26" s="43">
        <f>ዕቁብ!AC29/Sheet4!$C26</f>
        <v>1</v>
      </c>
      <c r="AC26" s="43">
        <f>ዕቁብ!AD29/Sheet4!$C26</f>
        <v>1</v>
      </c>
      <c r="AD26" s="43">
        <f>ዕቁብ!AE29/Sheet4!$C26</f>
        <v>1</v>
      </c>
      <c r="AE26" s="43">
        <f>ዕቁብ!AF29/Sheet4!$C26</f>
        <v>0</v>
      </c>
      <c r="AF26" s="43">
        <f>ዕቁብ!AG29/Sheet4!$C26</f>
        <v>2</v>
      </c>
      <c r="AG26" s="43">
        <f>ዕቁብ!AH29/Sheet4!$C26</f>
        <v>1</v>
      </c>
      <c r="AH26" s="43">
        <f>ዕቁብ!AI29/Sheet4!$C26</f>
        <v>1</v>
      </c>
      <c r="AI26" s="43">
        <f>ዕቁብ!AJ29/Sheet4!$C26</f>
        <v>1</v>
      </c>
      <c r="AJ26" s="43">
        <f>ዕቁብ!AK29/Sheet4!$C26</f>
        <v>1</v>
      </c>
      <c r="AK26" s="43">
        <f>ዕቁብ!AL29/Sheet4!$C26</f>
        <v>1</v>
      </c>
      <c r="AL26" s="43">
        <f>ዕቁብ!AM29/Sheet4!$C26</f>
        <v>1</v>
      </c>
      <c r="AM26" s="43">
        <f>ዕቁብ!AN29/Sheet4!$C26</f>
        <v>1</v>
      </c>
      <c r="AN26" s="43">
        <f>ዕቁብ!AO29/Sheet4!$C26</f>
        <v>1</v>
      </c>
      <c r="AO26" s="43">
        <f>ዕቁብ!AP29/Sheet4!$C26</f>
        <v>1</v>
      </c>
      <c r="AP26" s="43">
        <f>ዕቁብ!AQ29/Sheet4!$C26</f>
        <v>1</v>
      </c>
      <c r="AQ26" s="43">
        <f>ዕቁብ!AR29/Sheet4!$C26</f>
        <v>1</v>
      </c>
      <c r="AR26" s="43">
        <f>ዕቁብ!AS29/Sheet4!$C26</f>
        <v>1</v>
      </c>
      <c r="AS26" s="43">
        <f>ዕቁብ!AT29/Sheet4!$C26</f>
        <v>1</v>
      </c>
      <c r="AT26" s="43">
        <f>ዕቁብ!AU29/Sheet4!$C26</f>
        <v>1</v>
      </c>
      <c r="AU26" s="43">
        <f>ዕቁብ!AV29/Sheet4!$C26</f>
        <v>1</v>
      </c>
      <c r="AV26" s="43">
        <f>ዕቁብ!AW29/Sheet4!$C26</f>
        <v>1</v>
      </c>
      <c r="AW26" s="43">
        <f>ዕቁብ!AX29/Sheet4!$C26</f>
        <v>1</v>
      </c>
      <c r="AX26" s="43">
        <f>ዕቁብ!AY29/Sheet4!$C26</f>
        <v>1</v>
      </c>
      <c r="AY26" s="43">
        <f>ዕቁብ!AZ29/Sheet4!$C26</f>
        <v>0</v>
      </c>
      <c r="AZ26" s="43">
        <f>ዕቁብ!BA29/Sheet4!$C26</f>
        <v>2</v>
      </c>
      <c r="BA26" s="43">
        <f>ዕቁብ!BB29/Sheet4!$C26</f>
        <v>1</v>
      </c>
      <c r="BB26" s="43">
        <f>ዕቁብ!BC29/Sheet4!$C26</f>
        <v>1</v>
      </c>
      <c r="BC26" s="43">
        <f>ዕቁብ!BD29/Sheet4!$C26</f>
        <v>1</v>
      </c>
      <c r="BD26" s="43">
        <f>ዕቁብ!BE29/Sheet4!$C26</f>
        <v>1</v>
      </c>
      <c r="BE26" s="43">
        <f>ዕቁብ!BF29/Sheet4!$C26</f>
        <v>1</v>
      </c>
      <c r="BF26" s="43">
        <f>ዕቁብ!BG29/Sheet4!$C26</f>
        <v>1</v>
      </c>
      <c r="BG26" s="43">
        <f>ዕቁብ!BH29/Sheet4!$C26</f>
        <v>1</v>
      </c>
      <c r="BH26" s="43">
        <f>ዕቁብ!BI29/Sheet4!$C26</f>
        <v>1</v>
      </c>
      <c r="BI26" s="43">
        <f>ዕቁብ!BJ29/Sheet4!$C26</f>
        <v>1</v>
      </c>
      <c r="BJ26" s="43">
        <f>ዕቁብ!BK29/Sheet4!$C26</f>
        <v>1</v>
      </c>
      <c r="BK26" s="43">
        <f>ዕቁብ!BL29/Sheet4!$C26</f>
        <v>1</v>
      </c>
      <c r="BL26" s="43">
        <f>ዕቁብ!BM29/Sheet4!$C26</f>
        <v>1</v>
      </c>
      <c r="BM26" s="43">
        <f>ዕቁብ!BN29/Sheet4!$C26</f>
        <v>1</v>
      </c>
      <c r="BN26" s="43">
        <f>ዕቁብ!BO29/Sheet4!$C26</f>
        <v>1</v>
      </c>
      <c r="BO26" s="43">
        <f>ዕቁብ!BP29/Sheet4!$C26</f>
        <v>1</v>
      </c>
      <c r="BP26" s="43">
        <f>ዕቁብ!BQ29/Sheet4!$C26</f>
        <v>1</v>
      </c>
      <c r="BQ26" s="43">
        <f>ዕቁብ!BR29/Sheet4!$C26</f>
        <v>1</v>
      </c>
      <c r="BR26" s="43">
        <f>ዕቁብ!BS29/Sheet4!$C26</f>
        <v>1</v>
      </c>
      <c r="BS26" s="43">
        <f>ዕቁብ!BT29/Sheet4!$C26</f>
        <v>0</v>
      </c>
      <c r="BT26" s="43">
        <f>ዕቁብ!BU29/Sheet4!$C26</f>
        <v>2</v>
      </c>
      <c r="BU26" s="43">
        <f>ዕቁብ!BV29/Sheet4!$C26</f>
        <v>1</v>
      </c>
      <c r="BV26" s="43">
        <f>ዕቁብ!BW29/Sheet4!$C26</f>
        <v>1</v>
      </c>
      <c r="BW26" s="43">
        <f>ዕቁብ!BX29/Sheet4!$C26</f>
        <v>0</v>
      </c>
      <c r="BX26" s="43">
        <f>ዕቁብ!BY29/Sheet4!$C26</f>
        <v>1</v>
      </c>
      <c r="BY26" s="43">
        <f>ዕቁብ!BZ29/Sheet4!$C26</f>
        <v>1</v>
      </c>
      <c r="BZ26" s="43">
        <f>ዕቁብ!CA29/Sheet4!$C26</f>
        <v>1</v>
      </c>
      <c r="CA26" s="43">
        <f>ዕቁብ!CB29/Sheet4!$C26</f>
        <v>1</v>
      </c>
      <c r="CB26" s="43">
        <f>ዕቁብ!CC29/Sheet4!$C26</f>
        <v>1</v>
      </c>
      <c r="CC26" s="43">
        <f>ዕቁብ!CD29/Sheet4!$C26</f>
        <v>1</v>
      </c>
      <c r="CD26" s="43">
        <f>ዕቁብ!CE29/Sheet4!$C26</f>
        <v>1</v>
      </c>
      <c r="CE26" s="43">
        <f>ዕቁብ!CF29/Sheet4!$C26</f>
        <v>1</v>
      </c>
      <c r="CF26" s="43">
        <f>ዕቁብ!CG29/Sheet4!$C26</f>
        <v>1</v>
      </c>
      <c r="CG26" s="43">
        <f>ዕቁብ!CH29/Sheet4!$C26</f>
        <v>1</v>
      </c>
      <c r="CH26" s="43">
        <f>ዕቁብ!CI29/Sheet4!$C26</f>
        <v>1</v>
      </c>
      <c r="CI26" s="43">
        <f>ዕቁብ!CJ29/Sheet4!$C26</f>
        <v>1</v>
      </c>
      <c r="CJ26" s="43">
        <f>ዕቁብ!CK29/Sheet4!$C26</f>
        <v>0</v>
      </c>
      <c r="CK26" s="43">
        <f>ዕቁብ!CL29/Sheet4!$C26</f>
        <v>2</v>
      </c>
      <c r="CL26" s="43">
        <f>ዕቁብ!CM29/Sheet4!$C26</f>
        <v>1</v>
      </c>
      <c r="CM26" s="43">
        <f>ዕቁብ!CN29/Sheet4!$C26</f>
        <v>1</v>
      </c>
      <c r="CN26" s="43">
        <f>ዕቁብ!CO29/Sheet4!$C26</f>
        <v>0</v>
      </c>
      <c r="CO26" s="43">
        <f>ዕቁብ!CP29/Sheet4!$C26</f>
        <v>0</v>
      </c>
      <c r="CP26" s="43">
        <f>ዕቁብ!CQ29/Sheet4!$C26</f>
        <v>3</v>
      </c>
      <c r="CQ26" s="43">
        <f>ዕቁብ!CR29/Sheet4!$C26</f>
        <v>1</v>
      </c>
      <c r="CR26" s="43">
        <f>ዕቁብ!CS29/Sheet4!$C26</f>
        <v>0</v>
      </c>
      <c r="CS26" s="43">
        <f>ዕቁብ!CT29/Sheet4!$C26</f>
        <v>1</v>
      </c>
      <c r="CT26" s="43">
        <f>ዕቁብ!CU29/Sheet4!$C26</f>
        <v>1</v>
      </c>
      <c r="CU26" s="43">
        <f>ዕቁብ!CV29/Sheet4!$C26</f>
        <v>1</v>
      </c>
      <c r="CV26" s="43">
        <f>ዕቁብ!CW29/Sheet4!$C26</f>
        <v>1</v>
      </c>
      <c r="CW26" s="43">
        <f>ዕቁብ!CX29/Sheet4!$C26</f>
        <v>1</v>
      </c>
      <c r="CX26" s="43">
        <f>ዕቁብ!CY29/Sheet4!$C26</f>
        <v>1</v>
      </c>
      <c r="CY26" s="43">
        <f>ዕቁብ!CZ29/Sheet4!$C26</f>
        <v>1</v>
      </c>
      <c r="CZ26" s="43">
        <f>ዕቁብ!DA29/Sheet4!$C26</f>
        <v>0</v>
      </c>
      <c r="DA26" s="43">
        <f>ዕቁብ!DB29/Sheet4!$C26</f>
        <v>0</v>
      </c>
      <c r="DB26" s="43">
        <f>ዕቁብ!DC29/Sheet4!$C26</f>
        <v>1</v>
      </c>
      <c r="DC26" s="43">
        <f>ዕቁብ!DD29/Sheet4!$C26</f>
        <v>0</v>
      </c>
      <c r="DD26" s="43">
        <f>ዕቁብ!DE29/Sheet4!$C26</f>
        <v>1</v>
      </c>
      <c r="DE26" s="43">
        <f>ዕቁብ!DF29/Sheet4!$C26</f>
        <v>1</v>
      </c>
      <c r="DF26" s="43">
        <f>ዕቁብ!DG29/Sheet4!$C26</f>
        <v>1</v>
      </c>
      <c r="DG26" s="43">
        <f>ዕቁብ!DH29/Sheet4!$C26</f>
        <v>1</v>
      </c>
      <c r="DH26" s="43">
        <f>ዕቁብ!DI29/Sheet4!$C26</f>
        <v>0</v>
      </c>
      <c r="DI26" s="43">
        <f>ዕቁብ!DJ29/Sheet4!$C26</f>
        <v>0</v>
      </c>
      <c r="DJ26" s="43">
        <f>ዕቁብ!DK29/Sheet4!$C26</f>
        <v>0</v>
      </c>
      <c r="DK26" s="43">
        <f>ዕቁብ!DL29/Sheet4!$C26</f>
        <v>0</v>
      </c>
      <c r="DL26" s="43">
        <f>ዕቁብ!DM29/Sheet4!$C26</f>
        <v>0</v>
      </c>
      <c r="DM26" s="43">
        <f>ዕቁብ!DN29/Sheet4!$C26</f>
        <v>0</v>
      </c>
      <c r="DN26" s="43">
        <f>ዕቁብ!DO29/Sheet4!$C26</f>
        <v>0</v>
      </c>
      <c r="DO26" s="43">
        <f>ዕቁብ!DP29/Sheet4!$C26</f>
        <v>0</v>
      </c>
      <c r="DP26" s="43">
        <f>ዕቁብ!DQ29/Sheet4!$C26</f>
        <v>0</v>
      </c>
      <c r="DQ26" s="43">
        <f>ዕቁብ!DR29/Sheet4!$C26</f>
        <v>0</v>
      </c>
    </row>
    <row r="27" spans="1:121" ht="15.75" customHeight="1" x14ac:dyDescent="0.3">
      <c r="A27" s="40">
        <f>ዕቁብ!A30</f>
        <v>24</v>
      </c>
      <c r="B27" s="40" t="str">
        <f>ዕቁብ!B30</f>
        <v>ስንቅነሽ ጃራ</v>
      </c>
      <c r="C27" s="30">
        <f>ዕቁብ!C30</f>
        <v>21000</v>
      </c>
      <c r="D27" s="43">
        <f>ዕቁብ!E30/Sheet4!$C27</f>
        <v>1</v>
      </c>
      <c r="E27" s="43">
        <f>ዕቁብ!F30/Sheet4!$C27</f>
        <v>1</v>
      </c>
      <c r="F27" s="43">
        <f>ዕቁብ!G30/Sheet4!$C27</f>
        <v>1</v>
      </c>
      <c r="G27" s="43">
        <f>ዕቁብ!H30/Sheet4!$C27</f>
        <v>1</v>
      </c>
      <c r="H27" s="43">
        <f>ዕቁብ!I30/Sheet4!$C27</f>
        <v>1</v>
      </c>
      <c r="I27" s="43">
        <f>ዕቁብ!J30/Sheet4!$C27</f>
        <v>1</v>
      </c>
      <c r="J27" s="43">
        <f>ዕቁብ!K30/Sheet4!$C27</f>
        <v>1</v>
      </c>
      <c r="K27" s="43">
        <f>ዕቁብ!L30/Sheet4!$C27</f>
        <v>1</v>
      </c>
      <c r="L27" s="43">
        <f>ዕቁብ!M30/Sheet4!$C27</f>
        <v>1</v>
      </c>
      <c r="M27" s="43">
        <f>ዕቁብ!N30/Sheet4!$C27</f>
        <v>1</v>
      </c>
      <c r="N27" s="43">
        <f>ዕቁብ!O30/Sheet4!$C27</f>
        <v>1</v>
      </c>
      <c r="O27" s="43">
        <f>ዕቁብ!P30/Sheet4!$C27</f>
        <v>1</v>
      </c>
      <c r="P27" s="43">
        <f>ዕቁብ!Q30/Sheet4!$C27</f>
        <v>1</v>
      </c>
      <c r="Q27" s="43">
        <f>ዕቁብ!R30/Sheet4!$C27</f>
        <v>1</v>
      </c>
      <c r="R27" s="43">
        <f>ዕቁብ!S30/Sheet4!$C27</f>
        <v>1</v>
      </c>
      <c r="S27" s="43">
        <f>ዕቁብ!T30/Sheet4!$C27</f>
        <v>1</v>
      </c>
      <c r="T27" s="43">
        <f>ዕቁብ!U30/Sheet4!$C27</f>
        <v>1</v>
      </c>
      <c r="U27" s="43">
        <f>ዕቁብ!V30/Sheet4!$C27</f>
        <v>1</v>
      </c>
      <c r="V27" s="43">
        <f>ዕቁብ!W30/Sheet4!$C27</f>
        <v>1</v>
      </c>
      <c r="W27" s="43">
        <f>ዕቁብ!X30/Sheet4!$C27</f>
        <v>1</v>
      </c>
      <c r="X27" s="43">
        <f>ዕቁብ!Y30/Sheet4!$C27</f>
        <v>1</v>
      </c>
      <c r="Y27" s="43">
        <f>ዕቁብ!Z30/Sheet4!$C27</f>
        <v>0</v>
      </c>
      <c r="Z27" s="43">
        <f>ዕቁብ!AA30/Sheet4!$C27</f>
        <v>2</v>
      </c>
      <c r="AA27" s="43">
        <f>ዕቁብ!AB30/Sheet4!$C27</f>
        <v>0</v>
      </c>
      <c r="AB27" s="43">
        <f>ዕቁብ!AC30/Sheet4!$C27</f>
        <v>2</v>
      </c>
      <c r="AC27" s="43">
        <f>ዕቁብ!AD30/Sheet4!$C27</f>
        <v>0</v>
      </c>
      <c r="AD27" s="43">
        <f>ዕቁብ!AE30/Sheet4!$C27</f>
        <v>1</v>
      </c>
      <c r="AE27" s="43">
        <f>ዕቁብ!AF30/Sheet4!$C27</f>
        <v>2</v>
      </c>
      <c r="AF27" s="43">
        <f>ዕቁብ!AG30/Sheet4!$C27</f>
        <v>1</v>
      </c>
      <c r="AG27" s="43">
        <f>ዕቁብ!AH30/Sheet4!$C27</f>
        <v>1</v>
      </c>
      <c r="AH27" s="43">
        <f>ዕቁብ!AI30/Sheet4!$C27</f>
        <v>1</v>
      </c>
      <c r="AI27" s="43">
        <f>ዕቁብ!AJ30/Sheet4!$C27</f>
        <v>1</v>
      </c>
      <c r="AJ27" s="43">
        <f>ዕቁብ!AK30/Sheet4!$C27</f>
        <v>1</v>
      </c>
      <c r="AK27" s="43">
        <f>ዕቁብ!AL30/Sheet4!$C27</f>
        <v>1</v>
      </c>
      <c r="AL27" s="43">
        <f>ዕቁብ!AM30/Sheet4!$C27</f>
        <v>1</v>
      </c>
      <c r="AM27" s="43">
        <f>ዕቁብ!AN30/Sheet4!$C27</f>
        <v>1</v>
      </c>
      <c r="AN27" s="43">
        <f>ዕቁብ!AO30/Sheet4!$C27</f>
        <v>1</v>
      </c>
      <c r="AO27" s="43">
        <f>ዕቁብ!AP30/Sheet4!$C27</f>
        <v>1</v>
      </c>
      <c r="AP27" s="43">
        <f>ዕቁብ!AQ30/Sheet4!$C27</f>
        <v>1</v>
      </c>
      <c r="AQ27" s="43">
        <f>ዕቁብ!AR30/Sheet4!$C27</f>
        <v>1</v>
      </c>
      <c r="AR27" s="43">
        <f>ዕቁብ!AS30/Sheet4!$C27</f>
        <v>1</v>
      </c>
      <c r="AS27" s="43">
        <f>ዕቁብ!AT30/Sheet4!$C27</f>
        <v>1</v>
      </c>
      <c r="AT27" s="43">
        <f>ዕቁብ!AU30/Sheet4!$C27</f>
        <v>1</v>
      </c>
      <c r="AU27" s="43">
        <f>ዕቁብ!AV30/Sheet4!$C27</f>
        <v>1</v>
      </c>
      <c r="AV27" s="43">
        <f>ዕቁብ!AW30/Sheet4!$C27</f>
        <v>1</v>
      </c>
      <c r="AW27" s="43">
        <f>ዕቁብ!AX30/Sheet4!$C27</f>
        <v>1</v>
      </c>
      <c r="AX27" s="43">
        <f>ዕቁብ!AY30/Sheet4!$C27</f>
        <v>1</v>
      </c>
      <c r="AY27" s="43">
        <f>ዕቁብ!AZ30/Sheet4!$C27</f>
        <v>1</v>
      </c>
      <c r="AZ27" s="43">
        <f>ዕቁብ!BA30/Sheet4!$C27</f>
        <v>1</v>
      </c>
      <c r="BA27" s="43">
        <f>ዕቁብ!BB30/Sheet4!$C27</f>
        <v>1</v>
      </c>
      <c r="BB27" s="43">
        <f>ዕቁብ!BC30/Sheet4!$C27</f>
        <v>1</v>
      </c>
      <c r="BC27" s="43">
        <f>ዕቁብ!BD30/Sheet4!$C27</f>
        <v>1</v>
      </c>
      <c r="BD27" s="43">
        <f>ዕቁብ!BE30/Sheet4!$C27</f>
        <v>1</v>
      </c>
      <c r="BE27" s="43">
        <f>ዕቁብ!BF30/Sheet4!$C27</f>
        <v>1</v>
      </c>
      <c r="BF27" s="43">
        <f>ዕቁብ!BG30/Sheet4!$C27</f>
        <v>1</v>
      </c>
      <c r="BG27" s="43">
        <f>ዕቁብ!BH30/Sheet4!$C27</f>
        <v>0</v>
      </c>
      <c r="BH27" s="43">
        <f>ዕቁብ!BI30/Sheet4!$C27</f>
        <v>2</v>
      </c>
      <c r="BI27" s="43">
        <f>ዕቁብ!BJ30/Sheet4!$C27</f>
        <v>1</v>
      </c>
      <c r="BJ27" s="43">
        <f>ዕቁብ!BK30/Sheet4!$C27</f>
        <v>1</v>
      </c>
      <c r="BK27" s="43">
        <f>ዕቁብ!BL30/Sheet4!$C27</f>
        <v>1</v>
      </c>
      <c r="BL27" s="43">
        <f>ዕቁብ!BM30/Sheet4!$C27</f>
        <v>1</v>
      </c>
      <c r="BM27" s="43">
        <f>ዕቁብ!BN30/Sheet4!$C27</f>
        <v>0</v>
      </c>
      <c r="BN27" s="43">
        <f>ዕቁብ!BO30/Sheet4!$C27</f>
        <v>2</v>
      </c>
      <c r="BO27" s="43">
        <f>ዕቁብ!BP30/Sheet4!$C27</f>
        <v>1</v>
      </c>
      <c r="BP27" s="43">
        <f>ዕቁብ!BQ30/Sheet4!$C27</f>
        <v>1</v>
      </c>
      <c r="BQ27" s="43">
        <f>ዕቁብ!BR30/Sheet4!$C27</f>
        <v>1</v>
      </c>
      <c r="BR27" s="43">
        <f>ዕቁብ!BS30/Sheet4!$C27</f>
        <v>1</v>
      </c>
      <c r="BS27" s="43">
        <f>ዕቁብ!BT30/Sheet4!$C27</f>
        <v>1</v>
      </c>
      <c r="BT27" s="43">
        <f>ዕቁብ!BU30/Sheet4!$C27</f>
        <v>1</v>
      </c>
      <c r="BU27" s="43">
        <f>ዕቁብ!BV30/Sheet4!$C27</f>
        <v>1</v>
      </c>
      <c r="BV27" s="43">
        <f>ዕቁብ!BW30/Sheet4!$C27</f>
        <v>1</v>
      </c>
      <c r="BW27" s="43">
        <f>ዕቁብ!BX30/Sheet4!$C27</f>
        <v>1</v>
      </c>
      <c r="BX27" s="43">
        <f>ዕቁብ!BY30/Sheet4!$C27</f>
        <v>1</v>
      </c>
      <c r="BY27" s="43">
        <f>ዕቁብ!BZ30/Sheet4!$C27</f>
        <v>1</v>
      </c>
      <c r="BZ27" s="43">
        <f>ዕቁብ!CA30/Sheet4!$C27</f>
        <v>1</v>
      </c>
      <c r="CA27" s="43">
        <f>ዕቁብ!CB30/Sheet4!$C27</f>
        <v>1</v>
      </c>
      <c r="CB27" s="43">
        <f>ዕቁብ!CC30/Sheet4!$C27</f>
        <v>1</v>
      </c>
      <c r="CC27" s="43">
        <f>ዕቁብ!CD30/Sheet4!$C27</f>
        <v>1</v>
      </c>
      <c r="CD27" s="43">
        <f>ዕቁብ!CE30/Sheet4!$C27</f>
        <v>0</v>
      </c>
      <c r="CE27" s="43">
        <f>ዕቁብ!CF30/Sheet4!$C27</f>
        <v>2</v>
      </c>
      <c r="CF27" s="43">
        <f>ዕቁብ!CG30/Sheet4!$C27</f>
        <v>1</v>
      </c>
      <c r="CG27" s="43">
        <f>ዕቁብ!CH30/Sheet4!$C27</f>
        <v>1</v>
      </c>
      <c r="CH27" s="43">
        <f>ዕቁብ!CI30/Sheet4!$C27</f>
        <v>1</v>
      </c>
      <c r="CI27" s="43">
        <f>ዕቁብ!CJ30/Sheet4!$C27</f>
        <v>1</v>
      </c>
      <c r="CJ27" s="43">
        <f>ዕቁብ!CK30/Sheet4!$C27</f>
        <v>1</v>
      </c>
      <c r="CK27" s="43">
        <f>ዕቁብ!CL30/Sheet4!$C27</f>
        <v>1</v>
      </c>
      <c r="CL27" s="43">
        <f>ዕቁብ!CM30/Sheet4!$C27</f>
        <v>1</v>
      </c>
      <c r="CM27" s="43">
        <f>ዕቁብ!CN30/Sheet4!$C27</f>
        <v>1</v>
      </c>
      <c r="CN27" s="43">
        <f>ዕቁብ!CO30/Sheet4!$C27</f>
        <v>1</v>
      </c>
      <c r="CO27" s="43">
        <f>ዕቁብ!CP30/Sheet4!$C27</f>
        <v>1</v>
      </c>
      <c r="CP27" s="43">
        <f>ዕቁብ!CQ30/Sheet4!$C27</f>
        <v>1</v>
      </c>
      <c r="CQ27" s="43">
        <f>ዕቁብ!CR30/Sheet4!$C27</f>
        <v>1</v>
      </c>
      <c r="CR27" s="43">
        <f>ዕቁብ!CS30/Sheet4!$C27</f>
        <v>1</v>
      </c>
      <c r="CS27" s="43">
        <f>ዕቁብ!CT30/Sheet4!$C27</f>
        <v>1</v>
      </c>
      <c r="CT27" s="43">
        <f>ዕቁብ!CU30/Sheet4!$C27</f>
        <v>1</v>
      </c>
      <c r="CU27" s="43">
        <f>ዕቁብ!CV30/Sheet4!$C27</f>
        <v>1</v>
      </c>
      <c r="CV27" s="43">
        <f>ዕቁብ!CW30/Sheet4!$C27</f>
        <v>1</v>
      </c>
      <c r="CW27" s="43">
        <f>ዕቁብ!CX30/Sheet4!$C27</f>
        <v>1</v>
      </c>
      <c r="CX27" s="43">
        <f>ዕቁብ!CY30/Sheet4!$C27</f>
        <v>1</v>
      </c>
      <c r="CY27" s="43">
        <f>ዕቁብ!CZ30/Sheet4!$C27</f>
        <v>1</v>
      </c>
      <c r="CZ27" s="43">
        <f>ዕቁብ!DA30/Sheet4!$C27</f>
        <v>1</v>
      </c>
      <c r="DA27" s="43">
        <f>ዕቁብ!DB30/Sheet4!$C27</f>
        <v>1</v>
      </c>
      <c r="DB27" s="43">
        <f>ዕቁብ!DC30/Sheet4!$C27</f>
        <v>1</v>
      </c>
      <c r="DC27" s="43">
        <f>ዕቁብ!DD30/Sheet4!$C27</f>
        <v>1</v>
      </c>
      <c r="DD27" s="43">
        <f>ዕቁብ!DE30/Sheet4!$C27</f>
        <v>1</v>
      </c>
      <c r="DE27" s="43">
        <f>ዕቁብ!DF30/Sheet4!$C27</f>
        <v>1</v>
      </c>
      <c r="DF27" s="43">
        <f>ዕቁብ!DG30/Sheet4!$C27</f>
        <v>1</v>
      </c>
      <c r="DG27" s="43">
        <f>ዕቁብ!DH30/Sheet4!$C27</f>
        <v>1</v>
      </c>
      <c r="DH27" s="43">
        <f>ዕቁብ!DI30/Sheet4!$C27</f>
        <v>0</v>
      </c>
      <c r="DI27" s="43">
        <f>ዕቁብ!DJ30/Sheet4!$C27</f>
        <v>0</v>
      </c>
      <c r="DJ27" s="43">
        <f>ዕቁብ!DK30/Sheet4!$C27</f>
        <v>0</v>
      </c>
      <c r="DK27" s="43">
        <f>ዕቁብ!DL30/Sheet4!$C27</f>
        <v>0</v>
      </c>
      <c r="DL27" s="43">
        <f>ዕቁብ!DM30/Sheet4!$C27</f>
        <v>0</v>
      </c>
      <c r="DM27" s="43">
        <f>ዕቁብ!DN30/Sheet4!$C27</f>
        <v>0</v>
      </c>
      <c r="DN27" s="43">
        <f>ዕቁብ!DO30/Sheet4!$C27</f>
        <v>0</v>
      </c>
      <c r="DO27" s="43">
        <f>ዕቁብ!DP30/Sheet4!$C27</f>
        <v>0</v>
      </c>
      <c r="DP27" s="43">
        <f>ዕቁብ!DQ30/Sheet4!$C27</f>
        <v>0</v>
      </c>
      <c r="DQ27" s="43">
        <f>ዕቁብ!DR30/Sheet4!$C27</f>
        <v>0</v>
      </c>
    </row>
    <row r="28" spans="1:121" ht="15.75" customHeight="1" x14ac:dyDescent="0.3">
      <c r="A28" s="40">
        <f>ዕቁብ!A31</f>
        <v>25</v>
      </c>
      <c r="B28" s="40" t="str">
        <f>ዕቁብ!B31</f>
        <v>ይድነቃቸው ወ/መስቀል</v>
      </c>
      <c r="C28" s="30">
        <f>ዕቁብ!C31</f>
        <v>21000</v>
      </c>
      <c r="D28" s="43">
        <f>ዕቁብ!E31/Sheet4!$C28</f>
        <v>1</v>
      </c>
      <c r="E28" s="43">
        <f>ዕቁብ!F31/Sheet4!$C28</f>
        <v>1</v>
      </c>
      <c r="F28" s="43">
        <f>ዕቁብ!G31/Sheet4!$C28</f>
        <v>1</v>
      </c>
      <c r="G28" s="43">
        <f>ዕቁብ!H31/Sheet4!$C28</f>
        <v>1</v>
      </c>
      <c r="H28" s="43">
        <f>ዕቁብ!I31/Sheet4!$C28</f>
        <v>1</v>
      </c>
      <c r="I28" s="43">
        <f>ዕቁብ!J31/Sheet4!$C28</f>
        <v>1</v>
      </c>
      <c r="J28" s="43">
        <f>ዕቁብ!K31/Sheet4!$C28</f>
        <v>1</v>
      </c>
      <c r="K28" s="43">
        <f>ዕቁብ!L31/Sheet4!$C28</f>
        <v>1</v>
      </c>
      <c r="L28" s="43">
        <f>ዕቁብ!M31/Sheet4!$C28</f>
        <v>1</v>
      </c>
      <c r="M28" s="43">
        <f>ዕቁብ!N31/Sheet4!$C28</f>
        <v>1</v>
      </c>
      <c r="N28" s="43">
        <f>ዕቁብ!O31/Sheet4!$C28</f>
        <v>1</v>
      </c>
      <c r="O28" s="43">
        <f>ዕቁብ!P31/Sheet4!$C28</f>
        <v>1</v>
      </c>
      <c r="P28" s="43">
        <f>ዕቁብ!Q31/Sheet4!$C28</f>
        <v>1</v>
      </c>
      <c r="Q28" s="43">
        <f>ዕቁብ!R31/Sheet4!$C28</f>
        <v>1</v>
      </c>
      <c r="R28" s="43">
        <f>ዕቁብ!S31/Sheet4!$C28</f>
        <v>1</v>
      </c>
      <c r="S28" s="43">
        <f>ዕቁብ!T31/Sheet4!$C28</f>
        <v>1</v>
      </c>
      <c r="T28" s="43">
        <f>ዕቁብ!U31/Sheet4!$C28</f>
        <v>1</v>
      </c>
      <c r="U28" s="43">
        <f>ዕቁብ!V31/Sheet4!$C28</f>
        <v>1</v>
      </c>
      <c r="V28" s="43">
        <f>ዕቁብ!W31/Sheet4!$C28</f>
        <v>1</v>
      </c>
      <c r="W28" s="43">
        <f>ዕቁብ!X31/Sheet4!$C28</f>
        <v>1</v>
      </c>
      <c r="X28" s="43">
        <f>ዕቁብ!Y31/Sheet4!$C28</f>
        <v>1</v>
      </c>
      <c r="Y28" s="43">
        <f>ዕቁብ!Z31/Sheet4!$C28</f>
        <v>1</v>
      </c>
      <c r="Z28" s="43">
        <f>ዕቁብ!AA31/Sheet4!$C28</f>
        <v>1</v>
      </c>
      <c r="AA28" s="43">
        <f>ዕቁብ!AB31/Sheet4!$C28</f>
        <v>1</v>
      </c>
      <c r="AB28" s="43">
        <f>ዕቁብ!AC31/Sheet4!$C28</f>
        <v>1</v>
      </c>
      <c r="AC28" s="43">
        <f>ዕቁብ!AD31/Sheet4!$C28</f>
        <v>1</v>
      </c>
      <c r="AD28" s="43">
        <f>ዕቁብ!AE31/Sheet4!$C28</f>
        <v>1</v>
      </c>
      <c r="AE28" s="43">
        <f>ዕቁብ!AF31/Sheet4!$C28</f>
        <v>1</v>
      </c>
      <c r="AF28" s="43">
        <f>ዕቁብ!AG31/Sheet4!$C28</f>
        <v>1</v>
      </c>
      <c r="AG28" s="43">
        <f>ዕቁብ!AH31/Sheet4!$C28</f>
        <v>1</v>
      </c>
      <c r="AH28" s="43">
        <f>ዕቁብ!AI31/Sheet4!$C28</f>
        <v>1</v>
      </c>
      <c r="AI28" s="43">
        <f>ዕቁብ!AJ31/Sheet4!$C28</f>
        <v>1</v>
      </c>
      <c r="AJ28" s="43">
        <f>ዕቁብ!AK31/Sheet4!$C28</f>
        <v>1</v>
      </c>
      <c r="AK28" s="43">
        <f>ዕቁብ!AL31/Sheet4!$C28</f>
        <v>1</v>
      </c>
      <c r="AL28" s="43">
        <f>ዕቁብ!AM31/Sheet4!$C28</f>
        <v>1</v>
      </c>
      <c r="AM28" s="43">
        <f>ዕቁብ!AN31/Sheet4!$C28</f>
        <v>1</v>
      </c>
      <c r="AN28" s="43">
        <f>ዕቁብ!AO31/Sheet4!$C28</f>
        <v>1</v>
      </c>
      <c r="AO28" s="43">
        <f>ዕቁብ!AP31/Sheet4!$C28</f>
        <v>1</v>
      </c>
      <c r="AP28" s="43">
        <f>ዕቁብ!AQ31/Sheet4!$C28</f>
        <v>1</v>
      </c>
      <c r="AQ28" s="43">
        <f>ዕቁብ!AR31/Sheet4!$C28</f>
        <v>1</v>
      </c>
      <c r="AR28" s="43">
        <f>ዕቁብ!AS31/Sheet4!$C28</f>
        <v>0</v>
      </c>
      <c r="AS28" s="43">
        <f>ዕቁብ!AT31/Sheet4!$C28</f>
        <v>2</v>
      </c>
      <c r="AT28" s="43">
        <f>ዕቁብ!AU31/Sheet4!$C28</f>
        <v>0</v>
      </c>
      <c r="AU28" s="43">
        <f>ዕቁብ!AV31/Sheet4!$C28</f>
        <v>2</v>
      </c>
      <c r="AV28" s="43">
        <f>ዕቁብ!AW31/Sheet4!$C28</f>
        <v>1</v>
      </c>
      <c r="AW28" s="43">
        <f>ዕቁብ!AX31/Sheet4!$C28</f>
        <v>0</v>
      </c>
      <c r="AX28" s="43">
        <f>ዕቁብ!AY31/Sheet4!$C28</f>
        <v>2</v>
      </c>
      <c r="AY28" s="43">
        <f>ዕቁብ!AZ31/Sheet4!$C28</f>
        <v>1</v>
      </c>
      <c r="AZ28" s="43">
        <f>ዕቁብ!BA31/Sheet4!$C28</f>
        <v>1</v>
      </c>
      <c r="BA28" s="43">
        <f>ዕቁብ!BB31/Sheet4!$C28</f>
        <v>1</v>
      </c>
      <c r="BB28" s="43">
        <f>ዕቁብ!BC31/Sheet4!$C28</f>
        <v>1</v>
      </c>
      <c r="BC28" s="43">
        <f>ዕቁብ!BD31/Sheet4!$C28</f>
        <v>1</v>
      </c>
      <c r="BD28" s="43">
        <f>ዕቁብ!BE31/Sheet4!$C28</f>
        <v>0</v>
      </c>
      <c r="BE28" s="43">
        <f>ዕቁብ!BF31/Sheet4!$C28</f>
        <v>2</v>
      </c>
      <c r="BF28" s="43">
        <f>ዕቁብ!BG31/Sheet4!$C28</f>
        <v>1</v>
      </c>
      <c r="BG28" s="43">
        <f>ዕቁብ!BH31/Sheet4!$C28</f>
        <v>0</v>
      </c>
      <c r="BH28" s="43">
        <f>ዕቁብ!BI31/Sheet4!$C28</f>
        <v>2</v>
      </c>
      <c r="BI28" s="43">
        <f>ዕቁብ!BJ31/Sheet4!$C28</f>
        <v>1</v>
      </c>
      <c r="BJ28" s="43">
        <f>ዕቁብ!BK31/Sheet4!$C28</f>
        <v>1</v>
      </c>
      <c r="BK28" s="43">
        <f>ዕቁብ!BL31/Sheet4!$C28</f>
        <v>1</v>
      </c>
      <c r="BL28" s="43">
        <f>ዕቁብ!BM31/Sheet4!$C28</f>
        <v>1</v>
      </c>
      <c r="BM28" s="43">
        <f>ዕቁብ!BN31/Sheet4!$C28</f>
        <v>0</v>
      </c>
      <c r="BN28" s="43">
        <f>ዕቁብ!BO31/Sheet4!$C28</f>
        <v>2</v>
      </c>
      <c r="BO28" s="43">
        <f>ዕቁብ!BP31/Sheet4!$C28</f>
        <v>0</v>
      </c>
      <c r="BP28" s="43">
        <f>ዕቁብ!BQ31/Sheet4!$C28</f>
        <v>2</v>
      </c>
      <c r="BQ28" s="43">
        <f>ዕቁብ!BR31/Sheet4!$C28</f>
        <v>1</v>
      </c>
      <c r="BR28" s="43">
        <f>ዕቁብ!BS31/Sheet4!$C28</f>
        <v>1</v>
      </c>
      <c r="BS28" s="43">
        <f>ዕቁብ!BT31/Sheet4!$C28</f>
        <v>1</v>
      </c>
      <c r="BT28" s="43">
        <f>ዕቁብ!BU31/Sheet4!$C28</f>
        <v>1</v>
      </c>
      <c r="BU28" s="43">
        <f>ዕቁብ!BV31/Sheet4!$C28</f>
        <v>1</v>
      </c>
      <c r="BV28" s="43">
        <f>ዕቁብ!BW31/Sheet4!$C28</f>
        <v>1</v>
      </c>
      <c r="BW28" s="43">
        <f>ዕቁብ!BX31/Sheet4!$C28</f>
        <v>1</v>
      </c>
      <c r="BX28" s="43">
        <f>ዕቁብ!BY31/Sheet4!$C28</f>
        <v>1</v>
      </c>
      <c r="BY28" s="43">
        <f>ዕቁብ!BZ31/Sheet4!$C28</f>
        <v>1</v>
      </c>
      <c r="BZ28" s="43">
        <f>ዕቁብ!CA31/Sheet4!$C28</f>
        <v>0</v>
      </c>
      <c r="CA28" s="43">
        <f>ዕቁብ!CB31/Sheet4!$C28</f>
        <v>2</v>
      </c>
      <c r="CB28" s="43">
        <f>ዕቁብ!CC31/Sheet4!$C28</f>
        <v>0</v>
      </c>
      <c r="CC28" s="43">
        <f>ዕቁብ!CD31/Sheet4!$C28</f>
        <v>2</v>
      </c>
      <c r="CD28" s="43">
        <f>ዕቁብ!CE31/Sheet4!$C28</f>
        <v>1</v>
      </c>
      <c r="CE28" s="43">
        <f>ዕቁብ!CF31/Sheet4!$C28</f>
        <v>1</v>
      </c>
      <c r="CF28" s="43">
        <f>ዕቁብ!CG31/Sheet4!$C28</f>
        <v>0</v>
      </c>
      <c r="CG28" s="43">
        <f>ዕቁብ!CH31/Sheet4!$C28</f>
        <v>2</v>
      </c>
      <c r="CH28" s="43">
        <f>ዕቁብ!CI31/Sheet4!$C28</f>
        <v>0</v>
      </c>
      <c r="CI28" s="43">
        <f>ዕቁብ!CJ31/Sheet4!$C28</f>
        <v>2</v>
      </c>
      <c r="CJ28" s="43">
        <f>ዕቁብ!CK31/Sheet4!$C28</f>
        <v>1</v>
      </c>
      <c r="CK28" s="43">
        <f>ዕቁብ!CL31/Sheet4!$C28</f>
        <v>1</v>
      </c>
      <c r="CL28" s="43">
        <f>ዕቁብ!CM31/Sheet4!$C28</f>
        <v>1</v>
      </c>
      <c r="CM28" s="43">
        <f>ዕቁብ!CN31/Sheet4!$C28</f>
        <v>1</v>
      </c>
      <c r="CN28" s="43">
        <f>ዕቁብ!CO31/Sheet4!$C28</f>
        <v>1</v>
      </c>
      <c r="CO28" s="43">
        <f>ዕቁብ!CP31/Sheet4!$C28</f>
        <v>1</v>
      </c>
      <c r="CP28" s="43">
        <f>ዕቁብ!CQ31/Sheet4!$C28</f>
        <v>0</v>
      </c>
      <c r="CQ28" s="43">
        <f>ዕቁብ!CR31/Sheet4!$C28</f>
        <v>2</v>
      </c>
      <c r="CR28" s="43">
        <f>ዕቁብ!CS31/Sheet4!$C28</f>
        <v>1</v>
      </c>
      <c r="CS28" s="43">
        <f>ዕቁብ!CT31/Sheet4!$C28</f>
        <v>1</v>
      </c>
      <c r="CT28" s="43">
        <f>ዕቁብ!CU31/Sheet4!$C28</f>
        <v>1</v>
      </c>
      <c r="CU28" s="43">
        <f>ዕቁብ!CV31/Sheet4!$C28</f>
        <v>1</v>
      </c>
      <c r="CV28" s="43">
        <f>ዕቁብ!CW31/Sheet4!$C28</f>
        <v>1</v>
      </c>
      <c r="CW28" s="43">
        <f>ዕቁብ!CX31/Sheet4!$C28</f>
        <v>1</v>
      </c>
      <c r="CX28" s="43">
        <f>ዕቁብ!CY31/Sheet4!$C28</f>
        <v>1</v>
      </c>
      <c r="CY28" s="43">
        <f>ዕቁብ!CZ31/Sheet4!$C28</f>
        <v>1</v>
      </c>
      <c r="CZ28" s="43">
        <f>ዕቁብ!DA31/Sheet4!$C28</f>
        <v>1</v>
      </c>
      <c r="DA28" s="43">
        <f>ዕቁብ!DB31/Sheet4!$C28</f>
        <v>1</v>
      </c>
      <c r="DB28" s="43">
        <f>ዕቁብ!DC31/Sheet4!$C28</f>
        <v>1</v>
      </c>
      <c r="DC28" s="43">
        <f>ዕቁብ!DD31/Sheet4!$C28</f>
        <v>1</v>
      </c>
      <c r="DD28" s="43">
        <f>ዕቁብ!DE31/Sheet4!$C28</f>
        <v>1</v>
      </c>
      <c r="DE28" s="43">
        <f>ዕቁብ!DF31/Sheet4!$C28</f>
        <v>1</v>
      </c>
      <c r="DF28" s="43">
        <f>ዕቁብ!DG31/Sheet4!$C28</f>
        <v>1</v>
      </c>
      <c r="DG28" s="43">
        <f>ዕቁብ!DH31/Sheet4!$C28</f>
        <v>1</v>
      </c>
      <c r="DH28" s="43">
        <f>ዕቁብ!DI31/Sheet4!$C28</f>
        <v>0</v>
      </c>
      <c r="DI28" s="43">
        <f>ዕቁብ!DJ31/Sheet4!$C28</f>
        <v>0</v>
      </c>
      <c r="DJ28" s="43">
        <f>ዕቁብ!DK31/Sheet4!$C28</f>
        <v>0</v>
      </c>
      <c r="DK28" s="43">
        <f>ዕቁብ!DL31/Sheet4!$C28</f>
        <v>0</v>
      </c>
      <c r="DL28" s="43">
        <f>ዕቁብ!DM31/Sheet4!$C28</f>
        <v>0</v>
      </c>
      <c r="DM28" s="43">
        <f>ዕቁብ!DN31/Sheet4!$C28</f>
        <v>0</v>
      </c>
      <c r="DN28" s="43">
        <f>ዕቁብ!DO31/Sheet4!$C28</f>
        <v>0</v>
      </c>
      <c r="DO28" s="43">
        <f>ዕቁብ!DP31/Sheet4!$C28</f>
        <v>0</v>
      </c>
      <c r="DP28" s="43">
        <f>ዕቁብ!DQ31/Sheet4!$C28</f>
        <v>0</v>
      </c>
      <c r="DQ28" s="43">
        <f>ዕቁብ!DR31/Sheet4!$C28</f>
        <v>0</v>
      </c>
    </row>
    <row r="29" spans="1:121" ht="15.75" customHeight="1" x14ac:dyDescent="0.3">
      <c r="A29" s="40">
        <f>ዕቁብ!A32</f>
        <v>26</v>
      </c>
      <c r="B29" s="40" t="str">
        <f>ዕቁብ!B32</f>
        <v>ፈትለወርቅ ታደሰ</v>
      </c>
      <c r="C29" s="30">
        <f>ዕቁብ!C32</f>
        <v>21000</v>
      </c>
      <c r="D29" s="43">
        <f>ዕቁብ!E32/Sheet4!$C29</f>
        <v>1</v>
      </c>
      <c r="E29" s="43">
        <f>ዕቁብ!F32/Sheet4!$C29</f>
        <v>1</v>
      </c>
      <c r="F29" s="43">
        <f>ዕቁብ!G32/Sheet4!$C29</f>
        <v>1</v>
      </c>
      <c r="G29" s="43">
        <f>ዕቁብ!H32/Sheet4!$C29</f>
        <v>1</v>
      </c>
      <c r="H29" s="43">
        <f>ዕቁብ!I32/Sheet4!$C29</f>
        <v>1</v>
      </c>
      <c r="I29" s="43">
        <f>ዕቁብ!J32/Sheet4!$C29</f>
        <v>1</v>
      </c>
      <c r="J29" s="43">
        <f>ዕቁብ!K32/Sheet4!$C29</f>
        <v>1</v>
      </c>
      <c r="K29" s="43">
        <f>ዕቁብ!L32/Sheet4!$C29</f>
        <v>1</v>
      </c>
      <c r="L29" s="43">
        <f>ዕቁብ!M32/Sheet4!$C29</f>
        <v>1</v>
      </c>
      <c r="M29" s="43">
        <f>ዕቁብ!N32/Sheet4!$C29</f>
        <v>1</v>
      </c>
      <c r="N29" s="43">
        <f>ዕቁብ!O32/Sheet4!$C29</f>
        <v>1</v>
      </c>
      <c r="O29" s="43">
        <f>ዕቁብ!P32/Sheet4!$C29</f>
        <v>1</v>
      </c>
      <c r="P29" s="43">
        <f>ዕቁብ!Q32/Sheet4!$C29</f>
        <v>1</v>
      </c>
      <c r="Q29" s="43">
        <f>ዕቁብ!R32/Sheet4!$C29</f>
        <v>1</v>
      </c>
      <c r="R29" s="43">
        <f>ዕቁብ!S32/Sheet4!$C29</f>
        <v>1</v>
      </c>
      <c r="S29" s="43">
        <f>ዕቁብ!T32/Sheet4!$C29</f>
        <v>1</v>
      </c>
      <c r="T29" s="43">
        <f>ዕቁብ!U32/Sheet4!$C29</f>
        <v>1</v>
      </c>
      <c r="U29" s="43">
        <f>ዕቁብ!V32/Sheet4!$C29</f>
        <v>1</v>
      </c>
      <c r="V29" s="43">
        <f>ዕቁብ!W32/Sheet4!$C29</f>
        <v>1</v>
      </c>
      <c r="W29" s="43">
        <f>ዕቁብ!X32/Sheet4!$C29</f>
        <v>1</v>
      </c>
      <c r="X29" s="43">
        <f>ዕቁብ!Y32/Sheet4!$C29</f>
        <v>1</v>
      </c>
      <c r="Y29" s="43">
        <f>ዕቁብ!Z32/Sheet4!$C29</f>
        <v>1</v>
      </c>
      <c r="Z29" s="43">
        <f>ዕቁብ!AA32/Sheet4!$C29</f>
        <v>1</v>
      </c>
      <c r="AA29" s="43">
        <f>ዕቁብ!AB32/Sheet4!$C29</f>
        <v>1</v>
      </c>
      <c r="AB29" s="43">
        <f>ዕቁብ!AC32/Sheet4!$C29</f>
        <v>1</v>
      </c>
      <c r="AC29" s="43">
        <f>ዕቁብ!AD32/Sheet4!$C29</f>
        <v>1</v>
      </c>
      <c r="AD29" s="43">
        <f>ዕቁብ!AE32/Sheet4!$C29</f>
        <v>1</v>
      </c>
      <c r="AE29" s="43">
        <f>ዕቁብ!AF32/Sheet4!$C29</f>
        <v>1</v>
      </c>
      <c r="AF29" s="43">
        <f>ዕቁብ!AG32/Sheet4!$C29</f>
        <v>1</v>
      </c>
      <c r="AG29" s="43">
        <f>ዕቁብ!AH32/Sheet4!$C29</f>
        <v>1</v>
      </c>
      <c r="AH29" s="43">
        <f>ዕቁብ!AI32/Sheet4!$C29</f>
        <v>1</v>
      </c>
      <c r="AI29" s="43">
        <f>ዕቁብ!AJ32/Sheet4!$C29</f>
        <v>1</v>
      </c>
      <c r="AJ29" s="43">
        <f>ዕቁብ!AK32/Sheet4!$C29</f>
        <v>1</v>
      </c>
      <c r="AK29" s="43">
        <f>ዕቁብ!AL32/Sheet4!$C29</f>
        <v>1</v>
      </c>
      <c r="AL29" s="43">
        <f>ዕቁብ!AM32/Sheet4!$C29</f>
        <v>1</v>
      </c>
      <c r="AM29" s="43">
        <f>ዕቁብ!AN32/Sheet4!$C29</f>
        <v>1</v>
      </c>
      <c r="AN29" s="43">
        <f>ዕቁብ!AO32/Sheet4!$C29</f>
        <v>1</v>
      </c>
      <c r="AO29" s="43">
        <f>ዕቁብ!AP32/Sheet4!$C29</f>
        <v>1</v>
      </c>
      <c r="AP29" s="43">
        <f>ዕቁብ!AQ32/Sheet4!$C29</f>
        <v>1</v>
      </c>
      <c r="AQ29" s="43">
        <f>ዕቁብ!AR32/Sheet4!$C29</f>
        <v>1</v>
      </c>
      <c r="AR29" s="43">
        <f>ዕቁብ!AS32/Sheet4!$C29</f>
        <v>0</v>
      </c>
      <c r="AS29" s="43">
        <f>ዕቁብ!AT32/Sheet4!$C29</f>
        <v>2</v>
      </c>
      <c r="AT29" s="43">
        <f>ዕቁብ!AU32/Sheet4!$C29</f>
        <v>0</v>
      </c>
      <c r="AU29" s="43">
        <f>ዕቁብ!AV32/Sheet4!$C29</f>
        <v>2</v>
      </c>
      <c r="AV29" s="43">
        <f>ዕቁብ!AW32/Sheet4!$C29</f>
        <v>1</v>
      </c>
      <c r="AW29" s="43">
        <f>ዕቁብ!AX32/Sheet4!$C29</f>
        <v>0</v>
      </c>
      <c r="AX29" s="43">
        <f>ዕቁብ!AY32/Sheet4!$C29</f>
        <v>2</v>
      </c>
      <c r="AY29" s="43">
        <f>ዕቁብ!AZ32/Sheet4!$C29</f>
        <v>1</v>
      </c>
      <c r="AZ29" s="43">
        <f>ዕቁብ!BA32/Sheet4!$C29</f>
        <v>1</v>
      </c>
      <c r="BA29" s="43">
        <f>ዕቁብ!BB32/Sheet4!$C29</f>
        <v>1</v>
      </c>
      <c r="BB29" s="43">
        <f>ዕቁብ!BC32/Sheet4!$C29</f>
        <v>1</v>
      </c>
      <c r="BC29" s="43">
        <f>ዕቁብ!BD32/Sheet4!$C29</f>
        <v>1</v>
      </c>
      <c r="BD29" s="43">
        <f>ዕቁብ!BE32/Sheet4!$C29</f>
        <v>0</v>
      </c>
      <c r="BE29" s="43">
        <f>ዕቁብ!BF32/Sheet4!$C29</f>
        <v>2</v>
      </c>
      <c r="BF29" s="43">
        <f>ዕቁብ!BG32/Sheet4!$C29</f>
        <v>1</v>
      </c>
      <c r="BG29" s="43">
        <f>ዕቁብ!BH32/Sheet4!$C29</f>
        <v>0</v>
      </c>
      <c r="BH29" s="43">
        <f>ዕቁብ!BI32/Sheet4!$C29</f>
        <v>2</v>
      </c>
      <c r="BI29" s="43">
        <f>ዕቁብ!BJ32/Sheet4!$C29</f>
        <v>1</v>
      </c>
      <c r="BJ29" s="43">
        <f>ዕቁብ!BK32/Sheet4!$C29</f>
        <v>1</v>
      </c>
      <c r="BK29" s="43">
        <f>ዕቁብ!BL32/Sheet4!$C29</f>
        <v>1</v>
      </c>
      <c r="BL29" s="43">
        <f>ዕቁብ!BM32/Sheet4!$C29</f>
        <v>1</v>
      </c>
      <c r="BM29" s="43">
        <f>ዕቁብ!BN32/Sheet4!$C29</f>
        <v>0</v>
      </c>
      <c r="BN29" s="43">
        <f>ዕቁብ!BO32/Sheet4!$C29</f>
        <v>2</v>
      </c>
      <c r="BO29" s="43">
        <f>ዕቁብ!BP32/Sheet4!$C29</f>
        <v>0</v>
      </c>
      <c r="BP29" s="43">
        <f>ዕቁብ!BQ32/Sheet4!$C29</f>
        <v>2</v>
      </c>
      <c r="BQ29" s="43">
        <f>ዕቁብ!BR32/Sheet4!$C29</f>
        <v>1</v>
      </c>
      <c r="BR29" s="43">
        <f>ዕቁብ!BS32/Sheet4!$C29</f>
        <v>1</v>
      </c>
      <c r="BS29" s="43">
        <f>ዕቁብ!BT32/Sheet4!$C29</f>
        <v>1</v>
      </c>
      <c r="BT29" s="43">
        <f>ዕቁብ!BU32/Sheet4!$C29</f>
        <v>1</v>
      </c>
      <c r="BU29" s="43">
        <f>ዕቁብ!BV32/Sheet4!$C29</f>
        <v>1</v>
      </c>
      <c r="BV29" s="43">
        <f>ዕቁብ!BW32/Sheet4!$C29</f>
        <v>1</v>
      </c>
      <c r="BW29" s="43">
        <f>ዕቁብ!BX32/Sheet4!$C29</f>
        <v>1</v>
      </c>
      <c r="BX29" s="43">
        <f>ዕቁብ!BY32/Sheet4!$C29</f>
        <v>1</v>
      </c>
      <c r="BY29" s="43">
        <f>ዕቁብ!BZ32/Sheet4!$C29</f>
        <v>1</v>
      </c>
      <c r="BZ29" s="43">
        <f>ዕቁብ!CA32/Sheet4!$C29</f>
        <v>0</v>
      </c>
      <c r="CA29" s="43">
        <f>ዕቁብ!CB32/Sheet4!$C29</f>
        <v>2</v>
      </c>
      <c r="CB29" s="43">
        <f>ዕቁብ!CC32/Sheet4!$C29</f>
        <v>0</v>
      </c>
      <c r="CC29" s="43">
        <f>ዕቁብ!CD32/Sheet4!$C29</f>
        <v>2</v>
      </c>
      <c r="CD29" s="43">
        <f>ዕቁብ!CE32/Sheet4!$C29</f>
        <v>1</v>
      </c>
      <c r="CE29" s="43">
        <f>ዕቁብ!CF32/Sheet4!$C29</f>
        <v>1</v>
      </c>
      <c r="CF29" s="43">
        <f>ዕቁብ!CG32/Sheet4!$C29</f>
        <v>0</v>
      </c>
      <c r="CG29" s="43">
        <f>ዕቁብ!CH32/Sheet4!$C29</f>
        <v>2</v>
      </c>
      <c r="CH29" s="43">
        <f>ዕቁብ!CI32/Sheet4!$C29</f>
        <v>0</v>
      </c>
      <c r="CI29" s="43">
        <f>ዕቁብ!CJ32/Sheet4!$C29</f>
        <v>2</v>
      </c>
      <c r="CJ29" s="43">
        <f>ዕቁብ!CK32/Sheet4!$C29</f>
        <v>1</v>
      </c>
      <c r="CK29" s="43">
        <f>ዕቁብ!CL32/Sheet4!$C29</f>
        <v>1</v>
      </c>
      <c r="CL29" s="43">
        <f>ዕቁብ!CM32/Sheet4!$C29</f>
        <v>1</v>
      </c>
      <c r="CM29" s="43">
        <f>ዕቁብ!CN32/Sheet4!$C29</f>
        <v>1</v>
      </c>
      <c r="CN29" s="43">
        <f>ዕቁብ!CO32/Sheet4!$C29</f>
        <v>1</v>
      </c>
      <c r="CO29" s="43">
        <f>ዕቁብ!CP32/Sheet4!$C29</f>
        <v>1</v>
      </c>
      <c r="CP29" s="43">
        <f>ዕቁብ!CQ32/Sheet4!$C29</f>
        <v>0</v>
      </c>
      <c r="CQ29" s="43">
        <f>ዕቁብ!CR32/Sheet4!$C29</f>
        <v>2</v>
      </c>
      <c r="CR29" s="43">
        <f>ዕቁብ!CS32/Sheet4!$C29</f>
        <v>1</v>
      </c>
      <c r="CS29" s="43">
        <f>ዕቁብ!CT32/Sheet4!$C29</f>
        <v>1</v>
      </c>
      <c r="CT29" s="43">
        <f>ዕቁብ!CU32/Sheet4!$C29</f>
        <v>1</v>
      </c>
      <c r="CU29" s="43">
        <f>ዕቁብ!CV32/Sheet4!$C29</f>
        <v>1</v>
      </c>
      <c r="CV29" s="43">
        <f>ዕቁብ!CW32/Sheet4!$C29</f>
        <v>1</v>
      </c>
      <c r="CW29" s="43">
        <f>ዕቁብ!CX32/Sheet4!$C29</f>
        <v>1</v>
      </c>
      <c r="CX29" s="43">
        <f>ዕቁብ!CY32/Sheet4!$C29</f>
        <v>1</v>
      </c>
      <c r="CY29" s="43">
        <f>ዕቁብ!CZ32/Sheet4!$C29</f>
        <v>1</v>
      </c>
      <c r="CZ29" s="43">
        <f>ዕቁብ!DA32/Sheet4!$C29</f>
        <v>1</v>
      </c>
      <c r="DA29" s="43">
        <f>ዕቁብ!DB32/Sheet4!$C29</f>
        <v>1</v>
      </c>
      <c r="DB29" s="43">
        <f>ዕቁብ!DC32/Sheet4!$C29</f>
        <v>1</v>
      </c>
      <c r="DC29" s="43">
        <f>ዕቁብ!DD32/Sheet4!$C29</f>
        <v>1</v>
      </c>
      <c r="DD29" s="43">
        <f>ዕቁብ!DE32/Sheet4!$C29</f>
        <v>1</v>
      </c>
      <c r="DE29" s="43">
        <f>ዕቁብ!DF32/Sheet4!$C29</f>
        <v>1</v>
      </c>
      <c r="DF29" s="43">
        <f>ዕቁብ!DG32/Sheet4!$C29</f>
        <v>1</v>
      </c>
      <c r="DG29" s="43">
        <f>ዕቁብ!DH32/Sheet4!$C29</f>
        <v>1</v>
      </c>
      <c r="DH29" s="43">
        <f>ዕቁብ!DI32/Sheet4!$C29</f>
        <v>0</v>
      </c>
      <c r="DI29" s="43">
        <f>ዕቁብ!DJ32/Sheet4!$C29</f>
        <v>0</v>
      </c>
      <c r="DJ29" s="43">
        <f>ዕቁብ!DK32/Sheet4!$C29</f>
        <v>0</v>
      </c>
      <c r="DK29" s="43">
        <f>ዕቁብ!DL32/Sheet4!$C29</f>
        <v>0</v>
      </c>
      <c r="DL29" s="43">
        <f>ዕቁብ!DM32/Sheet4!$C29</f>
        <v>0</v>
      </c>
      <c r="DM29" s="43">
        <f>ዕቁብ!DN32/Sheet4!$C29</f>
        <v>0</v>
      </c>
      <c r="DN29" s="43">
        <f>ዕቁብ!DO32/Sheet4!$C29</f>
        <v>0</v>
      </c>
      <c r="DO29" s="43">
        <f>ዕቁብ!DP32/Sheet4!$C29</f>
        <v>0</v>
      </c>
      <c r="DP29" s="43">
        <f>ዕቁብ!DQ32/Sheet4!$C29</f>
        <v>0</v>
      </c>
      <c r="DQ29" s="43">
        <f>ዕቁብ!DR32/Sheet4!$C29</f>
        <v>0</v>
      </c>
    </row>
    <row r="30" spans="1:121" ht="15.75" customHeight="1" x14ac:dyDescent="0.3">
      <c r="A30" s="40">
        <f>ዕቁብ!A33</f>
        <v>27</v>
      </c>
      <c r="B30" s="40" t="str">
        <f>ዕቁብ!B33</f>
        <v>አንተነህ ግዛዉ</v>
      </c>
      <c r="C30" s="30">
        <f>ዕቁብ!C33</f>
        <v>21000</v>
      </c>
      <c r="D30" s="43">
        <f>ዕቁብ!E33/Sheet4!$C30</f>
        <v>1</v>
      </c>
      <c r="E30" s="43">
        <f>ዕቁብ!F33/Sheet4!$C30</f>
        <v>1</v>
      </c>
      <c r="F30" s="43">
        <f>ዕቁብ!G33/Sheet4!$C30</f>
        <v>1</v>
      </c>
      <c r="G30" s="43">
        <f>ዕቁብ!H33/Sheet4!$C30</f>
        <v>1</v>
      </c>
      <c r="H30" s="43">
        <f>ዕቁብ!I33/Sheet4!$C30</f>
        <v>1</v>
      </c>
      <c r="I30" s="43">
        <f>ዕቁብ!J33/Sheet4!$C30</f>
        <v>1</v>
      </c>
      <c r="J30" s="43">
        <f>ዕቁብ!K33/Sheet4!$C30</f>
        <v>1</v>
      </c>
      <c r="K30" s="43">
        <f>ዕቁብ!L33/Sheet4!$C30</f>
        <v>1</v>
      </c>
      <c r="L30" s="43">
        <f>ዕቁብ!M33/Sheet4!$C30</f>
        <v>1</v>
      </c>
      <c r="M30" s="43">
        <f>ዕቁብ!N33/Sheet4!$C30</f>
        <v>1</v>
      </c>
      <c r="N30" s="43">
        <f>ዕቁብ!O33/Sheet4!$C30</f>
        <v>1</v>
      </c>
      <c r="O30" s="43">
        <f>ዕቁብ!P33/Sheet4!$C30</f>
        <v>1</v>
      </c>
      <c r="P30" s="43">
        <f>ዕቁብ!Q33/Sheet4!$C30</f>
        <v>1</v>
      </c>
      <c r="Q30" s="43">
        <f>ዕቁብ!R33/Sheet4!$C30</f>
        <v>1</v>
      </c>
      <c r="R30" s="43">
        <f>ዕቁብ!S33/Sheet4!$C30</f>
        <v>1</v>
      </c>
      <c r="S30" s="43">
        <f>ዕቁብ!T33/Sheet4!$C30</f>
        <v>1</v>
      </c>
      <c r="T30" s="43">
        <f>ዕቁብ!U33/Sheet4!$C30</f>
        <v>1</v>
      </c>
      <c r="U30" s="43">
        <f>ዕቁብ!V33/Sheet4!$C30</f>
        <v>1</v>
      </c>
      <c r="V30" s="43">
        <f>ዕቁብ!W33/Sheet4!$C30</f>
        <v>1</v>
      </c>
      <c r="W30" s="43">
        <f>ዕቁብ!X33/Sheet4!$C30</f>
        <v>1</v>
      </c>
      <c r="X30" s="43">
        <f>ዕቁብ!Y33/Sheet4!$C30</f>
        <v>1</v>
      </c>
      <c r="Y30" s="43">
        <f>ዕቁብ!Z33/Sheet4!$C30</f>
        <v>0</v>
      </c>
      <c r="Z30" s="43">
        <f>ዕቁብ!AA33/Sheet4!$C30</f>
        <v>2</v>
      </c>
      <c r="AA30" s="43">
        <f>ዕቁብ!AB33/Sheet4!$C30</f>
        <v>1</v>
      </c>
      <c r="AB30" s="43">
        <f>ዕቁብ!AC33/Sheet4!$C30</f>
        <v>1</v>
      </c>
      <c r="AC30" s="43">
        <f>ዕቁብ!AD33/Sheet4!$C30</f>
        <v>1</v>
      </c>
      <c r="AD30" s="43">
        <f>ዕቁብ!AE33/Sheet4!$C30</f>
        <v>0</v>
      </c>
      <c r="AE30" s="43">
        <f>ዕቁብ!AF33/Sheet4!$C30</f>
        <v>1</v>
      </c>
      <c r="AF30" s="43">
        <f>ዕቁብ!AG33/Sheet4!$C30</f>
        <v>2</v>
      </c>
      <c r="AG30" s="43">
        <f>ዕቁብ!AH33/Sheet4!$C30</f>
        <v>1</v>
      </c>
      <c r="AH30" s="43">
        <f>ዕቁብ!AI33/Sheet4!$C30</f>
        <v>1</v>
      </c>
      <c r="AI30" s="43">
        <f>ዕቁብ!AJ33/Sheet4!$C30</f>
        <v>0</v>
      </c>
      <c r="AJ30" s="43">
        <f>ዕቁብ!AK33/Sheet4!$C30</f>
        <v>2</v>
      </c>
      <c r="AK30" s="43">
        <f>ዕቁብ!AL33/Sheet4!$C30</f>
        <v>1</v>
      </c>
      <c r="AL30" s="43">
        <f>ዕቁብ!AM33/Sheet4!$C30</f>
        <v>1</v>
      </c>
      <c r="AM30" s="43">
        <f>ዕቁብ!AN33/Sheet4!$C30</f>
        <v>1</v>
      </c>
      <c r="AN30" s="43">
        <f>ዕቁብ!AO33/Sheet4!$C30</f>
        <v>1</v>
      </c>
      <c r="AO30" s="43">
        <f>ዕቁብ!AP33/Sheet4!$C30</f>
        <v>1</v>
      </c>
      <c r="AP30" s="43">
        <f>ዕቁብ!AQ33/Sheet4!$C30</f>
        <v>0</v>
      </c>
      <c r="AQ30" s="43">
        <f>ዕቁብ!AR33/Sheet4!$C30</f>
        <v>2</v>
      </c>
      <c r="AR30" s="43">
        <f>ዕቁብ!AS33/Sheet4!$C30</f>
        <v>1</v>
      </c>
      <c r="AS30" s="43">
        <f>ዕቁብ!AT33/Sheet4!$C30</f>
        <v>0</v>
      </c>
      <c r="AT30" s="43">
        <f>ዕቁብ!AU33/Sheet4!$C30</f>
        <v>2</v>
      </c>
      <c r="AU30" s="43">
        <f>ዕቁብ!AV33/Sheet4!$C30</f>
        <v>1</v>
      </c>
      <c r="AV30" s="43">
        <f>ዕቁብ!AW33/Sheet4!$C30</f>
        <v>1</v>
      </c>
      <c r="AW30" s="43">
        <f>ዕቁብ!AX33/Sheet4!$C30</f>
        <v>1</v>
      </c>
      <c r="AX30" s="43">
        <f>ዕቁብ!AY33/Sheet4!$C30</f>
        <v>1</v>
      </c>
      <c r="AY30" s="43">
        <f>ዕቁብ!AZ33/Sheet4!$C30</f>
        <v>0</v>
      </c>
      <c r="AZ30" s="43">
        <f>ዕቁብ!BA33/Sheet4!$C30</f>
        <v>1</v>
      </c>
      <c r="BA30" s="43">
        <f>ዕቁብ!BB33/Sheet4!$C30</f>
        <v>1</v>
      </c>
      <c r="BB30" s="43">
        <f>ዕቁብ!BC33/Sheet4!$C30</f>
        <v>1</v>
      </c>
      <c r="BC30" s="43">
        <f>ዕቁብ!BD33/Sheet4!$C30</f>
        <v>1</v>
      </c>
      <c r="BD30" s="43">
        <f>ዕቁብ!BE33/Sheet4!$C30</f>
        <v>1</v>
      </c>
      <c r="BE30" s="43">
        <f>ዕቁብ!BF33/Sheet4!$C30</f>
        <v>1</v>
      </c>
      <c r="BF30" s="43">
        <f>ዕቁብ!BG33/Sheet4!$C30</f>
        <v>1</v>
      </c>
      <c r="BG30" s="43">
        <f>ዕቁብ!BH33/Sheet4!$C30</f>
        <v>1</v>
      </c>
      <c r="BH30" s="43">
        <f>ዕቁብ!BI33/Sheet4!$C30</f>
        <v>1</v>
      </c>
      <c r="BI30" s="43">
        <f>ዕቁብ!BJ33/Sheet4!$C30</f>
        <v>1</v>
      </c>
      <c r="BJ30" s="43">
        <f>ዕቁብ!BK33/Sheet4!$C30</f>
        <v>1</v>
      </c>
      <c r="BK30" s="43">
        <f>ዕቁብ!BL33/Sheet4!$C30</f>
        <v>1</v>
      </c>
      <c r="BL30" s="43">
        <f>ዕቁብ!BM33/Sheet4!$C30</f>
        <v>1</v>
      </c>
      <c r="BM30" s="43">
        <f>ዕቁብ!BN33/Sheet4!$C30</f>
        <v>1</v>
      </c>
      <c r="BN30" s="43">
        <f>ዕቁብ!BO33/Sheet4!$C30</f>
        <v>1</v>
      </c>
      <c r="BO30" s="43">
        <f>ዕቁብ!BP33/Sheet4!$C30</f>
        <v>0</v>
      </c>
      <c r="BP30" s="43">
        <f>ዕቁብ!BQ33/Sheet4!$C30</f>
        <v>2</v>
      </c>
      <c r="BQ30" s="43">
        <f>ዕቁብ!BR33/Sheet4!$C30</f>
        <v>1</v>
      </c>
      <c r="BR30" s="43">
        <f>ዕቁብ!BS33/Sheet4!$C30</f>
        <v>1</v>
      </c>
      <c r="BS30" s="43">
        <f>ዕቁብ!BT33/Sheet4!$C30</f>
        <v>0</v>
      </c>
      <c r="BT30" s="43">
        <f>ዕቁብ!BU33/Sheet4!$C30</f>
        <v>2</v>
      </c>
      <c r="BU30" s="43">
        <f>ዕቁብ!BV33/Sheet4!$C30</f>
        <v>0</v>
      </c>
      <c r="BV30" s="43">
        <f>ዕቁብ!BW33/Sheet4!$C30</f>
        <v>2</v>
      </c>
      <c r="BW30" s="43">
        <f>ዕቁብ!BX33/Sheet4!$C30</f>
        <v>1</v>
      </c>
      <c r="BX30" s="43">
        <f>ዕቁብ!BY33/Sheet4!$C30</f>
        <v>1</v>
      </c>
      <c r="BY30" s="43">
        <f>ዕቁብ!BZ33/Sheet4!$C30</f>
        <v>1</v>
      </c>
      <c r="BZ30" s="43">
        <f>ዕቁብ!CA33/Sheet4!$C30</f>
        <v>1</v>
      </c>
      <c r="CA30" s="43">
        <f>ዕቁብ!CB33/Sheet4!$C30</f>
        <v>1</v>
      </c>
      <c r="CB30" s="43">
        <f>ዕቁብ!CC33/Sheet4!$C30</f>
        <v>1</v>
      </c>
      <c r="CC30" s="43">
        <f>ዕቁብ!CD33/Sheet4!$C30</f>
        <v>1</v>
      </c>
      <c r="CD30" s="43">
        <f>ዕቁብ!CE33/Sheet4!$C30</f>
        <v>0</v>
      </c>
      <c r="CE30" s="43">
        <f>ዕቁብ!CF33/Sheet4!$C30</f>
        <v>1</v>
      </c>
      <c r="CF30" s="43">
        <f>ዕቁብ!CG33/Sheet4!$C30</f>
        <v>1</v>
      </c>
      <c r="CG30" s="43">
        <f>ዕቁብ!CH33/Sheet4!$C30</f>
        <v>1</v>
      </c>
      <c r="CH30" s="43">
        <f>ዕቁብ!CI33/Sheet4!$C30</f>
        <v>0</v>
      </c>
      <c r="CI30" s="43">
        <f>ዕቁብ!CJ33/Sheet4!$C30</f>
        <v>2</v>
      </c>
      <c r="CJ30" s="43">
        <f>ዕቁብ!CK33/Sheet4!$C30</f>
        <v>1</v>
      </c>
      <c r="CK30" s="43">
        <f>ዕቁብ!CL33/Sheet4!$C30</f>
        <v>1</v>
      </c>
      <c r="CL30" s="43">
        <f>ዕቁብ!CM33/Sheet4!$C30</f>
        <v>1</v>
      </c>
      <c r="CM30" s="43">
        <f>ዕቁብ!CN33/Sheet4!$C30</f>
        <v>1</v>
      </c>
      <c r="CN30" s="43">
        <f>ዕቁብ!CO33/Sheet4!$C30</f>
        <v>1</v>
      </c>
      <c r="CO30" s="43">
        <f>ዕቁብ!CP33/Sheet4!$C30</f>
        <v>1</v>
      </c>
      <c r="CP30" s="43">
        <f>ዕቁብ!CQ33/Sheet4!$C30</f>
        <v>1</v>
      </c>
      <c r="CQ30" s="43">
        <f>ዕቁብ!CR33/Sheet4!$C30</f>
        <v>1</v>
      </c>
      <c r="CR30" s="43">
        <f>ዕቁብ!CS33/Sheet4!$C30</f>
        <v>1</v>
      </c>
      <c r="CS30" s="43">
        <f>ዕቁብ!CT33/Sheet4!$C30</f>
        <v>1</v>
      </c>
      <c r="CT30" s="43">
        <f>ዕቁብ!CU33/Sheet4!$C30</f>
        <v>1</v>
      </c>
      <c r="CU30" s="43">
        <f>ዕቁብ!CV33/Sheet4!$C30</f>
        <v>1</v>
      </c>
      <c r="CV30" s="43">
        <f>ዕቁብ!CW33/Sheet4!$C30</f>
        <v>1</v>
      </c>
      <c r="CW30" s="43">
        <f>ዕቁብ!CX33/Sheet4!$C30</f>
        <v>0</v>
      </c>
      <c r="CX30" s="43">
        <f>ዕቁብ!CY33/Sheet4!$C30</f>
        <v>2</v>
      </c>
      <c r="CY30" s="43">
        <f>ዕቁብ!CZ33/Sheet4!$C30</f>
        <v>0</v>
      </c>
      <c r="CZ30" s="43">
        <f>ዕቁብ!DA33/Sheet4!$C30</f>
        <v>2</v>
      </c>
      <c r="DA30" s="43">
        <f>ዕቁብ!DB33/Sheet4!$C30</f>
        <v>1</v>
      </c>
      <c r="DB30" s="43">
        <f>ዕቁብ!DC33/Sheet4!$C30</f>
        <v>0</v>
      </c>
      <c r="DC30" s="43">
        <f>ዕቁብ!DD33/Sheet4!$C30</f>
        <v>0</v>
      </c>
      <c r="DD30" s="43">
        <f>ዕቁብ!DE33/Sheet4!$C30</f>
        <v>2</v>
      </c>
      <c r="DE30" s="43">
        <f>ዕቁብ!DF33/Sheet4!$C30</f>
        <v>1</v>
      </c>
      <c r="DF30" s="43">
        <f>ዕቁብ!DG33/Sheet4!$C30</f>
        <v>1</v>
      </c>
      <c r="DG30" s="43">
        <f>ዕቁብ!DH33/Sheet4!$C30</f>
        <v>1</v>
      </c>
      <c r="DH30" s="43">
        <f>ዕቁብ!DI33/Sheet4!$C30</f>
        <v>0</v>
      </c>
      <c r="DI30" s="43">
        <f>ዕቁብ!DJ33/Sheet4!$C30</f>
        <v>0</v>
      </c>
      <c r="DJ30" s="43">
        <f>ዕቁብ!DK33/Sheet4!$C30</f>
        <v>0</v>
      </c>
      <c r="DK30" s="43">
        <f>ዕቁብ!DL33/Sheet4!$C30</f>
        <v>0</v>
      </c>
      <c r="DL30" s="43">
        <f>ዕቁብ!DM33/Sheet4!$C30</f>
        <v>0</v>
      </c>
      <c r="DM30" s="43">
        <f>ዕቁብ!DN33/Sheet4!$C30</f>
        <v>0</v>
      </c>
      <c r="DN30" s="43">
        <f>ዕቁብ!DO33/Sheet4!$C30</f>
        <v>0</v>
      </c>
      <c r="DO30" s="43">
        <f>ዕቁብ!DP33/Sheet4!$C30</f>
        <v>0</v>
      </c>
      <c r="DP30" s="43">
        <f>ዕቁብ!DQ33/Sheet4!$C30</f>
        <v>0</v>
      </c>
      <c r="DQ30" s="43">
        <f>ዕቁብ!DR33/Sheet4!$C30</f>
        <v>0</v>
      </c>
    </row>
    <row r="31" spans="1:121" ht="15.75" customHeight="1" x14ac:dyDescent="0.3">
      <c r="A31" s="40">
        <f>ዕቁብ!A34</f>
        <v>28</v>
      </c>
      <c r="B31" s="40" t="str">
        <f>ዕቁብ!B34</f>
        <v>ግርማ አበበ</v>
      </c>
      <c r="C31" s="30">
        <f>ዕቁብ!C34</f>
        <v>21000</v>
      </c>
      <c r="D31" s="43">
        <f>ዕቁብ!E34/Sheet4!$C31</f>
        <v>0</v>
      </c>
      <c r="E31" s="43">
        <f>ዕቁብ!F34/Sheet4!$C31</f>
        <v>0</v>
      </c>
      <c r="F31" s="43">
        <f>ዕቁብ!G34/Sheet4!$C31</f>
        <v>0</v>
      </c>
      <c r="G31" s="43">
        <f>ዕቁብ!H34/Sheet4!$C31</f>
        <v>0</v>
      </c>
      <c r="H31" s="43">
        <f>ዕቁብ!I34/Sheet4!$C31</f>
        <v>0</v>
      </c>
      <c r="I31" s="43">
        <f>ዕቁብ!J34/Sheet4!$C31</f>
        <v>0</v>
      </c>
      <c r="J31" s="43">
        <f>ዕቁብ!K34/Sheet4!$C31</f>
        <v>0</v>
      </c>
      <c r="K31" s="43">
        <f>ዕቁብ!L34/Sheet4!$C31</f>
        <v>0</v>
      </c>
      <c r="L31" s="43">
        <f>ዕቁብ!M34/Sheet4!$C31</f>
        <v>0</v>
      </c>
      <c r="M31" s="43">
        <f>ዕቁብ!N34/Sheet4!$C31</f>
        <v>0</v>
      </c>
      <c r="N31" s="43">
        <f>ዕቁብ!O34/Sheet4!$C31</f>
        <v>0</v>
      </c>
      <c r="O31" s="43">
        <f>ዕቁብ!P34/Sheet4!$C31</f>
        <v>0</v>
      </c>
      <c r="P31" s="43">
        <f>ዕቁብ!Q34/Sheet4!$C31</f>
        <v>0</v>
      </c>
      <c r="Q31" s="43">
        <f>ዕቁብ!R34/Sheet4!$C31</f>
        <v>0</v>
      </c>
      <c r="R31" s="43">
        <f>ዕቁብ!S34/Sheet4!$C31</f>
        <v>0</v>
      </c>
      <c r="S31" s="43">
        <f>ዕቁብ!T34/Sheet4!$C31</f>
        <v>0</v>
      </c>
      <c r="T31" s="43">
        <f>ዕቁብ!U34/Sheet4!$C31</f>
        <v>0</v>
      </c>
      <c r="U31" s="43">
        <f>ዕቁብ!V34/Sheet4!$C31</f>
        <v>0</v>
      </c>
      <c r="V31" s="43">
        <f>ዕቁብ!W34/Sheet4!$C31</f>
        <v>0</v>
      </c>
      <c r="W31" s="43">
        <f>ዕቁብ!X34/Sheet4!$C31</f>
        <v>0</v>
      </c>
      <c r="X31" s="43">
        <f>ዕቁብ!Y34/Sheet4!$C31</f>
        <v>0</v>
      </c>
      <c r="Y31" s="43">
        <f>ዕቁብ!Z34/Sheet4!$C31</f>
        <v>0</v>
      </c>
      <c r="Z31" s="43">
        <f>ዕቁብ!AA34/Sheet4!$C31</f>
        <v>0</v>
      </c>
      <c r="AA31" s="43">
        <f>ዕቁብ!AB34/Sheet4!$C31</f>
        <v>0</v>
      </c>
      <c r="AB31" s="43">
        <f>ዕቁብ!AC34/Sheet4!$C31</f>
        <v>0</v>
      </c>
      <c r="AC31" s="43">
        <f>ዕቁብ!AD34/Sheet4!$C31</f>
        <v>0</v>
      </c>
      <c r="AD31" s="43">
        <f>ዕቁብ!AE34/Sheet4!$C31</f>
        <v>0</v>
      </c>
      <c r="AE31" s="43">
        <f>ዕቁብ!AF34/Sheet4!$C31</f>
        <v>0</v>
      </c>
      <c r="AF31" s="43">
        <f>ዕቁብ!AG34/Sheet4!$C31</f>
        <v>0</v>
      </c>
      <c r="AG31" s="43">
        <f>ዕቁብ!AH34/Sheet4!$C31</f>
        <v>0</v>
      </c>
      <c r="AH31" s="43">
        <f>ዕቁብ!AI34/Sheet4!$C31</f>
        <v>0</v>
      </c>
      <c r="AI31" s="43">
        <f>ዕቁብ!AJ34/Sheet4!$C31</f>
        <v>0</v>
      </c>
      <c r="AJ31" s="43">
        <f>ዕቁብ!AK34/Sheet4!$C31</f>
        <v>0</v>
      </c>
      <c r="AK31" s="43">
        <f>ዕቁብ!AL34/Sheet4!$C31</f>
        <v>0</v>
      </c>
      <c r="AL31" s="43">
        <f>ዕቁብ!AM34/Sheet4!$C31</f>
        <v>0</v>
      </c>
      <c r="AM31" s="43">
        <f>ዕቁብ!AN34/Sheet4!$C31</f>
        <v>0</v>
      </c>
      <c r="AN31" s="43">
        <f>ዕቁብ!AO34/Sheet4!$C31</f>
        <v>0</v>
      </c>
      <c r="AO31" s="43">
        <f>ዕቁብ!AP34/Sheet4!$C31</f>
        <v>0</v>
      </c>
      <c r="AP31" s="43">
        <f>ዕቁብ!AQ34/Sheet4!$C31</f>
        <v>0</v>
      </c>
      <c r="AQ31" s="43">
        <f>ዕቁብ!AR34/Sheet4!$C31</f>
        <v>0</v>
      </c>
      <c r="AR31" s="43">
        <f>ዕቁብ!AS34/Sheet4!$C31</f>
        <v>0</v>
      </c>
      <c r="AS31" s="43">
        <f>ዕቁብ!AT34/Sheet4!$C31</f>
        <v>0</v>
      </c>
      <c r="AT31" s="43">
        <f>ዕቁብ!AU34/Sheet4!$C31</f>
        <v>0</v>
      </c>
      <c r="AU31" s="43">
        <f>ዕቁብ!AV34/Sheet4!$C31</f>
        <v>0</v>
      </c>
      <c r="AV31" s="43">
        <f>ዕቁብ!AW34/Sheet4!$C31</f>
        <v>0</v>
      </c>
      <c r="AW31" s="43">
        <f>ዕቁብ!AX34/Sheet4!$C31</f>
        <v>0</v>
      </c>
      <c r="AX31" s="43">
        <f>ዕቁብ!AY34/Sheet4!$C31</f>
        <v>0</v>
      </c>
      <c r="AY31" s="43">
        <f>ዕቁብ!AZ34/Sheet4!$C31</f>
        <v>0</v>
      </c>
      <c r="AZ31" s="43">
        <f>ዕቁብ!BA34/Sheet4!$C31</f>
        <v>0</v>
      </c>
      <c r="BA31" s="43">
        <f>ዕቁብ!BB34/Sheet4!$C31</f>
        <v>0</v>
      </c>
      <c r="BB31" s="43">
        <f>ዕቁብ!BC34/Sheet4!$C31</f>
        <v>0</v>
      </c>
      <c r="BC31" s="43">
        <f>ዕቁብ!BD34/Sheet4!$C31</f>
        <v>0</v>
      </c>
      <c r="BD31" s="43">
        <f>ዕቁብ!BE34/Sheet4!$C31</f>
        <v>0</v>
      </c>
      <c r="BE31" s="43">
        <f>ዕቁብ!BF34/Sheet4!$C31</f>
        <v>0</v>
      </c>
      <c r="BF31" s="43">
        <f>ዕቁብ!BG34/Sheet4!$C31</f>
        <v>0</v>
      </c>
      <c r="BG31" s="43">
        <f>ዕቁብ!BH34/Sheet4!$C31</f>
        <v>0</v>
      </c>
      <c r="BH31" s="43">
        <f>ዕቁብ!BI34/Sheet4!$C31</f>
        <v>0</v>
      </c>
      <c r="BI31" s="43">
        <f>ዕቁብ!BJ34/Sheet4!$C31</f>
        <v>0</v>
      </c>
      <c r="BJ31" s="43">
        <f>ዕቁብ!BK34/Sheet4!$C31</f>
        <v>0</v>
      </c>
      <c r="BK31" s="43">
        <f>ዕቁብ!BL34/Sheet4!$C31</f>
        <v>0</v>
      </c>
      <c r="BL31" s="43">
        <f>ዕቁብ!BM34/Sheet4!$C31</f>
        <v>0</v>
      </c>
      <c r="BM31" s="43">
        <f>ዕቁብ!BN34/Sheet4!$C31</f>
        <v>0</v>
      </c>
      <c r="BN31" s="43">
        <f>ዕቁብ!BO34/Sheet4!$C31</f>
        <v>0</v>
      </c>
      <c r="BO31" s="43">
        <f>ዕቁብ!BP34/Sheet4!$C31</f>
        <v>0</v>
      </c>
      <c r="BP31" s="43">
        <f>ዕቁብ!BQ34/Sheet4!$C31</f>
        <v>0</v>
      </c>
      <c r="BQ31" s="43">
        <f>ዕቁብ!BR34/Sheet4!$C31</f>
        <v>0</v>
      </c>
      <c r="BR31" s="43">
        <f>ዕቁብ!BS34/Sheet4!$C31</f>
        <v>0</v>
      </c>
      <c r="BS31" s="43">
        <f>ዕቁብ!BT34/Sheet4!$C31</f>
        <v>0</v>
      </c>
      <c r="BT31" s="43">
        <f>ዕቁብ!BU34/Sheet4!$C31</f>
        <v>0</v>
      </c>
      <c r="BU31" s="43">
        <f>ዕቁብ!BV34/Sheet4!$C31</f>
        <v>0</v>
      </c>
      <c r="BV31" s="43">
        <f>ዕቁብ!BW34/Sheet4!$C31</f>
        <v>0</v>
      </c>
      <c r="BW31" s="43">
        <f>ዕቁብ!BX34/Sheet4!$C31</f>
        <v>0</v>
      </c>
      <c r="BX31" s="43">
        <f>ዕቁብ!BY34/Sheet4!$C31</f>
        <v>0</v>
      </c>
      <c r="BY31" s="43">
        <f>ዕቁብ!BZ34/Sheet4!$C31</f>
        <v>0</v>
      </c>
      <c r="BZ31" s="43">
        <f>ዕቁብ!CA34/Sheet4!$C31</f>
        <v>0</v>
      </c>
      <c r="CA31" s="43">
        <f>ዕቁብ!CB34/Sheet4!$C31</f>
        <v>0</v>
      </c>
      <c r="CB31" s="43">
        <f>ዕቁብ!CC34/Sheet4!$C31</f>
        <v>0</v>
      </c>
      <c r="CC31" s="43">
        <f>ዕቁብ!CD34/Sheet4!$C31</f>
        <v>0</v>
      </c>
      <c r="CD31" s="43">
        <f>ዕቁብ!CE34/Sheet4!$C31</f>
        <v>0</v>
      </c>
      <c r="CE31" s="43">
        <f>ዕቁብ!CF34/Sheet4!$C31</f>
        <v>0</v>
      </c>
      <c r="CF31" s="43">
        <f>ዕቁብ!CG34/Sheet4!$C31</f>
        <v>0</v>
      </c>
      <c r="CG31" s="43">
        <f>ዕቁብ!CH34/Sheet4!$C31</f>
        <v>0</v>
      </c>
      <c r="CH31" s="43">
        <f>ዕቁብ!CI34/Sheet4!$C31</f>
        <v>0</v>
      </c>
      <c r="CI31" s="43">
        <f>ዕቁብ!CJ34/Sheet4!$C31</f>
        <v>0</v>
      </c>
      <c r="CJ31" s="43">
        <f>ዕቁብ!CK34/Sheet4!$C31</f>
        <v>0</v>
      </c>
      <c r="CK31" s="43">
        <f>ዕቁብ!CL34/Sheet4!$C31</f>
        <v>0</v>
      </c>
      <c r="CL31" s="43">
        <f>ዕቁብ!CM34/Sheet4!$C31</f>
        <v>0</v>
      </c>
      <c r="CM31" s="43">
        <f>ዕቁብ!CN34/Sheet4!$C31</f>
        <v>0</v>
      </c>
      <c r="CN31" s="43">
        <f>ዕቁብ!CO34/Sheet4!$C31</f>
        <v>0</v>
      </c>
      <c r="CO31" s="43">
        <f>ዕቁብ!CP34/Sheet4!$C31</f>
        <v>0</v>
      </c>
      <c r="CP31" s="43">
        <f>ዕቁብ!CQ34/Sheet4!$C31</f>
        <v>0</v>
      </c>
      <c r="CQ31" s="43">
        <f>ዕቁብ!CR34/Sheet4!$C31</f>
        <v>0</v>
      </c>
      <c r="CR31" s="43">
        <f>ዕቁብ!CS34/Sheet4!$C31</f>
        <v>0</v>
      </c>
      <c r="CS31" s="43">
        <f>ዕቁብ!CT34/Sheet4!$C31</f>
        <v>0</v>
      </c>
      <c r="CT31" s="43">
        <f>ዕቁብ!CU34/Sheet4!$C31</f>
        <v>0</v>
      </c>
      <c r="CU31" s="43">
        <f>ዕቁብ!CV34/Sheet4!$C31</f>
        <v>0</v>
      </c>
      <c r="CV31" s="43">
        <f>ዕቁብ!CW34/Sheet4!$C31</f>
        <v>0</v>
      </c>
      <c r="CW31" s="43">
        <f>ዕቁብ!CX34/Sheet4!$C31</f>
        <v>0</v>
      </c>
      <c r="CX31" s="43">
        <f>ዕቁብ!CY34/Sheet4!$C31</f>
        <v>0</v>
      </c>
      <c r="CY31" s="43">
        <f>ዕቁብ!CZ34/Sheet4!$C31</f>
        <v>0</v>
      </c>
      <c r="CZ31" s="43">
        <f>ዕቁብ!DA34/Sheet4!$C31</f>
        <v>0</v>
      </c>
      <c r="DA31" s="43">
        <f>ዕቁብ!DB34/Sheet4!$C31</f>
        <v>0</v>
      </c>
      <c r="DB31" s="43">
        <f>ዕቁብ!DC34/Sheet4!$C31</f>
        <v>0</v>
      </c>
      <c r="DC31" s="43">
        <f>ዕቁብ!DD34/Sheet4!$C31</f>
        <v>0</v>
      </c>
      <c r="DD31" s="43">
        <f>ዕቁብ!DE34/Sheet4!$C31</f>
        <v>0</v>
      </c>
      <c r="DE31" s="43">
        <f>ዕቁብ!DF34/Sheet4!$C31</f>
        <v>0</v>
      </c>
      <c r="DF31" s="43">
        <f>ዕቁብ!DG34/Sheet4!$C31</f>
        <v>0</v>
      </c>
      <c r="DG31" s="43">
        <f>ዕቁብ!DH34/Sheet4!$C31</f>
        <v>0</v>
      </c>
      <c r="DH31" s="43">
        <f>ዕቁብ!DI34/Sheet4!$C31</f>
        <v>0</v>
      </c>
      <c r="DI31" s="43">
        <f>ዕቁብ!DJ34/Sheet4!$C31</f>
        <v>0</v>
      </c>
      <c r="DJ31" s="43">
        <f>ዕቁብ!DK34/Sheet4!$C31</f>
        <v>0</v>
      </c>
      <c r="DK31" s="43">
        <f>ዕቁብ!DL34/Sheet4!$C31</f>
        <v>0</v>
      </c>
      <c r="DL31" s="43">
        <f>ዕቁብ!DM34/Sheet4!$C31</f>
        <v>0</v>
      </c>
      <c r="DM31" s="43">
        <f>ዕቁብ!DN34/Sheet4!$C31</f>
        <v>0</v>
      </c>
      <c r="DN31" s="43">
        <f>ዕቁብ!DO34/Sheet4!$C31</f>
        <v>0</v>
      </c>
      <c r="DO31" s="43">
        <f>ዕቁብ!DP34/Sheet4!$C31</f>
        <v>0</v>
      </c>
      <c r="DP31" s="43">
        <f>ዕቁብ!DQ34/Sheet4!$C31</f>
        <v>0</v>
      </c>
      <c r="DQ31" s="43">
        <f>ዕቁብ!DR34/Sheet4!$C31</f>
        <v>0</v>
      </c>
    </row>
    <row r="32" spans="1:121" ht="15.75" customHeight="1" x14ac:dyDescent="0.3">
      <c r="A32" s="40">
        <f>ዕቁብ!A35</f>
        <v>29</v>
      </c>
      <c r="B32" s="40" t="str">
        <f>ዕቁብ!B35</f>
        <v>መስፍን መንግስቱ</v>
      </c>
      <c r="C32" s="30">
        <f>ዕቁብ!C35</f>
        <v>21000</v>
      </c>
      <c r="D32" s="43">
        <f>ዕቁብ!E35/Sheet4!$C32</f>
        <v>1</v>
      </c>
      <c r="E32" s="43">
        <f>ዕቁብ!F35/Sheet4!$C32</f>
        <v>1</v>
      </c>
      <c r="F32" s="43">
        <f>ዕቁብ!G35/Sheet4!$C32</f>
        <v>1</v>
      </c>
      <c r="G32" s="43">
        <f>ዕቁብ!H35/Sheet4!$C32</f>
        <v>1</v>
      </c>
      <c r="H32" s="43">
        <f>ዕቁብ!I35/Sheet4!$C32</f>
        <v>1</v>
      </c>
      <c r="I32" s="43">
        <f>ዕቁብ!J35/Sheet4!$C32</f>
        <v>1</v>
      </c>
      <c r="J32" s="43">
        <f>ዕቁብ!K35/Sheet4!$C32</f>
        <v>1</v>
      </c>
      <c r="K32" s="43">
        <f>ዕቁብ!L35/Sheet4!$C32</f>
        <v>1</v>
      </c>
      <c r="L32" s="43">
        <f>ዕቁብ!M35/Sheet4!$C32</f>
        <v>1</v>
      </c>
      <c r="M32" s="43">
        <f>ዕቁብ!N35/Sheet4!$C32</f>
        <v>1</v>
      </c>
      <c r="N32" s="43">
        <f>ዕቁብ!O35/Sheet4!$C32</f>
        <v>1</v>
      </c>
      <c r="O32" s="43">
        <f>ዕቁብ!P35/Sheet4!$C32</f>
        <v>1</v>
      </c>
      <c r="P32" s="43">
        <f>ዕቁብ!Q35/Sheet4!$C32</f>
        <v>1</v>
      </c>
      <c r="Q32" s="43">
        <f>ዕቁብ!R35/Sheet4!$C32</f>
        <v>1</v>
      </c>
      <c r="R32" s="43">
        <f>ዕቁብ!S35/Sheet4!$C32</f>
        <v>1</v>
      </c>
      <c r="S32" s="43">
        <f>ዕቁብ!T35/Sheet4!$C32</f>
        <v>1</v>
      </c>
      <c r="T32" s="43">
        <f>ዕቁብ!U35/Sheet4!$C32</f>
        <v>1</v>
      </c>
      <c r="U32" s="43">
        <f>ዕቁብ!V35/Sheet4!$C32</f>
        <v>1</v>
      </c>
      <c r="V32" s="43">
        <f>ዕቁብ!W35/Sheet4!$C32</f>
        <v>1</v>
      </c>
      <c r="W32" s="43">
        <f>ዕቁብ!X35/Sheet4!$C32</f>
        <v>1</v>
      </c>
      <c r="X32" s="43">
        <f>ዕቁብ!Y35/Sheet4!$C32</f>
        <v>1</v>
      </c>
      <c r="Y32" s="43">
        <f>ዕቁብ!Z35/Sheet4!$C32</f>
        <v>1</v>
      </c>
      <c r="Z32" s="43">
        <f>ዕቁብ!AA35/Sheet4!$C32</f>
        <v>1</v>
      </c>
      <c r="AA32" s="43">
        <f>ዕቁብ!AB35/Sheet4!$C32</f>
        <v>1</v>
      </c>
      <c r="AB32" s="43">
        <f>ዕቁብ!AC35/Sheet4!$C32</f>
        <v>1</v>
      </c>
      <c r="AC32" s="43">
        <f>ዕቁብ!AD35/Sheet4!$C32</f>
        <v>1</v>
      </c>
      <c r="AD32" s="43">
        <f>ዕቁብ!AE35/Sheet4!$C32</f>
        <v>0</v>
      </c>
      <c r="AE32" s="43">
        <f>ዕቁብ!AF35/Sheet4!$C32</f>
        <v>2</v>
      </c>
      <c r="AF32" s="43">
        <f>ዕቁብ!AG35/Sheet4!$C32</f>
        <v>1</v>
      </c>
      <c r="AG32" s="43">
        <f>ዕቁብ!AH35/Sheet4!$C32</f>
        <v>1</v>
      </c>
      <c r="AH32" s="43">
        <f>ዕቁብ!AI35/Sheet4!$C32</f>
        <v>1</v>
      </c>
      <c r="AI32" s="43">
        <f>ዕቁብ!AJ35/Sheet4!$C32</f>
        <v>1</v>
      </c>
      <c r="AJ32" s="43">
        <f>ዕቁብ!AK35/Sheet4!$C32</f>
        <v>1</v>
      </c>
      <c r="AK32" s="43">
        <f>ዕቁብ!AL35/Sheet4!$C32</f>
        <v>1</v>
      </c>
      <c r="AL32" s="43">
        <f>ዕቁብ!AM35/Sheet4!$C32</f>
        <v>1</v>
      </c>
      <c r="AM32" s="43">
        <f>ዕቁብ!AN35/Sheet4!$C32</f>
        <v>1</v>
      </c>
      <c r="AN32" s="43">
        <f>ዕቁብ!AO35/Sheet4!$C32</f>
        <v>1</v>
      </c>
      <c r="AO32" s="43">
        <f>ዕቁብ!AP35/Sheet4!$C32</f>
        <v>1</v>
      </c>
      <c r="AP32" s="43">
        <f>ዕቁብ!AQ35/Sheet4!$C32</f>
        <v>1</v>
      </c>
      <c r="AQ32" s="43">
        <f>ዕቁብ!AR35/Sheet4!$C32</f>
        <v>1</v>
      </c>
      <c r="AR32" s="43">
        <f>ዕቁብ!AS35/Sheet4!$C32</f>
        <v>1</v>
      </c>
      <c r="AS32" s="43">
        <f>ዕቁብ!AT35/Sheet4!$C32</f>
        <v>1</v>
      </c>
      <c r="AT32" s="43">
        <f>ዕቁብ!AU35/Sheet4!$C32</f>
        <v>1</v>
      </c>
      <c r="AU32" s="43">
        <f>ዕቁብ!AV35/Sheet4!$C32</f>
        <v>1</v>
      </c>
      <c r="AV32" s="43">
        <f>ዕቁብ!AW35/Sheet4!$C32</f>
        <v>1</v>
      </c>
      <c r="AW32" s="43">
        <f>ዕቁብ!AX35/Sheet4!$C32</f>
        <v>1</v>
      </c>
      <c r="AX32" s="43">
        <f>ዕቁብ!AY35/Sheet4!$C32</f>
        <v>1</v>
      </c>
      <c r="AY32" s="43">
        <f>ዕቁብ!AZ35/Sheet4!$C32</f>
        <v>1</v>
      </c>
      <c r="AZ32" s="43">
        <f>ዕቁብ!BA35/Sheet4!$C32</f>
        <v>1</v>
      </c>
      <c r="BA32" s="43">
        <f>ዕቁብ!BB35/Sheet4!$C32</f>
        <v>1</v>
      </c>
      <c r="BB32" s="43">
        <f>ዕቁብ!BC35/Sheet4!$C32</f>
        <v>0</v>
      </c>
      <c r="BC32" s="43">
        <f>ዕቁብ!BD35/Sheet4!$C32</f>
        <v>2</v>
      </c>
      <c r="BD32" s="43">
        <f>ዕቁብ!BE35/Sheet4!$C32</f>
        <v>1</v>
      </c>
      <c r="BE32" s="43">
        <f>ዕቁብ!BF35/Sheet4!$C32</f>
        <v>1</v>
      </c>
      <c r="BF32" s="43">
        <f>ዕቁብ!BG35/Sheet4!$C32</f>
        <v>1</v>
      </c>
      <c r="BG32" s="43">
        <f>ዕቁብ!BH35/Sheet4!$C32</f>
        <v>0</v>
      </c>
      <c r="BH32" s="43">
        <f>ዕቁብ!BI35/Sheet4!$C32</f>
        <v>1</v>
      </c>
      <c r="BI32" s="43">
        <f>ዕቁብ!BJ35/Sheet4!$C32</f>
        <v>1</v>
      </c>
      <c r="BJ32" s="43">
        <f>ዕቁብ!BK35/Sheet4!$C32</f>
        <v>2</v>
      </c>
      <c r="BK32" s="43">
        <f>ዕቁብ!BL35/Sheet4!$C32</f>
        <v>0</v>
      </c>
      <c r="BL32" s="43">
        <f>ዕቁብ!BM35/Sheet4!$C32</f>
        <v>2</v>
      </c>
      <c r="BM32" s="43">
        <f>ዕቁብ!BN35/Sheet4!$C32</f>
        <v>0</v>
      </c>
      <c r="BN32" s="43">
        <f>ዕቁብ!BO35/Sheet4!$C32</f>
        <v>1</v>
      </c>
      <c r="BO32" s="43">
        <f>ዕቁብ!BP35/Sheet4!$C32</f>
        <v>0</v>
      </c>
      <c r="BP32" s="43">
        <f>ዕቁብ!BQ35/Sheet4!$C32</f>
        <v>2</v>
      </c>
      <c r="BQ32" s="43">
        <f>ዕቁብ!BR35/Sheet4!$C32</f>
        <v>1</v>
      </c>
      <c r="BR32" s="43">
        <f>ዕቁብ!BS35/Sheet4!$C32</f>
        <v>0</v>
      </c>
      <c r="BS32" s="43">
        <f>ዕቁብ!BT35/Sheet4!$C32</f>
        <v>2</v>
      </c>
      <c r="BT32" s="43">
        <f>ዕቁብ!BU35/Sheet4!$C32</f>
        <v>1</v>
      </c>
      <c r="BU32" s="43">
        <f>ዕቁብ!BV35/Sheet4!$C32</f>
        <v>0</v>
      </c>
      <c r="BV32" s="43">
        <f>ዕቁብ!BW35/Sheet4!$C32</f>
        <v>0</v>
      </c>
      <c r="BW32" s="43">
        <f>ዕቁብ!BX35/Sheet4!$C32</f>
        <v>3</v>
      </c>
      <c r="BX32" s="43">
        <f>ዕቁብ!BY35/Sheet4!$C32</f>
        <v>0</v>
      </c>
      <c r="BY32" s="43">
        <f>ዕቁብ!BZ35/Sheet4!$C32</f>
        <v>0</v>
      </c>
      <c r="BZ32" s="43">
        <f>ዕቁብ!CA35/Sheet4!$C32</f>
        <v>2</v>
      </c>
      <c r="CA32" s="43">
        <f>ዕቁብ!CB35/Sheet4!$C32</f>
        <v>2</v>
      </c>
      <c r="CB32" s="43">
        <f>ዕቁብ!CC35/Sheet4!$C32</f>
        <v>1</v>
      </c>
      <c r="CC32" s="43">
        <f>ዕቁብ!CD35/Sheet4!$C32</f>
        <v>1</v>
      </c>
      <c r="CD32" s="43">
        <f>ዕቁብ!CE35/Sheet4!$C32</f>
        <v>0</v>
      </c>
      <c r="CE32" s="43">
        <f>ዕቁብ!CF35/Sheet4!$C32</f>
        <v>2</v>
      </c>
      <c r="CF32" s="43">
        <f>ዕቁብ!CG35/Sheet4!$C32</f>
        <v>0</v>
      </c>
      <c r="CG32" s="43">
        <f>ዕቁብ!CH35/Sheet4!$C32</f>
        <v>3</v>
      </c>
      <c r="CH32" s="43">
        <f>ዕቁብ!CI35/Sheet4!$C32</f>
        <v>0</v>
      </c>
      <c r="CI32" s="43">
        <f>ዕቁብ!CJ35/Sheet4!$C32</f>
        <v>2</v>
      </c>
      <c r="CJ32" s="43">
        <f>ዕቁብ!CK35/Sheet4!$C32</f>
        <v>1</v>
      </c>
      <c r="CK32" s="43">
        <f>ዕቁብ!CL35/Sheet4!$C32</f>
        <v>1</v>
      </c>
      <c r="CL32" s="43">
        <f>ዕቁብ!CM35/Sheet4!$C32</f>
        <v>0</v>
      </c>
      <c r="CM32" s="43">
        <f>ዕቁብ!CN35/Sheet4!$C32</f>
        <v>2</v>
      </c>
      <c r="CN32" s="43">
        <f>ዕቁብ!CO35/Sheet4!$C32</f>
        <v>1</v>
      </c>
      <c r="CO32" s="43">
        <f>ዕቁብ!CP35/Sheet4!$C32</f>
        <v>1</v>
      </c>
      <c r="CP32" s="43">
        <f>ዕቁብ!CQ35/Sheet4!$C32</f>
        <v>1</v>
      </c>
      <c r="CQ32" s="43">
        <f>ዕቁብ!CR35/Sheet4!$C32</f>
        <v>0</v>
      </c>
      <c r="CR32" s="43">
        <f>ዕቁብ!CS35/Sheet4!$C32</f>
        <v>2</v>
      </c>
      <c r="CS32" s="43">
        <f>ዕቁብ!CT35/Sheet4!$C32</f>
        <v>1</v>
      </c>
      <c r="CT32" s="43">
        <f>ዕቁብ!CU35/Sheet4!$C32</f>
        <v>0</v>
      </c>
      <c r="CU32" s="43">
        <f>ዕቁብ!CV35/Sheet4!$C32</f>
        <v>0</v>
      </c>
      <c r="CV32" s="43">
        <f>ዕቁብ!CW35/Sheet4!$C32</f>
        <v>0</v>
      </c>
      <c r="CW32" s="43">
        <f>ዕቁብ!CX35/Sheet4!$C32</f>
        <v>0</v>
      </c>
      <c r="CX32" s="43">
        <f>ዕቁብ!CY35/Sheet4!$C32</f>
        <v>0</v>
      </c>
      <c r="CY32" s="43">
        <f>ዕቁብ!CZ35/Sheet4!$C32</f>
        <v>0</v>
      </c>
      <c r="CZ32" s="43">
        <f>ዕቁብ!DA35/Sheet4!$C32</f>
        <v>3</v>
      </c>
      <c r="DA32" s="43">
        <f>ዕቁብ!DB35/Sheet4!$C32</f>
        <v>4</v>
      </c>
      <c r="DB32" s="43">
        <f>ዕቁብ!DC35/Sheet4!$C32</f>
        <v>0</v>
      </c>
      <c r="DC32" s="43">
        <f>ዕቁብ!DD35/Sheet4!$C32</f>
        <v>0</v>
      </c>
      <c r="DD32" s="43">
        <f>ዕቁብ!DE35/Sheet4!$C32</f>
        <v>0</v>
      </c>
      <c r="DE32" s="43">
        <f>ዕቁብ!DF35/Sheet4!$C32</f>
        <v>0</v>
      </c>
      <c r="DF32" s="43">
        <f>ዕቁብ!DG35/Sheet4!$C32</f>
        <v>3</v>
      </c>
      <c r="DG32" s="43">
        <f>ዕቁብ!DH35/Sheet4!$C32</f>
        <v>0</v>
      </c>
      <c r="DH32" s="43">
        <f>ዕቁብ!DI35/Sheet4!$C32</f>
        <v>0</v>
      </c>
      <c r="DI32" s="43">
        <f>ዕቁብ!DJ35/Sheet4!$C32</f>
        <v>0</v>
      </c>
      <c r="DJ32" s="43">
        <f>ዕቁብ!DK35/Sheet4!$C32</f>
        <v>0</v>
      </c>
      <c r="DK32" s="43">
        <f>ዕቁብ!DL35/Sheet4!$C32</f>
        <v>0</v>
      </c>
      <c r="DL32" s="43">
        <f>ዕቁብ!DM35/Sheet4!$C32</f>
        <v>0</v>
      </c>
      <c r="DM32" s="43">
        <f>ዕቁብ!DN35/Sheet4!$C32</f>
        <v>0</v>
      </c>
      <c r="DN32" s="43">
        <f>ዕቁብ!DO35/Sheet4!$C32</f>
        <v>0</v>
      </c>
      <c r="DO32" s="43">
        <f>ዕቁብ!DP35/Sheet4!$C32</f>
        <v>0</v>
      </c>
      <c r="DP32" s="43">
        <f>ዕቁብ!DQ35/Sheet4!$C32</f>
        <v>0</v>
      </c>
      <c r="DQ32" s="43">
        <f>ዕቁብ!DR35/Sheet4!$C32</f>
        <v>0</v>
      </c>
    </row>
    <row r="33" spans="1:121" ht="15.75" customHeight="1" x14ac:dyDescent="0.3">
      <c r="A33" s="40">
        <f>ዕቁብ!A36</f>
        <v>30</v>
      </c>
      <c r="B33" s="40" t="str">
        <f>ዕቁብ!B36</f>
        <v>እሱባለው ስለሺ</v>
      </c>
      <c r="C33" s="30">
        <f>ዕቁብ!C36</f>
        <v>21000</v>
      </c>
      <c r="D33" s="43">
        <f>ዕቁብ!E36/Sheet4!$C33</f>
        <v>1</v>
      </c>
      <c r="E33" s="43">
        <f>ዕቁብ!F36/Sheet4!$C33</f>
        <v>1</v>
      </c>
      <c r="F33" s="43">
        <f>ዕቁብ!G36/Sheet4!$C33</f>
        <v>1</v>
      </c>
      <c r="G33" s="43">
        <f>ዕቁብ!H36/Sheet4!$C33</f>
        <v>1</v>
      </c>
      <c r="H33" s="43">
        <f>ዕቁብ!I36/Sheet4!$C33</f>
        <v>1</v>
      </c>
      <c r="I33" s="43">
        <f>ዕቁብ!J36/Sheet4!$C33</f>
        <v>1</v>
      </c>
      <c r="J33" s="43">
        <f>ዕቁብ!K36/Sheet4!$C33</f>
        <v>1</v>
      </c>
      <c r="K33" s="43">
        <f>ዕቁብ!L36/Sheet4!$C33</f>
        <v>1</v>
      </c>
      <c r="L33" s="43">
        <f>ዕቁብ!M36/Sheet4!$C33</f>
        <v>1</v>
      </c>
      <c r="M33" s="43">
        <f>ዕቁብ!N36/Sheet4!$C33</f>
        <v>1</v>
      </c>
      <c r="N33" s="43">
        <f>ዕቁብ!O36/Sheet4!$C33</f>
        <v>1</v>
      </c>
      <c r="O33" s="43">
        <f>ዕቁብ!P36/Sheet4!$C33</f>
        <v>1</v>
      </c>
      <c r="P33" s="43">
        <f>ዕቁብ!Q36/Sheet4!$C33</f>
        <v>1</v>
      </c>
      <c r="Q33" s="43">
        <f>ዕቁብ!R36/Sheet4!$C33</f>
        <v>1</v>
      </c>
      <c r="R33" s="43">
        <f>ዕቁብ!S36/Sheet4!$C33</f>
        <v>1</v>
      </c>
      <c r="S33" s="43">
        <f>ዕቁብ!T36/Sheet4!$C33</f>
        <v>1</v>
      </c>
      <c r="T33" s="43">
        <f>ዕቁብ!U36/Sheet4!$C33</f>
        <v>1</v>
      </c>
      <c r="U33" s="43">
        <f>ዕቁብ!V36/Sheet4!$C33</f>
        <v>1</v>
      </c>
      <c r="V33" s="43">
        <f>ዕቁብ!W36/Sheet4!$C33</f>
        <v>1</v>
      </c>
      <c r="W33" s="43">
        <f>ዕቁብ!X36/Sheet4!$C33</f>
        <v>1</v>
      </c>
      <c r="X33" s="43">
        <f>ዕቁብ!Y36/Sheet4!$C33</f>
        <v>1</v>
      </c>
      <c r="Y33" s="43">
        <f>ዕቁብ!Z36/Sheet4!$C33</f>
        <v>1</v>
      </c>
      <c r="Z33" s="43">
        <f>ዕቁብ!AA36/Sheet4!$C33</f>
        <v>1</v>
      </c>
      <c r="AA33" s="43">
        <f>ዕቁብ!AB36/Sheet4!$C33</f>
        <v>1</v>
      </c>
      <c r="AB33" s="43">
        <f>ዕቁብ!AC36/Sheet4!$C33</f>
        <v>1</v>
      </c>
      <c r="AC33" s="43">
        <f>ዕቁብ!AD36/Sheet4!$C33</f>
        <v>1</v>
      </c>
      <c r="AD33" s="43">
        <f>ዕቁብ!AE36/Sheet4!$C33</f>
        <v>1</v>
      </c>
      <c r="AE33" s="43">
        <f>ዕቁብ!AF36/Sheet4!$C33</f>
        <v>1</v>
      </c>
      <c r="AF33" s="43">
        <f>ዕቁብ!AG36/Sheet4!$C33</f>
        <v>1</v>
      </c>
      <c r="AG33" s="43">
        <f>ዕቁብ!AH36/Sheet4!$C33</f>
        <v>1</v>
      </c>
      <c r="AH33" s="43">
        <f>ዕቁብ!AI36/Sheet4!$C33</f>
        <v>1</v>
      </c>
      <c r="AI33" s="43">
        <f>ዕቁብ!AJ36/Sheet4!$C33</f>
        <v>1</v>
      </c>
      <c r="AJ33" s="43">
        <f>ዕቁብ!AK36/Sheet4!$C33</f>
        <v>1</v>
      </c>
      <c r="AK33" s="43">
        <f>ዕቁብ!AL36/Sheet4!$C33</f>
        <v>1</v>
      </c>
      <c r="AL33" s="43">
        <f>ዕቁብ!AM36/Sheet4!$C33</f>
        <v>1</v>
      </c>
      <c r="AM33" s="43">
        <f>ዕቁብ!AN36/Sheet4!$C33</f>
        <v>1</v>
      </c>
      <c r="AN33" s="43">
        <f>ዕቁብ!AO36/Sheet4!$C33</f>
        <v>1</v>
      </c>
      <c r="AO33" s="43">
        <f>ዕቁብ!AP36/Sheet4!$C33</f>
        <v>1</v>
      </c>
      <c r="AP33" s="43">
        <f>ዕቁብ!AQ36/Sheet4!$C33</f>
        <v>1</v>
      </c>
      <c r="AQ33" s="43">
        <f>ዕቁብ!AR36/Sheet4!$C33</f>
        <v>1</v>
      </c>
      <c r="AR33" s="43">
        <f>ዕቁብ!AS36/Sheet4!$C33</f>
        <v>1</v>
      </c>
      <c r="AS33" s="43">
        <f>ዕቁብ!AT36/Sheet4!$C33</f>
        <v>1</v>
      </c>
      <c r="AT33" s="43">
        <f>ዕቁብ!AU36/Sheet4!$C33</f>
        <v>1</v>
      </c>
      <c r="AU33" s="43">
        <f>ዕቁብ!AV36/Sheet4!$C33</f>
        <v>1</v>
      </c>
      <c r="AV33" s="43">
        <f>ዕቁብ!AW36/Sheet4!$C33</f>
        <v>1</v>
      </c>
      <c r="AW33" s="43">
        <f>ዕቁብ!AX36/Sheet4!$C33</f>
        <v>1</v>
      </c>
      <c r="AX33" s="43">
        <f>ዕቁብ!AY36/Sheet4!$C33</f>
        <v>1</v>
      </c>
      <c r="AY33" s="43">
        <f>ዕቁብ!AZ36/Sheet4!$C33</f>
        <v>1</v>
      </c>
      <c r="AZ33" s="43">
        <f>ዕቁብ!BA36/Sheet4!$C33</f>
        <v>1</v>
      </c>
      <c r="BA33" s="43">
        <f>ዕቁብ!BB36/Sheet4!$C33</f>
        <v>1</v>
      </c>
      <c r="BB33" s="43">
        <f>ዕቁብ!BC36/Sheet4!$C33</f>
        <v>1</v>
      </c>
      <c r="BC33" s="43">
        <f>ዕቁብ!BD36/Sheet4!$C33</f>
        <v>1</v>
      </c>
      <c r="BD33" s="43">
        <f>ዕቁብ!BE36/Sheet4!$C33</f>
        <v>1</v>
      </c>
      <c r="BE33" s="43">
        <f>ዕቁብ!BF36/Sheet4!$C33</f>
        <v>1</v>
      </c>
      <c r="BF33" s="43">
        <f>ዕቁብ!BG36/Sheet4!$C33</f>
        <v>1</v>
      </c>
      <c r="BG33" s="43">
        <f>ዕቁብ!BH36/Sheet4!$C33</f>
        <v>1</v>
      </c>
      <c r="BH33" s="43">
        <f>ዕቁብ!BI36/Sheet4!$C33</f>
        <v>1</v>
      </c>
      <c r="BI33" s="43">
        <f>ዕቁብ!BJ36/Sheet4!$C33</f>
        <v>1</v>
      </c>
      <c r="BJ33" s="43">
        <f>ዕቁብ!BK36/Sheet4!$C33</f>
        <v>1</v>
      </c>
      <c r="BK33" s="43">
        <f>ዕቁብ!BL36/Sheet4!$C33</f>
        <v>1</v>
      </c>
      <c r="BL33" s="43">
        <f>ዕቁብ!BM36/Sheet4!$C33</f>
        <v>1</v>
      </c>
      <c r="BM33" s="43">
        <f>ዕቁብ!BN36/Sheet4!$C33</f>
        <v>0</v>
      </c>
      <c r="BN33" s="43">
        <f>ዕቁብ!BO36/Sheet4!$C33</f>
        <v>1</v>
      </c>
      <c r="BO33" s="43">
        <f>ዕቁብ!BP36/Sheet4!$C33</f>
        <v>1</v>
      </c>
      <c r="BP33" s="43">
        <f>ዕቁብ!BQ36/Sheet4!$C33</f>
        <v>0</v>
      </c>
      <c r="BQ33" s="43">
        <f>ዕቁብ!BR36/Sheet4!$C33</f>
        <v>2</v>
      </c>
      <c r="BR33" s="43">
        <f>ዕቁብ!BS36/Sheet4!$C33</f>
        <v>1</v>
      </c>
      <c r="BS33" s="43">
        <f>ዕቁብ!BT36/Sheet4!$C33</f>
        <v>0</v>
      </c>
      <c r="BT33" s="43">
        <f>ዕቁብ!BU36/Sheet4!$C33</f>
        <v>1</v>
      </c>
      <c r="BU33" s="43">
        <f>ዕቁብ!BV36/Sheet4!$C33</f>
        <v>1</v>
      </c>
      <c r="BV33" s="43">
        <f>ዕቁብ!BW36/Sheet4!$C33</f>
        <v>1</v>
      </c>
      <c r="BW33" s="43">
        <f>ዕቁብ!BX36/Sheet4!$C33</f>
        <v>0</v>
      </c>
      <c r="BX33" s="43">
        <f>ዕቁብ!BY36/Sheet4!$C33</f>
        <v>2</v>
      </c>
      <c r="BY33" s="43">
        <f>ዕቁብ!BZ36/Sheet4!$C33</f>
        <v>0</v>
      </c>
      <c r="BZ33" s="43">
        <f>ዕቁብ!CA36/Sheet4!$C33</f>
        <v>0</v>
      </c>
      <c r="CA33" s="43">
        <f>ዕቁብ!CB36/Sheet4!$C33</f>
        <v>2</v>
      </c>
      <c r="CB33" s="43">
        <f>ዕቁብ!CC36/Sheet4!$C33</f>
        <v>0</v>
      </c>
      <c r="CC33" s="43">
        <f>ዕቁብ!CD36/Sheet4!$C33</f>
        <v>2</v>
      </c>
      <c r="CD33" s="43">
        <f>ዕቁብ!CE36/Sheet4!$C33</f>
        <v>0</v>
      </c>
      <c r="CE33" s="43">
        <f>ዕቁብ!CF36/Sheet4!$C33</f>
        <v>2</v>
      </c>
      <c r="CF33" s="43">
        <f>ዕቁብ!CG36/Sheet4!$C33</f>
        <v>0</v>
      </c>
      <c r="CG33" s="43">
        <f>ዕቁብ!CH36/Sheet4!$C33</f>
        <v>2</v>
      </c>
      <c r="CH33" s="43">
        <f>ዕቁብ!CI36/Sheet4!$C33</f>
        <v>0</v>
      </c>
      <c r="CI33" s="43">
        <f>ዕቁብ!CJ36/Sheet4!$C33</f>
        <v>2</v>
      </c>
      <c r="CJ33" s="43">
        <f>ዕቁብ!CK36/Sheet4!$C33</f>
        <v>0</v>
      </c>
      <c r="CK33" s="43">
        <f>ዕቁብ!CL36/Sheet4!$C33</f>
        <v>0</v>
      </c>
      <c r="CL33" s="43">
        <f>ዕቁብ!CM36/Sheet4!$C33</f>
        <v>2</v>
      </c>
      <c r="CM33" s="43">
        <f>ዕቁብ!CN36/Sheet4!$C33</f>
        <v>0</v>
      </c>
      <c r="CN33" s="43">
        <f>ዕቁብ!CO36/Sheet4!$C33</f>
        <v>0</v>
      </c>
      <c r="CO33" s="43">
        <f>ዕቁብ!CP36/Sheet4!$C33</f>
        <v>2</v>
      </c>
      <c r="CP33" s="43">
        <f>ዕቁብ!CQ36/Sheet4!$C33</f>
        <v>0</v>
      </c>
      <c r="CQ33" s="43">
        <f>ዕቁብ!CR36/Sheet4!$C33</f>
        <v>1</v>
      </c>
      <c r="CR33" s="43">
        <f>ዕቁብ!CS36/Sheet4!$C33</f>
        <v>0</v>
      </c>
      <c r="CS33" s="43">
        <f>ዕቁብ!CT36/Sheet4!$C33</f>
        <v>0</v>
      </c>
      <c r="CT33" s="43">
        <f>ዕቁብ!CU36/Sheet4!$C33</f>
        <v>0</v>
      </c>
      <c r="CU33" s="43">
        <f>ዕቁብ!CV36/Sheet4!$C33</f>
        <v>2</v>
      </c>
      <c r="CV33" s="43">
        <f>ዕቁብ!CW36/Sheet4!$C33</f>
        <v>2</v>
      </c>
      <c r="CW33" s="43">
        <f>ዕቁብ!CX36/Sheet4!$C33</f>
        <v>0</v>
      </c>
      <c r="CX33" s="43">
        <f>ዕቁብ!CY36/Sheet4!$C33</f>
        <v>1</v>
      </c>
      <c r="CY33" s="43">
        <f>ዕቁብ!CZ36/Sheet4!$C33</f>
        <v>0</v>
      </c>
      <c r="CZ33" s="43">
        <f>ዕቁብ!DA36/Sheet4!$C33</f>
        <v>1</v>
      </c>
      <c r="DA33" s="43">
        <f>ዕቁብ!DB36/Sheet4!$C33</f>
        <v>0</v>
      </c>
      <c r="DB33" s="43">
        <f>ዕቁብ!DC36/Sheet4!$C33</f>
        <v>0</v>
      </c>
      <c r="DC33" s="43">
        <f>ዕቁብ!DD36/Sheet4!$C33</f>
        <v>0</v>
      </c>
      <c r="DD33" s="43">
        <f>ዕቁብ!DE36/Sheet4!$C33</f>
        <v>0</v>
      </c>
      <c r="DE33" s="43">
        <f>ዕቁብ!DF36/Sheet4!$C33</f>
        <v>0</v>
      </c>
      <c r="DF33" s="43">
        <f>ዕቁብ!DG36/Sheet4!$C33</f>
        <v>0</v>
      </c>
      <c r="DG33" s="43">
        <f>ዕቁብ!DH36/Sheet4!$C33</f>
        <v>0</v>
      </c>
      <c r="DH33" s="43">
        <f>ዕቁብ!DI36/Sheet4!$C33</f>
        <v>0</v>
      </c>
      <c r="DI33" s="43">
        <f>ዕቁብ!DJ36/Sheet4!$C33</f>
        <v>0</v>
      </c>
      <c r="DJ33" s="43">
        <f>ዕቁብ!DK36/Sheet4!$C33</f>
        <v>0</v>
      </c>
      <c r="DK33" s="43">
        <f>ዕቁብ!DL36/Sheet4!$C33</f>
        <v>0</v>
      </c>
      <c r="DL33" s="43">
        <f>ዕቁብ!DM36/Sheet4!$C33</f>
        <v>0</v>
      </c>
      <c r="DM33" s="43">
        <f>ዕቁብ!DN36/Sheet4!$C33</f>
        <v>0</v>
      </c>
      <c r="DN33" s="43">
        <f>ዕቁብ!DO36/Sheet4!$C33</f>
        <v>0</v>
      </c>
      <c r="DO33" s="43">
        <f>ዕቁብ!DP36/Sheet4!$C33</f>
        <v>0</v>
      </c>
      <c r="DP33" s="43">
        <f>ዕቁብ!DQ36/Sheet4!$C33</f>
        <v>0</v>
      </c>
      <c r="DQ33" s="43">
        <f>ዕቁብ!DR36/Sheet4!$C33</f>
        <v>0</v>
      </c>
    </row>
    <row r="34" spans="1:121" ht="15.75" customHeight="1" x14ac:dyDescent="0.3">
      <c r="A34" s="40">
        <f>ዕቁብ!A37</f>
        <v>31</v>
      </c>
      <c r="B34" s="40" t="str">
        <f>ዕቁብ!B37</f>
        <v>ከፈለኝ ፃዲቁ</v>
      </c>
      <c r="C34" s="30">
        <f>ዕቁብ!C37</f>
        <v>21000</v>
      </c>
      <c r="D34" s="43">
        <f>ዕቁብ!E37/Sheet4!$C34</f>
        <v>0</v>
      </c>
      <c r="E34" s="43">
        <f>ዕቁብ!F37/Sheet4!$C34</f>
        <v>0</v>
      </c>
      <c r="F34" s="43">
        <f>ዕቁብ!G37/Sheet4!$C34</f>
        <v>0</v>
      </c>
      <c r="G34" s="43">
        <f>ዕቁብ!H37/Sheet4!$C34</f>
        <v>0</v>
      </c>
      <c r="H34" s="43">
        <f>ዕቁብ!I37/Sheet4!$C34</f>
        <v>0</v>
      </c>
      <c r="I34" s="43">
        <f>ዕቁብ!J37/Sheet4!$C34</f>
        <v>0</v>
      </c>
      <c r="J34" s="43">
        <f>ዕቁብ!K37/Sheet4!$C34</f>
        <v>0</v>
      </c>
      <c r="K34" s="43">
        <f>ዕቁብ!L37/Sheet4!$C34</f>
        <v>0</v>
      </c>
      <c r="L34" s="43">
        <f>ዕቁብ!M37/Sheet4!$C34</f>
        <v>0</v>
      </c>
      <c r="M34" s="43">
        <f>ዕቁብ!N37/Sheet4!$C34</f>
        <v>0</v>
      </c>
      <c r="N34" s="43">
        <f>ዕቁብ!O37/Sheet4!$C34</f>
        <v>0</v>
      </c>
      <c r="O34" s="43">
        <f>ዕቁብ!P37/Sheet4!$C34</f>
        <v>0</v>
      </c>
      <c r="P34" s="43">
        <f>ዕቁብ!Q37/Sheet4!$C34</f>
        <v>0</v>
      </c>
      <c r="Q34" s="43">
        <f>ዕቁብ!R37/Sheet4!$C34</f>
        <v>0</v>
      </c>
      <c r="R34" s="43">
        <f>ዕቁብ!S37/Sheet4!$C34</f>
        <v>0</v>
      </c>
      <c r="S34" s="43">
        <f>ዕቁብ!T37/Sheet4!$C34</f>
        <v>0</v>
      </c>
      <c r="T34" s="43">
        <f>ዕቁብ!U37/Sheet4!$C34</f>
        <v>0</v>
      </c>
      <c r="U34" s="43">
        <f>ዕቁብ!V37/Sheet4!$C34</f>
        <v>0</v>
      </c>
      <c r="V34" s="43">
        <f>ዕቁብ!W37/Sheet4!$C34</f>
        <v>0</v>
      </c>
      <c r="W34" s="43">
        <f>ዕቁብ!X37/Sheet4!$C34</f>
        <v>0</v>
      </c>
      <c r="X34" s="43">
        <f>ዕቁብ!Y37/Sheet4!$C34</f>
        <v>0</v>
      </c>
      <c r="Y34" s="43">
        <f>ዕቁብ!Z37/Sheet4!$C34</f>
        <v>0</v>
      </c>
      <c r="Z34" s="43">
        <f>ዕቁብ!AA37/Sheet4!$C34</f>
        <v>0</v>
      </c>
      <c r="AA34" s="43">
        <f>ዕቁብ!AB37/Sheet4!$C34</f>
        <v>0</v>
      </c>
      <c r="AB34" s="43">
        <f>ዕቁብ!AC37/Sheet4!$C34</f>
        <v>0</v>
      </c>
      <c r="AC34" s="43">
        <f>ዕቁብ!AD37/Sheet4!$C34</f>
        <v>0</v>
      </c>
      <c r="AD34" s="43">
        <f>ዕቁብ!AE37/Sheet4!$C34</f>
        <v>0</v>
      </c>
      <c r="AE34" s="43">
        <f>ዕቁብ!AF37/Sheet4!$C34</f>
        <v>0</v>
      </c>
      <c r="AF34" s="43">
        <f>ዕቁብ!AG37/Sheet4!$C34</f>
        <v>0</v>
      </c>
      <c r="AG34" s="43">
        <f>ዕቁብ!AH37/Sheet4!$C34</f>
        <v>0</v>
      </c>
      <c r="AH34" s="43">
        <f>ዕቁብ!AI37/Sheet4!$C34</f>
        <v>0</v>
      </c>
      <c r="AI34" s="43">
        <f>ዕቁብ!AJ37/Sheet4!$C34</f>
        <v>0</v>
      </c>
      <c r="AJ34" s="43">
        <f>ዕቁብ!AK37/Sheet4!$C34</f>
        <v>0</v>
      </c>
      <c r="AK34" s="43">
        <f>ዕቁብ!AL37/Sheet4!$C34</f>
        <v>0</v>
      </c>
      <c r="AL34" s="43">
        <f>ዕቁብ!AM37/Sheet4!$C34</f>
        <v>0</v>
      </c>
      <c r="AM34" s="43">
        <f>ዕቁብ!AN37/Sheet4!$C34</f>
        <v>0</v>
      </c>
      <c r="AN34" s="43">
        <f>ዕቁብ!AO37/Sheet4!$C34</f>
        <v>0</v>
      </c>
      <c r="AO34" s="43">
        <f>ዕቁብ!AP37/Sheet4!$C34</f>
        <v>0</v>
      </c>
      <c r="AP34" s="43">
        <f>ዕቁብ!AQ37/Sheet4!$C34</f>
        <v>0</v>
      </c>
      <c r="AQ34" s="43">
        <f>ዕቁብ!AR37/Sheet4!$C34</f>
        <v>0</v>
      </c>
      <c r="AR34" s="43">
        <f>ዕቁብ!AS37/Sheet4!$C34</f>
        <v>0</v>
      </c>
      <c r="AS34" s="43">
        <f>ዕቁብ!AT37/Sheet4!$C34</f>
        <v>0</v>
      </c>
      <c r="AT34" s="43">
        <f>ዕቁብ!AU37/Sheet4!$C34</f>
        <v>0</v>
      </c>
      <c r="AU34" s="43">
        <f>ዕቁብ!AV37/Sheet4!$C34</f>
        <v>0</v>
      </c>
      <c r="AV34" s="43">
        <f>ዕቁብ!AW37/Sheet4!$C34</f>
        <v>0</v>
      </c>
      <c r="AW34" s="43">
        <f>ዕቁብ!AX37/Sheet4!$C34</f>
        <v>0</v>
      </c>
      <c r="AX34" s="43">
        <f>ዕቁብ!AY37/Sheet4!$C34</f>
        <v>0</v>
      </c>
      <c r="AY34" s="43">
        <f>ዕቁብ!AZ37/Sheet4!$C34</f>
        <v>0</v>
      </c>
      <c r="AZ34" s="43">
        <f>ዕቁብ!BA37/Sheet4!$C34</f>
        <v>0</v>
      </c>
      <c r="BA34" s="43">
        <f>ዕቁብ!BB37/Sheet4!$C34</f>
        <v>0</v>
      </c>
      <c r="BB34" s="43">
        <f>ዕቁብ!BC37/Sheet4!$C34</f>
        <v>0</v>
      </c>
      <c r="BC34" s="43">
        <f>ዕቁብ!BD37/Sheet4!$C34</f>
        <v>0</v>
      </c>
      <c r="BD34" s="43">
        <f>ዕቁብ!BE37/Sheet4!$C34</f>
        <v>0</v>
      </c>
      <c r="BE34" s="43">
        <f>ዕቁብ!BF37/Sheet4!$C34</f>
        <v>0</v>
      </c>
      <c r="BF34" s="43">
        <f>ዕቁብ!BG37/Sheet4!$C34</f>
        <v>0</v>
      </c>
      <c r="BG34" s="43">
        <f>ዕቁብ!BH37/Sheet4!$C34</f>
        <v>0</v>
      </c>
      <c r="BH34" s="43">
        <f>ዕቁብ!BI37/Sheet4!$C34</f>
        <v>0</v>
      </c>
      <c r="BI34" s="43">
        <f>ዕቁብ!BJ37/Sheet4!$C34</f>
        <v>0</v>
      </c>
      <c r="BJ34" s="43">
        <f>ዕቁብ!BK37/Sheet4!$C34</f>
        <v>0</v>
      </c>
      <c r="BK34" s="43">
        <f>ዕቁብ!BL37/Sheet4!$C34</f>
        <v>0</v>
      </c>
      <c r="BL34" s="43">
        <f>ዕቁብ!BM37/Sheet4!$C34</f>
        <v>0</v>
      </c>
      <c r="BM34" s="43">
        <f>ዕቁብ!BN37/Sheet4!$C34</f>
        <v>0</v>
      </c>
      <c r="BN34" s="43">
        <f>ዕቁብ!BO37/Sheet4!$C34</f>
        <v>0</v>
      </c>
      <c r="BO34" s="43">
        <f>ዕቁብ!BP37/Sheet4!$C34</f>
        <v>0</v>
      </c>
      <c r="BP34" s="43">
        <f>ዕቁብ!BQ37/Sheet4!$C34</f>
        <v>0</v>
      </c>
      <c r="BQ34" s="43">
        <f>ዕቁብ!BR37/Sheet4!$C34</f>
        <v>0</v>
      </c>
      <c r="BR34" s="43">
        <f>ዕቁብ!BS37/Sheet4!$C34</f>
        <v>0</v>
      </c>
      <c r="BS34" s="43">
        <f>ዕቁብ!BT37/Sheet4!$C34</f>
        <v>0</v>
      </c>
      <c r="BT34" s="43">
        <f>ዕቁብ!BU37/Sheet4!$C34</f>
        <v>0</v>
      </c>
      <c r="BU34" s="43">
        <f>ዕቁብ!BV37/Sheet4!$C34</f>
        <v>0</v>
      </c>
      <c r="BV34" s="43">
        <f>ዕቁብ!BW37/Sheet4!$C34</f>
        <v>0</v>
      </c>
      <c r="BW34" s="43">
        <f>ዕቁብ!BX37/Sheet4!$C34</f>
        <v>0</v>
      </c>
      <c r="BX34" s="43">
        <f>ዕቁብ!BY37/Sheet4!$C34</f>
        <v>0</v>
      </c>
      <c r="BY34" s="43">
        <f>ዕቁብ!BZ37/Sheet4!$C34</f>
        <v>0</v>
      </c>
      <c r="BZ34" s="43">
        <f>ዕቁብ!CA37/Sheet4!$C34</f>
        <v>0</v>
      </c>
      <c r="CA34" s="43">
        <f>ዕቁብ!CB37/Sheet4!$C34</f>
        <v>0</v>
      </c>
      <c r="CB34" s="43">
        <f>ዕቁብ!CC37/Sheet4!$C34</f>
        <v>0</v>
      </c>
      <c r="CC34" s="43">
        <f>ዕቁብ!CD37/Sheet4!$C34</f>
        <v>0</v>
      </c>
      <c r="CD34" s="43">
        <f>ዕቁብ!CE37/Sheet4!$C34</f>
        <v>0</v>
      </c>
      <c r="CE34" s="43">
        <f>ዕቁብ!CF37/Sheet4!$C34</f>
        <v>0</v>
      </c>
      <c r="CF34" s="43">
        <f>ዕቁብ!CG37/Sheet4!$C34</f>
        <v>0</v>
      </c>
      <c r="CG34" s="43">
        <f>ዕቁብ!CH37/Sheet4!$C34</f>
        <v>0</v>
      </c>
      <c r="CH34" s="43">
        <f>ዕቁብ!CI37/Sheet4!$C34</f>
        <v>0</v>
      </c>
      <c r="CI34" s="43">
        <f>ዕቁብ!CJ37/Sheet4!$C34</f>
        <v>0</v>
      </c>
      <c r="CJ34" s="43">
        <f>ዕቁብ!CK37/Sheet4!$C34</f>
        <v>0</v>
      </c>
      <c r="CK34" s="43">
        <f>ዕቁብ!CL37/Sheet4!$C34</f>
        <v>0</v>
      </c>
      <c r="CL34" s="43">
        <f>ዕቁብ!CM37/Sheet4!$C34</f>
        <v>0</v>
      </c>
      <c r="CM34" s="43">
        <f>ዕቁብ!CN37/Sheet4!$C34</f>
        <v>0</v>
      </c>
      <c r="CN34" s="43">
        <f>ዕቁብ!CO37/Sheet4!$C34</f>
        <v>0</v>
      </c>
      <c r="CO34" s="43">
        <f>ዕቁብ!CP37/Sheet4!$C34</f>
        <v>0</v>
      </c>
      <c r="CP34" s="43">
        <f>ዕቁብ!CQ37/Sheet4!$C34</f>
        <v>0</v>
      </c>
      <c r="CQ34" s="43">
        <f>ዕቁብ!CR37/Sheet4!$C34</f>
        <v>0</v>
      </c>
      <c r="CR34" s="43">
        <f>ዕቁብ!CS37/Sheet4!$C34</f>
        <v>0</v>
      </c>
      <c r="CS34" s="43">
        <f>ዕቁብ!CT37/Sheet4!$C34</f>
        <v>0</v>
      </c>
      <c r="CT34" s="43">
        <f>ዕቁብ!CU37/Sheet4!$C34</f>
        <v>0</v>
      </c>
      <c r="CU34" s="43">
        <f>ዕቁብ!CV37/Sheet4!$C34</f>
        <v>0</v>
      </c>
      <c r="CV34" s="43">
        <f>ዕቁብ!CW37/Sheet4!$C34</f>
        <v>0</v>
      </c>
      <c r="CW34" s="43">
        <f>ዕቁብ!CX37/Sheet4!$C34</f>
        <v>0</v>
      </c>
      <c r="CX34" s="43">
        <f>ዕቁብ!CY37/Sheet4!$C34</f>
        <v>0</v>
      </c>
      <c r="CY34" s="43">
        <f>ዕቁብ!CZ37/Sheet4!$C34</f>
        <v>0</v>
      </c>
      <c r="CZ34" s="43">
        <f>ዕቁብ!DA37/Sheet4!$C34</f>
        <v>0</v>
      </c>
      <c r="DA34" s="43">
        <f>ዕቁብ!DB37/Sheet4!$C34</f>
        <v>0</v>
      </c>
      <c r="DB34" s="43">
        <f>ዕቁብ!DC37/Sheet4!$C34</f>
        <v>0</v>
      </c>
      <c r="DC34" s="43">
        <f>ዕቁብ!DD37/Sheet4!$C34</f>
        <v>0</v>
      </c>
      <c r="DD34" s="43">
        <f>ዕቁብ!DE37/Sheet4!$C34</f>
        <v>0</v>
      </c>
      <c r="DE34" s="43">
        <f>ዕቁብ!DF37/Sheet4!$C34</f>
        <v>0</v>
      </c>
      <c r="DF34" s="43">
        <f>ዕቁብ!DG37/Sheet4!$C34</f>
        <v>0</v>
      </c>
      <c r="DG34" s="43">
        <f>ዕቁብ!DH37/Sheet4!$C34</f>
        <v>0</v>
      </c>
      <c r="DH34" s="43">
        <f>ዕቁብ!DI37/Sheet4!$C34</f>
        <v>0</v>
      </c>
      <c r="DI34" s="43">
        <f>ዕቁብ!DJ37/Sheet4!$C34</f>
        <v>0</v>
      </c>
      <c r="DJ34" s="43">
        <f>ዕቁብ!DK37/Sheet4!$C34</f>
        <v>0</v>
      </c>
      <c r="DK34" s="43">
        <f>ዕቁብ!DL37/Sheet4!$C34</f>
        <v>0</v>
      </c>
      <c r="DL34" s="43">
        <f>ዕቁብ!DM37/Sheet4!$C34</f>
        <v>0</v>
      </c>
      <c r="DM34" s="43">
        <f>ዕቁብ!DN37/Sheet4!$C34</f>
        <v>0</v>
      </c>
      <c r="DN34" s="43">
        <f>ዕቁብ!DO37/Sheet4!$C34</f>
        <v>0</v>
      </c>
      <c r="DO34" s="43">
        <f>ዕቁብ!DP37/Sheet4!$C34</f>
        <v>0</v>
      </c>
      <c r="DP34" s="43">
        <f>ዕቁብ!DQ37/Sheet4!$C34</f>
        <v>0</v>
      </c>
      <c r="DQ34" s="43">
        <f>ዕቁብ!DR37/Sheet4!$C34</f>
        <v>0</v>
      </c>
    </row>
    <row r="35" spans="1:121" ht="15.75" customHeight="1" x14ac:dyDescent="0.3">
      <c r="A35" s="40">
        <f>ዕቁብ!A38</f>
        <v>32</v>
      </c>
      <c r="B35" s="40" t="str">
        <f>ዕቁብ!B38</f>
        <v>ዳንኤል ጎሌ</v>
      </c>
      <c r="C35" s="30">
        <f>ዕቁብ!C38</f>
        <v>21000</v>
      </c>
      <c r="D35" s="43">
        <f>ዕቁብ!E38/Sheet4!$C35</f>
        <v>1</v>
      </c>
      <c r="E35" s="43">
        <f>ዕቁብ!F38/Sheet4!$C35</f>
        <v>1</v>
      </c>
      <c r="F35" s="43">
        <f>ዕቁብ!G38/Sheet4!$C35</f>
        <v>1</v>
      </c>
      <c r="G35" s="43">
        <f>ዕቁብ!H38/Sheet4!$C35</f>
        <v>1</v>
      </c>
      <c r="H35" s="43">
        <f>ዕቁብ!I38/Sheet4!$C35</f>
        <v>1</v>
      </c>
      <c r="I35" s="43">
        <f>ዕቁብ!J38/Sheet4!$C35</f>
        <v>1</v>
      </c>
      <c r="J35" s="43">
        <f>ዕቁብ!K38/Sheet4!$C35</f>
        <v>1</v>
      </c>
      <c r="K35" s="43">
        <f>ዕቁብ!L38/Sheet4!$C35</f>
        <v>1</v>
      </c>
      <c r="L35" s="43">
        <f>ዕቁብ!M38/Sheet4!$C35</f>
        <v>1</v>
      </c>
      <c r="M35" s="43">
        <f>ዕቁብ!N38/Sheet4!$C35</f>
        <v>1</v>
      </c>
      <c r="N35" s="43">
        <f>ዕቁብ!O38/Sheet4!$C35</f>
        <v>1</v>
      </c>
      <c r="O35" s="43">
        <f>ዕቁብ!P38/Sheet4!$C35</f>
        <v>1</v>
      </c>
      <c r="P35" s="43">
        <f>ዕቁብ!Q38/Sheet4!$C35</f>
        <v>1</v>
      </c>
      <c r="Q35" s="43">
        <f>ዕቁብ!R38/Sheet4!$C35</f>
        <v>1</v>
      </c>
      <c r="R35" s="43">
        <f>ዕቁብ!S38/Sheet4!$C35</f>
        <v>1</v>
      </c>
      <c r="S35" s="43">
        <f>ዕቁብ!T38/Sheet4!$C35</f>
        <v>1</v>
      </c>
      <c r="T35" s="43">
        <f>ዕቁብ!U38/Sheet4!$C35</f>
        <v>1</v>
      </c>
      <c r="U35" s="43">
        <f>ዕቁብ!V38/Sheet4!$C35</f>
        <v>1</v>
      </c>
      <c r="V35" s="43">
        <f>ዕቁብ!W38/Sheet4!$C35</f>
        <v>1</v>
      </c>
      <c r="W35" s="43">
        <f>ዕቁብ!X38/Sheet4!$C35</f>
        <v>1</v>
      </c>
      <c r="X35" s="43">
        <f>ዕቁብ!Y38/Sheet4!$C35</f>
        <v>1</v>
      </c>
      <c r="Y35" s="43">
        <f>ዕቁብ!Z38/Sheet4!$C35</f>
        <v>1</v>
      </c>
      <c r="Z35" s="43">
        <f>ዕቁብ!AA38/Sheet4!$C35</f>
        <v>1</v>
      </c>
      <c r="AA35" s="43">
        <f>ዕቁብ!AB38/Sheet4!$C35</f>
        <v>1</v>
      </c>
      <c r="AB35" s="43">
        <f>ዕቁብ!AC38/Sheet4!$C35</f>
        <v>1</v>
      </c>
      <c r="AC35" s="43">
        <f>ዕቁብ!AD38/Sheet4!$C35</f>
        <v>1</v>
      </c>
      <c r="AD35" s="43">
        <f>ዕቁብ!AE38/Sheet4!$C35</f>
        <v>1</v>
      </c>
      <c r="AE35" s="43">
        <f>ዕቁብ!AF38/Sheet4!$C35</f>
        <v>1</v>
      </c>
      <c r="AF35" s="43">
        <f>ዕቁብ!AG38/Sheet4!$C35</f>
        <v>1</v>
      </c>
      <c r="AG35" s="43">
        <f>ዕቁብ!AH38/Sheet4!$C35</f>
        <v>1</v>
      </c>
      <c r="AH35" s="43">
        <f>ዕቁብ!AI38/Sheet4!$C35</f>
        <v>1</v>
      </c>
      <c r="AI35" s="43">
        <f>ዕቁብ!AJ38/Sheet4!$C35</f>
        <v>1</v>
      </c>
      <c r="AJ35" s="43">
        <f>ዕቁብ!AK38/Sheet4!$C35</f>
        <v>1</v>
      </c>
      <c r="AK35" s="43">
        <f>ዕቁብ!AL38/Sheet4!$C35</f>
        <v>1</v>
      </c>
      <c r="AL35" s="43">
        <f>ዕቁብ!AM38/Sheet4!$C35</f>
        <v>1</v>
      </c>
      <c r="AM35" s="43">
        <f>ዕቁብ!AN38/Sheet4!$C35</f>
        <v>1</v>
      </c>
      <c r="AN35" s="43">
        <f>ዕቁብ!AO38/Sheet4!$C35</f>
        <v>1</v>
      </c>
      <c r="AO35" s="43">
        <f>ዕቁብ!AP38/Sheet4!$C35</f>
        <v>1</v>
      </c>
      <c r="AP35" s="43">
        <f>ዕቁብ!AQ38/Sheet4!$C35</f>
        <v>1</v>
      </c>
      <c r="AQ35" s="43">
        <f>ዕቁብ!AR38/Sheet4!$C35</f>
        <v>1</v>
      </c>
      <c r="AR35" s="43">
        <f>ዕቁብ!AS38/Sheet4!$C35</f>
        <v>1</v>
      </c>
      <c r="AS35" s="43">
        <f>ዕቁብ!AT38/Sheet4!$C35</f>
        <v>1</v>
      </c>
      <c r="AT35" s="43">
        <f>ዕቁብ!AU38/Sheet4!$C35</f>
        <v>1</v>
      </c>
      <c r="AU35" s="43">
        <f>ዕቁብ!AV38/Sheet4!$C35</f>
        <v>1</v>
      </c>
      <c r="AV35" s="43">
        <f>ዕቁብ!AW38/Sheet4!$C35</f>
        <v>1</v>
      </c>
      <c r="AW35" s="43">
        <f>ዕቁብ!AX38/Sheet4!$C35</f>
        <v>1</v>
      </c>
      <c r="AX35" s="43">
        <f>ዕቁብ!AY38/Sheet4!$C35</f>
        <v>1</v>
      </c>
      <c r="AY35" s="43">
        <f>ዕቁብ!AZ38/Sheet4!$C35</f>
        <v>1</v>
      </c>
      <c r="AZ35" s="43">
        <f>ዕቁብ!BA38/Sheet4!$C35</f>
        <v>1</v>
      </c>
      <c r="BA35" s="43">
        <f>ዕቁብ!BB38/Sheet4!$C35</f>
        <v>1</v>
      </c>
      <c r="BB35" s="43">
        <f>ዕቁብ!BC38/Sheet4!$C35</f>
        <v>1</v>
      </c>
      <c r="BC35" s="43">
        <f>ዕቁብ!BD38/Sheet4!$C35</f>
        <v>1</v>
      </c>
      <c r="BD35" s="43">
        <f>ዕቁብ!BE38/Sheet4!$C35</f>
        <v>1</v>
      </c>
      <c r="BE35" s="43">
        <f>ዕቁብ!BF38/Sheet4!$C35</f>
        <v>1</v>
      </c>
      <c r="BF35" s="43">
        <f>ዕቁብ!BG38/Sheet4!$C35</f>
        <v>1</v>
      </c>
      <c r="BG35" s="43">
        <f>ዕቁብ!BH38/Sheet4!$C35</f>
        <v>1</v>
      </c>
      <c r="BH35" s="43">
        <f>ዕቁብ!BI38/Sheet4!$C35</f>
        <v>1</v>
      </c>
      <c r="BI35" s="43">
        <f>ዕቁብ!BJ38/Sheet4!$C35</f>
        <v>1</v>
      </c>
      <c r="BJ35" s="43">
        <f>ዕቁብ!BK38/Sheet4!$C35</f>
        <v>1</v>
      </c>
      <c r="BK35" s="43">
        <f>ዕቁብ!BL38/Sheet4!$C35</f>
        <v>1</v>
      </c>
      <c r="BL35" s="43">
        <f>ዕቁብ!BM38/Sheet4!$C35</f>
        <v>1</v>
      </c>
      <c r="BM35" s="43">
        <f>ዕቁብ!BN38/Sheet4!$C35</f>
        <v>1</v>
      </c>
      <c r="BN35" s="43">
        <f>ዕቁብ!BO38/Sheet4!$C35</f>
        <v>1</v>
      </c>
      <c r="BO35" s="43">
        <f>ዕቁብ!BP38/Sheet4!$C35</f>
        <v>1</v>
      </c>
      <c r="BP35" s="43">
        <f>ዕቁብ!BQ38/Sheet4!$C35</f>
        <v>1</v>
      </c>
      <c r="BQ35" s="43">
        <f>ዕቁብ!BR38/Sheet4!$C35</f>
        <v>1</v>
      </c>
      <c r="BR35" s="43">
        <f>ዕቁብ!BS38/Sheet4!$C35</f>
        <v>1</v>
      </c>
      <c r="BS35" s="43">
        <f>ዕቁብ!BT38/Sheet4!$C35</f>
        <v>1</v>
      </c>
      <c r="BT35" s="43">
        <f>ዕቁብ!BU38/Sheet4!$C35</f>
        <v>1</v>
      </c>
      <c r="BU35" s="43">
        <f>ዕቁብ!BV38/Sheet4!$C35</f>
        <v>1</v>
      </c>
      <c r="BV35" s="43">
        <f>ዕቁብ!BW38/Sheet4!$C35</f>
        <v>1</v>
      </c>
      <c r="BW35" s="43">
        <f>ዕቁብ!BX38/Sheet4!$C35</f>
        <v>1</v>
      </c>
      <c r="BX35" s="43">
        <f>ዕቁብ!BY38/Sheet4!$C35</f>
        <v>1</v>
      </c>
      <c r="BY35" s="43">
        <f>ዕቁብ!BZ38/Sheet4!$C35</f>
        <v>1</v>
      </c>
      <c r="BZ35" s="43">
        <f>ዕቁብ!CA38/Sheet4!$C35</f>
        <v>1</v>
      </c>
      <c r="CA35" s="43">
        <f>ዕቁብ!CB38/Sheet4!$C35</f>
        <v>1</v>
      </c>
      <c r="CB35" s="43">
        <f>ዕቁብ!CC38/Sheet4!$C35</f>
        <v>1</v>
      </c>
      <c r="CC35" s="43">
        <f>ዕቁብ!CD38/Sheet4!$C35</f>
        <v>1</v>
      </c>
      <c r="CD35" s="43">
        <f>ዕቁብ!CE38/Sheet4!$C35</f>
        <v>1</v>
      </c>
      <c r="CE35" s="43">
        <f>ዕቁብ!CF38/Sheet4!$C35</f>
        <v>1</v>
      </c>
      <c r="CF35" s="43">
        <f>ዕቁብ!CG38/Sheet4!$C35</f>
        <v>1</v>
      </c>
      <c r="CG35" s="43">
        <f>ዕቁብ!CH38/Sheet4!$C35</f>
        <v>0</v>
      </c>
      <c r="CH35" s="43">
        <f>ዕቁብ!CI38/Sheet4!$C35</f>
        <v>2</v>
      </c>
      <c r="CI35" s="43">
        <f>ዕቁብ!CJ38/Sheet4!$C35</f>
        <v>1</v>
      </c>
      <c r="CJ35" s="43">
        <f>ዕቁብ!CK38/Sheet4!$C35</f>
        <v>1</v>
      </c>
      <c r="CK35" s="43">
        <f>ዕቁብ!CL38/Sheet4!$C35</f>
        <v>1</v>
      </c>
      <c r="CL35" s="43">
        <f>ዕቁብ!CM38/Sheet4!$C35</f>
        <v>1</v>
      </c>
      <c r="CM35" s="43">
        <f>ዕቁብ!CN38/Sheet4!$C35</f>
        <v>1</v>
      </c>
      <c r="CN35" s="43">
        <f>ዕቁብ!CO38/Sheet4!$C35</f>
        <v>1</v>
      </c>
      <c r="CO35" s="43">
        <f>ዕቁብ!CP38/Sheet4!$C35</f>
        <v>1</v>
      </c>
      <c r="CP35" s="43">
        <f>ዕቁብ!CQ38/Sheet4!$C35</f>
        <v>1</v>
      </c>
      <c r="CQ35" s="43">
        <f>ዕቁብ!CR38/Sheet4!$C35</f>
        <v>1</v>
      </c>
      <c r="CR35" s="43">
        <f>ዕቁብ!CS38/Sheet4!$C35</f>
        <v>1</v>
      </c>
      <c r="CS35" s="43">
        <f>ዕቁብ!CT38/Sheet4!$C35</f>
        <v>1</v>
      </c>
      <c r="CT35" s="43">
        <f>ዕቁብ!CU38/Sheet4!$C35</f>
        <v>1</v>
      </c>
      <c r="CU35" s="43">
        <f>ዕቁብ!CV38/Sheet4!$C35</f>
        <v>1</v>
      </c>
      <c r="CV35" s="43">
        <f>ዕቁብ!CW38/Sheet4!$C35</f>
        <v>1</v>
      </c>
      <c r="CW35" s="43">
        <f>ዕቁብ!CX38/Sheet4!$C35</f>
        <v>1</v>
      </c>
      <c r="CX35" s="43">
        <f>ዕቁብ!CY38/Sheet4!$C35</f>
        <v>1</v>
      </c>
      <c r="CY35" s="43">
        <f>ዕቁብ!CZ38/Sheet4!$C35</f>
        <v>1</v>
      </c>
      <c r="CZ35" s="43">
        <f>ዕቁብ!DA38/Sheet4!$C35</f>
        <v>1</v>
      </c>
      <c r="DA35" s="43">
        <f>ዕቁብ!DB38/Sheet4!$C35</f>
        <v>1</v>
      </c>
      <c r="DB35" s="43">
        <f>ዕቁብ!DC38/Sheet4!$C35</f>
        <v>1</v>
      </c>
      <c r="DC35" s="43">
        <f>ዕቁብ!DD38/Sheet4!$C35</f>
        <v>1</v>
      </c>
      <c r="DD35" s="43">
        <f>ዕቁብ!DE38/Sheet4!$C35</f>
        <v>1</v>
      </c>
      <c r="DE35" s="43">
        <f>ዕቁብ!DF38/Sheet4!$C35</f>
        <v>1</v>
      </c>
      <c r="DF35" s="43">
        <f>ዕቁብ!DG38/Sheet4!$C35</f>
        <v>1</v>
      </c>
      <c r="DG35" s="43">
        <f>ዕቁብ!DH38/Sheet4!$C35</f>
        <v>1</v>
      </c>
      <c r="DH35" s="43">
        <f>ዕቁብ!DI38/Sheet4!$C35</f>
        <v>0</v>
      </c>
      <c r="DI35" s="43">
        <f>ዕቁብ!DJ38/Sheet4!$C35</f>
        <v>0</v>
      </c>
      <c r="DJ35" s="43">
        <f>ዕቁብ!DK38/Sheet4!$C35</f>
        <v>0</v>
      </c>
      <c r="DK35" s="43">
        <f>ዕቁብ!DL38/Sheet4!$C35</f>
        <v>0</v>
      </c>
      <c r="DL35" s="43">
        <f>ዕቁብ!DM38/Sheet4!$C35</f>
        <v>0</v>
      </c>
      <c r="DM35" s="43">
        <f>ዕቁብ!DN38/Sheet4!$C35</f>
        <v>0</v>
      </c>
      <c r="DN35" s="43">
        <f>ዕቁብ!DO38/Sheet4!$C35</f>
        <v>0</v>
      </c>
      <c r="DO35" s="43">
        <f>ዕቁብ!DP38/Sheet4!$C35</f>
        <v>0</v>
      </c>
      <c r="DP35" s="43">
        <f>ዕቁብ!DQ38/Sheet4!$C35</f>
        <v>0</v>
      </c>
      <c r="DQ35" s="43">
        <f>ዕቁብ!DR38/Sheet4!$C35</f>
        <v>0</v>
      </c>
    </row>
    <row r="36" spans="1:121" ht="15.75" customHeight="1" x14ac:dyDescent="0.3">
      <c r="A36" s="40">
        <f>ዕቁብ!A39</f>
        <v>33</v>
      </c>
      <c r="B36" s="40" t="str">
        <f>ዕቁብ!B39</f>
        <v>አየነዉ ፀጋዩ</v>
      </c>
      <c r="C36" s="30">
        <f>ዕቁብ!C39</f>
        <v>21000</v>
      </c>
      <c r="D36" s="43">
        <f>ዕቁብ!E39/Sheet4!$C36</f>
        <v>1</v>
      </c>
      <c r="E36" s="43">
        <f>ዕቁብ!F39/Sheet4!$C36</f>
        <v>1</v>
      </c>
      <c r="F36" s="43">
        <f>ዕቁብ!G39/Sheet4!$C36</f>
        <v>1</v>
      </c>
      <c r="G36" s="43">
        <f>ዕቁብ!H39/Sheet4!$C36</f>
        <v>1</v>
      </c>
      <c r="H36" s="43">
        <f>ዕቁብ!I39/Sheet4!$C36</f>
        <v>1</v>
      </c>
      <c r="I36" s="43">
        <f>ዕቁብ!J39/Sheet4!$C36</f>
        <v>1</v>
      </c>
      <c r="J36" s="43">
        <f>ዕቁብ!K39/Sheet4!$C36</f>
        <v>1</v>
      </c>
      <c r="K36" s="43">
        <f>ዕቁብ!L39/Sheet4!$C36</f>
        <v>1</v>
      </c>
      <c r="L36" s="43">
        <f>ዕቁብ!M39/Sheet4!$C36</f>
        <v>1</v>
      </c>
      <c r="M36" s="43">
        <f>ዕቁብ!N39/Sheet4!$C36</f>
        <v>1</v>
      </c>
      <c r="N36" s="43">
        <f>ዕቁብ!O39/Sheet4!$C36</f>
        <v>1</v>
      </c>
      <c r="O36" s="43">
        <f>ዕቁብ!P39/Sheet4!$C36</f>
        <v>1</v>
      </c>
      <c r="P36" s="43">
        <f>ዕቁብ!Q39/Sheet4!$C36</f>
        <v>1</v>
      </c>
      <c r="Q36" s="43">
        <f>ዕቁብ!R39/Sheet4!$C36</f>
        <v>1</v>
      </c>
      <c r="R36" s="43">
        <f>ዕቁብ!S39/Sheet4!$C36</f>
        <v>1</v>
      </c>
      <c r="S36" s="43">
        <f>ዕቁብ!T39/Sheet4!$C36</f>
        <v>1</v>
      </c>
      <c r="T36" s="43">
        <f>ዕቁብ!U39/Sheet4!$C36</f>
        <v>1</v>
      </c>
      <c r="U36" s="43">
        <f>ዕቁብ!V39/Sheet4!$C36</f>
        <v>1</v>
      </c>
      <c r="V36" s="43">
        <f>ዕቁብ!W39/Sheet4!$C36</f>
        <v>1</v>
      </c>
      <c r="W36" s="43">
        <f>ዕቁብ!X39/Sheet4!$C36</f>
        <v>1</v>
      </c>
      <c r="X36" s="43">
        <f>ዕቁብ!Y39/Sheet4!$C36</f>
        <v>1</v>
      </c>
      <c r="Y36" s="43">
        <f>ዕቁብ!Z39/Sheet4!$C36</f>
        <v>1</v>
      </c>
      <c r="Z36" s="43">
        <f>ዕቁብ!AA39/Sheet4!$C36</f>
        <v>1</v>
      </c>
      <c r="AA36" s="43">
        <f>ዕቁብ!AB39/Sheet4!$C36</f>
        <v>1</v>
      </c>
      <c r="AB36" s="43">
        <f>ዕቁብ!AC39/Sheet4!$C36</f>
        <v>1</v>
      </c>
      <c r="AC36" s="43">
        <f>ዕቁብ!AD39/Sheet4!$C36</f>
        <v>1</v>
      </c>
      <c r="AD36" s="43">
        <f>ዕቁብ!AE39/Sheet4!$C36</f>
        <v>1</v>
      </c>
      <c r="AE36" s="43">
        <f>ዕቁብ!AF39/Sheet4!$C36</f>
        <v>1</v>
      </c>
      <c r="AF36" s="43">
        <f>ዕቁብ!AG39/Sheet4!$C36</f>
        <v>1</v>
      </c>
      <c r="AG36" s="43">
        <f>ዕቁብ!AH39/Sheet4!$C36</f>
        <v>1</v>
      </c>
      <c r="AH36" s="43">
        <f>ዕቁብ!AI39/Sheet4!$C36</f>
        <v>1</v>
      </c>
      <c r="AI36" s="43">
        <f>ዕቁብ!AJ39/Sheet4!$C36</f>
        <v>1</v>
      </c>
      <c r="AJ36" s="43">
        <f>ዕቁብ!AK39/Sheet4!$C36</f>
        <v>1</v>
      </c>
      <c r="AK36" s="43">
        <f>ዕቁብ!AL39/Sheet4!$C36</f>
        <v>1</v>
      </c>
      <c r="AL36" s="43">
        <f>ዕቁብ!AM39/Sheet4!$C36</f>
        <v>1</v>
      </c>
      <c r="AM36" s="43">
        <f>ዕቁብ!AN39/Sheet4!$C36</f>
        <v>1</v>
      </c>
      <c r="AN36" s="43">
        <f>ዕቁብ!AO39/Sheet4!$C36</f>
        <v>1</v>
      </c>
      <c r="AO36" s="43">
        <f>ዕቁብ!AP39/Sheet4!$C36</f>
        <v>1</v>
      </c>
      <c r="AP36" s="43">
        <f>ዕቁብ!AQ39/Sheet4!$C36</f>
        <v>1</v>
      </c>
      <c r="AQ36" s="43">
        <f>ዕቁብ!AR39/Sheet4!$C36</f>
        <v>1</v>
      </c>
      <c r="AR36" s="43">
        <f>ዕቁብ!AS39/Sheet4!$C36</f>
        <v>1</v>
      </c>
      <c r="AS36" s="43">
        <f>ዕቁብ!AT39/Sheet4!$C36</f>
        <v>1</v>
      </c>
      <c r="AT36" s="43">
        <f>ዕቁብ!AU39/Sheet4!$C36</f>
        <v>1</v>
      </c>
      <c r="AU36" s="43">
        <f>ዕቁብ!AV39/Sheet4!$C36</f>
        <v>1</v>
      </c>
      <c r="AV36" s="43">
        <f>ዕቁብ!AW39/Sheet4!$C36</f>
        <v>1</v>
      </c>
      <c r="AW36" s="43">
        <f>ዕቁብ!AX39/Sheet4!$C36</f>
        <v>1</v>
      </c>
      <c r="AX36" s="43">
        <f>ዕቁብ!AY39/Sheet4!$C36</f>
        <v>1</v>
      </c>
      <c r="AY36" s="43">
        <f>ዕቁብ!AZ39/Sheet4!$C36</f>
        <v>1</v>
      </c>
      <c r="AZ36" s="43">
        <f>ዕቁብ!BA39/Sheet4!$C36</f>
        <v>1</v>
      </c>
      <c r="BA36" s="43">
        <f>ዕቁብ!BB39/Sheet4!$C36</f>
        <v>1</v>
      </c>
      <c r="BB36" s="43">
        <f>ዕቁብ!BC39/Sheet4!$C36</f>
        <v>1</v>
      </c>
      <c r="BC36" s="43">
        <f>ዕቁብ!BD39/Sheet4!$C36</f>
        <v>1</v>
      </c>
      <c r="BD36" s="43">
        <f>ዕቁብ!BE39/Sheet4!$C36</f>
        <v>1</v>
      </c>
      <c r="BE36" s="43">
        <f>ዕቁብ!BF39/Sheet4!$C36</f>
        <v>1</v>
      </c>
      <c r="BF36" s="43">
        <f>ዕቁብ!BG39/Sheet4!$C36</f>
        <v>0</v>
      </c>
      <c r="BG36" s="43">
        <f>ዕቁብ!BH39/Sheet4!$C36</f>
        <v>2</v>
      </c>
      <c r="BH36" s="43">
        <f>ዕቁብ!BI39/Sheet4!$C36</f>
        <v>0</v>
      </c>
      <c r="BI36" s="43">
        <f>ዕቁብ!BJ39/Sheet4!$C36</f>
        <v>2</v>
      </c>
      <c r="BJ36" s="43">
        <f>ዕቁብ!BK39/Sheet4!$C36</f>
        <v>1</v>
      </c>
      <c r="BK36" s="43">
        <f>ዕቁብ!BL39/Sheet4!$C36</f>
        <v>1</v>
      </c>
      <c r="BL36" s="43">
        <f>ዕቁብ!BM39/Sheet4!$C36</f>
        <v>1</v>
      </c>
      <c r="BM36" s="43">
        <f>ዕቁብ!BN39/Sheet4!$C36</f>
        <v>0</v>
      </c>
      <c r="BN36" s="43">
        <f>ዕቁብ!BO39/Sheet4!$C36</f>
        <v>2</v>
      </c>
      <c r="BO36" s="43">
        <f>ዕቁብ!BP39/Sheet4!$C36</f>
        <v>1</v>
      </c>
      <c r="BP36" s="43">
        <f>ዕቁብ!BQ39/Sheet4!$C36</f>
        <v>1</v>
      </c>
      <c r="BQ36" s="43">
        <f>ዕቁብ!BR39/Sheet4!$C36</f>
        <v>0</v>
      </c>
      <c r="BR36" s="43">
        <f>ዕቁብ!BS39/Sheet4!$C36</f>
        <v>2</v>
      </c>
      <c r="BS36" s="43">
        <f>ዕቁብ!BT39/Sheet4!$C36</f>
        <v>1</v>
      </c>
      <c r="BT36" s="43">
        <f>ዕቁብ!BU39/Sheet4!$C36</f>
        <v>0</v>
      </c>
      <c r="BU36" s="43">
        <f>ዕቁብ!BV39/Sheet4!$C36</f>
        <v>2</v>
      </c>
      <c r="BV36" s="43">
        <f>ዕቁብ!BW39/Sheet4!$C36</f>
        <v>0</v>
      </c>
      <c r="BW36" s="43">
        <f>ዕቁብ!BX39/Sheet4!$C36</f>
        <v>2</v>
      </c>
      <c r="BX36" s="43">
        <f>ዕቁብ!BY39/Sheet4!$C36</f>
        <v>1</v>
      </c>
      <c r="BY36" s="43">
        <f>ዕቁብ!BZ39/Sheet4!$C36</f>
        <v>1</v>
      </c>
      <c r="BZ36" s="43">
        <f>ዕቁብ!CA39/Sheet4!$C36</f>
        <v>0</v>
      </c>
      <c r="CA36" s="43">
        <f>ዕቁብ!CB39/Sheet4!$C36</f>
        <v>0</v>
      </c>
      <c r="CB36" s="43">
        <f>ዕቁብ!CC39/Sheet4!$C36</f>
        <v>3</v>
      </c>
      <c r="CC36" s="43">
        <f>ዕቁብ!CD39/Sheet4!$C36</f>
        <v>0</v>
      </c>
      <c r="CD36" s="43">
        <f>ዕቁብ!CE39/Sheet4!$C36</f>
        <v>0</v>
      </c>
      <c r="CE36" s="43">
        <f>ዕቁብ!CF39/Sheet4!$C36</f>
        <v>2</v>
      </c>
      <c r="CF36" s="43">
        <f>ዕቁብ!CG39/Sheet4!$C36</f>
        <v>1</v>
      </c>
      <c r="CG36" s="43">
        <f>ዕቁብ!CH39/Sheet4!$C36</f>
        <v>1</v>
      </c>
      <c r="CH36" s="43">
        <f>ዕቁብ!CI39/Sheet4!$C36</f>
        <v>0</v>
      </c>
      <c r="CI36" s="43">
        <f>ዕቁብ!CJ39/Sheet4!$C36</f>
        <v>0</v>
      </c>
      <c r="CJ36" s="43">
        <f>ዕቁብ!CK39/Sheet4!$C36</f>
        <v>3</v>
      </c>
      <c r="CK36" s="43">
        <f>ዕቁብ!CL39/Sheet4!$C36</f>
        <v>0</v>
      </c>
      <c r="CL36" s="43">
        <f>ዕቁብ!CM39/Sheet4!$C36</f>
        <v>0</v>
      </c>
      <c r="CM36" s="43">
        <f>ዕቁብ!CN39/Sheet4!$C36</f>
        <v>2</v>
      </c>
      <c r="CN36" s="43">
        <f>ዕቁብ!CO39/Sheet4!$C36</f>
        <v>0</v>
      </c>
      <c r="CO36" s="43">
        <f>ዕቁብ!CP39/Sheet4!$C36</f>
        <v>2</v>
      </c>
      <c r="CP36" s="43">
        <f>ዕቁብ!CQ39/Sheet4!$C36</f>
        <v>0</v>
      </c>
      <c r="CQ36" s="43">
        <f>ዕቁብ!CR39/Sheet4!$C36</f>
        <v>2</v>
      </c>
      <c r="CR36" s="43">
        <f>ዕቁብ!CS39/Sheet4!$C36</f>
        <v>0</v>
      </c>
      <c r="CS36" s="43">
        <f>ዕቁብ!CT39/Sheet4!$C36</f>
        <v>2</v>
      </c>
      <c r="CT36" s="43">
        <f>ዕቁብ!CU39/Sheet4!$C36</f>
        <v>0</v>
      </c>
      <c r="CU36" s="43">
        <f>ዕቁብ!CV39/Sheet4!$C36</f>
        <v>0</v>
      </c>
      <c r="CV36" s="43">
        <f>ዕቁብ!CW39/Sheet4!$C36</f>
        <v>3</v>
      </c>
      <c r="CW36" s="43">
        <f>ዕቁብ!CX39/Sheet4!$C36</f>
        <v>0</v>
      </c>
      <c r="CX36" s="43">
        <f>ዕቁብ!CY39/Sheet4!$C36</f>
        <v>0</v>
      </c>
      <c r="CY36" s="43">
        <f>ዕቁብ!CZ39/Sheet4!$C36</f>
        <v>0</v>
      </c>
      <c r="CZ36" s="43">
        <f>ዕቁብ!DA39/Sheet4!$C36</f>
        <v>4</v>
      </c>
      <c r="DA36" s="43">
        <f>ዕቁብ!DB39/Sheet4!$C36</f>
        <v>0</v>
      </c>
      <c r="DB36" s="43">
        <f>ዕቁብ!DC39/Sheet4!$C36</f>
        <v>0</v>
      </c>
      <c r="DC36" s="43">
        <f>ዕቁብ!DD39/Sheet4!$C36</f>
        <v>0</v>
      </c>
      <c r="DD36" s="43">
        <f>ዕቁብ!DE39/Sheet4!$C36</f>
        <v>0</v>
      </c>
      <c r="DE36" s="43">
        <f>ዕቁብ!DF39/Sheet4!$C36</f>
        <v>4</v>
      </c>
      <c r="DF36" s="43">
        <f>ዕቁብ!DG39/Sheet4!$C36</f>
        <v>2</v>
      </c>
      <c r="DG36" s="43">
        <f>ዕቁብ!DH39/Sheet4!$C36</f>
        <v>0</v>
      </c>
      <c r="DH36" s="43">
        <f>ዕቁብ!DI39/Sheet4!$C36</f>
        <v>0</v>
      </c>
      <c r="DI36" s="43">
        <f>ዕቁብ!DJ39/Sheet4!$C36</f>
        <v>0</v>
      </c>
      <c r="DJ36" s="43">
        <f>ዕቁብ!DK39/Sheet4!$C36</f>
        <v>0</v>
      </c>
      <c r="DK36" s="43">
        <f>ዕቁብ!DL39/Sheet4!$C36</f>
        <v>0</v>
      </c>
      <c r="DL36" s="43">
        <f>ዕቁብ!DM39/Sheet4!$C36</f>
        <v>0</v>
      </c>
      <c r="DM36" s="43">
        <f>ዕቁብ!DN39/Sheet4!$C36</f>
        <v>0</v>
      </c>
      <c r="DN36" s="43">
        <f>ዕቁብ!DO39/Sheet4!$C36</f>
        <v>0</v>
      </c>
      <c r="DO36" s="43">
        <f>ዕቁብ!DP39/Sheet4!$C36</f>
        <v>0</v>
      </c>
      <c r="DP36" s="43">
        <f>ዕቁብ!DQ39/Sheet4!$C36</f>
        <v>0</v>
      </c>
      <c r="DQ36" s="43">
        <f>ዕቁብ!DR39/Sheet4!$C36</f>
        <v>0</v>
      </c>
    </row>
    <row r="37" spans="1:121" ht="15.75" customHeight="1" x14ac:dyDescent="0.3">
      <c r="A37" s="40">
        <f>ዕቁብ!A40</f>
        <v>34</v>
      </c>
      <c r="B37" s="40" t="str">
        <f>ዕቁብ!B40</f>
        <v>ደሊል ፍሬው</v>
      </c>
      <c r="C37" s="30">
        <f>ዕቁብ!C40</f>
        <v>21000</v>
      </c>
      <c r="D37" s="43">
        <f>ዕቁብ!E40/Sheet4!$C37</f>
        <v>1</v>
      </c>
      <c r="E37" s="43">
        <f>ዕቁብ!F40/Sheet4!$C37</f>
        <v>1</v>
      </c>
      <c r="F37" s="43">
        <f>ዕቁብ!G40/Sheet4!$C37</f>
        <v>1</v>
      </c>
      <c r="G37" s="43">
        <f>ዕቁብ!H40/Sheet4!$C37</f>
        <v>1</v>
      </c>
      <c r="H37" s="43">
        <f>ዕቁብ!I40/Sheet4!$C37</f>
        <v>1</v>
      </c>
      <c r="I37" s="43">
        <f>ዕቁብ!J40/Sheet4!$C37</f>
        <v>1</v>
      </c>
      <c r="J37" s="43">
        <f>ዕቁብ!K40/Sheet4!$C37</f>
        <v>1</v>
      </c>
      <c r="K37" s="43">
        <f>ዕቁብ!L40/Sheet4!$C37</f>
        <v>1</v>
      </c>
      <c r="L37" s="43">
        <f>ዕቁብ!M40/Sheet4!$C37</f>
        <v>1</v>
      </c>
      <c r="M37" s="43">
        <f>ዕቁብ!N40/Sheet4!$C37</f>
        <v>1</v>
      </c>
      <c r="N37" s="43">
        <f>ዕቁብ!O40/Sheet4!$C37</f>
        <v>1</v>
      </c>
      <c r="O37" s="43">
        <f>ዕቁብ!P40/Sheet4!$C37</f>
        <v>1</v>
      </c>
      <c r="P37" s="43">
        <f>ዕቁብ!Q40/Sheet4!$C37</f>
        <v>1</v>
      </c>
      <c r="Q37" s="43">
        <f>ዕቁብ!R40/Sheet4!$C37</f>
        <v>1</v>
      </c>
      <c r="R37" s="43">
        <f>ዕቁብ!S40/Sheet4!$C37</f>
        <v>1</v>
      </c>
      <c r="S37" s="43">
        <f>ዕቁብ!T40/Sheet4!$C37</f>
        <v>1</v>
      </c>
      <c r="T37" s="43">
        <f>ዕቁብ!U40/Sheet4!$C37</f>
        <v>1</v>
      </c>
      <c r="U37" s="43">
        <f>ዕቁብ!V40/Sheet4!$C37</f>
        <v>1</v>
      </c>
      <c r="V37" s="43">
        <f>ዕቁብ!W40/Sheet4!$C37</f>
        <v>1</v>
      </c>
      <c r="W37" s="43">
        <f>ዕቁብ!X40/Sheet4!$C37</f>
        <v>1</v>
      </c>
      <c r="X37" s="43">
        <f>ዕቁብ!Y40/Sheet4!$C37</f>
        <v>1</v>
      </c>
      <c r="Y37" s="43">
        <f>ዕቁብ!Z40/Sheet4!$C37</f>
        <v>1</v>
      </c>
      <c r="Z37" s="43">
        <f>ዕቁብ!AA40/Sheet4!$C37</f>
        <v>1</v>
      </c>
      <c r="AA37" s="43">
        <f>ዕቁብ!AB40/Sheet4!$C37</f>
        <v>0</v>
      </c>
      <c r="AB37" s="43">
        <f>ዕቁብ!AC40/Sheet4!$C37</f>
        <v>2</v>
      </c>
      <c r="AC37" s="43">
        <f>ዕቁብ!AD40/Sheet4!$C37</f>
        <v>1</v>
      </c>
      <c r="AD37" s="43">
        <f>ዕቁብ!AE40/Sheet4!$C37</f>
        <v>1</v>
      </c>
      <c r="AE37" s="43">
        <f>ዕቁብ!AF40/Sheet4!$C37</f>
        <v>1</v>
      </c>
      <c r="AF37" s="43">
        <f>ዕቁብ!AG40/Sheet4!$C37</f>
        <v>1</v>
      </c>
      <c r="AG37" s="43">
        <f>ዕቁብ!AH40/Sheet4!$C37</f>
        <v>1</v>
      </c>
      <c r="AH37" s="43">
        <f>ዕቁብ!AI40/Sheet4!$C37</f>
        <v>1</v>
      </c>
      <c r="AI37" s="43">
        <f>ዕቁብ!AJ40/Sheet4!$C37</f>
        <v>1</v>
      </c>
      <c r="AJ37" s="43">
        <f>ዕቁብ!AK40/Sheet4!$C37</f>
        <v>1</v>
      </c>
      <c r="AK37" s="43">
        <f>ዕቁብ!AL40/Sheet4!$C37</f>
        <v>1</v>
      </c>
      <c r="AL37" s="43">
        <f>ዕቁብ!AM40/Sheet4!$C37</f>
        <v>1</v>
      </c>
      <c r="AM37" s="43">
        <f>ዕቁብ!AN40/Sheet4!$C37</f>
        <v>1</v>
      </c>
      <c r="AN37" s="43">
        <f>ዕቁብ!AO40/Sheet4!$C37</f>
        <v>1</v>
      </c>
      <c r="AO37" s="43">
        <f>ዕቁብ!AP40/Sheet4!$C37</f>
        <v>1</v>
      </c>
      <c r="AP37" s="43">
        <f>ዕቁብ!AQ40/Sheet4!$C37</f>
        <v>1</v>
      </c>
      <c r="AQ37" s="43">
        <f>ዕቁብ!AR40/Sheet4!$C37</f>
        <v>1</v>
      </c>
      <c r="AR37" s="43">
        <f>ዕቁብ!AS40/Sheet4!$C37</f>
        <v>1</v>
      </c>
      <c r="AS37" s="43">
        <f>ዕቁብ!AT40/Sheet4!$C37</f>
        <v>1</v>
      </c>
      <c r="AT37" s="43">
        <f>ዕቁብ!AU40/Sheet4!$C37</f>
        <v>1</v>
      </c>
      <c r="AU37" s="43">
        <f>ዕቁብ!AV40/Sheet4!$C37</f>
        <v>1</v>
      </c>
      <c r="AV37" s="43">
        <f>ዕቁብ!AW40/Sheet4!$C37</f>
        <v>1</v>
      </c>
      <c r="AW37" s="43">
        <f>ዕቁብ!AX40/Sheet4!$C37</f>
        <v>1</v>
      </c>
      <c r="AX37" s="43">
        <f>ዕቁብ!AY40/Sheet4!$C37</f>
        <v>1</v>
      </c>
      <c r="AY37" s="43">
        <f>ዕቁብ!AZ40/Sheet4!$C37</f>
        <v>1</v>
      </c>
      <c r="AZ37" s="43">
        <f>ዕቁብ!BA40/Sheet4!$C37</f>
        <v>1</v>
      </c>
      <c r="BA37" s="43">
        <f>ዕቁብ!BB40/Sheet4!$C37</f>
        <v>1</v>
      </c>
      <c r="BB37" s="43">
        <f>ዕቁብ!BC40/Sheet4!$C37</f>
        <v>1</v>
      </c>
      <c r="BC37" s="43">
        <f>ዕቁብ!BD40/Sheet4!$C37</f>
        <v>1</v>
      </c>
      <c r="BD37" s="43">
        <f>ዕቁብ!BE40/Sheet4!$C37</f>
        <v>1</v>
      </c>
      <c r="BE37" s="43">
        <f>ዕቁብ!BF40/Sheet4!$C37</f>
        <v>1</v>
      </c>
      <c r="BF37" s="43">
        <f>ዕቁብ!BG40/Sheet4!$C37</f>
        <v>1</v>
      </c>
      <c r="BG37" s="43">
        <f>ዕቁብ!BH40/Sheet4!$C37</f>
        <v>1</v>
      </c>
      <c r="BH37" s="43">
        <f>ዕቁብ!BI40/Sheet4!$C37</f>
        <v>1</v>
      </c>
      <c r="BI37" s="43">
        <f>ዕቁብ!BJ40/Sheet4!$C37</f>
        <v>1</v>
      </c>
      <c r="BJ37" s="43">
        <f>ዕቁብ!BK40/Sheet4!$C37</f>
        <v>1</v>
      </c>
      <c r="BK37" s="43">
        <f>ዕቁብ!BL40/Sheet4!$C37</f>
        <v>1</v>
      </c>
      <c r="BL37" s="43">
        <f>ዕቁብ!BM40/Sheet4!$C37</f>
        <v>1</v>
      </c>
      <c r="BM37" s="43">
        <f>ዕቁብ!BN40/Sheet4!$C37</f>
        <v>1</v>
      </c>
      <c r="BN37" s="43">
        <f>ዕቁብ!BO40/Sheet4!$C37</f>
        <v>1</v>
      </c>
      <c r="BO37" s="43">
        <f>ዕቁብ!BP40/Sheet4!$C37</f>
        <v>1</v>
      </c>
      <c r="BP37" s="43">
        <f>ዕቁብ!BQ40/Sheet4!$C37</f>
        <v>1</v>
      </c>
      <c r="BQ37" s="43">
        <f>ዕቁብ!BR40/Sheet4!$C37</f>
        <v>1</v>
      </c>
      <c r="BR37" s="43">
        <f>ዕቁብ!BS40/Sheet4!$C37</f>
        <v>1</v>
      </c>
      <c r="BS37" s="43">
        <f>ዕቁብ!BT40/Sheet4!$C37</f>
        <v>1</v>
      </c>
      <c r="BT37" s="43">
        <f>ዕቁብ!BU40/Sheet4!$C37</f>
        <v>1</v>
      </c>
      <c r="BU37" s="43">
        <f>ዕቁብ!BV40/Sheet4!$C37</f>
        <v>1</v>
      </c>
      <c r="BV37" s="43">
        <f>ዕቁብ!BW40/Sheet4!$C37</f>
        <v>1</v>
      </c>
      <c r="BW37" s="43">
        <f>ዕቁብ!BX40/Sheet4!$C37</f>
        <v>1</v>
      </c>
      <c r="BX37" s="43">
        <f>ዕቁብ!BY40/Sheet4!$C37</f>
        <v>1</v>
      </c>
      <c r="BY37" s="43">
        <f>ዕቁብ!BZ40/Sheet4!$C37</f>
        <v>1</v>
      </c>
      <c r="BZ37" s="43">
        <f>ዕቁብ!CA40/Sheet4!$C37</f>
        <v>1</v>
      </c>
      <c r="CA37" s="43">
        <f>ዕቁብ!CB40/Sheet4!$C37</f>
        <v>1</v>
      </c>
      <c r="CB37" s="43">
        <f>ዕቁብ!CC40/Sheet4!$C37</f>
        <v>1</v>
      </c>
      <c r="CC37" s="43">
        <f>ዕቁብ!CD40/Sheet4!$C37</f>
        <v>1</v>
      </c>
      <c r="CD37" s="43">
        <f>ዕቁብ!CE40/Sheet4!$C37</f>
        <v>1</v>
      </c>
      <c r="CE37" s="43">
        <f>ዕቁብ!CF40/Sheet4!$C37</f>
        <v>1</v>
      </c>
      <c r="CF37" s="43">
        <f>ዕቁብ!CG40/Sheet4!$C37</f>
        <v>1</v>
      </c>
      <c r="CG37" s="43">
        <f>ዕቁብ!CH40/Sheet4!$C37</f>
        <v>1</v>
      </c>
      <c r="CH37" s="43">
        <f>ዕቁብ!CI40/Sheet4!$C37</f>
        <v>1</v>
      </c>
      <c r="CI37" s="43">
        <f>ዕቁብ!CJ40/Sheet4!$C37</f>
        <v>1</v>
      </c>
      <c r="CJ37" s="43">
        <f>ዕቁብ!CK40/Sheet4!$C37</f>
        <v>1</v>
      </c>
      <c r="CK37" s="43">
        <f>ዕቁብ!CL40/Sheet4!$C37</f>
        <v>1</v>
      </c>
      <c r="CL37" s="43">
        <f>ዕቁብ!CM40/Sheet4!$C37</f>
        <v>1</v>
      </c>
      <c r="CM37" s="43">
        <f>ዕቁብ!CN40/Sheet4!$C37</f>
        <v>1</v>
      </c>
      <c r="CN37" s="43">
        <f>ዕቁብ!CO40/Sheet4!$C37</f>
        <v>1</v>
      </c>
      <c r="CO37" s="43">
        <f>ዕቁብ!CP40/Sheet4!$C37</f>
        <v>1</v>
      </c>
      <c r="CP37" s="43">
        <f>ዕቁብ!CQ40/Sheet4!$C37</f>
        <v>1</v>
      </c>
      <c r="CQ37" s="43">
        <f>ዕቁብ!CR40/Sheet4!$C37</f>
        <v>1</v>
      </c>
      <c r="CR37" s="43">
        <f>ዕቁብ!CS40/Sheet4!$C37</f>
        <v>1</v>
      </c>
      <c r="CS37" s="43">
        <f>ዕቁብ!CT40/Sheet4!$C37</f>
        <v>0</v>
      </c>
      <c r="CT37" s="43">
        <f>ዕቁብ!CU40/Sheet4!$C37</f>
        <v>2</v>
      </c>
      <c r="CU37" s="43">
        <f>ዕቁብ!CV40/Sheet4!$C37</f>
        <v>1</v>
      </c>
      <c r="CV37" s="43">
        <f>ዕቁብ!CW40/Sheet4!$C37</f>
        <v>1</v>
      </c>
      <c r="CW37" s="43">
        <f>ዕቁብ!CX40/Sheet4!$C37</f>
        <v>1</v>
      </c>
      <c r="CX37" s="43">
        <f>ዕቁብ!CY40/Sheet4!$C37</f>
        <v>1</v>
      </c>
      <c r="CY37" s="43">
        <f>ዕቁብ!CZ40/Sheet4!$C37</f>
        <v>1</v>
      </c>
      <c r="CZ37" s="43">
        <f>ዕቁብ!DA40/Sheet4!$C37</f>
        <v>1</v>
      </c>
      <c r="DA37" s="43">
        <f>ዕቁብ!DB40/Sheet4!$C37</f>
        <v>1</v>
      </c>
      <c r="DB37" s="43">
        <f>ዕቁብ!DC40/Sheet4!$C37</f>
        <v>1</v>
      </c>
      <c r="DC37" s="43">
        <f>ዕቁብ!DD40/Sheet4!$C37</f>
        <v>1</v>
      </c>
      <c r="DD37" s="43">
        <f>ዕቁብ!DE40/Sheet4!$C37</f>
        <v>1</v>
      </c>
      <c r="DE37" s="43">
        <f>ዕቁብ!DF40/Sheet4!$C37</f>
        <v>1</v>
      </c>
      <c r="DF37" s="43">
        <f>ዕቁብ!DG40/Sheet4!$C37</f>
        <v>1</v>
      </c>
      <c r="DG37" s="43">
        <f>ዕቁብ!DH40/Sheet4!$C37</f>
        <v>1</v>
      </c>
      <c r="DH37" s="43">
        <f>ዕቁብ!DI40/Sheet4!$C37</f>
        <v>0</v>
      </c>
      <c r="DI37" s="43">
        <f>ዕቁብ!DJ40/Sheet4!$C37</f>
        <v>0</v>
      </c>
      <c r="DJ37" s="43">
        <f>ዕቁብ!DK40/Sheet4!$C37</f>
        <v>0</v>
      </c>
      <c r="DK37" s="43">
        <f>ዕቁብ!DL40/Sheet4!$C37</f>
        <v>0</v>
      </c>
      <c r="DL37" s="43">
        <f>ዕቁብ!DM40/Sheet4!$C37</f>
        <v>0</v>
      </c>
      <c r="DM37" s="43">
        <f>ዕቁብ!DN40/Sheet4!$C37</f>
        <v>0</v>
      </c>
      <c r="DN37" s="43">
        <f>ዕቁብ!DO40/Sheet4!$C37</f>
        <v>0</v>
      </c>
      <c r="DO37" s="43">
        <f>ዕቁብ!DP40/Sheet4!$C37</f>
        <v>0</v>
      </c>
      <c r="DP37" s="43">
        <f>ዕቁብ!DQ40/Sheet4!$C37</f>
        <v>0</v>
      </c>
      <c r="DQ37" s="43">
        <f>ዕቁብ!DR40/Sheet4!$C37</f>
        <v>0</v>
      </c>
    </row>
    <row r="38" spans="1:121" ht="15.75" customHeight="1" x14ac:dyDescent="0.3">
      <c r="A38" s="40">
        <f>ዕቁብ!A41</f>
        <v>35</v>
      </c>
      <c r="B38" s="40" t="str">
        <f>ዕቁብ!B41</f>
        <v>ኤርሚያስ ሲራ</v>
      </c>
      <c r="C38" s="30">
        <f>ዕቁብ!C41</f>
        <v>21000</v>
      </c>
      <c r="D38" s="43">
        <f>ዕቁብ!E41/Sheet4!$C38</f>
        <v>1</v>
      </c>
      <c r="E38" s="43">
        <f>ዕቁብ!F41/Sheet4!$C38</f>
        <v>1</v>
      </c>
      <c r="F38" s="43">
        <f>ዕቁብ!G41/Sheet4!$C38</f>
        <v>1</v>
      </c>
      <c r="G38" s="43">
        <f>ዕቁብ!H41/Sheet4!$C38</f>
        <v>1</v>
      </c>
      <c r="H38" s="43">
        <f>ዕቁብ!I41/Sheet4!$C38</f>
        <v>1</v>
      </c>
      <c r="I38" s="43">
        <f>ዕቁብ!J41/Sheet4!$C38</f>
        <v>1</v>
      </c>
      <c r="J38" s="43">
        <f>ዕቁብ!K41/Sheet4!$C38</f>
        <v>1</v>
      </c>
      <c r="K38" s="43">
        <f>ዕቁብ!L41/Sheet4!$C38</f>
        <v>1</v>
      </c>
      <c r="L38" s="43">
        <f>ዕቁብ!M41/Sheet4!$C38</f>
        <v>1</v>
      </c>
      <c r="M38" s="43">
        <f>ዕቁብ!N41/Sheet4!$C38</f>
        <v>1</v>
      </c>
      <c r="N38" s="43">
        <f>ዕቁብ!O41/Sheet4!$C38</f>
        <v>1</v>
      </c>
      <c r="O38" s="43">
        <f>ዕቁብ!P41/Sheet4!$C38</f>
        <v>1</v>
      </c>
      <c r="P38" s="43">
        <f>ዕቁብ!Q41/Sheet4!$C38</f>
        <v>1</v>
      </c>
      <c r="Q38" s="43">
        <f>ዕቁብ!R41/Sheet4!$C38</f>
        <v>1</v>
      </c>
      <c r="R38" s="43">
        <f>ዕቁብ!S41/Sheet4!$C38</f>
        <v>1</v>
      </c>
      <c r="S38" s="43">
        <f>ዕቁብ!T41/Sheet4!$C38</f>
        <v>1</v>
      </c>
      <c r="T38" s="43">
        <f>ዕቁብ!U41/Sheet4!$C38</f>
        <v>1</v>
      </c>
      <c r="U38" s="43">
        <f>ዕቁብ!V41/Sheet4!$C38</f>
        <v>1</v>
      </c>
      <c r="V38" s="43">
        <f>ዕቁብ!W41/Sheet4!$C38</f>
        <v>1</v>
      </c>
      <c r="W38" s="43">
        <f>ዕቁብ!X41/Sheet4!$C38</f>
        <v>1</v>
      </c>
      <c r="X38" s="43">
        <f>ዕቁብ!Y41/Sheet4!$C38</f>
        <v>1</v>
      </c>
      <c r="Y38" s="43">
        <f>ዕቁብ!Z41/Sheet4!$C38</f>
        <v>1</v>
      </c>
      <c r="Z38" s="43">
        <f>ዕቁብ!AA41/Sheet4!$C38</f>
        <v>1</v>
      </c>
      <c r="AA38" s="43">
        <f>ዕቁብ!AB41/Sheet4!$C38</f>
        <v>1</v>
      </c>
      <c r="AB38" s="43">
        <f>ዕቁብ!AC41/Sheet4!$C38</f>
        <v>1</v>
      </c>
      <c r="AC38" s="43">
        <f>ዕቁብ!AD41/Sheet4!$C38</f>
        <v>1</v>
      </c>
      <c r="AD38" s="43">
        <f>ዕቁብ!AE41/Sheet4!$C38</f>
        <v>1</v>
      </c>
      <c r="AE38" s="43">
        <f>ዕቁብ!AF41/Sheet4!$C38</f>
        <v>1</v>
      </c>
      <c r="AF38" s="43">
        <f>ዕቁብ!AG41/Sheet4!$C38</f>
        <v>1</v>
      </c>
      <c r="AG38" s="43">
        <f>ዕቁብ!AH41/Sheet4!$C38</f>
        <v>1</v>
      </c>
      <c r="AH38" s="43">
        <f>ዕቁብ!AI41/Sheet4!$C38</f>
        <v>1</v>
      </c>
      <c r="AI38" s="43">
        <f>ዕቁብ!AJ41/Sheet4!$C38</f>
        <v>1</v>
      </c>
      <c r="AJ38" s="43">
        <f>ዕቁብ!AK41/Sheet4!$C38</f>
        <v>1</v>
      </c>
      <c r="AK38" s="43">
        <f>ዕቁብ!AL41/Sheet4!$C38</f>
        <v>1</v>
      </c>
      <c r="AL38" s="43">
        <f>ዕቁብ!AM41/Sheet4!$C38</f>
        <v>1</v>
      </c>
      <c r="AM38" s="43">
        <f>ዕቁብ!AN41/Sheet4!$C38</f>
        <v>1</v>
      </c>
      <c r="AN38" s="43">
        <f>ዕቁብ!AO41/Sheet4!$C38</f>
        <v>1</v>
      </c>
      <c r="AO38" s="43">
        <f>ዕቁብ!AP41/Sheet4!$C38</f>
        <v>1</v>
      </c>
      <c r="AP38" s="43">
        <f>ዕቁብ!AQ41/Sheet4!$C38</f>
        <v>1</v>
      </c>
      <c r="AQ38" s="43">
        <f>ዕቁብ!AR41/Sheet4!$C38</f>
        <v>0</v>
      </c>
      <c r="AR38" s="43">
        <f>ዕቁብ!AS41/Sheet4!$C38</f>
        <v>2</v>
      </c>
      <c r="AS38" s="43">
        <f>ዕቁብ!AT41/Sheet4!$C38</f>
        <v>1</v>
      </c>
      <c r="AT38" s="43">
        <f>ዕቁብ!AU41/Sheet4!$C38</f>
        <v>1</v>
      </c>
      <c r="AU38" s="43">
        <f>ዕቁብ!AV41/Sheet4!$C38</f>
        <v>1</v>
      </c>
      <c r="AV38" s="43">
        <f>ዕቁብ!AW41/Sheet4!$C38</f>
        <v>1</v>
      </c>
      <c r="AW38" s="43">
        <f>ዕቁብ!AX41/Sheet4!$C38</f>
        <v>1</v>
      </c>
      <c r="AX38" s="43">
        <f>ዕቁብ!AY41/Sheet4!$C38</f>
        <v>1</v>
      </c>
      <c r="AY38" s="43">
        <f>ዕቁብ!AZ41/Sheet4!$C38</f>
        <v>1</v>
      </c>
      <c r="AZ38" s="43">
        <f>ዕቁብ!BA41/Sheet4!$C38</f>
        <v>1</v>
      </c>
      <c r="BA38" s="43">
        <f>ዕቁብ!BB41/Sheet4!$C38</f>
        <v>1</v>
      </c>
      <c r="BB38" s="43">
        <f>ዕቁብ!BC41/Sheet4!$C38</f>
        <v>1</v>
      </c>
      <c r="BC38" s="43">
        <f>ዕቁብ!BD41/Sheet4!$C38</f>
        <v>1</v>
      </c>
      <c r="BD38" s="43">
        <f>ዕቁብ!BE41/Sheet4!$C38</f>
        <v>0</v>
      </c>
      <c r="BE38" s="43">
        <f>ዕቁብ!BF41/Sheet4!$C38</f>
        <v>1</v>
      </c>
      <c r="BF38" s="43">
        <f>ዕቁብ!BG41/Sheet4!$C38</f>
        <v>1</v>
      </c>
      <c r="BG38" s="43">
        <f>ዕቁብ!BH41/Sheet4!$C38</f>
        <v>2</v>
      </c>
      <c r="BH38" s="43">
        <f>ዕቁብ!BI41/Sheet4!$C38</f>
        <v>0</v>
      </c>
      <c r="BI38" s="43">
        <f>ዕቁብ!BJ41/Sheet4!$C38</f>
        <v>1</v>
      </c>
      <c r="BJ38" s="43">
        <f>ዕቁብ!BK41/Sheet4!$C38</f>
        <v>1</v>
      </c>
      <c r="BK38" s="43">
        <f>ዕቁብ!BL41/Sheet4!$C38</f>
        <v>1</v>
      </c>
      <c r="BL38" s="43">
        <f>ዕቁብ!BM41/Sheet4!$C38</f>
        <v>1</v>
      </c>
      <c r="BM38" s="43">
        <f>ዕቁብ!BN41/Sheet4!$C38</f>
        <v>1</v>
      </c>
      <c r="BN38" s="43">
        <f>ዕቁብ!BO41/Sheet4!$C38</f>
        <v>1</v>
      </c>
      <c r="BO38" s="43">
        <f>ዕቁብ!BP41/Sheet4!$C38</f>
        <v>1</v>
      </c>
      <c r="BP38" s="43">
        <f>ዕቁብ!BQ41/Sheet4!$C38</f>
        <v>0</v>
      </c>
      <c r="BQ38" s="43">
        <f>ዕቁብ!BR41/Sheet4!$C38</f>
        <v>2</v>
      </c>
      <c r="BR38" s="43">
        <f>ዕቁብ!BS41/Sheet4!$C38</f>
        <v>1</v>
      </c>
      <c r="BS38" s="43">
        <f>ዕቁብ!BT41/Sheet4!$C38</f>
        <v>0</v>
      </c>
      <c r="BT38" s="43">
        <f>ዕቁብ!BU41/Sheet4!$C38</f>
        <v>2</v>
      </c>
      <c r="BU38" s="43">
        <f>ዕቁብ!BV41/Sheet4!$C38</f>
        <v>1</v>
      </c>
      <c r="BV38" s="43">
        <f>ዕቁብ!BW41/Sheet4!$C38</f>
        <v>0</v>
      </c>
      <c r="BW38" s="43">
        <f>ዕቁብ!BX41/Sheet4!$C38</f>
        <v>1</v>
      </c>
      <c r="BX38" s="43">
        <f>ዕቁብ!BY41/Sheet4!$C38</f>
        <v>1</v>
      </c>
      <c r="BY38" s="43">
        <f>ዕቁብ!BZ41/Sheet4!$C38</f>
        <v>1</v>
      </c>
      <c r="BZ38" s="43">
        <f>ዕቁብ!CA41/Sheet4!$C38</f>
        <v>0</v>
      </c>
      <c r="CA38" s="43">
        <f>ዕቁብ!CB41/Sheet4!$C38</f>
        <v>2</v>
      </c>
      <c r="CB38" s="43">
        <f>ዕቁብ!CC41/Sheet4!$C38</f>
        <v>1</v>
      </c>
      <c r="CC38" s="43">
        <f>ዕቁብ!CD41/Sheet4!$C38</f>
        <v>0</v>
      </c>
      <c r="CD38" s="43">
        <f>ዕቁብ!CE41/Sheet4!$C38</f>
        <v>2</v>
      </c>
      <c r="CE38" s="43">
        <f>ዕቁብ!CF41/Sheet4!$C38</f>
        <v>0</v>
      </c>
      <c r="CF38" s="43">
        <f>ዕቁብ!CG41/Sheet4!$C38</f>
        <v>0</v>
      </c>
      <c r="CG38" s="43">
        <f>ዕቁብ!CH41/Sheet4!$C38</f>
        <v>2</v>
      </c>
      <c r="CH38" s="43">
        <f>ዕቁብ!CI41/Sheet4!$C38</f>
        <v>2</v>
      </c>
      <c r="CI38" s="43">
        <f>ዕቁብ!CJ41/Sheet4!$C38</f>
        <v>1</v>
      </c>
      <c r="CJ38" s="43">
        <f>ዕቁብ!CK41/Sheet4!$C38</f>
        <v>1</v>
      </c>
      <c r="CK38" s="43">
        <f>ዕቁብ!CL41/Sheet4!$C38</f>
        <v>1</v>
      </c>
      <c r="CL38" s="43">
        <f>ዕቁብ!CM41/Sheet4!$C38</f>
        <v>0</v>
      </c>
      <c r="CM38" s="43">
        <f>ዕቁብ!CN41/Sheet4!$C38</f>
        <v>0</v>
      </c>
      <c r="CN38" s="43">
        <f>ዕቁብ!CO41/Sheet4!$C38</f>
        <v>0</v>
      </c>
      <c r="CO38" s="43">
        <f>ዕቁብ!CP41/Sheet4!$C38</f>
        <v>2</v>
      </c>
      <c r="CP38" s="43">
        <f>ዕቁብ!CQ41/Sheet4!$C38</f>
        <v>0</v>
      </c>
      <c r="CQ38" s="43">
        <f>ዕቁብ!CR41/Sheet4!$C38</f>
        <v>1</v>
      </c>
      <c r="CR38" s="43">
        <f>ዕቁብ!CS41/Sheet4!$C38</f>
        <v>1</v>
      </c>
      <c r="CS38" s="43">
        <f>ዕቁብ!CT41/Sheet4!$C38</f>
        <v>2</v>
      </c>
      <c r="CT38" s="43">
        <f>ዕቁብ!CU41/Sheet4!$C38</f>
        <v>0</v>
      </c>
      <c r="CU38" s="43">
        <f>ዕቁብ!CV41/Sheet4!$C38</f>
        <v>2</v>
      </c>
      <c r="CV38" s="43">
        <f>ዕቁብ!CW41/Sheet4!$C38</f>
        <v>0</v>
      </c>
      <c r="CW38" s="43">
        <f>ዕቁብ!CX41/Sheet4!$C38</f>
        <v>2</v>
      </c>
      <c r="CX38" s="43">
        <f>ዕቁብ!CY41/Sheet4!$C38</f>
        <v>1</v>
      </c>
      <c r="CY38" s="43">
        <f>ዕቁብ!CZ41/Sheet4!$C38</f>
        <v>0</v>
      </c>
      <c r="CZ38" s="43">
        <f>ዕቁብ!DA41/Sheet4!$C38</f>
        <v>2</v>
      </c>
      <c r="DA38" s="43">
        <f>ዕቁብ!DB41/Sheet4!$C38</f>
        <v>0</v>
      </c>
      <c r="DB38" s="43">
        <f>ዕቁብ!DC41/Sheet4!$C38</f>
        <v>0</v>
      </c>
      <c r="DC38" s="43">
        <f>ዕቁብ!DD41/Sheet4!$C38</f>
        <v>2</v>
      </c>
      <c r="DD38" s="43">
        <f>ዕቁብ!DE41/Sheet4!$C38</f>
        <v>0</v>
      </c>
      <c r="DE38" s="43">
        <f>ዕቁብ!DF41/Sheet4!$C38</f>
        <v>0</v>
      </c>
      <c r="DF38" s="43">
        <f>ዕቁብ!DG41/Sheet4!$C38</f>
        <v>2</v>
      </c>
      <c r="DG38" s="43">
        <f>ዕቁብ!DH41/Sheet4!$C38</f>
        <v>0</v>
      </c>
      <c r="DH38" s="43">
        <f>ዕቁብ!DI41/Sheet4!$C38</f>
        <v>0</v>
      </c>
      <c r="DI38" s="43">
        <f>ዕቁብ!DJ41/Sheet4!$C38</f>
        <v>0</v>
      </c>
      <c r="DJ38" s="43">
        <f>ዕቁብ!DK41/Sheet4!$C38</f>
        <v>0</v>
      </c>
      <c r="DK38" s="43">
        <f>ዕቁብ!DL41/Sheet4!$C38</f>
        <v>0</v>
      </c>
      <c r="DL38" s="43">
        <f>ዕቁብ!DM41/Sheet4!$C38</f>
        <v>0</v>
      </c>
      <c r="DM38" s="43">
        <f>ዕቁብ!DN41/Sheet4!$C38</f>
        <v>0</v>
      </c>
      <c r="DN38" s="43">
        <f>ዕቁብ!DO41/Sheet4!$C38</f>
        <v>0</v>
      </c>
      <c r="DO38" s="43">
        <f>ዕቁብ!DP41/Sheet4!$C38</f>
        <v>0</v>
      </c>
      <c r="DP38" s="43">
        <f>ዕቁብ!DQ41/Sheet4!$C38</f>
        <v>0</v>
      </c>
      <c r="DQ38" s="43">
        <f>ዕቁብ!DR41/Sheet4!$C38</f>
        <v>0</v>
      </c>
    </row>
    <row r="39" spans="1:121" ht="15.75" customHeight="1" x14ac:dyDescent="0.3">
      <c r="A39" s="40">
        <f>ዕቁብ!A42</f>
        <v>36</v>
      </c>
      <c r="B39" s="40" t="str">
        <f>ዕቁብ!B42</f>
        <v>ቢልቢሎ ቢንቤ</v>
      </c>
      <c r="C39" s="30">
        <f>ዕቁብ!C42</f>
        <v>21000</v>
      </c>
      <c r="D39" s="43">
        <f>ዕቁብ!E42/Sheet4!$C39</f>
        <v>1</v>
      </c>
      <c r="E39" s="43">
        <f>ዕቁብ!F42/Sheet4!$C39</f>
        <v>1</v>
      </c>
      <c r="F39" s="43">
        <f>ዕቁብ!G42/Sheet4!$C39</f>
        <v>1</v>
      </c>
      <c r="G39" s="43">
        <f>ዕቁብ!H42/Sheet4!$C39</f>
        <v>1</v>
      </c>
      <c r="H39" s="43">
        <f>ዕቁብ!I42/Sheet4!$C39</f>
        <v>1</v>
      </c>
      <c r="I39" s="43">
        <f>ዕቁብ!J42/Sheet4!$C39</f>
        <v>1</v>
      </c>
      <c r="J39" s="43">
        <f>ዕቁብ!K42/Sheet4!$C39</f>
        <v>1</v>
      </c>
      <c r="K39" s="43">
        <f>ዕቁብ!L42/Sheet4!$C39</f>
        <v>1</v>
      </c>
      <c r="L39" s="43">
        <f>ዕቁብ!M42/Sheet4!$C39</f>
        <v>1</v>
      </c>
      <c r="M39" s="43">
        <f>ዕቁብ!N42/Sheet4!$C39</f>
        <v>1</v>
      </c>
      <c r="N39" s="43">
        <f>ዕቁብ!O42/Sheet4!$C39</f>
        <v>1</v>
      </c>
      <c r="O39" s="43">
        <f>ዕቁብ!P42/Sheet4!$C39</f>
        <v>1</v>
      </c>
      <c r="P39" s="43">
        <f>ዕቁብ!Q42/Sheet4!$C39</f>
        <v>1</v>
      </c>
      <c r="Q39" s="43">
        <f>ዕቁብ!R42/Sheet4!$C39</f>
        <v>1</v>
      </c>
      <c r="R39" s="43">
        <f>ዕቁብ!S42/Sheet4!$C39</f>
        <v>1</v>
      </c>
      <c r="S39" s="43">
        <f>ዕቁብ!T42/Sheet4!$C39</f>
        <v>1</v>
      </c>
      <c r="T39" s="43">
        <f>ዕቁብ!U42/Sheet4!$C39</f>
        <v>1</v>
      </c>
      <c r="U39" s="43">
        <f>ዕቁብ!V42/Sheet4!$C39</f>
        <v>1</v>
      </c>
      <c r="V39" s="43">
        <f>ዕቁብ!W42/Sheet4!$C39</f>
        <v>1</v>
      </c>
      <c r="W39" s="43">
        <f>ዕቁብ!X42/Sheet4!$C39</f>
        <v>1</v>
      </c>
      <c r="X39" s="43">
        <f>ዕቁብ!Y42/Sheet4!$C39</f>
        <v>1</v>
      </c>
      <c r="Y39" s="43">
        <f>ዕቁብ!Z42/Sheet4!$C39</f>
        <v>1</v>
      </c>
      <c r="Z39" s="43">
        <f>ዕቁብ!AA42/Sheet4!$C39</f>
        <v>1</v>
      </c>
      <c r="AA39" s="43">
        <f>ዕቁብ!AB42/Sheet4!$C39</f>
        <v>1</v>
      </c>
      <c r="AB39" s="43">
        <f>ዕቁብ!AC42/Sheet4!$C39</f>
        <v>1</v>
      </c>
      <c r="AC39" s="43">
        <f>ዕቁብ!AD42/Sheet4!$C39</f>
        <v>1</v>
      </c>
      <c r="AD39" s="43">
        <f>ዕቁብ!AE42/Sheet4!$C39</f>
        <v>1</v>
      </c>
      <c r="AE39" s="43">
        <f>ዕቁብ!AF42/Sheet4!$C39</f>
        <v>1</v>
      </c>
      <c r="AF39" s="43">
        <f>ዕቁብ!AG42/Sheet4!$C39</f>
        <v>1</v>
      </c>
      <c r="AG39" s="43">
        <f>ዕቁብ!AH42/Sheet4!$C39</f>
        <v>0</v>
      </c>
      <c r="AH39" s="43">
        <f>ዕቁብ!AI42/Sheet4!$C39</f>
        <v>2</v>
      </c>
      <c r="AI39" s="43">
        <f>ዕቁብ!AJ42/Sheet4!$C39</f>
        <v>1</v>
      </c>
      <c r="AJ39" s="43">
        <f>ዕቁብ!AK42/Sheet4!$C39</f>
        <v>1</v>
      </c>
      <c r="AK39" s="43">
        <f>ዕቁብ!AL42/Sheet4!$C39</f>
        <v>0</v>
      </c>
      <c r="AL39" s="43">
        <f>ዕቁብ!AM42/Sheet4!$C39</f>
        <v>2</v>
      </c>
      <c r="AM39" s="43">
        <f>ዕቁብ!AN42/Sheet4!$C39</f>
        <v>1</v>
      </c>
      <c r="AN39" s="43">
        <f>ዕቁብ!AO42/Sheet4!$C39</f>
        <v>1</v>
      </c>
      <c r="AO39" s="43">
        <f>ዕቁብ!AP42/Sheet4!$C39</f>
        <v>1</v>
      </c>
      <c r="AP39" s="43">
        <f>ዕቁብ!AQ42/Sheet4!$C39</f>
        <v>1</v>
      </c>
      <c r="AQ39" s="43">
        <f>ዕቁብ!AR42/Sheet4!$C39</f>
        <v>1</v>
      </c>
      <c r="AR39" s="43">
        <f>ዕቁብ!AS42/Sheet4!$C39</f>
        <v>0</v>
      </c>
      <c r="AS39" s="43">
        <f>ዕቁብ!AT42/Sheet4!$C39</f>
        <v>2</v>
      </c>
      <c r="AT39" s="43">
        <f>ዕቁብ!AU42/Sheet4!$C39</f>
        <v>0</v>
      </c>
      <c r="AU39" s="43">
        <f>ዕቁብ!AV42/Sheet4!$C39</f>
        <v>2</v>
      </c>
      <c r="AV39" s="43">
        <f>ዕቁብ!AW42/Sheet4!$C39</f>
        <v>0</v>
      </c>
      <c r="AW39" s="43">
        <f>ዕቁብ!AX42/Sheet4!$C39</f>
        <v>2</v>
      </c>
      <c r="AX39" s="43">
        <f>ዕቁብ!AY42/Sheet4!$C39</f>
        <v>0</v>
      </c>
      <c r="AY39" s="43">
        <f>ዕቁብ!AZ42/Sheet4!$C39</f>
        <v>2</v>
      </c>
      <c r="AZ39" s="43">
        <f>ዕቁብ!BA42/Sheet4!$C39</f>
        <v>1</v>
      </c>
      <c r="BA39" s="43">
        <f>ዕቁብ!BB42/Sheet4!$C39</f>
        <v>0</v>
      </c>
      <c r="BB39" s="43">
        <f>ዕቁብ!BC42/Sheet4!$C39</f>
        <v>2</v>
      </c>
      <c r="BC39" s="43">
        <f>ዕቁብ!BD42/Sheet4!$C39</f>
        <v>1</v>
      </c>
      <c r="BD39" s="43">
        <f>ዕቁብ!BE42/Sheet4!$C39</f>
        <v>1</v>
      </c>
      <c r="BE39" s="43">
        <f>ዕቁብ!BF42/Sheet4!$C39</f>
        <v>0</v>
      </c>
      <c r="BF39" s="43">
        <f>ዕቁብ!BG42/Sheet4!$C39</f>
        <v>2</v>
      </c>
      <c r="BG39" s="43">
        <f>ዕቁብ!BH42/Sheet4!$C39</f>
        <v>0</v>
      </c>
      <c r="BH39" s="43">
        <f>ዕቁብ!BI42/Sheet4!$C39</f>
        <v>2</v>
      </c>
      <c r="BI39" s="43">
        <f>ዕቁብ!BJ42/Sheet4!$C39</f>
        <v>0</v>
      </c>
      <c r="BJ39" s="43">
        <f>ዕቁብ!BK42/Sheet4!$C39</f>
        <v>2</v>
      </c>
      <c r="BK39" s="43">
        <f>ዕቁብ!BL42/Sheet4!$C39</f>
        <v>0</v>
      </c>
      <c r="BL39" s="43">
        <f>ዕቁብ!BM42/Sheet4!$C39</f>
        <v>0</v>
      </c>
      <c r="BM39" s="43">
        <f>ዕቁብ!BN42/Sheet4!$C39</f>
        <v>0</v>
      </c>
      <c r="BN39" s="43">
        <f>ዕቁብ!BO42/Sheet4!$C39</f>
        <v>5</v>
      </c>
      <c r="BO39" s="43">
        <f>ዕቁብ!BP42/Sheet4!$C39</f>
        <v>0</v>
      </c>
      <c r="BP39" s="43">
        <f>ዕቁብ!BQ42/Sheet4!$C39</f>
        <v>1</v>
      </c>
      <c r="BQ39" s="43">
        <f>ዕቁብ!BR42/Sheet4!$C39</f>
        <v>0</v>
      </c>
      <c r="BR39" s="43">
        <f>ዕቁብ!BS42/Sheet4!$C39</f>
        <v>0</v>
      </c>
      <c r="BS39" s="43">
        <f>ዕቁብ!BT42/Sheet4!$C39</f>
        <v>2</v>
      </c>
      <c r="BT39" s="43">
        <f>ዕቁብ!BU42/Sheet4!$C39</f>
        <v>2</v>
      </c>
      <c r="BU39" s="43">
        <f>ዕቁብ!BV42/Sheet4!$C39</f>
        <v>1</v>
      </c>
      <c r="BV39" s="43">
        <f>ዕቁብ!BW42/Sheet4!$C39</f>
        <v>1</v>
      </c>
      <c r="BW39" s="43">
        <f>ዕቁብ!BX42/Sheet4!$C39</f>
        <v>0</v>
      </c>
      <c r="BX39" s="43">
        <f>ዕቁብ!BY42/Sheet4!$C39</f>
        <v>2</v>
      </c>
      <c r="BY39" s="43">
        <f>ዕቁብ!BZ42/Sheet4!$C39</f>
        <v>0</v>
      </c>
      <c r="BZ39" s="43">
        <f>ዕቁብ!CA42/Sheet4!$C39</f>
        <v>2</v>
      </c>
      <c r="CA39" s="43">
        <f>ዕቁብ!CB42/Sheet4!$C39</f>
        <v>1</v>
      </c>
      <c r="CB39" s="43">
        <f>ዕቁብ!CC42/Sheet4!$C39</f>
        <v>0</v>
      </c>
      <c r="CC39" s="43">
        <f>ዕቁብ!CD42/Sheet4!$C39</f>
        <v>2</v>
      </c>
      <c r="CD39" s="43">
        <f>ዕቁብ!CE42/Sheet4!$C39</f>
        <v>0</v>
      </c>
      <c r="CE39" s="43">
        <f>ዕቁብ!CF42/Sheet4!$C39</f>
        <v>2</v>
      </c>
      <c r="CF39" s="43">
        <f>ዕቁብ!CG42/Sheet4!$C39</f>
        <v>0</v>
      </c>
      <c r="CG39" s="43">
        <f>ዕቁብ!CH42/Sheet4!$C39</f>
        <v>2</v>
      </c>
      <c r="CH39" s="43">
        <f>ዕቁብ!CI42/Sheet4!$C39</f>
        <v>0</v>
      </c>
      <c r="CI39" s="43">
        <f>ዕቁብ!CJ42/Sheet4!$C39</f>
        <v>2</v>
      </c>
      <c r="CJ39" s="43">
        <f>ዕቁብ!CK42/Sheet4!$C39</f>
        <v>0</v>
      </c>
      <c r="CK39" s="43">
        <f>ዕቁብ!CL42/Sheet4!$C39</f>
        <v>2</v>
      </c>
      <c r="CL39" s="43">
        <f>ዕቁብ!CM42/Sheet4!$C39</f>
        <v>0</v>
      </c>
      <c r="CM39" s="43">
        <f>ዕቁብ!CN42/Sheet4!$C39</f>
        <v>2</v>
      </c>
      <c r="CN39" s="43">
        <f>ዕቁብ!CO42/Sheet4!$C39</f>
        <v>1</v>
      </c>
      <c r="CO39" s="43">
        <f>ዕቁብ!CP42/Sheet4!$C39</f>
        <v>1</v>
      </c>
      <c r="CP39" s="43">
        <f>ዕቁብ!CQ42/Sheet4!$C39</f>
        <v>1</v>
      </c>
      <c r="CQ39" s="43">
        <f>ዕቁብ!CR42/Sheet4!$C39</f>
        <v>0</v>
      </c>
      <c r="CR39" s="43">
        <f>ዕቁብ!CS42/Sheet4!$C39</f>
        <v>0</v>
      </c>
      <c r="CS39" s="43">
        <f>ዕቁብ!CT42/Sheet4!$C39</f>
        <v>2</v>
      </c>
      <c r="CT39" s="43">
        <f>ዕቁብ!CU42/Sheet4!$C39</f>
        <v>2</v>
      </c>
      <c r="CU39" s="43">
        <f>ዕቁብ!CV42/Sheet4!$C39</f>
        <v>0</v>
      </c>
      <c r="CV39" s="43">
        <f>ዕቁብ!CW42/Sheet4!$C39</f>
        <v>0</v>
      </c>
      <c r="CW39" s="43">
        <f>ዕቁብ!CX42/Sheet4!$C39</f>
        <v>2</v>
      </c>
      <c r="CX39" s="43">
        <f>ዕቁብ!CY42/Sheet4!$C39</f>
        <v>0</v>
      </c>
      <c r="CY39" s="43">
        <f>ዕቁብ!CZ42/Sheet4!$C39</f>
        <v>3</v>
      </c>
      <c r="CZ39" s="43">
        <f>ዕቁብ!DA42/Sheet4!$C39</f>
        <v>0</v>
      </c>
      <c r="DA39" s="43">
        <f>ዕቁብ!DB42/Sheet4!$C39</f>
        <v>0</v>
      </c>
      <c r="DB39" s="43">
        <f>ዕቁብ!DC42/Sheet4!$C39</f>
        <v>3</v>
      </c>
      <c r="DC39" s="43">
        <f>ዕቁብ!DD42/Sheet4!$C39</f>
        <v>0</v>
      </c>
      <c r="DD39" s="43">
        <f>ዕቁብ!DE42/Sheet4!$C39</f>
        <v>2</v>
      </c>
      <c r="DE39" s="43">
        <f>ዕቁብ!DF42/Sheet4!$C39</f>
        <v>0</v>
      </c>
      <c r="DF39" s="43">
        <f>ዕቁብ!DG42/Sheet4!$C39</f>
        <v>2</v>
      </c>
      <c r="DG39" s="43">
        <f>ዕቁብ!DH42/Sheet4!$C39</f>
        <v>0</v>
      </c>
      <c r="DH39" s="43">
        <f>ዕቁብ!DI42/Sheet4!$C39</f>
        <v>0</v>
      </c>
      <c r="DI39" s="43">
        <f>ዕቁብ!DJ42/Sheet4!$C39</f>
        <v>0</v>
      </c>
      <c r="DJ39" s="43">
        <f>ዕቁብ!DK42/Sheet4!$C39</f>
        <v>0</v>
      </c>
      <c r="DK39" s="43">
        <f>ዕቁብ!DL42/Sheet4!$C39</f>
        <v>0</v>
      </c>
      <c r="DL39" s="43">
        <f>ዕቁብ!DM42/Sheet4!$C39</f>
        <v>0</v>
      </c>
      <c r="DM39" s="43">
        <f>ዕቁብ!DN42/Sheet4!$C39</f>
        <v>0</v>
      </c>
      <c r="DN39" s="43">
        <f>ዕቁብ!DO42/Sheet4!$C39</f>
        <v>0</v>
      </c>
      <c r="DO39" s="43">
        <f>ዕቁብ!DP42/Sheet4!$C39</f>
        <v>0</v>
      </c>
      <c r="DP39" s="43">
        <f>ዕቁብ!DQ42/Sheet4!$C39</f>
        <v>0</v>
      </c>
      <c r="DQ39" s="43">
        <f>ዕቁብ!DR42/Sheet4!$C39</f>
        <v>0</v>
      </c>
    </row>
    <row r="40" spans="1:121" ht="15.75" customHeight="1" x14ac:dyDescent="0.3">
      <c r="A40" s="40">
        <f>ዕቁብ!A43</f>
        <v>37</v>
      </c>
      <c r="B40" s="40" t="str">
        <f>ዕቁብ!B43</f>
        <v>ስንቅነሽ ጃራ</v>
      </c>
      <c r="C40" s="30">
        <f>ዕቁብ!C43</f>
        <v>21000</v>
      </c>
      <c r="D40" s="43">
        <f>ዕቁብ!E43/Sheet4!$C40</f>
        <v>1</v>
      </c>
      <c r="E40" s="43">
        <f>ዕቁብ!F43/Sheet4!$C40</f>
        <v>1</v>
      </c>
      <c r="F40" s="43">
        <f>ዕቁብ!G43/Sheet4!$C40</f>
        <v>1</v>
      </c>
      <c r="G40" s="43">
        <f>ዕቁብ!H43/Sheet4!$C40</f>
        <v>1</v>
      </c>
      <c r="H40" s="43">
        <f>ዕቁብ!I43/Sheet4!$C40</f>
        <v>1</v>
      </c>
      <c r="I40" s="43">
        <f>ዕቁብ!J43/Sheet4!$C40</f>
        <v>1</v>
      </c>
      <c r="J40" s="43">
        <f>ዕቁብ!K43/Sheet4!$C40</f>
        <v>1</v>
      </c>
      <c r="K40" s="43">
        <f>ዕቁብ!L43/Sheet4!$C40</f>
        <v>1</v>
      </c>
      <c r="L40" s="43">
        <f>ዕቁብ!M43/Sheet4!$C40</f>
        <v>1</v>
      </c>
      <c r="M40" s="43">
        <f>ዕቁብ!N43/Sheet4!$C40</f>
        <v>1</v>
      </c>
      <c r="N40" s="43">
        <f>ዕቁብ!O43/Sheet4!$C40</f>
        <v>1</v>
      </c>
      <c r="O40" s="43">
        <f>ዕቁብ!P43/Sheet4!$C40</f>
        <v>1</v>
      </c>
      <c r="P40" s="43">
        <f>ዕቁብ!Q43/Sheet4!$C40</f>
        <v>1</v>
      </c>
      <c r="Q40" s="43">
        <f>ዕቁብ!R43/Sheet4!$C40</f>
        <v>1</v>
      </c>
      <c r="R40" s="43">
        <f>ዕቁብ!S43/Sheet4!$C40</f>
        <v>1</v>
      </c>
      <c r="S40" s="43">
        <f>ዕቁብ!T43/Sheet4!$C40</f>
        <v>1</v>
      </c>
      <c r="T40" s="43">
        <f>ዕቁብ!U43/Sheet4!$C40</f>
        <v>1</v>
      </c>
      <c r="U40" s="43">
        <f>ዕቁብ!V43/Sheet4!$C40</f>
        <v>1</v>
      </c>
      <c r="V40" s="43">
        <f>ዕቁብ!W43/Sheet4!$C40</f>
        <v>1</v>
      </c>
      <c r="W40" s="43">
        <f>ዕቁብ!X43/Sheet4!$C40</f>
        <v>1</v>
      </c>
      <c r="X40" s="43">
        <f>ዕቁብ!Y43/Sheet4!$C40</f>
        <v>1</v>
      </c>
      <c r="Y40" s="43">
        <f>ዕቁብ!Z43/Sheet4!$C40</f>
        <v>0</v>
      </c>
      <c r="Z40" s="43">
        <f>ዕቁብ!AA43/Sheet4!$C40</f>
        <v>2</v>
      </c>
      <c r="AA40" s="43">
        <f>ዕቁብ!AB43/Sheet4!$C40</f>
        <v>0</v>
      </c>
      <c r="AB40" s="43">
        <f>ዕቁብ!AC43/Sheet4!$C40</f>
        <v>2</v>
      </c>
      <c r="AC40" s="43">
        <f>ዕቁብ!AD43/Sheet4!$C40</f>
        <v>0</v>
      </c>
      <c r="AD40" s="43">
        <f>ዕቁብ!AE43/Sheet4!$C40</f>
        <v>2</v>
      </c>
      <c r="AE40" s="43">
        <f>ዕቁብ!AF43/Sheet4!$C40</f>
        <v>1</v>
      </c>
      <c r="AF40" s="43">
        <f>ዕቁብ!AG43/Sheet4!$C40</f>
        <v>1</v>
      </c>
      <c r="AG40" s="43">
        <f>ዕቁብ!AH43/Sheet4!$C40</f>
        <v>1</v>
      </c>
      <c r="AH40" s="43">
        <f>ዕቁብ!AI43/Sheet4!$C40</f>
        <v>1</v>
      </c>
      <c r="AI40" s="43">
        <f>ዕቁብ!AJ43/Sheet4!$C40</f>
        <v>1</v>
      </c>
      <c r="AJ40" s="43">
        <f>ዕቁብ!AK43/Sheet4!$C40</f>
        <v>1</v>
      </c>
      <c r="AK40" s="43">
        <f>ዕቁብ!AL43/Sheet4!$C40</f>
        <v>1</v>
      </c>
      <c r="AL40" s="43">
        <f>ዕቁብ!AM43/Sheet4!$C40</f>
        <v>1</v>
      </c>
      <c r="AM40" s="43">
        <f>ዕቁብ!AN43/Sheet4!$C40</f>
        <v>1</v>
      </c>
      <c r="AN40" s="43">
        <f>ዕቁብ!AO43/Sheet4!$C40</f>
        <v>1</v>
      </c>
      <c r="AO40" s="43">
        <f>ዕቁብ!AP43/Sheet4!$C40</f>
        <v>1</v>
      </c>
      <c r="AP40" s="43">
        <f>ዕቁብ!AQ43/Sheet4!$C40</f>
        <v>0</v>
      </c>
      <c r="AQ40" s="43">
        <f>ዕቁብ!AR43/Sheet4!$C40</f>
        <v>2</v>
      </c>
      <c r="AR40" s="43">
        <f>ዕቁብ!AS43/Sheet4!$C40</f>
        <v>1</v>
      </c>
      <c r="AS40" s="43">
        <f>ዕቁብ!AT43/Sheet4!$C40</f>
        <v>1</v>
      </c>
      <c r="AT40" s="43">
        <f>ዕቁብ!AU43/Sheet4!$C40</f>
        <v>0</v>
      </c>
      <c r="AU40" s="43">
        <f>ዕቁብ!AV43/Sheet4!$C40</f>
        <v>0</v>
      </c>
      <c r="AV40" s="43">
        <f>ዕቁብ!AW43/Sheet4!$C40</f>
        <v>3</v>
      </c>
      <c r="AW40" s="43">
        <f>ዕቁብ!AX43/Sheet4!$C40</f>
        <v>1</v>
      </c>
      <c r="AX40" s="43">
        <f>ዕቁብ!AY43/Sheet4!$C40</f>
        <v>1</v>
      </c>
      <c r="AY40" s="43">
        <f>ዕቁብ!AZ43/Sheet4!$C40</f>
        <v>1</v>
      </c>
      <c r="AZ40" s="43">
        <f>ዕቁብ!BA43/Sheet4!$C40</f>
        <v>1</v>
      </c>
      <c r="BA40" s="43">
        <f>ዕቁብ!BB43/Sheet4!$C40</f>
        <v>0</v>
      </c>
      <c r="BB40" s="43">
        <f>ዕቁብ!BC43/Sheet4!$C40</f>
        <v>2</v>
      </c>
      <c r="BC40" s="43">
        <f>ዕቁብ!BD43/Sheet4!$C40</f>
        <v>1</v>
      </c>
      <c r="BD40" s="43">
        <f>ዕቁብ!BE43/Sheet4!$C40</f>
        <v>1</v>
      </c>
      <c r="BE40" s="43">
        <f>ዕቁብ!BF43/Sheet4!$C40</f>
        <v>1</v>
      </c>
      <c r="BF40" s="43">
        <f>ዕቁብ!BG43/Sheet4!$C40</f>
        <v>1</v>
      </c>
      <c r="BG40" s="43">
        <f>ዕቁብ!BH43/Sheet4!$C40</f>
        <v>1</v>
      </c>
      <c r="BH40" s="43">
        <f>ዕቁብ!BI43/Sheet4!$C40</f>
        <v>1</v>
      </c>
      <c r="BI40" s="43">
        <f>ዕቁብ!BJ43/Sheet4!$C40</f>
        <v>0</v>
      </c>
      <c r="BJ40" s="43">
        <f>ዕቁብ!BK43/Sheet4!$C40</f>
        <v>2</v>
      </c>
      <c r="BK40" s="43">
        <f>ዕቁብ!BL43/Sheet4!$C40</f>
        <v>1</v>
      </c>
      <c r="BL40" s="43">
        <f>ዕቁብ!BM43/Sheet4!$C40</f>
        <v>1</v>
      </c>
      <c r="BM40" s="43">
        <f>ዕቁብ!BN43/Sheet4!$C40</f>
        <v>0</v>
      </c>
      <c r="BN40" s="43">
        <f>ዕቁብ!BO43/Sheet4!$C40</f>
        <v>0</v>
      </c>
      <c r="BO40" s="43">
        <f>ዕቁብ!BP43/Sheet4!$C40</f>
        <v>3</v>
      </c>
      <c r="BP40" s="43">
        <f>ዕቁብ!BQ43/Sheet4!$C40</f>
        <v>1</v>
      </c>
      <c r="BQ40" s="43">
        <f>ዕቁብ!BR43/Sheet4!$C40</f>
        <v>1</v>
      </c>
      <c r="BR40" s="43">
        <f>ዕቁብ!BS43/Sheet4!$C40</f>
        <v>0</v>
      </c>
      <c r="BS40" s="43">
        <f>ዕቁብ!BT43/Sheet4!$C40</f>
        <v>2</v>
      </c>
      <c r="BT40" s="43">
        <f>ዕቁብ!BU43/Sheet4!$C40</f>
        <v>1</v>
      </c>
      <c r="BU40" s="43">
        <f>ዕቁብ!BV43/Sheet4!$C40</f>
        <v>0</v>
      </c>
      <c r="BV40" s="43">
        <f>ዕቁብ!BW43/Sheet4!$C40</f>
        <v>2</v>
      </c>
      <c r="BW40" s="43">
        <f>ዕቁብ!BX43/Sheet4!$C40</f>
        <v>0</v>
      </c>
      <c r="BX40" s="43">
        <f>ዕቁብ!BY43/Sheet4!$C40</f>
        <v>2</v>
      </c>
      <c r="BY40" s="43">
        <f>ዕቁብ!BZ43/Sheet4!$C40</f>
        <v>0</v>
      </c>
      <c r="BZ40" s="43">
        <f>ዕቁብ!CA43/Sheet4!$C40</f>
        <v>2</v>
      </c>
      <c r="CA40" s="43">
        <f>ዕቁብ!CB43/Sheet4!$C40</f>
        <v>1</v>
      </c>
      <c r="CB40" s="43">
        <f>ዕቁብ!CC43/Sheet4!$C40</f>
        <v>0</v>
      </c>
      <c r="CC40" s="43">
        <f>ዕቁብ!CD43/Sheet4!$C40</f>
        <v>0</v>
      </c>
      <c r="CD40" s="43">
        <f>ዕቁብ!CE43/Sheet4!$C40</f>
        <v>3</v>
      </c>
      <c r="CE40" s="43">
        <f>ዕቁብ!CF43/Sheet4!$C40</f>
        <v>0</v>
      </c>
      <c r="CF40" s="43">
        <f>ዕቁብ!CG43/Sheet4!$C40</f>
        <v>2</v>
      </c>
      <c r="CG40" s="43">
        <f>ዕቁብ!CH43/Sheet4!$C40</f>
        <v>1</v>
      </c>
      <c r="CH40" s="43">
        <f>ዕቁብ!CI43/Sheet4!$C40</f>
        <v>0</v>
      </c>
      <c r="CI40" s="43">
        <f>ዕቁብ!CJ43/Sheet4!$C40</f>
        <v>2</v>
      </c>
      <c r="CJ40" s="43">
        <f>ዕቁብ!CK43/Sheet4!$C40</f>
        <v>1</v>
      </c>
      <c r="CK40" s="43">
        <f>ዕቁብ!CL43/Sheet4!$C40</f>
        <v>1</v>
      </c>
      <c r="CL40" s="43">
        <f>ዕቁብ!CM43/Sheet4!$C40</f>
        <v>1</v>
      </c>
      <c r="CM40" s="43">
        <f>ዕቁብ!CN43/Sheet4!$C40</f>
        <v>1</v>
      </c>
      <c r="CN40" s="43">
        <f>ዕቁብ!CO43/Sheet4!$C40</f>
        <v>0</v>
      </c>
      <c r="CO40" s="43">
        <f>ዕቁብ!CP43/Sheet4!$C40</f>
        <v>2</v>
      </c>
      <c r="CP40" s="43">
        <f>ዕቁብ!CQ43/Sheet4!$C40</f>
        <v>0</v>
      </c>
      <c r="CQ40" s="43">
        <f>ዕቁብ!CR43/Sheet4!$C40</f>
        <v>2</v>
      </c>
      <c r="CR40" s="43">
        <f>ዕቁብ!CS43/Sheet4!$C40</f>
        <v>1</v>
      </c>
      <c r="CS40" s="43">
        <f>ዕቁብ!CT43/Sheet4!$C40</f>
        <v>1</v>
      </c>
      <c r="CT40" s="43">
        <f>ዕቁብ!CU43/Sheet4!$C40</f>
        <v>0</v>
      </c>
      <c r="CU40" s="43">
        <f>ዕቁብ!CV43/Sheet4!$C40</f>
        <v>0</v>
      </c>
      <c r="CV40" s="43">
        <f>ዕቁብ!CW43/Sheet4!$C40</f>
        <v>3</v>
      </c>
      <c r="CW40" s="43">
        <f>ዕቁብ!CX43/Sheet4!$C40</f>
        <v>1</v>
      </c>
      <c r="CX40" s="43">
        <f>ዕቁብ!CY43/Sheet4!$C40</f>
        <v>1</v>
      </c>
      <c r="CY40" s="43">
        <f>ዕቁብ!CZ43/Sheet4!$C40</f>
        <v>1</v>
      </c>
      <c r="CZ40" s="43">
        <f>ዕቁብ!DA43/Sheet4!$C40</f>
        <v>1</v>
      </c>
      <c r="DA40" s="43">
        <f>ዕቁብ!DB43/Sheet4!$C40</f>
        <v>1</v>
      </c>
      <c r="DB40" s="43">
        <f>ዕቁብ!DC43/Sheet4!$C40</f>
        <v>0</v>
      </c>
      <c r="DC40" s="43">
        <f>ዕቁብ!DD43/Sheet4!$C40</f>
        <v>2</v>
      </c>
      <c r="DD40" s="43">
        <f>ዕቁብ!DE43/Sheet4!$C40</f>
        <v>0</v>
      </c>
      <c r="DE40" s="43">
        <f>ዕቁብ!DF43/Sheet4!$C40</f>
        <v>2</v>
      </c>
      <c r="DF40" s="43">
        <f>ዕቁብ!DG43/Sheet4!$C40</f>
        <v>1</v>
      </c>
      <c r="DG40" s="43">
        <f>ዕቁብ!DH43/Sheet4!$C40</f>
        <v>0</v>
      </c>
      <c r="DH40" s="43">
        <f>ዕቁብ!DI43/Sheet4!$C40</f>
        <v>0</v>
      </c>
      <c r="DI40" s="43">
        <f>ዕቁብ!DJ43/Sheet4!$C40</f>
        <v>0</v>
      </c>
      <c r="DJ40" s="43">
        <f>ዕቁብ!DK43/Sheet4!$C40</f>
        <v>0</v>
      </c>
      <c r="DK40" s="43">
        <f>ዕቁብ!DL43/Sheet4!$C40</f>
        <v>0</v>
      </c>
      <c r="DL40" s="43">
        <f>ዕቁብ!DM43/Sheet4!$C40</f>
        <v>0</v>
      </c>
      <c r="DM40" s="43">
        <f>ዕቁብ!DN43/Sheet4!$C40</f>
        <v>0</v>
      </c>
      <c r="DN40" s="43">
        <f>ዕቁብ!DO43/Sheet4!$C40</f>
        <v>0</v>
      </c>
      <c r="DO40" s="43">
        <f>ዕቁብ!DP43/Sheet4!$C40</f>
        <v>0</v>
      </c>
      <c r="DP40" s="43">
        <f>ዕቁብ!DQ43/Sheet4!$C40</f>
        <v>0</v>
      </c>
      <c r="DQ40" s="43">
        <f>ዕቁብ!DR43/Sheet4!$C40</f>
        <v>0</v>
      </c>
    </row>
    <row r="41" spans="1:121" ht="15.75" customHeight="1" x14ac:dyDescent="0.3">
      <c r="A41" s="40">
        <f>ዕቁብ!A44</f>
        <v>38</v>
      </c>
      <c r="B41" s="40" t="str">
        <f>ዕቁብ!B44</f>
        <v>ሰለሞን ብርቄ</v>
      </c>
      <c r="C41" s="30">
        <f>ዕቁብ!C44</f>
        <v>21000</v>
      </c>
      <c r="D41" s="43">
        <f>ዕቁብ!E44/Sheet4!$C41</f>
        <v>1</v>
      </c>
      <c r="E41" s="43">
        <f>ዕቁብ!F44/Sheet4!$C41</f>
        <v>1</v>
      </c>
      <c r="F41" s="43">
        <f>ዕቁብ!G44/Sheet4!$C41</f>
        <v>1</v>
      </c>
      <c r="G41" s="43">
        <f>ዕቁብ!H44/Sheet4!$C41</f>
        <v>1</v>
      </c>
      <c r="H41" s="43">
        <f>ዕቁብ!I44/Sheet4!$C41</f>
        <v>1</v>
      </c>
      <c r="I41" s="43">
        <f>ዕቁብ!J44/Sheet4!$C41</f>
        <v>1</v>
      </c>
      <c r="J41" s="43">
        <f>ዕቁብ!K44/Sheet4!$C41</f>
        <v>1</v>
      </c>
      <c r="K41" s="43">
        <f>ዕቁብ!L44/Sheet4!$C41</f>
        <v>1</v>
      </c>
      <c r="L41" s="43">
        <f>ዕቁብ!M44/Sheet4!$C41</f>
        <v>1</v>
      </c>
      <c r="M41" s="43">
        <f>ዕቁብ!N44/Sheet4!$C41</f>
        <v>1</v>
      </c>
      <c r="N41" s="43">
        <f>ዕቁብ!O44/Sheet4!$C41</f>
        <v>1</v>
      </c>
      <c r="O41" s="43">
        <f>ዕቁብ!P44/Sheet4!$C41</f>
        <v>1</v>
      </c>
      <c r="P41" s="43">
        <f>ዕቁብ!Q44/Sheet4!$C41</f>
        <v>1</v>
      </c>
      <c r="Q41" s="43">
        <f>ዕቁብ!R44/Sheet4!$C41</f>
        <v>1</v>
      </c>
      <c r="R41" s="43">
        <f>ዕቁብ!S44/Sheet4!$C41</f>
        <v>1</v>
      </c>
      <c r="S41" s="43">
        <f>ዕቁብ!T44/Sheet4!$C41</f>
        <v>1</v>
      </c>
      <c r="T41" s="43">
        <f>ዕቁብ!U44/Sheet4!$C41</f>
        <v>1</v>
      </c>
      <c r="U41" s="43">
        <f>ዕቁብ!V44/Sheet4!$C41</f>
        <v>1</v>
      </c>
      <c r="V41" s="43">
        <f>ዕቁብ!W44/Sheet4!$C41</f>
        <v>1</v>
      </c>
      <c r="W41" s="43">
        <f>ዕቁብ!X44/Sheet4!$C41</f>
        <v>1</v>
      </c>
      <c r="X41" s="43">
        <f>ዕቁብ!Y44/Sheet4!$C41</f>
        <v>1</v>
      </c>
      <c r="Y41" s="43">
        <f>ዕቁብ!Z44/Sheet4!$C41</f>
        <v>1</v>
      </c>
      <c r="Z41" s="43">
        <f>ዕቁብ!AA44/Sheet4!$C41</f>
        <v>1</v>
      </c>
      <c r="AA41" s="43">
        <f>ዕቁብ!AB44/Sheet4!$C41</f>
        <v>1</v>
      </c>
      <c r="AB41" s="43">
        <f>ዕቁብ!AC44/Sheet4!$C41</f>
        <v>1</v>
      </c>
      <c r="AC41" s="43">
        <f>ዕቁብ!AD44/Sheet4!$C41</f>
        <v>1</v>
      </c>
      <c r="AD41" s="43">
        <f>ዕቁብ!AE44/Sheet4!$C41</f>
        <v>1</v>
      </c>
      <c r="AE41" s="43">
        <f>ዕቁብ!AF44/Sheet4!$C41</f>
        <v>1</v>
      </c>
      <c r="AF41" s="43">
        <f>ዕቁብ!AG44/Sheet4!$C41</f>
        <v>1</v>
      </c>
      <c r="AG41" s="43">
        <f>ዕቁብ!AH44/Sheet4!$C41</f>
        <v>1</v>
      </c>
      <c r="AH41" s="43">
        <f>ዕቁብ!AI44/Sheet4!$C41</f>
        <v>1</v>
      </c>
      <c r="AI41" s="43">
        <f>ዕቁብ!AJ44/Sheet4!$C41</f>
        <v>1</v>
      </c>
      <c r="AJ41" s="43">
        <f>ዕቁብ!AK44/Sheet4!$C41</f>
        <v>1</v>
      </c>
      <c r="AK41" s="43">
        <f>ዕቁብ!AL44/Sheet4!$C41</f>
        <v>1</v>
      </c>
      <c r="AL41" s="43">
        <f>ዕቁብ!AM44/Sheet4!$C41</f>
        <v>1</v>
      </c>
      <c r="AM41" s="43">
        <f>ዕቁብ!AN44/Sheet4!$C41</f>
        <v>1</v>
      </c>
      <c r="AN41" s="43">
        <f>ዕቁብ!AO44/Sheet4!$C41</f>
        <v>1</v>
      </c>
      <c r="AO41" s="43">
        <f>ዕቁብ!AP44/Sheet4!$C41</f>
        <v>1</v>
      </c>
      <c r="AP41" s="43">
        <f>ዕቁብ!AQ44/Sheet4!$C41</f>
        <v>1</v>
      </c>
      <c r="AQ41" s="43">
        <f>ዕቁብ!AR44/Sheet4!$C41</f>
        <v>1</v>
      </c>
      <c r="AR41" s="43">
        <f>ዕቁብ!AS44/Sheet4!$C41</f>
        <v>1</v>
      </c>
      <c r="AS41" s="43">
        <f>ዕቁብ!AT44/Sheet4!$C41</f>
        <v>1</v>
      </c>
      <c r="AT41" s="43">
        <f>ዕቁብ!AU44/Sheet4!$C41</f>
        <v>1</v>
      </c>
      <c r="AU41" s="43">
        <f>ዕቁብ!AV44/Sheet4!$C41</f>
        <v>1</v>
      </c>
      <c r="AV41" s="43">
        <f>ዕቁብ!AW44/Sheet4!$C41</f>
        <v>1</v>
      </c>
      <c r="AW41" s="43">
        <f>ዕቁብ!AX44/Sheet4!$C41</f>
        <v>1</v>
      </c>
      <c r="AX41" s="43">
        <f>ዕቁብ!AY44/Sheet4!$C41</f>
        <v>1</v>
      </c>
      <c r="AY41" s="43">
        <f>ዕቁብ!AZ44/Sheet4!$C41</f>
        <v>1</v>
      </c>
      <c r="AZ41" s="43">
        <f>ዕቁብ!BA44/Sheet4!$C41</f>
        <v>1</v>
      </c>
      <c r="BA41" s="43">
        <f>ዕቁብ!BB44/Sheet4!$C41</f>
        <v>1</v>
      </c>
      <c r="BB41" s="43">
        <f>ዕቁብ!BC44/Sheet4!$C41</f>
        <v>1</v>
      </c>
      <c r="BC41" s="43">
        <f>ዕቁብ!BD44/Sheet4!$C41</f>
        <v>1</v>
      </c>
      <c r="BD41" s="43">
        <f>ዕቁብ!BE44/Sheet4!$C41</f>
        <v>1</v>
      </c>
      <c r="BE41" s="43">
        <f>ዕቁብ!BF44/Sheet4!$C41</f>
        <v>1</v>
      </c>
      <c r="BF41" s="43">
        <f>ዕቁብ!BG44/Sheet4!$C41</f>
        <v>1</v>
      </c>
      <c r="BG41" s="43">
        <f>ዕቁብ!BH44/Sheet4!$C41</f>
        <v>1</v>
      </c>
      <c r="BH41" s="43">
        <f>ዕቁብ!BI44/Sheet4!$C41</f>
        <v>1</v>
      </c>
      <c r="BI41" s="43">
        <f>ዕቁብ!BJ44/Sheet4!$C41</f>
        <v>1</v>
      </c>
      <c r="BJ41" s="43">
        <f>ዕቁብ!BK44/Sheet4!$C41</f>
        <v>1</v>
      </c>
      <c r="BK41" s="43">
        <f>ዕቁብ!BL44/Sheet4!$C41</f>
        <v>1</v>
      </c>
      <c r="BL41" s="43">
        <f>ዕቁብ!BM44/Sheet4!$C41</f>
        <v>1</v>
      </c>
      <c r="BM41" s="43">
        <f>ዕቁብ!BN44/Sheet4!$C41</f>
        <v>1</v>
      </c>
      <c r="BN41" s="43">
        <f>ዕቁብ!BO44/Sheet4!$C41</f>
        <v>1</v>
      </c>
      <c r="BO41" s="43">
        <f>ዕቁብ!BP44/Sheet4!$C41</f>
        <v>1</v>
      </c>
      <c r="BP41" s="43">
        <f>ዕቁብ!BQ44/Sheet4!$C41</f>
        <v>1</v>
      </c>
      <c r="BQ41" s="43">
        <f>ዕቁብ!BR44/Sheet4!$C41</f>
        <v>1</v>
      </c>
      <c r="BR41" s="43">
        <f>ዕቁብ!BS44/Sheet4!$C41</f>
        <v>1</v>
      </c>
      <c r="BS41" s="43">
        <f>ዕቁብ!BT44/Sheet4!$C41</f>
        <v>1</v>
      </c>
      <c r="BT41" s="43">
        <f>ዕቁብ!BU44/Sheet4!$C41</f>
        <v>1</v>
      </c>
      <c r="BU41" s="43">
        <f>ዕቁብ!BV44/Sheet4!$C41</f>
        <v>1</v>
      </c>
      <c r="BV41" s="43">
        <f>ዕቁብ!BW44/Sheet4!$C41</f>
        <v>1</v>
      </c>
      <c r="BW41" s="43">
        <f>ዕቁብ!BX44/Sheet4!$C41</f>
        <v>1</v>
      </c>
      <c r="BX41" s="43">
        <f>ዕቁብ!BY44/Sheet4!$C41</f>
        <v>1</v>
      </c>
      <c r="BY41" s="43">
        <f>ዕቁብ!BZ44/Sheet4!$C41</f>
        <v>1</v>
      </c>
      <c r="BZ41" s="43">
        <f>ዕቁብ!CA44/Sheet4!$C41</f>
        <v>1</v>
      </c>
      <c r="CA41" s="43">
        <f>ዕቁብ!CB44/Sheet4!$C41</f>
        <v>1</v>
      </c>
      <c r="CB41" s="43">
        <f>ዕቁብ!CC44/Sheet4!$C41</f>
        <v>1</v>
      </c>
      <c r="CC41" s="43">
        <f>ዕቁብ!CD44/Sheet4!$C41</f>
        <v>0</v>
      </c>
      <c r="CD41" s="43">
        <f>ዕቁብ!CE44/Sheet4!$C41</f>
        <v>2</v>
      </c>
      <c r="CE41" s="43">
        <f>ዕቁብ!CF44/Sheet4!$C41</f>
        <v>1</v>
      </c>
      <c r="CF41" s="43">
        <f>ዕቁብ!CG44/Sheet4!$C41</f>
        <v>1</v>
      </c>
      <c r="CG41" s="43">
        <f>ዕቁብ!CH44/Sheet4!$C41</f>
        <v>1</v>
      </c>
      <c r="CH41" s="43">
        <f>ዕቁብ!CI44/Sheet4!$C41</f>
        <v>1</v>
      </c>
      <c r="CI41" s="43">
        <f>ዕቁብ!CJ44/Sheet4!$C41</f>
        <v>1</v>
      </c>
      <c r="CJ41" s="43">
        <f>ዕቁብ!CK44/Sheet4!$C41</f>
        <v>1</v>
      </c>
      <c r="CK41" s="43">
        <f>ዕቁብ!CL44/Sheet4!$C41</f>
        <v>1</v>
      </c>
      <c r="CL41" s="43">
        <f>ዕቁብ!CM44/Sheet4!$C41</f>
        <v>1</v>
      </c>
      <c r="CM41" s="43">
        <f>ዕቁብ!CN44/Sheet4!$C41</f>
        <v>1</v>
      </c>
      <c r="CN41" s="43">
        <f>ዕቁብ!CO44/Sheet4!$C41</f>
        <v>1</v>
      </c>
      <c r="CO41" s="43">
        <f>ዕቁብ!CP44/Sheet4!$C41</f>
        <v>1</v>
      </c>
      <c r="CP41" s="43">
        <f>ዕቁብ!CQ44/Sheet4!$C41</f>
        <v>1</v>
      </c>
      <c r="CQ41" s="43">
        <f>ዕቁብ!CR44/Sheet4!$C41</f>
        <v>1</v>
      </c>
      <c r="CR41" s="43">
        <f>ዕቁብ!CS44/Sheet4!$C41</f>
        <v>1</v>
      </c>
      <c r="CS41" s="43">
        <f>ዕቁብ!CT44/Sheet4!$C41</f>
        <v>1</v>
      </c>
      <c r="CT41" s="43">
        <f>ዕቁብ!CU44/Sheet4!$C41</f>
        <v>1</v>
      </c>
      <c r="CU41" s="43">
        <f>ዕቁብ!CV44/Sheet4!$C41</f>
        <v>1</v>
      </c>
      <c r="CV41" s="43">
        <f>ዕቁብ!CW44/Sheet4!$C41</f>
        <v>1</v>
      </c>
      <c r="CW41" s="43">
        <f>ዕቁብ!CX44/Sheet4!$C41</f>
        <v>0</v>
      </c>
      <c r="CX41" s="43">
        <f>ዕቁብ!CY44/Sheet4!$C41</f>
        <v>1</v>
      </c>
      <c r="CY41" s="43">
        <f>ዕቁብ!CZ44/Sheet4!$C41</f>
        <v>0</v>
      </c>
      <c r="CZ41" s="43">
        <f>ዕቁብ!DA44/Sheet4!$C41</f>
        <v>0</v>
      </c>
      <c r="DA41" s="43">
        <f>ዕቁብ!DB44/Sheet4!$C41</f>
        <v>1</v>
      </c>
      <c r="DB41" s="43">
        <f>ዕቁብ!DC44/Sheet4!$C41</f>
        <v>1</v>
      </c>
      <c r="DC41" s="43">
        <f>ዕቁብ!DD44/Sheet4!$C41</f>
        <v>0</v>
      </c>
      <c r="DD41" s="43">
        <f>ዕቁብ!DE44/Sheet4!$C41</f>
        <v>1</v>
      </c>
      <c r="DE41" s="43">
        <f>ዕቁብ!DF44/Sheet4!$C41</f>
        <v>1</v>
      </c>
      <c r="DF41" s="43">
        <f>ዕቁብ!DG44/Sheet4!$C41</f>
        <v>1</v>
      </c>
      <c r="DG41" s="43">
        <f>ዕቁብ!DH44/Sheet4!$C41</f>
        <v>1</v>
      </c>
      <c r="DH41" s="43">
        <f>ዕቁብ!DI44/Sheet4!$C41</f>
        <v>0</v>
      </c>
      <c r="DI41" s="43">
        <f>ዕቁብ!DJ44/Sheet4!$C41</f>
        <v>0</v>
      </c>
      <c r="DJ41" s="43">
        <f>ዕቁብ!DK44/Sheet4!$C41</f>
        <v>0</v>
      </c>
      <c r="DK41" s="43">
        <f>ዕቁብ!DL44/Sheet4!$C41</f>
        <v>0</v>
      </c>
      <c r="DL41" s="43">
        <f>ዕቁብ!DM44/Sheet4!$C41</f>
        <v>0</v>
      </c>
      <c r="DM41" s="43">
        <f>ዕቁብ!DN44/Sheet4!$C41</f>
        <v>0</v>
      </c>
      <c r="DN41" s="43">
        <f>ዕቁብ!DO44/Sheet4!$C41</f>
        <v>0</v>
      </c>
      <c r="DO41" s="43">
        <f>ዕቁብ!DP44/Sheet4!$C41</f>
        <v>0</v>
      </c>
      <c r="DP41" s="43">
        <f>ዕቁብ!DQ44/Sheet4!$C41</f>
        <v>0</v>
      </c>
      <c r="DQ41" s="43">
        <f>ዕቁብ!DR44/Sheet4!$C41</f>
        <v>0</v>
      </c>
    </row>
    <row r="42" spans="1:121" ht="15.75" customHeight="1" x14ac:dyDescent="0.3">
      <c r="A42" s="40">
        <f>ዕቁብ!A45</f>
        <v>39</v>
      </c>
      <c r="B42" s="40" t="str">
        <f>ዕቁብ!B45</f>
        <v>ሲሳይ ባህሩ</v>
      </c>
      <c r="C42" s="30">
        <f>ዕቁብ!C45</f>
        <v>21000</v>
      </c>
      <c r="D42" s="43">
        <f>ዕቁብ!E45/Sheet4!$C42</f>
        <v>1</v>
      </c>
      <c r="E42" s="43">
        <f>ዕቁብ!F45/Sheet4!$C42</f>
        <v>1</v>
      </c>
      <c r="F42" s="43">
        <f>ዕቁብ!G45/Sheet4!$C42</f>
        <v>1</v>
      </c>
      <c r="G42" s="43">
        <f>ዕቁብ!H45/Sheet4!$C42</f>
        <v>1</v>
      </c>
      <c r="H42" s="43">
        <f>ዕቁብ!I45/Sheet4!$C42</f>
        <v>1</v>
      </c>
      <c r="I42" s="43">
        <f>ዕቁብ!J45/Sheet4!$C42</f>
        <v>1</v>
      </c>
      <c r="J42" s="43">
        <f>ዕቁብ!K45/Sheet4!$C42</f>
        <v>1</v>
      </c>
      <c r="K42" s="43">
        <f>ዕቁብ!L45/Sheet4!$C42</f>
        <v>1</v>
      </c>
      <c r="L42" s="43">
        <f>ዕቁብ!M45/Sheet4!$C42</f>
        <v>1</v>
      </c>
      <c r="M42" s="43">
        <f>ዕቁብ!N45/Sheet4!$C42</f>
        <v>1</v>
      </c>
      <c r="N42" s="43">
        <f>ዕቁብ!O45/Sheet4!$C42</f>
        <v>1</v>
      </c>
      <c r="O42" s="43">
        <f>ዕቁብ!P45/Sheet4!$C42</f>
        <v>1</v>
      </c>
      <c r="P42" s="43">
        <f>ዕቁብ!Q45/Sheet4!$C42</f>
        <v>1</v>
      </c>
      <c r="Q42" s="43">
        <f>ዕቁብ!R45/Sheet4!$C42</f>
        <v>1</v>
      </c>
      <c r="R42" s="43">
        <f>ዕቁብ!S45/Sheet4!$C42</f>
        <v>1</v>
      </c>
      <c r="S42" s="43">
        <f>ዕቁብ!T45/Sheet4!$C42</f>
        <v>1</v>
      </c>
      <c r="T42" s="43">
        <f>ዕቁብ!U45/Sheet4!$C42</f>
        <v>1</v>
      </c>
      <c r="U42" s="43">
        <f>ዕቁብ!V45/Sheet4!$C42</f>
        <v>1</v>
      </c>
      <c r="V42" s="43">
        <f>ዕቁብ!W45/Sheet4!$C42</f>
        <v>1</v>
      </c>
      <c r="W42" s="43">
        <f>ዕቁብ!X45/Sheet4!$C42</f>
        <v>1</v>
      </c>
      <c r="X42" s="43">
        <f>ዕቁብ!Y45/Sheet4!$C42</f>
        <v>1</v>
      </c>
      <c r="Y42" s="43">
        <f>ዕቁብ!Z45/Sheet4!$C42</f>
        <v>1</v>
      </c>
      <c r="Z42" s="43">
        <f>ዕቁብ!AA45/Sheet4!$C42</f>
        <v>1</v>
      </c>
      <c r="AA42" s="43">
        <f>ዕቁብ!AB45/Sheet4!$C42</f>
        <v>1</v>
      </c>
      <c r="AB42" s="43">
        <f>ዕቁብ!AC45/Sheet4!$C42</f>
        <v>1</v>
      </c>
      <c r="AC42" s="43">
        <f>ዕቁብ!AD45/Sheet4!$C42</f>
        <v>1</v>
      </c>
      <c r="AD42" s="43">
        <f>ዕቁብ!AE45/Sheet4!$C42</f>
        <v>1</v>
      </c>
      <c r="AE42" s="43">
        <f>ዕቁብ!AF45/Sheet4!$C42</f>
        <v>1</v>
      </c>
      <c r="AF42" s="43">
        <f>ዕቁብ!AG45/Sheet4!$C42</f>
        <v>1</v>
      </c>
      <c r="AG42" s="43">
        <f>ዕቁብ!AH45/Sheet4!$C42</f>
        <v>1</v>
      </c>
      <c r="AH42" s="43">
        <f>ዕቁብ!AI45/Sheet4!$C42</f>
        <v>1</v>
      </c>
      <c r="AI42" s="43">
        <f>ዕቁብ!AJ45/Sheet4!$C42</f>
        <v>1</v>
      </c>
      <c r="AJ42" s="43">
        <f>ዕቁብ!AK45/Sheet4!$C42</f>
        <v>1</v>
      </c>
      <c r="AK42" s="43">
        <f>ዕቁብ!AL45/Sheet4!$C42</f>
        <v>1</v>
      </c>
      <c r="AL42" s="43">
        <f>ዕቁብ!AM45/Sheet4!$C42</f>
        <v>1</v>
      </c>
      <c r="AM42" s="43">
        <f>ዕቁብ!AN45/Sheet4!$C42</f>
        <v>1</v>
      </c>
      <c r="AN42" s="43">
        <f>ዕቁብ!AO45/Sheet4!$C42</f>
        <v>1</v>
      </c>
      <c r="AO42" s="43">
        <f>ዕቁብ!AP45/Sheet4!$C42</f>
        <v>1</v>
      </c>
      <c r="AP42" s="43">
        <f>ዕቁብ!AQ45/Sheet4!$C42</f>
        <v>1</v>
      </c>
      <c r="AQ42" s="43">
        <f>ዕቁብ!AR45/Sheet4!$C42</f>
        <v>1</v>
      </c>
      <c r="AR42" s="43">
        <f>ዕቁብ!AS45/Sheet4!$C42</f>
        <v>1</v>
      </c>
      <c r="AS42" s="43">
        <f>ዕቁብ!AT45/Sheet4!$C42</f>
        <v>1</v>
      </c>
      <c r="AT42" s="43">
        <f>ዕቁብ!AU45/Sheet4!$C42</f>
        <v>1</v>
      </c>
      <c r="AU42" s="43">
        <f>ዕቁብ!AV45/Sheet4!$C42</f>
        <v>1</v>
      </c>
      <c r="AV42" s="43">
        <f>ዕቁብ!AW45/Sheet4!$C42</f>
        <v>1</v>
      </c>
      <c r="AW42" s="43">
        <f>ዕቁብ!AX45/Sheet4!$C42</f>
        <v>1</v>
      </c>
      <c r="AX42" s="43">
        <f>ዕቁብ!AY45/Sheet4!$C42</f>
        <v>1</v>
      </c>
      <c r="AY42" s="43">
        <f>ዕቁብ!AZ45/Sheet4!$C42</f>
        <v>1</v>
      </c>
      <c r="AZ42" s="43">
        <f>ዕቁብ!BA45/Sheet4!$C42</f>
        <v>1</v>
      </c>
      <c r="BA42" s="43">
        <f>ዕቁብ!BB45/Sheet4!$C42</f>
        <v>1</v>
      </c>
      <c r="BB42" s="43">
        <f>ዕቁብ!BC45/Sheet4!$C42</f>
        <v>1</v>
      </c>
      <c r="BC42" s="43">
        <f>ዕቁብ!BD45/Sheet4!$C42</f>
        <v>1</v>
      </c>
      <c r="BD42" s="43">
        <f>ዕቁብ!BE45/Sheet4!$C42</f>
        <v>1</v>
      </c>
      <c r="BE42" s="43">
        <f>ዕቁብ!BF45/Sheet4!$C42</f>
        <v>1</v>
      </c>
      <c r="BF42" s="43">
        <f>ዕቁብ!BG45/Sheet4!$C42</f>
        <v>1</v>
      </c>
      <c r="BG42" s="43">
        <f>ዕቁብ!BH45/Sheet4!$C42</f>
        <v>1</v>
      </c>
      <c r="BH42" s="43">
        <f>ዕቁብ!BI45/Sheet4!$C42</f>
        <v>1</v>
      </c>
      <c r="BI42" s="43">
        <f>ዕቁብ!BJ45/Sheet4!$C42</f>
        <v>1</v>
      </c>
      <c r="BJ42" s="43">
        <f>ዕቁብ!BK45/Sheet4!$C42</f>
        <v>1</v>
      </c>
      <c r="BK42" s="43">
        <f>ዕቁብ!BL45/Sheet4!$C42</f>
        <v>1</v>
      </c>
      <c r="BL42" s="43">
        <f>ዕቁብ!BM45/Sheet4!$C42</f>
        <v>1</v>
      </c>
      <c r="BM42" s="43">
        <f>ዕቁብ!BN45/Sheet4!$C42</f>
        <v>1</v>
      </c>
      <c r="BN42" s="43">
        <f>ዕቁብ!BO45/Sheet4!$C42</f>
        <v>1</v>
      </c>
      <c r="BO42" s="43">
        <f>ዕቁብ!BP45/Sheet4!$C42</f>
        <v>1</v>
      </c>
      <c r="BP42" s="43">
        <f>ዕቁብ!BQ45/Sheet4!$C42</f>
        <v>1</v>
      </c>
      <c r="BQ42" s="43">
        <f>ዕቁብ!BR45/Sheet4!$C42</f>
        <v>1</v>
      </c>
      <c r="BR42" s="43">
        <f>ዕቁብ!BS45/Sheet4!$C42</f>
        <v>1</v>
      </c>
      <c r="BS42" s="43">
        <f>ዕቁብ!BT45/Sheet4!$C42</f>
        <v>1</v>
      </c>
      <c r="BT42" s="43">
        <f>ዕቁብ!BU45/Sheet4!$C42</f>
        <v>1</v>
      </c>
      <c r="BU42" s="43">
        <f>ዕቁብ!BV45/Sheet4!$C42</f>
        <v>1</v>
      </c>
      <c r="BV42" s="43">
        <f>ዕቁብ!BW45/Sheet4!$C42</f>
        <v>1</v>
      </c>
      <c r="BW42" s="43">
        <f>ዕቁብ!BX45/Sheet4!$C42</f>
        <v>1</v>
      </c>
      <c r="BX42" s="43">
        <f>ዕቁብ!BY45/Sheet4!$C42</f>
        <v>1</v>
      </c>
      <c r="BY42" s="43">
        <f>ዕቁብ!BZ45/Sheet4!$C42</f>
        <v>1</v>
      </c>
      <c r="BZ42" s="43">
        <f>ዕቁብ!CA45/Sheet4!$C42</f>
        <v>1</v>
      </c>
      <c r="CA42" s="43">
        <f>ዕቁብ!CB45/Sheet4!$C42</f>
        <v>1</v>
      </c>
      <c r="CB42" s="43">
        <f>ዕቁብ!CC45/Sheet4!$C42</f>
        <v>1</v>
      </c>
      <c r="CC42" s="43">
        <f>ዕቁብ!CD45/Sheet4!$C42</f>
        <v>1</v>
      </c>
      <c r="CD42" s="43">
        <f>ዕቁብ!CE45/Sheet4!$C42</f>
        <v>1</v>
      </c>
      <c r="CE42" s="43">
        <f>ዕቁብ!CF45/Sheet4!$C42</f>
        <v>1</v>
      </c>
      <c r="CF42" s="43">
        <f>ዕቁብ!CG45/Sheet4!$C42</f>
        <v>1</v>
      </c>
      <c r="CG42" s="43">
        <f>ዕቁብ!CH45/Sheet4!$C42</f>
        <v>1</v>
      </c>
      <c r="CH42" s="43">
        <f>ዕቁብ!CI45/Sheet4!$C42</f>
        <v>1</v>
      </c>
      <c r="CI42" s="43">
        <f>ዕቁብ!CJ45/Sheet4!$C42</f>
        <v>1</v>
      </c>
      <c r="CJ42" s="43">
        <f>ዕቁብ!CK45/Sheet4!$C42</f>
        <v>1</v>
      </c>
      <c r="CK42" s="43">
        <f>ዕቁብ!CL45/Sheet4!$C42</f>
        <v>1</v>
      </c>
      <c r="CL42" s="43">
        <f>ዕቁብ!CM45/Sheet4!$C42</f>
        <v>1</v>
      </c>
      <c r="CM42" s="43">
        <f>ዕቁብ!CN45/Sheet4!$C42</f>
        <v>1</v>
      </c>
      <c r="CN42" s="43">
        <f>ዕቁብ!CO45/Sheet4!$C42</f>
        <v>1</v>
      </c>
      <c r="CO42" s="43">
        <f>ዕቁብ!CP45/Sheet4!$C42</f>
        <v>1</v>
      </c>
      <c r="CP42" s="43">
        <f>ዕቁብ!CQ45/Sheet4!$C42</f>
        <v>1</v>
      </c>
      <c r="CQ42" s="43">
        <f>ዕቁብ!CR45/Sheet4!$C42</f>
        <v>1</v>
      </c>
      <c r="CR42" s="43">
        <f>ዕቁብ!CS45/Sheet4!$C42</f>
        <v>1</v>
      </c>
      <c r="CS42" s="43">
        <f>ዕቁብ!CT45/Sheet4!$C42</f>
        <v>1</v>
      </c>
      <c r="CT42" s="43">
        <f>ዕቁብ!CU45/Sheet4!$C42</f>
        <v>1</v>
      </c>
      <c r="CU42" s="43">
        <f>ዕቁብ!CV45/Sheet4!$C42</f>
        <v>1</v>
      </c>
      <c r="CV42" s="43">
        <f>ዕቁብ!CW45/Sheet4!$C42</f>
        <v>1</v>
      </c>
      <c r="CW42" s="43">
        <f>ዕቁብ!CX45/Sheet4!$C42</f>
        <v>1</v>
      </c>
      <c r="CX42" s="43">
        <f>ዕቁብ!CY45/Sheet4!$C42</f>
        <v>1</v>
      </c>
      <c r="CY42" s="43">
        <f>ዕቁብ!CZ45/Sheet4!$C42</f>
        <v>1</v>
      </c>
      <c r="CZ42" s="43">
        <f>ዕቁብ!DA45/Sheet4!$C42</f>
        <v>1</v>
      </c>
      <c r="DA42" s="43">
        <f>ዕቁብ!DB45/Sheet4!$C42</f>
        <v>1</v>
      </c>
      <c r="DB42" s="43">
        <f>ዕቁብ!DC45/Sheet4!$C42</f>
        <v>1</v>
      </c>
      <c r="DC42" s="43">
        <f>ዕቁብ!DD45/Sheet4!$C42</f>
        <v>1</v>
      </c>
      <c r="DD42" s="43">
        <f>ዕቁብ!DE45/Sheet4!$C42</f>
        <v>1</v>
      </c>
      <c r="DE42" s="43">
        <f>ዕቁብ!DF45/Sheet4!$C42</f>
        <v>1</v>
      </c>
      <c r="DF42" s="43">
        <f>ዕቁብ!DG45/Sheet4!$C42</f>
        <v>1</v>
      </c>
      <c r="DG42" s="43">
        <f>ዕቁብ!DH45/Sheet4!$C42</f>
        <v>1</v>
      </c>
      <c r="DH42" s="43">
        <f>ዕቁብ!DI45/Sheet4!$C42</f>
        <v>0</v>
      </c>
      <c r="DI42" s="43">
        <f>ዕቁብ!DJ45/Sheet4!$C42</f>
        <v>0</v>
      </c>
      <c r="DJ42" s="43">
        <f>ዕቁብ!DK45/Sheet4!$C42</f>
        <v>0</v>
      </c>
      <c r="DK42" s="43">
        <f>ዕቁብ!DL45/Sheet4!$C42</f>
        <v>0</v>
      </c>
      <c r="DL42" s="43">
        <f>ዕቁብ!DM45/Sheet4!$C42</f>
        <v>0</v>
      </c>
      <c r="DM42" s="43">
        <f>ዕቁብ!DN45/Sheet4!$C42</f>
        <v>0</v>
      </c>
      <c r="DN42" s="43">
        <f>ዕቁብ!DO45/Sheet4!$C42</f>
        <v>0</v>
      </c>
      <c r="DO42" s="43">
        <f>ዕቁብ!DP45/Sheet4!$C42</f>
        <v>0</v>
      </c>
      <c r="DP42" s="43">
        <f>ዕቁብ!DQ45/Sheet4!$C42</f>
        <v>0</v>
      </c>
      <c r="DQ42" s="43">
        <f>ዕቁብ!DR45/Sheet4!$C42</f>
        <v>0</v>
      </c>
    </row>
    <row r="43" spans="1:121" ht="15.75" customHeight="1" x14ac:dyDescent="0.3">
      <c r="A43" s="40">
        <f>ዕቁብ!A46</f>
        <v>40</v>
      </c>
      <c r="B43" s="40" t="str">
        <f>ዕቁብ!B46</f>
        <v xml:space="preserve">ሽታዬ ቦንጌ </v>
      </c>
      <c r="C43" s="30">
        <f>ዕቁብ!C46</f>
        <v>21000</v>
      </c>
      <c r="D43" s="43">
        <f>ዕቁብ!E46/Sheet4!$C43</f>
        <v>1</v>
      </c>
      <c r="E43" s="43">
        <f>ዕቁብ!F46/Sheet4!$C43</f>
        <v>1</v>
      </c>
      <c r="F43" s="43">
        <f>ዕቁብ!G46/Sheet4!$C43</f>
        <v>1</v>
      </c>
      <c r="G43" s="43">
        <f>ዕቁብ!H46/Sheet4!$C43</f>
        <v>1</v>
      </c>
      <c r="H43" s="43">
        <f>ዕቁብ!I46/Sheet4!$C43</f>
        <v>1</v>
      </c>
      <c r="I43" s="43">
        <f>ዕቁብ!J46/Sheet4!$C43</f>
        <v>1</v>
      </c>
      <c r="J43" s="43">
        <f>ዕቁብ!K46/Sheet4!$C43</f>
        <v>1</v>
      </c>
      <c r="K43" s="43">
        <f>ዕቁብ!L46/Sheet4!$C43</f>
        <v>1</v>
      </c>
      <c r="L43" s="43">
        <f>ዕቁብ!M46/Sheet4!$C43</f>
        <v>1</v>
      </c>
      <c r="M43" s="43">
        <f>ዕቁብ!N46/Sheet4!$C43</f>
        <v>1</v>
      </c>
      <c r="N43" s="43">
        <f>ዕቁብ!O46/Sheet4!$C43</f>
        <v>1</v>
      </c>
      <c r="O43" s="43">
        <f>ዕቁብ!P46/Sheet4!$C43</f>
        <v>1</v>
      </c>
      <c r="P43" s="43">
        <f>ዕቁብ!Q46/Sheet4!$C43</f>
        <v>1</v>
      </c>
      <c r="Q43" s="43">
        <f>ዕቁብ!R46/Sheet4!$C43</f>
        <v>1</v>
      </c>
      <c r="R43" s="43">
        <f>ዕቁብ!S46/Sheet4!$C43</f>
        <v>1</v>
      </c>
      <c r="S43" s="43">
        <f>ዕቁብ!T46/Sheet4!$C43</f>
        <v>1</v>
      </c>
      <c r="T43" s="43">
        <f>ዕቁብ!U46/Sheet4!$C43</f>
        <v>1</v>
      </c>
      <c r="U43" s="43">
        <f>ዕቁብ!V46/Sheet4!$C43</f>
        <v>1</v>
      </c>
      <c r="V43" s="43">
        <f>ዕቁብ!W46/Sheet4!$C43</f>
        <v>1</v>
      </c>
      <c r="W43" s="43">
        <f>ዕቁብ!X46/Sheet4!$C43</f>
        <v>1</v>
      </c>
      <c r="X43" s="43">
        <f>ዕቁብ!Y46/Sheet4!$C43</f>
        <v>1</v>
      </c>
      <c r="Y43" s="43">
        <f>ዕቁብ!Z46/Sheet4!$C43</f>
        <v>1</v>
      </c>
      <c r="Z43" s="43">
        <f>ዕቁብ!AA46/Sheet4!$C43</f>
        <v>1</v>
      </c>
      <c r="AA43" s="43">
        <f>ዕቁብ!AB46/Sheet4!$C43</f>
        <v>1</v>
      </c>
      <c r="AB43" s="43">
        <f>ዕቁብ!AC46/Sheet4!$C43</f>
        <v>1</v>
      </c>
      <c r="AC43" s="43">
        <f>ዕቁብ!AD46/Sheet4!$C43</f>
        <v>1</v>
      </c>
      <c r="AD43" s="43">
        <f>ዕቁብ!AE46/Sheet4!$C43</f>
        <v>1</v>
      </c>
      <c r="AE43" s="43">
        <f>ዕቁብ!AF46/Sheet4!$C43</f>
        <v>1</v>
      </c>
      <c r="AF43" s="43">
        <f>ዕቁብ!AG46/Sheet4!$C43</f>
        <v>1</v>
      </c>
      <c r="AG43" s="43">
        <f>ዕቁብ!AH46/Sheet4!$C43</f>
        <v>1</v>
      </c>
      <c r="AH43" s="43">
        <f>ዕቁብ!AI46/Sheet4!$C43</f>
        <v>1</v>
      </c>
      <c r="AI43" s="43">
        <f>ዕቁብ!AJ46/Sheet4!$C43</f>
        <v>1</v>
      </c>
      <c r="AJ43" s="43">
        <f>ዕቁብ!AK46/Sheet4!$C43</f>
        <v>1</v>
      </c>
      <c r="AK43" s="43">
        <f>ዕቁብ!AL46/Sheet4!$C43</f>
        <v>1</v>
      </c>
      <c r="AL43" s="43">
        <f>ዕቁብ!AM46/Sheet4!$C43</f>
        <v>1</v>
      </c>
      <c r="AM43" s="43">
        <f>ዕቁብ!AN46/Sheet4!$C43</f>
        <v>0</v>
      </c>
      <c r="AN43" s="43">
        <f>ዕቁብ!AO46/Sheet4!$C43</f>
        <v>2</v>
      </c>
      <c r="AO43" s="43">
        <f>ዕቁብ!AP46/Sheet4!$C43</f>
        <v>1</v>
      </c>
      <c r="AP43" s="43">
        <f>ዕቁብ!AQ46/Sheet4!$C43</f>
        <v>1</v>
      </c>
      <c r="AQ43" s="43">
        <f>ዕቁብ!AR46/Sheet4!$C43</f>
        <v>0</v>
      </c>
      <c r="AR43" s="43">
        <f>ዕቁብ!AS46/Sheet4!$C43</f>
        <v>2</v>
      </c>
      <c r="AS43" s="43">
        <f>ዕቁብ!AT46/Sheet4!$C43</f>
        <v>1</v>
      </c>
      <c r="AT43" s="43">
        <f>ዕቁብ!AU46/Sheet4!$C43</f>
        <v>1</v>
      </c>
      <c r="AU43" s="43">
        <f>ዕቁብ!AV46/Sheet4!$C43</f>
        <v>1</v>
      </c>
      <c r="AV43" s="43">
        <f>ዕቁብ!AW46/Sheet4!$C43</f>
        <v>1</v>
      </c>
      <c r="AW43" s="43">
        <f>ዕቁብ!AX46/Sheet4!$C43</f>
        <v>1</v>
      </c>
      <c r="AX43" s="43">
        <f>ዕቁብ!AY46/Sheet4!$C43</f>
        <v>0</v>
      </c>
      <c r="AY43" s="43">
        <f>ዕቁብ!AZ46/Sheet4!$C43</f>
        <v>1</v>
      </c>
      <c r="AZ43" s="43">
        <f>ዕቁብ!BA46/Sheet4!$C43</f>
        <v>1</v>
      </c>
      <c r="BA43" s="43">
        <f>ዕቁብ!BB46/Sheet4!$C43</f>
        <v>1</v>
      </c>
      <c r="BB43" s="43">
        <f>ዕቁብ!BC46/Sheet4!$C43</f>
        <v>1</v>
      </c>
      <c r="BC43" s="43">
        <f>ዕቁብ!BD46/Sheet4!$C43</f>
        <v>1</v>
      </c>
      <c r="BD43" s="43">
        <f>ዕቁብ!BE46/Sheet4!$C43</f>
        <v>1</v>
      </c>
      <c r="BE43" s="43">
        <f>ዕቁብ!BF46/Sheet4!$C43</f>
        <v>1</v>
      </c>
      <c r="BF43" s="43">
        <f>ዕቁብ!BG46/Sheet4!$C43</f>
        <v>1</v>
      </c>
      <c r="BG43" s="43">
        <f>ዕቁብ!BH46/Sheet4!$C43</f>
        <v>1</v>
      </c>
      <c r="BH43" s="43">
        <f>ዕቁብ!BI46/Sheet4!$C43</f>
        <v>1</v>
      </c>
      <c r="BI43" s="43">
        <f>ዕቁብ!BJ46/Sheet4!$C43</f>
        <v>1</v>
      </c>
      <c r="BJ43" s="43">
        <f>ዕቁብ!BK46/Sheet4!$C43</f>
        <v>1</v>
      </c>
      <c r="BK43" s="43">
        <f>ዕቁብ!BL46/Sheet4!$C43</f>
        <v>1</v>
      </c>
      <c r="BL43" s="43">
        <f>ዕቁብ!BM46/Sheet4!$C43</f>
        <v>1</v>
      </c>
      <c r="BM43" s="43">
        <f>ዕቁብ!BN46/Sheet4!$C43</f>
        <v>1</v>
      </c>
      <c r="BN43" s="43">
        <f>ዕቁብ!BO46/Sheet4!$C43</f>
        <v>1</v>
      </c>
      <c r="BO43" s="43">
        <f>ዕቁብ!BP46/Sheet4!$C43</f>
        <v>1</v>
      </c>
      <c r="BP43" s="43">
        <f>ዕቁብ!BQ46/Sheet4!$C43</f>
        <v>1</v>
      </c>
      <c r="BQ43" s="43">
        <f>ዕቁብ!BR46/Sheet4!$C43</f>
        <v>1</v>
      </c>
      <c r="BR43" s="43">
        <f>ዕቁብ!BS46/Sheet4!$C43</f>
        <v>1</v>
      </c>
      <c r="BS43" s="43">
        <f>ዕቁብ!BT46/Sheet4!$C43</f>
        <v>1</v>
      </c>
      <c r="BT43" s="43">
        <f>ዕቁብ!BU46/Sheet4!$C43</f>
        <v>1</v>
      </c>
      <c r="BU43" s="43">
        <f>ዕቁብ!BV46/Sheet4!$C43</f>
        <v>1</v>
      </c>
      <c r="BV43" s="43">
        <f>ዕቁብ!BW46/Sheet4!$C43</f>
        <v>1</v>
      </c>
      <c r="BW43" s="43">
        <f>ዕቁብ!BX46/Sheet4!$C43</f>
        <v>1</v>
      </c>
      <c r="BX43" s="43">
        <f>ዕቁብ!BY46/Sheet4!$C43</f>
        <v>1</v>
      </c>
      <c r="BY43" s="43">
        <f>ዕቁብ!BZ46/Sheet4!$C43</f>
        <v>1</v>
      </c>
      <c r="BZ43" s="43">
        <f>ዕቁብ!CA46/Sheet4!$C43</f>
        <v>1</v>
      </c>
      <c r="CA43" s="43">
        <f>ዕቁብ!CB46/Sheet4!$C43</f>
        <v>1</v>
      </c>
      <c r="CB43" s="43">
        <f>ዕቁብ!CC46/Sheet4!$C43</f>
        <v>1</v>
      </c>
      <c r="CC43" s="43">
        <f>ዕቁብ!CD46/Sheet4!$C43</f>
        <v>1</v>
      </c>
      <c r="CD43" s="43">
        <f>ዕቁብ!CE46/Sheet4!$C43</f>
        <v>1</v>
      </c>
      <c r="CE43" s="43">
        <f>ዕቁብ!CF46/Sheet4!$C43</f>
        <v>1</v>
      </c>
      <c r="CF43" s="43">
        <f>ዕቁብ!CG46/Sheet4!$C43</f>
        <v>1</v>
      </c>
      <c r="CG43" s="43">
        <f>ዕቁብ!CH46/Sheet4!$C43</f>
        <v>0</v>
      </c>
      <c r="CH43" s="43">
        <f>ዕቁብ!CI46/Sheet4!$C43</f>
        <v>2</v>
      </c>
      <c r="CI43" s="43">
        <f>ዕቁብ!CJ46/Sheet4!$C43</f>
        <v>1</v>
      </c>
      <c r="CJ43" s="43">
        <f>ዕቁብ!CK46/Sheet4!$C43</f>
        <v>1</v>
      </c>
      <c r="CK43" s="43">
        <f>ዕቁብ!CL46/Sheet4!$C43</f>
        <v>0</v>
      </c>
      <c r="CL43" s="43">
        <f>ዕቁብ!CM46/Sheet4!$C43</f>
        <v>1</v>
      </c>
      <c r="CM43" s="43">
        <f>ዕቁብ!CN46/Sheet4!$C43</f>
        <v>1</v>
      </c>
      <c r="CN43" s="43">
        <f>ዕቁብ!CO46/Sheet4!$C43</f>
        <v>1</v>
      </c>
      <c r="CO43" s="43">
        <f>ዕቁብ!CP46/Sheet4!$C43</f>
        <v>1</v>
      </c>
      <c r="CP43" s="43">
        <f>ዕቁብ!CQ46/Sheet4!$C43</f>
        <v>0</v>
      </c>
      <c r="CQ43" s="43">
        <f>ዕቁብ!CR46/Sheet4!$C43</f>
        <v>2</v>
      </c>
      <c r="CR43" s="43">
        <f>ዕቁብ!CS46/Sheet4!$C43</f>
        <v>0</v>
      </c>
      <c r="CS43" s="43">
        <f>ዕቁብ!CT46/Sheet4!$C43</f>
        <v>2</v>
      </c>
      <c r="CT43" s="43">
        <f>ዕቁብ!CU46/Sheet4!$C43</f>
        <v>0</v>
      </c>
      <c r="CU43" s="43">
        <f>ዕቁብ!CV46/Sheet4!$C43</f>
        <v>2</v>
      </c>
      <c r="CV43" s="43">
        <f>ዕቁብ!CW46/Sheet4!$C43</f>
        <v>1</v>
      </c>
      <c r="CW43" s="43">
        <f>ዕቁብ!CX46/Sheet4!$C43</f>
        <v>1</v>
      </c>
      <c r="CX43" s="43">
        <f>ዕቁብ!CY46/Sheet4!$C43</f>
        <v>1</v>
      </c>
      <c r="CY43" s="43">
        <f>ዕቁብ!CZ46/Sheet4!$C43</f>
        <v>1</v>
      </c>
      <c r="CZ43" s="43">
        <f>ዕቁብ!DA46/Sheet4!$C43</f>
        <v>1</v>
      </c>
      <c r="DA43" s="43">
        <f>ዕቁብ!DB46/Sheet4!$C43</f>
        <v>1</v>
      </c>
      <c r="DB43" s="43">
        <f>ዕቁብ!DC46/Sheet4!$C43</f>
        <v>0</v>
      </c>
      <c r="DC43" s="43">
        <f>ዕቁብ!DD46/Sheet4!$C43</f>
        <v>1</v>
      </c>
      <c r="DD43" s="43">
        <f>ዕቁብ!DE46/Sheet4!$C43</f>
        <v>1</v>
      </c>
      <c r="DE43" s="43">
        <f>ዕቁብ!DF46/Sheet4!$C43</f>
        <v>1</v>
      </c>
      <c r="DF43" s="43">
        <f>ዕቁብ!DG46/Sheet4!$C43</f>
        <v>1</v>
      </c>
      <c r="DG43" s="43">
        <f>ዕቁብ!DH46/Sheet4!$C43</f>
        <v>1</v>
      </c>
      <c r="DH43" s="43">
        <f>ዕቁብ!DI46/Sheet4!$C43</f>
        <v>0</v>
      </c>
      <c r="DI43" s="43">
        <f>ዕቁብ!DJ46/Sheet4!$C43</f>
        <v>0</v>
      </c>
      <c r="DJ43" s="43">
        <f>ዕቁብ!DK46/Sheet4!$C43</f>
        <v>0</v>
      </c>
      <c r="DK43" s="43">
        <f>ዕቁብ!DL46/Sheet4!$C43</f>
        <v>0</v>
      </c>
      <c r="DL43" s="43">
        <f>ዕቁብ!DM46/Sheet4!$C43</f>
        <v>0</v>
      </c>
      <c r="DM43" s="43">
        <f>ዕቁብ!DN46/Sheet4!$C43</f>
        <v>0</v>
      </c>
      <c r="DN43" s="43">
        <f>ዕቁብ!DO46/Sheet4!$C43</f>
        <v>0</v>
      </c>
      <c r="DO43" s="43">
        <f>ዕቁብ!DP46/Sheet4!$C43</f>
        <v>0</v>
      </c>
      <c r="DP43" s="43">
        <f>ዕቁብ!DQ46/Sheet4!$C43</f>
        <v>0</v>
      </c>
      <c r="DQ43" s="43">
        <f>ዕቁብ!DR46/Sheet4!$C43</f>
        <v>0</v>
      </c>
    </row>
    <row r="44" spans="1:121" ht="15.75" customHeight="1" x14ac:dyDescent="0.3">
      <c r="A44" s="40">
        <f>ዕቁብ!A47</f>
        <v>41</v>
      </c>
      <c r="B44" s="40" t="str">
        <f>ዕቁብ!B47</f>
        <v>ኡሬሳ ኡርሳ</v>
      </c>
      <c r="C44" s="30">
        <f>ዕቁብ!C47</f>
        <v>21000</v>
      </c>
      <c r="D44" s="43">
        <f>ዕቁብ!E47/Sheet4!$C44</f>
        <v>1</v>
      </c>
      <c r="E44" s="43">
        <f>ዕቁብ!F47/Sheet4!$C44</f>
        <v>1</v>
      </c>
      <c r="F44" s="43">
        <f>ዕቁብ!G47/Sheet4!$C44</f>
        <v>1</v>
      </c>
      <c r="G44" s="43">
        <f>ዕቁብ!H47/Sheet4!$C44</f>
        <v>1</v>
      </c>
      <c r="H44" s="43">
        <f>ዕቁብ!I47/Sheet4!$C44</f>
        <v>1</v>
      </c>
      <c r="I44" s="43">
        <f>ዕቁብ!J47/Sheet4!$C44</f>
        <v>1</v>
      </c>
      <c r="J44" s="43">
        <f>ዕቁብ!K47/Sheet4!$C44</f>
        <v>1</v>
      </c>
      <c r="K44" s="43">
        <f>ዕቁብ!L47/Sheet4!$C44</f>
        <v>1</v>
      </c>
      <c r="L44" s="43">
        <f>ዕቁብ!M47/Sheet4!$C44</f>
        <v>1</v>
      </c>
      <c r="M44" s="43">
        <f>ዕቁብ!N47/Sheet4!$C44</f>
        <v>1</v>
      </c>
      <c r="N44" s="43">
        <f>ዕቁብ!O47/Sheet4!$C44</f>
        <v>1</v>
      </c>
      <c r="O44" s="43">
        <f>ዕቁብ!P47/Sheet4!$C44</f>
        <v>1</v>
      </c>
      <c r="P44" s="43">
        <f>ዕቁብ!Q47/Sheet4!$C44</f>
        <v>1</v>
      </c>
      <c r="Q44" s="43">
        <f>ዕቁብ!R47/Sheet4!$C44</f>
        <v>1</v>
      </c>
      <c r="R44" s="43">
        <f>ዕቁብ!S47/Sheet4!$C44</f>
        <v>1</v>
      </c>
      <c r="S44" s="43">
        <f>ዕቁብ!T47/Sheet4!$C44</f>
        <v>1</v>
      </c>
      <c r="T44" s="43">
        <f>ዕቁብ!U47/Sheet4!$C44</f>
        <v>1</v>
      </c>
      <c r="U44" s="43">
        <f>ዕቁብ!V47/Sheet4!$C44</f>
        <v>1</v>
      </c>
      <c r="V44" s="43">
        <f>ዕቁብ!W47/Sheet4!$C44</f>
        <v>1</v>
      </c>
      <c r="W44" s="43">
        <f>ዕቁብ!X47/Sheet4!$C44</f>
        <v>1</v>
      </c>
      <c r="X44" s="43">
        <f>ዕቁብ!Y47/Sheet4!$C44</f>
        <v>1</v>
      </c>
      <c r="Y44" s="43">
        <f>ዕቁብ!Z47/Sheet4!$C44</f>
        <v>1</v>
      </c>
      <c r="Z44" s="43">
        <f>ዕቁብ!AA47/Sheet4!$C44</f>
        <v>1</v>
      </c>
      <c r="AA44" s="43">
        <f>ዕቁብ!AB47/Sheet4!$C44</f>
        <v>1</v>
      </c>
      <c r="AB44" s="43">
        <f>ዕቁብ!AC47/Sheet4!$C44</f>
        <v>1</v>
      </c>
      <c r="AC44" s="43">
        <f>ዕቁብ!AD47/Sheet4!$C44</f>
        <v>1</v>
      </c>
      <c r="AD44" s="43">
        <f>ዕቁብ!AE47/Sheet4!$C44</f>
        <v>1</v>
      </c>
      <c r="AE44" s="43">
        <f>ዕቁብ!AF47/Sheet4!$C44</f>
        <v>0</v>
      </c>
      <c r="AF44" s="43">
        <f>ዕቁብ!AG47/Sheet4!$C44</f>
        <v>2</v>
      </c>
      <c r="AG44" s="43">
        <f>ዕቁብ!AH47/Sheet4!$C44</f>
        <v>1</v>
      </c>
      <c r="AH44" s="43">
        <f>ዕቁብ!AI47/Sheet4!$C44</f>
        <v>1</v>
      </c>
      <c r="AI44" s="43">
        <f>ዕቁብ!AJ47/Sheet4!$C44</f>
        <v>1</v>
      </c>
      <c r="AJ44" s="43">
        <f>ዕቁብ!AK47/Sheet4!$C44</f>
        <v>1</v>
      </c>
      <c r="AK44" s="43">
        <f>ዕቁብ!AL47/Sheet4!$C44</f>
        <v>1</v>
      </c>
      <c r="AL44" s="43">
        <f>ዕቁብ!AM47/Sheet4!$C44</f>
        <v>0</v>
      </c>
      <c r="AM44" s="43">
        <f>ዕቁብ!AN47/Sheet4!$C44</f>
        <v>2</v>
      </c>
      <c r="AN44" s="43">
        <f>ዕቁብ!AO47/Sheet4!$C44</f>
        <v>1</v>
      </c>
      <c r="AO44" s="43">
        <f>ዕቁብ!AP47/Sheet4!$C44</f>
        <v>1</v>
      </c>
      <c r="AP44" s="43">
        <f>ዕቁብ!AQ47/Sheet4!$C44</f>
        <v>1</v>
      </c>
      <c r="AQ44" s="43">
        <f>ዕቁብ!AR47/Sheet4!$C44</f>
        <v>1</v>
      </c>
      <c r="AR44" s="43">
        <f>ዕቁብ!AS47/Sheet4!$C44</f>
        <v>0</v>
      </c>
      <c r="AS44" s="43">
        <f>ዕቁብ!AT47/Sheet4!$C44</f>
        <v>2</v>
      </c>
      <c r="AT44" s="43">
        <f>ዕቁብ!AU47/Sheet4!$C44</f>
        <v>0</v>
      </c>
      <c r="AU44" s="43">
        <f>ዕቁብ!AV47/Sheet4!$C44</f>
        <v>2</v>
      </c>
      <c r="AV44" s="43">
        <f>ዕቁብ!AW47/Sheet4!$C44</f>
        <v>1</v>
      </c>
      <c r="AW44" s="43">
        <f>ዕቁብ!AX47/Sheet4!$C44</f>
        <v>1</v>
      </c>
      <c r="AX44" s="43">
        <f>ዕቁብ!AY47/Sheet4!$C44</f>
        <v>0</v>
      </c>
      <c r="AY44" s="43">
        <f>ዕቁብ!AZ47/Sheet4!$C44</f>
        <v>2</v>
      </c>
      <c r="AZ44" s="43">
        <f>ዕቁብ!BA47/Sheet4!$C44</f>
        <v>0</v>
      </c>
      <c r="BA44" s="43">
        <f>ዕቁብ!BB47/Sheet4!$C44</f>
        <v>2</v>
      </c>
      <c r="BB44" s="43">
        <f>ዕቁብ!BC47/Sheet4!$C44</f>
        <v>1</v>
      </c>
      <c r="BC44" s="43">
        <f>ዕቁብ!BD47/Sheet4!$C44</f>
        <v>0</v>
      </c>
      <c r="BD44" s="43">
        <f>ዕቁብ!BE47/Sheet4!$C44</f>
        <v>2</v>
      </c>
      <c r="BE44" s="43">
        <f>ዕቁብ!BF47/Sheet4!$C44</f>
        <v>0</v>
      </c>
      <c r="BF44" s="43">
        <f>ዕቁብ!BG47/Sheet4!$C44</f>
        <v>2</v>
      </c>
      <c r="BG44" s="43">
        <f>ዕቁብ!BH47/Sheet4!$C44</f>
        <v>1</v>
      </c>
      <c r="BH44" s="43">
        <f>ዕቁብ!BI47/Sheet4!$C44</f>
        <v>1</v>
      </c>
      <c r="BI44" s="43">
        <f>ዕቁብ!BJ47/Sheet4!$C44</f>
        <v>1</v>
      </c>
      <c r="BJ44" s="43">
        <f>ዕቁብ!BK47/Sheet4!$C44</f>
        <v>1</v>
      </c>
      <c r="BK44" s="43">
        <f>ዕቁብ!BL47/Sheet4!$C44</f>
        <v>1</v>
      </c>
      <c r="BL44" s="43">
        <f>ዕቁብ!BM47/Sheet4!$C44</f>
        <v>1</v>
      </c>
      <c r="BM44" s="43">
        <f>ዕቁብ!BN47/Sheet4!$C44</f>
        <v>0</v>
      </c>
      <c r="BN44" s="43">
        <f>ዕቁብ!BO47/Sheet4!$C44</f>
        <v>2</v>
      </c>
      <c r="BO44" s="43">
        <f>ዕቁብ!BP47/Sheet4!$C44</f>
        <v>1</v>
      </c>
      <c r="BP44" s="43">
        <f>ዕቁብ!BQ47/Sheet4!$C44</f>
        <v>1</v>
      </c>
      <c r="BQ44" s="43">
        <f>ዕቁብ!BR47/Sheet4!$C44</f>
        <v>0</v>
      </c>
      <c r="BR44" s="43">
        <f>ዕቁብ!BS47/Sheet4!$C44</f>
        <v>2</v>
      </c>
      <c r="BS44" s="43">
        <f>ዕቁብ!BT47/Sheet4!$C44</f>
        <v>1</v>
      </c>
      <c r="BT44" s="43">
        <f>ዕቁብ!BU47/Sheet4!$C44</f>
        <v>0</v>
      </c>
      <c r="BU44" s="43">
        <f>ዕቁብ!BV47/Sheet4!$C44</f>
        <v>0</v>
      </c>
      <c r="BV44" s="43">
        <f>ዕቁብ!BW47/Sheet4!$C44</f>
        <v>3</v>
      </c>
      <c r="BW44" s="43">
        <f>ዕቁብ!BX47/Sheet4!$C44</f>
        <v>0</v>
      </c>
      <c r="BX44" s="43">
        <f>ዕቁብ!BY47/Sheet4!$C44</f>
        <v>2</v>
      </c>
      <c r="BY44" s="43">
        <f>ዕቁብ!BZ47/Sheet4!$C44</f>
        <v>0</v>
      </c>
      <c r="BZ44" s="43">
        <f>ዕቁብ!CA47/Sheet4!$C44</f>
        <v>0</v>
      </c>
      <c r="CA44" s="43">
        <f>ዕቁብ!CB47/Sheet4!$C44</f>
        <v>3</v>
      </c>
      <c r="CB44" s="43">
        <f>ዕቁብ!CC47/Sheet4!$C44</f>
        <v>1</v>
      </c>
      <c r="CC44" s="43">
        <f>ዕቁብ!CD47/Sheet4!$C44</f>
        <v>1</v>
      </c>
      <c r="CD44" s="43">
        <f>ዕቁብ!CE47/Sheet4!$C44</f>
        <v>0</v>
      </c>
      <c r="CE44" s="43">
        <f>ዕቁብ!CF47/Sheet4!$C44</f>
        <v>0</v>
      </c>
      <c r="CF44" s="43">
        <f>ዕቁብ!CG47/Sheet4!$C44</f>
        <v>3</v>
      </c>
      <c r="CG44" s="43">
        <f>ዕቁብ!CH47/Sheet4!$C44</f>
        <v>1</v>
      </c>
      <c r="CH44" s="43">
        <f>ዕቁብ!CI47/Sheet4!$C44</f>
        <v>1</v>
      </c>
      <c r="CI44" s="43">
        <f>ዕቁብ!CJ47/Sheet4!$C44</f>
        <v>1</v>
      </c>
      <c r="CJ44" s="43">
        <f>ዕቁብ!CK47/Sheet4!$C44</f>
        <v>0</v>
      </c>
      <c r="CK44" s="43">
        <f>ዕቁብ!CL47/Sheet4!$C44</f>
        <v>0</v>
      </c>
      <c r="CL44" s="43">
        <f>ዕቁብ!CM47/Sheet4!$C44</f>
        <v>2</v>
      </c>
      <c r="CM44" s="43">
        <f>ዕቁብ!CN47/Sheet4!$C44</f>
        <v>0</v>
      </c>
      <c r="CN44" s="43">
        <f>ዕቁብ!CO47/Sheet4!$C44</f>
        <v>0</v>
      </c>
      <c r="CO44" s="43">
        <f>ዕቁብ!CP47/Sheet4!$C44</f>
        <v>2</v>
      </c>
      <c r="CP44" s="43">
        <f>ዕቁብ!CQ47/Sheet4!$C44</f>
        <v>0</v>
      </c>
      <c r="CQ44" s="43">
        <f>ዕቁብ!CR47/Sheet4!$C44</f>
        <v>2</v>
      </c>
      <c r="CR44" s="43">
        <f>ዕቁብ!CS47/Sheet4!$C44</f>
        <v>1</v>
      </c>
      <c r="CS44" s="43">
        <f>ዕቁብ!CT47/Sheet4!$C44</f>
        <v>0</v>
      </c>
      <c r="CT44" s="43">
        <f>ዕቁብ!CU47/Sheet4!$C44</f>
        <v>2</v>
      </c>
      <c r="CU44" s="43">
        <f>ዕቁብ!CV47/Sheet4!$C44</f>
        <v>0</v>
      </c>
      <c r="CV44" s="43">
        <f>ዕቁብ!CW47/Sheet4!$C44</f>
        <v>2</v>
      </c>
      <c r="CW44" s="43">
        <f>ዕቁብ!CX47/Sheet4!$C44</f>
        <v>0</v>
      </c>
      <c r="CX44" s="43">
        <f>ዕቁብ!CY47/Sheet4!$C44</f>
        <v>2</v>
      </c>
      <c r="CY44" s="43">
        <f>ዕቁብ!CZ47/Sheet4!$C44</f>
        <v>0</v>
      </c>
      <c r="CZ44" s="43">
        <f>ዕቁብ!DA47/Sheet4!$C44</f>
        <v>2</v>
      </c>
      <c r="DA44" s="43">
        <f>ዕቁብ!DB47/Sheet4!$C44</f>
        <v>1</v>
      </c>
      <c r="DB44" s="43">
        <f>ዕቁብ!DC47/Sheet4!$C44</f>
        <v>0</v>
      </c>
      <c r="DC44" s="43">
        <f>ዕቁብ!DD47/Sheet4!$C44</f>
        <v>2</v>
      </c>
      <c r="DD44" s="43">
        <f>ዕቁብ!DE47/Sheet4!$C44</f>
        <v>0</v>
      </c>
      <c r="DE44" s="43">
        <f>ዕቁብ!DF47/Sheet4!$C44</f>
        <v>2</v>
      </c>
      <c r="DF44" s="43">
        <f>ዕቁብ!DG47/Sheet4!$C44</f>
        <v>0</v>
      </c>
      <c r="DG44" s="43">
        <f>ዕቁብ!DH47/Sheet4!$C44</f>
        <v>2</v>
      </c>
      <c r="DH44" s="43">
        <f>ዕቁብ!DI47/Sheet4!$C44</f>
        <v>0</v>
      </c>
      <c r="DI44" s="43">
        <f>ዕቁብ!DJ47/Sheet4!$C44</f>
        <v>0</v>
      </c>
      <c r="DJ44" s="43">
        <f>ዕቁብ!DK47/Sheet4!$C44</f>
        <v>0</v>
      </c>
      <c r="DK44" s="43">
        <f>ዕቁብ!DL47/Sheet4!$C44</f>
        <v>0</v>
      </c>
      <c r="DL44" s="43">
        <f>ዕቁብ!DM47/Sheet4!$C44</f>
        <v>0</v>
      </c>
      <c r="DM44" s="43">
        <f>ዕቁብ!DN47/Sheet4!$C44</f>
        <v>0</v>
      </c>
      <c r="DN44" s="43">
        <f>ዕቁብ!DO47/Sheet4!$C44</f>
        <v>0</v>
      </c>
      <c r="DO44" s="43">
        <f>ዕቁብ!DP47/Sheet4!$C44</f>
        <v>0</v>
      </c>
      <c r="DP44" s="43">
        <f>ዕቁብ!DQ47/Sheet4!$C44</f>
        <v>0</v>
      </c>
      <c r="DQ44" s="43">
        <f>ዕቁብ!DR47/Sheet4!$C44</f>
        <v>0</v>
      </c>
    </row>
    <row r="45" spans="1:121" ht="15.75" customHeight="1" x14ac:dyDescent="0.3">
      <c r="A45" s="40">
        <f>ዕቁብ!A48</f>
        <v>42</v>
      </c>
      <c r="B45" s="40" t="str">
        <f>ዕቁብ!B48</f>
        <v>አሸናፊ ጨመረ</v>
      </c>
      <c r="C45" s="30">
        <f>ዕቁብ!C48</f>
        <v>21000</v>
      </c>
      <c r="D45" s="43">
        <f>ዕቁብ!E48/Sheet4!$C45</f>
        <v>1</v>
      </c>
      <c r="E45" s="43">
        <f>ዕቁብ!F48/Sheet4!$C45</f>
        <v>1</v>
      </c>
      <c r="F45" s="43">
        <f>ዕቁብ!G48/Sheet4!$C45</f>
        <v>1</v>
      </c>
      <c r="G45" s="43">
        <f>ዕቁብ!H48/Sheet4!$C45</f>
        <v>1</v>
      </c>
      <c r="H45" s="43">
        <f>ዕቁብ!I48/Sheet4!$C45</f>
        <v>1</v>
      </c>
      <c r="I45" s="43">
        <f>ዕቁብ!J48/Sheet4!$C45</f>
        <v>1</v>
      </c>
      <c r="J45" s="43">
        <f>ዕቁብ!K48/Sheet4!$C45</f>
        <v>1</v>
      </c>
      <c r="K45" s="43">
        <f>ዕቁብ!L48/Sheet4!$C45</f>
        <v>1</v>
      </c>
      <c r="L45" s="43">
        <f>ዕቁብ!M48/Sheet4!$C45</f>
        <v>1</v>
      </c>
      <c r="M45" s="43">
        <f>ዕቁብ!N48/Sheet4!$C45</f>
        <v>1</v>
      </c>
      <c r="N45" s="43">
        <f>ዕቁብ!O48/Sheet4!$C45</f>
        <v>1</v>
      </c>
      <c r="O45" s="43">
        <f>ዕቁብ!P48/Sheet4!$C45</f>
        <v>1</v>
      </c>
      <c r="P45" s="43">
        <f>ዕቁብ!Q48/Sheet4!$C45</f>
        <v>1</v>
      </c>
      <c r="Q45" s="43">
        <f>ዕቁብ!R48/Sheet4!$C45</f>
        <v>1</v>
      </c>
      <c r="R45" s="43">
        <f>ዕቁብ!S48/Sheet4!$C45</f>
        <v>1</v>
      </c>
      <c r="S45" s="43">
        <f>ዕቁብ!T48/Sheet4!$C45</f>
        <v>1</v>
      </c>
      <c r="T45" s="43">
        <f>ዕቁብ!U48/Sheet4!$C45</f>
        <v>1</v>
      </c>
      <c r="U45" s="43">
        <f>ዕቁብ!V48/Sheet4!$C45</f>
        <v>1</v>
      </c>
      <c r="V45" s="43">
        <f>ዕቁብ!W48/Sheet4!$C45</f>
        <v>1</v>
      </c>
      <c r="W45" s="43">
        <f>ዕቁብ!X48/Sheet4!$C45</f>
        <v>1</v>
      </c>
      <c r="X45" s="43">
        <f>ዕቁብ!Y48/Sheet4!$C45</f>
        <v>1</v>
      </c>
      <c r="Y45" s="43">
        <f>ዕቁብ!Z48/Sheet4!$C45</f>
        <v>1</v>
      </c>
      <c r="Z45" s="43">
        <f>ዕቁብ!AA48/Sheet4!$C45</f>
        <v>1</v>
      </c>
      <c r="AA45" s="43">
        <f>ዕቁብ!AB48/Sheet4!$C45</f>
        <v>1</v>
      </c>
      <c r="AB45" s="43">
        <f>ዕቁብ!AC48/Sheet4!$C45</f>
        <v>1</v>
      </c>
      <c r="AC45" s="43">
        <f>ዕቁብ!AD48/Sheet4!$C45</f>
        <v>1</v>
      </c>
      <c r="AD45" s="43">
        <f>ዕቁብ!AE48/Sheet4!$C45</f>
        <v>1</v>
      </c>
      <c r="AE45" s="43">
        <f>ዕቁብ!AF48/Sheet4!$C45</f>
        <v>1</v>
      </c>
      <c r="AF45" s="43">
        <f>ዕቁብ!AG48/Sheet4!$C45</f>
        <v>1</v>
      </c>
      <c r="AG45" s="43">
        <f>ዕቁብ!AH48/Sheet4!$C45</f>
        <v>1</v>
      </c>
      <c r="AH45" s="43">
        <f>ዕቁብ!AI48/Sheet4!$C45</f>
        <v>1</v>
      </c>
      <c r="AI45" s="43">
        <f>ዕቁብ!AJ48/Sheet4!$C45</f>
        <v>1</v>
      </c>
      <c r="AJ45" s="43">
        <f>ዕቁብ!AK48/Sheet4!$C45</f>
        <v>1</v>
      </c>
      <c r="AK45" s="43">
        <f>ዕቁብ!AL48/Sheet4!$C45</f>
        <v>1</v>
      </c>
      <c r="AL45" s="43">
        <f>ዕቁብ!AM48/Sheet4!$C45</f>
        <v>1</v>
      </c>
      <c r="AM45" s="43">
        <f>ዕቁብ!AN48/Sheet4!$C45</f>
        <v>1</v>
      </c>
      <c r="AN45" s="43">
        <f>ዕቁብ!AO48/Sheet4!$C45</f>
        <v>1</v>
      </c>
      <c r="AO45" s="43">
        <f>ዕቁብ!AP48/Sheet4!$C45</f>
        <v>1</v>
      </c>
      <c r="AP45" s="43">
        <f>ዕቁብ!AQ48/Sheet4!$C45</f>
        <v>1</v>
      </c>
      <c r="AQ45" s="43">
        <f>ዕቁብ!AR48/Sheet4!$C45</f>
        <v>1</v>
      </c>
      <c r="AR45" s="43">
        <f>ዕቁብ!AS48/Sheet4!$C45</f>
        <v>1</v>
      </c>
      <c r="AS45" s="43">
        <f>ዕቁብ!AT48/Sheet4!$C45</f>
        <v>1</v>
      </c>
      <c r="AT45" s="43">
        <f>ዕቁብ!AU48/Sheet4!$C45</f>
        <v>1</v>
      </c>
      <c r="AU45" s="43">
        <f>ዕቁብ!AV48/Sheet4!$C45</f>
        <v>1</v>
      </c>
      <c r="AV45" s="43">
        <f>ዕቁብ!AW48/Sheet4!$C45</f>
        <v>1</v>
      </c>
      <c r="AW45" s="43">
        <f>ዕቁብ!AX48/Sheet4!$C45</f>
        <v>1</v>
      </c>
      <c r="AX45" s="43">
        <f>ዕቁብ!AY48/Sheet4!$C45</f>
        <v>1</v>
      </c>
      <c r="AY45" s="43">
        <f>ዕቁብ!AZ48/Sheet4!$C45</f>
        <v>1</v>
      </c>
      <c r="AZ45" s="43">
        <f>ዕቁብ!BA48/Sheet4!$C45</f>
        <v>1</v>
      </c>
      <c r="BA45" s="43">
        <f>ዕቁብ!BB48/Sheet4!$C45</f>
        <v>1</v>
      </c>
      <c r="BB45" s="43">
        <f>ዕቁብ!BC48/Sheet4!$C45</f>
        <v>1</v>
      </c>
      <c r="BC45" s="43">
        <f>ዕቁብ!BD48/Sheet4!$C45</f>
        <v>1</v>
      </c>
      <c r="BD45" s="43">
        <f>ዕቁብ!BE48/Sheet4!$C45</f>
        <v>1</v>
      </c>
      <c r="BE45" s="43">
        <f>ዕቁብ!BF48/Sheet4!$C45</f>
        <v>1</v>
      </c>
      <c r="BF45" s="43">
        <f>ዕቁብ!BG48/Sheet4!$C45</f>
        <v>1</v>
      </c>
      <c r="BG45" s="43">
        <f>ዕቁብ!BH48/Sheet4!$C45</f>
        <v>1</v>
      </c>
      <c r="BH45" s="43">
        <f>ዕቁብ!BI48/Sheet4!$C45</f>
        <v>1</v>
      </c>
      <c r="BI45" s="43">
        <f>ዕቁብ!BJ48/Sheet4!$C45</f>
        <v>1</v>
      </c>
      <c r="BJ45" s="43">
        <f>ዕቁብ!BK48/Sheet4!$C45</f>
        <v>1</v>
      </c>
      <c r="BK45" s="43">
        <f>ዕቁብ!BL48/Sheet4!$C45</f>
        <v>1</v>
      </c>
      <c r="BL45" s="43">
        <f>ዕቁብ!BM48/Sheet4!$C45</f>
        <v>1</v>
      </c>
      <c r="BM45" s="43">
        <f>ዕቁብ!BN48/Sheet4!$C45</f>
        <v>1</v>
      </c>
      <c r="BN45" s="43">
        <f>ዕቁብ!BO48/Sheet4!$C45</f>
        <v>1</v>
      </c>
      <c r="BO45" s="43">
        <f>ዕቁብ!BP48/Sheet4!$C45</f>
        <v>1</v>
      </c>
      <c r="BP45" s="43">
        <f>ዕቁብ!BQ48/Sheet4!$C45</f>
        <v>1</v>
      </c>
      <c r="BQ45" s="43">
        <f>ዕቁብ!BR48/Sheet4!$C45</f>
        <v>1</v>
      </c>
      <c r="BR45" s="43">
        <f>ዕቁብ!BS48/Sheet4!$C45</f>
        <v>1</v>
      </c>
      <c r="BS45" s="43">
        <f>ዕቁብ!BT48/Sheet4!$C45</f>
        <v>1</v>
      </c>
      <c r="BT45" s="43">
        <f>ዕቁብ!BU48/Sheet4!$C45</f>
        <v>1</v>
      </c>
      <c r="BU45" s="43">
        <f>ዕቁብ!BV48/Sheet4!$C45</f>
        <v>1</v>
      </c>
      <c r="BV45" s="43">
        <f>ዕቁብ!BW48/Sheet4!$C45</f>
        <v>1</v>
      </c>
      <c r="BW45" s="43">
        <f>ዕቁብ!BX48/Sheet4!$C45</f>
        <v>1</v>
      </c>
      <c r="BX45" s="43">
        <f>ዕቁብ!BY48/Sheet4!$C45</f>
        <v>0</v>
      </c>
      <c r="BY45" s="43">
        <f>ዕቁብ!BZ48/Sheet4!$C45</f>
        <v>2</v>
      </c>
      <c r="BZ45" s="43">
        <f>ዕቁብ!CA48/Sheet4!$C45</f>
        <v>1</v>
      </c>
      <c r="CA45" s="43">
        <f>ዕቁብ!CB48/Sheet4!$C45</f>
        <v>1</v>
      </c>
      <c r="CB45" s="43">
        <f>ዕቁብ!CC48/Sheet4!$C45</f>
        <v>1</v>
      </c>
      <c r="CC45" s="43">
        <f>ዕቁብ!CD48/Sheet4!$C45</f>
        <v>1</v>
      </c>
      <c r="CD45" s="43">
        <f>ዕቁብ!CE48/Sheet4!$C45</f>
        <v>1</v>
      </c>
      <c r="CE45" s="43">
        <f>ዕቁብ!CF48/Sheet4!$C45</f>
        <v>0</v>
      </c>
      <c r="CF45" s="43">
        <f>ዕቁብ!CG48/Sheet4!$C45</f>
        <v>1</v>
      </c>
      <c r="CG45" s="43">
        <f>ዕቁብ!CH48/Sheet4!$C45</f>
        <v>1</v>
      </c>
      <c r="CH45" s="43">
        <f>ዕቁብ!CI48/Sheet4!$C45</f>
        <v>1</v>
      </c>
      <c r="CI45" s="43">
        <f>ዕቁብ!CJ48/Sheet4!$C45</f>
        <v>1</v>
      </c>
      <c r="CJ45" s="43">
        <f>ዕቁብ!CK48/Sheet4!$C45</f>
        <v>1</v>
      </c>
      <c r="CK45" s="43">
        <f>ዕቁብ!CL48/Sheet4!$C45</f>
        <v>1</v>
      </c>
      <c r="CL45" s="43">
        <f>ዕቁብ!CM48/Sheet4!$C45</f>
        <v>1</v>
      </c>
      <c r="CM45" s="43">
        <f>ዕቁብ!CN48/Sheet4!$C45</f>
        <v>1</v>
      </c>
      <c r="CN45" s="43">
        <f>ዕቁብ!CO48/Sheet4!$C45</f>
        <v>1</v>
      </c>
      <c r="CO45" s="43">
        <f>ዕቁብ!CP48/Sheet4!$C45</f>
        <v>1</v>
      </c>
      <c r="CP45" s="43">
        <f>ዕቁብ!CQ48/Sheet4!$C45</f>
        <v>1</v>
      </c>
      <c r="CQ45" s="43">
        <f>ዕቁብ!CR48/Sheet4!$C45</f>
        <v>1</v>
      </c>
      <c r="CR45" s="43">
        <f>ዕቁብ!CS48/Sheet4!$C45</f>
        <v>1</v>
      </c>
      <c r="CS45" s="43">
        <f>ዕቁብ!CT48/Sheet4!$C45</f>
        <v>1</v>
      </c>
      <c r="CT45" s="43">
        <f>ዕቁብ!CU48/Sheet4!$C45</f>
        <v>1</v>
      </c>
      <c r="CU45" s="43">
        <f>ዕቁብ!CV48/Sheet4!$C45</f>
        <v>1</v>
      </c>
      <c r="CV45" s="43">
        <f>ዕቁብ!CW48/Sheet4!$C45</f>
        <v>1</v>
      </c>
      <c r="CW45" s="43">
        <f>ዕቁብ!CX48/Sheet4!$C45</f>
        <v>1</v>
      </c>
      <c r="CX45" s="43">
        <f>ዕቁብ!CY48/Sheet4!$C45</f>
        <v>1</v>
      </c>
      <c r="CY45" s="43">
        <f>ዕቁብ!CZ48/Sheet4!$C45</f>
        <v>1</v>
      </c>
      <c r="CZ45" s="43">
        <f>ዕቁብ!DA48/Sheet4!$C45</f>
        <v>0</v>
      </c>
      <c r="DA45" s="43">
        <f>ዕቁብ!DB48/Sheet4!$C45</f>
        <v>1</v>
      </c>
      <c r="DB45" s="43">
        <f>ዕቁብ!DC48/Sheet4!$C45</f>
        <v>0</v>
      </c>
      <c r="DC45" s="43">
        <f>ዕቁብ!DD48/Sheet4!$C45</f>
        <v>2</v>
      </c>
      <c r="DD45" s="43">
        <f>ዕቁብ!DE48/Sheet4!$C45</f>
        <v>1</v>
      </c>
      <c r="DE45" s="43">
        <f>ዕቁብ!DF48/Sheet4!$C45</f>
        <v>0</v>
      </c>
      <c r="DF45" s="43">
        <f>ዕቁብ!DG48/Sheet4!$C45</f>
        <v>1</v>
      </c>
      <c r="DG45" s="43">
        <f>ዕቁብ!DH48/Sheet4!$C45</f>
        <v>0</v>
      </c>
      <c r="DH45" s="43">
        <f>ዕቁብ!DI48/Sheet4!$C45</f>
        <v>0</v>
      </c>
      <c r="DI45" s="43">
        <f>ዕቁብ!DJ48/Sheet4!$C45</f>
        <v>0</v>
      </c>
      <c r="DJ45" s="43">
        <f>ዕቁብ!DK48/Sheet4!$C45</f>
        <v>0</v>
      </c>
      <c r="DK45" s="43">
        <f>ዕቁብ!DL48/Sheet4!$C45</f>
        <v>0</v>
      </c>
      <c r="DL45" s="43">
        <f>ዕቁብ!DM48/Sheet4!$C45</f>
        <v>0</v>
      </c>
      <c r="DM45" s="43">
        <f>ዕቁብ!DN48/Sheet4!$C45</f>
        <v>0</v>
      </c>
      <c r="DN45" s="43">
        <f>ዕቁብ!DO48/Sheet4!$C45</f>
        <v>0</v>
      </c>
      <c r="DO45" s="43">
        <f>ዕቁብ!DP48/Sheet4!$C45</f>
        <v>0</v>
      </c>
      <c r="DP45" s="43">
        <f>ዕቁብ!DQ48/Sheet4!$C45</f>
        <v>0</v>
      </c>
      <c r="DQ45" s="43">
        <f>ዕቁብ!DR48/Sheet4!$C45</f>
        <v>0</v>
      </c>
    </row>
    <row r="46" spans="1:121" ht="15.75" customHeight="1" x14ac:dyDescent="0.3">
      <c r="A46" s="40">
        <f>ዕቁብ!A49</f>
        <v>43</v>
      </c>
      <c r="B46" s="40" t="str">
        <f>ዕቁብ!B49</f>
        <v>አሸናፊ ጨመረ</v>
      </c>
      <c r="C46" s="30">
        <f>ዕቁብ!C49</f>
        <v>21000</v>
      </c>
      <c r="D46" s="43">
        <f>ዕቁብ!E49/Sheet4!$C46</f>
        <v>1</v>
      </c>
      <c r="E46" s="43">
        <f>ዕቁብ!F49/Sheet4!$C46</f>
        <v>1</v>
      </c>
      <c r="F46" s="43">
        <f>ዕቁብ!G49/Sheet4!$C46</f>
        <v>1</v>
      </c>
      <c r="G46" s="43">
        <f>ዕቁብ!H49/Sheet4!$C46</f>
        <v>1</v>
      </c>
      <c r="H46" s="43">
        <f>ዕቁብ!I49/Sheet4!$C46</f>
        <v>1</v>
      </c>
      <c r="I46" s="43">
        <f>ዕቁብ!J49/Sheet4!$C46</f>
        <v>1</v>
      </c>
      <c r="J46" s="43">
        <f>ዕቁብ!K49/Sheet4!$C46</f>
        <v>1</v>
      </c>
      <c r="K46" s="43">
        <f>ዕቁብ!L49/Sheet4!$C46</f>
        <v>1</v>
      </c>
      <c r="L46" s="43">
        <f>ዕቁብ!M49/Sheet4!$C46</f>
        <v>1</v>
      </c>
      <c r="M46" s="43">
        <f>ዕቁብ!N49/Sheet4!$C46</f>
        <v>1</v>
      </c>
      <c r="N46" s="43">
        <f>ዕቁብ!O49/Sheet4!$C46</f>
        <v>1</v>
      </c>
      <c r="O46" s="43">
        <f>ዕቁብ!P49/Sheet4!$C46</f>
        <v>1</v>
      </c>
      <c r="P46" s="43">
        <f>ዕቁብ!Q49/Sheet4!$C46</f>
        <v>1</v>
      </c>
      <c r="Q46" s="43">
        <f>ዕቁብ!R49/Sheet4!$C46</f>
        <v>1</v>
      </c>
      <c r="R46" s="43">
        <f>ዕቁብ!S49/Sheet4!$C46</f>
        <v>1</v>
      </c>
      <c r="S46" s="43">
        <f>ዕቁብ!T49/Sheet4!$C46</f>
        <v>1</v>
      </c>
      <c r="T46" s="43">
        <f>ዕቁብ!U49/Sheet4!$C46</f>
        <v>1</v>
      </c>
      <c r="U46" s="43">
        <f>ዕቁብ!V49/Sheet4!$C46</f>
        <v>1</v>
      </c>
      <c r="V46" s="43">
        <f>ዕቁብ!W49/Sheet4!$C46</f>
        <v>1</v>
      </c>
      <c r="W46" s="43">
        <f>ዕቁብ!X49/Sheet4!$C46</f>
        <v>1</v>
      </c>
      <c r="X46" s="43">
        <f>ዕቁብ!Y49/Sheet4!$C46</f>
        <v>1</v>
      </c>
      <c r="Y46" s="43">
        <f>ዕቁብ!Z49/Sheet4!$C46</f>
        <v>1</v>
      </c>
      <c r="Z46" s="43">
        <f>ዕቁብ!AA49/Sheet4!$C46</f>
        <v>1</v>
      </c>
      <c r="AA46" s="43">
        <f>ዕቁብ!AB49/Sheet4!$C46</f>
        <v>1</v>
      </c>
      <c r="AB46" s="43">
        <f>ዕቁብ!AC49/Sheet4!$C46</f>
        <v>1</v>
      </c>
      <c r="AC46" s="43">
        <f>ዕቁብ!AD49/Sheet4!$C46</f>
        <v>1</v>
      </c>
      <c r="AD46" s="43">
        <f>ዕቁብ!AE49/Sheet4!$C46</f>
        <v>1</v>
      </c>
      <c r="AE46" s="43">
        <f>ዕቁብ!AF49/Sheet4!$C46</f>
        <v>1</v>
      </c>
      <c r="AF46" s="43">
        <f>ዕቁብ!AG49/Sheet4!$C46</f>
        <v>1</v>
      </c>
      <c r="AG46" s="43">
        <f>ዕቁብ!AH49/Sheet4!$C46</f>
        <v>1</v>
      </c>
      <c r="AH46" s="43">
        <f>ዕቁብ!AI49/Sheet4!$C46</f>
        <v>1</v>
      </c>
      <c r="AI46" s="43">
        <f>ዕቁብ!AJ49/Sheet4!$C46</f>
        <v>1</v>
      </c>
      <c r="AJ46" s="43">
        <f>ዕቁብ!AK49/Sheet4!$C46</f>
        <v>1</v>
      </c>
      <c r="AK46" s="43">
        <f>ዕቁብ!AL49/Sheet4!$C46</f>
        <v>1</v>
      </c>
      <c r="AL46" s="43">
        <f>ዕቁብ!AM49/Sheet4!$C46</f>
        <v>1</v>
      </c>
      <c r="AM46" s="43">
        <f>ዕቁብ!AN49/Sheet4!$C46</f>
        <v>1</v>
      </c>
      <c r="AN46" s="43">
        <f>ዕቁብ!AO49/Sheet4!$C46</f>
        <v>1</v>
      </c>
      <c r="AO46" s="43">
        <f>ዕቁብ!AP49/Sheet4!$C46</f>
        <v>1</v>
      </c>
      <c r="AP46" s="43">
        <f>ዕቁብ!AQ49/Sheet4!$C46</f>
        <v>1</v>
      </c>
      <c r="AQ46" s="43">
        <f>ዕቁብ!AR49/Sheet4!$C46</f>
        <v>1</v>
      </c>
      <c r="AR46" s="43">
        <f>ዕቁብ!AS49/Sheet4!$C46</f>
        <v>1</v>
      </c>
      <c r="AS46" s="43">
        <f>ዕቁብ!AT49/Sheet4!$C46</f>
        <v>1</v>
      </c>
      <c r="AT46" s="43">
        <f>ዕቁብ!AU49/Sheet4!$C46</f>
        <v>1</v>
      </c>
      <c r="AU46" s="43">
        <f>ዕቁብ!AV49/Sheet4!$C46</f>
        <v>1</v>
      </c>
      <c r="AV46" s="43">
        <f>ዕቁብ!AW49/Sheet4!$C46</f>
        <v>1</v>
      </c>
      <c r="AW46" s="43">
        <f>ዕቁብ!AX49/Sheet4!$C46</f>
        <v>1</v>
      </c>
      <c r="AX46" s="43">
        <f>ዕቁብ!AY49/Sheet4!$C46</f>
        <v>1</v>
      </c>
      <c r="AY46" s="43">
        <f>ዕቁብ!AZ49/Sheet4!$C46</f>
        <v>1</v>
      </c>
      <c r="AZ46" s="43">
        <f>ዕቁብ!BA49/Sheet4!$C46</f>
        <v>1</v>
      </c>
      <c r="BA46" s="43">
        <f>ዕቁብ!BB49/Sheet4!$C46</f>
        <v>1</v>
      </c>
      <c r="BB46" s="43">
        <f>ዕቁብ!BC49/Sheet4!$C46</f>
        <v>1</v>
      </c>
      <c r="BC46" s="43">
        <f>ዕቁብ!BD49/Sheet4!$C46</f>
        <v>1</v>
      </c>
      <c r="BD46" s="43">
        <f>ዕቁብ!BE49/Sheet4!$C46</f>
        <v>1</v>
      </c>
      <c r="BE46" s="43">
        <f>ዕቁብ!BF49/Sheet4!$C46</f>
        <v>1</v>
      </c>
      <c r="BF46" s="43">
        <f>ዕቁብ!BG49/Sheet4!$C46</f>
        <v>1</v>
      </c>
      <c r="BG46" s="43">
        <f>ዕቁብ!BH49/Sheet4!$C46</f>
        <v>1</v>
      </c>
      <c r="BH46" s="43">
        <f>ዕቁብ!BI49/Sheet4!$C46</f>
        <v>1</v>
      </c>
      <c r="BI46" s="43">
        <f>ዕቁብ!BJ49/Sheet4!$C46</f>
        <v>1</v>
      </c>
      <c r="BJ46" s="43">
        <f>ዕቁብ!BK49/Sheet4!$C46</f>
        <v>1</v>
      </c>
      <c r="BK46" s="43">
        <f>ዕቁብ!BL49/Sheet4!$C46</f>
        <v>1</v>
      </c>
      <c r="BL46" s="43">
        <f>ዕቁብ!BM49/Sheet4!$C46</f>
        <v>1</v>
      </c>
      <c r="BM46" s="43">
        <f>ዕቁብ!BN49/Sheet4!$C46</f>
        <v>1</v>
      </c>
      <c r="BN46" s="43">
        <f>ዕቁብ!BO49/Sheet4!$C46</f>
        <v>1</v>
      </c>
      <c r="BO46" s="43">
        <f>ዕቁብ!BP49/Sheet4!$C46</f>
        <v>1</v>
      </c>
      <c r="BP46" s="43">
        <f>ዕቁብ!BQ49/Sheet4!$C46</f>
        <v>1</v>
      </c>
      <c r="BQ46" s="43">
        <f>ዕቁብ!BR49/Sheet4!$C46</f>
        <v>1</v>
      </c>
      <c r="BR46" s="43">
        <f>ዕቁብ!BS49/Sheet4!$C46</f>
        <v>1</v>
      </c>
      <c r="BS46" s="43">
        <f>ዕቁብ!BT49/Sheet4!$C46</f>
        <v>1</v>
      </c>
      <c r="BT46" s="43">
        <f>ዕቁብ!BU49/Sheet4!$C46</f>
        <v>1</v>
      </c>
      <c r="BU46" s="43">
        <f>ዕቁብ!BV49/Sheet4!$C46</f>
        <v>1</v>
      </c>
      <c r="BV46" s="43">
        <f>ዕቁብ!BW49/Sheet4!$C46</f>
        <v>1</v>
      </c>
      <c r="BW46" s="43">
        <f>ዕቁብ!BX49/Sheet4!$C46</f>
        <v>1</v>
      </c>
      <c r="BX46" s="43">
        <f>ዕቁብ!BY49/Sheet4!$C46</f>
        <v>0</v>
      </c>
      <c r="BY46" s="43">
        <f>ዕቁብ!BZ49/Sheet4!$C46</f>
        <v>2</v>
      </c>
      <c r="BZ46" s="43">
        <f>ዕቁብ!CA49/Sheet4!$C46</f>
        <v>1</v>
      </c>
      <c r="CA46" s="43">
        <f>ዕቁብ!CB49/Sheet4!$C46</f>
        <v>1</v>
      </c>
      <c r="CB46" s="43">
        <f>ዕቁብ!CC49/Sheet4!$C46</f>
        <v>1</v>
      </c>
      <c r="CC46" s="43">
        <f>ዕቁብ!CD49/Sheet4!$C46</f>
        <v>1</v>
      </c>
      <c r="CD46" s="43">
        <f>ዕቁብ!CE49/Sheet4!$C46</f>
        <v>1</v>
      </c>
      <c r="CE46" s="43">
        <f>ዕቁብ!CF49/Sheet4!$C46</f>
        <v>0</v>
      </c>
      <c r="CF46" s="43">
        <f>ዕቁብ!CG49/Sheet4!$C46</f>
        <v>1</v>
      </c>
      <c r="CG46" s="43">
        <f>ዕቁብ!CH49/Sheet4!$C46</f>
        <v>1</v>
      </c>
      <c r="CH46" s="43">
        <f>ዕቁብ!CI49/Sheet4!$C46</f>
        <v>1</v>
      </c>
      <c r="CI46" s="43">
        <f>ዕቁብ!CJ49/Sheet4!$C46</f>
        <v>1</v>
      </c>
      <c r="CJ46" s="43">
        <f>ዕቁብ!CK49/Sheet4!$C46</f>
        <v>1</v>
      </c>
      <c r="CK46" s="43">
        <f>ዕቁብ!CL49/Sheet4!$C46</f>
        <v>1</v>
      </c>
      <c r="CL46" s="43">
        <f>ዕቁብ!CM49/Sheet4!$C46</f>
        <v>1</v>
      </c>
      <c r="CM46" s="43">
        <f>ዕቁብ!CN49/Sheet4!$C46</f>
        <v>1</v>
      </c>
      <c r="CN46" s="43">
        <f>ዕቁብ!CO49/Sheet4!$C46</f>
        <v>1</v>
      </c>
      <c r="CO46" s="43">
        <f>ዕቁብ!CP49/Sheet4!$C46</f>
        <v>1</v>
      </c>
      <c r="CP46" s="43">
        <f>ዕቁብ!CQ49/Sheet4!$C46</f>
        <v>1</v>
      </c>
      <c r="CQ46" s="43">
        <f>ዕቁብ!CR49/Sheet4!$C46</f>
        <v>1</v>
      </c>
      <c r="CR46" s="43">
        <f>ዕቁብ!CS49/Sheet4!$C46</f>
        <v>1</v>
      </c>
      <c r="CS46" s="43">
        <f>ዕቁብ!CT49/Sheet4!$C46</f>
        <v>1</v>
      </c>
      <c r="CT46" s="43">
        <f>ዕቁብ!CU49/Sheet4!$C46</f>
        <v>1</v>
      </c>
      <c r="CU46" s="43">
        <f>ዕቁብ!CV49/Sheet4!$C46</f>
        <v>1</v>
      </c>
      <c r="CV46" s="43">
        <f>ዕቁብ!CW49/Sheet4!$C46</f>
        <v>1</v>
      </c>
      <c r="CW46" s="43">
        <f>ዕቁብ!CX49/Sheet4!$C46</f>
        <v>1</v>
      </c>
      <c r="CX46" s="43">
        <f>ዕቁብ!CY49/Sheet4!$C46</f>
        <v>1</v>
      </c>
      <c r="CY46" s="43">
        <f>ዕቁብ!CZ49/Sheet4!$C46</f>
        <v>1</v>
      </c>
      <c r="CZ46" s="43">
        <f>ዕቁብ!DA49/Sheet4!$C46</f>
        <v>0</v>
      </c>
      <c r="DA46" s="43">
        <f>ዕቁብ!DB49/Sheet4!$C46</f>
        <v>1</v>
      </c>
      <c r="DB46" s="43">
        <f>ዕቁብ!DC49/Sheet4!$C46</f>
        <v>0</v>
      </c>
      <c r="DC46" s="43">
        <f>ዕቁብ!DD49/Sheet4!$C46</f>
        <v>2</v>
      </c>
      <c r="DD46" s="43">
        <f>ዕቁብ!DE49/Sheet4!$C46</f>
        <v>1</v>
      </c>
      <c r="DE46" s="43">
        <f>ዕቁብ!DF49/Sheet4!$C46</f>
        <v>0</v>
      </c>
      <c r="DF46" s="43">
        <f>ዕቁብ!DG49/Sheet4!$C46</f>
        <v>1</v>
      </c>
      <c r="DG46" s="43">
        <f>ዕቁብ!DH49/Sheet4!$C46</f>
        <v>0</v>
      </c>
      <c r="DH46" s="43">
        <f>ዕቁብ!DI49/Sheet4!$C46</f>
        <v>0</v>
      </c>
      <c r="DI46" s="43">
        <f>ዕቁብ!DJ49/Sheet4!$C46</f>
        <v>0</v>
      </c>
      <c r="DJ46" s="43">
        <f>ዕቁብ!DK49/Sheet4!$C46</f>
        <v>0</v>
      </c>
      <c r="DK46" s="43">
        <f>ዕቁብ!DL49/Sheet4!$C46</f>
        <v>0</v>
      </c>
      <c r="DL46" s="43">
        <f>ዕቁብ!DM49/Sheet4!$C46</f>
        <v>0</v>
      </c>
      <c r="DM46" s="43">
        <f>ዕቁብ!DN49/Sheet4!$C46</f>
        <v>0</v>
      </c>
      <c r="DN46" s="43">
        <f>ዕቁብ!DO49/Sheet4!$C46</f>
        <v>0</v>
      </c>
      <c r="DO46" s="43">
        <f>ዕቁብ!DP49/Sheet4!$C46</f>
        <v>0</v>
      </c>
      <c r="DP46" s="43">
        <f>ዕቁብ!DQ49/Sheet4!$C46</f>
        <v>0</v>
      </c>
      <c r="DQ46" s="43">
        <f>ዕቁብ!DR49/Sheet4!$C46</f>
        <v>0</v>
      </c>
    </row>
    <row r="47" spans="1:121" ht="15.75" customHeight="1" x14ac:dyDescent="0.3">
      <c r="A47" s="40">
        <f>ዕቁብ!A50</f>
        <v>44</v>
      </c>
      <c r="B47" s="40" t="str">
        <f>ዕቁብ!B50</f>
        <v>አሸናፊ ጨመረ</v>
      </c>
      <c r="C47" s="30">
        <f>ዕቁብ!C50</f>
        <v>21000</v>
      </c>
      <c r="D47" s="43">
        <f>ዕቁብ!E50/Sheet4!$C47</f>
        <v>1</v>
      </c>
      <c r="E47" s="43">
        <f>ዕቁብ!F50/Sheet4!$C47</f>
        <v>1</v>
      </c>
      <c r="F47" s="43">
        <f>ዕቁብ!G50/Sheet4!$C47</f>
        <v>1</v>
      </c>
      <c r="G47" s="43">
        <f>ዕቁብ!H50/Sheet4!$C47</f>
        <v>1</v>
      </c>
      <c r="H47" s="43">
        <f>ዕቁብ!I50/Sheet4!$C47</f>
        <v>1</v>
      </c>
      <c r="I47" s="43">
        <f>ዕቁብ!J50/Sheet4!$C47</f>
        <v>1</v>
      </c>
      <c r="J47" s="43">
        <f>ዕቁብ!K50/Sheet4!$C47</f>
        <v>1</v>
      </c>
      <c r="K47" s="43">
        <f>ዕቁብ!L50/Sheet4!$C47</f>
        <v>1</v>
      </c>
      <c r="L47" s="43">
        <f>ዕቁብ!M50/Sheet4!$C47</f>
        <v>1</v>
      </c>
      <c r="M47" s="43">
        <f>ዕቁብ!N50/Sheet4!$C47</f>
        <v>1</v>
      </c>
      <c r="N47" s="43">
        <f>ዕቁብ!O50/Sheet4!$C47</f>
        <v>1</v>
      </c>
      <c r="O47" s="43">
        <f>ዕቁብ!P50/Sheet4!$C47</f>
        <v>1</v>
      </c>
      <c r="P47" s="43">
        <f>ዕቁብ!Q50/Sheet4!$C47</f>
        <v>1</v>
      </c>
      <c r="Q47" s="43">
        <f>ዕቁብ!R50/Sheet4!$C47</f>
        <v>1</v>
      </c>
      <c r="R47" s="43">
        <f>ዕቁብ!S50/Sheet4!$C47</f>
        <v>1</v>
      </c>
      <c r="S47" s="43">
        <f>ዕቁብ!T50/Sheet4!$C47</f>
        <v>1</v>
      </c>
      <c r="T47" s="43">
        <f>ዕቁብ!U50/Sheet4!$C47</f>
        <v>1</v>
      </c>
      <c r="U47" s="43">
        <f>ዕቁብ!V50/Sheet4!$C47</f>
        <v>1</v>
      </c>
      <c r="V47" s="43">
        <f>ዕቁብ!W50/Sheet4!$C47</f>
        <v>1</v>
      </c>
      <c r="W47" s="43">
        <f>ዕቁብ!X50/Sheet4!$C47</f>
        <v>1</v>
      </c>
      <c r="X47" s="43">
        <f>ዕቁብ!Y50/Sheet4!$C47</f>
        <v>1</v>
      </c>
      <c r="Y47" s="43">
        <f>ዕቁብ!Z50/Sheet4!$C47</f>
        <v>1</v>
      </c>
      <c r="Z47" s="43">
        <f>ዕቁብ!AA50/Sheet4!$C47</f>
        <v>1</v>
      </c>
      <c r="AA47" s="43">
        <f>ዕቁብ!AB50/Sheet4!$C47</f>
        <v>1</v>
      </c>
      <c r="AB47" s="43">
        <f>ዕቁብ!AC50/Sheet4!$C47</f>
        <v>1</v>
      </c>
      <c r="AC47" s="43">
        <f>ዕቁብ!AD50/Sheet4!$C47</f>
        <v>1</v>
      </c>
      <c r="AD47" s="43">
        <f>ዕቁብ!AE50/Sheet4!$C47</f>
        <v>1</v>
      </c>
      <c r="AE47" s="43">
        <f>ዕቁብ!AF50/Sheet4!$C47</f>
        <v>1</v>
      </c>
      <c r="AF47" s="43">
        <f>ዕቁብ!AG50/Sheet4!$C47</f>
        <v>1</v>
      </c>
      <c r="AG47" s="43">
        <f>ዕቁብ!AH50/Sheet4!$C47</f>
        <v>1</v>
      </c>
      <c r="AH47" s="43">
        <f>ዕቁብ!AI50/Sheet4!$C47</f>
        <v>1</v>
      </c>
      <c r="AI47" s="43">
        <f>ዕቁብ!AJ50/Sheet4!$C47</f>
        <v>1</v>
      </c>
      <c r="AJ47" s="43">
        <f>ዕቁብ!AK50/Sheet4!$C47</f>
        <v>1</v>
      </c>
      <c r="AK47" s="43">
        <f>ዕቁብ!AL50/Sheet4!$C47</f>
        <v>1</v>
      </c>
      <c r="AL47" s="43">
        <f>ዕቁብ!AM50/Sheet4!$C47</f>
        <v>1</v>
      </c>
      <c r="AM47" s="43">
        <f>ዕቁብ!AN50/Sheet4!$C47</f>
        <v>1</v>
      </c>
      <c r="AN47" s="43">
        <f>ዕቁብ!AO50/Sheet4!$C47</f>
        <v>1</v>
      </c>
      <c r="AO47" s="43">
        <f>ዕቁብ!AP50/Sheet4!$C47</f>
        <v>1</v>
      </c>
      <c r="AP47" s="43">
        <f>ዕቁብ!AQ50/Sheet4!$C47</f>
        <v>1</v>
      </c>
      <c r="AQ47" s="43">
        <f>ዕቁብ!AR50/Sheet4!$C47</f>
        <v>1</v>
      </c>
      <c r="AR47" s="43">
        <f>ዕቁብ!AS50/Sheet4!$C47</f>
        <v>1</v>
      </c>
      <c r="AS47" s="43">
        <f>ዕቁብ!AT50/Sheet4!$C47</f>
        <v>1</v>
      </c>
      <c r="AT47" s="43">
        <f>ዕቁብ!AU50/Sheet4!$C47</f>
        <v>1</v>
      </c>
      <c r="AU47" s="43">
        <f>ዕቁብ!AV50/Sheet4!$C47</f>
        <v>1</v>
      </c>
      <c r="AV47" s="43">
        <f>ዕቁብ!AW50/Sheet4!$C47</f>
        <v>1</v>
      </c>
      <c r="AW47" s="43">
        <f>ዕቁብ!AX50/Sheet4!$C47</f>
        <v>1</v>
      </c>
      <c r="AX47" s="43">
        <f>ዕቁብ!AY50/Sheet4!$C47</f>
        <v>1</v>
      </c>
      <c r="AY47" s="43">
        <f>ዕቁብ!AZ50/Sheet4!$C47</f>
        <v>1</v>
      </c>
      <c r="AZ47" s="43">
        <f>ዕቁብ!BA50/Sheet4!$C47</f>
        <v>1</v>
      </c>
      <c r="BA47" s="43">
        <f>ዕቁብ!BB50/Sheet4!$C47</f>
        <v>1</v>
      </c>
      <c r="BB47" s="43">
        <f>ዕቁብ!BC50/Sheet4!$C47</f>
        <v>1</v>
      </c>
      <c r="BC47" s="43">
        <f>ዕቁብ!BD50/Sheet4!$C47</f>
        <v>1</v>
      </c>
      <c r="BD47" s="43">
        <f>ዕቁብ!BE50/Sheet4!$C47</f>
        <v>1</v>
      </c>
      <c r="BE47" s="43">
        <f>ዕቁብ!BF50/Sheet4!$C47</f>
        <v>1</v>
      </c>
      <c r="BF47" s="43">
        <f>ዕቁብ!BG50/Sheet4!$C47</f>
        <v>1</v>
      </c>
      <c r="BG47" s="43">
        <f>ዕቁብ!BH50/Sheet4!$C47</f>
        <v>1</v>
      </c>
      <c r="BH47" s="43">
        <f>ዕቁብ!BI50/Sheet4!$C47</f>
        <v>1</v>
      </c>
      <c r="BI47" s="43">
        <f>ዕቁብ!BJ50/Sheet4!$C47</f>
        <v>1</v>
      </c>
      <c r="BJ47" s="43">
        <f>ዕቁብ!BK50/Sheet4!$C47</f>
        <v>1</v>
      </c>
      <c r="BK47" s="43">
        <f>ዕቁብ!BL50/Sheet4!$C47</f>
        <v>1</v>
      </c>
      <c r="BL47" s="43">
        <f>ዕቁብ!BM50/Sheet4!$C47</f>
        <v>1</v>
      </c>
      <c r="BM47" s="43">
        <f>ዕቁብ!BN50/Sheet4!$C47</f>
        <v>1</v>
      </c>
      <c r="BN47" s="43">
        <f>ዕቁብ!BO50/Sheet4!$C47</f>
        <v>1</v>
      </c>
      <c r="BO47" s="43">
        <f>ዕቁብ!BP50/Sheet4!$C47</f>
        <v>1</v>
      </c>
      <c r="BP47" s="43">
        <f>ዕቁብ!BQ50/Sheet4!$C47</f>
        <v>1</v>
      </c>
      <c r="BQ47" s="43">
        <f>ዕቁብ!BR50/Sheet4!$C47</f>
        <v>1</v>
      </c>
      <c r="BR47" s="43">
        <f>ዕቁብ!BS50/Sheet4!$C47</f>
        <v>1</v>
      </c>
      <c r="BS47" s="43">
        <f>ዕቁብ!BT50/Sheet4!$C47</f>
        <v>1</v>
      </c>
      <c r="BT47" s="43">
        <f>ዕቁብ!BU50/Sheet4!$C47</f>
        <v>1</v>
      </c>
      <c r="BU47" s="43">
        <f>ዕቁብ!BV50/Sheet4!$C47</f>
        <v>1</v>
      </c>
      <c r="BV47" s="43">
        <f>ዕቁብ!BW50/Sheet4!$C47</f>
        <v>1</v>
      </c>
      <c r="BW47" s="43">
        <f>ዕቁብ!BX50/Sheet4!$C47</f>
        <v>1</v>
      </c>
      <c r="BX47" s="43">
        <f>ዕቁብ!BY50/Sheet4!$C47</f>
        <v>0</v>
      </c>
      <c r="BY47" s="43">
        <f>ዕቁብ!BZ50/Sheet4!$C47</f>
        <v>2</v>
      </c>
      <c r="BZ47" s="43">
        <f>ዕቁብ!CA50/Sheet4!$C47</f>
        <v>1</v>
      </c>
      <c r="CA47" s="43">
        <f>ዕቁብ!CB50/Sheet4!$C47</f>
        <v>1</v>
      </c>
      <c r="CB47" s="43">
        <f>ዕቁብ!CC50/Sheet4!$C47</f>
        <v>1</v>
      </c>
      <c r="CC47" s="43">
        <f>ዕቁብ!CD50/Sheet4!$C47</f>
        <v>1</v>
      </c>
      <c r="CD47" s="43">
        <f>ዕቁብ!CE50/Sheet4!$C47</f>
        <v>1</v>
      </c>
      <c r="CE47" s="43">
        <f>ዕቁብ!CF50/Sheet4!$C47</f>
        <v>0</v>
      </c>
      <c r="CF47" s="43">
        <f>ዕቁብ!CG50/Sheet4!$C47</f>
        <v>1</v>
      </c>
      <c r="CG47" s="43">
        <f>ዕቁብ!CH50/Sheet4!$C47</f>
        <v>1</v>
      </c>
      <c r="CH47" s="43">
        <f>ዕቁብ!CI50/Sheet4!$C47</f>
        <v>1</v>
      </c>
      <c r="CI47" s="43">
        <f>ዕቁብ!CJ50/Sheet4!$C47</f>
        <v>1</v>
      </c>
      <c r="CJ47" s="43">
        <f>ዕቁብ!CK50/Sheet4!$C47</f>
        <v>1</v>
      </c>
      <c r="CK47" s="43">
        <f>ዕቁብ!CL50/Sheet4!$C47</f>
        <v>1</v>
      </c>
      <c r="CL47" s="43">
        <f>ዕቁብ!CM50/Sheet4!$C47</f>
        <v>1</v>
      </c>
      <c r="CM47" s="43">
        <f>ዕቁብ!CN50/Sheet4!$C47</f>
        <v>1</v>
      </c>
      <c r="CN47" s="43">
        <f>ዕቁብ!CO50/Sheet4!$C47</f>
        <v>1</v>
      </c>
      <c r="CO47" s="43">
        <f>ዕቁብ!CP50/Sheet4!$C47</f>
        <v>1</v>
      </c>
      <c r="CP47" s="43">
        <f>ዕቁብ!CQ50/Sheet4!$C47</f>
        <v>1</v>
      </c>
      <c r="CQ47" s="43">
        <f>ዕቁብ!CR50/Sheet4!$C47</f>
        <v>1</v>
      </c>
      <c r="CR47" s="43">
        <f>ዕቁብ!CS50/Sheet4!$C47</f>
        <v>1</v>
      </c>
      <c r="CS47" s="43">
        <f>ዕቁብ!CT50/Sheet4!$C47</f>
        <v>1</v>
      </c>
      <c r="CT47" s="43">
        <f>ዕቁብ!CU50/Sheet4!$C47</f>
        <v>1</v>
      </c>
      <c r="CU47" s="43">
        <f>ዕቁብ!CV50/Sheet4!$C47</f>
        <v>1</v>
      </c>
      <c r="CV47" s="43">
        <f>ዕቁብ!CW50/Sheet4!$C47</f>
        <v>1</v>
      </c>
      <c r="CW47" s="43">
        <f>ዕቁብ!CX50/Sheet4!$C47</f>
        <v>1</v>
      </c>
      <c r="CX47" s="43">
        <f>ዕቁብ!CY50/Sheet4!$C47</f>
        <v>1</v>
      </c>
      <c r="CY47" s="43">
        <f>ዕቁብ!CZ50/Sheet4!$C47</f>
        <v>1</v>
      </c>
      <c r="CZ47" s="43">
        <f>ዕቁብ!DA50/Sheet4!$C47</f>
        <v>0</v>
      </c>
      <c r="DA47" s="43">
        <f>ዕቁብ!DB50/Sheet4!$C47</f>
        <v>1</v>
      </c>
      <c r="DB47" s="43">
        <f>ዕቁብ!DC50/Sheet4!$C47</f>
        <v>0</v>
      </c>
      <c r="DC47" s="43">
        <f>ዕቁብ!DD50/Sheet4!$C47</f>
        <v>2</v>
      </c>
      <c r="DD47" s="43">
        <f>ዕቁብ!DE50/Sheet4!$C47</f>
        <v>1</v>
      </c>
      <c r="DE47" s="43">
        <f>ዕቁብ!DF50/Sheet4!$C47</f>
        <v>0</v>
      </c>
      <c r="DF47" s="43">
        <f>ዕቁብ!DG50/Sheet4!$C47</f>
        <v>1</v>
      </c>
      <c r="DG47" s="43">
        <f>ዕቁብ!DH50/Sheet4!$C47</f>
        <v>0</v>
      </c>
      <c r="DH47" s="43">
        <f>ዕቁብ!DI50/Sheet4!$C47</f>
        <v>0</v>
      </c>
      <c r="DI47" s="43">
        <f>ዕቁብ!DJ50/Sheet4!$C47</f>
        <v>0</v>
      </c>
      <c r="DJ47" s="43">
        <f>ዕቁብ!DK50/Sheet4!$C47</f>
        <v>0</v>
      </c>
      <c r="DK47" s="43">
        <f>ዕቁብ!DL50/Sheet4!$C47</f>
        <v>0</v>
      </c>
      <c r="DL47" s="43">
        <f>ዕቁብ!DM50/Sheet4!$C47</f>
        <v>0</v>
      </c>
      <c r="DM47" s="43">
        <f>ዕቁብ!DN50/Sheet4!$C47</f>
        <v>0</v>
      </c>
      <c r="DN47" s="43">
        <f>ዕቁብ!DO50/Sheet4!$C47</f>
        <v>0</v>
      </c>
      <c r="DO47" s="43">
        <f>ዕቁብ!DP50/Sheet4!$C47</f>
        <v>0</v>
      </c>
      <c r="DP47" s="43">
        <f>ዕቁብ!DQ50/Sheet4!$C47</f>
        <v>0</v>
      </c>
      <c r="DQ47" s="43">
        <f>ዕቁብ!DR50/Sheet4!$C47</f>
        <v>0</v>
      </c>
    </row>
    <row r="48" spans="1:121" ht="15.75" customHeight="1" x14ac:dyDescent="0.3">
      <c r="A48" s="40">
        <f>ዕቁብ!A51</f>
        <v>45</v>
      </c>
      <c r="B48" s="40" t="str">
        <f>ዕቁብ!B51</f>
        <v>አሸናፊ ጨመረ</v>
      </c>
      <c r="C48" s="30">
        <f>ዕቁብ!C51</f>
        <v>21000</v>
      </c>
      <c r="D48" s="43">
        <f>ዕቁብ!E51/Sheet4!$C48</f>
        <v>1</v>
      </c>
      <c r="E48" s="43">
        <f>ዕቁብ!F51/Sheet4!$C48</f>
        <v>1</v>
      </c>
      <c r="F48" s="43">
        <f>ዕቁብ!G51/Sheet4!$C48</f>
        <v>1</v>
      </c>
      <c r="G48" s="43">
        <f>ዕቁብ!H51/Sheet4!$C48</f>
        <v>1</v>
      </c>
      <c r="H48" s="43">
        <f>ዕቁብ!I51/Sheet4!$C48</f>
        <v>1</v>
      </c>
      <c r="I48" s="43">
        <f>ዕቁብ!J51/Sheet4!$C48</f>
        <v>1</v>
      </c>
      <c r="J48" s="43">
        <f>ዕቁብ!K51/Sheet4!$C48</f>
        <v>1</v>
      </c>
      <c r="K48" s="43">
        <f>ዕቁብ!L51/Sheet4!$C48</f>
        <v>1</v>
      </c>
      <c r="L48" s="43">
        <f>ዕቁብ!M51/Sheet4!$C48</f>
        <v>1</v>
      </c>
      <c r="M48" s="43">
        <f>ዕቁብ!N51/Sheet4!$C48</f>
        <v>1</v>
      </c>
      <c r="N48" s="43">
        <f>ዕቁብ!O51/Sheet4!$C48</f>
        <v>1</v>
      </c>
      <c r="O48" s="43">
        <f>ዕቁብ!P51/Sheet4!$C48</f>
        <v>1</v>
      </c>
      <c r="P48" s="43">
        <f>ዕቁብ!Q51/Sheet4!$C48</f>
        <v>1</v>
      </c>
      <c r="Q48" s="43">
        <f>ዕቁብ!R51/Sheet4!$C48</f>
        <v>1</v>
      </c>
      <c r="R48" s="43">
        <f>ዕቁብ!S51/Sheet4!$C48</f>
        <v>1</v>
      </c>
      <c r="S48" s="43">
        <f>ዕቁብ!T51/Sheet4!$C48</f>
        <v>1</v>
      </c>
      <c r="T48" s="43">
        <f>ዕቁብ!U51/Sheet4!$C48</f>
        <v>1</v>
      </c>
      <c r="U48" s="43">
        <f>ዕቁብ!V51/Sheet4!$C48</f>
        <v>1</v>
      </c>
      <c r="V48" s="43">
        <f>ዕቁብ!W51/Sheet4!$C48</f>
        <v>1</v>
      </c>
      <c r="W48" s="43">
        <f>ዕቁብ!X51/Sheet4!$C48</f>
        <v>1</v>
      </c>
      <c r="X48" s="43">
        <f>ዕቁብ!Y51/Sheet4!$C48</f>
        <v>1</v>
      </c>
      <c r="Y48" s="43">
        <f>ዕቁብ!Z51/Sheet4!$C48</f>
        <v>1</v>
      </c>
      <c r="Z48" s="43">
        <f>ዕቁብ!AA51/Sheet4!$C48</f>
        <v>1</v>
      </c>
      <c r="AA48" s="43">
        <f>ዕቁብ!AB51/Sheet4!$C48</f>
        <v>1</v>
      </c>
      <c r="AB48" s="43">
        <f>ዕቁብ!AC51/Sheet4!$C48</f>
        <v>1</v>
      </c>
      <c r="AC48" s="43">
        <f>ዕቁብ!AD51/Sheet4!$C48</f>
        <v>1</v>
      </c>
      <c r="AD48" s="43">
        <f>ዕቁብ!AE51/Sheet4!$C48</f>
        <v>1</v>
      </c>
      <c r="AE48" s="43">
        <f>ዕቁብ!AF51/Sheet4!$C48</f>
        <v>1</v>
      </c>
      <c r="AF48" s="43">
        <f>ዕቁብ!AG51/Sheet4!$C48</f>
        <v>1</v>
      </c>
      <c r="AG48" s="43">
        <f>ዕቁብ!AH51/Sheet4!$C48</f>
        <v>1</v>
      </c>
      <c r="AH48" s="43">
        <f>ዕቁብ!AI51/Sheet4!$C48</f>
        <v>1</v>
      </c>
      <c r="AI48" s="43">
        <f>ዕቁብ!AJ51/Sheet4!$C48</f>
        <v>1</v>
      </c>
      <c r="AJ48" s="43">
        <f>ዕቁብ!AK51/Sheet4!$C48</f>
        <v>1</v>
      </c>
      <c r="AK48" s="43">
        <f>ዕቁብ!AL51/Sheet4!$C48</f>
        <v>1</v>
      </c>
      <c r="AL48" s="43">
        <f>ዕቁብ!AM51/Sheet4!$C48</f>
        <v>1</v>
      </c>
      <c r="AM48" s="43">
        <f>ዕቁብ!AN51/Sheet4!$C48</f>
        <v>1</v>
      </c>
      <c r="AN48" s="43">
        <f>ዕቁብ!AO51/Sheet4!$C48</f>
        <v>1</v>
      </c>
      <c r="AO48" s="43">
        <f>ዕቁብ!AP51/Sheet4!$C48</f>
        <v>1</v>
      </c>
      <c r="AP48" s="43">
        <f>ዕቁብ!AQ51/Sheet4!$C48</f>
        <v>1</v>
      </c>
      <c r="AQ48" s="43">
        <f>ዕቁብ!AR51/Sheet4!$C48</f>
        <v>1</v>
      </c>
      <c r="AR48" s="43">
        <f>ዕቁብ!AS51/Sheet4!$C48</f>
        <v>1</v>
      </c>
      <c r="AS48" s="43">
        <f>ዕቁብ!AT51/Sheet4!$C48</f>
        <v>1</v>
      </c>
      <c r="AT48" s="43">
        <f>ዕቁብ!AU51/Sheet4!$C48</f>
        <v>1</v>
      </c>
      <c r="AU48" s="43">
        <f>ዕቁብ!AV51/Sheet4!$C48</f>
        <v>1</v>
      </c>
      <c r="AV48" s="43">
        <f>ዕቁብ!AW51/Sheet4!$C48</f>
        <v>1</v>
      </c>
      <c r="AW48" s="43">
        <f>ዕቁብ!AX51/Sheet4!$C48</f>
        <v>1</v>
      </c>
      <c r="AX48" s="43">
        <f>ዕቁብ!AY51/Sheet4!$C48</f>
        <v>1</v>
      </c>
      <c r="AY48" s="43">
        <f>ዕቁብ!AZ51/Sheet4!$C48</f>
        <v>1</v>
      </c>
      <c r="AZ48" s="43">
        <f>ዕቁብ!BA51/Sheet4!$C48</f>
        <v>1</v>
      </c>
      <c r="BA48" s="43">
        <f>ዕቁብ!BB51/Sheet4!$C48</f>
        <v>1</v>
      </c>
      <c r="BB48" s="43">
        <f>ዕቁብ!BC51/Sheet4!$C48</f>
        <v>1</v>
      </c>
      <c r="BC48" s="43">
        <f>ዕቁብ!BD51/Sheet4!$C48</f>
        <v>1</v>
      </c>
      <c r="BD48" s="43">
        <f>ዕቁብ!BE51/Sheet4!$C48</f>
        <v>1</v>
      </c>
      <c r="BE48" s="43">
        <f>ዕቁብ!BF51/Sheet4!$C48</f>
        <v>1</v>
      </c>
      <c r="BF48" s="43">
        <f>ዕቁብ!BG51/Sheet4!$C48</f>
        <v>1</v>
      </c>
      <c r="BG48" s="43">
        <f>ዕቁብ!BH51/Sheet4!$C48</f>
        <v>1</v>
      </c>
      <c r="BH48" s="43">
        <f>ዕቁብ!BI51/Sheet4!$C48</f>
        <v>1</v>
      </c>
      <c r="BI48" s="43">
        <f>ዕቁብ!BJ51/Sheet4!$C48</f>
        <v>1</v>
      </c>
      <c r="BJ48" s="43">
        <f>ዕቁብ!BK51/Sheet4!$C48</f>
        <v>1</v>
      </c>
      <c r="BK48" s="43">
        <f>ዕቁብ!BL51/Sheet4!$C48</f>
        <v>1</v>
      </c>
      <c r="BL48" s="43">
        <f>ዕቁብ!BM51/Sheet4!$C48</f>
        <v>1</v>
      </c>
      <c r="BM48" s="43">
        <f>ዕቁብ!BN51/Sheet4!$C48</f>
        <v>1</v>
      </c>
      <c r="BN48" s="43">
        <f>ዕቁብ!BO51/Sheet4!$C48</f>
        <v>1</v>
      </c>
      <c r="BO48" s="43">
        <f>ዕቁብ!BP51/Sheet4!$C48</f>
        <v>1</v>
      </c>
      <c r="BP48" s="43">
        <f>ዕቁብ!BQ51/Sheet4!$C48</f>
        <v>1</v>
      </c>
      <c r="BQ48" s="43">
        <f>ዕቁብ!BR51/Sheet4!$C48</f>
        <v>1</v>
      </c>
      <c r="BR48" s="43">
        <f>ዕቁብ!BS51/Sheet4!$C48</f>
        <v>1</v>
      </c>
      <c r="BS48" s="43">
        <f>ዕቁብ!BT51/Sheet4!$C48</f>
        <v>1</v>
      </c>
      <c r="BT48" s="43">
        <f>ዕቁብ!BU51/Sheet4!$C48</f>
        <v>1</v>
      </c>
      <c r="BU48" s="43">
        <f>ዕቁብ!BV51/Sheet4!$C48</f>
        <v>1</v>
      </c>
      <c r="BV48" s="43">
        <f>ዕቁብ!BW51/Sheet4!$C48</f>
        <v>1</v>
      </c>
      <c r="BW48" s="43">
        <f>ዕቁብ!BX51/Sheet4!$C48</f>
        <v>1</v>
      </c>
      <c r="BX48" s="43">
        <f>ዕቁብ!BY51/Sheet4!$C48</f>
        <v>0</v>
      </c>
      <c r="BY48" s="43">
        <f>ዕቁብ!BZ51/Sheet4!$C48</f>
        <v>2</v>
      </c>
      <c r="BZ48" s="43">
        <f>ዕቁብ!CA51/Sheet4!$C48</f>
        <v>1</v>
      </c>
      <c r="CA48" s="43">
        <f>ዕቁብ!CB51/Sheet4!$C48</f>
        <v>1</v>
      </c>
      <c r="CB48" s="43">
        <f>ዕቁብ!CC51/Sheet4!$C48</f>
        <v>1</v>
      </c>
      <c r="CC48" s="43">
        <f>ዕቁብ!CD51/Sheet4!$C48</f>
        <v>1</v>
      </c>
      <c r="CD48" s="43">
        <f>ዕቁብ!CE51/Sheet4!$C48</f>
        <v>1</v>
      </c>
      <c r="CE48" s="43">
        <f>ዕቁብ!CF51/Sheet4!$C48</f>
        <v>0</v>
      </c>
      <c r="CF48" s="43">
        <f>ዕቁብ!CG51/Sheet4!$C48</f>
        <v>1</v>
      </c>
      <c r="CG48" s="43">
        <f>ዕቁብ!CH51/Sheet4!$C48</f>
        <v>1</v>
      </c>
      <c r="CH48" s="43">
        <f>ዕቁብ!CI51/Sheet4!$C48</f>
        <v>1</v>
      </c>
      <c r="CI48" s="43">
        <f>ዕቁብ!CJ51/Sheet4!$C48</f>
        <v>1</v>
      </c>
      <c r="CJ48" s="43">
        <f>ዕቁብ!CK51/Sheet4!$C48</f>
        <v>1</v>
      </c>
      <c r="CK48" s="43">
        <f>ዕቁብ!CL51/Sheet4!$C48</f>
        <v>1</v>
      </c>
      <c r="CL48" s="43">
        <f>ዕቁብ!CM51/Sheet4!$C48</f>
        <v>1</v>
      </c>
      <c r="CM48" s="43">
        <f>ዕቁብ!CN51/Sheet4!$C48</f>
        <v>1</v>
      </c>
      <c r="CN48" s="43">
        <f>ዕቁብ!CO51/Sheet4!$C48</f>
        <v>1</v>
      </c>
      <c r="CO48" s="43">
        <f>ዕቁብ!CP51/Sheet4!$C48</f>
        <v>1</v>
      </c>
      <c r="CP48" s="43">
        <f>ዕቁብ!CQ51/Sheet4!$C48</f>
        <v>1</v>
      </c>
      <c r="CQ48" s="43">
        <f>ዕቁብ!CR51/Sheet4!$C48</f>
        <v>1</v>
      </c>
      <c r="CR48" s="43">
        <f>ዕቁብ!CS51/Sheet4!$C48</f>
        <v>1</v>
      </c>
      <c r="CS48" s="43">
        <f>ዕቁብ!CT51/Sheet4!$C48</f>
        <v>1</v>
      </c>
      <c r="CT48" s="43">
        <f>ዕቁብ!CU51/Sheet4!$C48</f>
        <v>1</v>
      </c>
      <c r="CU48" s="43">
        <f>ዕቁብ!CV51/Sheet4!$C48</f>
        <v>1</v>
      </c>
      <c r="CV48" s="43">
        <f>ዕቁብ!CW51/Sheet4!$C48</f>
        <v>1</v>
      </c>
      <c r="CW48" s="43">
        <f>ዕቁብ!CX51/Sheet4!$C48</f>
        <v>1</v>
      </c>
      <c r="CX48" s="43">
        <f>ዕቁብ!CY51/Sheet4!$C48</f>
        <v>1</v>
      </c>
      <c r="CY48" s="43">
        <f>ዕቁብ!CZ51/Sheet4!$C48</f>
        <v>1</v>
      </c>
      <c r="CZ48" s="43">
        <f>ዕቁብ!DA51/Sheet4!$C48</f>
        <v>0</v>
      </c>
      <c r="DA48" s="43">
        <f>ዕቁብ!DB51/Sheet4!$C48</f>
        <v>1</v>
      </c>
      <c r="DB48" s="43">
        <f>ዕቁብ!DC51/Sheet4!$C48</f>
        <v>0</v>
      </c>
      <c r="DC48" s="43">
        <f>ዕቁብ!DD51/Sheet4!$C48</f>
        <v>2</v>
      </c>
      <c r="DD48" s="43">
        <f>ዕቁብ!DE51/Sheet4!$C48</f>
        <v>1</v>
      </c>
      <c r="DE48" s="43">
        <f>ዕቁብ!DF51/Sheet4!$C48</f>
        <v>0</v>
      </c>
      <c r="DF48" s="43">
        <f>ዕቁብ!DG51/Sheet4!$C48</f>
        <v>1</v>
      </c>
      <c r="DG48" s="43">
        <f>ዕቁብ!DH51/Sheet4!$C48</f>
        <v>0</v>
      </c>
      <c r="DH48" s="43">
        <f>ዕቁብ!DI51/Sheet4!$C48</f>
        <v>0</v>
      </c>
      <c r="DI48" s="43">
        <f>ዕቁብ!DJ51/Sheet4!$C48</f>
        <v>0</v>
      </c>
      <c r="DJ48" s="43">
        <f>ዕቁብ!DK51/Sheet4!$C48</f>
        <v>0</v>
      </c>
      <c r="DK48" s="43">
        <f>ዕቁብ!DL51/Sheet4!$C48</f>
        <v>0</v>
      </c>
      <c r="DL48" s="43">
        <f>ዕቁብ!DM51/Sheet4!$C48</f>
        <v>0</v>
      </c>
      <c r="DM48" s="43">
        <f>ዕቁብ!DN51/Sheet4!$C48</f>
        <v>0</v>
      </c>
      <c r="DN48" s="43">
        <f>ዕቁብ!DO51/Sheet4!$C48</f>
        <v>0</v>
      </c>
      <c r="DO48" s="43">
        <f>ዕቁብ!DP51/Sheet4!$C48</f>
        <v>0</v>
      </c>
      <c r="DP48" s="43">
        <f>ዕቁብ!DQ51/Sheet4!$C48</f>
        <v>0</v>
      </c>
      <c r="DQ48" s="43">
        <f>ዕቁብ!DR51/Sheet4!$C48</f>
        <v>0</v>
      </c>
    </row>
    <row r="49" spans="1:121" ht="15.75" customHeight="1" x14ac:dyDescent="0.3">
      <c r="A49" s="40">
        <f>ዕቁብ!A52</f>
        <v>46</v>
      </c>
      <c r="B49" s="40" t="str">
        <f>ዕቁብ!B52</f>
        <v>ማሩ ዱቤ</v>
      </c>
      <c r="C49" s="30">
        <f>ዕቁብ!C52</f>
        <v>21000</v>
      </c>
      <c r="D49" s="43">
        <f>ዕቁብ!E52/Sheet4!$C49</f>
        <v>1</v>
      </c>
      <c r="E49" s="43">
        <f>ዕቁብ!F52/Sheet4!$C49</f>
        <v>1</v>
      </c>
      <c r="F49" s="43">
        <f>ዕቁብ!G52/Sheet4!$C49</f>
        <v>1</v>
      </c>
      <c r="G49" s="43">
        <f>ዕቁብ!H52/Sheet4!$C49</f>
        <v>1</v>
      </c>
      <c r="H49" s="43">
        <f>ዕቁብ!I52/Sheet4!$C49</f>
        <v>1</v>
      </c>
      <c r="I49" s="43">
        <f>ዕቁብ!J52/Sheet4!$C49</f>
        <v>1</v>
      </c>
      <c r="J49" s="43">
        <f>ዕቁብ!K52/Sheet4!$C49</f>
        <v>1</v>
      </c>
      <c r="K49" s="43">
        <f>ዕቁብ!L52/Sheet4!$C49</f>
        <v>1</v>
      </c>
      <c r="L49" s="43">
        <f>ዕቁብ!M52/Sheet4!$C49</f>
        <v>1</v>
      </c>
      <c r="M49" s="43">
        <f>ዕቁብ!N52/Sheet4!$C49</f>
        <v>1</v>
      </c>
      <c r="N49" s="43">
        <f>ዕቁብ!O52/Sheet4!$C49</f>
        <v>1</v>
      </c>
      <c r="O49" s="43">
        <f>ዕቁብ!P52/Sheet4!$C49</f>
        <v>1</v>
      </c>
      <c r="P49" s="43">
        <f>ዕቁብ!Q52/Sheet4!$C49</f>
        <v>1</v>
      </c>
      <c r="Q49" s="43">
        <f>ዕቁብ!R52/Sheet4!$C49</f>
        <v>1</v>
      </c>
      <c r="R49" s="43">
        <f>ዕቁብ!S52/Sheet4!$C49</f>
        <v>1</v>
      </c>
      <c r="S49" s="43">
        <f>ዕቁብ!T52/Sheet4!$C49</f>
        <v>1</v>
      </c>
      <c r="T49" s="43">
        <f>ዕቁብ!U52/Sheet4!$C49</f>
        <v>1</v>
      </c>
      <c r="U49" s="43">
        <f>ዕቁብ!V52/Sheet4!$C49</f>
        <v>1</v>
      </c>
      <c r="V49" s="43">
        <f>ዕቁብ!W52/Sheet4!$C49</f>
        <v>1</v>
      </c>
      <c r="W49" s="43">
        <f>ዕቁብ!X52/Sheet4!$C49</f>
        <v>1</v>
      </c>
      <c r="X49" s="43">
        <f>ዕቁብ!Y52/Sheet4!$C49</f>
        <v>1</v>
      </c>
      <c r="Y49" s="43">
        <f>ዕቁብ!Z52/Sheet4!$C49</f>
        <v>1</v>
      </c>
      <c r="Z49" s="43">
        <f>ዕቁብ!AA52/Sheet4!$C49</f>
        <v>1</v>
      </c>
      <c r="AA49" s="43">
        <f>ዕቁብ!AB52/Sheet4!$C49</f>
        <v>1</v>
      </c>
      <c r="AB49" s="43">
        <f>ዕቁብ!AC52/Sheet4!$C49</f>
        <v>1</v>
      </c>
      <c r="AC49" s="43">
        <f>ዕቁብ!AD52/Sheet4!$C49</f>
        <v>1</v>
      </c>
      <c r="AD49" s="43">
        <f>ዕቁብ!AE52/Sheet4!$C49</f>
        <v>1</v>
      </c>
      <c r="AE49" s="43">
        <f>ዕቁብ!AF52/Sheet4!$C49</f>
        <v>1</v>
      </c>
      <c r="AF49" s="43">
        <f>ዕቁብ!AG52/Sheet4!$C49</f>
        <v>1</v>
      </c>
      <c r="AG49" s="43">
        <f>ዕቁብ!AH52/Sheet4!$C49</f>
        <v>1</v>
      </c>
      <c r="AH49" s="43">
        <f>ዕቁብ!AI52/Sheet4!$C49</f>
        <v>1</v>
      </c>
      <c r="AI49" s="43">
        <f>ዕቁብ!AJ52/Sheet4!$C49</f>
        <v>1</v>
      </c>
      <c r="AJ49" s="43">
        <f>ዕቁብ!AK52/Sheet4!$C49</f>
        <v>1</v>
      </c>
      <c r="AK49" s="43">
        <f>ዕቁብ!AL52/Sheet4!$C49</f>
        <v>1</v>
      </c>
      <c r="AL49" s="43">
        <f>ዕቁብ!AM52/Sheet4!$C49</f>
        <v>1</v>
      </c>
      <c r="AM49" s="43">
        <f>ዕቁብ!AN52/Sheet4!$C49</f>
        <v>1</v>
      </c>
      <c r="AN49" s="43">
        <f>ዕቁብ!AO52/Sheet4!$C49</f>
        <v>1</v>
      </c>
      <c r="AO49" s="43">
        <f>ዕቁብ!AP52/Sheet4!$C49</f>
        <v>1</v>
      </c>
      <c r="AP49" s="43">
        <f>ዕቁብ!AQ52/Sheet4!$C49</f>
        <v>1</v>
      </c>
      <c r="AQ49" s="43">
        <f>ዕቁብ!AR52/Sheet4!$C49</f>
        <v>1</v>
      </c>
      <c r="AR49" s="43">
        <f>ዕቁብ!AS52/Sheet4!$C49</f>
        <v>1</v>
      </c>
      <c r="AS49" s="43">
        <f>ዕቁብ!AT52/Sheet4!$C49</f>
        <v>1</v>
      </c>
      <c r="AT49" s="43">
        <f>ዕቁብ!AU52/Sheet4!$C49</f>
        <v>1</v>
      </c>
      <c r="AU49" s="43">
        <f>ዕቁብ!AV52/Sheet4!$C49</f>
        <v>1</v>
      </c>
      <c r="AV49" s="43">
        <f>ዕቁብ!AW52/Sheet4!$C49</f>
        <v>1</v>
      </c>
      <c r="AW49" s="43">
        <f>ዕቁብ!AX52/Sheet4!$C49</f>
        <v>1</v>
      </c>
      <c r="AX49" s="43">
        <f>ዕቁብ!AY52/Sheet4!$C49</f>
        <v>1</v>
      </c>
      <c r="AY49" s="43">
        <f>ዕቁብ!AZ52/Sheet4!$C49</f>
        <v>1</v>
      </c>
      <c r="AZ49" s="43">
        <f>ዕቁብ!BA52/Sheet4!$C49</f>
        <v>1</v>
      </c>
      <c r="BA49" s="43">
        <f>ዕቁብ!BB52/Sheet4!$C49</f>
        <v>1</v>
      </c>
      <c r="BB49" s="43">
        <f>ዕቁብ!BC52/Sheet4!$C49</f>
        <v>1</v>
      </c>
      <c r="BC49" s="43">
        <f>ዕቁብ!BD52/Sheet4!$C49</f>
        <v>1</v>
      </c>
      <c r="BD49" s="43">
        <f>ዕቁብ!BE52/Sheet4!$C49</f>
        <v>1</v>
      </c>
      <c r="BE49" s="43">
        <f>ዕቁብ!BF52/Sheet4!$C49</f>
        <v>1</v>
      </c>
      <c r="BF49" s="43">
        <f>ዕቁብ!BG52/Sheet4!$C49</f>
        <v>1</v>
      </c>
      <c r="BG49" s="43">
        <f>ዕቁብ!BH52/Sheet4!$C49</f>
        <v>1</v>
      </c>
      <c r="BH49" s="43">
        <f>ዕቁብ!BI52/Sheet4!$C49</f>
        <v>1</v>
      </c>
      <c r="BI49" s="43">
        <f>ዕቁብ!BJ52/Sheet4!$C49</f>
        <v>1</v>
      </c>
      <c r="BJ49" s="43">
        <f>ዕቁብ!BK52/Sheet4!$C49</f>
        <v>1</v>
      </c>
      <c r="BK49" s="43">
        <f>ዕቁብ!BL52/Sheet4!$C49</f>
        <v>1</v>
      </c>
      <c r="BL49" s="43">
        <f>ዕቁብ!BM52/Sheet4!$C49</f>
        <v>1</v>
      </c>
      <c r="BM49" s="43">
        <f>ዕቁብ!BN52/Sheet4!$C49</f>
        <v>0</v>
      </c>
      <c r="BN49" s="43">
        <f>ዕቁብ!BO52/Sheet4!$C49</f>
        <v>2</v>
      </c>
      <c r="BO49" s="43">
        <f>ዕቁብ!BP52/Sheet4!$C49</f>
        <v>1</v>
      </c>
      <c r="BP49" s="43">
        <f>ዕቁብ!BQ52/Sheet4!$C49</f>
        <v>1</v>
      </c>
      <c r="BQ49" s="43">
        <f>ዕቁብ!BR52/Sheet4!$C49</f>
        <v>1</v>
      </c>
      <c r="BR49" s="43">
        <f>ዕቁብ!BS52/Sheet4!$C49</f>
        <v>1</v>
      </c>
      <c r="BS49" s="43">
        <f>ዕቁብ!BT52/Sheet4!$C49</f>
        <v>1</v>
      </c>
      <c r="BT49" s="43">
        <f>ዕቁብ!BU52/Sheet4!$C49</f>
        <v>1</v>
      </c>
      <c r="BU49" s="43">
        <f>ዕቁብ!BV52/Sheet4!$C49</f>
        <v>1</v>
      </c>
      <c r="BV49" s="43">
        <f>ዕቁብ!BW52/Sheet4!$C49</f>
        <v>1</v>
      </c>
      <c r="BW49" s="43">
        <f>ዕቁብ!BX52/Sheet4!$C49</f>
        <v>1</v>
      </c>
      <c r="BX49" s="43">
        <f>ዕቁብ!BY52/Sheet4!$C49</f>
        <v>1</v>
      </c>
      <c r="BY49" s="43">
        <f>ዕቁብ!BZ52/Sheet4!$C49</f>
        <v>1</v>
      </c>
      <c r="BZ49" s="43">
        <f>ዕቁብ!CA52/Sheet4!$C49</f>
        <v>1</v>
      </c>
      <c r="CA49" s="43">
        <f>ዕቁብ!CB52/Sheet4!$C49</f>
        <v>1</v>
      </c>
      <c r="CB49" s="43">
        <f>ዕቁብ!CC52/Sheet4!$C49</f>
        <v>1</v>
      </c>
      <c r="CC49" s="43">
        <f>ዕቁብ!CD52/Sheet4!$C49</f>
        <v>1</v>
      </c>
      <c r="CD49" s="43">
        <f>ዕቁብ!CE52/Sheet4!$C49</f>
        <v>1</v>
      </c>
      <c r="CE49" s="43">
        <f>ዕቁብ!CF52/Sheet4!$C49</f>
        <v>1</v>
      </c>
      <c r="CF49" s="43">
        <f>ዕቁብ!CG52/Sheet4!$C49</f>
        <v>1</v>
      </c>
      <c r="CG49" s="43">
        <f>ዕቁብ!CH52/Sheet4!$C49</f>
        <v>1</v>
      </c>
      <c r="CH49" s="43">
        <f>ዕቁብ!CI52/Sheet4!$C49</f>
        <v>1</v>
      </c>
      <c r="CI49" s="43">
        <f>ዕቁብ!CJ52/Sheet4!$C49</f>
        <v>1</v>
      </c>
      <c r="CJ49" s="43">
        <f>ዕቁብ!CK52/Sheet4!$C49</f>
        <v>1</v>
      </c>
      <c r="CK49" s="43">
        <f>ዕቁብ!CL52/Sheet4!$C49</f>
        <v>1</v>
      </c>
      <c r="CL49" s="43">
        <f>ዕቁብ!CM52/Sheet4!$C49</f>
        <v>1</v>
      </c>
      <c r="CM49" s="43">
        <f>ዕቁብ!CN52/Sheet4!$C49</f>
        <v>1</v>
      </c>
      <c r="CN49" s="43">
        <f>ዕቁብ!CO52/Sheet4!$C49</f>
        <v>1</v>
      </c>
      <c r="CO49" s="43">
        <f>ዕቁብ!CP52/Sheet4!$C49</f>
        <v>1</v>
      </c>
      <c r="CP49" s="43">
        <f>ዕቁብ!CQ52/Sheet4!$C49</f>
        <v>1</v>
      </c>
      <c r="CQ49" s="43">
        <f>ዕቁብ!CR52/Sheet4!$C49</f>
        <v>1</v>
      </c>
      <c r="CR49" s="43">
        <f>ዕቁብ!CS52/Sheet4!$C49</f>
        <v>1</v>
      </c>
      <c r="CS49" s="43">
        <f>ዕቁብ!CT52/Sheet4!$C49</f>
        <v>1</v>
      </c>
      <c r="CT49" s="43">
        <f>ዕቁብ!CU52/Sheet4!$C49</f>
        <v>1</v>
      </c>
      <c r="CU49" s="43">
        <f>ዕቁብ!CV52/Sheet4!$C49</f>
        <v>1</v>
      </c>
      <c r="CV49" s="43">
        <f>ዕቁብ!CW52/Sheet4!$C49</f>
        <v>1</v>
      </c>
      <c r="CW49" s="43">
        <f>ዕቁብ!CX52/Sheet4!$C49</f>
        <v>1</v>
      </c>
      <c r="CX49" s="43">
        <f>ዕቁብ!CY52/Sheet4!$C49</f>
        <v>1</v>
      </c>
      <c r="CY49" s="43">
        <f>ዕቁብ!CZ52/Sheet4!$C49</f>
        <v>1</v>
      </c>
      <c r="CZ49" s="43">
        <f>ዕቁብ!DA52/Sheet4!$C49</f>
        <v>1</v>
      </c>
      <c r="DA49" s="43">
        <f>ዕቁብ!DB52/Sheet4!$C49</f>
        <v>1</v>
      </c>
      <c r="DB49" s="43">
        <f>ዕቁብ!DC52/Sheet4!$C49</f>
        <v>1</v>
      </c>
      <c r="DC49" s="43">
        <f>ዕቁብ!DD52/Sheet4!$C49</f>
        <v>1</v>
      </c>
      <c r="DD49" s="43">
        <f>ዕቁብ!DE52/Sheet4!$C49</f>
        <v>1</v>
      </c>
      <c r="DE49" s="43">
        <f>ዕቁብ!DF52/Sheet4!$C49</f>
        <v>1</v>
      </c>
      <c r="DF49" s="43">
        <f>ዕቁብ!DG52/Sheet4!$C49</f>
        <v>1</v>
      </c>
      <c r="DG49" s="43">
        <f>ዕቁብ!DH52/Sheet4!$C49</f>
        <v>1</v>
      </c>
      <c r="DH49" s="43">
        <f>ዕቁብ!DI52/Sheet4!$C49</f>
        <v>0</v>
      </c>
      <c r="DI49" s="43">
        <f>ዕቁብ!DJ52/Sheet4!$C49</f>
        <v>0</v>
      </c>
      <c r="DJ49" s="43">
        <f>ዕቁብ!DK52/Sheet4!$C49</f>
        <v>0</v>
      </c>
      <c r="DK49" s="43">
        <f>ዕቁብ!DL52/Sheet4!$C49</f>
        <v>0</v>
      </c>
      <c r="DL49" s="43">
        <f>ዕቁብ!DM52/Sheet4!$C49</f>
        <v>0</v>
      </c>
      <c r="DM49" s="43">
        <f>ዕቁብ!DN52/Sheet4!$C49</f>
        <v>0</v>
      </c>
      <c r="DN49" s="43">
        <f>ዕቁብ!DO52/Sheet4!$C49</f>
        <v>0</v>
      </c>
      <c r="DO49" s="43">
        <f>ዕቁብ!DP52/Sheet4!$C49</f>
        <v>0</v>
      </c>
      <c r="DP49" s="43">
        <f>ዕቁብ!DQ52/Sheet4!$C49</f>
        <v>0</v>
      </c>
      <c r="DQ49" s="43">
        <f>ዕቁብ!DR52/Sheet4!$C49</f>
        <v>0</v>
      </c>
    </row>
    <row r="50" spans="1:121" ht="15.75" customHeight="1" x14ac:dyDescent="0.3">
      <c r="A50" s="40">
        <f>ዕቁብ!A53</f>
        <v>47</v>
      </c>
      <c r="B50" s="40" t="str">
        <f>ዕቁብ!B53</f>
        <v xml:space="preserve">ሞገስ ግርማ </v>
      </c>
      <c r="C50" s="30">
        <f>ዕቁብ!C53</f>
        <v>21000</v>
      </c>
      <c r="D50" s="43">
        <f>ዕቁብ!E53/Sheet4!$C50</f>
        <v>1</v>
      </c>
      <c r="E50" s="43">
        <f>ዕቁብ!F53/Sheet4!$C50</f>
        <v>1</v>
      </c>
      <c r="F50" s="43">
        <f>ዕቁብ!G53/Sheet4!$C50</f>
        <v>1</v>
      </c>
      <c r="G50" s="43">
        <f>ዕቁብ!H53/Sheet4!$C50</f>
        <v>1</v>
      </c>
      <c r="H50" s="43">
        <f>ዕቁብ!I53/Sheet4!$C50</f>
        <v>1</v>
      </c>
      <c r="I50" s="43">
        <f>ዕቁብ!J53/Sheet4!$C50</f>
        <v>1</v>
      </c>
      <c r="J50" s="43">
        <f>ዕቁብ!K53/Sheet4!$C50</f>
        <v>1</v>
      </c>
      <c r="K50" s="43">
        <f>ዕቁብ!L53/Sheet4!$C50</f>
        <v>1</v>
      </c>
      <c r="L50" s="43">
        <f>ዕቁብ!M53/Sheet4!$C50</f>
        <v>1</v>
      </c>
      <c r="M50" s="43">
        <f>ዕቁብ!N53/Sheet4!$C50</f>
        <v>1</v>
      </c>
      <c r="N50" s="43">
        <f>ዕቁብ!O53/Sheet4!$C50</f>
        <v>1</v>
      </c>
      <c r="O50" s="43">
        <f>ዕቁብ!P53/Sheet4!$C50</f>
        <v>1</v>
      </c>
      <c r="P50" s="43">
        <f>ዕቁብ!Q53/Sheet4!$C50</f>
        <v>1</v>
      </c>
      <c r="Q50" s="43">
        <f>ዕቁብ!R53/Sheet4!$C50</f>
        <v>1</v>
      </c>
      <c r="R50" s="43">
        <f>ዕቁብ!S53/Sheet4!$C50</f>
        <v>1</v>
      </c>
      <c r="S50" s="43">
        <f>ዕቁብ!T53/Sheet4!$C50</f>
        <v>1</v>
      </c>
      <c r="T50" s="43">
        <f>ዕቁብ!U53/Sheet4!$C50</f>
        <v>1</v>
      </c>
      <c r="U50" s="43">
        <f>ዕቁብ!V53/Sheet4!$C50</f>
        <v>1</v>
      </c>
      <c r="V50" s="43">
        <f>ዕቁብ!W53/Sheet4!$C50</f>
        <v>1</v>
      </c>
      <c r="W50" s="43">
        <f>ዕቁብ!X53/Sheet4!$C50</f>
        <v>1</v>
      </c>
      <c r="X50" s="43">
        <f>ዕቁብ!Y53/Sheet4!$C50</f>
        <v>1</v>
      </c>
      <c r="Y50" s="43">
        <f>ዕቁብ!Z53/Sheet4!$C50</f>
        <v>1</v>
      </c>
      <c r="Z50" s="43">
        <f>ዕቁብ!AA53/Sheet4!$C50</f>
        <v>1</v>
      </c>
      <c r="AA50" s="43">
        <f>ዕቁብ!AB53/Sheet4!$C50</f>
        <v>1</v>
      </c>
      <c r="AB50" s="43">
        <f>ዕቁብ!AC53/Sheet4!$C50</f>
        <v>1</v>
      </c>
      <c r="AC50" s="43">
        <f>ዕቁብ!AD53/Sheet4!$C50</f>
        <v>1</v>
      </c>
      <c r="AD50" s="43">
        <f>ዕቁብ!AE53/Sheet4!$C50</f>
        <v>1</v>
      </c>
      <c r="AE50" s="43">
        <f>ዕቁብ!AF53/Sheet4!$C50</f>
        <v>1</v>
      </c>
      <c r="AF50" s="43">
        <f>ዕቁብ!AG53/Sheet4!$C50</f>
        <v>1</v>
      </c>
      <c r="AG50" s="43">
        <f>ዕቁብ!AH53/Sheet4!$C50</f>
        <v>1</v>
      </c>
      <c r="AH50" s="43">
        <f>ዕቁብ!AI53/Sheet4!$C50</f>
        <v>1</v>
      </c>
      <c r="AI50" s="43">
        <f>ዕቁብ!AJ53/Sheet4!$C50</f>
        <v>1</v>
      </c>
      <c r="AJ50" s="43">
        <f>ዕቁብ!AK53/Sheet4!$C50</f>
        <v>1</v>
      </c>
      <c r="AK50" s="43">
        <f>ዕቁብ!AL53/Sheet4!$C50</f>
        <v>1</v>
      </c>
      <c r="AL50" s="43">
        <f>ዕቁብ!AM53/Sheet4!$C50</f>
        <v>1</v>
      </c>
      <c r="AM50" s="43">
        <f>ዕቁብ!AN53/Sheet4!$C50</f>
        <v>1</v>
      </c>
      <c r="AN50" s="43">
        <f>ዕቁብ!AO53/Sheet4!$C50</f>
        <v>1</v>
      </c>
      <c r="AO50" s="43">
        <f>ዕቁብ!AP53/Sheet4!$C50</f>
        <v>1</v>
      </c>
      <c r="AP50" s="43">
        <f>ዕቁብ!AQ53/Sheet4!$C50</f>
        <v>1</v>
      </c>
      <c r="AQ50" s="43">
        <f>ዕቁብ!AR53/Sheet4!$C50</f>
        <v>1</v>
      </c>
      <c r="AR50" s="43">
        <f>ዕቁብ!AS53/Sheet4!$C50</f>
        <v>1</v>
      </c>
      <c r="AS50" s="43">
        <f>ዕቁብ!AT53/Sheet4!$C50</f>
        <v>1</v>
      </c>
      <c r="AT50" s="43">
        <f>ዕቁብ!AU53/Sheet4!$C50</f>
        <v>1</v>
      </c>
      <c r="AU50" s="43">
        <f>ዕቁብ!AV53/Sheet4!$C50</f>
        <v>1</v>
      </c>
      <c r="AV50" s="43">
        <f>ዕቁብ!AW53/Sheet4!$C50</f>
        <v>1</v>
      </c>
      <c r="AW50" s="43">
        <f>ዕቁብ!AX53/Sheet4!$C50</f>
        <v>1</v>
      </c>
      <c r="AX50" s="43">
        <f>ዕቁብ!AY53/Sheet4!$C50</f>
        <v>1</v>
      </c>
      <c r="AY50" s="43">
        <f>ዕቁብ!AZ53/Sheet4!$C50</f>
        <v>0</v>
      </c>
      <c r="AZ50" s="43">
        <f>ዕቁብ!BA53/Sheet4!$C50</f>
        <v>2</v>
      </c>
      <c r="BA50" s="43">
        <f>ዕቁብ!BB53/Sheet4!$C50</f>
        <v>1</v>
      </c>
      <c r="BB50" s="43">
        <f>ዕቁብ!BC53/Sheet4!$C50</f>
        <v>1</v>
      </c>
      <c r="BC50" s="43">
        <f>ዕቁብ!BD53/Sheet4!$C50</f>
        <v>1</v>
      </c>
      <c r="BD50" s="43">
        <f>ዕቁብ!BE53/Sheet4!$C50</f>
        <v>1</v>
      </c>
      <c r="BE50" s="43">
        <f>ዕቁብ!BF53/Sheet4!$C50</f>
        <v>1</v>
      </c>
      <c r="BF50" s="43">
        <f>ዕቁብ!BG53/Sheet4!$C50</f>
        <v>1</v>
      </c>
      <c r="BG50" s="43">
        <f>ዕቁብ!BH53/Sheet4!$C50</f>
        <v>1</v>
      </c>
      <c r="BH50" s="43">
        <f>ዕቁብ!BI53/Sheet4!$C50</f>
        <v>1</v>
      </c>
      <c r="BI50" s="43">
        <f>ዕቁብ!BJ53/Sheet4!$C50</f>
        <v>1</v>
      </c>
      <c r="BJ50" s="43">
        <f>ዕቁብ!BK53/Sheet4!$C50</f>
        <v>1</v>
      </c>
      <c r="BK50" s="43">
        <f>ዕቁብ!BL53/Sheet4!$C50</f>
        <v>1</v>
      </c>
      <c r="BL50" s="43">
        <f>ዕቁብ!BM53/Sheet4!$C50</f>
        <v>1</v>
      </c>
      <c r="BM50" s="43">
        <f>ዕቁብ!BN53/Sheet4!$C50</f>
        <v>0</v>
      </c>
      <c r="BN50" s="43">
        <f>ዕቁብ!BO53/Sheet4!$C50</f>
        <v>2</v>
      </c>
      <c r="BO50" s="43">
        <f>ዕቁብ!BP53/Sheet4!$C50</f>
        <v>1</v>
      </c>
      <c r="BP50" s="43">
        <f>ዕቁብ!BQ53/Sheet4!$C50</f>
        <v>1</v>
      </c>
      <c r="BQ50" s="43">
        <f>ዕቁብ!BR53/Sheet4!$C50</f>
        <v>1</v>
      </c>
      <c r="BR50" s="43">
        <f>ዕቁብ!BS53/Sheet4!$C50</f>
        <v>1</v>
      </c>
      <c r="BS50" s="43">
        <f>ዕቁብ!BT53/Sheet4!$C50</f>
        <v>1</v>
      </c>
      <c r="BT50" s="43">
        <f>ዕቁብ!BU53/Sheet4!$C50</f>
        <v>1</v>
      </c>
      <c r="BU50" s="43">
        <f>ዕቁብ!BV53/Sheet4!$C50</f>
        <v>1</v>
      </c>
      <c r="BV50" s="43">
        <f>ዕቁብ!BW53/Sheet4!$C50</f>
        <v>1</v>
      </c>
      <c r="BW50" s="43">
        <f>ዕቁብ!BX53/Sheet4!$C50</f>
        <v>1</v>
      </c>
      <c r="BX50" s="43">
        <f>ዕቁብ!BY53/Sheet4!$C50</f>
        <v>1</v>
      </c>
      <c r="BY50" s="43">
        <f>ዕቁብ!BZ53/Sheet4!$C50</f>
        <v>1</v>
      </c>
      <c r="BZ50" s="43">
        <f>ዕቁብ!CA53/Sheet4!$C50</f>
        <v>1</v>
      </c>
      <c r="CA50" s="43">
        <f>ዕቁብ!CB53/Sheet4!$C50</f>
        <v>1</v>
      </c>
      <c r="CB50" s="43">
        <f>ዕቁብ!CC53/Sheet4!$C50</f>
        <v>1</v>
      </c>
      <c r="CC50" s="43">
        <f>ዕቁብ!CD53/Sheet4!$C50</f>
        <v>1</v>
      </c>
      <c r="CD50" s="43">
        <f>ዕቁብ!CE53/Sheet4!$C50</f>
        <v>1</v>
      </c>
      <c r="CE50" s="43">
        <f>ዕቁብ!CF53/Sheet4!$C50</f>
        <v>1</v>
      </c>
      <c r="CF50" s="43">
        <f>ዕቁብ!CG53/Sheet4!$C50</f>
        <v>1</v>
      </c>
      <c r="CG50" s="43">
        <f>ዕቁብ!CH53/Sheet4!$C50</f>
        <v>1</v>
      </c>
      <c r="CH50" s="43">
        <f>ዕቁብ!CI53/Sheet4!$C50</f>
        <v>1</v>
      </c>
      <c r="CI50" s="43">
        <f>ዕቁብ!CJ53/Sheet4!$C50</f>
        <v>1</v>
      </c>
      <c r="CJ50" s="43">
        <f>ዕቁብ!CK53/Sheet4!$C50</f>
        <v>1</v>
      </c>
      <c r="CK50" s="43">
        <f>ዕቁብ!CL53/Sheet4!$C50</f>
        <v>1</v>
      </c>
      <c r="CL50" s="43">
        <f>ዕቁብ!CM53/Sheet4!$C50</f>
        <v>1</v>
      </c>
      <c r="CM50" s="43">
        <f>ዕቁብ!CN53/Sheet4!$C50</f>
        <v>0</v>
      </c>
      <c r="CN50" s="43">
        <f>ዕቁብ!CO53/Sheet4!$C50</f>
        <v>1</v>
      </c>
      <c r="CO50" s="43">
        <f>ዕቁብ!CP53/Sheet4!$C50</f>
        <v>1</v>
      </c>
      <c r="CP50" s="43">
        <f>ዕቁብ!CQ53/Sheet4!$C50</f>
        <v>1</v>
      </c>
      <c r="CQ50" s="43">
        <f>ዕቁብ!CR53/Sheet4!$C50</f>
        <v>1</v>
      </c>
      <c r="CR50" s="43">
        <f>ዕቁብ!CS53/Sheet4!$C50</f>
        <v>0</v>
      </c>
      <c r="CS50" s="43">
        <f>ዕቁብ!CT53/Sheet4!$C50</f>
        <v>2</v>
      </c>
      <c r="CT50" s="43">
        <f>ዕቁብ!CU53/Sheet4!$C50</f>
        <v>1</v>
      </c>
      <c r="CU50" s="43">
        <f>ዕቁብ!CV53/Sheet4!$C50</f>
        <v>1</v>
      </c>
      <c r="CV50" s="43">
        <f>ዕቁብ!CW53/Sheet4!$C50</f>
        <v>1</v>
      </c>
      <c r="CW50" s="43">
        <f>ዕቁብ!CX53/Sheet4!$C50</f>
        <v>1</v>
      </c>
      <c r="CX50" s="43">
        <f>ዕቁብ!CY53/Sheet4!$C50</f>
        <v>1</v>
      </c>
      <c r="CY50" s="43">
        <f>ዕቁብ!CZ53/Sheet4!$C50</f>
        <v>1</v>
      </c>
      <c r="CZ50" s="43">
        <f>ዕቁብ!DA53/Sheet4!$C50</f>
        <v>1</v>
      </c>
      <c r="DA50" s="43">
        <f>ዕቁብ!DB53/Sheet4!$C50</f>
        <v>1</v>
      </c>
      <c r="DB50" s="43">
        <f>ዕቁብ!DC53/Sheet4!$C50</f>
        <v>1</v>
      </c>
      <c r="DC50" s="43">
        <f>ዕቁብ!DD53/Sheet4!$C50</f>
        <v>1</v>
      </c>
      <c r="DD50" s="43">
        <f>ዕቁብ!DE53/Sheet4!$C50</f>
        <v>1</v>
      </c>
      <c r="DE50" s="43">
        <f>ዕቁብ!DF53/Sheet4!$C50</f>
        <v>1</v>
      </c>
      <c r="DF50" s="43">
        <f>ዕቁብ!DG53/Sheet4!$C50</f>
        <v>1</v>
      </c>
      <c r="DG50" s="43">
        <f>ዕቁብ!DH53/Sheet4!$C50</f>
        <v>1</v>
      </c>
      <c r="DH50" s="43">
        <f>ዕቁብ!DI53/Sheet4!$C50</f>
        <v>0</v>
      </c>
      <c r="DI50" s="43">
        <f>ዕቁብ!DJ53/Sheet4!$C50</f>
        <v>0</v>
      </c>
      <c r="DJ50" s="43">
        <f>ዕቁብ!DK53/Sheet4!$C50</f>
        <v>0</v>
      </c>
      <c r="DK50" s="43">
        <f>ዕቁብ!DL53/Sheet4!$C50</f>
        <v>0</v>
      </c>
      <c r="DL50" s="43">
        <f>ዕቁብ!DM53/Sheet4!$C50</f>
        <v>0</v>
      </c>
      <c r="DM50" s="43">
        <f>ዕቁብ!DN53/Sheet4!$C50</f>
        <v>0</v>
      </c>
      <c r="DN50" s="43">
        <f>ዕቁብ!DO53/Sheet4!$C50</f>
        <v>0</v>
      </c>
      <c r="DO50" s="43">
        <f>ዕቁብ!DP53/Sheet4!$C50</f>
        <v>0</v>
      </c>
      <c r="DP50" s="43">
        <f>ዕቁብ!DQ53/Sheet4!$C50</f>
        <v>0</v>
      </c>
      <c r="DQ50" s="43">
        <f>ዕቁብ!DR53/Sheet4!$C50</f>
        <v>0</v>
      </c>
    </row>
    <row r="51" spans="1:121" ht="15.75" customHeight="1" x14ac:dyDescent="0.3">
      <c r="A51" s="40">
        <f>ዕቁብ!A54</f>
        <v>48</v>
      </c>
      <c r="B51" s="40" t="str">
        <f>ዕቁብ!B54</f>
        <v>ደርጋሶ ደንዴ</v>
      </c>
      <c r="C51" s="30">
        <f>ዕቁብ!C54</f>
        <v>21000</v>
      </c>
      <c r="D51" s="43">
        <f>ዕቁብ!E54/Sheet4!$C51</f>
        <v>1</v>
      </c>
      <c r="E51" s="43">
        <f>ዕቁብ!F54/Sheet4!$C51</f>
        <v>1</v>
      </c>
      <c r="F51" s="43">
        <f>ዕቁብ!G54/Sheet4!$C51</f>
        <v>1</v>
      </c>
      <c r="G51" s="43">
        <f>ዕቁብ!H54/Sheet4!$C51</f>
        <v>1</v>
      </c>
      <c r="H51" s="43">
        <f>ዕቁብ!I54/Sheet4!$C51</f>
        <v>1</v>
      </c>
      <c r="I51" s="43">
        <f>ዕቁብ!J54/Sheet4!$C51</f>
        <v>1</v>
      </c>
      <c r="J51" s="43">
        <f>ዕቁብ!K54/Sheet4!$C51</f>
        <v>1</v>
      </c>
      <c r="K51" s="43">
        <f>ዕቁብ!L54/Sheet4!$C51</f>
        <v>1</v>
      </c>
      <c r="L51" s="43">
        <f>ዕቁብ!M54/Sheet4!$C51</f>
        <v>1</v>
      </c>
      <c r="M51" s="43">
        <f>ዕቁብ!N54/Sheet4!$C51</f>
        <v>1</v>
      </c>
      <c r="N51" s="43">
        <f>ዕቁብ!O54/Sheet4!$C51</f>
        <v>1</v>
      </c>
      <c r="O51" s="43">
        <f>ዕቁብ!P54/Sheet4!$C51</f>
        <v>1</v>
      </c>
      <c r="P51" s="43">
        <f>ዕቁብ!Q54/Sheet4!$C51</f>
        <v>1</v>
      </c>
      <c r="Q51" s="43">
        <f>ዕቁብ!R54/Sheet4!$C51</f>
        <v>1</v>
      </c>
      <c r="R51" s="43">
        <f>ዕቁብ!S54/Sheet4!$C51</f>
        <v>1</v>
      </c>
      <c r="S51" s="43">
        <f>ዕቁብ!T54/Sheet4!$C51</f>
        <v>1</v>
      </c>
      <c r="T51" s="43">
        <f>ዕቁብ!U54/Sheet4!$C51</f>
        <v>1</v>
      </c>
      <c r="U51" s="43">
        <f>ዕቁብ!V54/Sheet4!$C51</f>
        <v>1</v>
      </c>
      <c r="V51" s="43">
        <f>ዕቁብ!W54/Sheet4!$C51</f>
        <v>1</v>
      </c>
      <c r="W51" s="43">
        <f>ዕቁብ!X54/Sheet4!$C51</f>
        <v>1</v>
      </c>
      <c r="X51" s="43">
        <f>ዕቁብ!Y54/Sheet4!$C51</f>
        <v>1</v>
      </c>
      <c r="Y51" s="43">
        <f>ዕቁብ!Z54/Sheet4!$C51</f>
        <v>1</v>
      </c>
      <c r="Z51" s="43">
        <f>ዕቁብ!AA54/Sheet4!$C51</f>
        <v>1</v>
      </c>
      <c r="AA51" s="43">
        <f>ዕቁብ!AB54/Sheet4!$C51</f>
        <v>1</v>
      </c>
      <c r="AB51" s="43">
        <f>ዕቁብ!AC54/Sheet4!$C51</f>
        <v>1</v>
      </c>
      <c r="AC51" s="43">
        <f>ዕቁብ!AD54/Sheet4!$C51</f>
        <v>1</v>
      </c>
      <c r="AD51" s="43">
        <f>ዕቁብ!AE54/Sheet4!$C51</f>
        <v>1</v>
      </c>
      <c r="AE51" s="43">
        <f>ዕቁብ!AF54/Sheet4!$C51</f>
        <v>1</v>
      </c>
      <c r="AF51" s="43">
        <f>ዕቁብ!AG54/Sheet4!$C51</f>
        <v>1</v>
      </c>
      <c r="AG51" s="43">
        <f>ዕቁብ!AH54/Sheet4!$C51</f>
        <v>1</v>
      </c>
      <c r="AH51" s="43">
        <f>ዕቁብ!AI54/Sheet4!$C51</f>
        <v>1</v>
      </c>
      <c r="AI51" s="43">
        <f>ዕቁብ!AJ54/Sheet4!$C51</f>
        <v>1</v>
      </c>
      <c r="AJ51" s="43">
        <f>ዕቁብ!AK54/Sheet4!$C51</f>
        <v>1</v>
      </c>
      <c r="AK51" s="43">
        <f>ዕቁብ!AL54/Sheet4!$C51</f>
        <v>0</v>
      </c>
      <c r="AL51" s="43">
        <f>ዕቁብ!AM54/Sheet4!$C51</f>
        <v>2</v>
      </c>
      <c r="AM51" s="43">
        <f>ዕቁብ!AN54/Sheet4!$C51</f>
        <v>1</v>
      </c>
      <c r="AN51" s="43">
        <f>ዕቁብ!AO54/Sheet4!$C51</f>
        <v>0</v>
      </c>
      <c r="AO51" s="43">
        <f>ዕቁብ!AP54/Sheet4!$C51</f>
        <v>2</v>
      </c>
      <c r="AP51" s="43">
        <f>ዕቁብ!AQ54/Sheet4!$C51</f>
        <v>0</v>
      </c>
      <c r="AQ51" s="43">
        <f>ዕቁብ!AR54/Sheet4!$C51</f>
        <v>2</v>
      </c>
      <c r="AR51" s="43">
        <f>ዕቁብ!AS54/Sheet4!$C51</f>
        <v>1</v>
      </c>
      <c r="AS51" s="43">
        <f>ዕቁብ!AT54/Sheet4!$C51</f>
        <v>0</v>
      </c>
      <c r="AT51" s="43">
        <f>ዕቁብ!AU54/Sheet4!$C51</f>
        <v>2</v>
      </c>
      <c r="AU51" s="43">
        <f>ዕቁብ!AV54/Sheet4!$C51</f>
        <v>0</v>
      </c>
      <c r="AV51" s="43">
        <f>ዕቁብ!AW54/Sheet4!$C51</f>
        <v>2</v>
      </c>
      <c r="AW51" s="43">
        <f>ዕቁብ!AX54/Sheet4!$C51</f>
        <v>0</v>
      </c>
      <c r="AX51" s="43">
        <f>ዕቁብ!AY54/Sheet4!$C51</f>
        <v>1</v>
      </c>
      <c r="AY51" s="43">
        <f>ዕቁብ!AZ54/Sheet4!$C51</f>
        <v>1</v>
      </c>
      <c r="AZ51" s="43">
        <f>ዕቁብ!BA54/Sheet4!$C51</f>
        <v>1</v>
      </c>
      <c r="BA51" s="43">
        <f>ዕቁብ!BB54/Sheet4!$C51</f>
        <v>1</v>
      </c>
      <c r="BB51" s="43">
        <f>ዕቁብ!BC54/Sheet4!$C51</f>
        <v>1</v>
      </c>
      <c r="BC51" s="43">
        <f>ዕቁብ!BD54/Sheet4!$C51</f>
        <v>2</v>
      </c>
      <c r="BD51" s="43">
        <f>ዕቁብ!BE54/Sheet4!$C51</f>
        <v>0</v>
      </c>
      <c r="BE51" s="43">
        <f>ዕቁብ!BF54/Sheet4!$C51</f>
        <v>1</v>
      </c>
      <c r="BF51" s="43">
        <f>ዕቁብ!BG54/Sheet4!$C51</f>
        <v>1</v>
      </c>
      <c r="BG51" s="43">
        <f>ዕቁብ!BH54/Sheet4!$C51</f>
        <v>1</v>
      </c>
      <c r="BH51" s="43">
        <f>ዕቁብ!BI54/Sheet4!$C51</f>
        <v>1</v>
      </c>
      <c r="BI51" s="43">
        <f>ዕቁብ!BJ54/Sheet4!$C51</f>
        <v>1</v>
      </c>
      <c r="BJ51" s="43">
        <f>ዕቁብ!BK54/Sheet4!$C51</f>
        <v>1</v>
      </c>
      <c r="BK51" s="43">
        <f>ዕቁብ!BL54/Sheet4!$C51</f>
        <v>1</v>
      </c>
      <c r="BL51" s="43">
        <f>ዕቁብ!BM54/Sheet4!$C51</f>
        <v>1</v>
      </c>
      <c r="BM51" s="43">
        <f>ዕቁብ!BN54/Sheet4!$C51</f>
        <v>1</v>
      </c>
      <c r="BN51" s="43">
        <f>ዕቁብ!BO54/Sheet4!$C51</f>
        <v>1</v>
      </c>
      <c r="BO51" s="43">
        <f>ዕቁብ!BP54/Sheet4!$C51</f>
        <v>0</v>
      </c>
      <c r="BP51" s="43">
        <f>ዕቁብ!BQ54/Sheet4!$C51</f>
        <v>2</v>
      </c>
      <c r="BQ51" s="43">
        <f>ዕቁብ!BR54/Sheet4!$C51</f>
        <v>1</v>
      </c>
      <c r="BR51" s="43">
        <f>ዕቁብ!BS54/Sheet4!$C51</f>
        <v>1</v>
      </c>
      <c r="BS51" s="43">
        <f>ዕቁብ!BT54/Sheet4!$C51</f>
        <v>1</v>
      </c>
      <c r="BT51" s="43">
        <f>ዕቁብ!BU54/Sheet4!$C51</f>
        <v>1</v>
      </c>
      <c r="BU51" s="43">
        <f>ዕቁብ!BV54/Sheet4!$C51</f>
        <v>1</v>
      </c>
      <c r="BV51" s="43">
        <f>ዕቁብ!BW54/Sheet4!$C51</f>
        <v>1</v>
      </c>
      <c r="BW51" s="43">
        <f>ዕቁብ!BX54/Sheet4!$C51</f>
        <v>0</v>
      </c>
      <c r="BX51" s="43">
        <f>ዕቁብ!BY54/Sheet4!$C51</f>
        <v>0</v>
      </c>
      <c r="BY51" s="43">
        <f>ዕቁብ!BZ54/Sheet4!$C51</f>
        <v>0</v>
      </c>
      <c r="BZ51" s="43">
        <f>ዕቁብ!CA54/Sheet4!$C51</f>
        <v>0</v>
      </c>
      <c r="CA51" s="43">
        <f>ዕቁብ!CB54/Sheet4!$C51</f>
        <v>5</v>
      </c>
      <c r="CB51" s="43">
        <f>ዕቁብ!CC54/Sheet4!$C51</f>
        <v>0</v>
      </c>
      <c r="CC51" s="43">
        <f>ዕቁብ!CD54/Sheet4!$C51</f>
        <v>0</v>
      </c>
      <c r="CD51" s="43">
        <f>ዕቁብ!CE54/Sheet4!$C51</f>
        <v>0</v>
      </c>
      <c r="CE51" s="43">
        <f>ዕቁብ!CF54/Sheet4!$C51</f>
        <v>3</v>
      </c>
      <c r="CF51" s="43">
        <f>ዕቁብ!CG54/Sheet4!$C51</f>
        <v>0</v>
      </c>
      <c r="CG51" s="43">
        <f>ዕቁብ!CH54/Sheet4!$C51</f>
        <v>3</v>
      </c>
      <c r="CH51" s="43">
        <f>ዕቁብ!CI54/Sheet4!$C51</f>
        <v>0</v>
      </c>
      <c r="CI51" s="43">
        <f>ዕቁብ!CJ54/Sheet4!$C51</f>
        <v>2</v>
      </c>
      <c r="CJ51" s="43">
        <f>ዕቁብ!CK54/Sheet4!$C51</f>
        <v>0</v>
      </c>
      <c r="CK51" s="43">
        <f>ዕቁብ!CL54/Sheet4!$C51</f>
        <v>0</v>
      </c>
      <c r="CL51" s="43">
        <f>ዕቁብ!CM54/Sheet4!$C51</f>
        <v>0</v>
      </c>
      <c r="CM51" s="43">
        <f>ዕቁብ!CN54/Sheet4!$C51</f>
        <v>4</v>
      </c>
      <c r="CN51" s="43">
        <f>ዕቁብ!CO54/Sheet4!$C51</f>
        <v>0</v>
      </c>
      <c r="CO51" s="43">
        <f>ዕቁብ!CP54/Sheet4!$C51</f>
        <v>0</v>
      </c>
      <c r="CP51" s="43">
        <f>ዕቁብ!CQ54/Sheet4!$C51</f>
        <v>0</v>
      </c>
      <c r="CQ51" s="43">
        <f>ዕቁብ!CR54/Sheet4!$C51</f>
        <v>0</v>
      </c>
      <c r="CR51" s="43">
        <f>ዕቁብ!CS54/Sheet4!$C51</f>
        <v>5</v>
      </c>
      <c r="CS51" s="43">
        <f>ዕቁብ!CT54/Sheet4!$C51</f>
        <v>0</v>
      </c>
      <c r="CT51" s="43">
        <f>ዕቁብ!CU54/Sheet4!$C51</f>
        <v>0</v>
      </c>
      <c r="CU51" s="43">
        <f>ዕቁብ!CV54/Sheet4!$C51</f>
        <v>0</v>
      </c>
      <c r="CV51" s="43">
        <f>ዕቁብ!CW54/Sheet4!$C51</f>
        <v>0</v>
      </c>
      <c r="CW51" s="43">
        <f>ዕቁብ!CX54/Sheet4!$C51</f>
        <v>4</v>
      </c>
      <c r="CX51" s="43">
        <f>ዕቁብ!CY54/Sheet4!$C51</f>
        <v>0</v>
      </c>
      <c r="CY51" s="43">
        <f>ዕቁብ!CZ54/Sheet4!$C51</f>
        <v>0</v>
      </c>
      <c r="CZ51" s="43">
        <f>ዕቁብ!DA54/Sheet4!$C51</f>
        <v>3</v>
      </c>
      <c r="DA51" s="43">
        <f>ዕቁብ!DB54/Sheet4!$C51</f>
        <v>0</v>
      </c>
      <c r="DB51" s="43">
        <f>ዕቁብ!DC54/Sheet4!$C51</f>
        <v>0</v>
      </c>
      <c r="DC51" s="43">
        <f>ዕቁብ!DD54/Sheet4!$C51</f>
        <v>0</v>
      </c>
      <c r="DD51" s="43">
        <f>ዕቁብ!DE54/Sheet4!$C51</f>
        <v>0</v>
      </c>
      <c r="DE51" s="43">
        <f>ዕቁብ!DF54/Sheet4!$C51</f>
        <v>5</v>
      </c>
      <c r="DF51" s="43">
        <f>ዕቁብ!DG54/Sheet4!$C51</f>
        <v>0</v>
      </c>
      <c r="DG51" s="43">
        <f>ዕቁብ!DH54/Sheet4!$C51</f>
        <v>0</v>
      </c>
      <c r="DH51" s="43">
        <f>ዕቁብ!DI54/Sheet4!$C51</f>
        <v>0</v>
      </c>
      <c r="DI51" s="43">
        <f>ዕቁብ!DJ54/Sheet4!$C51</f>
        <v>0</v>
      </c>
      <c r="DJ51" s="43">
        <f>ዕቁብ!DK54/Sheet4!$C51</f>
        <v>0</v>
      </c>
      <c r="DK51" s="43">
        <f>ዕቁብ!DL54/Sheet4!$C51</f>
        <v>0</v>
      </c>
      <c r="DL51" s="43">
        <f>ዕቁብ!DM54/Sheet4!$C51</f>
        <v>0</v>
      </c>
      <c r="DM51" s="43">
        <f>ዕቁብ!DN54/Sheet4!$C51</f>
        <v>0</v>
      </c>
      <c r="DN51" s="43">
        <f>ዕቁብ!DO54/Sheet4!$C51</f>
        <v>0</v>
      </c>
      <c r="DO51" s="43">
        <f>ዕቁብ!DP54/Sheet4!$C51</f>
        <v>0</v>
      </c>
      <c r="DP51" s="43">
        <f>ዕቁብ!DQ54/Sheet4!$C51</f>
        <v>0</v>
      </c>
      <c r="DQ51" s="43">
        <f>ዕቁብ!DR54/Sheet4!$C51</f>
        <v>0</v>
      </c>
    </row>
    <row r="52" spans="1:121" ht="15.75" customHeight="1" x14ac:dyDescent="0.3">
      <c r="A52" s="40">
        <f>ዕቁብ!A55</f>
        <v>49</v>
      </c>
      <c r="B52" s="40" t="str">
        <f>ዕቁብ!B55</f>
        <v>ተረፈ ዓለሙ</v>
      </c>
      <c r="C52" s="30">
        <f>ዕቁብ!C55</f>
        <v>21000</v>
      </c>
      <c r="D52" s="43">
        <f>ዕቁብ!E55/Sheet4!$C52</f>
        <v>1</v>
      </c>
      <c r="E52" s="43">
        <f>ዕቁብ!F55/Sheet4!$C52</f>
        <v>1</v>
      </c>
      <c r="F52" s="43">
        <f>ዕቁብ!G55/Sheet4!$C52</f>
        <v>1</v>
      </c>
      <c r="G52" s="43">
        <f>ዕቁብ!H55/Sheet4!$C52</f>
        <v>1</v>
      </c>
      <c r="H52" s="43">
        <f>ዕቁብ!I55/Sheet4!$C52</f>
        <v>1</v>
      </c>
      <c r="I52" s="43">
        <f>ዕቁብ!J55/Sheet4!$C52</f>
        <v>1</v>
      </c>
      <c r="J52" s="43">
        <f>ዕቁብ!K55/Sheet4!$C52</f>
        <v>1</v>
      </c>
      <c r="K52" s="43">
        <f>ዕቁብ!L55/Sheet4!$C52</f>
        <v>1</v>
      </c>
      <c r="L52" s="43">
        <f>ዕቁብ!M55/Sheet4!$C52</f>
        <v>1</v>
      </c>
      <c r="M52" s="43">
        <f>ዕቁብ!N55/Sheet4!$C52</f>
        <v>1</v>
      </c>
      <c r="N52" s="43">
        <f>ዕቁብ!O55/Sheet4!$C52</f>
        <v>1</v>
      </c>
      <c r="O52" s="43">
        <f>ዕቁብ!P55/Sheet4!$C52</f>
        <v>1</v>
      </c>
      <c r="P52" s="43">
        <f>ዕቁብ!Q55/Sheet4!$C52</f>
        <v>1</v>
      </c>
      <c r="Q52" s="43">
        <f>ዕቁብ!R55/Sheet4!$C52</f>
        <v>1</v>
      </c>
      <c r="R52" s="43">
        <f>ዕቁብ!S55/Sheet4!$C52</f>
        <v>1</v>
      </c>
      <c r="S52" s="43">
        <f>ዕቁብ!T55/Sheet4!$C52</f>
        <v>1</v>
      </c>
      <c r="T52" s="43">
        <f>ዕቁብ!U55/Sheet4!$C52</f>
        <v>1</v>
      </c>
      <c r="U52" s="43">
        <f>ዕቁብ!V55/Sheet4!$C52</f>
        <v>1</v>
      </c>
      <c r="V52" s="43">
        <f>ዕቁብ!W55/Sheet4!$C52</f>
        <v>1</v>
      </c>
      <c r="W52" s="43">
        <f>ዕቁብ!X55/Sheet4!$C52</f>
        <v>0</v>
      </c>
      <c r="X52" s="43">
        <f>ዕቁብ!Y55/Sheet4!$C52</f>
        <v>2</v>
      </c>
      <c r="Y52" s="43">
        <f>ዕቁብ!Z55/Sheet4!$C52</f>
        <v>1</v>
      </c>
      <c r="Z52" s="43">
        <f>ዕቁብ!AA55/Sheet4!$C52</f>
        <v>1</v>
      </c>
      <c r="AA52" s="43">
        <f>ዕቁብ!AB55/Sheet4!$C52</f>
        <v>1</v>
      </c>
      <c r="AB52" s="43">
        <f>ዕቁብ!AC55/Sheet4!$C52</f>
        <v>1</v>
      </c>
      <c r="AC52" s="43">
        <f>ዕቁብ!AD55/Sheet4!$C52</f>
        <v>1</v>
      </c>
      <c r="AD52" s="43">
        <f>ዕቁብ!AE55/Sheet4!$C52</f>
        <v>1</v>
      </c>
      <c r="AE52" s="43">
        <f>ዕቁብ!AF55/Sheet4!$C52</f>
        <v>1</v>
      </c>
      <c r="AF52" s="43">
        <f>ዕቁብ!AG55/Sheet4!$C52</f>
        <v>1</v>
      </c>
      <c r="AG52" s="43">
        <f>ዕቁብ!AH55/Sheet4!$C52</f>
        <v>1</v>
      </c>
      <c r="AH52" s="43">
        <f>ዕቁብ!AI55/Sheet4!$C52</f>
        <v>1</v>
      </c>
      <c r="AI52" s="43">
        <f>ዕቁብ!AJ55/Sheet4!$C52</f>
        <v>1</v>
      </c>
      <c r="AJ52" s="43">
        <f>ዕቁብ!AK55/Sheet4!$C52</f>
        <v>1</v>
      </c>
      <c r="AK52" s="43">
        <f>ዕቁብ!AL55/Sheet4!$C52</f>
        <v>1</v>
      </c>
      <c r="AL52" s="43">
        <f>ዕቁብ!AM55/Sheet4!$C52</f>
        <v>1</v>
      </c>
      <c r="AM52" s="43">
        <f>ዕቁብ!AN55/Sheet4!$C52</f>
        <v>1</v>
      </c>
      <c r="AN52" s="43">
        <f>ዕቁብ!AO55/Sheet4!$C52</f>
        <v>1</v>
      </c>
      <c r="AO52" s="43">
        <f>ዕቁብ!AP55/Sheet4!$C52</f>
        <v>1</v>
      </c>
      <c r="AP52" s="43">
        <f>ዕቁብ!AQ55/Sheet4!$C52</f>
        <v>1</v>
      </c>
      <c r="AQ52" s="43">
        <f>ዕቁብ!AR55/Sheet4!$C52</f>
        <v>1</v>
      </c>
      <c r="AR52" s="43">
        <f>ዕቁብ!AS55/Sheet4!$C52</f>
        <v>1</v>
      </c>
      <c r="AS52" s="43">
        <f>ዕቁብ!AT55/Sheet4!$C52</f>
        <v>1</v>
      </c>
      <c r="AT52" s="43">
        <f>ዕቁብ!AU55/Sheet4!$C52</f>
        <v>1</v>
      </c>
      <c r="AU52" s="43">
        <f>ዕቁብ!AV55/Sheet4!$C52</f>
        <v>1</v>
      </c>
      <c r="AV52" s="43">
        <f>ዕቁብ!AW55/Sheet4!$C52</f>
        <v>1</v>
      </c>
      <c r="AW52" s="43">
        <f>ዕቁብ!AX55/Sheet4!$C52</f>
        <v>1</v>
      </c>
      <c r="AX52" s="43">
        <f>ዕቁብ!AY55/Sheet4!$C52</f>
        <v>1</v>
      </c>
      <c r="AY52" s="43">
        <f>ዕቁብ!AZ55/Sheet4!$C52</f>
        <v>1</v>
      </c>
      <c r="AZ52" s="43">
        <f>ዕቁብ!BA55/Sheet4!$C52</f>
        <v>1</v>
      </c>
      <c r="BA52" s="43">
        <f>ዕቁብ!BB55/Sheet4!$C52</f>
        <v>1</v>
      </c>
      <c r="BB52" s="43">
        <f>ዕቁብ!BC55/Sheet4!$C52</f>
        <v>1</v>
      </c>
      <c r="BC52" s="43">
        <f>ዕቁብ!BD55/Sheet4!$C52</f>
        <v>1</v>
      </c>
      <c r="BD52" s="43">
        <f>ዕቁብ!BE55/Sheet4!$C52</f>
        <v>1</v>
      </c>
      <c r="BE52" s="43">
        <f>ዕቁብ!BF55/Sheet4!$C52</f>
        <v>1</v>
      </c>
      <c r="BF52" s="43">
        <f>ዕቁብ!BG55/Sheet4!$C52</f>
        <v>1</v>
      </c>
      <c r="BG52" s="43">
        <f>ዕቁብ!BH55/Sheet4!$C52</f>
        <v>1</v>
      </c>
      <c r="BH52" s="43">
        <f>ዕቁብ!BI55/Sheet4!$C52</f>
        <v>1</v>
      </c>
      <c r="BI52" s="43">
        <f>ዕቁብ!BJ55/Sheet4!$C52</f>
        <v>0</v>
      </c>
      <c r="BJ52" s="43">
        <f>ዕቁብ!BK55/Sheet4!$C52</f>
        <v>1</v>
      </c>
      <c r="BK52" s="43">
        <f>ዕቁብ!BL55/Sheet4!$C52</f>
        <v>2</v>
      </c>
      <c r="BL52" s="43">
        <f>ዕቁብ!BM55/Sheet4!$C52</f>
        <v>1</v>
      </c>
      <c r="BM52" s="43">
        <f>ዕቁብ!BN55/Sheet4!$C52</f>
        <v>0</v>
      </c>
      <c r="BN52" s="43">
        <f>ዕቁብ!BO55/Sheet4!$C52</f>
        <v>2</v>
      </c>
      <c r="BO52" s="43">
        <f>ዕቁብ!BP55/Sheet4!$C52</f>
        <v>0</v>
      </c>
      <c r="BP52" s="43">
        <f>ዕቁብ!BQ55/Sheet4!$C52</f>
        <v>2</v>
      </c>
      <c r="BQ52" s="43">
        <f>ዕቁብ!BR55/Sheet4!$C52</f>
        <v>1</v>
      </c>
      <c r="BR52" s="43">
        <f>ዕቁብ!BS55/Sheet4!$C52</f>
        <v>1</v>
      </c>
      <c r="BS52" s="43">
        <f>ዕቁብ!BT55/Sheet4!$C52</f>
        <v>1</v>
      </c>
      <c r="BT52" s="43">
        <f>ዕቁብ!BU55/Sheet4!$C52</f>
        <v>1</v>
      </c>
      <c r="BU52" s="43">
        <f>ዕቁብ!BV55/Sheet4!$C52</f>
        <v>1</v>
      </c>
      <c r="BV52" s="43">
        <f>ዕቁብ!BW55/Sheet4!$C52</f>
        <v>1</v>
      </c>
      <c r="BW52" s="43">
        <f>ዕቁብ!BX55/Sheet4!$C52</f>
        <v>1</v>
      </c>
      <c r="BX52" s="43">
        <f>ዕቁብ!BY55/Sheet4!$C52</f>
        <v>1</v>
      </c>
      <c r="BY52" s="43">
        <f>ዕቁብ!BZ55/Sheet4!$C52</f>
        <v>0</v>
      </c>
      <c r="BZ52" s="43">
        <f>ዕቁብ!CA55/Sheet4!$C52</f>
        <v>2</v>
      </c>
      <c r="CA52" s="43">
        <f>ዕቁብ!CB55/Sheet4!$C52</f>
        <v>1</v>
      </c>
      <c r="CB52" s="43">
        <f>ዕቁብ!CC55/Sheet4!$C52</f>
        <v>0</v>
      </c>
      <c r="CC52" s="43">
        <f>ዕቁብ!CD55/Sheet4!$C52</f>
        <v>2</v>
      </c>
      <c r="CD52" s="43">
        <f>ዕቁብ!CE55/Sheet4!$C52</f>
        <v>0</v>
      </c>
      <c r="CE52" s="43">
        <f>ዕቁብ!CF55/Sheet4!$C52</f>
        <v>2</v>
      </c>
      <c r="CF52" s="43">
        <f>ዕቁብ!CG55/Sheet4!$C52</f>
        <v>1</v>
      </c>
      <c r="CG52" s="43">
        <f>ዕቁብ!CH55/Sheet4!$C52</f>
        <v>1</v>
      </c>
      <c r="CH52" s="43">
        <f>ዕቁብ!CI55/Sheet4!$C52</f>
        <v>1</v>
      </c>
      <c r="CI52" s="43">
        <f>ዕቁብ!CJ55/Sheet4!$C52</f>
        <v>1</v>
      </c>
      <c r="CJ52" s="43">
        <f>ዕቁብ!CK55/Sheet4!$C52</f>
        <v>1</v>
      </c>
      <c r="CK52" s="43">
        <f>ዕቁብ!CL55/Sheet4!$C52</f>
        <v>1</v>
      </c>
      <c r="CL52" s="43">
        <f>ዕቁብ!CM55/Sheet4!$C52</f>
        <v>1</v>
      </c>
      <c r="CM52" s="43">
        <f>ዕቁብ!CN55/Sheet4!$C52</f>
        <v>0</v>
      </c>
      <c r="CN52" s="43">
        <f>ዕቁብ!CO55/Sheet4!$C52</f>
        <v>2</v>
      </c>
      <c r="CO52" s="43">
        <f>ዕቁብ!CP55/Sheet4!$C52</f>
        <v>1</v>
      </c>
      <c r="CP52" s="43">
        <f>ዕቁብ!CQ55/Sheet4!$C52</f>
        <v>1</v>
      </c>
      <c r="CQ52" s="43">
        <f>ዕቁብ!CR55/Sheet4!$C52</f>
        <v>0</v>
      </c>
      <c r="CR52" s="43">
        <f>ዕቁብ!CS55/Sheet4!$C52</f>
        <v>2</v>
      </c>
      <c r="CS52" s="43">
        <f>ዕቁብ!CT55/Sheet4!$C52</f>
        <v>0</v>
      </c>
      <c r="CT52" s="43">
        <f>ዕቁብ!CU55/Sheet4!$C52</f>
        <v>2</v>
      </c>
      <c r="CU52" s="43">
        <f>ዕቁብ!CV55/Sheet4!$C52</f>
        <v>1</v>
      </c>
      <c r="CV52" s="43">
        <f>ዕቁብ!CW55/Sheet4!$C52</f>
        <v>0</v>
      </c>
      <c r="CW52" s="43">
        <f>ዕቁብ!CX55/Sheet4!$C52</f>
        <v>2</v>
      </c>
      <c r="CX52" s="43">
        <f>ዕቁብ!CY55/Sheet4!$C52</f>
        <v>1</v>
      </c>
      <c r="CY52" s="43">
        <f>ዕቁብ!CZ55/Sheet4!$C52</f>
        <v>0</v>
      </c>
      <c r="CZ52" s="43">
        <f>ዕቁብ!DA55/Sheet4!$C52</f>
        <v>2</v>
      </c>
      <c r="DA52" s="43">
        <f>ዕቁብ!DB55/Sheet4!$C52</f>
        <v>1</v>
      </c>
      <c r="DB52" s="43">
        <f>ዕቁብ!DC55/Sheet4!$C52</f>
        <v>1</v>
      </c>
      <c r="DC52" s="43">
        <f>ዕቁብ!DD55/Sheet4!$C52</f>
        <v>1</v>
      </c>
      <c r="DD52" s="43">
        <f>ዕቁብ!DE55/Sheet4!$C52</f>
        <v>1</v>
      </c>
      <c r="DE52" s="43">
        <f>ዕቁብ!DF55/Sheet4!$C52</f>
        <v>1</v>
      </c>
      <c r="DF52" s="43">
        <f>ዕቁብ!DG55/Sheet4!$C52</f>
        <v>1</v>
      </c>
      <c r="DG52" s="43">
        <f>ዕቁብ!DH55/Sheet4!$C52</f>
        <v>1</v>
      </c>
      <c r="DH52" s="43">
        <f>ዕቁብ!DI55/Sheet4!$C52</f>
        <v>0</v>
      </c>
      <c r="DI52" s="43">
        <f>ዕቁብ!DJ55/Sheet4!$C52</f>
        <v>0</v>
      </c>
      <c r="DJ52" s="43">
        <f>ዕቁብ!DK55/Sheet4!$C52</f>
        <v>0</v>
      </c>
      <c r="DK52" s="43">
        <f>ዕቁብ!DL55/Sheet4!$C52</f>
        <v>0</v>
      </c>
      <c r="DL52" s="43">
        <f>ዕቁብ!DM55/Sheet4!$C52</f>
        <v>0</v>
      </c>
      <c r="DM52" s="43">
        <f>ዕቁብ!DN55/Sheet4!$C52</f>
        <v>0</v>
      </c>
      <c r="DN52" s="43">
        <f>ዕቁብ!DO55/Sheet4!$C52</f>
        <v>0</v>
      </c>
      <c r="DO52" s="43">
        <f>ዕቁብ!DP55/Sheet4!$C52</f>
        <v>0</v>
      </c>
      <c r="DP52" s="43">
        <f>ዕቁብ!DQ55/Sheet4!$C52</f>
        <v>0</v>
      </c>
      <c r="DQ52" s="43">
        <f>ዕቁብ!DR55/Sheet4!$C52</f>
        <v>0</v>
      </c>
    </row>
    <row r="53" spans="1:121" ht="15.75" customHeight="1" x14ac:dyDescent="0.3">
      <c r="A53" s="40">
        <f>ዕቁብ!A56</f>
        <v>50</v>
      </c>
      <c r="B53" s="40" t="str">
        <f>ዕቁብ!B56</f>
        <v>ሀብታሙ አበራ</v>
      </c>
      <c r="C53" s="30">
        <f>ዕቁብ!C56</f>
        <v>21000</v>
      </c>
      <c r="D53" s="43">
        <f>ዕቁብ!E56/Sheet4!$C53</f>
        <v>1</v>
      </c>
      <c r="E53" s="43">
        <f>ዕቁብ!F56/Sheet4!$C53</f>
        <v>1</v>
      </c>
      <c r="F53" s="43">
        <f>ዕቁብ!G56/Sheet4!$C53</f>
        <v>1</v>
      </c>
      <c r="G53" s="43">
        <f>ዕቁብ!H56/Sheet4!$C53</f>
        <v>1</v>
      </c>
      <c r="H53" s="43">
        <f>ዕቁብ!I56/Sheet4!$C53</f>
        <v>1</v>
      </c>
      <c r="I53" s="43">
        <f>ዕቁብ!J56/Sheet4!$C53</f>
        <v>1</v>
      </c>
      <c r="J53" s="43">
        <f>ዕቁብ!K56/Sheet4!$C53</f>
        <v>1</v>
      </c>
      <c r="K53" s="43">
        <f>ዕቁብ!L56/Sheet4!$C53</f>
        <v>1</v>
      </c>
      <c r="L53" s="43">
        <f>ዕቁብ!M56/Sheet4!$C53</f>
        <v>1</v>
      </c>
      <c r="M53" s="43">
        <f>ዕቁብ!N56/Sheet4!$C53</f>
        <v>1</v>
      </c>
      <c r="N53" s="43">
        <f>ዕቁብ!O56/Sheet4!$C53</f>
        <v>1</v>
      </c>
      <c r="O53" s="43">
        <f>ዕቁብ!P56/Sheet4!$C53</f>
        <v>1</v>
      </c>
      <c r="P53" s="43">
        <f>ዕቁብ!Q56/Sheet4!$C53</f>
        <v>1</v>
      </c>
      <c r="Q53" s="43">
        <f>ዕቁብ!R56/Sheet4!$C53</f>
        <v>1</v>
      </c>
      <c r="R53" s="43">
        <f>ዕቁብ!S56/Sheet4!$C53</f>
        <v>1</v>
      </c>
      <c r="S53" s="43">
        <f>ዕቁብ!T56/Sheet4!$C53</f>
        <v>1</v>
      </c>
      <c r="T53" s="43">
        <f>ዕቁብ!U56/Sheet4!$C53</f>
        <v>1</v>
      </c>
      <c r="U53" s="43">
        <f>ዕቁብ!V56/Sheet4!$C53</f>
        <v>1</v>
      </c>
      <c r="V53" s="43">
        <f>ዕቁብ!W56/Sheet4!$C53</f>
        <v>1</v>
      </c>
      <c r="W53" s="43">
        <f>ዕቁብ!X56/Sheet4!$C53</f>
        <v>1</v>
      </c>
      <c r="X53" s="43">
        <f>ዕቁብ!Y56/Sheet4!$C53</f>
        <v>1</v>
      </c>
      <c r="Y53" s="43">
        <f>ዕቁብ!Z56/Sheet4!$C53</f>
        <v>1</v>
      </c>
      <c r="Z53" s="43">
        <f>ዕቁብ!AA56/Sheet4!$C53</f>
        <v>1</v>
      </c>
      <c r="AA53" s="43">
        <f>ዕቁብ!AB56/Sheet4!$C53</f>
        <v>0</v>
      </c>
      <c r="AB53" s="43">
        <f>ዕቁብ!AC56/Sheet4!$C53</f>
        <v>2</v>
      </c>
      <c r="AC53" s="43">
        <f>ዕቁብ!AD56/Sheet4!$C53</f>
        <v>1</v>
      </c>
      <c r="AD53" s="43">
        <f>ዕቁብ!AE56/Sheet4!$C53</f>
        <v>1</v>
      </c>
      <c r="AE53" s="43">
        <f>ዕቁብ!AF56/Sheet4!$C53</f>
        <v>1</v>
      </c>
      <c r="AF53" s="43">
        <f>ዕቁብ!AG56/Sheet4!$C53</f>
        <v>1</v>
      </c>
      <c r="AG53" s="43">
        <f>ዕቁብ!AH56/Sheet4!$C53</f>
        <v>1</v>
      </c>
      <c r="AH53" s="43">
        <f>ዕቁብ!AI56/Sheet4!$C53</f>
        <v>1</v>
      </c>
      <c r="AI53" s="43">
        <f>ዕቁብ!AJ56/Sheet4!$C53</f>
        <v>1</v>
      </c>
      <c r="AJ53" s="43">
        <f>ዕቁብ!AK56/Sheet4!$C53</f>
        <v>1</v>
      </c>
      <c r="AK53" s="43">
        <f>ዕቁብ!AL56/Sheet4!$C53</f>
        <v>1</v>
      </c>
      <c r="AL53" s="43">
        <f>ዕቁብ!AM56/Sheet4!$C53</f>
        <v>1</v>
      </c>
      <c r="AM53" s="43">
        <f>ዕቁብ!AN56/Sheet4!$C53</f>
        <v>1</v>
      </c>
      <c r="AN53" s="43">
        <f>ዕቁብ!AO56/Sheet4!$C53</f>
        <v>1</v>
      </c>
      <c r="AO53" s="43">
        <f>ዕቁብ!AP56/Sheet4!$C53</f>
        <v>1</v>
      </c>
      <c r="AP53" s="43">
        <f>ዕቁብ!AQ56/Sheet4!$C53</f>
        <v>1</v>
      </c>
      <c r="AQ53" s="43">
        <f>ዕቁብ!AR56/Sheet4!$C53</f>
        <v>1</v>
      </c>
      <c r="AR53" s="43">
        <f>ዕቁብ!AS56/Sheet4!$C53</f>
        <v>1</v>
      </c>
      <c r="AS53" s="43">
        <f>ዕቁብ!AT56/Sheet4!$C53</f>
        <v>1</v>
      </c>
      <c r="AT53" s="43">
        <f>ዕቁብ!AU56/Sheet4!$C53</f>
        <v>1</v>
      </c>
      <c r="AU53" s="43">
        <f>ዕቁብ!AV56/Sheet4!$C53</f>
        <v>1</v>
      </c>
      <c r="AV53" s="43">
        <f>ዕቁብ!AW56/Sheet4!$C53</f>
        <v>0</v>
      </c>
      <c r="AW53" s="43">
        <f>ዕቁብ!AX56/Sheet4!$C53</f>
        <v>2</v>
      </c>
      <c r="AX53" s="43">
        <f>ዕቁብ!AY56/Sheet4!$C53</f>
        <v>1</v>
      </c>
      <c r="AY53" s="43">
        <f>ዕቁብ!AZ56/Sheet4!$C53</f>
        <v>1</v>
      </c>
      <c r="AZ53" s="43">
        <f>ዕቁብ!BA56/Sheet4!$C53</f>
        <v>0</v>
      </c>
      <c r="BA53" s="43">
        <f>ዕቁብ!BB56/Sheet4!$C53</f>
        <v>2</v>
      </c>
      <c r="BB53" s="43">
        <f>ዕቁብ!BC56/Sheet4!$C53</f>
        <v>0</v>
      </c>
      <c r="BC53" s="43">
        <f>ዕቁብ!BD56/Sheet4!$C53</f>
        <v>2</v>
      </c>
      <c r="BD53" s="43">
        <f>ዕቁብ!BE56/Sheet4!$C53</f>
        <v>0</v>
      </c>
      <c r="BE53" s="43">
        <f>ዕቁብ!BF56/Sheet4!$C53</f>
        <v>2</v>
      </c>
      <c r="BF53" s="43">
        <f>ዕቁብ!BG56/Sheet4!$C53</f>
        <v>1</v>
      </c>
      <c r="BG53" s="43">
        <f>ዕቁብ!BH56/Sheet4!$C53</f>
        <v>1</v>
      </c>
      <c r="BH53" s="43">
        <f>ዕቁብ!BI56/Sheet4!$C53</f>
        <v>0</v>
      </c>
      <c r="BI53" s="43">
        <f>ዕቁብ!BJ56/Sheet4!$C53</f>
        <v>2</v>
      </c>
      <c r="BJ53" s="43">
        <f>ዕቁብ!BK56/Sheet4!$C53</f>
        <v>1</v>
      </c>
      <c r="BK53" s="43">
        <f>ዕቁብ!BL56/Sheet4!$C53</f>
        <v>0</v>
      </c>
      <c r="BL53" s="43">
        <f>ዕቁብ!BM56/Sheet4!$C53</f>
        <v>2</v>
      </c>
      <c r="BM53" s="43">
        <f>ዕቁብ!BN56/Sheet4!$C53</f>
        <v>1</v>
      </c>
      <c r="BN53" s="43">
        <f>ዕቁብ!BO56/Sheet4!$C53</f>
        <v>0</v>
      </c>
      <c r="BO53" s="43">
        <f>ዕቁብ!BP56/Sheet4!$C53</f>
        <v>0</v>
      </c>
      <c r="BP53" s="43">
        <f>ዕቁብ!BQ56/Sheet4!$C53</f>
        <v>2</v>
      </c>
      <c r="BQ53" s="43">
        <f>ዕቁብ!BR56/Sheet4!$C53</f>
        <v>0</v>
      </c>
      <c r="BR53" s="43">
        <f>ዕቁብ!BS56/Sheet4!$C53</f>
        <v>1</v>
      </c>
      <c r="BS53" s="43">
        <f>ዕቁብ!BT56/Sheet4!$C53</f>
        <v>0</v>
      </c>
      <c r="BT53" s="43">
        <f>ዕቁብ!BU56/Sheet4!$C53</f>
        <v>1</v>
      </c>
      <c r="BU53" s="43">
        <f>ዕቁብ!BV56/Sheet4!$C53</f>
        <v>1</v>
      </c>
      <c r="BV53" s="43">
        <f>ዕቁብ!BW56/Sheet4!$C53</f>
        <v>1</v>
      </c>
      <c r="BW53" s="43">
        <f>ዕቁብ!BX56/Sheet4!$C53</f>
        <v>1</v>
      </c>
      <c r="BX53" s="43">
        <f>ዕቁብ!BY56/Sheet4!$C53</f>
        <v>1</v>
      </c>
      <c r="BY53" s="43">
        <f>ዕቁብ!BZ56/Sheet4!$C53</f>
        <v>1</v>
      </c>
      <c r="BZ53" s="43">
        <f>ዕቁብ!CA56/Sheet4!$C53</f>
        <v>1</v>
      </c>
      <c r="CA53" s="43">
        <f>ዕቁብ!CB56/Sheet4!$C53</f>
        <v>1</v>
      </c>
      <c r="CB53" s="43">
        <f>ዕቁብ!CC56/Sheet4!$C53</f>
        <v>1</v>
      </c>
      <c r="CC53" s="43">
        <f>ዕቁብ!CD56/Sheet4!$C53</f>
        <v>1</v>
      </c>
      <c r="CD53" s="43">
        <f>ዕቁብ!CE56/Sheet4!$C53</f>
        <v>1</v>
      </c>
      <c r="CE53" s="43">
        <f>ዕቁብ!CF56/Sheet4!$C53</f>
        <v>1</v>
      </c>
      <c r="CF53" s="43">
        <f>ዕቁብ!CG56/Sheet4!$C53</f>
        <v>1</v>
      </c>
      <c r="CG53" s="43">
        <f>ዕቁብ!CH56/Sheet4!$C53</f>
        <v>1</v>
      </c>
      <c r="CH53" s="43">
        <f>ዕቁብ!CI56/Sheet4!$C53</f>
        <v>1</v>
      </c>
      <c r="CI53" s="43">
        <f>ዕቁብ!CJ56/Sheet4!$C53</f>
        <v>1</v>
      </c>
      <c r="CJ53" s="43">
        <f>ዕቁብ!CK56/Sheet4!$C53</f>
        <v>1</v>
      </c>
      <c r="CK53" s="43">
        <f>ዕቁብ!CL56/Sheet4!$C53</f>
        <v>0</v>
      </c>
      <c r="CL53" s="43">
        <f>ዕቁብ!CM56/Sheet4!$C53</f>
        <v>1</v>
      </c>
      <c r="CM53" s="43">
        <f>ዕቁብ!CN56/Sheet4!$C53</f>
        <v>0</v>
      </c>
      <c r="CN53" s="43">
        <f>ዕቁብ!CO56/Sheet4!$C53</f>
        <v>2</v>
      </c>
      <c r="CO53" s="43">
        <f>ዕቁብ!CP56/Sheet4!$C53</f>
        <v>1</v>
      </c>
      <c r="CP53" s="43">
        <f>ዕቁብ!CQ56/Sheet4!$C53</f>
        <v>1</v>
      </c>
      <c r="CQ53" s="43">
        <f>ዕቁብ!CR56/Sheet4!$C53</f>
        <v>1</v>
      </c>
      <c r="CR53" s="43">
        <f>ዕቁብ!CS56/Sheet4!$C53</f>
        <v>1</v>
      </c>
      <c r="CS53" s="43">
        <f>ዕቁብ!CT56/Sheet4!$C53</f>
        <v>1</v>
      </c>
      <c r="CT53" s="43">
        <f>ዕቁብ!CU56/Sheet4!$C53</f>
        <v>1</v>
      </c>
      <c r="CU53" s="43">
        <f>ዕቁብ!CV56/Sheet4!$C53</f>
        <v>1</v>
      </c>
      <c r="CV53" s="43">
        <f>ዕቁብ!CW56/Sheet4!$C53</f>
        <v>1</v>
      </c>
      <c r="CW53" s="43">
        <f>ዕቁብ!CX56/Sheet4!$C53</f>
        <v>1</v>
      </c>
      <c r="CX53" s="43">
        <f>ዕቁብ!CY56/Sheet4!$C53</f>
        <v>1</v>
      </c>
      <c r="CY53" s="43">
        <f>ዕቁብ!CZ56/Sheet4!$C53</f>
        <v>1</v>
      </c>
      <c r="CZ53" s="43">
        <f>ዕቁብ!DA56/Sheet4!$C53</f>
        <v>1</v>
      </c>
      <c r="DA53" s="43">
        <f>ዕቁብ!DB56/Sheet4!$C53</f>
        <v>1</v>
      </c>
      <c r="DB53" s="43">
        <f>ዕቁብ!DC56/Sheet4!$C53</f>
        <v>1</v>
      </c>
      <c r="DC53" s="43">
        <f>ዕቁብ!DD56/Sheet4!$C53</f>
        <v>1</v>
      </c>
      <c r="DD53" s="43">
        <f>ዕቁብ!DE56/Sheet4!$C53</f>
        <v>1</v>
      </c>
      <c r="DE53" s="43">
        <f>ዕቁብ!DF56/Sheet4!$C53</f>
        <v>1</v>
      </c>
      <c r="DF53" s="43">
        <f>ዕቁብ!DG56/Sheet4!$C53</f>
        <v>1</v>
      </c>
      <c r="DG53" s="43">
        <f>ዕቁብ!DH56/Sheet4!$C53</f>
        <v>1</v>
      </c>
      <c r="DH53" s="43">
        <f>ዕቁብ!DI56/Sheet4!$C53</f>
        <v>0</v>
      </c>
      <c r="DI53" s="43">
        <f>ዕቁብ!DJ56/Sheet4!$C53</f>
        <v>0</v>
      </c>
      <c r="DJ53" s="43">
        <f>ዕቁብ!DK56/Sheet4!$C53</f>
        <v>0</v>
      </c>
      <c r="DK53" s="43">
        <f>ዕቁብ!DL56/Sheet4!$C53</f>
        <v>0</v>
      </c>
      <c r="DL53" s="43">
        <f>ዕቁብ!DM56/Sheet4!$C53</f>
        <v>0</v>
      </c>
      <c r="DM53" s="43">
        <f>ዕቁብ!DN56/Sheet4!$C53</f>
        <v>0</v>
      </c>
      <c r="DN53" s="43">
        <f>ዕቁብ!DO56/Sheet4!$C53</f>
        <v>0</v>
      </c>
      <c r="DO53" s="43">
        <f>ዕቁብ!DP56/Sheet4!$C53</f>
        <v>0</v>
      </c>
      <c r="DP53" s="43">
        <f>ዕቁብ!DQ56/Sheet4!$C53</f>
        <v>0</v>
      </c>
      <c r="DQ53" s="43">
        <f>ዕቁብ!DR56/Sheet4!$C53</f>
        <v>0</v>
      </c>
    </row>
    <row r="54" spans="1:121" ht="15.75" customHeight="1" x14ac:dyDescent="0.3">
      <c r="A54" s="40">
        <f>ዕቁብ!A57</f>
        <v>51</v>
      </c>
      <c r="B54" s="40" t="str">
        <f>ዕቁብ!B57</f>
        <v>ሳምሶን ጀማል</v>
      </c>
      <c r="C54" s="30">
        <f>ዕቁብ!C57</f>
        <v>21000</v>
      </c>
      <c r="D54" s="43">
        <f>ዕቁብ!E57/Sheet4!$C54</f>
        <v>1</v>
      </c>
      <c r="E54" s="43">
        <f>ዕቁብ!F57/Sheet4!$C54</f>
        <v>1</v>
      </c>
      <c r="F54" s="43">
        <f>ዕቁብ!G57/Sheet4!$C54</f>
        <v>1</v>
      </c>
      <c r="G54" s="43">
        <f>ዕቁብ!H57/Sheet4!$C54</f>
        <v>1</v>
      </c>
      <c r="H54" s="43">
        <f>ዕቁብ!I57/Sheet4!$C54</f>
        <v>1</v>
      </c>
      <c r="I54" s="43">
        <f>ዕቁብ!J57/Sheet4!$C54</f>
        <v>1</v>
      </c>
      <c r="J54" s="43">
        <f>ዕቁብ!K57/Sheet4!$C54</f>
        <v>1</v>
      </c>
      <c r="K54" s="43">
        <f>ዕቁብ!L57/Sheet4!$C54</f>
        <v>1</v>
      </c>
      <c r="L54" s="43">
        <f>ዕቁብ!M57/Sheet4!$C54</f>
        <v>1</v>
      </c>
      <c r="M54" s="43">
        <f>ዕቁብ!N57/Sheet4!$C54</f>
        <v>1</v>
      </c>
      <c r="N54" s="43">
        <f>ዕቁብ!O57/Sheet4!$C54</f>
        <v>1</v>
      </c>
      <c r="O54" s="43">
        <f>ዕቁብ!P57/Sheet4!$C54</f>
        <v>1</v>
      </c>
      <c r="P54" s="43">
        <f>ዕቁብ!Q57/Sheet4!$C54</f>
        <v>1</v>
      </c>
      <c r="Q54" s="43">
        <f>ዕቁብ!R57/Sheet4!$C54</f>
        <v>1</v>
      </c>
      <c r="R54" s="43">
        <f>ዕቁብ!S57/Sheet4!$C54</f>
        <v>1</v>
      </c>
      <c r="S54" s="43">
        <f>ዕቁብ!T57/Sheet4!$C54</f>
        <v>1</v>
      </c>
      <c r="T54" s="43">
        <f>ዕቁብ!U57/Sheet4!$C54</f>
        <v>1</v>
      </c>
      <c r="U54" s="43">
        <f>ዕቁብ!V57/Sheet4!$C54</f>
        <v>1</v>
      </c>
      <c r="V54" s="43">
        <f>ዕቁብ!W57/Sheet4!$C54</f>
        <v>1</v>
      </c>
      <c r="W54" s="43">
        <f>ዕቁብ!X57/Sheet4!$C54</f>
        <v>1</v>
      </c>
      <c r="X54" s="43">
        <f>ዕቁብ!Y57/Sheet4!$C54</f>
        <v>1</v>
      </c>
      <c r="Y54" s="43">
        <f>ዕቁብ!Z57/Sheet4!$C54</f>
        <v>1</v>
      </c>
      <c r="Z54" s="43">
        <f>ዕቁብ!AA57/Sheet4!$C54</f>
        <v>1</v>
      </c>
      <c r="AA54" s="43">
        <f>ዕቁብ!AB57/Sheet4!$C54</f>
        <v>1</v>
      </c>
      <c r="AB54" s="43">
        <f>ዕቁብ!AC57/Sheet4!$C54</f>
        <v>1</v>
      </c>
      <c r="AC54" s="43">
        <f>ዕቁብ!AD57/Sheet4!$C54</f>
        <v>1</v>
      </c>
      <c r="AD54" s="43">
        <f>ዕቁብ!AE57/Sheet4!$C54</f>
        <v>1</v>
      </c>
      <c r="AE54" s="43">
        <f>ዕቁብ!AF57/Sheet4!$C54</f>
        <v>1</v>
      </c>
      <c r="AF54" s="43">
        <f>ዕቁብ!AG57/Sheet4!$C54</f>
        <v>1</v>
      </c>
      <c r="AG54" s="43">
        <f>ዕቁብ!AH57/Sheet4!$C54</f>
        <v>1</v>
      </c>
      <c r="AH54" s="43">
        <f>ዕቁብ!AI57/Sheet4!$C54</f>
        <v>0</v>
      </c>
      <c r="AI54" s="43">
        <f>ዕቁብ!AJ57/Sheet4!$C54</f>
        <v>2</v>
      </c>
      <c r="AJ54" s="43">
        <f>ዕቁብ!AK57/Sheet4!$C54</f>
        <v>0</v>
      </c>
      <c r="AK54" s="43">
        <f>ዕቁብ!AL57/Sheet4!$C54</f>
        <v>2</v>
      </c>
      <c r="AL54" s="43">
        <f>ዕቁብ!AM57/Sheet4!$C54</f>
        <v>0</v>
      </c>
      <c r="AM54" s="43">
        <f>ዕቁብ!AN57/Sheet4!$C54</f>
        <v>2</v>
      </c>
      <c r="AN54" s="43">
        <f>ዕቁብ!AO57/Sheet4!$C54</f>
        <v>0</v>
      </c>
      <c r="AO54" s="43">
        <f>ዕቁብ!AP57/Sheet4!$C54</f>
        <v>2</v>
      </c>
      <c r="AP54" s="43">
        <f>ዕቁብ!AQ57/Sheet4!$C54</f>
        <v>1</v>
      </c>
      <c r="AQ54" s="43">
        <f>ዕቁብ!AR57/Sheet4!$C54</f>
        <v>1</v>
      </c>
      <c r="AR54" s="43">
        <f>ዕቁብ!AS57/Sheet4!$C54</f>
        <v>0</v>
      </c>
      <c r="AS54" s="43">
        <f>ዕቁብ!AT57/Sheet4!$C54</f>
        <v>2</v>
      </c>
      <c r="AT54" s="43">
        <f>ዕቁብ!AU57/Sheet4!$C54</f>
        <v>1</v>
      </c>
      <c r="AU54" s="43">
        <f>ዕቁብ!AV57/Sheet4!$C54</f>
        <v>0</v>
      </c>
      <c r="AV54" s="43">
        <f>ዕቁብ!AW57/Sheet4!$C54</f>
        <v>0</v>
      </c>
      <c r="AW54" s="43">
        <f>ዕቁብ!AX57/Sheet4!$C54</f>
        <v>0</v>
      </c>
      <c r="AX54" s="43">
        <f>ዕቁብ!AY57/Sheet4!$C54</f>
        <v>0</v>
      </c>
      <c r="AY54" s="43">
        <f>ዕቁብ!AZ57/Sheet4!$C54</f>
        <v>0</v>
      </c>
      <c r="AZ54" s="43">
        <f>ዕቁብ!BA57/Sheet4!$C54</f>
        <v>5</v>
      </c>
      <c r="BA54" s="43">
        <f>ዕቁብ!BB57/Sheet4!$C54</f>
        <v>0</v>
      </c>
      <c r="BB54" s="43">
        <f>ዕቁብ!BC57/Sheet4!$C54</f>
        <v>3</v>
      </c>
      <c r="BC54" s="43">
        <f>ዕቁብ!BD57/Sheet4!$C54</f>
        <v>1</v>
      </c>
      <c r="BD54" s="43">
        <f>ዕቁብ!BE57/Sheet4!$C54</f>
        <v>1</v>
      </c>
      <c r="BE54" s="43">
        <f>ዕቁብ!BF57/Sheet4!$C54</f>
        <v>1</v>
      </c>
      <c r="BF54" s="43">
        <f>ዕቁብ!BG57/Sheet4!$C54</f>
        <v>1</v>
      </c>
      <c r="BG54" s="43">
        <f>ዕቁብ!BH57/Sheet4!$C54</f>
        <v>0</v>
      </c>
      <c r="BH54" s="43">
        <f>ዕቁብ!BI57/Sheet4!$C54</f>
        <v>2</v>
      </c>
      <c r="BI54" s="43">
        <f>ዕቁብ!BJ57/Sheet4!$C54</f>
        <v>0</v>
      </c>
      <c r="BJ54" s="43">
        <f>ዕቁብ!BK57/Sheet4!$C54</f>
        <v>1</v>
      </c>
      <c r="BK54" s="43">
        <f>ዕቁብ!BL57/Sheet4!$C54</f>
        <v>1</v>
      </c>
      <c r="BL54" s="43">
        <f>ዕቁብ!BM57/Sheet4!$C54</f>
        <v>2</v>
      </c>
      <c r="BM54" s="43">
        <f>ዕቁብ!BN57/Sheet4!$C54</f>
        <v>1</v>
      </c>
      <c r="BN54" s="43">
        <f>ዕቁብ!BO57/Sheet4!$C54</f>
        <v>1</v>
      </c>
      <c r="BO54" s="43">
        <f>ዕቁብ!BP57/Sheet4!$C54</f>
        <v>1</v>
      </c>
      <c r="BP54" s="43">
        <f>ዕቁብ!BQ57/Sheet4!$C54</f>
        <v>0</v>
      </c>
      <c r="BQ54" s="43">
        <f>ዕቁብ!BR57/Sheet4!$C54</f>
        <v>2</v>
      </c>
      <c r="BR54" s="43">
        <f>ዕቁብ!BS57/Sheet4!$C54</f>
        <v>1</v>
      </c>
      <c r="BS54" s="43">
        <f>ዕቁብ!BT57/Sheet4!$C54</f>
        <v>1</v>
      </c>
      <c r="BT54" s="43">
        <f>ዕቁብ!BU57/Sheet4!$C54</f>
        <v>0</v>
      </c>
      <c r="BU54" s="43">
        <f>ዕቁብ!BV57/Sheet4!$C54</f>
        <v>2</v>
      </c>
      <c r="BV54" s="43">
        <f>ዕቁብ!BW57/Sheet4!$C54</f>
        <v>1</v>
      </c>
      <c r="BW54" s="43">
        <f>ዕቁብ!BX57/Sheet4!$C54</f>
        <v>1</v>
      </c>
      <c r="BX54" s="43">
        <f>ዕቁብ!BY57/Sheet4!$C54</f>
        <v>1</v>
      </c>
      <c r="BY54" s="43">
        <f>ዕቁብ!BZ57/Sheet4!$C54</f>
        <v>1</v>
      </c>
      <c r="BZ54" s="43">
        <f>ዕቁብ!CA57/Sheet4!$C54</f>
        <v>0</v>
      </c>
      <c r="CA54" s="43">
        <f>ዕቁብ!CB57/Sheet4!$C54</f>
        <v>2</v>
      </c>
      <c r="CB54" s="43">
        <f>ዕቁብ!CC57/Sheet4!$C54</f>
        <v>0</v>
      </c>
      <c r="CC54" s="43">
        <f>ዕቁብ!CD57/Sheet4!$C54</f>
        <v>2</v>
      </c>
      <c r="CD54" s="43">
        <f>ዕቁብ!CE57/Sheet4!$C54</f>
        <v>0</v>
      </c>
      <c r="CE54" s="43">
        <f>ዕቁብ!CF57/Sheet4!$C54</f>
        <v>2</v>
      </c>
      <c r="CF54" s="43">
        <f>ዕቁብ!CG57/Sheet4!$C54</f>
        <v>0</v>
      </c>
      <c r="CG54" s="43">
        <f>ዕቁብ!CH57/Sheet4!$C54</f>
        <v>2</v>
      </c>
      <c r="CH54" s="43">
        <f>ዕቁብ!CI57/Sheet4!$C54</f>
        <v>0</v>
      </c>
      <c r="CI54" s="43">
        <f>ዕቁብ!CJ57/Sheet4!$C54</f>
        <v>2</v>
      </c>
      <c r="CJ54" s="43">
        <f>ዕቁብ!CK57/Sheet4!$C54</f>
        <v>1</v>
      </c>
      <c r="CK54" s="43">
        <f>ዕቁብ!CL57/Sheet4!$C54</f>
        <v>1</v>
      </c>
      <c r="CL54" s="43">
        <f>ዕቁብ!CM57/Sheet4!$C54</f>
        <v>1</v>
      </c>
      <c r="CM54" s="43">
        <f>ዕቁብ!CN57/Sheet4!$C54</f>
        <v>1</v>
      </c>
      <c r="CN54" s="43">
        <f>ዕቁብ!CO57/Sheet4!$C54</f>
        <v>0</v>
      </c>
      <c r="CO54" s="43">
        <f>ዕቁብ!CP57/Sheet4!$C54</f>
        <v>0</v>
      </c>
      <c r="CP54" s="43">
        <f>ዕቁብ!CQ57/Sheet4!$C54</f>
        <v>2</v>
      </c>
      <c r="CQ54" s="43">
        <f>ዕቁብ!CR57/Sheet4!$C54</f>
        <v>2</v>
      </c>
      <c r="CR54" s="43">
        <f>ዕቁብ!CS57/Sheet4!$C54</f>
        <v>0</v>
      </c>
      <c r="CS54" s="43">
        <f>ዕቁብ!CT57/Sheet4!$C54</f>
        <v>2</v>
      </c>
      <c r="CT54" s="43">
        <f>ዕቁብ!CU57/Sheet4!$C54</f>
        <v>1</v>
      </c>
      <c r="CU54" s="43">
        <f>ዕቁብ!CV57/Sheet4!$C54</f>
        <v>0</v>
      </c>
      <c r="CV54" s="43">
        <f>ዕቁብ!CW57/Sheet4!$C54</f>
        <v>0</v>
      </c>
      <c r="CW54" s="43">
        <f>ዕቁብ!CX57/Sheet4!$C54</f>
        <v>0</v>
      </c>
      <c r="CX54" s="43">
        <f>ዕቁብ!CY57/Sheet4!$C54</f>
        <v>0</v>
      </c>
      <c r="CY54" s="43">
        <f>ዕቁብ!CZ57/Sheet4!$C54</f>
        <v>0</v>
      </c>
      <c r="CZ54" s="43">
        <f>ዕቁብ!DA57/Sheet4!$C54</f>
        <v>5</v>
      </c>
      <c r="DA54" s="43">
        <f>ዕቁብ!DB57/Sheet4!$C54</f>
        <v>2</v>
      </c>
      <c r="DB54" s="43">
        <f>ዕቁብ!DC57/Sheet4!$C54</f>
        <v>0</v>
      </c>
      <c r="DC54" s="43">
        <f>ዕቁብ!DD57/Sheet4!$C54</f>
        <v>2</v>
      </c>
      <c r="DD54" s="43">
        <f>ዕቁብ!DE57/Sheet4!$C54</f>
        <v>1</v>
      </c>
      <c r="DE54" s="43">
        <f>ዕቁብ!DF57/Sheet4!$C54</f>
        <v>0</v>
      </c>
      <c r="DF54" s="43">
        <f>ዕቁብ!DG57/Sheet4!$C54</f>
        <v>2</v>
      </c>
      <c r="DG54" s="43">
        <f>ዕቁብ!DH57/Sheet4!$C54</f>
        <v>0</v>
      </c>
      <c r="DH54" s="43">
        <f>ዕቁብ!DI57/Sheet4!$C54</f>
        <v>0</v>
      </c>
      <c r="DI54" s="43">
        <f>ዕቁብ!DJ57/Sheet4!$C54</f>
        <v>0</v>
      </c>
      <c r="DJ54" s="43">
        <f>ዕቁብ!DK57/Sheet4!$C54</f>
        <v>0</v>
      </c>
      <c r="DK54" s="43">
        <f>ዕቁብ!DL57/Sheet4!$C54</f>
        <v>0</v>
      </c>
      <c r="DL54" s="43">
        <f>ዕቁብ!DM57/Sheet4!$C54</f>
        <v>0</v>
      </c>
      <c r="DM54" s="43">
        <f>ዕቁብ!DN57/Sheet4!$C54</f>
        <v>0</v>
      </c>
      <c r="DN54" s="43">
        <f>ዕቁብ!DO57/Sheet4!$C54</f>
        <v>0</v>
      </c>
      <c r="DO54" s="43">
        <f>ዕቁብ!DP57/Sheet4!$C54</f>
        <v>0</v>
      </c>
      <c r="DP54" s="43">
        <f>ዕቁብ!DQ57/Sheet4!$C54</f>
        <v>0</v>
      </c>
      <c r="DQ54" s="43">
        <f>ዕቁብ!DR57/Sheet4!$C54</f>
        <v>0</v>
      </c>
    </row>
    <row r="55" spans="1:121" ht="15.75" customHeight="1" x14ac:dyDescent="0.3">
      <c r="A55" s="40">
        <f>ዕቁብ!A58</f>
        <v>52</v>
      </c>
      <c r="B55" s="40" t="str">
        <f>ዕቁብ!B58</f>
        <v>ኤርሚያስ ፊሎ</v>
      </c>
      <c r="C55" s="30">
        <f>ዕቁብ!C58</f>
        <v>21000</v>
      </c>
      <c r="D55" s="43">
        <f>ዕቁብ!E58/Sheet4!$C55</f>
        <v>1</v>
      </c>
      <c r="E55" s="43">
        <f>ዕቁብ!F58/Sheet4!$C55</f>
        <v>1</v>
      </c>
      <c r="F55" s="43">
        <f>ዕቁብ!G58/Sheet4!$C55</f>
        <v>1</v>
      </c>
      <c r="G55" s="43">
        <f>ዕቁብ!H58/Sheet4!$C55</f>
        <v>1</v>
      </c>
      <c r="H55" s="43">
        <f>ዕቁብ!I58/Sheet4!$C55</f>
        <v>1</v>
      </c>
      <c r="I55" s="43">
        <f>ዕቁብ!J58/Sheet4!$C55</f>
        <v>1</v>
      </c>
      <c r="J55" s="43">
        <f>ዕቁብ!K58/Sheet4!$C55</f>
        <v>1</v>
      </c>
      <c r="K55" s="43">
        <f>ዕቁብ!L58/Sheet4!$C55</f>
        <v>1</v>
      </c>
      <c r="L55" s="43">
        <f>ዕቁብ!M58/Sheet4!$C55</f>
        <v>1</v>
      </c>
      <c r="M55" s="43">
        <f>ዕቁብ!N58/Sheet4!$C55</f>
        <v>1</v>
      </c>
      <c r="N55" s="43">
        <f>ዕቁብ!O58/Sheet4!$C55</f>
        <v>1</v>
      </c>
      <c r="O55" s="43">
        <f>ዕቁብ!P58/Sheet4!$C55</f>
        <v>1</v>
      </c>
      <c r="P55" s="43">
        <f>ዕቁብ!Q58/Sheet4!$C55</f>
        <v>1</v>
      </c>
      <c r="Q55" s="43">
        <f>ዕቁብ!R58/Sheet4!$C55</f>
        <v>1</v>
      </c>
      <c r="R55" s="43">
        <f>ዕቁብ!S58/Sheet4!$C55</f>
        <v>1</v>
      </c>
      <c r="S55" s="43">
        <f>ዕቁብ!T58/Sheet4!$C55</f>
        <v>1</v>
      </c>
      <c r="T55" s="43">
        <f>ዕቁብ!U58/Sheet4!$C55</f>
        <v>1</v>
      </c>
      <c r="U55" s="43">
        <f>ዕቁብ!V58/Sheet4!$C55</f>
        <v>1</v>
      </c>
      <c r="V55" s="43">
        <f>ዕቁብ!W58/Sheet4!$C55</f>
        <v>1</v>
      </c>
      <c r="W55" s="43">
        <f>ዕቁብ!X58/Sheet4!$C55</f>
        <v>1</v>
      </c>
      <c r="X55" s="43">
        <f>ዕቁብ!Y58/Sheet4!$C55</f>
        <v>1</v>
      </c>
      <c r="Y55" s="43">
        <f>ዕቁብ!Z58/Sheet4!$C55</f>
        <v>1</v>
      </c>
      <c r="Z55" s="43">
        <f>ዕቁብ!AA58/Sheet4!$C55</f>
        <v>1</v>
      </c>
      <c r="AA55" s="43">
        <f>ዕቁብ!AB58/Sheet4!$C55</f>
        <v>1</v>
      </c>
      <c r="AB55" s="43">
        <f>ዕቁብ!AC58/Sheet4!$C55</f>
        <v>1</v>
      </c>
      <c r="AC55" s="43">
        <f>ዕቁብ!AD58/Sheet4!$C55</f>
        <v>1</v>
      </c>
      <c r="AD55" s="43">
        <f>ዕቁብ!AE58/Sheet4!$C55</f>
        <v>1</v>
      </c>
      <c r="AE55" s="43">
        <f>ዕቁብ!AF58/Sheet4!$C55</f>
        <v>1</v>
      </c>
      <c r="AF55" s="43">
        <f>ዕቁብ!AG58/Sheet4!$C55</f>
        <v>1</v>
      </c>
      <c r="AG55" s="43">
        <f>ዕቁብ!AH58/Sheet4!$C55</f>
        <v>1</v>
      </c>
      <c r="AH55" s="43">
        <f>ዕቁብ!AI58/Sheet4!$C55</f>
        <v>1</v>
      </c>
      <c r="AI55" s="43">
        <f>ዕቁብ!AJ58/Sheet4!$C55</f>
        <v>1</v>
      </c>
      <c r="AJ55" s="43">
        <f>ዕቁብ!AK58/Sheet4!$C55</f>
        <v>1</v>
      </c>
      <c r="AK55" s="43">
        <f>ዕቁብ!AL58/Sheet4!$C55</f>
        <v>1</v>
      </c>
      <c r="AL55" s="43">
        <f>ዕቁብ!AM58/Sheet4!$C55</f>
        <v>1</v>
      </c>
      <c r="AM55" s="43">
        <f>ዕቁብ!AN58/Sheet4!$C55</f>
        <v>1</v>
      </c>
      <c r="AN55" s="43">
        <f>ዕቁብ!AO58/Sheet4!$C55</f>
        <v>1</v>
      </c>
      <c r="AO55" s="43">
        <f>ዕቁብ!AP58/Sheet4!$C55</f>
        <v>1</v>
      </c>
      <c r="AP55" s="43">
        <f>ዕቁብ!AQ58/Sheet4!$C55</f>
        <v>1</v>
      </c>
      <c r="AQ55" s="43">
        <f>ዕቁብ!AR58/Sheet4!$C55</f>
        <v>1</v>
      </c>
      <c r="AR55" s="43">
        <f>ዕቁብ!AS58/Sheet4!$C55</f>
        <v>1</v>
      </c>
      <c r="AS55" s="43">
        <f>ዕቁብ!AT58/Sheet4!$C55</f>
        <v>1</v>
      </c>
      <c r="AT55" s="43">
        <f>ዕቁብ!AU58/Sheet4!$C55</f>
        <v>1</v>
      </c>
      <c r="AU55" s="43">
        <f>ዕቁብ!AV58/Sheet4!$C55</f>
        <v>0</v>
      </c>
      <c r="AV55" s="43">
        <f>ዕቁብ!AW58/Sheet4!$C55</f>
        <v>2</v>
      </c>
      <c r="AW55" s="43">
        <f>ዕቁብ!AX58/Sheet4!$C55</f>
        <v>1</v>
      </c>
      <c r="AX55" s="43">
        <f>ዕቁብ!AY58/Sheet4!$C55</f>
        <v>1</v>
      </c>
      <c r="AY55" s="43">
        <f>ዕቁብ!AZ58/Sheet4!$C55</f>
        <v>1</v>
      </c>
      <c r="AZ55" s="43">
        <f>ዕቁብ!BA58/Sheet4!$C55</f>
        <v>1</v>
      </c>
      <c r="BA55" s="43">
        <f>ዕቁብ!BB58/Sheet4!$C55</f>
        <v>1</v>
      </c>
      <c r="BB55" s="43">
        <f>ዕቁብ!BC58/Sheet4!$C55</f>
        <v>0</v>
      </c>
      <c r="BC55" s="43">
        <f>ዕቁብ!BD58/Sheet4!$C55</f>
        <v>2</v>
      </c>
      <c r="BD55" s="43">
        <f>ዕቁብ!BE58/Sheet4!$C55</f>
        <v>1</v>
      </c>
      <c r="BE55" s="43">
        <f>ዕቁብ!BF58/Sheet4!$C55</f>
        <v>1</v>
      </c>
      <c r="BF55" s="43">
        <f>ዕቁብ!BG58/Sheet4!$C55</f>
        <v>1</v>
      </c>
      <c r="BG55" s="43">
        <f>ዕቁብ!BH58/Sheet4!$C55</f>
        <v>0</v>
      </c>
      <c r="BH55" s="43">
        <f>ዕቁብ!BI58/Sheet4!$C55</f>
        <v>2</v>
      </c>
      <c r="BI55" s="43">
        <f>ዕቁብ!BJ58/Sheet4!$C55</f>
        <v>1</v>
      </c>
      <c r="BJ55" s="43">
        <f>ዕቁብ!BK58/Sheet4!$C55</f>
        <v>0</v>
      </c>
      <c r="BK55" s="43">
        <f>ዕቁብ!BL58/Sheet4!$C55</f>
        <v>2</v>
      </c>
      <c r="BL55" s="43">
        <f>ዕቁብ!BM58/Sheet4!$C55</f>
        <v>1</v>
      </c>
      <c r="BM55" s="43">
        <f>ዕቁብ!BN58/Sheet4!$C55</f>
        <v>1</v>
      </c>
      <c r="BN55" s="43">
        <f>ዕቁብ!BO58/Sheet4!$C55</f>
        <v>1</v>
      </c>
      <c r="BO55" s="43">
        <f>ዕቁብ!BP58/Sheet4!$C55</f>
        <v>1</v>
      </c>
      <c r="BP55" s="43">
        <f>ዕቁብ!BQ58/Sheet4!$C55</f>
        <v>1</v>
      </c>
      <c r="BQ55" s="43">
        <f>ዕቁብ!BR58/Sheet4!$C55</f>
        <v>1</v>
      </c>
      <c r="BR55" s="43">
        <f>ዕቁብ!BS58/Sheet4!$C55</f>
        <v>1</v>
      </c>
      <c r="BS55" s="43">
        <f>ዕቁብ!BT58/Sheet4!$C55</f>
        <v>1</v>
      </c>
      <c r="BT55" s="43">
        <f>ዕቁብ!BU58/Sheet4!$C55</f>
        <v>1</v>
      </c>
      <c r="BU55" s="43">
        <f>ዕቁብ!BV58/Sheet4!$C55</f>
        <v>1</v>
      </c>
      <c r="BV55" s="43">
        <f>ዕቁብ!BW58/Sheet4!$C55</f>
        <v>1</v>
      </c>
      <c r="BW55" s="43">
        <f>ዕቁብ!BX58/Sheet4!$C55</f>
        <v>1</v>
      </c>
      <c r="BX55" s="43">
        <f>ዕቁብ!BY58/Sheet4!$C55</f>
        <v>1</v>
      </c>
      <c r="BY55" s="43">
        <f>ዕቁብ!BZ58/Sheet4!$C55</f>
        <v>1</v>
      </c>
      <c r="BZ55" s="43">
        <f>ዕቁብ!CA58/Sheet4!$C55</f>
        <v>1</v>
      </c>
      <c r="CA55" s="43">
        <f>ዕቁብ!CB58/Sheet4!$C55</f>
        <v>1</v>
      </c>
      <c r="CB55" s="43">
        <f>ዕቁብ!CC58/Sheet4!$C55</f>
        <v>1</v>
      </c>
      <c r="CC55" s="43">
        <f>ዕቁብ!CD58/Sheet4!$C55</f>
        <v>1</v>
      </c>
      <c r="CD55" s="43">
        <f>ዕቁብ!CE58/Sheet4!$C55</f>
        <v>1</v>
      </c>
      <c r="CE55" s="43">
        <f>ዕቁብ!CF58/Sheet4!$C55</f>
        <v>1</v>
      </c>
      <c r="CF55" s="43">
        <f>ዕቁብ!CG58/Sheet4!$C55</f>
        <v>0</v>
      </c>
      <c r="CG55" s="43">
        <f>ዕቁብ!CH58/Sheet4!$C55</f>
        <v>1</v>
      </c>
      <c r="CH55" s="43">
        <f>ዕቁብ!CI58/Sheet4!$C55</f>
        <v>1</v>
      </c>
      <c r="CI55" s="43">
        <f>ዕቁብ!CJ58/Sheet4!$C55</f>
        <v>1</v>
      </c>
      <c r="CJ55" s="43">
        <f>ዕቁብ!CK58/Sheet4!$C55</f>
        <v>1</v>
      </c>
      <c r="CK55" s="43">
        <f>ዕቁብ!CL58/Sheet4!$C55</f>
        <v>1</v>
      </c>
      <c r="CL55" s="43">
        <f>ዕቁብ!CM58/Sheet4!$C55</f>
        <v>1</v>
      </c>
      <c r="CM55" s="43">
        <f>ዕቁብ!CN58/Sheet4!$C55</f>
        <v>1</v>
      </c>
      <c r="CN55" s="43">
        <f>ዕቁብ!CO58/Sheet4!$C55</f>
        <v>1</v>
      </c>
      <c r="CO55" s="43">
        <f>ዕቁብ!CP58/Sheet4!$C55</f>
        <v>1</v>
      </c>
      <c r="CP55" s="43">
        <f>ዕቁብ!CQ58/Sheet4!$C55</f>
        <v>1</v>
      </c>
      <c r="CQ55" s="43">
        <f>ዕቁብ!CR58/Sheet4!$C55</f>
        <v>1</v>
      </c>
      <c r="CR55" s="43">
        <f>ዕቁብ!CS58/Sheet4!$C55</f>
        <v>1</v>
      </c>
      <c r="CS55" s="43">
        <f>ዕቁብ!CT58/Sheet4!$C55</f>
        <v>1</v>
      </c>
      <c r="CT55" s="43">
        <f>ዕቁብ!CU58/Sheet4!$C55</f>
        <v>1</v>
      </c>
      <c r="CU55" s="43">
        <f>ዕቁብ!CV58/Sheet4!$C55</f>
        <v>1</v>
      </c>
      <c r="CV55" s="43">
        <f>ዕቁብ!CW58/Sheet4!$C55</f>
        <v>0</v>
      </c>
      <c r="CW55" s="43">
        <f>ዕቁብ!CX58/Sheet4!$C55</f>
        <v>2</v>
      </c>
      <c r="CX55" s="43">
        <f>ዕቁብ!CY58/Sheet4!$C55</f>
        <v>1</v>
      </c>
      <c r="CY55" s="43">
        <f>ዕቁብ!CZ58/Sheet4!$C55</f>
        <v>1</v>
      </c>
      <c r="CZ55" s="43">
        <f>ዕቁብ!DA58/Sheet4!$C55</f>
        <v>1</v>
      </c>
      <c r="DA55" s="43">
        <f>ዕቁብ!DB58/Sheet4!$C55</f>
        <v>1</v>
      </c>
      <c r="DB55" s="43">
        <f>ዕቁብ!DC58/Sheet4!$C55</f>
        <v>1</v>
      </c>
      <c r="DC55" s="43">
        <f>ዕቁብ!DD58/Sheet4!$C55</f>
        <v>1</v>
      </c>
      <c r="DD55" s="43">
        <f>ዕቁብ!DE58/Sheet4!$C55</f>
        <v>1</v>
      </c>
      <c r="DE55" s="43">
        <f>ዕቁብ!DF58/Sheet4!$C55</f>
        <v>0</v>
      </c>
      <c r="DF55" s="43">
        <f>ዕቁብ!DG58/Sheet4!$C55</f>
        <v>1</v>
      </c>
      <c r="DG55" s="43">
        <f>ዕቁብ!DH58/Sheet4!$C55</f>
        <v>1</v>
      </c>
      <c r="DH55" s="43">
        <f>ዕቁብ!DI58/Sheet4!$C55</f>
        <v>0</v>
      </c>
      <c r="DI55" s="43">
        <f>ዕቁብ!DJ58/Sheet4!$C55</f>
        <v>0</v>
      </c>
      <c r="DJ55" s="43">
        <f>ዕቁብ!DK58/Sheet4!$C55</f>
        <v>0</v>
      </c>
      <c r="DK55" s="43">
        <f>ዕቁብ!DL58/Sheet4!$C55</f>
        <v>0</v>
      </c>
      <c r="DL55" s="43">
        <f>ዕቁብ!DM58/Sheet4!$C55</f>
        <v>0</v>
      </c>
      <c r="DM55" s="43">
        <f>ዕቁብ!DN58/Sheet4!$C55</f>
        <v>0</v>
      </c>
      <c r="DN55" s="43">
        <f>ዕቁብ!DO58/Sheet4!$C55</f>
        <v>0</v>
      </c>
      <c r="DO55" s="43">
        <f>ዕቁብ!DP58/Sheet4!$C55</f>
        <v>0</v>
      </c>
      <c r="DP55" s="43">
        <f>ዕቁብ!DQ58/Sheet4!$C55</f>
        <v>0</v>
      </c>
      <c r="DQ55" s="43">
        <f>ዕቁብ!DR58/Sheet4!$C55</f>
        <v>0</v>
      </c>
    </row>
    <row r="56" spans="1:121" ht="15.75" customHeight="1" x14ac:dyDescent="0.3">
      <c r="A56" s="40">
        <f>ዕቁብ!A59</f>
        <v>53</v>
      </c>
      <c r="B56" s="40" t="str">
        <f>ዕቁብ!B59</f>
        <v>ሙሴ ዳንኤል</v>
      </c>
      <c r="C56" s="30">
        <f>ዕቁብ!C59</f>
        <v>21000</v>
      </c>
      <c r="D56" s="43">
        <f>ዕቁብ!E59/Sheet4!$C56</f>
        <v>1</v>
      </c>
      <c r="E56" s="43">
        <f>ዕቁብ!F59/Sheet4!$C56</f>
        <v>1</v>
      </c>
      <c r="F56" s="43">
        <f>ዕቁብ!G59/Sheet4!$C56</f>
        <v>1</v>
      </c>
      <c r="G56" s="43">
        <f>ዕቁብ!H59/Sheet4!$C56</f>
        <v>1</v>
      </c>
      <c r="H56" s="43">
        <f>ዕቁብ!I59/Sheet4!$C56</f>
        <v>1</v>
      </c>
      <c r="I56" s="43">
        <f>ዕቁብ!J59/Sheet4!$C56</f>
        <v>1</v>
      </c>
      <c r="J56" s="43">
        <f>ዕቁብ!K59/Sheet4!$C56</f>
        <v>1</v>
      </c>
      <c r="K56" s="43">
        <f>ዕቁብ!L59/Sheet4!$C56</f>
        <v>1</v>
      </c>
      <c r="L56" s="43">
        <f>ዕቁብ!M59/Sheet4!$C56</f>
        <v>1</v>
      </c>
      <c r="M56" s="43">
        <f>ዕቁብ!N59/Sheet4!$C56</f>
        <v>1</v>
      </c>
      <c r="N56" s="43">
        <f>ዕቁብ!O59/Sheet4!$C56</f>
        <v>1</v>
      </c>
      <c r="O56" s="43">
        <f>ዕቁብ!P59/Sheet4!$C56</f>
        <v>1</v>
      </c>
      <c r="P56" s="43">
        <f>ዕቁብ!Q59/Sheet4!$C56</f>
        <v>1</v>
      </c>
      <c r="Q56" s="43">
        <f>ዕቁብ!R59/Sheet4!$C56</f>
        <v>1</v>
      </c>
      <c r="R56" s="43">
        <f>ዕቁብ!S59/Sheet4!$C56</f>
        <v>1</v>
      </c>
      <c r="S56" s="43">
        <f>ዕቁብ!T59/Sheet4!$C56</f>
        <v>1</v>
      </c>
      <c r="T56" s="43">
        <f>ዕቁብ!U59/Sheet4!$C56</f>
        <v>1</v>
      </c>
      <c r="U56" s="43">
        <f>ዕቁብ!V59/Sheet4!$C56</f>
        <v>1</v>
      </c>
      <c r="V56" s="43">
        <f>ዕቁብ!W59/Sheet4!$C56</f>
        <v>1</v>
      </c>
      <c r="W56" s="43">
        <f>ዕቁብ!X59/Sheet4!$C56</f>
        <v>1</v>
      </c>
      <c r="X56" s="43">
        <f>ዕቁብ!Y59/Sheet4!$C56</f>
        <v>1</v>
      </c>
      <c r="Y56" s="43">
        <f>ዕቁብ!Z59/Sheet4!$C56</f>
        <v>0</v>
      </c>
      <c r="Z56" s="43">
        <f>ዕቁብ!AA59/Sheet4!$C56</f>
        <v>2</v>
      </c>
      <c r="AA56" s="43">
        <f>ዕቁብ!AB59/Sheet4!$C56</f>
        <v>0</v>
      </c>
      <c r="AB56" s="43">
        <f>ዕቁብ!AC59/Sheet4!$C56</f>
        <v>2</v>
      </c>
      <c r="AC56" s="43">
        <f>ዕቁብ!AD59/Sheet4!$C56</f>
        <v>0</v>
      </c>
      <c r="AD56" s="43">
        <f>ዕቁብ!AE59/Sheet4!$C56</f>
        <v>2</v>
      </c>
      <c r="AE56" s="43">
        <f>ዕቁብ!AF59/Sheet4!$C56</f>
        <v>1</v>
      </c>
      <c r="AF56" s="43">
        <f>ዕቁብ!AG59/Sheet4!$C56</f>
        <v>0</v>
      </c>
      <c r="AG56" s="43">
        <f>ዕቁብ!AH59/Sheet4!$C56</f>
        <v>2</v>
      </c>
      <c r="AH56" s="43">
        <f>ዕቁብ!AI59/Sheet4!$C56</f>
        <v>1</v>
      </c>
      <c r="AI56" s="43">
        <f>ዕቁብ!AJ59/Sheet4!$C56</f>
        <v>0</v>
      </c>
      <c r="AJ56" s="43">
        <f>ዕቁብ!AK59/Sheet4!$C56</f>
        <v>0</v>
      </c>
      <c r="AK56" s="43">
        <f>ዕቁብ!AL59/Sheet4!$C56</f>
        <v>3</v>
      </c>
      <c r="AL56" s="43">
        <f>ዕቁብ!AM59/Sheet4!$C56</f>
        <v>1</v>
      </c>
      <c r="AM56" s="43">
        <f>ዕቁብ!AN59/Sheet4!$C56</f>
        <v>1</v>
      </c>
      <c r="AN56" s="43">
        <f>ዕቁብ!AO59/Sheet4!$C56</f>
        <v>0</v>
      </c>
      <c r="AO56" s="43">
        <f>ዕቁብ!AP59/Sheet4!$C56</f>
        <v>2</v>
      </c>
      <c r="AP56" s="43">
        <f>ዕቁብ!AQ59/Sheet4!$C56</f>
        <v>1</v>
      </c>
      <c r="AQ56" s="43">
        <f>ዕቁብ!AR59/Sheet4!$C56</f>
        <v>1</v>
      </c>
      <c r="AR56" s="43">
        <f>ዕቁብ!AS59/Sheet4!$C56</f>
        <v>1</v>
      </c>
      <c r="AS56" s="43">
        <f>ዕቁብ!AT59/Sheet4!$C56</f>
        <v>1</v>
      </c>
      <c r="AT56" s="43">
        <f>ዕቁብ!AU59/Sheet4!$C56</f>
        <v>1</v>
      </c>
      <c r="AU56" s="43">
        <f>ዕቁብ!AV59/Sheet4!$C56</f>
        <v>1</v>
      </c>
      <c r="AV56" s="43">
        <f>ዕቁብ!AW59/Sheet4!$C56</f>
        <v>1</v>
      </c>
      <c r="AW56" s="43">
        <f>ዕቁብ!AX59/Sheet4!$C56</f>
        <v>1</v>
      </c>
      <c r="AX56" s="43">
        <f>ዕቁብ!AY59/Sheet4!$C56</f>
        <v>1</v>
      </c>
      <c r="AY56" s="43">
        <f>ዕቁብ!AZ59/Sheet4!$C56</f>
        <v>1</v>
      </c>
      <c r="AZ56" s="43">
        <f>ዕቁብ!BA59/Sheet4!$C56</f>
        <v>1</v>
      </c>
      <c r="BA56" s="43">
        <f>ዕቁብ!BB59/Sheet4!$C56</f>
        <v>1</v>
      </c>
      <c r="BB56" s="43">
        <f>ዕቁብ!BC59/Sheet4!$C56</f>
        <v>1</v>
      </c>
      <c r="BC56" s="43">
        <f>ዕቁብ!BD59/Sheet4!$C56</f>
        <v>0</v>
      </c>
      <c r="BD56" s="43">
        <f>ዕቁብ!BE59/Sheet4!$C56</f>
        <v>2</v>
      </c>
      <c r="BE56" s="43">
        <f>ዕቁብ!BF59/Sheet4!$C56</f>
        <v>1</v>
      </c>
      <c r="BF56" s="43">
        <f>ዕቁብ!BG59/Sheet4!$C56</f>
        <v>1</v>
      </c>
      <c r="BG56" s="43">
        <f>ዕቁብ!BH59/Sheet4!$C56</f>
        <v>0</v>
      </c>
      <c r="BH56" s="43">
        <f>ዕቁብ!BI59/Sheet4!$C56</f>
        <v>2</v>
      </c>
      <c r="BI56" s="43">
        <f>ዕቁብ!BJ59/Sheet4!$C56</f>
        <v>1</v>
      </c>
      <c r="BJ56" s="43">
        <f>ዕቁብ!BK59/Sheet4!$C56</f>
        <v>1</v>
      </c>
      <c r="BK56" s="43">
        <f>ዕቁብ!BL59/Sheet4!$C56</f>
        <v>1</v>
      </c>
      <c r="BL56" s="43">
        <f>ዕቁብ!BM59/Sheet4!$C56</f>
        <v>1</v>
      </c>
      <c r="BM56" s="43">
        <f>ዕቁብ!BN59/Sheet4!$C56</f>
        <v>0</v>
      </c>
      <c r="BN56" s="43">
        <f>ዕቁብ!BO59/Sheet4!$C56</f>
        <v>2</v>
      </c>
      <c r="BO56" s="43">
        <f>ዕቁብ!BP59/Sheet4!$C56</f>
        <v>1</v>
      </c>
      <c r="BP56" s="43">
        <f>ዕቁብ!BQ59/Sheet4!$C56</f>
        <v>1</v>
      </c>
      <c r="BQ56" s="43">
        <f>ዕቁብ!BR59/Sheet4!$C56</f>
        <v>0</v>
      </c>
      <c r="BR56" s="43">
        <f>ዕቁብ!BS59/Sheet4!$C56</f>
        <v>2</v>
      </c>
      <c r="BS56" s="43">
        <f>ዕቁብ!BT59/Sheet4!$C56</f>
        <v>1</v>
      </c>
      <c r="BT56" s="43">
        <f>ዕቁብ!BU59/Sheet4!$C56</f>
        <v>1</v>
      </c>
      <c r="BU56" s="43">
        <f>ዕቁብ!BV59/Sheet4!$C56</f>
        <v>0</v>
      </c>
      <c r="BV56" s="43">
        <f>ዕቁብ!BW59/Sheet4!$C56</f>
        <v>0</v>
      </c>
      <c r="BW56" s="43">
        <f>ዕቁብ!BX59/Sheet4!$C56</f>
        <v>3</v>
      </c>
      <c r="BX56" s="43">
        <f>ዕቁብ!BY59/Sheet4!$C56</f>
        <v>0</v>
      </c>
      <c r="BY56" s="43">
        <f>ዕቁብ!BZ59/Sheet4!$C56</f>
        <v>0</v>
      </c>
      <c r="BZ56" s="43">
        <f>ዕቁብ!CA59/Sheet4!$C56</f>
        <v>2</v>
      </c>
      <c r="CA56" s="43">
        <f>ዕቁብ!CB59/Sheet4!$C56</f>
        <v>2</v>
      </c>
      <c r="CB56" s="43">
        <f>ዕቁብ!CC59/Sheet4!$C56</f>
        <v>1</v>
      </c>
      <c r="CC56" s="43">
        <f>ዕቁብ!CD59/Sheet4!$C56</f>
        <v>1</v>
      </c>
      <c r="CD56" s="43">
        <f>ዕቁብ!CE59/Sheet4!$C56</f>
        <v>0</v>
      </c>
      <c r="CE56" s="43">
        <f>ዕቁብ!CF59/Sheet4!$C56</f>
        <v>2</v>
      </c>
      <c r="CF56" s="43">
        <f>ዕቁብ!CG59/Sheet4!$C56</f>
        <v>0</v>
      </c>
      <c r="CG56" s="43">
        <f>ዕቁብ!CH59/Sheet4!$C56</f>
        <v>2</v>
      </c>
      <c r="CH56" s="43">
        <f>ዕቁብ!CI59/Sheet4!$C56</f>
        <v>0</v>
      </c>
      <c r="CI56" s="43">
        <f>ዕቁብ!CJ59/Sheet4!$C56</f>
        <v>2</v>
      </c>
      <c r="CJ56" s="43">
        <f>ዕቁብ!CK59/Sheet4!$C56</f>
        <v>0</v>
      </c>
      <c r="CK56" s="43">
        <f>ዕቁብ!CL59/Sheet4!$C56</f>
        <v>0</v>
      </c>
      <c r="CL56" s="43">
        <f>ዕቁብ!CM59/Sheet4!$C56</f>
        <v>2</v>
      </c>
      <c r="CM56" s="43">
        <f>ዕቁብ!CN59/Sheet4!$C56</f>
        <v>1</v>
      </c>
      <c r="CN56" s="43">
        <f>ዕቁብ!CO59/Sheet4!$C56</f>
        <v>1</v>
      </c>
      <c r="CO56" s="43">
        <f>ዕቁብ!CP59/Sheet4!$C56</f>
        <v>0</v>
      </c>
      <c r="CP56" s="43">
        <f>ዕቁብ!CQ59/Sheet4!$C56</f>
        <v>2</v>
      </c>
      <c r="CQ56" s="43">
        <f>ዕቁብ!CR59/Sheet4!$C56</f>
        <v>1</v>
      </c>
      <c r="CR56" s="43">
        <f>ዕቁብ!CS59/Sheet4!$C56</f>
        <v>1</v>
      </c>
      <c r="CS56" s="43">
        <f>ዕቁብ!CT59/Sheet4!$C56</f>
        <v>1</v>
      </c>
      <c r="CT56" s="43">
        <f>ዕቁብ!CU59/Sheet4!$C56</f>
        <v>0</v>
      </c>
      <c r="CU56" s="43">
        <f>ዕቁብ!CV59/Sheet4!$C56</f>
        <v>2</v>
      </c>
      <c r="CV56" s="43">
        <f>ዕቁብ!CW59/Sheet4!$C56</f>
        <v>1</v>
      </c>
      <c r="CW56" s="43">
        <f>ዕቁብ!CX59/Sheet4!$C56</f>
        <v>1</v>
      </c>
      <c r="CX56" s="43">
        <f>ዕቁብ!CY59/Sheet4!$C56</f>
        <v>0</v>
      </c>
      <c r="CY56" s="43">
        <f>ዕቁብ!CZ59/Sheet4!$C56</f>
        <v>2</v>
      </c>
      <c r="CZ56" s="43">
        <f>ዕቁብ!DA59/Sheet4!$C56</f>
        <v>1</v>
      </c>
      <c r="DA56" s="43">
        <f>ዕቁብ!DB59/Sheet4!$C56</f>
        <v>1</v>
      </c>
      <c r="DB56" s="43">
        <f>ዕቁብ!DC59/Sheet4!$C56</f>
        <v>0</v>
      </c>
      <c r="DC56" s="43">
        <f>ዕቁብ!DD59/Sheet4!$C56</f>
        <v>2</v>
      </c>
      <c r="DD56" s="43">
        <f>ዕቁብ!DE59/Sheet4!$C56</f>
        <v>1</v>
      </c>
      <c r="DE56" s="43">
        <f>ዕቁብ!DF59/Sheet4!$C56</f>
        <v>0</v>
      </c>
      <c r="DF56" s="43">
        <f>ዕቁብ!DG59/Sheet4!$C56</f>
        <v>0</v>
      </c>
      <c r="DG56" s="43">
        <f>ዕቁብ!DH59/Sheet4!$C56</f>
        <v>3</v>
      </c>
      <c r="DH56" s="43">
        <f>ዕቁብ!DI59/Sheet4!$C56</f>
        <v>0</v>
      </c>
      <c r="DI56" s="43">
        <f>ዕቁብ!DJ59/Sheet4!$C56</f>
        <v>0</v>
      </c>
      <c r="DJ56" s="43">
        <f>ዕቁብ!DK59/Sheet4!$C56</f>
        <v>0</v>
      </c>
      <c r="DK56" s="43">
        <f>ዕቁብ!DL59/Sheet4!$C56</f>
        <v>0</v>
      </c>
      <c r="DL56" s="43">
        <f>ዕቁብ!DM59/Sheet4!$C56</f>
        <v>0</v>
      </c>
      <c r="DM56" s="43">
        <f>ዕቁብ!DN59/Sheet4!$C56</f>
        <v>0</v>
      </c>
      <c r="DN56" s="43">
        <f>ዕቁብ!DO59/Sheet4!$C56</f>
        <v>0</v>
      </c>
      <c r="DO56" s="43">
        <f>ዕቁብ!DP59/Sheet4!$C56</f>
        <v>0</v>
      </c>
      <c r="DP56" s="43">
        <f>ዕቁብ!DQ59/Sheet4!$C56</f>
        <v>0</v>
      </c>
      <c r="DQ56" s="43">
        <f>ዕቁብ!DR59/Sheet4!$C56</f>
        <v>0</v>
      </c>
    </row>
    <row r="57" spans="1:121" ht="15.75" customHeight="1" x14ac:dyDescent="0.3">
      <c r="A57" s="40">
        <f>ዕቁብ!A60</f>
        <v>54</v>
      </c>
      <c r="B57" s="40" t="str">
        <f>ዕቁብ!B60</f>
        <v>ሽመልስ ሽብሩ</v>
      </c>
      <c r="C57" s="30">
        <f>ዕቁብ!C60</f>
        <v>21000</v>
      </c>
      <c r="D57" s="43">
        <f>ዕቁብ!E60/Sheet4!$C57</f>
        <v>1</v>
      </c>
      <c r="E57" s="43">
        <f>ዕቁብ!F60/Sheet4!$C57</f>
        <v>1</v>
      </c>
      <c r="F57" s="43">
        <f>ዕቁብ!G60/Sheet4!$C57</f>
        <v>1</v>
      </c>
      <c r="G57" s="43">
        <f>ዕቁብ!H60/Sheet4!$C57</f>
        <v>1</v>
      </c>
      <c r="H57" s="43">
        <f>ዕቁብ!I60/Sheet4!$C57</f>
        <v>1</v>
      </c>
      <c r="I57" s="43">
        <f>ዕቁብ!J60/Sheet4!$C57</f>
        <v>1</v>
      </c>
      <c r="J57" s="43">
        <f>ዕቁብ!K60/Sheet4!$C57</f>
        <v>1</v>
      </c>
      <c r="K57" s="43">
        <f>ዕቁብ!L60/Sheet4!$C57</f>
        <v>1</v>
      </c>
      <c r="L57" s="43">
        <f>ዕቁብ!M60/Sheet4!$C57</f>
        <v>1</v>
      </c>
      <c r="M57" s="43">
        <f>ዕቁብ!N60/Sheet4!$C57</f>
        <v>1</v>
      </c>
      <c r="N57" s="43">
        <f>ዕቁብ!O60/Sheet4!$C57</f>
        <v>1</v>
      </c>
      <c r="O57" s="43">
        <f>ዕቁብ!P60/Sheet4!$C57</f>
        <v>1</v>
      </c>
      <c r="P57" s="43">
        <f>ዕቁብ!Q60/Sheet4!$C57</f>
        <v>1</v>
      </c>
      <c r="Q57" s="43">
        <f>ዕቁብ!R60/Sheet4!$C57</f>
        <v>1</v>
      </c>
      <c r="R57" s="43">
        <f>ዕቁብ!S60/Sheet4!$C57</f>
        <v>1</v>
      </c>
      <c r="S57" s="43">
        <f>ዕቁብ!T60/Sheet4!$C57</f>
        <v>1</v>
      </c>
      <c r="T57" s="43">
        <f>ዕቁብ!U60/Sheet4!$C57</f>
        <v>1</v>
      </c>
      <c r="U57" s="43">
        <f>ዕቁብ!V60/Sheet4!$C57</f>
        <v>1</v>
      </c>
      <c r="V57" s="43">
        <f>ዕቁብ!W60/Sheet4!$C57</f>
        <v>1</v>
      </c>
      <c r="W57" s="43">
        <f>ዕቁብ!X60/Sheet4!$C57</f>
        <v>1</v>
      </c>
      <c r="X57" s="43">
        <f>ዕቁብ!Y60/Sheet4!$C57</f>
        <v>1</v>
      </c>
      <c r="Y57" s="43">
        <f>ዕቁብ!Z60/Sheet4!$C57</f>
        <v>1</v>
      </c>
      <c r="Z57" s="43">
        <f>ዕቁብ!AA60/Sheet4!$C57</f>
        <v>1</v>
      </c>
      <c r="AA57" s="43">
        <f>ዕቁብ!AB60/Sheet4!$C57</f>
        <v>1</v>
      </c>
      <c r="AB57" s="43">
        <f>ዕቁብ!AC60/Sheet4!$C57</f>
        <v>1</v>
      </c>
      <c r="AC57" s="43">
        <f>ዕቁብ!AD60/Sheet4!$C57</f>
        <v>1</v>
      </c>
      <c r="AD57" s="43">
        <f>ዕቁብ!AE60/Sheet4!$C57</f>
        <v>1</v>
      </c>
      <c r="AE57" s="43">
        <f>ዕቁብ!AF60/Sheet4!$C57</f>
        <v>1</v>
      </c>
      <c r="AF57" s="43">
        <f>ዕቁብ!AG60/Sheet4!$C57</f>
        <v>1</v>
      </c>
      <c r="AG57" s="43">
        <f>ዕቁብ!AH60/Sheet4!$C57</f>
        <v>1</v>
      </c>
      <c r="AH57" s="43">
        <f>ዕቁብ!AI60/Sheet4!$C57</f>
        <v>1</v>
      </c>
      <c r="AI57" s="43">
        <f>ዕቁብ!AJ60/Sheet4!$C57</f>
        <v>1</v>
      </c>
      <c r="AJ57" s="43">
        <f>ዕቁብ!AK60/Sheet4!$C57</f>
        <v>0</v>
      </c>
      <c r="AK57" s="43">
        <f>ዕቁብ!AL60/Sheet4!$C57</f>
        <v>1</v>
      </c>
      <c r="AL57" s="43">
        <f>ዕቁብ!AM60/Sheet4!$C57</f>
        <v>0</v>
      </c>
      <c r="AM57" s="43">
        <f>ዕቁብ!AN60/Sheet4!$C57</f>
        <v>2</v>
      </c>
      <c r="AN57" s="43">
        <f>ዕቁብ!AO60/Sheet4!$C57</f>
        <v>1</v>
      </c>
      <c r="AO57" s="43">
        <f>ዕቁብ!AP60/Sheet4!$C57</f>
        <v>1</v>
      </c>
      <c r="AP57" s="43">
        <f>ዕቁብ!AQ60/Sheet4!$C57</f>
        <v>0</v>
      </c>
      <c r="AQ57" s="43">
        <f>ዕቁብ!AR60/Sheet4!$C57</f>
        <v>2</v>
      </c>
      <c r="AR57" s="43">
        <f>ዕቁብ!AS60/Sheet4!$C57</f>
        <v>0</v>
      </c>
      <c r="AS57" s="43">
        <f>ዕቁብ!AT60/Sheet4!$C57</f>
        <v>2</v>
      </c>
      <c r="AT57" s="43">
        <f>ዕቁብ!AU60/Sheet4!$C57</f>
        <v>1</v>
      </c>
      <c r="AU57" s="43">
        <f>ዕቁብ!AV60/Sheet4!$C57</f>
        <v>0</v>
      </c>
      <c r="AV57" s="43">
        <f>ዕቁብ!AW60/Sheet4!$C57</f>
        <v>0</v>
      </c>
      <c r="AW57" s="43">
        <f>ዕቁብ!AX60/Sheet4!$C57</f>
        <v>0</v>
      </c>
      <c r="AX57" s="43">
        <f>ዕቁብ!AY60/Sheet4!$C57</f>
        <v>0</v>
      </c>
      <c r="AY57" s="43">
        <f>ዕቁብ!AZ60/Sheet4!$C57</f>
        <v>0</v>
      </c>
      <c r="AZ57" s="43">
        <f>ዕቁብ!BA60/Sheet4!$C57</f>
        <v>0</v>
      </c>
      <c r="BA57" s="43">
        <f>ዕቁብ!BB60/Sheet4!$C57</f>
        <v>0</v>
      </c>
      <c r="BB57" s="43">
        <f>ዕቁብ!BC60/Sheet4!$C57</f>
        <v>0</v>
      </c>
      <c r="BC57" s="43">
        <f>ዕቁብ!BD60/Sheet4!$C57</f>
        <v>0</v>
      </c>
      <c r="BD57" s="43">
        <f>ዕቁብ!BE60/Sheet4!$C57</f>
        <v>0</v>
      </c>
      <c r="BE57" s="43">
        <f>ዕቁብ!BF60/Sheet4!$C57</f>
        <v>0</v>
      </c>
      <c r="BF57" s="43">
        <f>ዕቁብ!BG60/Sheet4!$C57</f>
        <v>0</v>
      </c>
      <c r="BG57" s="43">
        <f>ዕቁብ!BH60/Sheet4!$C57</f>
        <v>0</v>
      </c>
      <c r="BH57" s="43">
        <f>ዕቁብ!BI60/Sheet4!$C57</f>
        <v>0</v>
      </c>
      <c r="BI57" s="43">
        <f>ዕቁብ!BJ60/Sheet4!$C57</f>
        <v>0</v>
      </c>
      <c r="BJ57" s="43">
        <f>ዕቁብ!BK60/Sheet4!$C57</f>
        <v>0</v>
      </c>
      <c r="BK57" s="43">
        <f>ዕቁብ!BL60/Sheet4!$C57</f>
        <v>10</v>
      </c>
      <c r="BL57" s="43">
        <f>ዕቁብ!BM60/Sheet4!$C57</f>
        <v>0</v>
      </c>
      <c r="BM57" s="43">
        <f>ዕቁብ!BN60/Sheet4!$C57</f>
        <v>0</v>
      </c>
      <c r="BN57" s="43">
        <f>ዕቁብ!BO60/Sheet4!$C57</f>
        <v>0</v>
      </c>
      <c r="BO57" s="43">
        <f>ዕቁብ!BP60/Sheet4!$C57</f>
        <v>0</v>
      </c>
      <c r="BP57" s="43">
        <f>ዕቁብ!BQ60/Sheet4!$C57</f>
        <v>8</v>
      </c>
      <c r="BQ57" s="43">
        <f>ዕቁብ!BR60/Sheet4!$C57</f>
        <v>0</v>
      </c>
      <c r="BR57" s="43">
        <f>ዕቁብ!BS60/Sheet4!$C57</f>
        <v>0</v>
      </c>
      <c r="BS57" s="43">
        <f>ዕቁብ!BT60/Sheet4!$C57</f>
        <v>2</v>
      </c>
      <c r="BT57" s="43">
        <f>ዕቁብ!BU60/Sheet4!$C57</f>
        <v>0</v>
      </c>
      <c r="BU57" s="43">
        <f>ዕቁብ!BV60/Sheet4!$C57</f>
        <v>0</v>
      </c>
      <c r="BV57" s="43">
        <f>ዕቁብ!BW60/Sheet4!$C57</f>
        <v>1</v>
      </c>
      <c r="BW57" s="43">
        <f>ዕቁብ!BX60/Sheet4!$C57</f>
        <v>0</v>
      </c>
      <c r="BX57" s="43">
        <f>ዕቁብ!BY60/Sheet4!$C57</f>
        <v>0</v>
      </c>
      <c r="BY57" s="43">
        <f>ዕቁብ!BZ60/Sheet4!$C57</f>
        <v>0</v>
      </c>
      <c r="BZ57" s="43">
        <f>ዕቁብ!CA60/Sheet4!$C57</f>
        <v>0</v>
      </c>
      <c r="CA57" s="43">
        <f>ዕቁብ!CB60/Sheet4!$C57</f>
        <v>0</v>
      </c>
      <c r="CB57" s="43">
        <f>ዕቁብ!CC60/Sheet4!$C57</f>
        <v>0</v>
      </c>
      <c r="CC57" s="43">
        <f>ዕቁብ!CD60/Sheet4!$C57</f>
        <v>0</v>
      </c>
      <c r="CD57" s="43">
        <f>ዕቁብ!CE60/Sheet4!$C57</f>
        <v>0</v>
      </c>
      <c r="CE57" s="43">
        <f>ዕቁብ!CF60/Sheet4!$C57</f>
        <v>0</v>
      </c>
      <c r="CF57" s="43">
        <f>ዕቁብ!CG60/Sheet4!$C57</f>
        <v>0</v>
      </c>
      <c r="CG57" s="43">
        <f>ዕቁብ!CH60/Sheet4!$C57</f>
        <v>0</v>
      </c>
      <c r="CH57" s="43">
        <f>ዕቁብ!CI60/Sheet4!$C57</f>
        <v>0</v>
      </c>
      <c r="CI57" s="43">
        <f>ዕቁብ!CJ60/Sheet4!$C57</f>
        <v>0</v>
      </c>
      <c r="CJ57" s="43">
        <f>ዕቁብ!CK60/Sheet4!$C57</f>
        <v>14</v>
      </c>
      <c r="CK57" s="43">
        <f>ዕቁብ!CL60/Sheet4!$C57</f>
        <v>0</v>
      </c>
      <c r="CL57" s="43">
        <f>ዕቁብ!CM60/Sheet4!$C57</f>
        <v>0</v>
      </c>
      <c r="CM57" s="43">
        <f>ዕቁብ!CN60/Sheet4!$C57</f>
        <v>0</v>
      </c>
      <c r="CN57" s="43">
        <f>ዕቁብ!CO60/Sheet4!$C57</f>
        <v>0</v>
      </c>
      <c r="CO57" s="43">
        <f>ዕቁብ!CP60/Sheet4!$C57</f>
        <v>0</v>
      </c>
      <c r="CP57" s="43">
        <f>ዕቁብ!CQ60/Sheet4!$C57</f>
        <v>0</v>
      </c>
      <c r="CQ57" s="43">
        <f>ዕቁብ!CR60/Sheet4!$C57</f>
        <v>0</v>
      </c>
      <c r="CR57" s="43">
        <f>ዕቁብ!CS60/Sheet4!$C57</f>
        <v>0</v>
      </c>
      <c r="CS57" s="43">
        <f>ዕቁብ!CT60/Sheet4!$C57</f>
        <v>0</v>
      </c>
      <c r="CT57" s="43">
        <f>ዕቁብ!CU60/Sheet4!$C57</f>
        <v>0</v>
      </c>
      <c r="CU57" s="43">
        <f>ዕቁብ!CV60/Sheet4!$C57</f>
        <v>0</v>
      </c>
      <c r="CV57" s="43">
        <f>ዕቁብ!CW60/Sheet4!$C57</f>
        <v>0</v>
      </c>
      <c r="CW57" s="43">
        <f>ዕቁብ!CX60/Sheet4!$C57</f>
        <v>0</v>
      </c>
      <c r="CX57" s="43">
        <f>ዕቁብ!CY60/Sheet4!$C57</f>
        <v>0</v>
      </c>
      <c r="CY57" s="43">
        <f>ዕቁብ!CZ60/Sheet4!$C57</f>
        <v>0</v>
      </c>
      <c r="CZ57" s="43">
        <f>ዕቁብ!DA60/Sheet4!$C57</f>
        <v>0</v>
      </c>
      <c r="DA57" s="43">
        <f>ዕቁብ!DB60/Sheet4!$C57</f>
        <v>0</v>
      </c>
      <c r="DB57" s="43">
        <f>ዕቁብ!DC60/Sheet4!$C57</f>
        <v>0</v>
      </c>
      <c r="DC57" s="43">
        <f>ዕቁብ!DD60/Sheet4!$C57</f>
        <v>0</v>
      </c>
      <c r="DD57" s="43">
        <f>ዕቁብ!DE60/Sheet4!$C57</f>
        <v>0</v>
      </c>
      <c r="DE57" s="43">
        <f>ዕቁብ!DF60/Sheet4!$C57</f>
        <v>0</v>
      </c>
      <c r="DF57" s="43">
        <f>ዕቁብ!DG60/Sheet4!$C57</f>
        <v>0</v>
      </c>
      <c r="DG57" s="43">
        <f>ዕቁብ!DH60/Sheet4!$C57</f>
        <v>22</v>
      </c>
      <c r="DH57" s="43">
        <f>ዕቁብ!DI60/Sheet4!$C57</f>
        <v>0</v>
      </c>
      <c r="DI57" s="43">
        <f>ዕቁብ!DJ60/Sheet4!$C57</f>
        <v>0</v>
      </c>
      <c r="DJ57" s="43">
        <f>ዕቁብ!DK60/Sheet4!$C57</f>
        <v>0</v>
      </c>
      <c r="DK57" s="43">
        <f>ዕቁብ!DL60/Sheet4!$C57</f>
        <v>0</v>
      </c>
      <c r="DL57" s="43">
        <f>ዕቁብ!DM60/Sheet4!$C57</f>
        <v>0</v>
      </c>
      <c r="DM57" s="43">
        <f>ዕቁብ!DN60/Sheet4!$C57</f>
        <v>0</v>
      </c>
      <c r="DN57" s="43">
        <f>ዕቁብ!DO60/Sheet4!$C57</f>
        <v>0</v>
      </c>
      <c r="DO57" s="43">
        <f>ዕቁብ!DP60/Sheet4!$C57</f>
        <v>0</v>
      </c>
      <c r="DP57" s="43">
        <f>ዕቁብ!DQ60/Sheet4!$C57</f>
        <v>0</v>
      </c>
      <c r="DQ57" s="43">
        <f>ዕቁብ!DR60/Sheet4!$C57</f>
        <v>0</v>
      </c>
    </row>
    <row r="58" spans="1:121" ht="15.75" customHeight="1" x14ac:dyDescent="0.3">
      <c r="A58" s="40">
        <f>ዕቁብ!A61</f>
        <v>55</v>
      </c>
      <c r="B58" s="40" t="str">
        <f>ዕቁብ!B61</f>
        <v>ጌታቸው በቀለ</v>
      </c>
      <c r="C58" s="30">
        <f>ዕቁብ!C61</f>
        <v>21000</v>
      </c>
      <c r="D58" s="43">
        <f>ዕቁብ!E61/Sheet4!$C58</f>
        <v>1</v>
      </c>
      <c r="E58" s="43">
        <f>ዕቁብ!F61/Sheet4!$C58</f>
        <v>1</v>
      </c>
      <c r="F58" s="43">
        <f>ዕቁብ!G61/Sheet4!$C58</f>
        <v>1</v>
      </c>
      <c r="G58" s="43">
        <f>ዕቁብ!H61/Sheet4!$C58</f>
        <v>1</v>
      </c>
      <c r="H58" s="43">
        <f>ዕቁብ!I61/Sheet4!$C58</f>
        <v>1</v>
      </c>
      <c r="I58" s="43">
        <f>ዕቁብ!J61/Sheet4!$C58</f>
        <v>1</v>
      </c>
      <c r="J58" s="43">
        <f>ዕቁብ!K61/Sheet4!$C58</f>
        <v>1</v>
      </c>
      <c r="K58" s="43">
        <f>ዕቁብ!L61/Sheet4!$C58</f>
        <v>1</v>
      </c>
      <c r="L58" s="43">
        <f>ዕቁብ!M61/Sheet4!$C58</f>
        <v>1</v>
      </c>
      <c r="M58" s="43">
        <f>ዕቁብ!N61/Sheet4!$C58</f>
        <v>1</v>
      </c>
      <c r="N58" s="43">
        <f>ዕቁብ!O61/Sheet4!$C58</f>
        <v>1</v>
      </c>
      <c r="O58" s="43">
        <f>ዕቁብ!P61/Sheet4!$C58</f>
        <v>1</v>
      </c>
      <c r="P58" s="43">
        <f>ዕቁብ!Q61/Sheet4!$C58</f>
        <v>1</v>
      </c>
      <c r="Q58" s="43">
        <f>ዕቁብ!R61/Sheet4!$C58</f>
        <v>1</v>
      </c>
      <c r="R58" s="43">
        <f>ዕቁብ!S61/Sheet4!$C58</f>
        <v>1</v>
      </c>
      <c r="S58" s="43">
        <f>ዕቁብ!T61/Sheet4!$C58</f>
        <v>1</v>
      </c>
      <c r="T58" s="43">
        <f>ዕቁብ!U61/Sheet4!$C58</f>
        <v>1</v>
      </c>
      <c r="U58" s="43">
        <f>ዕቁብ!V61/Sheet4!$C58</f>
        <v>1</v>
      </c>
      <c r="V58" s="43">
        <f>ዕቁብ!W61/Sheet4!$C58</f>
        <v>1</v>
      </c>
      <c r="W58" s="43">
        <f>ዕቁብ!X61/Sheet4!$C58</f>
        <v>1</v>
      </c>
      <c r="X58" s="43">
        <f>ዕቁብ!Y61/Sheet4!$C58</f>
        <v>1</v>
      </c>
      <c r="Y58" s="43">
        <f>ዕቁብ!Z61/Sheet4!$C58</f>
        <v>1</v>
      </c>
      <c r="Z58" s="43">
        <f>ዕቁብ!AA61/Sheet4!$C58</f>
        <v>1</v>
      </c>
      <c r="AA58" s="43">
        <f>ዕቁብ!AB61/Sheet4!$C58</f>
        <v>1</v>
      </c>
      <c r="AB58" s="43">
        <f>ዕቁብ!AC61/Sheet4!$C58</f>
        <v>1</v>
      </c>
      <c r="AC58" s="43">
        <f>ዕቁብ!AD61/Sheet4!$C58</f>
        <v>1</v>
      </c>
      <c r="AD58" s="43">
        <f>ዕቁብ!AE61/Sheet4!$C58</f>
        <v>0</v>
      </c>
      <c r="AE58" s="43">
        <f>ዕቁብ!AF61/Sheet4!$C58</f>
        <v>2</v>
      </c>
      <c r="AF58" s="43">
        <f>ዕቁብ!AG61/Sheet4!$C58</f>
        <v>1</v>
      </c>
      <c r="AG58" s="43">
        <f>ዕቁብ!AH61/Sheet4!$C58</f>
        <v>1</v>
      </c>
      <c r="AH58" s="43">
        <f>ዕቁብ!AI61/Sheet4!$C58</f>
        <v>1</v>
      </c>
      <c r="AI58" s="43">
        <f>ዕቁብ!AJ61/Sheet4!$C58</f>
        <v>1</v>
      </c>
      <c r="AJ58" s="43">
        <f>ዕቁብ!AK61/Sheet4!$C58</f>
        <v>1</v>
      </c>
      <c r="AK58" s="43">
        <f>ዕቁብ!AL61/Sheet4!$C58</f>
        <v>1</v>
      </c>
      <c r="AL58" s="43">
        <f>ዕቁብ!AM61/Sheet4!$C58</f>
        <v>1</v>
      </c>
      <c r="AM58" s="43">
        <f>ዕቁብ!AN61/Sheet4!$C58</f>
        <v>1</v>
      </c>
      <c r="AN58" s="43">
        <f>ዕቁብ!AO61/Sheet4!$C58</f>
        <v>1</v>
      </c>
      <c r="AO58" s="43">
        <f>ዕቁብ!AP61/Sheet4!$C58</f>
        <v>1</v>
      </c>
      <c r="AP58" s="43">
        <f>ዕቁብ!AQ61/Sheet4!$C58</f>
        <v>1</v>
      </c>
      <c r="AQ58" s="43">
        <f>ዕቁብ!AR61/Sheet4!$C58</f>
        <v>1</v>
      </c>
      <c r="AR58" s="43">
        <f>ዕቁብ!AS61/Sheet4!$C58</f>
        <v>1</v>
      </c>
      <c r="AS58" s="43">
        <f>ዕቁብ!AT61/Sheet4!$C58</f>
        <v>1</v>
      </c>
      <c r="AT58" s="43">
        <f>ዕቁብ!AU61/Sheet4!$C58</f>
        <v>1</v>
      </c>
      <c r="AU58" s="43">
        <f>ዕቁብ!AV61/Sheet4!$C58</f>
        <v>1</v>
      </c>
      <c r="AV58" s="43">
        <f>ዕቁብ!AW61/Sheet4!$C58</f>
        <v>1</v>
      </c>
      <c r="AW58" s="43">
        <f>ዕቁብ!AX61/Sheet4!$C58</f>
        <v>1</v>
      </c>
      <c r="AX58" s="43">
        <f>ዕቁብ!AY61/Sheet4!$C58</f>
        <v>1</v>
      </c>
      <c r="AY58" s="43">
        <f>ዕቁብ!AZ61/Sheet4!$C58</f>
        <v>1</v>
      </c>
      <c r="AZ58" s="43">
        <f>ዕቁብ!BA61/Sheet4!$C58</f>
        <v>1</v>
      </c>
      <c r="BA58" s="43">
        <f>ዕቁብ!BB61/Sheet4!$C58</f>
        <v>1</v>
      </c>
      <c r="BB58" s="43">
        <f>ዕቁብ!BC61/Sheet4!$C58</f>
        <v>1</v>
      </c>
      <c r="BC58" s="43">
        <f>ዕቁብ!BD61/Sheet4!$C58</f>
        <v>1</v>
      </c>
      <c r="BD58" s="43">
        <f>ዕቁብ!BE61/Sheet4!$C58</f>
        <v>1</v>
      </c>
      <c r="BE58" s="43">
        <f>ዕቁብ!BF61/Sheet4!$C58</f>
        <v>1</v>
      </c>
      <c r="BF58" s="43">
        <f>ዕቁብ!BG61/Sheet4!$C58</f>
        <v>1</v>
      </c>
      <c r="BG58" s="43">
        <f>ዕቁብ!BH61/Sheet4!$C58</f>
        <v>1</v>
      </c>
      <c r="BH58" s="43">
        <f>ዕቁብ!BI61/Sheet4!$C58</f>
        <v>1</v>
      </c>
      <c r="BI58" s="43">
        <f>ዕቁብ!BJ61/Sheet4!$C58</f>
        <v>1</v>
      </c>
      <c r="BJ58" s="43">
        <f>ዕቁብ!BK61/Sheet4!$C58</f>
        <v>1</v>
      </c>
      <c r="BK58" s="43">
        <f>ዕቁብ!BL61/Sheet4!$C58</f>
        <v>1</v>
      </c>
      <c r="BL58" s="43">
        <f>ዕቁብ!BM61/Sheet4!$C58</f>
        <v>1</v>
      </c>
      <c r="BM58" s="43">
        <f>ዕቁብ!BN61/Sheet4!$C58</f>
        <v>1</v>
      </c>
      <c r="BN58" s="43">
        <f>ዕቁብ!BO61/Sheet4!$C58</f>
        <v>1</v>
      </c>
      <c r="BO58" s="43">
        <f>ዕቁብ!BP61/Sheet4!$C58</f>
        <v>1</v>
      </c>
      <c r="BP58" s="43">
        <f>ዕቁብ!BQ61/Sheet4!$C58</f>
        <v>1</v>
      </c>
      <c r="BQ58" s="43">
        <f>ዕቁብ!BR61/Sheet4!$C58</f>
        <v>1</v>
      </c>
      <c r="BR58" s="43">
        <f>ዕቁብ!BS61/Sheet4!$C58</f>
        <v>1</v>
      </c>
      <c r="BS58" s="43">
        <f>ዕቁብ!BT61/Sheet4!$C58</f>
        <v>1</v>
      </c>
      <c r="BT58" s="43">
        <f>ዕቁብ!BU61/Sheet4!$C58</f>
        <v>1</v>
      </c>
      <c r="BU58" s="43">
        <f>ዕቁብ!BV61/Sheet4!$C58</f>
        <v>1</v>
      </c>
      <c r="BV58" s="43">
        <f>ዕቁብ!BW61/Sheet4!$C58</f>
        <v>0</v>
      </c>
      <c r="BW58" s="43">
        <f>ዕቁብ!BX61/Sheet4!$C58</f>
        <v>2</v>
      </c>
      <c r="BX58" s="43">
        <f>ዕቁብ!BY61/Sheet4!$C58</f>
        <v>1</v>
      </c>
      <c r="BY58" s="43">
        <f>ዕቁብ!BZ61/Sheet4!$C58</f>
        <v>0</v>
      </c>
      <c r="BZ58" s="43">
        <f>ዕቁብ!CA61/Sheet4!$C58</f>
        <v>1</v>
      </c>
      <c r="CA58" s="43">
        <f>ዕቁብ!CB61/Sheet4!$C58</f>
        <v>1</v>
      </c>
      <c r="CB58" s="43">
        <f>ዕቁብ!CC61/Sheet4!$C58</f>
        <v>1</v>
      </c>
      <c r="CC58" s="43">
        <f>ዕቁብ!CD61/Sheet4!$C58</f>
        <v>1</v>
      </c>
      <c r="CD58" s="43">
        <f>ዕቁብ!CE61/Sheet4!$C58</f>
        <v>1</v>
      </c>
      <c r="CE58" s="43">
        <f>ዕቁብ!CF61/Sheet4!$C58</f>
        <v>1</v>
      </c>
      <c r="CF58" s="43">
        <f>ዕቁብ!CG61/Sheet4!$C58</f>
        <v>1</v>
      </c>
      <c r="CG58" s="43">
        <f>ዕቁብ!CH61/Sheet4!$C58</f>
        <v>1</v>
      </c>
      <c r="CH58" s="43">
        <f>ዕቁብ!CI61/Sheet4!$C58</f>
        <v>1</v>
      </c>
      <c r="CI58" s="43">
        <f>ዕቁብ!CJ61/Sheet4!$C58</f>
        <v>1</v>
      </c>
      <c r="CJ58" s="43">
        <f>ዕቁብ!CK61/Sheet4!$C58</f>
        <v>1</v>
      </c>
      <c r="CK58" s="43">
        <f>ዕቁብ!CL61/Sheet4!$C58</f>
        <v>1</v>
      </c>
      <c r="CL58" s="43">
        <f>ዕቁብ!CM61/Sheet4!$C58</f>
        <v>0</v>
      </c>
      <c r="CM58" s="43">
        <f>ዕቁብ!CN61/Sheet4!$C58</f>
        <v>2</v>
      </c>
      <c r="CN58" s="43">
        <f>ዕቁብ!CO61/Sheet4!$C58</f>
        <v>1</v>
      </c>
      <c r="CO58" s="43">
        <f>ዕቁብ!CP61/Sheet4!$C58</f>
        <v>1</v>
      </c>
      <c r="CP58" s="43">
        <f>ዕቁብ!CQ61/Sheet4!$C58</f>
        <v>1</v>
      </c>
      <c r="CQ58" s="43">
        <f>ዕቁብ!CR61/Sheet4!$C58</f>
        <v>1</v>
      </c>
      <c r="CR58" s="43">
        <f>ዕቁብ!CS61/Sheet4!$C58</f>
        <v>1</v>
      </c>
      <c r="CS58" s="43">
        <f>ዕቁብ!CT61/Sheet4!$C58</f>
        <v>1</v>
      </c>
      <c r="CT58" s="43">
        <f>ዕቁብ!CU61/Sheet4!$C58</f>
        <v>1</v>
      </c>
      <c r="CU58" s="43">
        <f>ዕቁብ!CV61/Sheet4!$C58</f>
        <v>1</v>
      </c>
      <c r="CV58" s="43">
        <f>ዕቁብ!CW61/Sheet4!$C58</f>
        <v>1</v>
      </c>
      <c r="CW58" s="43">
        <f>ዕቁብ!CX61/Sheet4!$C58</f>
        <v>0</v>
      </c>
      <c r="CX58" s="43">
        <f>ዕቁብ!CY61/Sheet4!$C58</f>
        <v>2</v>
      </c>
      <c r="CY58" s="43">
        <f>ዕቁብ!CZ61/Sheet4!$C58</f>
        <v>0</v>
      </c>
      <c r="CZ58" s="43">
        <f>ዕቁብ!DA61/Sheet4!$C58</f>
        <v>2</v>
      </c>
      <c r="DA58" s="43">
        <f>ዕቁብ!DB61/Sheet4!$C58</f>
        <v>1</v>
      </c>
      <c r="DB58" s="43">
        <f>ዕቁብ!DC61/Sheet4!$C58</f>
        <v>0</v>
      </c>
      <c r="DC58" s="43">
        <f>ዕቁብ!DD61/Sheet4!$C58</f>
        <v>2</v>
      </c>
      <c r="DD58" s="43">
        <f>ዕቁብ!DE61/Sheet4!$C58</f>
        <v>1</v>
      </c>
      <c r="DE58" s="43">
        <f>ዕቁብ!DF61/Sheet4!$C58</f>
        <v>0</v>
      </c>
      <c r="DF58" s="43">
        <f>ዕቁብ!DG61/Sheet4!$C58</f>
        <v>2</v>
      </c>
      <c r="DG58" s="43">
        <f>ዕቁብ!DH61/Sheet4!$C58</f>
        <v>0</v>
      </c>
      <c r="DH58" s="43">
        <f>ዕቁብ!DI61/Sheet4!$C58</f>
        <v>0</v>
      </c>
      <c r="DI58" s="43">
        <f>ዕቁብ!DJ61/Sheet4!$C58</f>
        <v>0</v>
      </c>
      <c r="DJ58" s="43">
        <f>ዕቁብ!DK61/Sheet4!$C58</f>
        <v>0</v>
      </c>
      <c r="DK58" s="43">
        <f>ዕቁብ!DL61/Sheet4!$C58</f>
        <v>0</v>
      </c>
      <c r="DL58" s="43">
        <f>ዕቁብ!DM61/Sheet4!$C58</f>
        <v>0</v>
      </c>
      <c r="DM58" s="43">
        <f>ዕቁብ!DN61/Sheet4!$C58</f>
        <v>0</v>
      </c>
      <c r="DN58" s="43">
        <f>ዕቁብ!DO61/Sheet4!$C58</f>
        <v>0</v>
      </c>
      <c r="DO58" s="43">
        <f>ዕቁብ!DP61/Sheet4!$C58</f>
        <v>0</v>
      </c>
      <c r="DP58" s="43">
        <f>ዕቁብ!DQ61/Sheet4!$C58</f>
        <v>0</v>
      </c>
      <c r="DQ58" s="43">
        <f>ዕቁብ!DR61/Sheet4!$C58</f>
        <v>0</v>
      </c>
    </row>
    <row r="59" spans="1:121" ht="15.75" customHeight="1" x14ac:dyDescent="0.3">
      <c r="A59" s="40">
        <f>ዕቁብ!A62</f>
        <v>56</v>
      </c>
      <c r="B59" s="40" t="str">
        <f>ዕቁብ!B62</f>
        <v>ከፈለኝ ፃዲቁ</v>
      </c>
      <c r="C59" s="30">
        <f>ዕቁብ!C62</f>
        <v>21000</v>
      </c>
      <c r="D59" s="43">
        <f>ዕቁብ!E62/Sheet4!$C59</f>
        <v>0</v>
      </c>
      <c r="E59" s="43">
        <f>ዕቁብ!F62/Sheet4!$C59</f>
        <v>0</v>
      </c>
      <c r="F59" s="43">
        <f>ዕቁብ!G62/Sheet4!$C59</f>
        <v>0</v>
      </c>
      <c r="G59" s="43">
        <f>ዕቁብ!H62/Sheet4!$C59</f>
        <v>0</v>
      </c>
      <c r="H59" s="43">
        <f>ዕቁብ!I62/Sheet4!$C59</f>
        <v>0</v>
      </c>
      <c r="I59" s="43">
        <f>ዕቁብ!J62/Sheet4!$C59</f>
        <v>0</v>
      </c>
      <c r="J59" s="43">
        <f>ዕቁብ!K62/Sheet4!$C59</f>
        <v>0</v>
      </c>
      <c r="K59" s="43">
        <f>ዕቁብ!L62/Sheet4!$C59</f>
        <v>0</v>
      </c>
      <c r="L59" s="43">
        <f>ዕቁብ!M62/Sheet4!$C59</f>
        <v>0</v>
      </c>
      <c r="M59" s="43">
        <f>ዕቁብ!N62/Sheet4!$C59</f>
        <v>0</v>
      </c>
      <c r="N59" s="43">
        <f>ዕቁብ!O62/Sheet4!$C59</f>
        <v>0</v>
      </c>
      <c r="O59" s="43">
        <f>ዕቁብ!P62/Sheet4!$C59</f>
        <v>0</v>
      </c>
      <c r="P59" s="43">
        <f>ዕቁብ!Q62/Sheet4!$C59</f>
        <v>0</v>
      </c>
      <c r="Q59" s="43">
        <f>ዕቁብ!R62/Sheet4!$C59</f>
        <v>0</v>
      </c>
      <c r="R59" s="43">
        <f>ዕቁብ!S62/Sheet4!$C59</f>
        <v>0</v>
      </c>
      <c r="S59" s="43">
        <f>ዕቁብ!T62/Sheet4!$C59</f>
        <v>0</v>
      </c>
      <c r="T59" s="43">
        <f>ዕቁብ!U62/Sheet4!$C59</f>
        <v>0</v>
      </c>
      <c r="U59" s="43">
        <f>ዕቁብ!V62/Sheet4!$C59</f>
        <v>0</v>
      </c>
      <c r="V59" s="43">
        <f>ዕቁብ!W62/Sheet4!$C59</f>
        <v>0</v>
      </c>
      <c r="W59" s="43">
        <f>ዕቁብ!X62/Sheet4!$C59</f>
        <v>0</v>
      </c>
      <c r="X59" s="43">
        <f>ዕቁብ!Y62/Sheet4!$C59</f>
        <v>0</v>
      </c>
      <c r="Y59" s="43">
        <f>ዕቁብ!Z62/Sheet4!$C59</f>
        <v>0</v>
      </c>
      <c r="Z59" s="43">
        <f>ዕቁብ!AA62/Sheet4!$C59</f>
        <v>0</v>
      </c>
      <c r="AA59" s="43">
        <f>ዕቁብ!AB62/Sheet4!$C59</f>
        <v>0</v>
      </c>
      <c r="AB59" s="43">
        <f>ዕቁብ!AC62/Sheet4!$C59</f>
        <v>0</v>
      </c>
      <c r="AC59" s="43">
        <f>ዕቁብ!AD62/Sheet4!$C59</f>
        <v>0</v>
      </c>
      <c r="AD59" s="43">
        <f>ዕቁብ!AE62/Sheet4!$C59</f>
        <v>0</v>
      </c>
      <c r="AE59" s="43">
        <f>ዕቁብ!AF62/Sheet4!$C59</f>
        <v>0</v>
      </c>
      <c r="AF59" s="43">
        <f>ዕቁብ!AG62/Sheet4!$C59</f>
        <v>0</v>
      </c>
      <c r="AG59" s="43">
        <f>ዕቁብ!AH62/Sheet4!$C59</f>
        <v>0</v>
      </c>
      <c r="AH59" s="43">
        <f>ዕቁብ!AI62/Sheet4!$C59</f>
        <v>0</v>
      </c>
      <c r="AI59" s="43">
        <f>ዕቁብ!AJ62/Sheet4!$C59</f>
        <v>0</v>
      </c>
      <c r="AJ59" s="43">
        <f>ዕቁብ!AK62/Sheet4!$C59</f>
        <v>0</v>
      </c>
      <c r="AK59" s="43">
        <f>ዕቁብ!AL62/Sheet4!$C59</f>
        <v>0</v>
      </c>
      <c r="AL59" s="43">
        <f>ዕቁብ!AM62/Sheet4!$C59</f>
        <v>0</v>
      </c>
      <c r="AM59" s="43">
        <f>ዕቁብ!AN62/Sheet4!$C59</f>
        <v>0</v>
      </c>
      <c r="AN59" s="43">
        <f>ዕቁብ!AO62/Sheet4!$C59</f>
        <v>0</v>
      </c>
      <c r="AO59" s="43">
        <f>ዕቁብ!AP62/Sheet4!$C59</f>
        <v>0</v>
      </c>
      <c r="AP59" s="43">
        <f>ዕቁብ!AQ62/Sheet4!$C59</f>
        <v>0</v>
      </c>
      <c r="AQ59" s="43">
        <f>ዕቁብ!AR62/Sheet4!$C59</f>
        <v>0</v>
      </c>
      <c r="AR59" s="43">
        <f>ዕቁብ!AS62/Sheet4!$C59</f>
        <v>0</v>
      </c>
      <c r="AS59" s="43">
        <f>ዕቁብ!AT62/Sheet4!$C59</f>
        <v>0</v>
      </c>
      <c r="AT59" s="43">
        <f>ዕቁብ!AU62/Sheet4!$C59</f>
        <v>0</v>
      </c>
      <c r="AU59" s="43">
        <f>ዕቁብ!AV62/Sheet4!$C59</f>
        <v>0</v>
      </c>
      <c r="AV59" s="43">
        <f>ዕቁብ!AW62/Sheet4!$C59</f>
        <v>0</v>
      </c>
      <c r="AW59" s="43">
        <f>ዕቁብ!AX62/Sheet4!$C59</f>
        <v>0</v>
      </c>
      <c r="AX59" s="43">
        <f>ዕቁብ!AY62/Sheet4!$C59</f>
        <v>0</v>
      </c>
      <c r="AY59" s="43">
        <f>ዕቁብ!AZ62/Sheet4!$C59</f>
        <v>0</v>
      </c>
      <c r="AZ59" s="43">
        <f>ዕቁብ!BA62/Sheet4!$C59</f>
        <v>0</v>
      </c>
      <c r="BA59" s="43">
        <f>ዕቁብ!BB62/Sheet4!$C59</f>
        <v>0</v>
      </c>
      <c r="BB59" s="43">
        <f>ዕቁብ!BC62/Sheet4!$C59</f>
        <v>0</v>
      </c>
      <c r="BC59" s="43">
        <f>ዕቁብ!BD62/Sheet4!$C59</f>
        <v>0</v>
      </c>
      <c r="BD59" s="43">
        <f>ዕቁብ!BE62/Sheet4!$C59</f>
        <v>0</v>
      </c>
      <c r="BE59" s="43">
        <f>ዕቁብ!BF62/Sheet4!$C59</f>
        <v>0</v>
      </c>
      <c r="BF59" s="43">
        <f>ዕቁብ!BG62/Sheet4!$C59</f>
        <v>0</v>
      </c>
      <c r="BG59" s="43">
        <f>ዕቁብ!BH62/Sheet4!$C59</f>
        <v>0</v>
      </c>
      <c r="BH59" s="43">
        <f>ዕቁብ!BI62/Sheet4!$C59</f>
        <v>0</v>
      </c>
      <c r="BI59" s="43">
        <f>ዕቁብ!BJ62/Sheet4!$C59</f>
        <v>0</v>
      </c>
      <c r="BJ59" s="43">
        <f>ዕቁብ!BK62/Sheet4!$C59</f>
        <v>0</v>
      </c>
      <c r="BK59" s="43">
        <f>ዕቁብ!BL62/Sheet4!$C59</f>
        <v>0</v>
      </c>
      <c r="BL59" s="43">
        <f>ዕቁብ!BM62/Sheet4!$C59</f>
        <v>0</v>
      </c>
      <c r="BM59" s="43">
        <f>ዕቁብ!BN62/Sheet4!$C59</f>
        <v>0</v>
      </c>
      <c r="BN59" s="43">
        <f>ዕቁብ!BO62/Sheet4!$C59</f>
        <v>0</v>
      </c>
      <c r="BO59" s="43">
        <f>ዕቁብ!BP62/Sheet4!$C59</f>
        <v>0</v>
      </c>
      <c r="BP59" s="43">
        <f>ዕቁብ!BQ62/Sheet4!$C59</f>
        <v>0</v>
      </c>
      <c r="BQ59" s="43">
        <f>ዕቁብ!BR62/Sheet4!$C59</f>
        <v>0</v>
      </c>
      <c r="BR59" s="43">
        <f>ዕቁብ!BS62/Sheet4!$C59</f>
        <v>0</v>
      </c>
      <c r="BS59" s="43">
        <f>ዕቁብ!BT62/Sheet4!$C59</f>
        <v>0</v>
      </c>
      <c r="BT59" s="43">
        <f>ዕቁብ!BU62/Sheet4!$C59</f>
        <v>0</v>
      </c>
      <c r="BU59" s="43">
        <f>ዕቁብ!BV62/Sheet4!$C59</f>
        <v>0</v>
      </c>
      <c r="BV59" s="43">
        <f>ዕቁብ!BW62/Sheet4!$C59</f>
        <v>0</v>
      </c>
      <c r="BW59" s="43">
        <f>ዕቁብ!BX62/Sheet4!$C59</f>
        <v>0</v>
      </c>
      <c r="BX59" s="43">
        <f>ዕቁብ!BY62/Sheet4!$C59</f>
        <v>0</v>
      </c>
      <c r="BY59" s="43">
        <f>ዕቁብ!BZ62/Sheet4!$C59</f>
        <v>0</v>
      </c>
      <c r="BZ59" s="43">
        <f>ዕቁብ!CA62/Sheet4!$C59</f>
        <v>0</v>
      </c>
      <c r="CA59" s="43">
        <f>ዕቁብ!CB62/Sheet4!$C59</f>
        <v>0</v>
      </c>
      <c r="CB59" s="43">
        <f>ዕቁብ!CC62/Sheet4!$C59</f>
        <v>0</v>
      </c>
      <c r="CC59" s="43">
        <f>ዕቁብ!CD62/Sheet4!$C59</f>
        <v>0</v>
      </c>
      <c r="CD59" s="43">
        <f>ዕቁብ!CE62/Sheet4!$C59</f>
        <v>0</v>
      </c>
      <c r="CE59" s="43">
        <f>ዕቁብ!CF62/Sheet4!$C59</f>
        <v>0</v>
      </c>
      <c r="CF59" s="43">
        <f>ዕቁብ!CG62/Sheet4!$C59</f>
        <v>0</v>
      </c>
      <c r="CG59" s="43">
        <f>ዕቁብ!CH62/Sheet4!$C59</f>
        <v>0</v>
      </c>
      <c r="CH59" s="43">
        <f>ዕቁብ!CI62/Sheet4!$C59</f>
        <v>0</v>
      </c>
      <c r="CI59" s="43">
        <f>ዕቁብ!CJ62/Sheet4!$C59</f>
        <v>0</v>
      </c>
      <c r="CJ59" s="43">
        <f>ዕቁብ!CK62/Sheet4!$C59</f>
        <v>0</v>
      </c>
      <c r="CK59" s="43">
        <f>ዕቁብ!CL62/Sheet4!$C59</f>
        <v>0</v>
      </c>
      <c r="CL59" s="43">
        <f>ዕቁብ!CM62/Sheet4!$C59</f>
        <v>0</v>
      </c>
      <c r="CM59" s="43">
        <f>ዕቁብ!CN62/Sheet4!$C59</f>
        <v>0</v>
      </c>
      <c r="CN59" s="43">
        <f>ዕቁብ!CO62/Sheet4!$C59</f>
        <v>0</v>
      </c>
      <c r="CO59" s="43">
        <f>ዕቁብ!CP62/Sheet4!$C59</f>
        <v>0</v>
      </c>
      <c r="CP59" s="43">
        <f>ዕቁብ!CQ62/Sheet4!$C59</f>
        <v>0</v>
      </c>
      <c r="CQ59" s="43">
        <f>ዕቁብ!CR62/Sheet4!$C59</f>
        <v>0</v>
      </c>
      <c r="CR59" s="43">
        <f>ዕቁብ!CS62/Sheet4!$C59</f>
        <v>0</v>
      </c>
      <c r="CS59" s="43">
        <f>ዕቁብ!CT62/Sheet4!$C59</f>
        <v>0</v>
      </c>
      <c r="CT59" s="43">
        <f>ዕቁብ!CU62/Sheet4!$C59</f>
        <v>0</v>
      </c>
      <c r="CU59" s="43">
        <f>ዕቁብ!CV62/Sheet4!$C59</f>
        <v>0</v>
      </c>
      <c r="CV59" s="43">
        <f>ዕቁብ!CW62/Sheet4!$C59</f>
        <v>0</v>
      </c>
      <c r="CW59" s="43">
        <f>ዕቁብ!CX62/Sheet4!$C59</f>
        <v>0</v>
      </c>
      <c r="CX59" s="43">
        <f>ዕቁብ!CY62/Sheet4!$C59</f>
        <v>0</v>
      </c>
      <c r="CY59" s="43">
        <f>ዕቁብ!CZ62/Sheet4!$C59</f>
        <v>0</v>
      </c>
      <c r="CZ59" s="43">
        <f>ዕቁብ!DA62/Sheet4!$C59</f>
        <v>0</v>
      </c>
      <c r="DA59" s="43">
        <f>ዕቁብ!DB62/Sheet4!$C59</f>
        <v>0</v>
      </c>
      <c r="DB59" s="43">
        <f>ዕቁብ!DC62/Sheet4!$C59</f>
        <v>0</v>
      </c>
      <c r="DC59" s="43">
        <f>ዕቁብ!DD62/Sheet4!$C59</f>
        <v>0</v>
      </c>
      <c r="DD59" s="43">
        <f>ዕቁብ!DE62/Sheet4!$C59</f>
        <v>0</v>
      </c>
      <c r="DE59" s="43">
        <f>ዕቁብ!DF62/Sheet4!$C59</f>
        <v>0</v>
      </c>
      <c r="DF59" s="43">
        <f>ዕቁብ!DG62/Sheet4!$C59</f>
        <v>0</v>
      </c>
      <c r="DG59" s="43">
        <f>ዕቁብ!DH62/Sheet4!$C59</f>
        <v>0</v>
      </c>
      <c r="DH59" s="43">
        <f>ዕቁብ!DI62/Sheet4!$C59</f>
        <v>0</v>
      </c>
      <c r="DI59" s="43">
        <f>ዕቁብ!DJ62/Sheet4!$C59</f>
        <v>0</v>
      </c>
      <c r="DJ59" s="43">
        <f>ዕቁብ!DK62/Sheet4!$C59</f>
        <v>0</v>
      </c>
      <c r="DK59" s="43">
        <f>ዕቁብ!DL62/Sheet4!$C59</f>
        <v>0</v>
      </c>
      <c r="DL59" s="43">
        <f>ዕቁብ!DM62/Sheet4!$C59</f>
        <v>0</v>
      </c>
      <c r="DM59" s="43">
        <f>ዕቁብ!DN62/Sheet4!$C59</f>
        <v>0</v>
      </c>
      <c r="DN59" s="43">
        <f>ዕቁብ!DO62/Sheet4!$C59</f>
        <v>0</v>
      </c>
      <c r="DO59" s="43">
        <f>ዕቁብ!DP62/Sheet4!$C59</f>
        <v>0</v>
      </c>
      <c r="DP59" s="43">
        <f>ዕቁብ!DQ62/Sheet4!$C59</f>
        <v>0</v>
      </c>
      <c r="DQ59" s="43">
        <f>ዕቁብ!DR62/Sheet4!$C59</f>
        <v>0</v>
      </c>
    </row>
    <row r="60" spans="1:121" ht="15.75" customHeight="1" x14ac:dyDescent="0.3">
      <c r="A60" s="40">
        <f>ዕቁብ!A63</f>
        <v>57</v>
      </c>
      <c r="B60" s="40" t="str">
        <f>ዕቁብ!B63</f>
        <v>ተዘራ ታመነ</v>
      </c>
      <c r="C60" s="30">
        <f>ዕቁብ!C63</f>
        <v>21000</v>
      </c>
      <c r="D60" s="43">
        <f>ዕቁብ!E63/Sheet4!$C60</f>
        <v>1</v>
      </c>
      <c r="E60" s="43">
        <f>ዕቁብ!F63/Sheet4!$C60</f>
        <v>1</v>
      </c>
      <c r="F60" s="43">
        <f>ዕቁብ!G63/Sheet4!$C60</f>
        <v>1</v>
      </c>
      <c r="G60" s="43">
        <f>ዕቁብ!H63/Sheet4!$C60</f>
        <v>1</v>
      </c>
      <c r="H60" s="43">
        <f>ዕቁብ!I63/Sheet4!$C60</f>
        <v>1</v>
      </c>
      <c r="I60" s="43">
        <f>ዕቁብ!J63/Sheet4!$C60</f>
        <v>1</v>
      </c>
      <c r="J60" s="43">
        <f>ዕቁብ!K63/Sheet4!$C60</f>
        <v>1</v>
      </c>
      <c r="K60" s="43">
        <f>ዕቁብ!L63/Sheet4!$C60</f>
        <v>1</v>
      </c>
      <c r="L60" s="43">
        <f>ዕቁብ!M63/Sheet4!$C60</f>
        <v>1</v>
      </c>
      <c r="M60" s="43">
        <f>ዕቁብ!N63/Sheet4!$C60</f>
        <v>1</v>
      </c>
      <c r="N60" s="43">
        <f>ዕቁብ!O63/Sheet4!$C60</f>
        <v>1</v>
      </c>
      <c r="O60" s="43">
        <f>ዕቁብ!P63/Sheet4!$C60</f>
        <v>1</v>
      </c>
      <c r="P60" s="43">
        <f>ዕቁብ!Q63/Sheet4!$C60</f>
        <v>1</v>
      </c>
      <c r="Q60" s="43">
        <f>ዕቁብ!R63/Sheet4!$C60</f>
        <v>1</v>
      </c>
      <c r="R60" s="43">
        <f>ዕቁብ!S63/Sheet4!$C60</f>
        <v>1</v>
      </c>
      <c r="S60" s="43">
        <f>ዕቁብ!T63/Sheet4!$C60</f>
        <v>1</v>
      </c>
      <c r="T60" s="43">
        <f>ዕቁብ!U63/Sheet4!$C60</f>
        <v>1</v>
      </c>
      <c r="U60" s="43">
        <f>ዕቁብ!V63/Sheet4!$C60</f>
        <v>1</v>
      </c>
      <c r="V60" s="43">
        <f>ዕቁብ!W63/Sheet4!$C60</f>
        <v>1</v>
      </c>
      <c r="W60" s="43">
        <f>ዕቁብ!X63/Sheet4!$C60</f>
        <v>1</v>
      </c>
      <c r="X60" s="43">
        <f>ዕቁብ!Y63/Sheet4!$C60</f>
        <v>0</v>
      </c>
      <c r="Y60" s="43">
        <f>ዕቁብ!Z63/Sheet4!$C60</f>
        <v>0</v>
      </c>
      <c r="Z60" s="43">
        <f>ዕቁብ!AA63/Sheet4!$C60</f>
        <v>1</v>
      </c>
      <c r="AA60" s="43">
        <f>ዕቁብ!AB63/Sheet4!$C60</f>
        <v>0</v>
      </c>
      <c r="AB60" s="43">
        <f>ዕቁብ!AC63/Sheet4!$C60</f>
        <v>2</v>
      </c>
      <c r="AC60" s="43">
        <f>ዕቁብ!AD63/Sheet4!$C60</f>
        <v>0</v>
      </c>
      <c r="AD60" s="43">
        <f>ዕቁብ!AE63/Sheet4!$C60</f>
        <v>2</v>
      </c>
      <c r="AE60" s="43">
        <f>ዕቁብ!AF63/Sheet4!$C60</f>
        <v>0</v>
      </c>
      <c r="AF60" s="43">
        <f>ዕቁብ!AG63/Sheet4!$C60</f>
        <v>2</v>
      </c>
      <c r="AG60" s="43">
        <f>ዕቁብ!AH63/Sheet4!$C60</f>
        <v>0</v>
      </c>
      <c r="AH60" s="43">
        <f>ዕቁብ!AI63/Sheet4!$C60</f>
        <v>2</v>
      </c>
      <c r="AI60" s="43">
        <f>ዕቁብ!AJ63/Sheet4!$C60</f>
        <v>0</v>
      </c>
      <c r="AJ60" s="43">
        <f>ዕቁብ!AK63/Sheet4!$C60</f>
        <v>0</v>
      </c>
      <c r="AK60" s="43">
        <f>ዕቁብ!AL63/Sheet4!$C60</f>
        <v>3</v>
      </c>
      <c r="AL60" s="43">
        <f>ዕቁብ!AM63/Sheet4!$C60</f>
        <v>0</v>
      </c>
      <c r="AM60" s="43">
        <f>ዕቁብ!AN63/Sheet4!$C60</f>
        <v>2</v>
      </c>
      <c r="AN60" s="43">
        <f>ዕቁብ!AO63/Sheet4!$C60</f>
        <v>0</v>
      </c>
      <c r="AO60" s="43">
        <f>ዕቁብ!AP63/Sheet4!$C60</f>
        <v>2</v>
      </c>
      <c r="AP60" s="43">
        <f>ዕቁብ!AQ63/Sheet4!$C60</f>
        <v>0</v>
      </c>
      <c r="AQ60" s="43">
        <f>ዕቁብ!AR63/Sheet4!$C60</f>
        <v>2</v>
      </c>
      <c r="AR60" s="43">
        <f>ዕቁብ!AS63/Sheet4!$C60</f>
        <v>0</v>
      </c>
      <c r="AS60" s="43">
        <f>ዕቁብ!AT63/Sheet4!$C60</f>
        <v>2</v>
      </c>
      <c r="AT60" s="43">
        <f>ዕቁብ!AU63/Sheet4!$C60</f>
        <v>0</v>
      </c>
      <c r="AU60" s="43">
        <f>ዕቁብ!AV63/Sheet4!$C60</f>
        <v>2</v>
      </c>
      <c r="AV60" s="43">
        <f>ዕቁብ!AW63/Sheet4!$C60</f>
        <v>0</v>
      </c>
      <c r="AW60" s="43">
        <f>ዕቁብ!AX63/Sheet4!$C60</f>
        <v>0</v>
      </c>
      <c r="AX60" s="43">
        <f>ዕቁብ!AY63/Sheet4!$C60</f>
        <v>0</v>
      </c>
      <c r="AY60" s="43">
        <f>ዕቁብ!AZ63/Sheet4!$C60</f>
        <v>2</v>
      </c>
      <c r="AZ60" s="43">
        <f>ዕቁብ!BA63/Sheet4!$C60</f>
        <v>0</v>
      </c>
      <c r="BA60" s="43">
        <f>ዕቁብ!BB63/Sheet4!$C60</f>
        <v>0</v>
      </c>
      <c r="BB60" s="43">
        <f>ዕቁብ!BC63/Sheet4!$C60</f>
        <v>0</v>
      </c>
      <c r="BC60" s="43">
        <f>ዕቁብ!BD63/Sheet4!$C60</f>
        <v>0</v>
      </c>
      <c r="BD60" s="43">
        <f>ዕቁብ!BE63/Sheet4!$C60</f>
        <v>4</v>
      </c>
      <c r="BE60" s="43">
        <f>ዕቁብ!BF63/Sheet4!$C60</f>
        <v>0</v>
      </c>
      <c r="BF60" s="43">
        <f>ዕቁብ!BG63/Sheet4!$C60</f>
        <v>0</v>
      </c>
      <c r="BG60" s="43">
        <f>ዕቁብ!BH63/Sheet4!$C60</f>
        <v>0</v>
      </c>
      <c r="BH60" s="43">
        <f>ዕቁብ!BI63/Sheet4!$C60</f>
        <v>0</v>
      </c>
      <c r="BI60" s="43">
        <f>ዕቁብ!BJ63/Sheet4!$C60</f>
        <v>0</v>
      </c>
      <c r="BJ60" s="43">
        <f>ዕቁብ!BK63/Sheet4!$C60</f>
        <v>4</v>
      </c>
      <c r="BK60" s="43">
        <f>ዕቁብ!BL63/Sheet4!$C60</f>
        <v>0</v>
      </c>
      <c r="BL60" s="43">
        <f>ዕቁብ!BM63/Sheet4!$C60</f>
        <v>0</v>
      </c>
      <c r="BM60" s="43">
        <f>ዕቁብ!BN63/Sheet4!$C60</f>
        <v>0</v>
      </c>
      <c r="BN60" s="43">
        <f>ዕቁብ!BO63/Sheet4!$C60</f>
        <v>4</v>
      </c>
      <c r="BO60" s="43">
        <f>ዕቁብ!BP63/Sheet4!$C60</f>
        <v>0</v>
      </c>
      <c r="BP60" s="43">
        <f>ዕቁብ!BQ63/Sheet4!$C60</f>
        <v>0</v>
      </c>
      <c r="BQ60" s="43">
        <f>ዕቁብ!BR63/Sheet4!$C60</f>
        <v>3</v>
      </c>
      <c r="BR60" s="43">
        <f>ዕቁብ!BS63/Sheet4!$C60</f>
        <v>0</v>
      </c>
      <c r="BS60" s="43">
        <f>ዕቁብ!BT63/Sheet4!$C60</f>
        <v>5</v>
      </c>
      <c r="BT60" s="43">
        <f>ዕቁብ!BU63/Sheet4!$C60</f>
        <v>3</v>
      </c>
      <c r="BU60" s="43">
        <f>ዕቁብ!BV63/Sheet4!$C60</f>
        <v>0</v>
      </c>
      <c r="BV60" s="43">
        <f>ዕቁብ!BW63/Sheet4!$C60</f>
        <v>0</v>
      </c>
      <c r="BW60" s="43">
        <f>ዕቁብ!BX63/Sheet4!$C60</f>
        <v>0</v>
      </c>
      <c r="BX60" s="43">
        <f>ዕቁብ!BY63/Sheet4!$C60</f>
        <v>3</v>
      </c>
      <c r="BY60" s="43">
        <f>ዕቁብ!BZ63/Sheet4!$C60</f>
        <v>0</v>
      </c>
      <c r="BZ60" s="43">
        <f>ዕቁብ!CA63/Sheet4!$C60</f>
        <v>0</v>
      </c>
      <c r="CA60" s="43">
        <f>ዕቁብ!CB63/Sheet4!$C60</f>
        <v>0</v>
      </c>
      <c r="CB60" s="43">
        <f>ዕቁብ!CC63/Sheet4!$C60</f>
        <v>3</v>
      </c>
      <c r="CC60" s="43">
        <f>ዕቁብ!CD63/Sheet4!$C60</f>
        <v>0</v>
      </c>
      <c r="CD60" s="43">
        <f>ዕቁብ!CE63/Sheet4!$C60</f>
        <v>0</v>
      </c>
      <c r="CE60" s="43">
        <f>ዕቁብ!CF63/Sheet4!$C60</f>
        <v>0</v>
      </c>
      <c r="CF60" s="43">
        <f>ዕቁብ!CG63/Sheet4!$C60</f>
        <v>3</v>
      </c>
      <c r="CG60" s="43">
        <f>ዕቁብ!CH63/Sheet4!$C60</f>
        <v>0</v>
      </c>
      <c r="CH60" s="43">
        <f>ዕቁብ!CI63/Sheet4!$C60</f>
        <v>0</v>
      </c>
      <c r="CI60" s="43">
        <f>ዕቁብ!CJ63/Sheet4!$C60</f>
        <v>3</v>
      </c>
      <c r="CJ60" s="43">
        <f>ዕቁብ!CK63/Sheet4!$C60</f>
        <v>0</v>
      </c>
      <c r="CK60" s="43">
        <f>ዕቁብ!CL63/Sheet4!$C60</f>
        <v>0</v>
      </c>
      <c r="CL60" s="43">
        <f>ዕቁብ!CM63/Sheet4!$C60</f>
        <v>3</v>
      </c>
      <c r="CM60" s="43">
        <f>ዕቁብ!CN63/Sheet4!$C60</f>
        <v>0</v>
      </c>
      <c r="CN60" s="43">
        <f>ዕቁብ!CO63/Sheet4!$C60</f>
        <v>2</v>
      </c>
      <c r="CO60" s="43">
        <f>ዕቁብ!CP63/Sheet4!$C60</f>
        <v>0</v>
      </c>
      <c r="CP60" s="43">
        <f>ዕቁብ!CQ63/Sheet4!$C60</f>
        <v>0</v>
      </c>
      <c r="CQ60" s="43">
        <f>ዕቁብ!CR63/Sheet4!$C60</f>
        <v>2</v>
      </c>
      <c r="CR60" s="43">
        <f>ዕቁብ!CS63/Sheet4!$C60</f>
        <v>0</v>
      </c>
      <c r="CS60" s="43">
        <f>ዕቁብ!CT63/Sheet4!$C60</f>
        <v>0</v>
      </c>
      <c r="CT60" s="43">
        <f>ዕቁብ!CU63/Sheet4!$C60</f>
        <v>0</v>
      </c>
      <c r="CU60" s="43">
        <f>ዕቁብ!CV63/Sheet4!$C60</f>
        <v>4</v>
      </c>
      <c r="CV60" s="43">
        <f>ዕቁብ!CW63/Sheet4!$C60</f>
        <v>1</v>
      </c>
      <c r="CW60" s="43">
        <f>ዕቁብ!CX63/Sheet4!$C60</f>
        <v>0</v>
      </c>
      <c r="CX60" s="43">
        <f>ዕቁብ!CY63/Sheet4!$C60</f>
        <v>2</v>
      </c>
      <c r="CY60" s="43">
        <f>ዕቁብ!CZ63/Sheet4!$C60</f>
        <v>0</v>
      </c>
      <c r="CZ60" s="43">
        <f>ዕቁብ!DA63/Sheet4!$C60</f>
        <v>2</v>
      </c>
      <c r="DA60" s="43">
        <f>ዕቁብ!DB63/Sheet4!$C60</f>
        <v>1</v>
      </c>
      <c r="DB60" s="43">
        <f>ዕቁብ!DC63/Sheet4!$C60</f>
        <v>0</v>
      </c>
      <c r="DC60" s="43">
        <f>ዕቁብ!DD63/Sheet4!$C60</f>
        <v>0</v>
      </c>
      <c r="DD60" s="43">
        <f>ዕቁብ!DE63/Sheet4!$C60</f>
        <v>0</v>
      </c>
      <c r="DE60" s="43">
        <f>ዕቁብ!DF63/Sheet4!$C60</f>
        <v>3</v>
      </c>
      <c r="DF60" s="43">
        <f>ዕቁብ!DG63/Sheet4!$C60</f>
        <v>0</v>
      </c>
      <c r="DG60" s="43">
        <f>ዕቁብ!DH63/Sheet4!$C60</f>
        <v>0</v>
      </c>
      <c r="DH60" s="43">
        <f>ዕቁብ!DI63/Sheet4!$C60</f>
        <v>0</v>
      </c>
      <c r="DI60" s="43">
        <f>ዕቁብ!DJ63/Sheet4!$C60</f>
        <v>0</v>
      </c>
      <c r="DJ60" s="43">
        <f>ዕቁብ!DK63/Sheet4!$C60</f>
        <v>0</v>
      </c>
      <c r="DK60" s="43">
        <f>ዕቁብ!DL63/Sheet4!$C60</f>
        <v>0</v>
      </c>
      <c r="DL60" s="43">
        <f>ዕቁብ!DM63/Sheet4!$C60</f>
        <v>0</v>
      </c>
      <c r="DM60" s="43">
        <f>ዕቁብ!DN63/Sheet4!$C60</f>
        <v>0</v>
      </c>
      <c r="DN60" s="43">
        <f>ዕቁብ!DO63/Sheet4!$C60</f>
        <v>0</v>
      </c>
      <c r="DO60" s="43">
        <f>ዕቁብ!DP63/Sheet4!$C60</f>
        <v>0</v>
      </c>
      <c r="DP60" s="43">
        <f>ዕቁብ!DQ63/Sheet4!$C60</f>
        <v>0</v>
      </c>
      <c r="DQ60" s="43">
        <f>ዕቁብ!DR63/Sheet4!$C60</f>
        <v>0</v>
      </c>
    </row>
    <row r="61" spans="1:121" ht="15.75" customHeight="1" x14ac:dyDescent="0.3">
      <c r="A61" s="40">
        <f>ዕቁብ!A64</f>
        <v>58</v>
      </c>
      <c r="B61" s="40" t="str">
        <f>ዕቁብ!B64</f>
        <v>ሙሉስው ዘገየ</v>
      </c>
      <c r="C61" s="30">
        <f>ዕቁብ!C64</f>
        <v>21000</v>
      </c>
      <c r="D61" s="43">
        <f>ዕቁብ!E64/Sheet4!$C61</f>
        <v>1</v>
      </c>
      <c r="E61" s="43">
        <f>ዕቁብ!F64/Sheet4!$C61</f>
        <v>1</v>
      </c>
      <c r="F61" s="43">
        <f>ዕቁብ!G64/Sheet4!$C61</f>
        <v>1</v>
      </c>
      <c r="G61" s="43">
        <f>ዕቁብ!H64/Sheet4!$C61</f>
        <v>1</v>
      </c>
      <c r="H61" s="43">
        <f>ዕቁብ!I64/Sheet4!$C61</f>
        <v>1</v>
      </c>
      <c r="I61" s="43">
        <f>ዕቁብ!J64/Sheet4!$C61</f>
        <v>1</v>
      </c>
      <c r="J61" s="43">
        <f>ዕቁብ!K64/Sheet4!$C61</f>
        <v>1</v>
      </c>
      <c r="K61" s="43">
        <f>ዕቁብ!L64/Sheet4!$C61</f>
        <v>1</v>
      </c>
      <c r="L61" s="43">
        <f>ዕቁብ!M64/Sheet4!$C61</f>
        <v>1</v>
      </c>
      <c r="M61" s="43">
        <f>ዕቁብ!N64/Sheet4!$C61</f>
        <v>1</v>
      </c>
      <c r="N61" s="43">
        <f>ዕቁብ!O64/Sheet4!$C61</f>
        <v>1</v>
      </c>
      <c r="O61" s="43">
        <f>ዕቁብ!P64/Sheet4!$C61</f>
        <v>1</v>
      </c>
      <c r="P61" s="43">
        <f>ዕቁብ!Q64/Sheet4!$C61</f>
        <v>1</v>
      </c>
      <c r="Q61" s="43">
        <f>ዕቁብ!R64/Sheet4!$C61</f>
        <v>1</v>
      </c>
      <c r="R61" s="43">
        <f>ዕቁብ!S64/Sheet4!$C61</f>
        <v>1</v>
      </c>
      <c r="S61" s="43">
        <f>ዕቁብ!T64/Sheet4!$C61</f>
        <v>1</v>
      </c>
      <c r="T61" s="43">
        <f>ዕቁብ!U64/Sheet4!$C61</f>
        <v>1</v>
      </c>
      <c r="U61" s="43">
        <f>ዕቁብ!V64/Sheet4!$C61</f>
        <v>1</v>
      </c>
      <c r="V61" s="43">
        <f>ዕቁብ!W64/Sheet4!$C61</f>
        <v>1</v>
      </c>
      <c r="W61" s="43">
        <f>ዕቁብ!X64/Sheet4!$C61</f>
        <v>1</v>
      </c>
      <c r="X61" s="43">
        <f>ዕቁብ!Y64/Sheet4!$C61</f>
        <v>1</v>
      </c>
      <c r="Y61" s="43">
        <f>ዕቁብ!Z64/Sheet4!$C61</f>
        <v>1</v>
      </c>
      <c r="Z61" s="43">
        <f>ዕቁብ!AA64/Sheet4!$C61</f>
        <v>1</v>
      </c>
      <c r="AA61" s="43">
        <f>ዕቁብ!AB64/Sheet4!$C61</f>
        <v>1</v>
      </c>
      <c r="AB61" s="43">
        <f>ዕቁብ!AC64/Sheet4!$C61</f>
        <v>1</v>
      </c>
      <c r="AC61" s="43">
        <f>ዕቁብ!AD64/Sheet4!$C61</f>
        <v>1</v>
      </c>
      <c r="AD61" s="43">
        <f>ዕቁብ!AE64/Sheet4!$C61</f>
        <v>1</v>
      </c>
      <c r="AE61" s="43">
        <f>ዕቁብ!AF64/Sheet4!$C61</f>
        <v>1</v>
      </c>
      <c r="AF61" s="43">
        <f>ዕቁብ!AG64/Sheet4!$C61</f>
        <v>1</v>
      </c>
      <c r="AG61" s="43">
        <f>ዕቁብ!AH64/Sheet4!$C61</f>
        <v>1</v>
      </c>
      <c r="AH61" s="43">
        <f>ዕቁብ!AI64/Sheet4!$C61</f>
        <v>1</v>
      </c>
      <c r="AI61" s="43">
        <f>ዕቁብ!AJ64/Sheet4!$C61</f>
        <v>1</v>
      </c>
      <c r="AJ61" s="43">
        <f>ዕቁብ!AK64/Sheet4!$C61</f>
        <v>1</v>
      </c>
      <c r="AK61" s="43">
        <f>ዕቁብ!AL64/Sheet4!$C61</f>
        <v>1</v>
      </c>
      <c r="AL61" s="43">
        <f>ዕቁብ!AM64/Sheet4!$C61</f>
        <v>1</v>
      </c>
      <c r="AM61" s="43">
        <f>ዕቁብ!AN64/Sheet4!$C61</f>
        <v>1</v>
      </c>
      <c r="AN61" s="43">
        <f>ዕቁብ!AO64/Sheet4!$C61</f>
        <v>1</v>
      </c>
      <c r="AO61" s="43">
        <f>ዕቁብ!AP64/Sheet4!$C61</f>
        <v>1</v>
      </c>
      <c r="AP61" s="43">
        <f>ዕቁብ!AQ64/Sheet4!$C61</f>
        <v>1</v>
      </c>
      <c r="AQ61" s="43">
        <f>ዕቁብ!AR64/Sheet4!$C61</f>
        <v>1</v>
      </c>
      <c r="AR61" s="43">
        <f>ዕቁብ!AS64/Sheet4!$C61</f>
        <v>1</v>
      </c>
      <c r="AS61" s="43">
        <f>ዕቁብ!AT64/Sheet4!$C61</f>
        <v>1</v>
      </c>
      <c r="AT61" s="43">
        <f>ዕቁብ!AU64/Sheet4!$C61</f>
        <v>1</v>
      </c>
      <c r="AU61" s="43">
        <f>ዕቁብ!AV64/Sheet4!$C61</f>
        <v>1</v>
      </c>
      <c r="AV61" s="43">
        <f>ዕቁብ!AW64/Sheet4!$C61</f>
        <v>1</v>
      </c>
      <c r="AW61" s="43">
        <f>ዕቁብ!AX64/Sheet4!$C61</f>
        <v>1</v>
      </c>
      <c r="AX61" s="43">
        <f>ዕቁብ!AY64/Sheet4!$C61</f>
        <v>1</v>
      </c>
      <c r="AY61" s="43">
        <f>ዕቁብ!AZ64/Sheet4!$C61</f>
        <v>1</v>
      </c>
      <c r="AZ61" s="43">
        <f>ዕቁብ!BA64/Sheet4!$C61</f>
        <v>1</v>
      </c>
      <c r="BA61" s="43">
        <f>ዕቁብ!BB64/Sheet4!$C61</f>
        <v>1</v>
      </c>
      <c r="BB61" s="43">
        <f>ዕቁብ!BC64/Sheet4!$C61</f>
        <v>1</v>
      </c>
      <c r="BC61" s="43">
        <f>ዕቁብ!BD64/Sheet4!$C61</f>
        <v>1</v>
      </c>
      <c r="BD61" s="43">
        <f>ዕቁብ!BE64/Sheet4!$C61</f>
        <v>1</v>
      </c>
      <c r="BE61" s="43">
        <f>ዕቁብ!BF64/Sheet4!$C61</f>
        <v>1</v>
      </c>
      <c r="BF61" s="43">
        <f>ዕቁብ!BG64/Sheet4!$C61</f>
        <v>1</v>
      </c>
      <c r="BG61" s="43">
        <f>ዕቁብ!BH64/Sheet4!$C61</f>
        <v>1</v>
      </c>
      <c r="BH61" s="43">
        <f>ዕቁብ!BI64/Sheet4!$C61</f>
        <v>1</v>
      </c>
      <c r="BI61" s="43">
        <f>ዕቁብ!BJ64/Sheet4!$C61</f>
        <v>1</v>
      </c>
      <c r="BJ61" s="43">
        <f>ዕቁብ!BK64/Sheet4!$C61</f>
        <v>1</v>
      </c>
      <c r="BK61" s="43">
        <f>ዕቁብ!BL64/Sheet4!$C61</f>
        <v>1</v>
      </c>
      <c r="BL61" s="43">
        <f>ዕቁብ!BM64/Sheet4!$C61</f>
        <v>1</v>
      </c>
      <c r="BM61" s="43">
        <f>ዕቁብ!BN64/Sheet4!$C61</f>
        <v>1</v>
      </c>
      <c r="BN61" s="43">
        <f>ዕቁብ!BO64/Sheet4!$C61</f>
        <v>1</v>
      </c>
      <c r="BO61" s="43">
        <f>ዕቁብ!BP64/Sheet4!$C61</f>
        <v>1</v>
      </c>
      <c r="BP61" s="43">
        <f>ዕቁብ!BQ64/Sheet4!$C61</f>
        <v>1</v>
      </c>
      <c r="BQ61" s="43">
        <f>ዕቁብ!BR64/Sheet4!$C61</f>
        <v>1</v>
      </c>
      <c r="BR61" s="43">
        <f>ዕቁብ!BS64/Sheet4!$C61</f>
        <v>1</v>
      </c>
      <c r="BS61" s="43">
        <f>ዕቁብ!BT64/Sheet4!$C61</f>
        <v>1</v>
      </c>
      <c r="BT61" s="43">
        <f>ዕቁብ!BU64/Sheet4!$C61</f>
        <v>1</v>
      </c>
      <c r="BU61" s="43">
        <f>ዕቁብ!BV64/Sheet4!$C61</f>
        <v>1</v>
      </c>
      <c r="BV61" s="43">
        <f>ዕቁብ!BW64/Sheet4!$C61</f>
        <v>1</v>
      </c>
      <c r="BW61" s="43">
        <f>ዕቁብ!BX64/Sheet4!$C61</f>
        <v>1</v>
      </c>
      <c r="BX61" s="43">
        <f>ዕቁብ!BY64/Sheet4!$C61</f>
        <v>1</v>
      </c>
      <c r="BY61" s="43">
        <f>ዕቁብ!BZ64/Sheet4!$C61</f>
        <v>1</v>
      </c>
      <c r="BZ61" s="43">
        <f>ዕቁብ!CA64/Sheet4!$C61</f>
        <v>1</v>
      </c>
      <c r="CA61" s="43">
        <f>ዕቁብ!CB64/Sheet4!$C61</f>
        <v>1</v>
      </c>
      <c r="CB61" s="43">
        <f>ዕቁብ!CC64/Sheet4!$C61</f>
        <v>1</v>
      </c>
      <c r="CC61" s="43">
        <f>ዕቁብ!CD64/Sheet4!$C61</f>
        <v>0</v>
      </c>
      <c r="CD61" s="43">
        <f>ዕቁብ!CE64/Sheet4!$C61</f>
        <v>1</v>
      </c>
      <c r="CE61" s="43">
        <f>ዕቁብ!CF64/Sheet4!$C61</f>
        <v>1</v>
      </c>
      <c r="CF61" s="43">
        <f>ዕቁብ!CG64/Sheet4!$C61</f>
        <v>1</v>
      </c>
      <c r="CG61" s="43">
        <f>ዕቁብ!CH64/Sheet4!$C61</f>
        <v>1</v>
      </c>
      <c r="CH61" s="43">
        <f>ዕቁብ!CI64/Sheet4!$C61</f>
        <v>1</v>
      </c>
      <c r="CI61" s="43">
        <f>ዕቁብ!CJ64/Sheet4!$C61</f>
        <v>1</v>
      </c>
      <c r="CJ61" s="43">
        <f>ዕቁብ!CK64/Sheet4!$C61</f>
        <v>1</v>
      </c>
      <c r="CK61" s="43">
        <f>ዕቁብ!CL64/Sheet4!$C61</f>
        <v>1</v>
      </c>
      <c r="CL61" s="43">
        <f>ዕቁብ!CM64/Sheet4!$C61</f>
        <v>1</v>
      </c>
      <c r="CM61" s="43">
        <f>ዕቁብ!CN64/Sheet4!$C61</f>
        <v>1</v>
      </c>
      <c r="CN61" s="43">
        <f>ዕቁብ!CO64/Sheet4!$C61</f>
        <v>2</v>
      </c>
      <c r="CO61" s="43">
        <f>ዕቁብ!CP64/Sheet4!$C61</f>
        <v>1</v>
      </c>
      <c r="CP61" s="43">
        <f>ዕቁብ!CQ64/Sheet4!$C61</f>
        <v>1</v>
      </c>
      <c r="CQ61" s="43">
        <f>ዕቁብ!CR64/Sheet4!$C61</f>
        <v>1</v>
      </c>
      <c r="CR61" s="43">
        <f>ዕቁብ!CS64/Sheet4!$C61</f>
        <v>0</v>
      </c>
      <c r="CS61" s="43">
        <f>ዕቁብ!CT64/Sheet4!$C61</f>
        <v>2</v>
      </c>
      <c r="CT61" s="43">
        <f>ዕቁብ!CU64/Sheet4!$C61</f>
        <v>1</v>
      </c>
      <c r="CU61" s="43">
        <f>ዕቁብ!CV64/Sheet4!$C61</f>
        <v>1</v>
      </c>
      <c r="CV61" s="43">
        <f>ዕቁብ!CW64/Sheet4!$C61</f>
        <v>0</v>
      </c>
      <c r="CW61" s="43">
        <f>ዕቁብ!CX64/Sheet4!$C61</f>
        <v>0</v>
      </c>
      <c r="CX61" s="43">
        <f>ዕቁብ!CY64/Sheet4!$C61</f>
        <v>1</v>
      </c>
      <c r="CY61" s="43">
        <f>ዕቁብ!CZ64/Sheet4!$C61</f>
        <v>1</v>
      </c>
      <c r="CZ61" s="43">
        <f>ዕቁብ!DA64/Sheet4!$C61</f>
        <v>1</v>
      </c>
      <c r="DA61" s="43">
        <f>ዕቁብ!DB64/Sheet4!$C61</f>
        <v>1</v>
      </c>
      <c r="DB61" s="43">
        <f>ዕቁብ!DC64/Sheet4!$C61</f>
        <v>1</v>
      </c>
      <c r="DC61" s="43">
        <f>ዕቁብ!DD64/Sheet4!$C61</f>
        <v>1</v>
      </c>
      <c r="DD61" s="43">
        <f>ዕቁብ!DE64/Sheet4!$C61</f>
        <v>1</v>
      </c>
      <c r="DE61" s="43">
        <f>ዕቁብ!DF64/Sheet4!$C61</f>
        <v>1</v>
      </c>
      <c r="DF61" s="43">
        <f>ዕቁብ!DG64/Sheet4!$C61</f>
        <v>1</v>
      </c>
      <c r="DG61" s="43">
        <f>ዕቁብ!DH64/Sheet4!$C61</f>
        <v>1</v>
      </c>
      <c r="DH61" s="43">
        <f>ዕቁብ!DI64/Sheet4!$C61</f>
        <v>0</v>
      </c>
      <c r="DI61" s="43">
        <f>ዕቁብ!DJ64/Sheet4!$C61</f>
        <v>0</v>
      </c>
      <c r="DJ61" s="43">
        <f>ዕቁብ!DK64/Sheet4!$C61</f>
        <v>0</v>
      </c>
      <c r="DK61" s="43">
        <f>ዕቁብ!DL64/Sheet4!$C61</f>
        <v>0</v>
      </c>
      <c r="DL61" s="43">
        <f>ዕቁብ!DM64/Sheet4!$C61</f>
        <v>0</v>
      </c>
      <c r="DM61" s="43">
        <f>ዕቁብ!DN64/Sheet4!$C61</f>
        <v>0</v>
      </c>
      <c r="DN61" s="43">
        <f>ዕቁብ!DO64/Sheet4!$C61</f>
        <v>0</v>
      </c>
      <c r="DO61" s="43">
        <f>ዕቁብ!DP64/Sheet4!$C61</f>
        <v>0</v>
      </c>
      <c r="DP61" s="43">
        <f>ዕቁብ!DQ64/Sheet4!$C61</f>
        <v>0</v>
      </c>
      <c r="DQ61" s="43">
        <f>ዕቁብ!DR64/Sheet4!$C61</f>
        <v>0</v>
      </c>
    </row>
    <row r="62" spans="1:121" ht="15.75" customHeight="1" x14ac:dyDescent="0.3">
      <c r="A62" s="40">
        <f>ዕቁብ!A65</f>
        <v>59</v>
      </c>
      <c r="B62" s="40" t="str">
        <f>ዕቁብ!B65</f>
        <v>ገነት ገ /ፃዲቅ</v>
      </c>
      <c r="C62" s="30">
        <f>ዕቁብ!C65</f>
        <v>21000</v>
      </c>
      <c r="D62" s="43">
        <f>ዕቁብ!E65/Sheet4!$C62</f>
        <v>1</v>
      </c>
      <c r="E62" s="43">
        <f>ዕቁብ!F65/Sheet4!$C62</f>
        <v>1</v>
      </c>
      <c r="F62" s="43">
        <f>ዕቁብ!G65/Sheet4!$C62</f>
        <v>1</v>
      </c>
      <c r="G62" s="43">
        <f>ዕቁብ!H65/Sheet4!$C62</f>
        <v>1</v>
      </c>
      <c r="H62" s="43">
        <f>ዕቁብ!I65/Sheet4!$C62</f>
        <v>1</v>
      </c>
      <c r="I62" s="43">
        <f>ዕቁብ!J65/Sheet4!$C62</f>
        <v>1</v>
      </c>
      <c r="J62" s="43">
        <f>ዕቁብ!K65/Sheet4!$C62</f>
        <v>1</v>
      </c>
      <c r="K62" s="43">
        <f>ዕቁብ!L65/Sheet4!$C62</f>
        <v>1</v>
      </c>
      <c r="L62" s="43">
        <f>ዕቁብ!M65/Sheet4!$C62</f>
        <v>1</v>
      </c>
      <c r="M62" s="43">
        <f>ዕቁብ!N65/Sheet4!$C62</f>
        <v>1</v>
      </c>
      <c r="N62" s="43">
        <f>ዕቁብ!O65/Sheet4!$C62</f>
        <v>1</v>
      </c>
      <c r="O62" s="43">
        <f>ዕቁብ!P65/Sheet4!$C62</f>
        <v>1</v>
      </c>
      <c r="P62" s="43">
        <f>ዕቁብ!Q65/Sheet4!$C62</f>
        <v>1</v>
      </c>
      <c r="Q62" s="43">
        <f>ዕቁብ!R65/Sheet4!$C62</f>
        <v>1</v>
      </c>
      <c r="R62" s="43">
        <f>ዕቁብ!S65/Sheet4!$C62</f>
        <v>1</v>
      </c>
      <c r="S62" s="43">
        <f>ዕቁብ!T65/Sheet4!$C62</f>
        <v>1</v>
      </c>
      <c r="T62" s="43">
        <f>ዕቁብ!U65/Sheet4!$C62</f>
        <v>1</v>
      </c>
      <c r="U62" s="43">
        <f>ዕቁብ!V65/Sheet4!$C62</f>
        <v>1</v>
      </c>
      <c r="V62" s="43">
        <f>ዕቁብ!W65/Sheet4!$C62</f>
        <v>1</v>
      </c>
      <c r="W62" s="43">
        <f>ዕቁብ!X65/Sheet4!$C62</f>
        <v>1</v>
      </c>
      <c r="X62" s="43">
        <f>ዕቁብ!Y65/Sheet4!$C62</f>
        <v>1</v>
      </c>
      <c r="Y62" s="43">
        <f>ዕቁብ!Z65/Sheet4!$C62</f>
        <v>1</v>
      </c>
      <c r="Z62" s="43">
        <f>ዕቁብ!AA65/Sheet4!$C62</f>
        <v>1</v>
      </c>
      <c r="AA62" s="43">
        <f>ዕቁብ!AB65/Sheet4!$C62</f>
        <v>1</v>
      </c>
      <c r="AB62" s="43">
        <f>ዕቁብ!AC65/Sheet4!$C62</f>
        <v>1</v>
      </c>
      <c r="AC62" s="43">
        <f>ዕቁብ!AD65/Sheet4!$C62</f>
        <v>1</v>
      </c>
      <c r="AD62" s="43">
        <f>ዕቁብ!AE65/Sheet4!$C62</f>
        <v>1</v>
      </c>
      <c r="AE62" s="43">
        <f>ዕቁብ!AF65/Sheet4!$C62</f>
        <v>1</v>
      </c>
      <c r="AF62" s="43">
        <f>ዕቁብ!AG65/Sheet4!$C62</f>
        <v>1</v>
      </c>
      <c r="AG62" s="43">
        <f>ዕቁብ!AH65/Sheet4!$C62</f>
        <v>1</v>
      </c>
      <c r="AH62" s="43">
        <f>ዕቁብ!AI65/Sheet4!$C62</f>
        <v>1</v>
      </c>
      <c r="AI62" s="43">
        <f>ዕቁብ!AJ65/Sheet4!$C62</f>
        <v>1</v>
      </c>
      <c r="AJ62" s="43">
        <f>ዕቁብ!AK65/Sheet4!$C62</f>
        <v>1</v>
      </c>
      <c r="AK62" s="43">
        <f>ዕቁብ!AL65/Sheet4!$C62</f>
        <v>1</v>
      </c>
      <c r="AL62" s="43">
        <f>ዕቁብ!AM65/Sheet4!$C62</f>
        <v>1</v>
      </c>
      <c r="AM62" s="43">
        <f>ዕቁብ!AN65/Sheet4!$C62</f>
        <v>1</v>
      </c>
      <c r="AN62" s="43">
        <f>ዕቁብ!AO65/Sheet4!$C62</f>
        <v>1</v>
      </c>
      <c r="AO62" s="43">
        <f>ዕቁብ!AP65/Sheet4!$C62</f>
        <v>1</v>
      </c>
      <c r="AP62" s="43">
        <f>ዕቁብ!AQ65/Sheet4!$C62</f>
        <v>1</v>
      </c>
      <c r="AQ62" s="43">
        <f>ዕቁብ!AR65/Sheet4!$C62</f>
        <v>1</v>
      </c>
      <c r="AR62" s="43">
        <f>ዕቁብ!AS65/Sheet4!$C62</f>
        <v>1</v>
      </c>
      <c r="AS62" s="43">
        <f>ዕቁብ!AT65/Sheet4!$C62</f>
        <v>1</v>
      </c>
      <c r="AT62" s="43">
        <f>ዕቁብ!AU65/Sheet4!$C62</f>
        <v>1</v>
      </c>
      <c r="AU62" s="43">
        <f>ዕቁብ!AV65/Sheet4!$C62</f>
        <v>1</v>
      </c>
      <c r="AV62" s="43">
        <f>ዕቁብ!AW65/Sheet4!$C62</f>
        <v>1</v>
      </c>
      <c r="AW62" s="43">
        <f>ዕቁብ!AX65/Sheet4!$C62</f>
        <v>1</v>
      </c>
      <c r="AX62" s="43">
        <f>ዕቁብ!AY65/Sheet4!$C62</f>
        <v>1</v>
      </c>
      <c r="AY62" s="43">
        <f>ዕቁብ!AZ65/Sheet4!$C62</f>
        <v>1</v>
      </c>
      <c r="AZ62" s="43">
        <f>ዕቁብ!BA65/Sheet4!$C62</f>
        <v>1</v>
      </c>
      <c r="BA62" s="43">
        <f>ዕቁብ!BB65/Sheet4!$C62</f>
        <v>1</v>
      </c>
      <c r="BB62" s="43">
        <f>ዕቁብ!BC65/Sheet4!$C62</f>
        <v>1</v>
      </c>
      <c r="BC62" s="43">
        <f>ዕቁብ!BD65/Sheet4!$C62</f>
        <v>1</v>
      </c>
      <c r="BD62" s="43">
        <f>ዕቁብ!BE65/Sheet4!$C62</f>
        <v>1</v>
      </c>
      <c r="BE62" s="43">
        <f>ዕቁብ!BF65/Sheet4!$C62</f>
        <v>1</v>
      </c>
      <c r="BF62" s="43">
        <f>ዕቁብ!BG65/Sheet4!$C62</f>
        <v>1</v>
      </c>
      <c r="BG62" s="43">
        <f>ዕቁብ!BH65/Sheet4!$C62</f>
        <v>1</v>
      </c>
      <c r="BH62" s="43">
        <f>ዕቁብ!BI65/Sheet4!$C62</f>
        <v>1</v>
      </c>
      <c r="BI62" s="43">
        <f>ዕቁብ!BJ65/Sheet4!$C62</f>
        <v>1</v>
      </c>
      <c r="BJ62" s="43">
        <f>ዕቁብ!BK65/Sheet4!$C62</f>
        <v>1</v>
      </c>
      <c r="BK62" s="43">
        <f>ዕቁብ!BL65/Sheet4!$C62</f>
        <v>1</v>
      </c>
      <c r="BL62" s="43">
        <f>ዕቁብ!BM65/Sheet4!$C62</f>
        <v>1</v>
      </c>
      <c r="BM62" s="43">
        <f>ዕቁብ!BN65/Sheet4!$C62</f>
        <v>0</v>
      </c>
      <c r="BN62" s="43">
        <f>ዕቁብ!BO65/Sheet4!$C62</f>
        <v>2</v>
      </c>
      <c r="BO62" s="43">
        <f>ዕቁብ!BP65/Sheet4!$C62</f>
        <v>1</v>
      </c>
      <c r="BP62" s="43">
        <f>ዕቁብ!BQ65/Sheet4!$C62</f>
        <v>1</v>
      </c>
      <c r="BQ62" s="43">
        <f>ዕቁብ!BR65/Sheet4!$C62</f>
        <v>1</v>
      </c>
      <c r="BR62" s="43">
        <f>ዕቁብ!BS65/Sheet4!$C62</f>
        <v>1</v>
      </c>
      <c r="BS62" s="43">
        <f>ዕቁብ!BT65/Sheet4!$C62</f>
        <v>1</v>
      </c>
      <c r="BT62" s="43">
        <f>ዕቁብ!BU65/Sheet4!$C62</f>
        <v>1</v>
      </c>
      <c r="BU62" s="43">
        <f>ዕቁብ!BV65/Sheet4!$C62</f>
        <v>1</v>
      </c>
      <c r="BV62" s="43">
        <f>ዕቁብ!BW65/Sheet4!$C62</f>
        <v>1</v>
      </c>
      <c r="BW62" s="43">
        <f>ዕቁብ!BX65/Sheet4!$C62</f>
        <v>1</v>
      </c>
      <c r="BX62" s="43">
        <f>ዕቁብ!BY65/Sheet4!$C62</f>
        <v>1</v>
      </c>
      <c r="BY62" s="43">
        <f>ዕቁብ!BZ65/Sheet4!$C62</f>
        <v>1</v>
      </c>
      <c r="BZ62" s="43">
        <f>ዕቁብ!CA65/Sheet4!$C62</f>
        <v>1</v>
      </c>
      <c r="CA62" s="43">
        <f>ዕቁብ!CB65/Sheet4!$C62</f>
        <v>1</v>
      </c>
      <c r="CB62" s="43">
        <f>ዕቁብ!CC65/Sheet4!$C62</f>
        <v>1</v>
      </c>
      <c r="CC62" s="43">
        <f>ዕቁብ!CD65/Sheet4!$C62</f>
        <v>1</v>
      </c>
      <c r="CD62" s="43">
        <f>ዕቁብ!CE65/Sheet4!$C62</f>
        <v>1</v>
      </c>
      <c r="CE62" s="43">
        <f>ዕቁብ!CF65/Sheet4!$C62</f>
        <v>1</v>
      </c>
      <c r="CF62" s="43">
        <f>ዕቁብ!CG65/Sheet4!$C62</f>
        <v>1</v>
      </c>
      <c r="CG62" s="43">
        <f>ዕቁብ!CH65/Sheet4!$C62</f>
        <v>1</v>
      </c>
      <c r="CH62" s="43">
        <f>ዕቁብ!CI65/Sheet4!$C62</f>
        <v>1</v>
      </c>
      <c r="CI62" s="43">
        <f>ዕቁብ!CJ65/Sheet4!$C62</f>
        <v>1</v>
      </c>
      <c r="CJ62" s="43">
        <f>ዕቁብ!CK65/Sheet4!$C62</f>
        <v>1</v>
      </c>
      <c r="CK62" s="43">
        <f>ዕቁብ!CL65/Sheet4!$C62</f>
        <v>1</v>
      </c>
      <c r="CL62" s="43">
        <f>ዕቁብ!CM65/Sheet4!$C62</f>
        <v>1</v>
      </c>
      <c r="CM62" s="43">
        <f>ዕቁብ!CN65/Sheet4!$C62</f>
        <v>1</v>
      </c>
      <c r="CN62" s="43">
        <f>ዕቁብ!CO65/Sheet4!$C62</f>
        <v>1</v>
      </c>
      <c r="CO62" s="43">
        <f>ዕቁብ!CP65/Sheet4!$C62</f>
        <v>1</v>
      </c>
      <c r="CP62" s="43">
        <f>ዕቁብ!CQ65/Sheet4!$C62</f>
        <v>1</v>
      </c>
      <c r="CQ62" s="43">
        <f>ዕቁብ!CR65/Sheet4!$C62</f>
        <v>1</v>
      </c>
      <c r="CR62" s="43">
        <f>ዕቁብ!CS65/Sheet4!$C62</f>
        <v>1</v>
      </c>
      <c r="CS62" s="43">
        <f>ዕቁብ!CT65/Sheet4!$C62</f>
        <v>1</v>
      </c>
      <c r="CT62" s="43">
        <f>ዕቁብ!CU65/Sheet4!$C62</f>
        <v>1</v>
      </c>
      <c r="CU62" s="43">
        <f>ዕቁብ!CV65/Sheet4!$C62</f>
        <v>1</v>
      </c>
      <c r="CV62" s="43">
        <f>ዕቁብ!CW65/Sheet4!$C62</f>
        <v>1</v>
      </c>
      <c r="CW62" s="43">
        <f>ዕቁብ!CX65/Sheet4!$C62</f>
        <v>1</v>
      </c>
      <c r="CX62" s="43">
        <f>ዕቁብ!CY65/Sheet4!$C62</f>
        <v>1</v>
      </c>
      <c r="CY62" s="43">
        <f>ዕቁብ!CZ65/Sheet4!$C62</f>
        <v>1</v>
      </c>
      <c r="CZ62" s="43">
        <f>ዕቁብ!DA65/Sheet4!$C62</f>
        <v>1</v>
      </c>
      <c r="DA62" s="43">
        <f>ዕቁብ!DB65/Sheet4!$C62</f>
        <v>1</v>
      </c>
      <c r="DB62" s="43">
        <f>ዕቁብ!DC65/Sheet4!$C62</f>
        <v>1</v>
      </c>
      <c r="DC62" s="43">
        <f>ዕቁብ!DD65/Sheet4!$C62</f>
        <v>1</v>
      </c>
      <c r="DD62" s="43">
        <f>ዕቁብ!DE65/Sheet4!$C62</f>
        <v>1</v>
      </c>
      <c r="DE62" s="43">
        <f>ዕቁብ!DF65/Sheet4!$C62</f>
        <v>1</v>
      </c>
      <c r="DF62" s="43">
        <f>ዕቁብ!DG65/Sheet4!$C62</f>
        <v>1</v>
      </c>
      <c r="DG62" s="43">
        <f>ዕቁብ!DH65/Sheet4!$C62</f>
        <v>1</v>
      </c>
      <c r="DH62" s="43">
        <f>ዕቁብ!DI65/Sheet4!$C62</f>
        <v>0</v>
      </c>
      <c r="DI62" s="43">
        <f>ዕቁብ!DJ65/Sheet4!$C62</f>
        <v>0</v>
      </c>
      <c r="DJ62" s="43">
        <f>ዕቁብ!DK65/Sheet4!$C62</f>
        <v>0</v>
      </c>
      <c r="DK62" s="43">
        <f>ዕቁብ!DL65/Sheet4!$C62</f>
        <v>0</v>
      </c>
      <c r="DL62" s="43">
        <f>ዕቁብ!DM65/Sheet4!$C62</f>
        <v>0</v>
      </c>
      <c r="DM62" s="43">
        <f>ዕቁብ!DN65/Sheet4!$C62</f>
        <v>0</v>
      </c>
      <c r="DN62" s="43">
        <f>ዕቁብ!DO65/Sheet4!$C62</f>
        <v>0</v>
      </c>
      <c r="DO62" s="43">
        <f>ዕቁብ!DP65/Sheet4!$C62</f>
        <v>0</v>
      </c>
      <c r="DP62" s="43">
        <f>ዕቁብ!DQ65/Sheet4!$C62</f>
        <v>0</v>
      </c>
      <c r="DQ62" s="43">
        <f>ዕቁብ!DR65/Sheet4!$C62</f>
        <v>0</v>
      </c>
    </row>
    <row r="63" spans="1:121" ht="15.75" customHeight="1" x14ac:dyDescent="0.3">
      <c r="A63" s="40">
        <f>ዕቁብ!A66</f>
        <v>60</v>
      </c>
      <c r="B63" s="40" t="str">
        <f>ዕቁብ!B66</f>
        <v>አለሙ ሽመልስ</v>
      </c>
      <c r="C63" s="30">
        <f>ዕቁብ!C66</f>
        <v>21000</v>
      </c>
      <c r="D63" s="43">
        <f>ዕቁብ!E66/Sheet4!$C63</f>
        <v>1</v>
      </c>
      <c r="E63" s="43">
        <f>ዕቁብ!F66/Sheet4!$C63</f>
        <v>1</v>
      </c>
      <c r="F63" s="43">
        <f>ዕቁብ!G66/Sheet4!$C63</f>
        <v>1</v>
      </c>
      <c r="G63" s="43">
        <f>ዕቁብ!H66/Sheet4!$C63</f>
        <v>1</v>
      </c>
      <c r="H63" s="43">
        <f>ዕቁብ!I66/Sheet4!$C63</f>
        <v>1</v>
      </c>
      <c r="I63" s="43">
        <f>ዕቁብ!J66/Sheet4!$C63</f>
        <v>1</v>
      </c>
      <c r="J63" s="43">
        <f>ዕቁብ!K66/Sheet4!$C63</f>
        <v>1</v>
      </c>
      <c r="K63" s="43">
        <f>ዕቁብ!L66/Sheet4!$C63</f>
        <v>1</v>
      </c>
      <c r="L63" s="43">
        <f>ዕቁብ!M66/Sheet4!$C63</f>
        <v>1</v>
      </c>
      <c r="M63" s="43">
        <f>ዕቁብ!N66/Sheet4!$C63</f>
        <v>1</v>
      </c>
      <c r="N63" s="43">
        <f>ዕቁብ!O66/Sheet4!$C63</f>
        <v>1</v>
      </c>
      <c r="O63" s="43">
        <f>ዕቁብ!P66/Sheet4!$C63</f>
        <v>1</v>
      </c>
      <c r="P63" s="43">
        <f>ዕቁብ!Q66/Sheet4!$C63</f>
        <v>1</v>
      </c>
      <c r="Q63" s="43">
        <f>ዕቁብ!R66/Sheet4!$C63</f>
        <v>1</v>
      </c>
      <c r="R63" s="43">
        <f>ዕቁብ!S66/Sheet4!$C63</f>
        <v>1</v>
      </c>
      <c r="S63" s="43">
        <f>ዕቁብ!T66/Sheet4!$C63</f>
        <v>1</v>
      </c>
      <c r="T63" s="43">
        <f>ዕቁብ!U66/Sheet4!$C63</f>
        <v>1</v>
      </c>
      <c r="U63" s="43">
        <f>ዕቁብ!V66/Sheet4!$C63</f>
        <v>1</v>
      </c>
      <c r="V63" s="43">
        <f>ዕቁብ!W66/Sheet4!$C63</f>
        <v>1</v>
      </c>
      <c r="W63" s="43">
        <f>ዕቁብ!X66/Sheet4!$C63</f>
        <v>1</v>
      </c>
      <c r="X63" s="43">
        <f>ዕቁብ!Y66/Sheet4!$C63</f>
        <v>1</v>
      </c>
      <c r="Y63" s="43">
        <f>ዕቁብ!Z66/Sheet4!$C63</f>
        <v>1</v>
      </c>
      <c r="Z63" s="43">
        <f>ዕቁብ!AA66/Sheet4!$C63</f>
        <v>1</v>
      </c>
      <c r="AA63" s="43">
        <f>ዕቁብ!AB66/Sheet4!$C63</f>
        <v>1</v>
      </c>
      <c r="AB63" s="43">
        <f>ዕቁብ!AC66/Sheet4!$C63</f>
        <v>1</v>
      </c>
      <c r="AC63" s="43">
        <f>ዕቁብ!AD66/Sheet4!$C63</f>
        <v>1</v>
      </c>
      <c r="AD63" s="43">
        <f>ዕቁብ!AE66/Sheet4!$C63</f>
        <v>1</v>
      </c>
      <c r="AE63" s="43">
        <f>ዕቁብ!AF66/Sheet4!$C63</f>
        <v>1</v>
      </c>
      <c r="AF63" s="43">
        <f>ዕቁብ!AG66/Sheet4!$C63</f>
        <v>0</v>
      </c>
      <c r="AG63" s="43">
        <f>ዕቁብ!AH66/Sheet4!$C63</f>
        <v>2</v>
      </c>
      <c r="AH63" s="43">
        <f>ዕቁብ!AI66/Sheet4!$C63</f>
        <v>1</v>
      </c>
      <c r="AI63" s="43">
        <f>ዕቁብ!AJ66/Sheet4!$C63</f>
        <v>1</v>
      </c>
      <c r="AJ63" s="43">
        <f>ዕቁብ!AK66/Sheet4!$C63</f>
        <v>1</v>
      </c>
      <c r="AK63" s="43">
        <f>ዕቁብ!AL66/Sheet4!$C63</f>
        <v>1</v>
      </c>
      <c r="AL63" s="43">
        <f>ዕቁብ!AM66/Sheet4!$C63</f>
        <v>1</v>
      </c>
      <c r="AM63" s="43">
        <f>ዕቁብ!AN66/Sheet4!$C63</f>
        <v>1</v>
      </c>
      <c r="AN63" s="43">
        <f>ዕቁብ!AO66/Sheet4!$C63</f>
        <v>1</v>
      </c>
      <c r="AO63" s="43">
        <f>ዕቁብ!AP66/Sheet4!$C63</f>
        <v>1</v>
      </c>
      <c r="AP63" s="43">
        <f>ዕቁብ!AQ66/Sheet4!$C63</f>
        <v>1</v>
      </c>
      <c r="AQ63" s="43">
        <f>ዕቁብ!AR66/Sheet4!$C63</f>
        <v>1</v>
      </c>
      <c r="AR63" s="43">
        <f>ዕቁብ!AS66/Sheet4!$C63</f>
        <v>1</v>
      </c>
      <c r="AS63" s="43">
        <f>ዕቁብ!AT66/Sheet4!$C63</f>
        <v>1</v>
      </c>
      <c r="AT63" s="43">
        <f>ዕቁብ!AU66/Sheet4!$C63</f>
        <v>1</v>
      </c>
      <c r="AU63" s="43">
        <f>ዕቁብ!AV66/Sheet4!$C63</f>
        <v>1</v>
      </c>
      <c r="AV63" s="43">
        <f>ዕቁብ!AW66/Sheet4!$C63</f>
        <v>1</v>
      </c>
      <c r="AW63" s="43">
        <f>ዕቁብ!AX66/Sheet4!$C63</f>
        <v>1</v>
      </c>
      <c r="AX63" s="43">
        <f>ዕቁብ!AY66/Sheet4!$C63</f>
        <v>1</v>
      </c>
      <c r="AY63" s="43">
        <f>ዕቁብ!AZ66/Sheet4!$C63</f>
        <v>1</v>
      </c>
      <c r="AZ63" s="43">
        <f>ዕቁብ!BA66/Sheet4!$C63</f>
        <v>1</v>
      </c>
      <c r="BA63" s="43">
        <f>ዕቁብ!BB66/Sheet4!$C63</f>
        <v>1</v>
      </c>
      <c r="BB63" s="43">
        <f>ዕቁብ!BC66/Sheet4!$C63</f>
        <v>1</v>
      </c>
      <c r="BC63" s="43">
        <f>ዕቁብ!BD66/Sheet4!$C63</f>
        <v>1</v>
      </c>
      <c r="BD63" s="43">
        <f>ዕቁብ!BE66/Sheet4!$C63</f>
        <v>1</v>
      </c>
      <c r="BE63" s="43">
        <f>ዕቁብ!BF66/Sheet4!$C63</f>
        <v>1</v>
      </c>
      <c r="BF63" s="43">
        <f>ዕቁብ!BG66/Sheet4!$C63</f>
        <v>1</v>
      </c>
      <c r="BG63" s="43">
        <f>ዕቁብ!BH66/Sheet4!$C63</f>
        <v>1</v>
      </c>
      <c r="BH63" s="43">
        <f>ዕቁብ!BI66/Sheet4!$C63</f>
        <v>1</v>
      </c>
      <c r="BI63" s="43">
        <f>ዕቁብ!BJ66/Sheet4!$C63</f>
        <v>1</v>
      </c>
      <c r="BJ63" s="43">
        <f>ዕቁብ!BK66/Sheet4!$C63</f>
        <v>1</v>
      </c>
      <c r="BK63" s="43">
        <f>ዕቁብ!BL66/Sheet4!$C63</f>
        <v>1</v>
      </c>
      <c r="BL63" s="43">
        <f>ዕቁብ!BM66/Sheet4!$C63</f>
        <v>1</v>
      </c>
      <c r="BM63" s="43">
        <f>ዕቁብ!BN66/Sheet4!$C63</f>
        <v>1</v>
      </c>
      <c r="BN63" s="43">
        <f>ዕቁብ!BO66/Sheet4!$C63</f>
        <v>1</v>
      </c>
      <c r="BO63" s="43">
        <f>ዕቁብ!BP66/Sheet4!$C63</f>
        <v>0</v>
      </c>
      <c r="BP63" s="43">
        <f>ዕቁብ!BQ66/Sheet4!$C63</f>
        <v>2</v>
      </c>
      <c r="BQ63" s="43">
        <f>ዕቁብ!BR66/Sheet4!$C63</f>
        <v>1</v>
      </c>
      <c r="BR63" s="43">
        <f>ዕቁብ!BS66/Sheet4!$C63</f>
        <v>1</v>
      </c>
      <c r="BS63" s="43">
        <f>ዕቁብ!BT66/Sheet4!$C63</f>
        <v>1</v>
      </c>
      <c r="BT63" s="43">
        <f>ዕቁብ!BU66/Sheet4!$C63</f>
        <v>1</v>
      </c>
      <c r="BU63" s="43">
        <f>ዕቁብ!BV66/Sheet4!$C63</f>
        <v>1</v>
      </c>
      <c r="BV63" s="43">
        <f>ዕቁብ!BW66/Sheet4!$C63</f>
        <v>1</v>
      </c>
      <c r="BW63" s="43">
        <f>ዕቁብ!BX66/Sheet4!$C63</f>
        <v>1</v>
      </c>
      <c r="BX63" s="43">
        <f>ዕቁብ!BY66/Sheet4!$C63</f>
        <v>1</v>
      </c>
      <c r="BY63" s="43">
        <f>ዕቁብ!BZ66/Sheet4!$C63</f>
        <v>1</v>
      </c>
      <c r="BZ63" s="43">
        <f>ዕቁብ!CA66/Sheet4!$C63</f>
        <v>1</v>
      </c>
      <c r="CA63" s="43">
        <f>ዕቁብ!CB66/Sheet4!$C63</f>
        <v>1</v>
      </c>
      <c r="CB63" s="43">
        <f>ዕቁብ!CC66/Sheet4!$C63</f>
        <v>1</v>
      </c>
      <c r="CC63" s="43">
        <f>ዕቁብ!CD66/Sheet4!$C63</f>
        <v>1</v>
      </c>
      <c r="CD63" s="43">
        <f>ዕቁብ!CE66/Sheet4!$C63</f>
        <v>1</v>
      </c>
      <c r="CE63" s="43">
        <f>ዕቁብ!CF66/Sheet4!$C63</f>
        <v>1</v>
      </c>
      <c r="CF63" s="43">
        <f>ዕቁብ!CG66/Sheet4!$C63</f>
        <v>1</v>
      </c>
      <c r="CG63" s="43">
        <f>ዕቁብ!CH66/Sheet4!$C63</f>
        <v>1</v>
      </c>
      <c r="CH63" s="43">
        <f>ዕቁብ!CI66/Sheet4!$C63</f>
        <v>1</v>
      </c>
      <c r="CI63" s="43">
        <f>ዕቁብ!CJ66/Sheet4!$C63</f>
        <v>1</v>
      </c>
      <c r="CJ63" s="43">
        <f>ዕቁብ!CK66/Sheet4!$C63</f>
        <v>1</v>
      </c>
      <c r="CK63" s="43">
        <f>ዕቁብ!CL66/Sheet4!$C63</f>
        <v>1</v>
      </c>
      <c r="CL63" s="43">
        <f>ዕቁብ!CM66/Sheet4!$C63</f>
        <v>1</v>
      </c>
      <c r="CM63" s="43">
        <f>ዕቁብ!CN66/Sheet4!$C63</f>
        <v>1</v>
      </c>
      <c r="CN63" s="43">
        <f>ዕቁብ!CO66/Sheet4!$C63</f>
        <v>1</v>
      </c>
      <c r="CO63" s="43">
        <f>ዕቁብ!CP66/Sheet4!$C63</f>
        <v>1</v>
      </c>
      <c r="CP63" s="43">
        <f>ዕቁብ!CQ66/Sheet4!$C63</f>
        <v>1</v>
      </c>
      <c r="CQ63" s="43">
        <f>ዕቁብ!CR66/Sheet4!$C63</f>
        <v>1</v>
      </c>
      <c r="CR63" s="43">
        <f>ዕቁብ!CS66/Sheet4!$C63</f>
        <v>1</v>
      </c>
      <c r="CS63" s="43">
        <f>ዕቁብ!CT66/Sheet4!$C63</f>
        <v>1</v>
      </c>
      <c r="CT63" s="43">
        <f>ዕቁብ!CU66/Sheet4!$C63</f>
        <v>1</v>
      </c>
      <c r="CU63" s="43">
        <f>ዕቁብ!CV66/Sheet4!$C63</f>
        <v>1</v>
      </c>
      <c r="CV63" s="43">
        <f>ዕቁብ!CW66/Sheet4!$C63</f>
        <v>1</v>
      </c>
      <c r="CW63" s="43">
        <f>ዕቁብ!CX66/Sheet4!$C63</f>
        <v>1</v>
      </c>
      <c r="CX63" s="43">
        <f>ዕቁብ!CY66/Sheet4!$C63</f>
        <v>1</v>
      </c>
      <c r="CY63" s="43">
        <f>ዕቁብ!CZ66/Sheet4!$C63</f>
        <v>1</v>
      </c>
      <c r="CZ63" s="43">
        <f>ዕቁብ!DA66/Sheet4!$C63</f>
        <v>1</v>
      </c>
      <c r="DA63" s="43">
        <f>ዕቁብ!DB66/Sheet4!$C63</f>
        <v>1</v>
      </c>
      <c r="DB63" s="43">
        <f>ዕቁብ!DC66/Sheet4!$C63</f>
        <v>1</v>
      </c>
      <c r="DC63" s="43">
        <f>ዕቁብ!DD66/Sheet4!$C63</f>
        <v>1</v>
      </c>
      <c r="DD63" s="43">
        <f>ዕቁብ!DE66/Sheet4!$C63</f>
        <v>1</v>
      </c>
      <c r="DE63" s="43">
        <f>ዕቁብ!DF66/Sheet4!$C63</f>
        <v>1</v>
      </c>
      <c r="DF63" s="43">
        <f>ዕቁብ!DG66/Sheet4!$C63</f>
        <v>1</v>
      </c>
      <c r="DG63" s="43">
        <f>ዕቁብ!DH66/Sheet4!$C63</f>
        <v>1</v>
      </c>
      <c r="DH63" s="43">
        <f>ዕቁብ!DI66/Sheet4!$C63</f>
        <v>0</v>
      </c>
      <c r="DI63" s="43">
        <f>ዕቁብ!DJ66/Sheet4!$C63</f>
        <v>0</v>
      </c>
      <c r="DJ63" s="43">
        <f>ዕቁብ!DK66/Sheet4!$C63</f>
        <v>0</v>
      </c>
      <c r="DK63" s="43">
        <f>ዕቁብ!DL66/Sheet4!$C63</f>
        <v>0</v>
      </c>
      <c r="DL63" s="43">
        <f>ዕቁብ!DM66/Sheet4!$C63</f>
        <v>0</v>
      </c>
      <c r="DM63" s="43">
        <f>ዕቁብ!DN66/Sheet4!$C63</f>
        <v>0</v>
      </c>
      <c r="DN63" s="43">
        <f>ዕቁብ!DO66/Sheet4!$C63</f>
        <v>0</v>
      </c>
      <c r="DO63" s="43">
        <f>ዕቁብ!DP66/Sheet4!$C63</f>
        <v>0</v>
      </c>
      <c r="DP63" s="43">
        <f>ዕቁብ!DQ66/Sheet4!$C63</f>
        <v>0</v>
      </c>
      <c r="DQ63" s="43">
        <f>ዕቁብ!DR66/Sheet4!$C63</f>
        <v>0</v>
      </c>
    </row>
    <row r="64" spans="1:121" ht="15.75" customHeight="1" x14ac:dyDescent="0.3">
      <c r="A64" s="40">
        <f>ዕቁብ!A67</f>
        <v>61</v>
      </c>
      <c r="B64" s="40" t="str">
        <f>ዕቁብ!B67</f>
        <v>አልማዝ ደምሴ</v>
      </c>
      <c r="C64" s="30">
        <f>ዕቁብ!C67</f>
        <v>21000</v>
      </c>
      <c r="D64" s="43">
        <f>ዕቁብ!E67/Sheet4!$C64</f>
        <v>1</v>
      </c>
      <c r="E64" s="43">
        <f>ዕቁብ!F67/Sheet4!$C64</f>
        <v>1</v>
      </c>
      <c r="F64" s="43">
        <f>ዕቁብ!G67/Sheet4!$C64</f>
        <v>1</v>
      </c>
      <c r="G64" s="43">
        <f>ዕቁብ!H67/Sheet4!$C64</f>
        <v>1</v>
      </c>
      <c r="H64" s="43">
        <f>ዕቁብ!I67/Sheet4!$C64</f>
        <v>1</v>
      </c>
      <c r="I64" s="43">
        <f>ዕቁብ!J67/Sheet4!$C64</f>
        <v>1</v>
      </c>
      <c r="J64" s="43">
        <f>ዕቁብ!K67/Sheet4!$C64</f>
        <v>1</v>
      </c>
      <c r="K64" s="43">
        <f>ዕቁብ!L67/Sheet4!$C64</f>
        <v>1</v>
      </c>
      <c r="L64" s="43">
        <f>ዕቁብ!M67/Sheet4!$C64</f>
        <v>1</v>
      </c>
      <c r="M64" s="43">
        <f>ዕቁብ!N67/Sheet4!$C64</f>
        <v>1</v>
      </c>
      <c r="N64" s="43">
        <f>ዕቁብ!O67/Sheet4!$C64</f>
        <v>1</v>
      </c>
      <c r="O64" s="43">
        <f>ዕቁብ!P67/Sheet4!$C64</f>
        <v>1</v>
      </c>
      <c r="P64" s="43">
        <f>ዕቁብ!Q67/Sheet4!$C64</f>
        <v>1</v>
      </c>
      <c r="Q64" s="43">
        <f>ዕቁብ!R67/Sheet4!$C64</f>
        <v>1</v>
      </c>
      <c r="R64" s="43">
        <f>ዕቁብ!S67/Sheet4!$C64</f>
        <v>1</v>
      </c>
      <c r="S64" s="43">
        <f>ዕቁብ!T67/Sheet4!$C64</f>
        <v>1</v>
      </c>
      <c r="T64" s="43">
        <f>ዕቁብ!U67/Sheet4!$C64</f>
        <v>1</v>
      </c>
      <c r="U64" s="43">
        <f>ዕቁብ!V67/Sheet4!$C64</f>
        <v>1</v>
      </c>
      <c r="V64" s="43">
        <f>ዕቁብ!W67/Sheet4!$C64</f>
        <v>1</v>
      </c>
      <c r="W64" s="43">
        <f>ዕቁብ!X67/Sheet4!$C64</f>
        <v>0</v>
      </c>
      <c r="X64" s="43">
        <f>ዕቁብ!Y67/Sheet4!$C64</f>
        <v>0</v>
      </c>
      <c r="Y64" s="43">
        <f>ዕቁብ!Z67/Sheet4!$C64</f>
        <v>1</v>
      </c>
      <c r="Z64" s="43">
        <f>ዕቁብ!AA67/Sheet4!$C64</f>
        <v>0</v>
      </c>
      <c r="AA64" s="43">
        <f>ዕቁብ!AB67/Sheet4!$C64</f>
        <v>4</v>
      </c>
      <c r="AB64" s="43">
        <f>ዕቁብ!AC67/Sheet4!$C64</f>
        <v>1</v>
      </c>
      <c r="AC64" s="43">
        <f>ዕቁብ!AD67/Sheet4!$C64</f>
        <v>1</v>
      </c>
      <c r="AD64" s="43">
        <f>ዕቁብ!AE67/Sheet4!$C64</f>
        <v>1</v>
      </c>
      <c r="AE64" s="43">
        <f>ዕቁብ!AF67/Sheet4!$C64</f>
        <v>1</v>
      </c>
      <c r="AF64" s="43">
        <f>ዕቁብ!AG67/Sheet4!$C64</f>
        <v>1</v>
      </c>
      <c r="AG64" s="43">
        <f>ዕቁብ!AH67/Sheet4!$C64</f>
        <v>1</v>
      </c>
      <c r="AH64" s="43">
        <f>ዕቁብ!AI67/Sheet4!$C64</f>
        <v>1</v>
      </c>
      <c r="AI64" s="43">
        <f>ዕቁብ!AJ67/Sheet4!$C64</f>
        <v>1</v>
      </c>
      <c r="AJ64" s="43">
        <f>ዕቁብ!AK67/Sheet4!$C64</f>
        <v>1</v>
      </c>
      <c r="AK64" s="43">
        <f>ዕቁብ!AL67/Sheet4!$C64</f>
        <v>0</v>
      </c>
      <c r="AL64" s="43">
        <f>ዕቁብ!AM67/Sheet4!$C64</f>
        <v>2</v>
      </c>
      <c r="AM64" s="43">
        <f>ዕቁብ!AN67/Sheet4!$C64</f>
        <v>1</v>
      </c>
      <c r="AN64" s="43">
        <f>ዕቁብ!AO67/Sheet4!$C64</f>
        <v>1</v>
      </c>
      <c r="AO64" s="43">
        <f>ዕቁብ!AP67/Sheet4!$C64</f>
        <v>1</v>
      </c>
      <c r="AP64" s="43">
        <f>ዕቁብ!AQ67/Sheet4!$C64</f>
        <v>1</v>
      </c>
      <c r="AQ64" s="43">
        <f>ዕቁብ!AR67/Sheet4!$C64</f>
        <v>1</v>
      </c>
      <c r="AR64" s="43">
        <f>ዕቁብ!AS67/Sheet4!$C64</f>
        <v>0</v>
      </c>
      <c r="AS64" s="43">
        <f>ዕቁብ!AT67/Sheet4!$C64</f>
        <v>2</v>
      </c>
      <c r="AT64" s="43">
        <f>ዕቁብ!AU67/Sheet4!$C64</f>
        <v>1</v>
      </c>
      <c r="AU64" s="43">
        <f>ዕቁብ!AV67/Sheet4!$C64</f>
        <v>1</v>
      </c>
      <c r="AV64" s="43">
        <f>ዕቁብ!AW67/Sheet4!$C64</f>
        <v>1</v>
      </c>
      <c r="AW64" s="43">
        <f>ዕቁብ!AX67/Sheet4!$C64</f>
        <v>1</v>
      </c>
      <c r="AX64" s="43">
        <f>ዕቁብ!AY67/Sheet4!$C64</f>
        <v>1</v>
      </c>
      <c r="AY64" s="43">
        <f>ዕቁብ!AZ67/Sheet4!$C64</f>
        <v>1</v>
      </c>
      <c r="AZ64" s="43">
        <f>ዕቁብ!BA67/Sheet4!$C64</f>
        <v>1</v>
      </c>
      <c r="BA64" s="43">
        <f>ዕቁብ!BB67/Sheet4!$C64</f>
        <v>1</v>
      </c>
      <c r="BB64" s="43">
        <f>ዕቁብ!BC67/Sheet4!$C64</f>
        <v>1</v>
      </c>
      <c r="BC64" s="43">
        <f>ዕቁብ!BD67/Sheet4!$C64</f>
        <v>1</v>
      </c>
      <c r="BD64" s="43">
        <f>ዕቁብ!BE67/Sheet4!$C64</f>
        <v>1</v>
      </c>
      <c r="BE64" s="43">
        <f>ዕቁብ!BF67/Sheet4!$C64</f>
        <v>1</v>
      </c>
      <c r="BF64" s="43">
        <f>ዕቁብ!BG67/Sheet4!$C64</f>
        <v>1</v>
      </c>
      <c r="BG64" s="43">
        <f>ዕቁብ!BH67/Sheet4!$C64</f>
        <v>1</v>
      </c>
      <c r="BH64" s="43">
        <f>ዕቁብ!BI67/Sheet4!$C64</f>
        <v>1</v>
      </c>
      <c r="BI64" s="43">
        <f>ዕቁብ!BJ67/Sheet4!$C64</f>
        <v>1</v>
      </c>
      <c r="BJ64" s="43">
        <f>ዕቁብ!BK67/Sheet4!$C64</f>
        <v>1</v>
      </c>
      <c r="BK64" s="43">
        <f>ዕቁብ!BL67/Sheet4!$C64</f>
        <v>0</v>
      </c>
      <c r="BL64" s="43">
        <f>ዕቁብ!BM67/Sheet4!$C64</f>
        <v>2</v>
      </c>
      <c r="BM64" s="43">
        <f>ዕቁብ!BN67/Sheet4!$C64</f>
        <v>1</v>
      </c>
      <c r="BN64" s="43">
        <f>ዕቁብ!BO67/Sheet4!$C64</f>
        <v>0</v>
      </c>
      <c r="BO64" s="43">
        <f>ዕቁብ!BP67/Sheet4!$C64</f>
        <v>2</v>
      </c>
      <c r="BP64" s="43">
        <f>ዕቁብ!BQ67/Sheet4!$C64</f>
        <v>1</v>
      </c>
      <c r="BQ64" s="43">
        <f>ዕቁብ!BR67/Sheet4!$C64</f>
        <v>1</v>
      </c>
      <c r="BR64" s="43">
        <f>ዕቁብ!BS67/Sheet4!$C64</f>
        <v>1</v>
      </c>
      <c r="BS64" s="43">
        <f>ዕቁብ!BT67/Sheet4!$C64</f>
        <v>1</v>
      </c>
      <c r="BT64" s="43">
        <f>ዕቁብ!BU67/Sheet4!$C64</f>
        <v>1</v>
      </c>
      <c r="BU64" s="43">
        <f>ዕቁብ!BV67/Sheet4!$C64</f>
        <v>0</v>
      </c>
      <c r="BV64" s="43">
        <f>ዕቁብ!BW67/Sheet4!$C64</f>
        <v>1</v>
      </c>
      <c r="BW64" s="43">
        <f>ዕቁብ!BX67/Sheet4!$C64</f>
        <v>0</v>
      </c>
      <c r="BX64" s="43">
        <f>ዕቁብ!BY67/Sheet4!$C64</f>
        <v>1</v>
      </c>
      <c r="BY64" s="43">
        <f>ዕቁብ!BZ67/Sheet4!$C64</f>
        <v>1</v>
      </c>
      <c r="BZ64" s="43">
        <f>ዕቁብ!CA67/Sheet4!$C64</f>
        <v>1</v>
      </c>
      <c r="CA64" s="43">
        <f>ዕቁብ!CB67/Sheet4!$C64</f>
        <v>1</v>
      </c>
      <c r="CB64" s="43">
        <f>ዕቁብ!CC67/Sheet4!$C64</f>
        <v>1</v>
      </c>
      <c r="CC64" s="43">
        <f>ዕቁብ!CD67/Sheet4!$C64</f>
        <v>0</v>
      </c>
      <c r="CD64" s="43">
        <f>ዕቁብ!CE67/Sheet4!$C64</f>
        <v>2</v>
      </c>
      <c r="CE64" s="43">
        <f>ዕቁብ!CF67/Sheet4!$C64</f>
        <v>1</v>
      </c>
      <c r="CF64" s="43">
        <f>ዕቁብ!CG67/Sheet4!$C64</f>
        <v>1</v>
      </c>
      <c r="CG64" s="43">
        <f>ዕቁብ!CH67/Sheet4!$C64</f>
        <v>1</v>
      </c>
      <c r="CH64" s="43">
        <f>ዕቁብ!CI67/Sheet4!$C64</f>
        <v>1</v>
      </c>
      <c r="CI64" s="43">
        <f>ዕቁብ!CJ67/Sheet4!$C64</f>
        <v>1</v>
      </c>
      <c r="CJ64" s="43">
        <f>ዕቁብ!CK67/Sheet4!$C64</f>
        <v>1</v>
      </c>
      <c r="CK64" s="43">
        <f>ዕቁብ!CL67/Sheet4!$C64</f>
        <v>1</v>
      </c>
      <c r="CL64" s="43">
        <f>ዕቁብ!CM67/Sheet4!$C64</f>
        <v>1</v>
      </c>
      <c r="CM64" s="43">
        <f>ዕቁብ!CN67/Sheet4!$C64</f>
        <v>1</v>
      </c>
      <c r="CN64" s="43">
        <f>ዕቁብ!CO67/Sheet4!$C64</f>
        <v>2</v>
      </c>
      <c r="CO64" s="43">
        <f>ዕቁብ!CP67/Sheet4!$C64</f>
        <v>1</v>
      </c>
      <c r="CP64" s="43">
        <f>ዕቁብ!CQ67/Sheet4!$C64</f>
        <v>1</v>
      </c>
      <c r="CQ64" s="43">
        <f>ዕቁብ!CR67/Sheet4!$C64</f>
        <v>1</v>
      </c>
      <c r="CR64" s="43">
        <f>ዕቁብ!CS67/Sheet4!$C64</f>
        <v>0</v>
      </c>
      <c r="CS64" s="43">
        <f>ዕቁብ!CT67/Sheet4!$C64</f>
        <v>0</v>
      </c>
      <c r="CT64" s="43">
        <f>ዕቁብ!CU67/Sheet4!$C64</f>
        <v>1</v>
      </c>
      <c r="CU64" s="43">
        <f>ዕቁብ!CV67/Sheet4!$C64</f>
        <v>1</v>
      </c>
      <c r="CV64" s="43">
        <f>ዕቁብ!CW67/Sheet4!$C64</f>
        <v>0</v>
      </c>
      <c r="CW64" s="43">
        <f>ዕቁብ!CX67/Sheet4!$C64</f>
        <v>3</v>
      </c>
      <c r="CX64" s="43">
        <f>ዕቁብ!CY67/Sheet4!$C64</f>
        <v>1</v>
      </c>
      <c r="CY64" s="43">
        <f>ዕቁብ!CZ67/Sheet4!$C64</f>
        <v>1</v>
      </c>
      <c r="CZ64" s="43">
        <f>ዕቁብ!DA67/Sheet4!$C64</f>
        <v>1</v>
      </c>
      <c r="DA64" s="43">
        <f>ዕቁብ!DB67/Sheet4!$C64</f>
        <v>1</v>
      </c>
      <c r="DB64" s="43">
        <f>ዕቁብ!DC67/Sheet4!$C64</f>
        <v>0</v>
      </c>
      <c r="DC64" s="43">
        <f>ዕቁብ!DD67/Sheet4!$C64</f>
        <v>1</v>
      </c>
      <c r="DD64" s="43">
        <f>ዕቁብ!DE67/Sheet4!$C64</f>
        <v>1</v>
      </c>
      <c r="DE64" s="43">
        <f>ዕቁብ!DF67/Sheet4!$C64</f>
        <v>1</v>
      </c>
      <c r="DF64" s="43">
        <f>ዕቁብ!DG67/Sheet4!$C64</f>
        <v>0</v>
      </c>
      <c r="DG64" s="43">
        <f>ዕቁብ!DH67/Sheet4!$C64</f>
        <v>0</v>
      </c>
      <c r="DH64" s="43">
        <f>ዕቁብ!DI67/Sheet4!$C64</f>
        <v>0</v>
      </c>
      <c r="DI64" s="43">
        <f>ዕቁብ!DJ67/Sheet4!$C64</f>
        <v>0</v>
      </c>
      <c r="DJ64" s="43">
        <f>ዕቁብ!DK67/Sheet4!$C64</f>
        <v>0</v>
      </c>
      <c r="DK64" s="43">
        <f>ዕቁብ!DL67/Sheet4!$C64</f>
        <v>0</v>
      </c>
      <c r="DL64" s="43">
        <f>ዕቁብ!DM67/Sheet4!$C64</f>
        <v>0</v>
      </c>
      <c r="DM64" s="43">
        <f>ዕቁብ!DN67/Sheet4!$C64</f>
        <v>0</v>
      </c>
      <c r="DN64" s="43">
        <f>ዕቁብ!DO67/Sheet4!$C64</f>
        <v>0</v>
      </c>
      <c r="DO64" s="43">
        <f>ዕቁብ!DP67/Sheet4!$C64</f>
        <v>0</v>
      </c>
      <c r="DP64" s="43">
        <f>ዕቁብ!DQ67/Sheet4!$C64</f>
        <v>0</v>
      </c>
      <c r="DQ64" s="43">
        <f>ዕቁብ!DR67/Sheet4!$C64</f>
        <v>0</v>
      </c>
    </row>
    <row r="65" spans="1:121" ht="15.75" customHeight="1" x14ac:dyDescent="0.3">
      <c r="A65" s="40">
        <f>ዕቁብ!A68</f>
        <v>62</v>
      </c>
      <c r="B65" s="40" t="str">
        <f>ዕቁብ!B68</f>
        <v>ዳንኤል ጎሌ</v>
      </c>
      <c r="C65" s="30">
        <f>ዕቁብ!C68</f>
        <v>21000</v>
      </c>
      <c r="D65" s="43">
        <f>ዕቁብ!E68/Sheet4!$C65</f>
        <v>1</v>
      </c>
      <c r="E65" s="43">
        <f>ዕቁብ!F68/Sheet4!$C65</f>
        <v>1</v>
      </c>
      <c r="F65" s="43">
        <f>ዕቁብ!G68/Sheet4!$C65</f>
        <v>1</v>
      </c>
      <c r="G65" s="43">
        <f>ዕቁብ!H68/Sheet4!$C65</f>
        <v>1</v>
      </c>
      <c r="H65" s="43">
        <f>ዕቁብ!I68/Sheet4!$C65</f>
        <v>1</v>
      </c>
      <c r="I65" s="43">
        <f>ዕቁብ!J68/Sheet4!$C65</f>
        <v>1</v>
      </c>
      <c r="J65" s="43">
        <f>ዕቁብ!K68/Sheet4!$C65</f>
        <v>1</v>
      </c>
      <c r="K65" s="43">
        <f>ዕቁብ!L68/Sheet4!$C65</f>
        <v>1</v>
      </c>
      <c r="L65" s="43">
        <f>ዕቁብ!M68/Sheet4!$C65</f>
        <v>1</v>
      </c>
      <c r="M65" s="43">
        <f>ዕቁብ!N68/Sheet4!$C65</f>
        <v>1</v>
      </c>
      <c r="N65" s="43">
        <f>ዕቁብ!O68/Sheet4!$C65</f>
        <v>1</v>
      </c>
      <c r="O65" s="43">
        <f>ዕቁብ!P68/Sheet4!$C65</f>
        <v>1</v>
      </c>
      <c r="P65" s="43">
        <f>ዕቁብ!Q68/Sheet4!$C65</f>
        <v>1</v>
      </c>
      <c r="Q65" s="43">
        <f>ዕቁብ!R68/Sheet4!$C65</f>
        <v>1</v>
      </c>
      <c r="R65" s="43">
        <f>ዕቁብ!S68/Sheet4!$C65</f>
        <v>1</v>
      </c>
      <c r="S65" s="43">
        <f>ዕቁብ!T68/Sheet4!$C65</f>
        <v>1</v>
      </c>
      <c r="T65" s="43">
        <f>ዕቁብ!U68/Sheet4!$C65</f>
        <v>1</v>
      </c>
      <c r="U65" s="43">
        <f>ዕቁብ!V68/Sheet4!$C65</f>
        <v>1</v>
      </c>
      <c r="V65" s="43">
        <f>ዕቁብ!W68/Sheet4!$C65</f>
        <v>1</v>
      </c>
      <c r="W65" s="43">
        <f>ዕቁብ!X68/Sheet4!$C65</f>
        <v>1</v>
      </c>
      <c r="X65" s="43">
        <f>ዕቁብ!Y68/Sheet4!$C65</f>
        <v>1</v>
      </c>
      <c r="Y65" s="43">
        <f>ዕቁብ!Z68/Sheet4!$C65</f>
        <v>1</v>
      </c>
      <c r="Z65" s="43">
        <f>ዕቁብ!AA68/Sheet4!$C65</f>
        <v>1</v>
      </c>
      <c r="AA65" s="43">
        <f>ዕቁብ!AB68/Sheet4!$C65</f>
        <v>1</v>
      </c>
      <c r="AB65" s="43">
        <f>ዕቁብ!AC68/Sheet4!$C65</f>
        <v>1</v>
      </c>
      <c r="AC65" s="43">
        <f>ዕቁብ!AD68/Sheet4!$C65</f>
        <v>1</v>
      </c>
      <c r="AD65" s="43">
        <f>ዕቁብ!AE68/Sheet4!$C65</f>
        <v>1</v>
      </c>
      <c r="AE65" s="43">
        <f>ዕቁብ!AF68/Sheet4!$C65</f>
        <v>1</v>
      </c>
      <c r="AF65" s="43">
        <f>ዕቁብ!AG68/Sheet4!$C65</f>
        <v>1</v>
      </c>
      <c r="AG65" s="43">
        <f>ዕቁብ!AH68/Sheet4!$C65</f>
        <v>1</v>
      </c>
      <c r="AH65" s="43">
        <f>ዕቁብ!AI68/Sheet4!$C65</f>
        <v>1</v>
      </c>
      <c r="AI65" s="43">
        <f>ዕቁብ!AJ68/Sheet4!$C65</f>
        <v>1</v>
      </c>
      <c r="AJ65" s="43">
        <f>ዕቁብ!AK68/Sheet4!$C65</f>
        <v>1</v>
      </c>
      <c r="AK65" s="43">
        <f>ዕቁብ!AL68/Sheet4!$C65</f>
        <v>1</v>
      </c>
      <c r="AL65" s="43">
        <f>ዕቁብ!AM68/Sheet4!$C65</f>
        <v>1</v>
      </c>
      <c r="AM65" s="43">
        <f>ዕቁብ!AN68/Sheet4!$C65</f>
        <v>1</v>
      </c>
      <c r="AN65" s="43">
        <f>ዕቁብ!AO68/Sheet4!$C65</f>
        <v>1</v>
      </c>
      <c r="AO65" s="43">
        <f>ዕቁብ!AP68/Sheet4!$C65</f>
        <v>1</v>
      </c>
      <c r="AP65" s="43">
        <f>ዕቁብ!AQ68/Sheet4!$C65</f>
        <v>1</v>
      </c>
      <c r="AQ65" s="43">
        <f>ዕቁብ!AR68/Sheet4!$C65</f>
        <v>1</v>
      </c>
      <c r="AR65" s="43">
        <f>ዕቁብ!AS68/Sheet4!$C65</f>
        <v>1</v>
      </c>
      <c r="AS65" s="43">
        <f>ዕቁብ!AT68/Sheet4!$C65</f>
        <v>1</v>
      </c>
      <c r="AT65" s="43">
        <f>ዕቁብ!AU68/Sheet4!$C65</f>
        <v>1</v>
      </c>
      <c r="AU65" s="43">
        <f>ዕቁብ!AV68/Sheet4!$C65</f>
        <v>1</v>
      </c>
      <c r="AV65" s="43">
        <f>ዕቁብ!AW68/Sheet4!$C65</f>
        <v>1</v>
      </c>
      <c r="AW65" s="43">
        <f>ዕቁብ!AX68/Sheet4!$C65</f>
        <v>1</v>
      </c>
      <c r="AX65" s="43">
        <f>ዕቁብ!AY68/Sheet4!$C65</f>
        <v>1</v>
      </c>
      <c r="AY65" s="43">
        <f>ዕቁብ!AZ68/Sheet4!$C65</f>
        <v>1</v>
      </c>
      <c r="AZ65" s="43">
        <f>ዕቁብ!BA68/Sheet4!$C65</f>
        <v>1</v>
      </c>
      <c r="BA65" s="43">
        <f>ዕቁብ!BB68/Sheet4!$C65</f>
        <v>1</v>
      </c>
      <c r="BB65" s="43">
        <f>ዕቁብ!BC68/Sheet4!$C65</f>
        <v>1</v>
      </c>
      <c r="BC65" s="43">
        <f>ዕቁብ!BD68/Sheet4!$C65</f>
        <v>1</v>
      </c>
      <c r="BD65" s="43">
        <f>ዕቁብ!BE68/Sheet4!$C65</f>
        <v>1</v>
      </c>
      <c r="BE65" s="43">
        <f>ዕቁብ!BF68/Sheet4!$C65</f>
        <v>1</v>
      </c>
      <c r="BF65" s="43">
        <f>ዕቁብ!BG68/Sheet4!$C65</f>
        <v>1</v>
      </c>
      <c r="BG65" s="43">
        <f>ዕቁብ!BH68/Sheet4!$C65</f>
        <v>1</v>
      </c>
      <c r="BH65" s="43">
        <f>ዕቁብ!BI68/Sheet4!$C65</f>
        <v>1</v>
      </c>
      <c r="BI65" s="43">
        <f>ዕቁብ!BJ68/Sheet4!$C65</f>
        <v>1</v>
      </c>
      <c r="BJ65" s="43">
        <f>ዕቁብ!BK68/Sheet4!$C65</f>
        <v>1</v>
      </c>
      <c r="BK65" s="43">
        <f>ዕቁብ!BL68/Sheet4!$C65</f>
        <v>1</v>
      </c>
      <c r="BL65" s="43">
        <f>ዕቁብ!BM68/Sheet4!$C65</f>
        <v>1</v>
      </c>
      <c r="BM65" s="43">
        <f>ዕቁብ!BN68/Sheet4!$C65</f>
        <v>1</v>
      </c>
      <c r="BN65" s="43">
        <f>ዕቁብ!BO68/Sheet4!$C65</f>
        <v>1</v>
      </c>
      <c r="BO65" s="43">
        <f>ዕቁብ!BP68/Sheet4!$C65</f>
        <v>1</v>
      </c>
      <c r="BP65" s="43">
        <f>ዕቁብ!BQ68/Sheet4!$C65</f>
        <v>1</v>
      </c>
      <c r="BQ65" s="43">
        <f>ዕቁብ!BR68/Sheet4!$C65</f>
        <v>1</v>
      </c>
      <c r="BR65" s="43">
        <f>ዕቁብ!BS68/Sheet4!$C65</f>
        <v>1</v>
      </c>
      <c r="BS65" s="43">
        <f>ዕቁብ!BT68/Sheet4!$C65</f>
        <v>1</v>
      </c>
      <c r="BT65" s="43">
        <f>ዕቁብ!BU68/Sheet4!$C65</f>
        <v>1</v>
      </c>
      <c r="BU65" s="43">
        <f>ዕቁብ!BV68/Sheet4!$C65</f>
        <v>1</v>
      </c>
      <c r="BV65" s="43">
        <f>ዕቁብ!BW68/Sheet4!$C65</f>
        <v>1</v>
      </c>
      <c r="BW65" s="43">
        <f>ዕቁብ!BX68/Sheet4!$C65</f>
        <v>1</v>
      </c>
      <c r="BX65" s="43">
        <f>ዕቁብ!BY68/Sheet4!$C65</f>
        <v>1</v>
      </c>
      <c r="BY65" s="43">
        <f>ዕቁብ!BZ68/Sheet4!$C65</f>
        <v>1</v>
      </c>
      <c r="BZ65" s="43">
        <f>ዕቁብ!CA68/Sheet4!$C65</f>
        <v>1</v>
      </c>
      <c r="CA65" s="43">
        <f>ዕቁብ!CB68/Sheet4!$C65</f>
        <v>1</v>
      </c>
      <c r="CB65" s="43">
        <f>ዕቁብ!CC68/Sheet4!$C65</f>
        <v>1</v>
      </c>
      <c r="CC65" s="43">
        <f>ዕቁብ!CD68/Sheet4!$C65</f>
        <v>1</v>
      </c>
      <c r="CD65" s="43">
        <f>ዕቁብ!CE68/Sheet4!$C65</f>
        <v>1</v>
      </c>
      <c r="CE65" s="43">
        <f>ዕቁብ!CF68/Sheet4!$C65</f>
        <v>1</v>
      </c>
      <c r="CF65" s="43">
        <f>ዕቁብ!CG68/Sheet4!$C65</f>
        <v>1</v>
      </c>
      <c r="CG65" s="43">
        <f>ዕቁብ!CH68/Sheet4!$C65</f>
        <v>0</v>
      </c>
      <c r="CH65" s="43">
        <f>ዕቁብ!CI68/Sheet4!$C65</f>
        <v>2</v>
      </c>
      <c r="CI65" s="43">
        <f>ዕቁብ!CJ68/Sheet4!$C65</f>
        <v>1</v>
      </c>
      <c r="CJ65" s="43">
        <f>ዕቁብ!CK68/Sheet4!$C65</f>
        <v>1</v>
      </c>
      <c r="CK65" s="43">
        <f>ዕቁብ!CL68/Sheet4!$C65</f>
        <v>1</v>
      </c>
      <c r="CL65" s="43">
        <f>ዕቁብ!CM68/Sheet4!$C65</f>
        <v>1</v>
      </c>
      <c r="CM65" s="43">
        <f>ዕቁብ!CN68/Sheet4!$C65</f>
        <v>1</v>
      </c>
      <c r="CN65" s="43">
        <f>ዕቁብ!CO68/Sheet4!$C65</f>
        <v>1</v>
      </c>
      <c r="CO65" s="43">
        <f>ዕቁብ!CP68/Sheet4!$C65</f>
        <v>1</v>
      </c>
      <c r="CP65" s="43">
        <f>ዕቁብ!CQ68/Sheet4!$C65</f>
        <v>1</v>
      </c>
      <c r="CQ65" s="43">
        <f>ዕቁብ!CR68/Sheet4!$C65</f>
        <v>1</v>
      </c>
      <c r="CR65" s="43">
        <f>ዕቁብ!CS68/Sheet4!$C65</f>
        <v>1</v>
      </c>
      <c r="CS65" s="43">
        <f>ዕቁብ!CT68/Sheet4!$C65</f>
        <v>1</v>
      </c>
      <c r="CT65" s="43">
        <f>ዕቁብ!CU68/Sheet4!$C65</f>
        <v>1</v>
      </c>
      <c r="CU65" s="43">
        <f>ዕቁብ!CV68/Sheet4!$C65</f>
        <v>1</v>
      </c>
      <c r="CV65" s="43">
        <f>ዕቁብ!CW68/Sheet4!$C65</f>
        <v>1</v>
      </c>
      <c r="CW65" s="43">
        <f>ዕቁብ!CX68/Sheet4!$C65</f>
        <v>1</v>
      </c>
      <c r="CX65" s="43">
        <f>ዕቁብ!CY68/Sheet4!$C65</f>
        <v>1</v>
      </c>
      <c r="CY65" s="43">
        <f>ዕቁብ!CZ68/Sheet4!$C65</f>
        <v>1</v>
      </c>
      <c r="CZ65" s="43">
        <f>ዕቁብ!DA68/Sheet4!$C65</f>
        <v>1</v>
      </c>
      <c r="DA65" s="43">
        <f>ዕቁብ!DB68/Sheet4!$C65</f>
        <v>1</v>
      </c>
      <c r="DB65" s="43">
        <f>ዕቁብ!DC68/Sheet4!$C65</f>
        <v>1</v>
      </c>
      <c r="DC65" s="43">
        <f>ዕቁብ!DD68/Sheet4!$C65</f>
        <v>1</v>
      </c>
      <c r="DD65" s="43">
        <f>ዕቁብ!DE68/Sheet4!$C65</f>
        <v>1</v>
      </c>
      <c r="DE65" s="43">
        <f>ዕቁብ!DF68/Sheet4!$C65</f>
        <v>1</v>
      </c>
      <c r="DF65" s="43">
        <f>ዕቁብ!DG68/Sheet4!$C65</f>
        <v>1</v>
      </c>
      <c r="DG65" s="43">
        <f>ዕቁብ!DH68/Sheet4!$C65</f>
        <v>1</v>
      </c>
      <c r="DH65" s="43">
        <f>ዕቁብ!DI68/Sheet4!$C65</f>
        <v>0</v>
      </c>
      <c r="DI65" s="43">
        <f>ዕቁብ!DJ68/Sheet4!$C65</f>
        <v>0</v>
      </c>
      <c r="DJ65" s="43">
        <f>ዕቁብ!DK68/Sheet4!$C65</f>
        <v>0</v>
      </c>
      <c r="DK65" s="43">
        <f>ዕቁብ!DL68/Sheet4!$C65</f>
        <v>0</v>
      </c>
      <c r="DL65" s="43">
        <f>ዕቁብ!DM68/Sheet4!$C65</f>
        <v>0</v>
      </c>
      <c r="DM65" s="43">
        <f>ዕቁብ!DN68/Sheet4!$C65</f>
        <v>0</v>
      </c>
      <c r="DN65" s="43">
        <f>ዕቁብ!DO68/Sheet4!$C65</f>
        <v>0</v>
      </c>
      <c r="DO65" s="43">
        <f>ዕቁብ!DP68/Sheet4!$C65</f>
        <v>0</v>
      </c>
      <c r="DP65" s="43">
        <f>ዕቁብ!DQ68/Sheet4!$C65</f>
        <v>0</v>
      </c>
      <c r="DQ65" s="43">
        <f>ዕቁብ!DR68/Sheet4!$C65</f>
        <v>0</v>
      </c>
    </row>
    <row r="66" spans="1:121" ht="15.75" customHeight="1" x14ac:dyDescent="0.3">
      <c r="A66" s="40">
        <f>ዕቁብ!A69</f>
        <v>63</v>
      </c>
      <c r="B66" s="40" t="str">
        <f>ዕቁብ!B69</f>
        <v>ፍቅሩ ሰጋሮ</v>
      </c>
      <c r="C66" s="30">
        <f>ዕቁብ!C69</f>
        <v>21000</v>
      </c>
      <c r="D66" s="43">
        <f>ዕቁብ!E69/Sheet4!$C66</f>
        <v>1</v>
      </c>
      <c r="E66" s="43">
        <f>ዕቁብ!F69/Sheet4!$C66</f>
        <v>1</v>
      </c>
      <c r="F66" s="43">
        <f>ዕቁብ!G69/Sheet4!$C66</f>
        <v>1</v>
      </c>
      <c r="G66" s="43">
        <f>ዕቁብ!H69/Sheet4!$C66</f>
        <v>1</v>
      </c>
      <c r="H66" s="43">
        <f>ዕቁብ!I69/Sheet4!$C66</f>
        <v>1</v>
      </c>
      <c r="I66" s="43">
        <f>ዕቁብ!J69/Sheet4!$C66</f>
        <v>1</v>
      </c>
      <c r="J66" s="43">
        <f>ዕቁብ!K69/Sheet4!$C66</f>
        <v>1</v>
      </c>
      <c r="K66" s="43">
        <f>ዕቁብ!L69/Sheet4!$C66</f>
        <v>1</v>
      </c>
      <c r="L66" s="43">
        <f>ዕቁብ!M69/Sheet4!$C66</f>
        <v>1</v>
      </c>
      <c r="M66" s="43">
        <f>ዕቁብ!N69/Sheet4!$C66</f>
        <v>1</v>
      </c>
      <c r="N66" s="43">
        <f>ዕቁብ!O69/Sheet4!$C66</f>
        <v>1</v>
      </c>
      <c r="O66" s="43">
        <f>ዕቁብ!P69/Sheet4!$C66</f>
        <v>1</v>
      </c>
      <c r="P66" s="43">
        <f>ዕቁብ!Q69/Sheet4!$C66</f>
        <v>1</v>
      </c>
      <c r="Q66" s="43">
        <f>ዕቁብ!R69/Sheet4!$C66</f>
        <v>1</v>
      </c>
      <c r="R66" s="43">
        <f>ዕቁብ!S69/Sheet4!$C66</f>
        <v>1</v>
      </c>
      <c r="S66" s="43">
        <f>ዕቁብ!T69/Sheet4!$C66</f>
        <v>1</v>
      </c>
      <c r="T66" s="43">
        <f>ዕቁብ!U69/Sheet4!$C66</f>
        <v>1</v>
      </c>
      <c r="U66" s="43">
        <f>ዕቁብ!V69/Sheet4!$C66</f>
        <v>1</v>
      </c>
      <c r="V66" s="43">
        <f>ዕቁብ!W69/Sheet4!$C66</f>
        <v>1</v>
      </c>
      <c r="W66" s="43">
        <f>ዕቁብ!X69/Sheet4!$C66</f>
        <v>1</v>
      </c>
      <c r="X66" s="43">
        <f>ዕቁብ!Y69/Sheet4!$C66</f>
        <v>1</v>
      </c>
      <c r="Y66" s="43">
        <f>ዕቁብ!Z69/Sheet4!$C66</f>
        <v>1</v>
      </c>
      <c r="Z66" s="43">
        <f>ዕቁብ!AA69/Sheet4!$C66</f>
        <v>1</v>
      </c>
      <c r="AA66" s="43">
        <f>ዕቁብ!AB69/Sheet4!$C66</f>
        <v>0</v>
      </c>
      <c r="AB66" s="43">
        <f>ዕቁብ!AC69/Sheet4!$C66</f>
        <v>2</v>
      </c>
      <c r="AC66" s="43">
        <f>ዕቁብ!AD69/Sheet4!$C66</f>
        <v>1</v>
      </c>
      <c r="AD66" s="43">
        <f>ዕቁብ!AE69/Sheet4!$C66</f>
        <v>1</v>
      </c>
      <c r="AE66" s="43">
        <f>ዕቁብ!AF69/Sheet4!$C66</f>
        <v>1</v>
      </c>
      <c r="AF66" s="43">
        <f>ዕቁብ!AG69/Sheet4!$C66</f>
        <v>1</v>
      </c>
      <c r="AG66" s="43">
        <f>ዕቁብ!AH69/Sheet4!$C66</f>
        <v>1</v>
      </c>
      <c r="AH66" s="43">
        <f>ዕቁብ!AI69/Sheet4!$C66</f>
        <v>1</v>
      </c>
      <c r="AI66" s="43">
        <f>ዕቁብ!AJ69/Sheet4!$C66</f>
        <v>1</v>
      </c>
      <c r="AJ66" s="43">
        <f>ዕቁብ!AK69/Sheet4!$C66</f>
        <v>1</v>
      </c>
      <c r="AK66" s="43">
        <f>ዕቁብ!AL69/Sheet4!$C66</f>
        <v>1</v>
      </c>
      <c r="AL66" s="43">
        <f>ዕቁብ!AM69/Sheet4!$C66</f>
        <v>1</v>
      </c>
      <c r="AM66" s="43">
        <f>ዕቁብ!AN69/Sheet4!$C66</f>
        <v>1</v>
      </c>
      <c r="AN66" s="43">
        <f>ዕቁብ!AO69/Sheet4!$C66</f>
        <v>1</v>
      </c>
      <c r="AO66" s="43">
        <f>ዕቁብ!AP69/Sheet4!$C66</f>
        <v>1</v>
      </c>
      <c r="AP66" s="43">
        <f>ዕቁብ!AQ69/Sheet4!$C66</f>
        <v>1</v>
      </c>
      <c r="AQ66" s="43">
        <f>ዕቁብ!AR69/Sheet4!$C66</f>
        <v>1</v>
      </c>
      <c r="AR66" s="43">
        <f>ዕቁብ!AS69/Sheet4!$C66</f>
        <v>1</v>
      </c>
      <c r="AS66" s="43">
        <f>ዕቁብ!AT69/Sheet4!$C66</f>
        <v>1</v>
      </c>
      <c r="AT66" s="43">
        <f>ዕቁብ!AU69/Sheet4!$C66</f>
        <v>1</v>
      </c>
      <c r="AU66" s="43">
        <f>ዕቁብ!AV69/Sheet4!$C66</f>
        <v>1</v>
      </c>
      <c r="AV66" s="43">
        <f>ዕቁብ!AW69/Sheet4!$C66</f>
        <v>1</v>
      </c>
      <c r="AW66" s="43">
        <f>ዕቁብ!AX69/Sheet4!$C66</f>
        <v>1</v>
      </c>
      <c r="AX66" s="43">
        <f>ዕቁብ!AY69/Sheet4!$C66</f>
        <v>1</v>
      </c>
      <c r="AY66" s="43">
        <f>ዕቁብ!AZ69/Sheet4!$C66</f>
        <v>1</v>
      </c>
      <c r="AZ66" s="43">
        <f>ዕቁብ!BA69/Sheet4!$C66</f>
        <v>1</v>
      </c>
      <c r="BA66" s="43">
        <f>ዕቁብ!BB69/Sheet4!$C66</f>
        <v>1</v>
      </c>
      <c r="BB66" s="43">
        <f>ዕቁብ!BC69/Sheet4!$C66</f>
        <v>1</v>
      </c>
      <c r="BC66" s="43">
        <f>ዕቁብ!BD69/Sheet4!$C66</f>
        <v>1</v>
      </c>
      <c r="BD66" s="43">
        <f>ዕቁብ!BE69/Sheet4!$C66</f>
        <v>1</v>
      </c>
      <c r="BE66" s="43">
        <f>ዕቁብ!BF69/Sheet4!$C66</f>
        <v>1</v>
      </c>
      <c r="BF66" s="43">
        <f>ዕቁብ!BG69/Sheet4!$C66</f>
        <v>1</v>
      </c>
      <c r="BG66" s="43">
        <f>ዕቁብ!BH69/Sheet4!$C66</f>
        <v>1</v>
      </c>
      <c r="BH66" s="43">
        <f>ዕቁብ!BI69/Sheet4!$C66</f>
        <v>1</v>
      </c>
      <c r="BI66" s="43">
        <f>ዕቁብ!BJ69/Sheet4!$C66</f>
        <v>1</v>
      </c>
      <c r="BJ66" s="43">
        <f>ዕቁብ!BK69/Sheet4!$C66</f>
        <v>1</v>
      </c>
      <c r="BK66" s="43">
        <f>ዕቁብ!BL69/Sheet4!$C66</f>
        <v>1</v>
      </c>
      <c r="BL66" s="43">
        <f>ዕቁብ!BM69/Sheet4!$C66</f>
        <v>0</v>
      </c>
      <c r="BM66" s="43">
        <f>ዕቁብ!BN69/Sheet4!$C66</f>
        <v>0</v>
      </c>
      <c r="BN66" s="43">
        <f>ዕቁብ!BO69/Sheet4!$C66</f>
        <v>2</v>
      </c>
      <c r="BO66" s="43">
        <f>ዕቁብ!BP69/Sheet4!$C66</f>
        <v>0</v>
      </c>
      <c r="BP66" s="43">
        <f>ዕቁብ!BQ69/Sheet4!$C66</f>
        <v>1</v>
      </c>
      <c r="BQ66" s="43">
        <f>ዕቁብ!BR69/Sheet4!$C66</f>
        <v>1</v>
      </c>
      <c r="BR66" s="43">
        <f>ዕቁብ!BS69/Sheet4!$C66</f>
        <v>1</v>
      </c>
      <c r="BS66" s="43">
        <f>ዕቁብ!BT69/Sheet4!$C66</f>
        <v>0</v>
      </c>
      <c r="BT66" s="43">
        <f>ዕቁብ!BU69/Sheet4!$C66</f>
        <v>1</v>
      </c>
      <c r="BU66" s="43">
        <f>ዕቁብ!BV69/Sheet4!$C66</f>
        <v>0</v>
      </c>
      <c r="BV66" s="43">
        <f>ዕቁብ!BW69/Sheet4!$C66</f>
        <v>1</v>
      </c>
      <c r="BW66" s="43">
        <f>ዕቁብ!BX69/Sheet4!$C66</f>
        <v>1</v>
      </c>
      <c r="BX66" s="43">
        <f>ዕቁብ!BY69/Sheet4!$C66</f>
        <v>1</v>
      </c>
      <c r="BY66" s="43">
        <f>ዕቁብ!BZ69/Sheet4!$C66</f>
        <v>1</v>
      </c>
      <c r="BZ66" s="43">
        <f>ዕቁብ!CA69/Sheet4!$C66</f>
        <v>1</v>
      </c>
      <c r="CA66" s="43">
        <f>ዕቁብ!CB69/Sheet4!$C66</f>
        <v>1</v>
      </c>
      <c r="CB66" s="43">
        <f>ዕቁብ!CC69/Sheet4!$C66</f>
        <v>1</v>
      </c>
      <c r="CC66" s="43">
        <f>ዕቁብ!CD69/Sheet4!$C66</f>
        <v>1</v>
      </c>
      <c r="CD66" s="43">
        <f>ዕቁብ!CE69/Sheet4!$C66</f>
        <v>0</v>
      </c>
      <c r="CE66" s="43">
        <f>ዕቁብ!CF69/Sheet4!$C66</f>
        <v>1</v>
      </c>
      <c r="CF66" s="43">
        <f>ዕቁብ!CG69/Sheet4!$C66</f>
        <v>1</v>
      </c>
      <c r="CG66" s="43">
        <f>ዕቁብ!CH69/Sheet4!$C66</f>
        <v>1</v>
      </c>
      <c r="CH66" s="43">
        <f>ዕቁብ!CI69/Sheet4!$C66</f>
        <v>0</v>
      </c>
      <c r="CI66" s="43">
        <f>ዕቁብ!CJ69/Sheet4!$C66</f>
        <v>2</v>
      </c>
      <c r="CJ66" s="43">
        <f>ዕቁብ!CK69/Sheet4!$C66</f>
        <v>0</v>
      </c>
      <c r="CK66" s="43">
        <f>ዕቁብ!CL69/Sheet4!$C66</f>
        <v>2</v>
      </c>
      <c r="CL66" s="43">
        <f>ዕቁብ!CM69/Sheet4!$C66</f>
        <v>0</v>
      </c>
      <c r="CM66" s="43">
        <f>ዕቁብ!CN69/Sheet4!$C66</f>
        <v>2</v>
      </c>
      <c r="CN66" s="43">
        <f>ዕቁብ!CO69/Sheet4!$C66</f>
        <v>0</v>
      </c>
      <c r="CO66" s="43">
        <f>ዕቁብ!CP69/Sheet4!$C66</f>
        <v>2</v>
      </c>
      <c r="CP66" s="43">
        <f>ዕቁብ!CQ69/Sheet4!$C66</f>
        <v>0</v>
      </c>
      <c r="CQ66" s="43">
        <f>ዕቁብ!CR69/Sheet4!$C66</f>
        <v>2</v>
      </c>
      <c r="CR66" s="43">
        <f>ዕቁብ!CS69/Sheet4!$C66</f>
        <v>0</v>
      </c>
      <c r="CS66" s="43">
        <f>ዕቁብ!CT69/Sheet4!$C66</f>
        <v>2</v>
      </c>
      <c r="CT66" s="43">
        <f>ዕቁብ!CU69/Sheet4!$C66</f>
        <v>0</v>
      </c>
      <c r="CU66" s="43">
        <f>ዕቁብ!CV69/Sheet4!$C66</f>
        <v>1</v>
      </c>
      <c r="CV66" s="43">
        <f>ዕቁብ!CW69/Sheet4!$C66</f>
        <v>2</v>
      </c>
      <c r="CW66" s="43">
        <f>ዕቁብ!CX69/Sheet4!$C66</f>
        <v>0</v>
      </c>
      <c r="CX66" s="43">
        <f>ዕቁብ!CY69/Sheet4!$C66</f>
        <v>2</v>
      </c>
      <c r="CY66" s="43">
        <f>ዕቁብ!CZ69/Sheet4!$C66</f>
        <v>0</v>
      </c>
      <c r="CZ66" s="43">
        <f>ዕቁብ!DA69/Sheet4!$C66</f>
        <v>2</v>
      </c>
      <c r="DA66" s="43">
        <f>ዕቁብ!DB69/Sheet4!$C66</f>
        <v>0</v>
      </c>
      <c r="DB66" s="43">
        <f>ዕቁብ!DC69/Sheet4!$C66</f>
        <v>1</v>
      </c>
      <c r="DC66" s="43">
        <f>ዕቁብ!DD69/Sheet4!$C66</f>
        <v>2</v>
      </c>
      <c r="DD66" s="43">
        <f>ዕቁብ!DE69/Sheet4!$C66</f>
        <v>0</v>
      </c>
      <c r="DE66" s="43">
        <f>ዕቁብ!DF69/Sheet4!$C66</f>
        <v>2</v>
      </c>
      <c r="DF66" s="43">
        <f>ዕቁብ!DG69/Sheet4!$C66</f>
        <v>0</v>
      </c>
      <c r="DG66" s="43">
        <f>ዕቁብ!DH69/Sheet4!$C66</f>
        <v>1</v>
      </c>
      <c r="DH66" s="43">
        <f>ዕቁብ!DI69/Sheet4!$C66</f>
        <v>0</v>
      </c>
      <c r="DI66" s="43">
        <f>ዕቁብ!DJ69/Sheet4!$C66</f>
        <v>0</v>
      </c>
      <c r="DJ66" s="43">
        <f>ዕቁብ!DK69/Sheet4!$C66</f>
        <v>0</v>
      </c>
      <c r="DK66" s="43">
        <f>ዕቁብ!DL69/Sheet4!$C66</f>
        <v>0</v>
      </c>
      <c r="DL66" s="43">
        <f>ዕቁብ!DM69/Sheet4!$C66</f>
        <v>0</v>
      </c>
      <c r="DM66" s="43">
        <f>ዕቁብ!DN69/Sheet4!$C66</f>
        <v>0</v>
      </c>
      <c r="DN66" s="43">
        <f>ዕቁብ!DO69/Sheet4!$C66</f>
        <v>0</v>
      </c>
      <c r="DO66" s="43">
        <f>ዕቁብ!DP69/Sheet4!$C66</f>
        <v>0</v>
      </c>
      <c r="DP66" s="43">
        <f>ዕቁብ!DQ69/Sheet4!$C66</f>
        <v>0</v>
      </c>
      <c r="DQ66" s="43">
        <f>ዕቁብ!DR69/Sheet4!$C66</f>
        <v>0</v>
      </c>
    </row>
    <row r="67" spans="1:121" ht="15.75" customHeight="1" x14ac:dyDescent="0.3">
      <c r="A67" s="40">
        <f>ዕቁብ!A70</f>
        <v>64</v>
      </c>
      <c r="B67" s="40" t="str">
        <f>ዕቁብ!B70</f>
        <v xml:space="preserve">ቴዎድሮስ ጌታቸው </v>
      </c>
      <c r="C67" s="30">
        <f>ዕቁብ!C70</f>
        <v>21000</v>
      </c>
      <c r="D67" s="43">
        <f>ዕቁብ!E70/Sheet4!$C67</f>
        <v>1</v>
      </c>
      <c r="E67" s="43">
        <f>ዕቁብ!F70/Sheet4!$C67</f>
        <v>1</v>
      </c>
      <c r="F67" s="43">
        <f>ዕቁብ!G70/Sheet4!$C67</f>
        <v>1</v>
      </c>
      <c r="G67" s="43">
        <f>ዕቁብ!H70/Sheet4!$C67</f>
        <v>1</v>
      </c>
      <c r="H67" s="43">
        <f>ዕቁብ!I70/Sheet4!$C67</f>
        <v>1</v>
      </c>
      <c r="I67" s="43">
        <f>ዕቁብ!J70/Sheet4!$C67</f>
        <v>1</v>
      </c>
      <c r="J67" s="43">
        <f>ዕቁብ!K70/Sheet4!$C67</f>
        <v>1</v>
      </c>
      <c r="K67" s="43">
        <f>ዕቁብ!L70/Sheet4!$C67</f>
        <v>1</v>
      </c>
      <c r="L67" s="43">
        <f>ዕቁብ!M70/Sheet4!$C67</f>
        <v>1</v>
      </c>
      <c r="M67" s="43">
        <f>ዕቁብ!N70/Sheet4!$C67</f>
        <v>1</v>
      </c>
      <c r="N67" s="43">
        <f>ዕቁብ!O70/Sheet4!$C67</f>
        <v>1</v>
      </c>
      <c r="O67" s="43">
        <f>ዕቁብ!P70/Sheet4!$C67</f>
        <v>1</v>
      </c>
      <c r="P67" s="43">
        <f>ዕቁብ!Q70/Sheet4!$C67</f>
        <v>1</v>
      </c>
      <c r="Q67" s="43">
        <f>ዕቁብ!R70/Sheet4!$C67</f>
        <v>1</v>
      </c>
      <c r="R67" s="43">
        <f>ዕቁብ!S70/Sheet4!$C67</f>
        <v>1</v>
      </c>
      <c r="S67" s="43">
        <f>ዕቁብ!T70/Sheet4!$C67</f>
        <v>1</v>
      </c>
      <c r="T67" s="43">
        <f>ዕቁብ!U70/Sheet4!$C67</f>
        <v>1</v>
      </c>
      <c r="U67" s="43">
        <f>ዕቁብ!V70/Sheet4!$C67</f>
        <v>1</v>
      </c>
      <c r="V67" s="43">
        <f>ዕቁብ!W70/Sheet4!$C67</f>
        <v>1</v>
      </c>
      <c r="W67" s="43">
        <f>ዕቁብ!X70/Sheet4!$C67</f>
        <v>1</v>
      </c>
      <c r="X67" s="43">
        <f>ዕቁብ!Y70/Sheet4!$C67</f>
        <v>1</v>
      </c>
      <c r="Y67" s="43">
        <f>ዕቁብ!Z70/Sheet4!$C67</f>
        <v>1</v>
      </c>
      <c r="Z67" s="43">
        <f>ዕቁብ!AA70/Sheet4!$C67</f>
        <v>1</v>
      </c>
      <c r="AA67" s="43">
        <f>ዕቁብ!AB70/Sheet4!$C67</f>
        <v>1</v>
      </c>
      <c r="AB67" s="43">
        <f>ዕቁብ!AC70/Sheet4!$C67</f>
        <v>1</v>
      </c>
      <c r="AC67" s="43">
        <f>ዕቁብ!AD70/Sheet4!$C67</f>
        <v>1</v>
      </c>
      <c r="AD67" s="43">
        <f>ዕቁብ!AE70/Sheet4!$C67</f>
        <v>1</v>
      </c>
      <c r="AE67" s="43">
        <f>ዕቁብ!AF70/Sheet4!$C67</f>
        <v>1</v>
      </c>
      <c r="AF67" s="43">
        <f>ዕቁብ!AG70/Sheet4!$C67</f>
        <v>1</v>
      </c>
      <c r="AG67" s="43">
        <f>ዕቁብ!AH70/Sheet4!$C67</f>
        <v>1</v>
      </c>
      <c r="AH67" s="43">
        <f>ዕቁብ!AI70/Sheet4!$C67</f>
        <v>1</v>
      </c>
      <c r="AI67" s="43">
        <f>ዕቁብ!AJ70/Sheet4!$C67</f>
        <v>1</v>
      </c>
      <c r="AJ67" s="43">
        <f>ዕቁብ!AK70/Sheet4!$C67</f>
        <v>1</v>
      </c>
      <c r="AK67" s="43">
        <f>ዕቁብ!AL70/Sheet4!$C67</f>
        <v>1</v>
      </c>
      <c r="AL67" s="43">
        <f>ዕቁብ!AM70/Sheet4!$C67</f>
        <v>1</v>
      </c>
      <c r="AM67" s="43">
        <f>ዕቁብ!AN70/Sheet4!$C67</f>
        <v>1</v>
      </c>
      <c r="AN67" s="43">
        <f>ዕቁብ!AO70/Sheet4!$C67</f>
        <v>1</v>
      </c>
      <c r="AO67" s="43">
        <f>ዕቁብ!AP70/Sheet4!$C67</f>
        <v>1</v>
      </c>
      <c r="AP67" s="43">
        <f>ዕቁብ!AQ70/Sheet4!$C67</f>
        <v>1</v>
      </c>
      <c r="AQ67" s="43">
        <f>ዕቁብ!AR70/Sheet4!$C67</f>
        <v>1</v>
      </c>
      <c r="AR67" s="43">
        <f>ዕቁብ!AS70/Sheet4!$C67</f>
        <v>1</v>
      </c>
      <c r="AS67" s="43">
        <f>ዕቁብ!AT70/Sheet4!$C67</f>
        <v>1</v>
      </c>
      <c r="AT67" s="43">
        <f>ዕቁብ!AU70/Sheet4!$C67</f>
        <v>1</v>
      </c>
      <c r="AU67" s="43">
        <f>ዕቁብ!AV70/Sheet4!$C67</f>
        <v>1</v>
      </c>
      <c r="AV67" s="43">
        <f>ዕቁብ!AW70/Sheet4!$C67</f>
        <v>1</v>
      </c>
      <c r="AW67" s="43">
        <f>ዕቁብ!AX70/Sheet4!$C67</f>
        <v>1</v>
      </c>
      <c r="AX67" s="43">
        <f>ዕቁብ!AY70/Sheet4!$C67</f>
        <v>1</v>
      </c>
      <c r="AY67" s="43">
        <f>ዕቁብ!AZ70/Sheet4!$C67</f>
        <v>1</v>
      </c>
      <c r="AZ67" s="43">
        <f>ዕቁብ!BA70/Sheet4!$C67</f>
        <v>1</v>
      </c>
      <c r="BA67" s="43">
        <f>ዕቁብ!BB70/Sheet4!$C67</f>
        <v>1</v>
      </c>
      <c r="BB67" s="43">
        <f>ዕቁብ!BC70/Sheet4!$C67</f>
        <v>1</v>
      </c>
      <c r="BC67" s="43">
        <f>ዕቁብ!BD70/Sheet4!$C67</f>
        <v>1</v>
      </c>
      <c r="BD67" s="43">
        <f>ዕቁብ!BE70/Sheet4!$C67</f>
        <v>1</v>
      </c>
      <c r="BE67" s="43">
        <f>ዕቁብ!BF70/Sheet4!$C67</f>
        <v>1</v>
      </c>
      <c r="BF67" s="43">
        <f>ዕቁብ!BG70/Sheet4!$C67</f>
        <v>1</v>
      </c>
      <c r="BG67" s="43">
        <f>ዕቁብ!BH70/Sheet4!$C67</f>
        <v>1</v>
      </c>
      <c r="BH67" s="43">
        <f>ዕቁብ!BI70/Sheet4!$C67</f>
        <v>1</v>
      </c>
      <c r="BI67" s="43">
        <f>ዕቁብ!BJ70/Sheet4!$C67</f>
        <v>1</v>
      </c>
      <c r="BJ67" s="43">
        <f>ዕቁብ!BK70/Sheet4!$C67</f>
        <v>0</v>
      </c>
      <c r="BK67" s="43">
        <f>ዕቁብ!BL70/Sheet4!$C67</f>
        <v>2</v>
      </c>
      <c r="BL67" s="43">
        <f>ዕቁብ!BM70/Sheet4!$C67</f>
        <v>1</v>
      </c>
      <c r="BM67" s="43">
        <f>ዕቁብ!BN70/Sheet4!$C67</f>
        <v>1</v>
      </c>
      <c r="BN67" s="43">
        <f>ዕቁብ!BO70/Sheet4!$C67</f>
        <v>1</v>
      </c>
      <c r="BO67" s="43">
        <f>ዕቁብ!BP70/Sheet4!$C67</f>
        <v>1</v>
      </c>
      <c r="BP67" s="43">
        <f>ዕቁብ!BQ70/Sheet4!$C67</f>
        <v>1</v>
      </c>
      <c r="BQ67" s="43">
        <f>ዕቁብ!BR70/Sheet4!$C67</f>
        <v>1</v>
      </c>
      <c r="BR67" s="43">
        <f>ዕቁብ!BS70/Sheet4!$C67</f>
        <v>1</v>
      </c>
      <c r="BS67" s="43">
        <f>ዕቁብ!BT70/Sheet4!$C67</f>
        <v>1</v>
      </c>
      <c r="BT67" s="43">
        <f>ዕቁብ!BU70/Sheet4!$C67</f>
        <v>1</v>
      </c>
      <c r="BU67" s="43">
        <f>ዕቁብ!BV70/Sheet4!$C67</f>
        <v>1</v>
      </c>
      <c r="BV67" s="43">
        <f>ዕቁብ!BW70/Sheet4!$C67</f>
        <v>1</v>
      </c>
      <c r="BW67" s="43">
        <f>ዕቁብ!BX70/Sheet4!$C67</f>
        <v>1</v>
      </c>
      <c r="BX67" s="43">
        <f>ዕቁብ!BY70/Sheet4!$C67</f>
        <v>1</v>
      </c>
      <c r="BY67" s="43">
        <f>ዕቁብ!BZ70/Sheet4!$C67</f>
        <v>1</v>
      </c>
      <c r="BZ67" s="43">
        <f>ዕቁብ!CA70/Sheet4!$C67</f>
        <v>1</v>
      </c>
      <c r="CA67" s="43">
        <f>ዕቁብ!CB70/Sheet4!$C67</f>
        <v>1</v>
      </c>
      <c r="CB67" s="43">
        <f>ዕቁብ!CC70/Sheet4!$C67</f>
        <v>1</v>
      </c>
      <c r="CC67" s="43">
        <f>ዕቁብ!CD70/Sheet4!$C67</f>
        <v>1</v>
      </c>
      <c r="CD67" s="43">
        <f>ዕቁብ!CE70/Sheet4!$C67</f>
        <v>1</v>
      </c>
      <c r="CE67" s="43">
        <f>ዕቁብ!CF70/Sheet4!$C67</f>
        <v>1</v>
      </c>
      <c r="CF67" s="43">
        <f>ዕቁብ!CG70/Sheet4!$C67</f>
        <v>1</v>
      </c>
      <c r="CG67" s="43">
        <f>ዕቁብ!CH70/Sheet4!$C67</f>
        <v>1</v>
      </c>
      <c r="CH67" s="43">
        <f>ዕቁብ!CI70/Sheet4!$C67</f>
        <v>1</v>
      </c>
      <c r="CI67" s="43">
        <f>ዕቁብ!CJ70/Sheet4!$C67</f>
        <v>1</v>
      </c>
      <c r="CJ67" s="43">
        <f>ዕቁብ!CK70/Sheet4!$C67</f>
        <v>1</v>
      </c>
      <c r="CK67" s="43">
        <f>ዕቁብ!CL70/Sheet4!$C67</f>
        <v>1</v>
      </c>
      <c r="CL67" s="43">
        <f>ዕቁብ!CM70/Sheet4!$C67</f>
        <v>1</v>
      </c>
      <c r="CM67" s="43">
        <f>ዕቁብ!CN70/Sheet4!$C67</f>
        <v>1</v>
      </c>
      <c r="CN67" s="43">
        <f>ዕቁብ!CO70/Sheet4!$C67</f>
        <v>1</v>
      </c>
      <c r="CO67" s="43">
        <f>ዕቁብ!CP70/Sheet4!$C67</f>
        <v>1</v>
      </c>
      <c r="CP67" s="43">
        <f>ዕቁብ!CQ70/Sheet4!$C67</f>
        <v>1</v>
      </c>
      <c r="CQ67" s="43">
        <f>ዕቁብ!CR70/Sheet4!$C67</f>
        <v>1</v>
      </c>
      <c r="CR67" s="43">
        <f>ዕቁብ!CS70/Sheet4!$C67</f>
        <v>1</v>
      </c>
      <c r="CS67" s="43">
        <f>ዕቁብ!CT70/Sheet4!$C67</f>
        <v>1</v>
      </c>
      <c r="CT67" s="43">
        <f>ዕቁብ!CU70/Sheet4!$C67</f>
        <v>1</v>
      </c>
      <c r="CU67" s="43">
        <f>ዕቁብ!CV70/Sheet4!$C67</f>
        <v>1</v>
      </c>
      <c r="CV67" s="43">
        <f>ዕቁብ!CW70/Sheet4!$C67</f>
        <v>1</v>
      </c>
      <c r="CW67" s="43">
        <f>ዕቁብ!CX70/Sheet4!$C67</f>
        <v>1</v>
      </c>
      <c r="CX67" s="43">
        <f>ዕቁብ!CY70/Sheet4!$C67</f>
        <v>1</v>
      </c>
      <c r="CY67" s="43">
        <f>ዕቁብ!CZ70/Sheet4!$C67</f>
        <v>1</v>
      </c>
      <c r="CZ67" s="43">
        <f>ዕቁብ!DA70/Sheet4!$C67</f>
        <v>1</v>
      </c>
      <c r="DA67" s="43">
        <f>ዕቁብ!DB70/Sheet4!$C67</f>
        <v>1</v>
      </c>
      <c r="DB67" s="43">
        <f>ዕቁብ!DC70/Sheet4!$C67</f>
        <v>1</v>
      </c>
      <c r="DC67" s="43">
        <f>ዕቁብ!DD70/Sheet4!$C67</f>
        <v>1</v>
      </c>
      <c r="DD67" s="43">
        <f>ዕቁብ!DE70/Sheet4!$C67</f>
        <v>1</v>
      </c>
      <c r="DE67" s="43">
        <f>ዕቁብ!DF70/Sheet4!$C67</f>
        <v>1</v>
      </c>
      <c r="DF67" s="43">
        <f>ዕቁብ!DG70/Sheet4!$C67</f>
        <v>1</v>
      </c>
      <c r="DG67" s="43">
        <f>ዕቁብ!DH70/Sheet4!$C67</f>
        <v>1</v>
      </c>
      <c r="DH67" s="43">
        <f>ዕቁብ!DI70/Sheet4!$C67</f>
        <v>0</v>
      </c>
      <c r="DI67" s="43">
        <f>ዕቁብ!DJ70/Sheet4!$C67</f>
        <v>0</v>
      </c>
      <c r="DJ67" s="43">
        <f>ዕቁብ!DK70/Sheet4!$C67</f>
        <v>0</v>
      </c>
      <c r="DK67" s="43">
        <f>ዕቁብ!DL70/Sheet4!$C67</f>
        <v>0</v>
      </c>
      <c r="DL67" s="43">
        <f>ዕቁብ!DM70/Sheet4!$C67</f>
        <v>0</v>
      </c>
      <c r="DM67" s="43">
        <f>ዕቁብ!DN70/Sheet4!$C67</f>
        <v>0</v>
      </c>
      <c r="DN67" s="43">
        <f>ዕቁብ!DO70/Sheet4!$C67</f>
        <v>0</v>
      </c>
      <c r="DO67" s="43">
        <f>ዕቁብ!DP70/Sheet4!$C67</f>
        <v>0</v>
      </c>
      <c r="DP67" s="43">
        <f>ዕቁብ!DQ70/Sheet4!$C67</f>
        <v>0</v>
      </c>
      <c r="DQ67" s="43">
        <f>ዕቁብ!DR70/Sheet4!$C67</f>
        <v>0</v>
      </c>
    </row>
    <row r="68" spans="1:121" ht="15.75" customHeight="1" x14ac:dyDescent="0.3">
      <c r="A68" s="40">
        <f>ዕቁብ!A71</f>
        <v>65</v>
      </c>
      <c r="B68" s="40" t="str">
        <f>ዕቁብ!B71</f>
        <v>ሀጊርሶ ጤሴጎ</v>
      </c>
      <c r="C68" s="30">
        <f>ዕቁብ!C71</f>
        <v>21000</v>
      </c>
      <c r="D68" s="43">
        <f>ዕቁብ!E71/Sheet4!$C68</f>
        <v>1</v>
      </c>
      <c r="E68" s="43">
        <f>ዕቁብ!F71/Sheet4!$C68</f>
        <v>1</v>
      </c>
      <c r="F68" s="43">
        <f>ዕቁብ!G71/Sheet4!$C68</f>
        <v>1</v>
      </c>
      <c r="G68" s="43">
        <f>ዕቁብ!H71/Sheet4!$C68</f>
        <v>1</v>
      </c>
      <c r="H68" s="43">
        <f>ዕቁብ!I71/Sheet4!$C68</f>
        <v>1</v>
      </c>
      <c r="I68" s="43">
        <f>ዕቁብ!J71/Sheet4!$C68</f>
        <v>1</v>
      </c>
      <c r="J68" s="43">
        <f>ዕቁብ!K71/Sheet4!$C68</f>
        <v>1</v>
      </c>
      <c r="K68" s="43">
        <f>ዕቁብ!L71/Sheet4!$C68</f>
        <v>1</v>
      </c>
      <c r="L68" s="43">
        <f>ዕቁብ!M71/Sheet4!$C68</f>
        <v>1</v>
      </c>
      <c r="M68" s="43">
        <f>ዕቁብ!N71/Sheet4!$C68</f>
        <v>1</v>
      </c>
      <c r="N68" s="43">
        <f>ዕቁብ!O71/Sheet4!$C68</f>
        <v>1</v>
      </c>
      <c r="O68" s="43">
        <f>ዕቁብ!P71/Sheet4!$C68</f>
        <v>1</v>
      </c>
      <c r="P68" s="43">
        <f>ዕቁብ!Q71/Sheet4!$C68</f>
        <v>1</v>
      </c>
      <c r="Q68" s="43">
        <f>ዕቁብ!R71/Sheet4!$C68</f>
        <v>1</v>
      </c>
      <c r="R68" s="43">
        <f>ዕቁብ!S71/Sheet4!$C68</f>
        <v>1</v>
      </c>
      <c r="S68" s="43">
        <f>ዕቁብ!T71/Sheet4!$C68</f>
        <v>1</v>
      </c>
      <c r="T68" s="43">
        <f>ዕቁብ!U71/Sheet4!$C68</f>
        <v>1</v>
      </c>
      <c r="U68" s="43">
        <f>ዕቁብ!V71/Sheet4!$C68</f>
        <v>1</v>
      </c>
      <c r="V68" s="43">
        <f>ዕቁብ!W71/Sheet4!$C68</f>
        <v>1</v>
      </c>
      <c r="W68" s="43">
        <f>ዕቁብ!X71/Sheet4!$C68</f>
        <v>1</v>
      </c>
      <c r="X68" s="43">
        <f>ዕቁብ!Y71/Sheet4!$C68</f>
        <v>1</v>
      </c>
      <c r="Y68" s="43">
        <f>ዕቁብ!Z71/Sheet4!$C68</f>
        <v>1</v>
      </c>
      <c r="Z68" s="43">
        <f>ዕቁብ!AA71/Sheet4!$C68</f>
        <v>1</v>
      </c>
      <c r="AA68" s="43">
        <f>ዕቁብ!AB71/Sheet4!$C68</f>
        <v>1</v>
      </c>
      <c r="AB68" s="43">
        <f>ዕቁብ!AC71/Sheet4!$C68</f>
        <v>1</v>
      </c>
      <c r="AC68" s="43">
        <f>ዕቁብ!AD71/Sheet4!$C68</f>
        <v>1</v>
      </c>
      <c r="AD68" s="43">
        <f>ዕቁብ!AE71/Sheet4!$C68</f>
        <v>1</v>
      </c>
      <c r="AE68" s="43">
        <f>ዕቁብ!AF71/Sheet4!$C68</f>
        <v>1</v>
      </c>
      <c r="AF68" s="43">
        <f>ዕቁብ!AG71/Sheet4!$C68</f>
        <v>1</v>
      </c>
      <c r="AG68" s="43">
        <f>ዕቁብ!AH71/Sheet4!$C68</f>
        <v>1</v>
      </c>
      <c r="AH68" s="43">
        <f>ዕቁብ!AI71/Sheet4!$C68</f>
        <v>1</v>
      </c>
      <c r="AI68" s="43">
        <f>ዕቁብ!AJ71/Sheet4!$C68</f>
        <v>1</v>
      </c>
      <c r="AJ68" s="43">
        <f>ዕቁብ!AK71/Sheet4!$C68</f>
        <v>1</v>
      </c>
      <c r="AK68" s="43">
        <f>ዕቁብ!AL71/Sheet4!$C68</f>
        <v>0</v>
      </c>
      <c r="AL68" s="43">
        <f>ዕቁብ!AM71/Sheet4!$C68</f>
        <v>2</v>
      </c>
      <c r="AM68" s="43">
        <f>ዕቁብ!AN71/Sheet4!$C68</f>
        <v>1</v>
      </c>
      <c r="AN68" s="43">
        <f>ዕቁብ!AO71/Sheet4!$C68</f>
        <v>0</v>
      </c>
      <c r="AO68" s="43">
        <f>ዕቁብ!AP71/Sheet4!$C68</f>
        <v>1</v>
      </c>
      <c r="AP68" s="43">
        <f>ዕቁብ!AQ71/Sheet4!$C68</f>
        <v>1</v>
      </c>
      <c r="AQ68" s="43">
        <f>ዕቁብ!AR71/Sheet4!$C68</f>
        <v>1</v>
      </c>
      <c r="AR68" s="43">
        <f>ዕቁብ!AS71/Sheet4!$C68</f>
        <v>1</v>
      </c>
      <c r="AS68" s="43">
        <f>ዕቁብ!AT71/Sheet4!$C68</f>
        <v>1</v>
      </c>
      <c r="AT68" s="43">
        <f>ዕቁብ!AU71/Sheet4!$C68</f>
        <v>1</v>
      </c>
      <c r="AU68" s="43">
        <f>ዕቁብ!AV71/Sheet4!$C68</f>
        <v>0</v>
      </c>
      <c r="AV68" s="43">
        <f>ዕቁብ!AW71/Sheet4!$C68</f>
        <v>1</v>
      </c>
      <c r="AW68" s="43">
        <f>ዕቁብ!AX71/Sheet4!$C68</f>
        <v>2</v>
      </c>
      <c r="AX68" s="43">
        <f>ዕቁብ!AY71/Sheet4!$C68</f>
        <v>0</v>
      </c>
      <c r="AY68" s="43">
        <f>ዕቁብ!AZ71/Sheet4!$C68</f>
        <v>1</v>
      </c>
      <c r="AZ68" s="43">
        <f>ዕቁብ!BA71/Sheet4!$C68</f>
        <v>1</v>
      </c>
      <c r="BA68" s="43">
        <f>ዕቁብ!BB71/Sheet4!$C68</f>
        <v>1</v>
      </c>
      <c r="BB68" s="43">
        <f>ዕቁብ!BC71/Sheet4!$C68</f>
        <v>0</v>
      </c>
      <c r="BC68" s="43">
        <f>ዕቁብ!BD71/Sheet4!$C68</f>
        <v>2</v>
      </c>
      <c r="BD68" s="43">
        <f>ዕቁብ!BE71/Sheet4!$C68</f>
        <v>0</v>
      </c>
      <c r="BE68" s="43">
        <f>ዕቁብ!BF71/Sheet4!$C68</f>
        <v>1</v>
      </c>
      <c r="BF68" s="43">
        <f>ዕቁብ!BG71/Sheet4!$C68</f>
        <v>2</v>
      </c>
      <c r="BG68" s="43">
        <f>ዕቁብ!BH71/Sheet4!$C68</f>
        <v>1</v>
      </c>
      <c r="BH68" s="43">
        <f>ዕቁብ!BI71/Sheet4!$C68</f>
        <v>0</v>
      </c>
      <c r="BI68" s="43">
        <f>ዕቁብ!BJ71/Sheet4!$C68</f>
        <v>1</v>
      </c>
      <c r="BJ68" s="43">
        <f>ዕቁብ!BK71/Sheet4!$C68</f>
        <v>2</v>
      </c>
      <c r="BK68" s="43">
        <f>ዕቁብ!BL71/Sheet4!$C68</f>
        <v>1</v>
      </c>
      <c r="BL68" s="43">
        <f>ዕቁብ!BM71/Sheet4!$C68</f>
        <v>1</v>
      </c>
      <c r="BM68" s="43">
        <f>ዕቁብ!BN71/Sheet4!$C68</f>
        <v>0</v>
      </c>
      <c r="BN68" s="43">
        <f>ዕቁብ!BO71/Sheet4!$C68</f>
        <v>2</v>
      </c>
      <c r="BO68" s="43">
        <f>ዕቁብ!BP71/Sheet4!$C68</f>
        <v>1</v>
      </c>
      <c r="BP68" s="43">
        <f>ዕቁብ!BQ71/Sheet4!$C68</f>
        <v>1</v>
      </c>
      <c r="BQ68" s="43">
        <f>ዕቁብ!BR71/Sheet4!$C68</f>
        <v>0</v>
      </c>
      <c r="BR68" s="43">
        <f>ዕቁብ!BS71/Sheet4!$C68</f>
        <v>1</v>
      </c>
      <c r="BS68" s="43">
        <f>ዕቁብ!BT71/Sheet4!$C68</f>
        <v>2</v>
      </c>
      <c r="BT68" s="43">
        <f>ዕቁብ!BU71/Sheet4!$C68</f>
        <v>1</v>
      </c>
      <c r="BU68" s="43">
        <f>ዕቁብ!BV71/Sheet4!$C68</f>
        <v>1</v>
      </c>
      <c r="BV68" s="43">
        <f>ዕቁብ!BW71/Sheet4!$C68</f>
        <v>0</v>
      </c>
      <c r="BW68" s="43">
        <f>ዕቁብ!BX71/Sheet4!$C68</f>
        <v>1</v>
      </c>
      <c r="BX68" s="43">
        <f>ዕቁብ!BY71/Sheet4!$C68</f>
        <v>1</v>
      </c>
      <c r="BY68" s="43">
        <f>ዕቁብ!BZ71/Sheet4!$C68</f>
        <v>1</v>
      </c>
      <c r="BZ68" s="43">
        <f>ዕቁብ!CA71/Sheet4!$C68</f>
        <v>0</v>
      </c>
      <c r="CA68" s="43">
        <f>ዕቁብ!CB71/Sheet4!$C68</f>
        <v>0</v>
      </c>
      <c r="CB68" s="43">
        <f>ዕቁብ!CC71/Sheet4!$C68</f>
        <v>3</v>
      </c>
      <c r="CC68" s="43">
        <f>ዕቁብ!CD71/Sheet4!$C68</f>
        <v>0</v>
      </c>
      <c r="CD68" s="43">
        <f>ዕቁብ!CE71/Sheet4!$C68</f>
        <v>0</v>
      </c>
      <c r="CE68" s="43">
        <f>ዕቁብ!CF71/Sheet4!$C68</f>
        <v>3</v>
      </c>
      <c r="CF68" s="43">
        <f>ዕቁብ!CG71/Sheet4!$C68</f>
        <v>1</v>
      </c>
      <c r="CG68" s="43">
        <f>ዕቁብ!CH71/Sheet4!$C68</f>
        <v>1</v>
      </c>
      <c r="CH68" s="43">
        <f>ዕቁብ!CI71/Sheet4!$C68</f>
        <v>0</v>
      </c>
      <c r="CI68" s="43">
        <f>ዕቁብ!CJ71/Sheet4!$C68</f>
        <v>1</v>
      </c>
      <c r="CJ68" s="43">
        <f>ዕቁብ!CK71/Sheet4!$C68</f>
        <v>1</v>
      </c>
      <c r="CK68" s="43">
        <f>ዕቁብ!CL71/Sheet4!$C68</f>
        <v>0</v>
      </c>
      <c r="CL68" s="43">
        <f>ዕቁብ!CM71/Sheet4!$C68</f>
        <v>2</v>
      </c>
      <c r="CM68" s="43">
        <f>ዕቁብ!CN71/Sheet4!$C68</f>
        <v>0</v>
      </c>
      <c r="CN68" s="43">
        <f>ዕቁብ!CO71/Sheet4!$C68</f>
        <v>2</v>
      </c>
      <c r="CO68" s="43">
        <f>ዕቁብ!CP71/Sheet4!$C68</f>
        <v>1</v>
      </c>
      <c r="CP68" s="43">
        <f>ዕቁብ!CQ71/Sheet4!$C68</f>
        <v>0</v>
      </c>
      <c r="CQ68" s="43">
        <f>ዕቁብ!CR71/Sheet4!$C68</f>
        <v>1</v>
      </c>
      <c r="CR68" s="43">
        <f>ዕቁብ!CS71/Sheet4!$C68</f>
        <v>0</v>
      </c>
      <c r="CS68" s="43">
        <f>ዕቁብ!CT71/Sheet4!$C68</f>
        <v>2</v>
      </c>
      <c r="CT68" s="43">
        <f>ዕቁብ!CU71/Sheet4!$C68</f>
        <v>0</v>
      </c>
      <c r="CU68" s="43">
        <f>ዕቁብ!CV71/Sheet4!$C68</f>
        <v>3</v>
      </c>
      <c r="CV68" s="43">
        <f>ዕቁብ!CW71/Sheet4!$C68</f>
        <v>0</v>
      </c>
      <c r="CW68" s="43">
        <f>ዕቁብ!CX71/Sheet4!$C68</f>
        <v>2</v>
      </c>
      <c r="CX68" s="43">
        <f>ዕቁብ!CY71/Sheet4!$C68</f>
        <v>2</v>
      </c>
      <c r="CY68" s="43">
        <f>ዕቁብ!CZ71/Sheet4!$C68</f>
        <v>0</v>
      </c>
      <c r="CZ68" s="43">
        <f>ዕቁብ!DA71/Sheet4!$C68</f>
        <v>0</v>
      </c>
      <c r="DA68" s="43">
        <f>ዕቁብ!DB71/Sheet4!$C68</f>
        <v>2</v>
      </c>
      <c r="DB68" s="43">
        <f>ዕቁብ!DC71/Sheet4!$C68</f>
        <v>2</v>
      </c>
      <c r="DC68" s="43">
        <f>ዕቁብ!DD71/Sheet4!$C68</f>
        <v>1</v>
      </c>
      <c r="DD68" s="43">
        <f>ዕቁብ!DE71/Sheet4!$C68</f>
        <v>0</v>
      </c>
      <c r="DE68" s="43">
        <f>ዕቁብ!DF71/Sheet4!$C68</f>
        <v>0</v>
      </c>
      <c r="DF68" s="43">
        <f>ዕቁብ!DG71/Sheet4!$C68</f>
        <v>2</v>
      </c>
      <c r="DG68" s="43">
        <f>ዕቁብ!DH71/Sheet4!$C68</f>
        <v>0</v>
      </c>
      <c r="DH68" s="43">
        <f>ዕቁብ!DI71/Sheet4!$C68</f>
        <v>0</v>
      </c>
      <c r="DI68" s="43">
        <f>ዕቁብ!DJ71/Sheet4!$C68</f>
        <v>0</v>
      </c>
      <c r="DJ68" s="43">
        <f>ዕቁብ!DK71/Sheet4!$C68</f>
        <v>0</v>
      </c>
      <c r="DK68" s="43">
        <f>ዕቁብ!DL71/Sheet4!$C68</f>
        <v>0</v>
      </c>
      <c r="DL68" s="43">
        <f>ዕቁብ!DM71/Sheet4!$C68</f>
        <v>0</v>
      </c>
      <c r="DM68" s="43">
        <f>ዕቁብ!DN71/Sheet4!$C68</f>
        <v>0</v>
      </c>
      <c r="DN68" s="43">
        <f>ዕቁብ!DO71/Sheet4!$C68</f>
        <v>0</v>
      </c>
      <c r="DO68" s="43">
        <f>ዕቁብ!DP71/Sheet4!$C68</f>
        <v>0</v>
      </c>
      <c r="DP68" s="43">
        <f>ዕቁብ!DQ71/Sheet4!$C68</f>
        <v>0</v>
      </c>
      <c r="DQ68" s="43">
        <f>ዕቁብ!DR71/Sheet4!$C68</f>
        <v>0</v>
      </c>
    </row>
    <row r="69" spans="1:121" ht="15.75" customHeight="1" x14ac:dyDescent="0.3">
      <c r="A69" s="40">
        <f>ዕቁብ!A72</f>
        <v>66</v>
      </c>
      <c r="B69" s="40" t="str">
        <f>ዕቁብ!B72</f>
        <v>ለገሰ አሸናፊ</v>
      </c>
      <c r="C69" s="30">
        <f>ዕቁብ!C72</f>
        <v>21000</v>
      </c>
      <c r="D69" s="43">
        <f>ዕቁብ!E72/Sheet4!$C69</f>
        <v>1</v>
      </c>
      <c r="E69" s="43">
        <f>ዕቁብ!F72/Sheet4!$C69</f>
        <v>1</v>
      </c>
      <c r="F69" s="43">
        <f>ዕቁብ!G72/Sheet4!$C69</f>
        <v>1</v>
      </c>
      <c r="G69" s="43">
        <f>ዕቁብ!H72/Sheet4!$C69</f>
        <v>1</v>
      </c>
      <c r="H69" s="43">
        <f>ዕቁብ!I72/Sheet4!$C69</f>
        <v>1</v>
      </c>
      <c r="I69" s="43">
        <f>ዕቁብ!J72/Sheet4!$C69</f>
        <v>1</v>
      </c>
      <c r="J69" s="43">
        <f>ዕቁብ!K72/Sheet4!$C69</f>
        <v>1</v>
      </c>
      <c r="K69" s="43">
        <f>ዕቁብ!L72/Sheet4!$C69</f>
        <v>1</v>
      </c>
      <c r="L69" s="43">
        <f>ዕቁብ!M72/Sheet4!$C69</f>
        <v>1</v>
      </c>
      <c r="M69" s="43">
        <f>ዕቁብ!N72/Sheet4!$C69</f>
        <v>1</v>
      </c>
      <c r="N69" s="43">
        <f>ዕቁብ!O72/Sheet4!$C69</f>
        <v>1</v>
      </c>
      <c r="O69" s="43">
        <f>ዕቁብ!P72/Sheet4!$C69</f>
        <v>1</v>
      </c>
      <c r="P69" s="43">
        <f>ዕቁብ!Q72/Sheet4!$C69</f>
        <v>1</v>
      </c>
      <c r="Q69" s="43">
        <f>ዕቁብ!R72/Sheet4!$C69</f>
        <v>1</v>
      </c>
      <c r="R69" s="43">
        <f>ዕቁብ!S72/Sheet4!$C69</f>
        <v>1</v>
      </c>
      <c r="S69" s="43">
        <f>ዕቁብ!T72/Sheet4!$C69</f>
        <v>1</v>
      </c>
      <c r="T69" s="43">
        <f>ዕቁብ!U72/Sheet4!$C69</f>
        <v>1</v>
      </c>
      <c r="U69" s="43">
        <f>ዕቁብ!V72/Sheet4!$C69</f>
        <v>1</v>
      </c>
      <c r="V69" s="43">
        <f>ዕቁብ!W72/Sheet4!$C69</f>
        <v>1</v>
      </c>
      <c r="W69" s="43">
        <f>ዕቁብ!X72/Sheet4!$C69</f>
        <v>1</v>
      </c>
      <c r="X69" s="43">
        <f>ዕቁብ!Y72/Sheet4!$C69</f>
        <v>1</v>
      </c>
      <c r="Y69" s="43">
        <f>ዕቁብ!Z72/Sheet4!$C69</f>
        <v>1</v>
      </c>
      <c r="Z69" s="43">
        <f>ዕቁብ!AA72/Sheet4!$C69</f>
        <v>1</v>
      </c>
      <c r="AA69" s="43">
        <f>ዕቁብ!AB72/Sheet4!$C69</f>
        <v>1</v>
      </c>
      <c r="AB69" s="43">
        <f>ዕቁብ!AC72/Sheet4!$C69</f>
        <v>1</v>
      </c>
      <c r="AC69" s="43">
        <f>ዕቁብ!AD72/Sheet4!$C69</f>
        <v>1</v>
      </c>
      <c r="AD69" s="43">
        <f>ዕቁብ!AE72/Sheet4!$C69</f>
        <v>1</v>
      </c>
      <c r="AE69" s="43">
        <f>ዕቁብ!AF72/Sheet4!$C69</f>
        <v>1</v>
      </c>
      <c r="AF69" s="43">
        <f>ዕቁብ!AG72/Sheet4!$C69</f>
        <v>1</v>
      </c>
      <c r="AG69" s="43">
        <f>ዕቁብ!AH72/Sheet4!$C69</f>
        <v>1</v>
      </c>
      <c r="AH69" s="43">
        <f>ዕቁብ!AI72/Sheet4!$C69</f>
        <v>1</v>
      </c>
      <c r="AI69" s="43">
        <f>ዕቁብ!AJ72/Sheet4!$C69</f>
        <v>1</v>
      </c>
      <c r="AJ69" s="43">
        <f>ዕቁብ!AK72/Sheet4!$C69</f>
        <v>1</v>
      </c>
      <c r="AK69" s="43">
        <f>ዕቁብ!AL72/Sheet4!$C69</f>
        <v>1</v>
      </c>
      <c r="AL69" s="43">
        <f>ዕቁብ!AM72/Sheet4!$C69</f>
        <v>1</v>
      </c>
      <c r="AM69" s="43">
        <f>ዕቁብ!AN72/Sheet4!$C69</f>
        <v>1</v>
      </c>
      <c r="AN69" s="43">
        <f>ዕቁብ!AO72/Sheet4!$C69</f>
        <v>1</v>
      </c>
      <c r="AO69" s="43">
        <f>ዕቁብ!AP72/Sheet4!$C69</f>
        <v>1</v>
      </c>
      <c r="AP69" s="43">
        <f>ዕቁብ!AQ72/Sheet4!$C69</f>
        <v>1</v>
      </c>
      <c r="AQ69" s="43">
        <f>ዕቁብ!AR72/Sheet4!$C69</f>
        <v>1</v>
      </c>
      <c r="AR69" s="43">
        <f>ዕቁብ!AS72/Sheet4!$C69</f>
        <v>1</v>
      </c>
      <c r="AS69" s="43">
        <f>ዕቁብ!AT72/Sheet4!$C69</f>
        <v>1</v>
      </c>
      <c r="AT69" s="43">
        <f>ዕቁብ!AU72/Sheet4!$C69</f>
        <v>1</v>
      </c>
      <c r="AU69" s="43">
        <f>ዕቁብ!AV72/Sheet4!$C69</f>
        <v>1</v>
      </c>
      <c r="AV69" s="43">
        <f>ዕቁብ!AW72/Sheet4!$C69</f>
        <v>1</v>
      </c>
      <c r="AW69" s="43">
        <f>ዕቁብ!AX72/Sheet4!$C69</f>
        <v>1</v>
      </c>
      <c r="AX69" s="43">
        <f>ዕቁብ!AY72/Sheet4!$C69</f>
        <v>1</v>
      </c>
      <c r="AY69" s="43">
        <f>ዕቁብ!AZ72/Sheet4!$C69</f>
        <v>1</v>
      </c>
      <c r="AZ69" s="43">
        <f>ዕቁብ!BA72/Sheet4!$C69</f>
        <v>1</v>
      </c>
      <c r="BA69" s="43">
        <f>ዕቁብ!BB72/Sheet4!$C69</f>
        <v>1</v>
      </c>
      <c r="BB69" s="43">
        <f>ዕቁብ!BC72/Sheet4!$C69</f>
        <v>1</v>
      </c>
      <c r="BC69" s="43">
        <f>ዕቁብ!BD72/Sheet4!$C69</f>
        <v>1</v>
      </c>
      <c r="BD69" s="43">
        <f>ዕቁብ!BE72/Sheet4!$C69</f>
        <v>0</v>
      </c>
      <c r="BE69" s="43">
        <f>ዕቁብ!BF72/Sheet4!$C69</f>
        <v>0</v>
      </c>
      <c r="BF69" s="43">
        <f>ዕቁብ!BG72/Sheet4!$C69</f>
        <v>0</v>
      </c>
      <c r="BG69" s="43">
        <f>ዕቁብ!BH72/Sheet4!$C69</f>
        <v>0</v>
      </c>
      <c r="BH69" s="43">
        <f>ዕቁብ!BI72/Sheet4!$C69</f>
        <v>0</v>
      </c>
      <c r="BI69" s="43">
        <f>ዕቁብ!BJ72/Sheet4!$C69</f>
        <v>0</v>
      </c>
      <c r="BJ69" s="43">
        <f>ዕቁብ!BK72/Sheet4!$C69</f>
        <v>0</v>
      </c>
      <c r="BK69" s="43">
        <f>ዕቁብ!BL72/Sheet4!$C69</f>
        <v>0</v>
      </c>
      <c r="BL69" s="43">
        <f>ዕቁብ!BM72/Sheet4!$C69</f>
        <v>0</v>
      </c>
      <c r="BM69" s="43">
        <f>ዕቁብ!BN72/Sheet4!$C69</f>
        <v>0</v>
      </c>
      <c r="BN69" s="43">
        <f>ዕቁብ!BO72/Sheet4!$C69</f>
        <v>0</v>
      </c>
      <c r="BO69" s="43">
        <f>ዕቁብ!BP72/Sheet4!$C69</f>
        <v>0</v>
      </c>
      <c r="BP69" s="43">
        <f>ዕቁብ!BQ72/Sheet4!$C69</f>
        <v>0</v>
      </c>
      <c r="BQ69" s="43">
        <f>ዕቁብ!BR72/Sheet4!$C69</f>
        <v>0</v>
      </c>
      <c r="BR69" s="43">
        <f>ዕቁብ!BS72/Sheet4!$C69</f>
        <v>0</v>
      </c>
      <c r="BS69" s="43">
        <f>ዕቁብ!BT72/Sheet4!$C69</f>
        <v>0</v>
      </c>
      <c r="BT69" s="43">
        <f>ዕቁብ!BU72/Sheet4!$C69</f>
        <v>0</v>
      </c>
      <c r="BU69" s="43">
        <f>ዕቁብ!BV72/Sheet4!$C69</f>
        <v>1</v>
      </c>
      <c r="BV69" s="43">
        <f>ዕቁብ!BW72/Sheet4!$C69</f>
        <v>0</v>
      </c>
      <c r="BW69" s="43">
        <f>ዕቁብ!BX72/Sheet4!$C69</f>
        <v>0</v>
      </c>
      <c r="BX69" s="43">
        <f>ዕቁብ!BY72/Sheet4!$C69</f>
        <v>0</v>
      </c>
      <c r="BY69" s="43">
        <f>ዕቁብ!BZ72/Sheet4!$C69</f>
        <v>0</v>
      </c>
      <c r="BZ69" s="43">
        <f>ዕቁብ!CA72/Sheet4!$C69</f>
        <v>0</v>
      </c>
      <c r="CA69" s="43">
        <f>ዕቁብ!CB72/Sheet4!$C69</f>
        <v>0</v>
      </c>
      <c r="CB69" s="43">
        <f>ዕቁብ!CC72/Sheet4!$C69</f>
        <v>0</v>
      </c>
      <c r="CC69" s="43">
        <f>ዕቁብ!CD72/Sheet4!$C69</f>
        <v>0</v>
      </c>
      <c r="CD69" s="43">
        <f>ዕቁብ!CE72/Sheet4!$C69</f>
        <v>0</v>
      </c>
      <c r="CE69" s="43">
        <f>ዕቁብ!CF72/Sheet4!$C69</f>
        <v>0</v>
      </c>
      <c r="CF69" s="43">
        <f>ዕቁብ!CG72/Sheet4!$C69</f>
        <v>0</v>
      </c>
      <c r="CG69" s="43">
        <f>ዕቁብ!CH72/Sheet4!$C69</f>
        <v>0</v>
      </c>
      <c r="CH69" s="43">
        <f>ዕቁብ!CI72/Sheet4!$C69</f>
        <v>0</v>
      </c>
      <c r="CI69" s="43">
        <f>ዕቁብ!CJ72/Sheet4!$C69</f>
        <v>0</v>
      </c>
      <c r="CJ69" s="43">
        <f>ዕቁብ!CK72/Sheet4!$C69</f>
        <v>0</v>
      </c>
      <c r="CK69" s="43">
        <f>ዕቁብ!CL72/Sheet4!$C69</f>
        <v>0</v>
      </c>
      <c r="CL69" s="43">
        <f>ዕቁብ!CM72/Sheet4!$C69</f>
        <v>0</v>
      </c>
      <c r="CM69" s="43">
        <f>ዕቁብ!CN72/Sheet4!$C69</f>
        <v>0</v>
      </c>
      <c r="CN69" s="43">
        <f>ዕቁብ!CO72/Sheet4!$C69</f>
        <v>0</v>
      </c>
      <c r="CO69" s="43">
        <f>ዕቁብ!CP72/Sheet4!$C69</f>
        <v>0</v>
      </c>
      <c r="CP69" s="43">
        <f>ዕቁብ!CQ72/Sheet4!$C69</f>
        <v>0</v>
      </c>
      <c r="CQ69" s="43">
        <f>ዕቁብ!CR72/Sheet4!$C69</f>
        <v>0</v>
      </c>
      <c r="CR69" s="43">
        <f>ዕቁብ!CS72/Sheet4!$C69</f>
        <v>0</v>
      </c>
      <c r="CS69" s="43">
        <f>ዕቁብ!CT72/Sheet4!$C69</f>
        <v>0</v>
      </c>
      <c r="CT69" s="43">
        <f>ዕቁብ!CU72/Sheet4!$C69</f>
        <v>0</v>
      </c>
      <c r="CU69" s="43">
        <f>ዕቁብ!CV72/Sheet4!$C69</f>
        <v>0</v>
      </c>
      <c r="CV69" s="43">
        <f>ዕቁብ!CW72/Sheet4!$C69</f>
        <v>0</v>
      </c>
      <c r="CW69" s="43">
        <f>ዕቁብ!CX72/Sheet4!$C69</f>
        <v>0</v>
      </c>
      <c r="CX69" s="43">
        <f>ዕቁብ!CY72/Sheet4!$C69</f>
        <v>0</v>
      </c>
      <c r="CY69" s="43">
        <f>ዕቁብ!CZ72/Sheet4!$C69</f>
        <v>0</v>
      </c>
      <c r="CZ69" s="43">
        <f>ዕቁብ!DA72/Sheet4!$C69</f>
        <v>0</v>
      </c>
      <c r="DA69" s="43">
        <f>ዕቁብ!DB72/Sheet4!$C69</f>
        <v>0</v>
      </c>
      <c r="DB69" s="43">
        <f>ዕቁብ!DC72/Sheet4!$C69</f>
        <v>0</v>
      </c>
      <c r="DC69" s="43">
        <f>ዕቁብ!DD72/Sheet4!$C69</f>
        <v>0</v>
      </c>
      <c r="DD69" s="43">
        <f>ዕቁብ!DE72/Sheet4!$C69</f>
        <v>0</v>
      </c>
      <c r="DE69" s="43">
        <f>ዕቁብ!DF72/Sheet4!$C69</f>
        <v>0</v>
      </c>
      <c r="DF69" s="43">
        <f>ዕቁብ!DG72/Sheet4!$C69</f>
        <v>0</v>
      </c>
      <c r="DG69" s="43">
        <f>ዕቁብ!DH72/Sheet4!$C69</f>
        <v>0</v>
      </c>
      <c r="DH69" s="43">
        <f>ዕቁብ!DI72/Sheet4!$C69</f>
        <v>0</v>
      </c>
      <c r="DI69" s="43">
        <f>ዕቁብ!DJ72/Sheet4!$C69</f>
        <v>0</v>
      </c>
      <c r="DJ69" s="43">
        <f>ዕቁብ!DK72/Sheet4!$C69</f>
        <v>0</v>
      </c>
      <c r="DK69" s="43">
        <f>ዕቁብ!DL72/Sheet4!$C69</f>
        <v>0</v>
      </c>
      <c r="DL69" s="43">
        <f>ዕቁብ!DM72/Sheet4!$C69</f>
        <v>0</v>
      </c>
      <c r="DM69" s="43">
        <f>ዕቁብ!DN72/Sheet4!$C69</f>
        <v>0</v>
      </c>
      <c r="DN69" s="43">
        <f>ዕቁብ!DO72/Sheet4!$C69</f>
        <v>0</v>
      </c>
      <c r="DO69" s="43">
        <f>ዕቁብ!DP72/Sheet4!$C69</f>
        <v>0</v>
      </c>
      <c r="DP69" s="43">
        <f>ዕቁብ!DQ72/Sheet4!$C69</f>
        <v>0</v>
      </c>
      <c r="DQ69" s="43">
        <f>ዕቁብ!DR72/Sheet4!$C69</f>
        <v>0</v>
      </c>
    </row>
    <row r="70" spans="1:121" ht="15.75" customHeight="1" x14ac:dyDescent="0.3">
      <c r="A70" s="40">
        <f>ዕቁብ!A73</f>
        <v>67</v>
      </c>
      <c r="B70" s="40" t="str">
        <f>ዕቁብ!B73</f>
        <v>ሽፈራው ወርቁ</v>
      </c>
      <c r="C70" s="30">
        <f>ዕቁብ!C73</f>
        <v>21000</v>
      </c>
      <c r="D70" s="43">
        <f>ዕቁብ!E73/Sheet4!$C70</f>
        <v>1</v>
      </c>
      <c r="E70" s="43">
        <f>ዕቁብ!F73/Sheet4!$C70</f>
        <v>1</v>
      </c>
      <c r="F70" s="43">
        <f>ዕቁብ!G73/Sheet4!$C70</f>
        <v>1</v>
      </c>
      <c r="G70" s="43">
        <f>ዕቁብ!H73/Sheet4!$C70</f>
        <v>1</v>
      </c>
      <c r="H70" s="43">
        <f>ዕቁብ!I73/Sheet4!$C70</f>
        <v>1</v>
      </c>
      <c r="I70" s="43">
        <f>ዕቁብ!J73/Sheet4!$C70</f>
        <v>1</v>
      </c>
      <c r="J70" s="43">
        <f>ዕቁብ!K73/Sheet4!$C70</f>
        <v>1</v>
      </c>
      <c r="K70" s="43">
        <f>ዕቁብ!L73/Sheet4!$C70</f>
        <v>1</v>
      </c>
      <c r="L70" s="43">
        <f>ዕቁብ!M73/Sheet4!$C70</f>
        <v>1</v>
      </c>
      <c r="M70" s="43">
        <f>ዕቁብ!N73/Sheet4!$C70</f>
        <v>1</v>
      </c>
      <c r="N70" s="43">
        <f>ዕቁብ!O73/Sheet4!$C70</f>
        <v>1</v>
      </c>
      <c r="O70" s="43">
        <f>ዕቁብ!P73/Sheet4!$C70</f>
        <v>1</v>
      </c>
      <c r="P70" s="43">
        <f>ዕቁብ!Q73/Sheet4!$C70</f>
        <v>1</v>
      </c>
      <c r="Q70" s="43">
        <f>ዕቁብ!R73/Sheet4!$C70</f>
        <v>1</v>
      </c>
      <c r="R70" s="43">
        <f>ዕቁብ!S73/Sheet4!$C70</f>
        <v>1</v>
      </c>
      <c r="S70" s="43">
        <f>ዕቁብ!T73/Sheet4!$C70</f>
        <v>1</v>
      </c>
      <c r="T70" s="43">
        <f>ዕቁብ!U73/Sheet4!$C70</f>
        <v>1</v>
      </c>
      <c r="U70" s="43">
        <f>ዕቁብ!V73/Sheet4!$C70</f>
        <v>1</v>
      </c>
      <c r="V70" s="43">
        <f>ዕቁብ!W73/Sheet4!$C70</f>
        <v>1</v>
      </c>
      <c r="W70" s="43">
        <f>ዕቁብ!X73/Sheet4!$C70</f>
        <v>1</v>
      </c>
      <c r="X70" s="43">
        <f>ዕቁብ!Y73/Sheet4!$C70</f>
        <v>1</v>
      </c>
      <c r="Y70" s="43">
        <f>ዕቁብ!Z73/Sheet4!$C70</f>
        <v>1</v>
      </c>
      <c r="Z70" s="43">
        <f>ዕቁብ!AA73/Sheet4!$C70</f>
        <v>1</v>
      </c>
      <c r="AA70" s="43">
        <f>ዕቁብ!AB73/Sheet4!$C70</f>
        <v>1</v>
      </c>
      <c r="AB70" s="43">
        <f>ዕቁብ!AC73/Sheet4!$C70</f>
        <v>1</v>
      </c>
      <c r="AC70" s="43">
        <f>ዕቁብ!AD73/Sheet4!$C70</f>
        <v>1</v>
      </c>
      <c r="AD70" s="43">
        <f>ዕቁብ!AE73/Sheet4!$C70</f>
        <v>1</v>
      </c>
      <c r="AE70" s="43">
        <f>ዕቁብ!AF73/Sheet4!$C70</f>
        <v>1</v>
      </c>
      <c r="AF70" s="43">
        <f>ዕቁብ!AG73/Sheet4!$C70</f>
        <v>1</v>
      </c>
      <c r="AG70" s="43">
        <f>ዕቁብ!AH73/Sheet4!$C70</f>
        <v>1</v>
      </c>
      <c r="AH70" s="43">
        <f>ዕቁብ!AI73/Sheet4!$C70</f>
        <v>1</v>
      </c>
      <c r="AI70" s="43">
        <f>ዕቁብ!AJ73/Sheet4!$C70</f>
        <v>1</v>
      </c>
      <c r="AJ70" s="43">
        <f>ዕቁብ!AK73/Sheet4!$C70</f>
        <v>1</v>
      </c>
      <c r="AK70" s="43">
        <f>ዕቁብ!AL73/Sheet4!$C70</f>
        <v>1</v>
      </c>
      <c r="AL70" s="43">
        <f>ዕቁብ!AM73/Sheet4!$C70</f>
        <v>0</v>
      </c>
      <c r="AM70" s="43">
        <f>ዕቁብ!AN73/Sheet4!$C70</f>
        <v>2</v>
      </c>
      <c r="AN70" s="43">
        <f>ዕቁብ!AO73/Sheet4!$C70</f>
        <v>1</v>
      </c>
      <c r="AO70" s="43">
        <f>ዕቁብ!AP73/Sheet4!$C70</f>
        <v>1</v>
      </c>
      <c r="AP70" s="43">
        <f>ዕቁብ!AQ73/Sheet4!$C70</f>
        <v>1</v>
      </c>
      <c r="AQ70" s="43">
        <f>ዕቁብ!AR73/Sheet4!$C70</f>
        <v>1</v>
      </c>
      <c r="AR70" s="43">
        <f>ዕቁብ!AS73/Sheet4!$C70</f>
        <v>0</v>
      </c>
      <c r="AS70" s="43">
        <f>ዕቁብ!AT73/Sheet4!$C70</f>
        <v>2</v>
      </c>
      <c r="AT70" s="43">
        <f>ዕቁብ!AU73/Sheet4!$C70</f>
        <v>1</v>
      </c>
      <c r="AU70" s="43">
        <f>ዕቁብ!AV73/Sheet4!$C70</f>
        <v>1</v>
      </c>
      <c r="AV70" s="43">
        <f>ዕቁብ!AW73/Sheet4!$C70</f>
        <v>1</v>
      </c>
      <c r="AW70" s="43">
        <f>ዕቁብ!AX73/Sheet4!$C70</f>
        <v>1</v>
      </c>
      <c r="AX70" s="43">
        <f>ዕቁብ!AY73/Sheet4!$C70</f>
        <v>1</v>
      </c>
      <c r="AY70" s="43">
        <f>ዕቁብ!AZ73/Sheet4!$C70</f>
        <v>1</v>
      </c>
      <c r="AZ70" s="43">
        <f>ዕቁብ!BA73/Sheet4!$C70</f>
        <v>1</v>
      </c>
      <c r="BA70" s="43">
        <f>ዕቁብ!BB73/Sheet4!$C70</f>
        <v>1</v>
      </c>
      <c r="BB70" s="43">
        <f>ዕቁብ!BC73/Sheet4!$C70</f>
        <v>1</v>
      </c>
      <c r="BC70" s="43">
        <f>ዕቁብ!BD73/Sheet4!$C70</f>
        <v>1</v>
      </c>
      <c r="BD70" s="43">
        <f>ዕቁብ!BE73/Sheet4!$C70</f>
        <v>1</v>
      </c>
      <c r="BE70" s="43">
        <f>ዕቁብ!BF73/Sheet4!$C70</f>
        <v>1</v>
      </c>
      <c r="BF70" s="43">
        <f>ዕቁብ!BG73/Sheet4!$C70</f>
        <v>1</v>
      </c>
      <c r="BG70" s="43">
        <f>ዕቁብ!BH73/Sheet4!$C70</f>
        <v>1</v>
      </c>
      <c r="BH70" s="43">
        <f>ዕቁብ!BI73/Sheet4!$C70</f>
        <v>1</v>
      </c>
      <c r="BI70" s="43">
        <f>ዕቁብ!BJ73/Sheet4!$C70</f>
        <v>1</v>
      </c>
      <c r="BJ70" s="43">
        <f>ዕቁብ!BK73/Sheet4!$C70</f>
        <v>1</v>
      </c>
      <c r="BK70" s="43">
        <f>ዕቁብ!BL73/Sheet4!$C70</f>
        <v>1</v>
      </c>
      <c r="BL70" s="43">
        <f>ዕቁብ!BM73/Sheet4!$C70</f>
        <v>1</v>
      </c>
      <c r="BM70" s="43">
        <f>ዕቁብ!BN73/Sheet4!$C70</f>
        <v>1</v>
      </c>
      <c r="BN70" s="43">
        <f>ዕቁብ!BO73/Sheet4!$C70</f>
        <v>1</v>
      </c>
      <c r="BO70" s="43">
        <f>ዕቁብ!BP73/Sheet4!$C70</f>
        <v>1</v>
      </c>
      <c r="BP70" s="43">
        <f>ዕቁብ!BQ73/Sheet4!$C70</f>
        <v>1</v>
      </c>
      <c r="BQ70" s="43">
        <f>ዕቁብ!BR73/Sheet4!$C70</f>
        <v>1</v>
      </c>
      <c r="BR70" s="43">
        <f>ዕቁብ!BS73/Sheet4!$C70</f>
        <v>1</v>
      </c>
      <c r="BS70" s="43">
        <f>ዕቁብ!BT73/Sheet4!$C70</f>
        <v>1</v>
      </c>
      <c r="BT70" s="43">
        <f>ዕቁብ!BU73/Sheet4!$C70</f>
        <v>1</v>
      </c>
      <c r="BU70" s="43">
        <f>ዕቁብ!BV73/Sheet4!$C70</f>
        <v>1</v>
      </c>
      <c r="BV70" s="43">
        <f>ዕቁብ!BW73/Sheet4!$C70</f>
        <v>1</v>
      </c>
      <c r="BW70" s="43">
        <f>ዕቁብ!BX73/Sheet4!$C70</f>
        <v>1</v>
      </c>
      <c r="BX70" s="43">
        <f>ዕቁብ!BY73/Sheet4!$C70</f>
        <v>1</v>
      </c>
      <c r="BY70" s="43">
        <f>ዕቁብ!BZ73/Sheet4!$C70</f>
        <v>1</v>
      </c>
      <c r="BZ70" s="43">
        <f>ዕቁብ!CA73/Sheet4!$C70</f>
        <v>1</v>
      </c>
      <c r="CA70" s="43">
        <f>ዕቁብ!CB73/Sheet4!$C70</f>
        <v>1</v>
      </c>
      <c r="CB70" s="43">
        <f>ዕቁብ!CC73/Sheet4!$C70</f>
        <v>1</v>
      </c>
      <c r="CC70" s="43">
        <f>ዕቁብ!CD73/Sheet4!$C70</f>
        <v>1</v>
      </c>
      <c r="CD70" s="43">
        <f>ዕቁብ!CE73/Sheet4!$C70</f>
        <v>1</v>
      </c>
      <c r="CE70" s="43">
        <f>ዕቁብ!CF73/Sheet4!$C70</f>
        <v>1</v>
      </c>
      <c r="CF70" s="43">
        <f>ዕቁብ!CG73/Sheet4!$C70</f>
        <v>1</v>
      </c>
      <c r="CG70" s="43">
        <f>ዕቁብ!CH73/Sheet4!$C70</f>
        <v>1</v>
      </c>
      <c r="CH70" s="43">
        <f>ዕቁብ!CI73/Sheet4!$C70</f>
        <v>1</v>
      </c>
      <c r="CI70" s="43">
        <f>ዕቁብ!CJ73/Sheet4!$C70</f>
        <v>1</v>
      </c>
      <c r="CJ70" s="43">
        <f>ዕቁብ!CK73/Sheet4!$C70</f>
        <v>1</v>
      </c>
      <c r="CK70" s="43">
        <f>ዕቁብ!CL73/Sheet4!$C70</f>
        <v>1</v>
      </c>
      <c r="CL70" s="43">
        <f>ዕቁብ!CM73/Sheet4!$C70</f>
        <v>0</v>
      </c>
      <c r="CM70" s="43">
        <f>ዕቁብ!CN73/Sheet4!$C70</f>
        <v>2</v>
      </c>
      <c r="CN70" s="43">
        <f>ዕቁብ!CO73/Sheet4!$C70</f>
        <v>1</v>
      </c>
      <c r="CO70" s="43">
        <f>ዕቁብ!CP73/Sheet4!$C70</f>
        <v>1</v>
      </c>
      <c r="CP70" s="43">
        <f>ዕቁብ!CQ73/Sheet4!$C70</f>
        <v>1</v>
      </c>
      <c r="CQ70" s="43">
        <f>ዕቁብ!CR73/Sheet4!$C70</f>
        <v>1</v>
      </c>
      <c r="CR70" s="43">
        <f>ዕቁብ!CS73/Sheet4!$C70</f>
        <v>1</v>
      </c>
      <c r="CS70" s="43">
        <f>ዕቁብ!CT73/Sheet4!$C70</f>
        <v>1</v>
      </c>
      <c r="CT70" s="43">
        <f>ዕቁብ!CU73/Sheet4!$C70</f>
        <v>1</v>
      </c>
      <c r="CU70" s="43">
        <f>ዕቁብ!CV73/Sheet4!$C70</f>
        <v>1</v>
      </c>
      <c r="CV70" s="43">
        <f>ዕቁብ!CW73/Sheet4!$C70</f>
        <v>1</v>
      </c>
      <c r="CW70" s="43">
        <f>ዕቁብ!CX73/Sheet4!$C70</f>
        <v>1</v>
      </c>
      <c r="CX70" s="43">
        <f>ዕቁብ!CY73/Sheet4!$C70</f>
        <v>1</v>
      </c>
      <c r="CY70" s="43">
        <f>ዕቁብ!CZ73/Sheet4!$C70</f>
        <v>1</v>
      </c>
      <c r="CZ70" s="43">
        <f>ዕቁብ!DA73/Sheet4!$C70</f>
        <v>1</v>
      </c>
      <c r="DA70" s="43">
        <f>ዕቁብ!DB73/Sheet4!$C70</f>
        <v>1</v>
      </c>
      <c r="DB70" s="43">
        <f>ዕቁብ!DC73/Sheet4!$C70</f>
        <v>1</v>
      </c>
      <c r="DC70" s="43">
        <f>ዕቁብ!DD73/Sheet4!$C70</f>
        <v>1</v>
      </c>
      <c r="DD70" s="43">
        <f>ዕቁብ!DE73/Sheet4!$C70</f>
        <v>0</v>
      </c>
      <c r="DE70" s="43">
        <f>ዕቁብ!DF73/Sheet4!$C70</f>
        <v>2</v>
      </c>
      <c r="DF70" s="43">
        <f>ዕቁብ!DG73/Sheet4!$C70</f>
        <v>1</v>
      </c>
      <c r="DG70" s="43">
        <f>ዕቁብ!DH73/Sheet4!$C70</f>
        <v>1</v>
      </c>
      <c r="DH70" s="43">
        <f>ዕቁብ!DI73/Sheet4!$C70</f>
        <v>0</v>
      </c>
      <c r="DI70" s="43">
        <f>ዕቁብ!DJ73/Sheet4!$C70</f>
        <v>0</v>
      </c>
      <c r="DJ70" s="43">
        <f>ዕቁብ!DK73/Sheet4!$C70</f>
        <v>0</v>
      </c>
      <c r="DK70" s="43">
        <f>ዕቁብ!DL73/Sheet4!$C70</f>
        <v>0</v>
      </c>
      <c r="DL70" s="43">
        <f>ዕቁብ!DM73/Sheet4!$C70</f>
        <v>0</v>
      </c>
      <c r="DM70" s="43">
        <f>ዕቁብ!DN73/Sheet4!$C70</f>
        <v>0</v>
      </c>
      <c r="DN70" s="43">
        <f>ዕቁብ!DO73/Sheet4!$C70</f>
        <v>0</v>
      </c>
      <c r="DO70" s="43">
        <f>ዕቁብ!DP73/Sheet4!$C70</f>
        <v>0</v>
      </c>
      <c r="DP70" s="43">
        <f>ዕቁብ!DQ73/Sheet4!$C70</f>
        <v>0</v>
      </c>
      <c r="DQ70" s="43">
        <f>ዕቁብ!DR73/Sheet4!$C70</f>
        <v>0</v>
      </c>
    </row>
    <row r="71" spans="1:121" ht="15.75" customHeight="1" x14ac:dyDescent="0.3">
      <c r="A71" s="40">
        <f>ዕቁብ!A74</f>
        <v>68</v>
      </c>
      <c r="B71" s="40" t="str">
        <f>ዕቁብ!B74</f>
        <v>አማረ ወርቁ</v>
      </c>
      <c r="C71" s="30">
        <f>ዕቁብ!C74</f>
        <v>21000</v>
      </c>
      <c r="D71" s="43">
        <f>ዕቁብ!E74/Sheet4!$C71</f>
        <v>1</v>
      </c>
      <c r="E71" s="43">
        <f>ዕቁብ!F74/Sheet4!$C71</f>
        <v>1</v>
      </c>
      <c r="F71" s="43">
        <f>ዕቁብ!G74/Sheet4!$C71</f>
        <v>1</v>
      </c>
      <c r="G71" s="43">
        <f>ዕቁብ!H74/Sheet4!$C71</f>
        <v>1</v>
      </c>
      <c r="H71" s="43">
        <f>ዕቁብ!I74/Sheet4!$C71</f>
        <v>1</v>
      </c>
      <c r="I71" s="43">
        <f>ዕቁብ!J74/Sheet4!$C71</f>
        <v>1</v>
      </c>
      <c r="J71" s="43">
        <f>ዕቁብ!K74/Sheet4!$C71</f>
        <v>1</v>
      </c>
      <c r="K71" s="43">
        <f>ዕቁብ!L74/Sheet4!$C71</f>
        <v>1</v>
      </c>
      <c r="L71" s="43">
        <f>ዕቁብ!M74/Sheet4!$C71</f>
        <v>1</v>
      </c>
      <c r="M71" s="43">
        <f>ዕቁብ!N74/Sheet4!$C71</f>
        <v>1</v>
      </c>
      <c r="N71" s="43">
        <f>ዕቁብ!O74/Sheet4!$C71</f>
        <v>1</v>
      </c>
      <c r="O71" s="43">
        <f>ዕቁብ!P74/Sheet4!$C71</f>
        <v>1</v>
      </c>
      <c r="P71" s="43">
        <f>ዕቁብ!Q74/Sheet4!$C71</f>
        <v>1</v>
      </c>
      <c r="Q71" s="43">
        <f>ዕቁብ!R74/Sheet4!$C71</f>
        <v>1</v>
      </c>
      <c r="R71" s="43">
        <f>ዕቁብ!S74/Sheet4!$C71</f>
        <v>1</v>
      </c>
      <c r="S71" s="43">
        <f>ዕቁብ!T74/Sheet4!$C71</f>
        <v>1</v>
      </c>
      <c r="T71" s="43">
        <f>ዕቁብ!U74/Sheet4!$C71</f>
        <v>1</v>
      </c>
      <c r="U71" s="43">
        <f>ዕቁብ!V74/Sheet4!$C71</f>
        <v>1</v>
      </c>
      <c r="V71" s="43">
        <f>ዕቁብ!W74/Sheet4!$C71</f>
        <v>1</v>
      </c>
      <c r="W71" s="43">
        <f>ዕቁብ!X74/Sheet4!$C71</f>
        <v>1</v>
      </c>
      <c r="X71" s="43">
        <f>ዕቁብ!Y74/Sheet4!$C71</f>
        <v>1</v>
      </c>
      <c r="Y71" s="43">
        <f>ዕቁብ!Z74/Sheet4!$C71</f>
        <v>1</v>
      </c>
      <c r="Z71" s="43">
        <f>ዕቁብ!AA74/Sheet4!$C71</f>
        <v>1</v>
      </c>
      <c r="AA71" s="43">
        <f>ዕቁብ!AB74/Sheet4!$C71</f>
        <v>1</v>
      </c>
      <c r="AB71" s="43">
        <f>ዕቁብ!AC74/Sheet4!$C71</f>
        <v>1</v>
      </c>
      <c r="AC71" s="43">
        <f>ዕቁብ!AD74/Sheet4!$C71</f>
        <v>1</v>
      </c>
      <c r="AD71" s="43">
        <f>ዕቁብ!AE74/Sheet4!$C71</f>
        <v>1</v>
      </c>
      <c r="AE71" s="43">
        <f>ዕቁብ!AF74/Sheet4!$C71</f>
        <v>1</v>
      </c>
      <c r="AF71" s="43">
        <f>ዕቁብ!AG74/Sheet4!$C71</f>
        <v>1</v>
      </c>
      <c r="AG71" s="43">
        <f>ዕቁብ!AH74/Sheet4!$C71</f>
        <v>1</v>
      </c>
      <c r="AH71" s="43">
        <f>ዕቁብ!AI74/Sheet4!$C71</f>
        <v>1</v>
      </c>
      <c r="AI71" s="43">
        <f>ዕቁብ!AJ74/Sheet4!$C71</f>
        <v>1</v>
      </c>
      <c r="AJ71" s="43">
        <f>ዕቁብ!AK74/Sheet4!$C71</f>
        <v>1</v>
      </c>
      <c r="AK71" s="43">
        <f>ዕቁብ!AL74/Sheet4!$C71</f>
        <v>1</v>
      </c>
      <c r="AL71" s="43">
        <f>ዕቁብ!AM74/Sheet4!$C71</f>
        <v>1</v>
      </c>
      <c r="AM71" s="43">
        <f>ዕቁብ!AN74/Sheet4!$C71</f>
        <v>1</v>
      </c>
      <c r="AN71" s="43">
        <f>ዕቁብ!AO74/Sheet4!$C71</f>
        <v>1</v>
      </c>
      <c r="AO71" s="43">
        <f>ዕቁብ!AP74/Sheet4!$C71</f>
        <v>1</v>
      </c>
      <c r="AP71" s="43">
        <f>ዕቁብ!AQ74/Sheet4!$C71</f>
        <v>1</v>
      </c>
      <c r="AQ71" s="43">
        <f>ዕቁብ!AR74/Sheet4!$C71</f>
        <v>1</v>
      </c>
      <c r="AR71" s="43">
        <f>ዕቁብ!AS74/Sheet4!$C71</f>
        <v>1</v>
      </c>
      <c r="AS71" s="43">
        <f>ዕቁብ!AT74/Sheet4!$C71</f>
        <v>1</v>
      </c>
      <c r="AT71" s="43">
        <f>ዕቁብ!AU74/Sheet4!$C71</f>
        <v>1</v>
      </c>
      <c r="AU71" s="43">
        <f>ዕቁብ!AV74/Sheet4!$C71</f>
        <v>1</v>
      </c>
      <c r="AV71" s="43">
        <f>ዕቁብ!AW74/Sheet4!$C71</f>
        <v>0</v>
      </c>
      <c r="AW71" s="43">
        <f>ዕቁብ!AX74/Sheet4!$C71</f>
        <v>0</v>
      </c>
      <c r="AX71" s="43">
        <f>ዕቁብ!AY74/Sheet4!$C71</f>
        <v>0</v>
      </c>
      <c r="AY71" s="43">
        <f>ዕቁብ!AZ74/Sheet4!$C71</f>
        <v>1</v>
      </c>
      <c r="AZ71" s="43">
        <f>ዕቁብ!BA74/Sheet4!$C71</f>
        <v>2</v>
      </c>
      <c r="BA71" s="43">
        <f>ዕቁብ!BB74/Sheet4!$C71</f>
        <v>0</v>
      </c>
      <c r="BB71" s="43">
        <f>ዕቁብ!BC74/Sheet4!$C71</f>
        <v>2</v>
      </c>
      <c r="BC71" s="43">
        <f>ዕቁብ!BD74/Sheet4!$C71</f>
        <v>1</v>
      </c>
      <c r="BD71" s="43">
        <f>ዕቁብ!BE74/Sheet4!$C71</f>
        <v>1</v>
      </c>
      <c r="BE71" s="43">
        <f>ዕቁብ!BF74/Sheet4!$C71</f>
        <v>1</v>
      </c>
      <c r="BF71" s="43">
        <f>ዕቁብ!BG74/Sheet4!$C71</f>
        <v>1</v>
      </c>
      <c r="BG71" s="43">
        <f>ዕቁብ!BH74/Sheet4!$C71</f>
        <v>0</v>
      </c>
      <c r="BH71" s="43">
        <f>ዕቁብ!BI74/Sheet4!$C71</f>
        <v>0</v>
      </c>
      <c r="BI71" s="43">
        <f>ዕቁብ!BJ74/Sheet4!$C71</f>
        <v>0</v>
      </c>
      <c r="BJ71" s="43">
        <f>ዕቁብ!BK74/Sheet4!$C71</f>
        <v>3</v>
      </c>
      <c r="BK71" s="43">
        <f>ዕቁብ!BL74/Sheet4!$C71</f>
        <v>0</v>
      </c>
      <c r="BL71" s="43">
        <f>ዕቁብ!BM74/Sheet4!$C71</f>
        <v>0</v>
      </c>
      <c r="BM71" s="43">
        <f>ዕቁብ!BN74/Sheet4!$C71</f>
        <v>0</v>
      </c>
      <c r="BN71" s="43">
        <f>ዕቁብ!BO74/Sheet4!$C71</f>
        <v>0</v>
      </c>
      <c r="BO71" s="43">
        <f>ዕቁብ!BP74/Sheet4!$C71</f>
        <v>0</v>
      </c>
      <c r="BP71" s="43">
        <f>ዕቁብ!BQ74/Sheet4!$C71</f>
        <v>2</v>
      </c>
      <c r="BQ71" s="43">
        <f>ዕቁብ!BR74/Sheet4!$C71</f>
        <v>1</v>
      </c>
      <c r="BR71" s="43">
        <f>ዕቁብ!BS74/Sheet4!$C71</f>
        <v>0</v>
      </c>
      <c r="BS71" s="43">
        <f>ዕቁብ!BT74/Sheet4!$C71</f>
        <v>9</v>
      </c>
      <c r="BT71" s="43">
        <f>ዕቁብ!BU74/Sheet4!$C71</f>
        <v>0</v>
      </c>
      <c r="BU71" s="43">
        <f>ዕቁብ!BV74/Sheet4!$C71</f>
        <v>0</v>
      </c>
      <c r="BV71" s="43">
        <f>ዕቁብ!BW74/Sheet4!$C71</f>
        <v>0</v>
      </c>
      <c r="BW71" s="43">
        <f>ዕቁብ!BX74/Sheet4!$C71</f>
        <v>0</v>
      </c>
      <c r="BX71" s="43">
        <f>ዕቁብ!BY74/Sheet4!$C71</f>
        <v>0</v>
      </c>
      <c r="BY71" s="43">
        <f>ዕቁብ!BZ74/Sheet4!$C71</f>
        <v>0</v>
      </c>
      <c r="BZ71" s="43">
        <f>ዕቁብ!CA74/Sheet4!$C71</f>
        <v>0</v>
      </c>
      <c r="CA71" s="43">
        <f>ዕቁብ!CB74/Sheet4!$C71</f>
        <v>0</v>
      </c>
      <c r="CB71" s="43">
        <f>ዕቁብ!CC74/Sheet4!$C71</f>
        <v>0</v>
      </c>
      <c r="CC71" s="43">
        <f>ዕቁብ!CD74/Sheet4!$C71</f>
        <v>0</v>
      </c>
      <c r="CD71" s="43">
        <f>ዕቁብ!CE74/Sheet4!$C71</f>
        <v>0</v>
      </c>
      <c r="CE71" s="43">
        <f>ዕቁብ!CF74/Sheet4!$C71</f>
        <v>0</v>
      </c>
      <c r="CF71" s="43">
        <f>ዕቁብ!CG74/Sheet4!$C71</f>
        <v>0</v>
      </c>
      <c r="CG71" s="43">
        <f>ዕቁብ!CH74/Sheet4!$C71</f>
        <v>0</v>
      </c>
      <c r="CH71" s="43">
        <f>ዕቁብ!CI74/Sheet4!$C71</f>
        <v>0</v>
      </c>
      <c r="CI71" s="43">
        <f>ዕቁብ!CJ74/Sheet4!$C71</f>
        <v>0</v>
      </c>
      <c r="CJ71" s="43">
        <f>ዕቁብ!CK74/Sheet4!$C71</f>
        <v>0</v>
      </c>
      <c r="CK71" s="43">
        <f>ዕቁብ!CL74/Sheet4!$C71</f>
        <v>0</v>
      </c>
      <c r="CL71" s="43">
        <f>ዕቁብ!CM74/Sheet4!$C71</f>
        <v>16</v>
      </c>
      <c r="CM71" s="43">
        <f>ዕቁብ!CN74/Sheet4!$C71</f>
        <v>0</v>
      </c>
      <c r="CN71" s="43">
        <f>ዕቁብ!CO74/Sheet4!$C71</f>
        <v>0</v>
      </c>
      <c r="CO71" s="43">
        <f>ዕቁብ!CP74/Sheet4!$C71</f>
        <v>5</v>
      </c>
      <c r="CP71" s="43">
        <f>ዕቁብ!CQ74/Sheet4!$C71</f>
        <v>1</v>
      </c>
      <c r="CQ71" s="43">
        <f>ዕቁብ!CR74/Sheet4!$C71</f>
        <v>0</v>
      </c>
      <c r="CR71" s="43">
        <f>ዕቁብ!CS74/Sheet4!$C71</f>
        <v>0</v>
      </c>
      <c r="CS71" s="43">
        <f>ዕቁብ!CT74/Sheet4!$C71</f>
        <v>0</v>
      </c>
      <c r="CT71" s="43">
        <f>ዕቁብ!CU74/Sheet4!$C71</f>
        <v>0</v>
      </c>
      <c r="CU71" s="43">
        <f>ዕቁብ!CV74/Sheet4!$C71</f>
        <v>0</v>
      </c>
      <c r="CV71" s="43">
        <f>ዕቁብ!CW74/Sheet4!$C71</f>
        <v>0</v>
      </c>
      <c r="CW71" s="43">
        <f>ዕቁብ!CX74/Sheet4!$C71</f>
        <v>0</v>
      </c>
      <c r="CX71" s="43">
        <f>ዕቁብ!CY74/Sheet4!$C71</f>
        <v>0</v>
      </c>
      <c r="CY71" s="43">
        <f>ዕቁብ!CZ74/Sheet4!$C71</f>
        <v>0</v>
      </c>
      <c r="CZ71" s="43">
        <f>ዕቁብ!DA74/Sheet4!$C71</f>
        <v>1</v>
      </c>
      <c r="DA71" s="43">
        <f>ዕቁብ!DB74/Sheet4!$C71</f>
        <v>0</v>
      </c>
      <c r="DB71" s="43">
        <f>ዕቁብ!DC74/Sheet4!$C71</f>
        <v>0</v>
      </c>
      <c r="DC71" s="43">
        <f>ዕቁብ!DD74/Sheet4!$C71</f>
        <v>0</v>
      </c>
      <c r="DD71" s="43">
        <f>ዕቁብ!DE74/Sheet4!$C71</f>
        <v>0</v>
      </c>
      <c r="DE71" s="43">
        <f>ዕቁብ!DF74/Sheet4!$C71</f>
        <v>0</v>
      </c>
      <c r="DF71" s="43">
        <f>ዕቁብ!DG74/Sheet4!$C71</f>
        <v>0</v>
      </c>
      <c r="DG71" s="43">
        <f>ዕቁብ!DH74/Sheet4!$C71</f>
        <v>0</v>
      </c>
      <c r="DH71" s="43">
        <f>ዕቁብ!DI74/Sheet4!$C71</f>
        <v>0</v>
      </c>
      <c r="DI71" s="43">
        <f>ዕቁብ!DJ74/Sheet4!$C71</f>
        <v>0</v>
      </c>
      <c r="DJ71" s="43">
        <f>ዕቁብ!DK74/Sheet4!$C71</f>
        <v>0</v>
      </c>
      <c r="DK71" s="43">
        <f>ዕቁብ!DL74/Sheet4!$C71</f>
        <v>0</v>
      </c>
      <c r="DL71" s="43">
        <f>ዕቁብ!DM74/Sheet4!$C71</f>
        <v>0</v>
      </c>
      <c r="DM71" s="43">
        <f>ዕቁብ!DN74/Sheet4!$C71</f>
        <v>0</v>
      </c>
      <c r="DN71" s="43">
        <f>ዕቁብ!DO74/Sheet4!$C71</f>
        <v>0</v>
      </c>
      <c r="DO71" s="43">
        <f>ዕቁብ!DP74/Sheet4!$C71</f>
        <v>0</v>
      </c>
      <c r="DP71" s="43">
        <f>ዕቁብ!DQ74/Sheet4!$C71</f>
        <v>0</v>
      </c>
      <c r="DQ71" s="43">
        <f>ዕቁብ!DR74/Sheet4!$C71</f>
        <v>0</v>
      </c>
    </row>
    <row r="72" spans="1:121" ht="15.75" customHeight="1" x14ac:dyDescent="0.3">
      <c r="A72" s="40">
        <f>ዕቁብ!A75</f>
        <v>69</v>
      </c>
      <c r="B72" s="40" t="str">
        <f>ዕቁብ!B75</f>
        <v>ሄኖክ በቀለ</v>
      </c>
      <c r="C72" s="30">
        <f>ዕቁብ!C75</f>
        <v>21000</v>
      </c>
      <c r="D72" s="43">
        <f>ዕቁብ!E75/Sheet4!$C72</f>
        <v>1</v>
      </c>
      <c r="E72" s="43">
        <f>ዕቁብ!F75/Sheet4!$C72</f>
        <v>1</v>
      </c>
      <c r="F72" s="43">
        <f>ዕቁብ!G75/Sheet4!$C72</f>
        <v>1</v>
      </c>
      <c r="G72" s="43">
        <f>ዕቁብ!H75/Sheet4!$C72</f>
        <v>1</v>
      </c>
      <c r="H72" s="43">
        <f>ዕቁብ!I75/Sheet4!$C72</f>
        <v>1</v>
      </c>
      <c r="I72" s="43">
        <f>ዕቁብ!J75/Sheet4!$C72</f>
        <v>1</v>
      </c>
      <c r="J72" s="43">
        <f>ዕቁብ!K75/Sheet4!$C72</f>
        <v>1</v>
      </c>
      <c r="K72" s="43">
        <f>ዕቁብ!L75/Sheet4!$C72</f>
        <v>1</v>
      </c>
      <c r="L72" s="43">
        <f>ዕቁብ!M75/Sheet4!$C72</f>
        <v>1</v>
      </c>
      <c r="M72" s="43">
        <f>ዕቁብ!N75/Sheet4!$C72</f>
        <v>1</v>
      </c>
      <c r="N72" s="43">
        <f>ዕቁብ!O75/Sheet4!$C72</f>
        <v>1</v>
      </c>
      <c r="O72" s="43">
        <f>ዕቁብ!P75/Sheet4!$C72</f>
        <v>1</v>
      </c>
      <c r="P72" s="43">
        <f>ዕቁብ!Q75/Sheet4!$C72</f>
        <v>1</v>
      </c>
      <c r="Q72" s="43">
        <f>ዕቁብ!R75/Sheet4!$C72</f>
        <v>1</v>
      </c>
      <c r="R72" s="43">
        <f>ዕቁብ!S75/Sheet4!$C72</f>
        <v>1</v>
      </c>
      <c r="S72" s="43">
        <f>ዕቁብ!T75/Sheet4!$C72</f>
        <v>1</v>
      </c>
      <c r="T72" s="43">
        <f>ዕቁብ!U75/Sheet4!$C72</f>
        <v>1</v>
      </c>
      <c r="U72" s="43">
        <f>ዕቁብ!V75/Sheet4!$C72</f>
        <v>1</v>
      </c>
      <c r="V72" s="43">
        <f>ዕቁብ!W75/Sheet4!$C72</f>
        <v>1</v>
      </c>
      <c r="W72" s="43">
        <f>ዕቁብ!X75/Sheet4!$C72</f>
        <v>1</v>
      </c>
      <c r="X72" s="43">
        <f>ዕቁብ!Y75/Sheet4!$C72</f>
        <v>1</v>
      </c>
      <c r="Y72" s="43">
        <f>ዕቁብ!Z75/Sheet4!$C72</f>
        <v>1</v>
      </c>
      <c r="Z72" s="43">
        <f>ዕቁብ!AA75/Sheet4!$C72</f>
        <v>1</v>
      </c>
      <c r="AA72" s="43">
        <f>ዕቁብ!AB75/Sheet4!$C72</f>
        <v>1</v>
      </c>
      <c r="AB72" s="43">
        <f>ዕቁብ!AC75/Sheet4!$C72</f>
        <v>1</v>
      </c>
      <c r="AC72" s="43">
        <f>ዕቁብ!AD75/Sheet4!$C72</f>
        <v>1</v>
      </c>
      <c r="AD72" s="43">
        <f>ዕቁብ!AE75/Sheet4!$C72</f>
        <v>1</v>
      </c>
      <c r="AE72" s="43">
        <f>ዕቁብ!AF75/Sheet4!$C72</f>
        <v>1</v>
      </c>
      <c r="AF72" s="43">
        <f>ዕቁብ!AG75/Sheet4!$C72</f>
        <v>0</v>
      </c>
      <c r="AG72" s="43">
        <f>ዕቁብ!AH75/Sheet4!$C72</f>
        <v>2</v>
      </c>
      <c r="AH72" s="43">
        <f>ዕቁብ!AI75/Sheet4!$C72</f>
        <v>1</v>
      </c>
      <c r="AI72" s="43">
        <f>ዕቁብ!AJ75/Sheet4!$C72</f>
        <v>1</v>
      </c>
      <c r="AJ72" s="43">
        <f>ዕቁብ!AK75/Sheet4!$C72</f>
        <v>1</v>
      </c>
      <c r="AK72" s="43">
        <f>ዕቁብ!AL75/Sheet4!$C72</f>
        <v>1</v>
      </c>
      <c r="AL72" s="43">
        <f>ዕቁብ!AM75/Sheet4!$C72</f>
        <v>1</v>
      </c>
      <c r="AM72" s="43">
        <f>ዕቁብ!AN75/Sheet4!$C72</f>
        <v>1</v>
      </c>
      <c r="AN72" s="43">
        <f>ዕቁብ!AO75/Sheet4!$C72</f>
        <v>1</v>
      </c>
      <c r="AO72" s="43">
        <f>ዕቁብ!AP75/Sheet4!$C72</f>
        <v>1</v>
      </c>
      <c r="AP72" s="43">
        <f>ዕቁብ!AQ75/Sheet4!$C72</f>
        <v>1</v>
      </c>
      <c r="AQ72" s="43">
        <f>ዕቁብ!AR75/Sheet4!$C72</f>
        <v>1</v>
      </c>
      <c r="AR72" s="43">
        <f>ዕቁብ!AS75/Sheet4!$C72</f>
        <v>1</v>
      </c>
      <c r="AS72" s="43">
        <f>ዕቁብ!AT75/Sheet4!$C72</f>
        <v>1</v>
      </c>
      <c r="AT72" s="43">
        <f>ዕቁብ!AU75/Sheet4!$C72</f>
        <v>1</v>
      </c>
      <c r="AU72" s="43">
        <f>ዕቁብ!AV75/Sheet4!$C72</f>
        <v>0</v>
      </c>
      <c r="AV72" s="43">
        <f>ዕቁብ!AW75/Sheet4!$C72</f>
        <v>2</v>
      </c>
      <c r="AW72" s="43">
        <f>ዕቁብ!AX75/Sheet4!$C72</f>
        <v>1</v>
      </c>
      <c r="AX72" s="43">
        <f>ዕቁብ!AY75/Sheet4!$C72</f>
        <v>1</v>
      </c>
      <c r="AY72" s="43">
        <f>ዕቁብ!AZ75/Sheet4!$C72</f>
        <v>1</v>
      </c>
      <c r="AZ72" s="43">
        <f>ዕቁብ!BA75/Sheet4!$C72</f>
        <v>1</v>
      </c>
      <c r="BA72" s="43">
        <f>ዕቁብ!BB75/Sheet4!$C72</f>
        <v>1</v>
      </c>
      <c r="BB72" s="43">
        <f>ዕቁብ!BC75/Sheet4!$C72</f>
        <v>1</v>
      </c>
      <c r="BC72" s="43">
        <f>ዕቁብ!BD75/Sheet4!$C72</f>
        <v>0</v>
      </c>
      <c r="BD72" s="43">
        <f>ዕቁብ!BE75/Sheet4!$C72</f>
        <v>1</v>
      </c>
      <c r="BE72" s="43">
        <f>ዕቁብ!BF75/Sheet4!$C72</f>
        <v>1</v>
      </c>
      <c r="BF72" s="43">
        <f>ዕቁብ!BG75/Sheet4!$C72</f>
        <v>2</v>
      </c>
      <c r="BG72" s="43">
        <f>ዕቁብ!BH75/Sheet4!$C72</f>
        <v>1</v>
      </c>
      <c r="BH72" s="43">
        <f>ዕቁብ!BI75/Sheet4!$C72</f>
        <v>1</v>
      </c>
      <c r="BI72" s="43">
        <f>ዕቁብ!BJ75/Sheet4!$C72</f>
        <v>1</v>
      </c>
      <c r="BJ72" s="43">
        <f>ዕቁብ!BK75/Sheet4!$C72</f>
        <v>1</v>
      </c>
      <c r="BK72" s="43">
        <f>ዕቁብ!BL75/Sheet4!$C72</f>
        <v>1</v>
      </c>
      <c r="BL72" s="43">
        <f>ዕቁብ!BM75/Sheet4!$C72</f>
        <v>1</v>
      </c>
      <c r="BM72" s="43">
        <f>ዕቁብ!BN75/Sheet4!$C72</f>
        <v>0</v>
      </c>
      <c r="BN72" s="43">
        <f>ዕቁብ!BO75/Sheet4!$C72</f>
        <v>1</v>
      </c>
      <c r="BO72" s="43">
        <f>ዕቁብ!BP75/Sheet4!$C72</f>
        <v>1</v>
      </c>
      <c r="BP72" s="43">
        <f>ዕቁብ!BQ75/Sheet4!$C72</f>
        <v>1</v>
      </c>
      <c r="BQ72" s="43">
        <f>ዕቁብ!BR75/Sheet4!$C72</f>
        <v>1</v>
      </c>
      <c r="BR72" s="43">
        <f>ዕቁብ!BS75/Sheet4!$C72</f>
        <v>1</v>
      </c>
      <c r="BS72" s="43">
        <f>ዕቁብ!BT75/Sheet4!$C72</f>
        <v>1</v>
      </c>
      <c r="BT72" s="43">
        <f>ዕቁብ!BU75/Sheet4!$C72</f>
        <v>1</v>
      </c>
      <c r="BU72" s="43">
        <f>ዕቁብ!BV75/Sheet4!$C72</f>
        <v>1</v>
      </c>
      <c r="BV72" s="43">
        <f>ዕቁብ!BW75/Sheet4!$C72</f>
        <v>1</v>
      </c>
      <c r="BW72" s="43">
        <f>ዕቁብ!BX75/Sheet4!$C72</f>
        <v>0</v>
      </c>
      <c r="BX72" s="43">
        <f>ዕቁብ!BY75/Sheet4!$C72</f>
        <v>1</v>
      </c>
      <c r="BY72" s="43">
        <f>ዕቁብ!BZ75/Sheet4!$C72</f>
        <v>0</v>
      </c>
      <c r="BZ72" s="43">
        <f>ዕቁብ!CA75/Sheet4!$C72</f>
        <v>0</v>
      </c>
      <c r="CA72" s="43">
        <f>ዕቁብ!CB75/Sheet4!$C72</f>
        <v>0</v>
      </c>
      <c r="CB72" s="43">
        <f>ዕቁብ!CC75/Sheet4!$C72</f>
        <v>0</v>
      </c>
      <c r="CC72" s="43">
        <f>ዕቁብ!CD75/Sheet4!$C72</f>
        <v>0</v>
      </c>
      <c r="CD72" s="43">
        <f>ዕቁብ!CE75/Sheet4!$C72</f>
        <v>0</v>
      </c>
      <c r="CE72" s="43">
        <f>ዕቁብ!CF75/Sheet4!$C72</f>
        <v>1</v>
      </c>
      <c r="CF72" s="43">
        <f>ዕቁብ!CG75/Sheet4!$C72</f>
        <v>1</v>
      </c>
      <c r="CG72" s="43">
        <f>ዕቁብ!CH75/Sheet4!$C72</f>
        <v>1</v>
      </c>
      <c r="CH72" s="43">
        <f>ዕቁብ!CI75/Sheet4!$C72</f>
        <v>1</v>
      </c>
      <c r="CI72" s="43">
        <f>ዕቁብ!CJ75/Sheet4!$C72</f>
        <v>2</v>
      </c>
      <c r="CJ72" s="43">
        <f>ዕቁብ!CK75/Sheet4!$C72</f>
        <v>0</v>
      </c>
      <c r="CK72" s="43">
        <f>ዕቁብ!CL75/Sheet4!$C72</f>
        <v>0</v>
      </c>
      <c r="CL72" s="43">
        <f>ዕቁብ!CM75/Sheet4!$C72</f>
        <v>1</v>
      </c>
      <c r="CM72" s="43">
        <f>ዕቁብ!CN75/Sheet4!$C72</f>
        <v>1</v>
      </c>
      <c r="CN72" s="43">
        <f>ዕቁብ!CO75/Sheet4!$C72</f>
        <v>0</v>
      </c>
      <c r="CO72" s="43">
        <f>ዕቁብ!CP75/Sheet4!$C72</f>
        <v>0</v>
      </c>
      <c r="CP72" s="43">
        <f>ዕቁብ!CQ75/Sheet4!$C72</f>
        <v>0</v>
      </c>
      <c r="CQ72" s="43">
        <f>ዕቁብ!CR75/Sheet4!$C72</f>
        <v>1</v>
      </c>
      <c r="CR72" s="43">
        <f>ዕቁብ!CS75/Sheet4!$C72</f>
        <v>0</v>
      </c>
      <c r="CS72" s="43">
        <f>ዕቁብ!CT75/Sheet4!$C72</f>
        <v>4</v>
      </c>
      <c r="CT72" s="43">
        <f>ዕቁብ!CU75/Sheet4!$C72</f>
        <v>0</v>
      </c>
      <c r="CU72" s="43">
        <f>ዕቁብ!CV75/Sheet4!$C72</f>
        <v>3</v>
      </c>
      <c r="CV72" s="43">
        <f>ዕቁብ!CW75/Sheet4!$C72</f>
        <v>0</v>
      </c>
      <c r="CW72" s="43">
        <f>ዕቁብ!CX75/Sheet4!$C72</f>
        <v>3</v>
      </c>
      <c r="CX72" s="43">
        <f>ዕቁብ!CY75/Sheet4!$C72</f>
        <v>1</v>
      </c>
      <c r="CY72" s="43">
        <f>ዕቁብ!CZ75/Sheet4!$C72</f>
        <v>2</v>
      </c>
      <c r="CZ72" s="43">
        <f>ዕቁብ!DA75/Sheet4!$C72</f>
        <v>1</v>
      </c>
      <c r="DA72" s="43">
        <f>ዕቁብ!DB75/Sheet4!$C72</f>
        <v>1</v>
      </c>
      <c r="DB72" s="43">
        <f>ዕቁብ!DC75/Sheet4!$C72</f>
        <v>0</v>
      </c>
      <c r="DC72" s="43">
        <f>ዕቁብ!DD75/Sheet4!$C72</f>
        <v>1</v>
      </c>
      <c r="DD72" s="43">
        <f>ዕቁብ!DE75/Sheet4!$C72</f>
        <v>2</v>
      </c>
      <c r="DE72" s="43">
        <f>ዕቁብ!DF75/Sheet4!$C72</f>
        <v>0</v>
      </c>
      <c r="DF72" s="43">
        <f>ዕቁብ!DG75/Sheet4!$C72</f>
        <v>2</v>
      </c>
      <c r="DG72" s="43">
        <f>ዕቁብ!DH75/Sheet4!$C72</f>
        <v>1</v>
      </c>
      <c r="DH72" s="43">
        <f>ዕቁብ!DI75/Sheet4!$C72</f>
        <v>0</v>
      </c>
      <c r="DI72" s="43">
        <f>ዕቁብ!DJ75/Sheet4!$C72</f>
        <v>0</v>
      </c>
      <c r="DJ72" s="43">
        <f>ዕቁብ!DK75/Sheet4!$C72</f>
        <v>0</v>
      </c>
      <c r="DK72" s="43">
        <f>ዕቁብ!DL75/Sheet4!$C72</f>
        <v>0</v>
      </c>
      <c r="DL72" s="43">
        <f>ዕቁብ!DM75/Sheet4!$C72</f>
        <v>0</v>
      </c>
      <c r="DM72" s="43">
        <f>ዕቁብ!DN75/Sheet4!$C72</f>
        <v>0</v>
      </c>
      <c r="DN72" s="43">
        <f>ዕቁብ!DO75/Sheet4!$C72</f>
        <v>0</v>
      </c>
      <c r="DO72" s="43">
        <f>ዕቁብ!DP75/Sheet4!$C72</f>
        <v>0</v>
      </c>
      <c r="DP72" s="43">
        <f>ዕቁብ!DQ75/Sheet4!$C72</f>
        <v>0</v>
      </c>
      <c r="DQ72" s="43">
        <f>ዕቁብ!DR75/Sheet4!$C72</f>
        <v>0</v>
      </c>
    </row>
    <row r="73" spans="1:121" ht="15.75" customHeight="1" x14ac:dyDescent="0.3">
      <c r="A73" s="40">
        <f>ዕቁብ!A76</f>
        <v>70</v>
      </c>
      <c r="B73" s="40" t="str">
        <f>ዕቁብ!B76</f>
        <v>ጥሩወርቅ አንዳርጌ</v>
      </c>
      <c r="C73" s="30">
        <f>ዕቁብ!C76</f>
        <v>21000</v>
      </c>
      <c r="D73" s="43">
        <f>ዕቁብ!E76/Sheet4!$C73</f>
        <v>1</v>
      </c>
      <c r="E73" s="43">
        <f>ዕቁብ!F76/Sheet4!$C73</f>
        <v>1</v>
      </c>
      <c r="F73" s="43">
        <f>ዕቁብ!G76/Sheet4!$C73</f>
        <v>1</v>
      </c>
      <c r="G73" s="43">
        <f>ዕቁብ!H76/Sheet4!$C73</f>
        <v>1</v>
      </c>
      <c r="H73" s="43">
        <f>ዕቁብ!I76/Sheet4!$C73</f>
        <v>1</v>
      </c>
      <c r="I73" s="43">
        <f>ዕቁብ!J76/Sheet4!$C73</f>
        <v>1</v>
      </c>
      <c r="J73" s="43">
        <f>ዕቁብ!K76/Sheet4!$C73</f>
        <v>1</v>
      </c>
      <c r="K73" s="43">
        <f>ዕቁብ!L76/Sheet4!$C73</f>
        <v>1</v>
      </c>
      <c r="L73" s="43">
        <f>ዕቁብ!M76/Sheet4!$C73</f>
        <v>1</v>
      </c>
      <c r="M73" s="43">
        <f>ዕቁብ!N76/Sheet4!$C73</f>
        <v>1</v>
      </c>
      <c r="N73" s="43">
        <f>ዕቁብ!O76/Sheet4!$C73</f>
        <v>1</v>
      </c>
      <c r="O73" s="43">
        <f>ዕቁብ!P76/Sheet4!$C73</f>
        <v>1</v>
      </c>
      <c r="P73" s="43">
        <f>ዕቁብ!Q76/Sheet4!$C73</f>
        <v>1</v>
      </c>
      <c r="Q73" s="43">
        <f>ዕቁብ!R76/Sheet4!$C73</f>
        <v>1</v>
      </c>
      <c r="R73" s="43">
        <f>ዕቁብ!S76/Sheet4!$C73</f>
        <v>1</v>
      </c>
      <c r="S73" s="43">
        <f>ዕቁብ!T76/Sheet4!$C73</f>
        <v>1</v>
      </c>
      <c r="T73" s="43">
        <f>ዕቁብ!U76/Sheet4!$C73</f>
        <v>1</v>
      </c>
      <c r="U73" s="43">
        <f>ዕቁብ!V76/Sheet4!$C73</f>
        <v>1</v>
      </c>
      <c r="V73" s="43">
        <f>ዕቁብ!W76/Sheet4!$C73</f>
        <v>1</v>
      </c>
      <c r="W73" s="43">
        <f>ዕቁብ!X76/Sheet4!$C73</f>
        <v>1</v>
      </c>
      <c r="X73" s="43">
        <f>ዕቁብ!Y76/Sheet4!$C73</f>
        <v>1</v>
      </c>
      <c r="Y73" s="43">
        <f>ዕቁብ!Z76/Sheet4!$C73</f>
        <v>1</v>
      </c>
      <c r="Z73" s="43">
        <f>ዕቁብ!AA76/Sheet4!$C73</f>
        <v>1</v>
      </c>
      <c r="AA73" s="43">
        <f>ዕቁብ!AB76/Sheet4!$C73</f>
        <v>1</v>
      </c>
      <c r="AB73" s="43">
        <f>ዕቁብ!AC76/Sheet4!$C73</f>
        <v>1</v>
      </c>
      <c r="AC73" s="43">
        <f>ዕቁብ!AD76/Sheet4!$C73</f>
        <v>1</v>
      </c>
      <c r="AD73" s="43">
        <f>ዕቁብ!AE76/Sheet4!$C73</f>
        <v>1</v>
      </c>
      <c r="AE73" s="43">
        <f>ዕቁብ!AF76/Sheet4!$C73</f>
        <v>1</v>
      </c>
      <c r="AF73" s="43">
        <f>ዕቁብ!AG76/Sheet4!$C73</f>
        <v>1</v>
      </c>
      <c r="AG73" s="43">
        <f>ዕቁብ!AH76/Sheet4!$C73</f>
        <v>1</v>
      </c>
      <c r="AH73" s="43">
        <f>ዕቁብ!AI76/Sheet4!$C73</f>
        <v>1</v>
      </c>
      <c r="AI73" s="43">
        <f>ዕቁብ!AJ76/Sheet4!$C73</f>
        <v>1</v>
      </c>
      <c r="AJ73" s="43">
        <f>ዕቁብ!AK76/Sheet4!$C73</f>
        <v>1</v>
      </c>
      <c r="AK73" s="43">
        <f>ዕቁብ!AL76/Sheet4!$C73</f>
        <v>1</v>
      </c>
      <c r="AL73" s="43">
        <f>ዕቁብ!AM76/Sheet4!$C73</f>
        <v>1</v>
      </c>
      <c r="AM73" s="43">
        <f>ዕቁብ!AN76/Sheet4!$C73</f>
        <v>1</v>
      </c>
      <c r="AN73" s="43">
        <f>ዕቁብ!AO76/Sheet4!$C73</f>
        <v>1</v>
      </c>
      <c r="AO73" s="43">
        <f>ዕቁብ!AP76/Sheet4!$C73</f>
        <v>1</v>
      </c>
      <c r="AP73" s="43">
        <f>ዕቁብ!AQ76/Sheet4!$C73</f>
        <v>1</v>
      </c>
      <c r="AQ73" s="43">
        <f>ዕቁብ!AR76/Sheet4!$C73</f>
        <v>1</v>
      </c>
      <c r="AR73" s="43">
        <f>ዕቁብ!AS76/Sheet4!$C73</f>
        <v>1</v>
      </c>
      <c r="AS73" s="43">
        <f>ዕቁብ!AT76/Sheet4!$C73</f>
        <v>1</v>
      </c>
      <c r="AT73" s="43">
        <f>ዕቁብ!AU76/Sheet4!$C73</f>
        <v>1</v>
      </c>
      <c r="AU73" s="43">
        <f>ዕቁብ!AV76/Sheet4!$C73</f>
        <v>0</v>
      </c>
      <c r="AV73" s="43">
        <f>ዕቁብ!AW76/Sheet4!$C73</f>
        <v>2</v>
      </c>
      <c r="AW73" s="43">
        <f>ዕቁብ!AX76/Sheet4!$C73</f>
        <v>1</v>
      </c>
      <c r="AX73" s="43">
        <f>ዕቁብ!AY76/Sheet4!$C73</f>
        <v>1</v>
      </c>
      <c r="AY73" s="43">
        <f>ዕቁብ!AZ76/Sheet4!$C73</f>
        <v>1</v>
      </c>
      <c r="AZ73" s="43">
        <f>ዕቁብ!BA76/Sheet4!$C73</f>
        <v>1</v>
      </c>
      <c r="BA73" s="43">
        <f>ዕቁብ!BB76/Sheet4!$C73</f>
        <v>1</v>
      </c>
      <c r="BB73" s="43">
        <f>ዕቁብ!BC76/Sheet4!$C73</f>
        <v>1</v>
      </c>
      <c r="BC73" s="43">
        <f>ዕቁብ!BD76/Sheet4!$C73</f>
        <v>1</v>
      </c>
      <c r="BD73" s="43">
        <f>ዕቁብ!BE76/Sheet4!$C73</f>
        <v>1</v>
      </c>
      <c r="BE73" s="43">
        <f>ዕቁብ!BF76/Sheet4!$C73</f>
        <v>1</v>
      </c>
      <c r="BF73" s="43">
        <f>ዕቁብ!BG76/Sheet4!$C73</f>
        <v>1</v>
      </c>
      <c r="BG73" s="43">
        <f>ዕቁብ!BH76/Sheet4!$C73</f>
        <v>1</v>
      </c>
      <c r="BH73" s="43">
        <f>ዕቁብ!BI76/Sheet4!$C73</f>
        <v>1</v>
      </c>
      <c r="BI73" s="43">
        <f>ዕቁብ!BJ76/Sheet4!$C73</f>
        <v>0</v>
      </c>
      <c r="BJ73" s="43">
        <f>ዕቁብ!BK76/Sheet4!$C73</f>
        <v>2</v>
      </c>
      <c r="BK73" s="43">
        <f>ዕቁብ!BL76/Sheet4!$C73</f>
        <v>1</v>
      </c>
      <c r="BL73" s="43">
        <f>ዕቁብ!BM76/Sheet4!$C73</f>
        <v>1</v>
      </c>
      <c r="BM73" s="43">
        <f>ዕቁብ!BN76/Sheet4!$C73</f>
        <v>0</v>
      </c>
      <c r="BN73" s="43">
        <f>ዕቁብ!BO76/Sheet4!$C73</f>
        <v>2</v>
      </c>
      <c r="BO73" s="43">
        <f>ዕቁብ!BP76/Sheet4!$C73</f>
        <v>0</v>
      </c>
      <c r="BP73" s="43">
        <f>ዕቁብ!BQ76/Sheet4!$C73</f>
        <v>2</v>
      </c>
      <c r="BQ73" s="43">
        <f>ዕቁብ!BR76/Sheet4!$C73</f>
        <v>1</v>
      </c>
      <c r="BR73" s="43">
        <f>ዕቁብ!BS76/Sheet4!$C73</f>
        <v>0</v>
      </c>
      <c r="BS73" s="43">
        <f>ዕቁብ!BT76/Sheet4!$C73</f>
        <v>2</v>
      </c>
      <c r="BT73" s="43">
        <f>ዕቁብ!BU76/Sheet4!$C73</f>
        <v>1</v>
      </c>
      <c r="BU73" s="43">
        <f>ዕቁብ!BV76/Sheet4!$C73</f>
        <v>1</v>
      </c>
      <c r="BV73" s="43">
        <f>ዕቁብ!BW76/Sheet4!$C73</f>
        <v>0</v>
      </c>
      <c r="BW73" s="43">
        <f>ዕቁብ!BX76/Sheet4!$C73</f>
        <v>2</v>
      </c>
      <c r="BX73" s="43">
        <f>ዕቁብ!BY76/Sheet4!$C73</f>
        <v>1</v>
      </c>
      <c r="BY73" s="43">
        <f>ዕቁብ!BZ76/Sheet4!$C73</f>
        <v>1</v>
      </c>
      <c r="BZ73" s="43">
        <f>ዕቁብ!CA76/Sheet4!$C73</f>
        <v>1</v>
      </c>
      <c r="CA73" s="43">
        <f>ዕቁብ!CB76/Sheet4!$C73</f>
        <v>1</v>
      </c>
      <c r="CB73" s="43">
        <f>ዕቁብ!CC76/Sheet4!$C73</f>
        <v>1</v>
      </c>
      <c r="CC73" s="43">
        <f>ዕቁብ!CD76/Sheet4!$C73</f>
        <v>1</v>
      </c>
      <c r="CD73" s="43">
        <f>ዕቁብ!CE76/Sheet4!$C73</f>
        <v>0</v>
      </c>
      <c r="CE73" s="43">
        <f>ዕቁብ!CF76/Sheet4!$C73</f>
        <v>2</v>
      </c>
      <c r="CF73" s="43">
        <f>ዕቁብ!CG76/Sheet4!$C73</f>
        <v>1</v>
      </c>
      <c r="CG73" s="43">
        <f>ዕቁብ!CH76/Sheet4!$C73</f>
        <v>1</v>
      </c>
      <c r="CH73" s="43">
        <f>ዕቁብ!CI76/Sheet4!$C73</f>
        <v>1</v>
      </c>
      <c r="CI73" s="43">
        <f>ዕቁብ!CJ76/Sheet4!$C73</f>
        <v>0</v>
      </c>
      <c r="CJ73" s="43">
        <f>ዕቁብ!CK76/Sheet4!$C73</f>
        <v>1</v>
      </c>
      <c r="CK73" s="43">
        <f>ዕቁብ!CL76/Sheet4!$C73</f>
        <v>1</v>
      </c>
      <c r="CL73" s="43">
        <f>ዕቁብ!CM76/Sheet4!$C73</f>
        <v>1</v>
      </c>
      <c r="CM73" s="43">
        <f>ዕቁብ!CN76/Sheet4!$C73</f>
        <v>1</v>
      </c>
      <c r="CN73" s="43">
        <f>ዕቁብ!CO76/Sheet4!$C73</f>
        <v>1</v>
      </c>
      <c r="CO73" s="43">
        <f>ዕቁብ!CP76/Sheet4!$C73</f>
        <v>1</v>
      </c>
      <c r="CP73" s="43">
        <f>ዕቁብ!CQ76/Sheet4!$C73</f>
        <v>1</v>
      </c>
      <c r="CQ73" s="43">
        <f>ዕቁብ!CR76/Sheet4!$C73</f>
        <v>0</v>
      </c>
      <c r="CR73" s="43">
        <f>ዕቁብ!CS76/Sheet4!$C73</f>
        <v>0</v>
      </c>
      <c r="CS73" s="43">
        <f>ዕቁብ!CT76/Sheet4!$C73</f>
        <v>3</v>
      </c>
      <c r="CT73" s="43">
        <f>ዕቁብ!CU76/Sheet4!$C73</f>
        <v>0</v>
      </c>
      <c r="CU73" s="43">
        <f>ዕቁብ!CV76/Sheet4!$C73</f>
        <v>1</v>
      </c>
      <c r="CV73" s="43">
        <f>ዕቁብ!CW76/Sheet4!$C73</f>
        <v>1</v>
      </c>
      <c r="CW73" s="43">
        <f>ዕቁብ!CX76/Sheet4!$C73</f>
        <v>1</v>
      </c>
      <c r="CX73" s="43">
        <f>ዕቁብ!CY76/Sheet4!$C73</f>
        <v>1</v>
      </c>
      <c r="CY73" s="43">
        <f>ዕቁብ!CZ76/Sheet4!$C73</f>
        <v>0</v>
      </c>
      <c r="CZ73" s="43">
        <f>ዕቁብ!DA76/Sheet4!$C73</f>
        <v>1</v>
      </c>
      <c r="DA73" s="43">
        <f>ዕቁብ!DB76/Sheet4!$C73</f>
        <v>1</v>
      </c>
      <c r="DB73" s="43">
        <f>ዕቁብ!DC76/Sheet4!$C73</f>
        <v>1</v>
      </c>
      <c r="DC73" s="43">
        <f>ዕቁብ!DD76/Sheet4!$C73</f>
        <v>1</v>
      </c>
      <c r="DD73" s="43">
        <f>ዕቁብ!DE76/Sheet4!$C73</f>
        <v>1</v>
      </c>
      <c r="DE73" s="43">
        <f>ዕቁብ!DF76/Sheet4!$C73</f>
        <v>0</v>
      </c>
      <c r="DF73" s="43">
        <f>ዕቁብ!DG76/Sheet4!$C73</f>
        <v>0</v>
      </c>
      <c r="DG73" s="43">
        <f>ዕቁብ!DH76/Sheet4!$C73</f>
        <v>0</v>
      </c>
      <c r="DH73" s="43">
        <f>ዕቁብ!DI76/Sheet4!$C73</f>
        <v>0</v>
      </c>
      <c r="DI73" s="43">
        <f>ዕቁብ!DJ76/Sheet4!$C73</f>
        <v>0</v>
      </c>
      <c r="DJ73" s="43">
        <f>ዕቁብ!DK76/Sheet4!$C73</f>
        <v>0</v>
      </c>
      <c r="DK73" s="43">
        <f>ዕቁብ!DL76/Sheet4!$C73</f>
        <v>0</v>
      </c>
      <c r="DL73" s="43">
        <f>ዕቁብ!DM76/Sheet4!$C73</f>
        <v>0</v>
      </c>
      <c r="DM73" s="43">
        <f>ዕቁብ!DN76/Sheet4!$C73</f>
        <v>0</v>
      </c>
      <c r="DN73" s="43">
        <f>ዕቁብ!DO76/Sheet4!$C73</f>
        <v>0</v>
      </c>
      <c r="DO73" s="43">
        <f>ዕቁብ!DP76/Sheet4!$C73</f>
        <v>0</v>
      </c>
      <c r="DP73" s="43">
        <f>ዕቁብ!DQ76/Sheet4!$C73</f>
        <v>0</v>
      </c>
      <c r="DQ73" s="43">
        <f>ዕቁብ!DR76/Sheet4!$C73</f>
        <v>0</v>
      </c>
    </row>
    <row r="74" spans="1:121" ht="15.75" customHeight="1" x14ac:dyDescent="0.3">
      <c r="A74" s="40">
        <f>ዕቁብ!A77</f>
        <v>71</v>
      </c>
      <c r="B74" s="40" t="str">
        <f>ዕቁብ!B77</f>
        <v>እስራኤል ዩናስ</v>
      </c>
      <c r="C74" s="30">
        <f>ዕቁብ!C77</f>
        <v>21000</v>
      </c>
      <c r="D74" s="43">
        <f>ዕቁብ!E77/Sheet4!$C74</f>
        <v>1</v>
      </c>
      <c r="E74" s="43">
        <f>ዕቁብ!F77/Sheet4!$C74</f>
        <v>1</v>
      </c>
      <c r="F74" s="43">
        <f>ዕቁብ!G77/Sheet4!$C74</f>
        <v>1</v>
      </c>
      <c r="G74" s="43">
        <f>ዕቁብ!H77/Sheet4!$C74</f>
        <v>1</v>
      </c>
      <c r="H74" s="43">
        <f>ዕቁብ!I77/Sheet4!$C74</f>
        <v>1</v>
      </c>
      <c r="I74" s="43">
        <f>ዕቁብ!J77/Sheet4!$C74</f>
        <v>1</v>
      </c>
      <c r="J74" s="43">
        <f>ዕቁብ!K77/Sheet4!$C74</f>
        <v>1</v>
      </c>
      <c r="K74" s="43">
        <f>ዕቁብ!L77/Sheet4!$C74</f>
        <v>1</v>
      </c>
      <c r="L74" s="43">
        <f>ዕቁብ!M77/Sheet4!$C74</f>
        <v>1</v>
      </c>
      <c r="M74" s="43">
        <f>ዕቁብ!N77/Sheet4!$C74</f>
        <v>1</v>
      </c>
      <c r="N74" s="43">
        <f>ዕቁብ!O77/Sheet4!$C74</f>
        <v>1</v>
      </c>
      <c r="O74" s="43">
        <f>ዕቁብ!P77/Sheet4!$C74</f>
        <v>1</v>
      </c>
      <c r="P74" s="43">
        <f>ዕቁብ!Q77/Sheet4!$C74</f>
        <v>1</v>
      </c>
      <c r="Q74" s="43">
        <f>ዕቁብ!R77/Sheet4!$C74</f>
        <v>1</v>
      </c>
      <c r="R74" s="43">
        <f>ዕቁብ!S77/Sheet4!$C74</f>
        <v>1</v>
      </c>
      <c r="S74" s="43">
        <f>ዕቁብ!T77/Sheet4!$C74</f>
        <v>1</v>
      </c>
      <c r="T74" s="43">
        <f>ዕቁብ!U77/Sheet4!$C74</f>
        <v>1</v>
      </c>
      <c r="U74" s="43">
        <f>ዕቁብ!V77/Sheet4!$C74</f>
        <v>1</v>
      </c>
      <c r="V74" s="43">
        <f>ዕቁብ!W77/Sheet4!$C74</f>
        <v>1</v>
      </c>
      <c r="W74" s="43">
        <f>ዕቁብ!X77/Sheet4!$C74</f>
        <v>1</v>
      </c>
      <c r="X74" s="43">
        <f>ዕቁብ!Y77/Sheet4!$C74</f>
        <v>0</v>
      </c>
      <c r="Y74" s="43">
        <f>ዕቁብ!Z77/Sheet4!$C74</f>
        <v>2</v>
      </c>
      <c r="Z74" s="43">
        <f>ዕቁብ!AA77/Sheet4!$C74</f>
        <v>1</v>
      </c>
      <c r="AA74" s="43">
        <f>ዕቁብ!AB77/Sheet4!$C74</f>
        <v>1</v>
      </c>
      <c r="AB74" s="43">
        <f>ዕቁብ!AC77/Sheet4!$C74</f>
        <v>1</v>
      </c>
      <c r="AC74" s="43">
        <f>ዕቁብ!AD77/Sheet4!$C74</f>
        <v>1</v>
      </c>
      <c r="AD74" s="43">
        <f>ዕቁብ!AE77/Sheet4!$C74</f>
        <v>1</v>
      </c>
      <c r="AE74" s="43">
        <f>ዕቁብ!AF77/Sheet4!$C74</f>
        <v>1</v>
      </c>
      <c r="AF74" s="43">
        <f>ዕቁብ!AG77/Sheet4!$C74</f>
        <v>1</v>
      </c>
      <c r="AG74" s="43">
        <f>ዕቁብ!AH77/Sheet4!$C74</f>
        <v>1</v>
      </c>
      <c r="AH74" s="43">
        <f>ዕቁብ!AI77/Sheet4!$C74</f>
        <v>1</v>
      </c>
      <c r="AI74" s="43">
        <f>ዕቁብ!AJ77/Sheet4!$C74</f>
        <v>1</v>
      </c>
      <c r="AJ74" s="43">
        <f>ዕቁብ!AK77/Sheet4!$C74</f>
        <v>1</v>
      </c>
      <c r="AK74" s="43">
        <f>ዕቁብ!AL77/Sheet4!$C74</f>
        <v>1</v>
      </c>
      <c r="AL74" s="43">
        <f>ዕቁብ!AM77/Sheet4!$C74</f>
        <v>1</v>
      </c>
      <c r="AM74" s="43">
        <f>ዕቁብ!AN77/Sheet4!$C74</f>
        <v>1</v>
      </c>
      <c r="AN74" s="43">
        <f>ዕቁብ!AO77/Sheet4!$C74</f>
        <v>1</v>
      </c>
      <c r="AO74" s="43">
        <f>ዕቁብ!AP77/Sheet4!$C74</f>
        <v>1</v>
      </c>
      <c r="AP74" s="43">
        <f>ዕቁብ!AQ77/Sheet4!$C74</f>
        <v>1</v>
      </c>
      <c r="AQ74" s="43">
        <f>ዕቁብ!AR77/Sheet4!$C74</f>
        <v>1</v>
      </c>
      <c r="AR74" s="43">
        <f>ዕቁብ!AS77/Sheet4!$C74</f>
        <v>1</v>
      </c>
      <c r="AS74" s="43">
        <f>ዕቁብ!AT77/Sheet4!$C74</f>
        <v>1</v>
      </c>
      <c r="AT74" s="43">
        <f>ዕቁብ!AU77/Sheet4!$C74</f>
        <v>1</v>
      </c>
      <c r="AU74" s="43">
        <f>ዕቁብ!AV77/Sheet4!$C74</f>
        <v>1</v>
      </c>
      <c r="AV74" s="43">
        <f>ዕቁብ!AW77/Sheet4!$C74</f>
        <v>0</v>
      </c>
      <c r="AW74" s="43">
        <f>ዕቁብ!AX77/Sheet4!$C74</f>
        <v>1</v>
      </c>
      <c r="AX74" s="43">
        <f>ዕቁብ!AY77/Sheet4!$C74</f>
        <v>1</v>
      </c>
      <c r="AY74" s="43">
        <f>ዕቁብ!AZ77/Sheet4!$C74</f>
        <v>0</v>
      </c>
      <c r="AZ74" s="43">
        <f>ዕቁብ!BA77/Sheet4!$C74</f>
        <v>1</v>
      </c>
      <c r="BA74" s="43">
        <f>ዕቁብ!BB77/Sheet4!$C74</f>
        <v>1</v>
      </c>
      <c r="BB74" s="43">
        <f>ዕቁብ!BC77/Sheet4!$C74</f>
        <v>1</v>
      </c>
      <c r="BC74" s="43">
        <f>ዕቁብ!BD77/Sheet4!$C74</f>
        <v>1</v>
      </c>
      <c r="BD74" s="43">
        <f>ዕቁብ!BE77/Sheet4!$C74</f>
        <v>1</v>
      </c>
      <c r="BE74" s="43">
        <f>ዕቁብ!BF77/Sheet4!$C74</f>
        <v>1</v>
      </c>
      <c r="BF74" s="43">
        <f>ዕቁብ!BG77/Sheet4!$C74</f>
        <v>1</v>
      </c>
      <c r="BG74" s="43">
        <f>ዕቁብ!BH77/Sheet4!$C74</f>
        <v>1</v>
      </c>
      <c r="BH74" s="43">
        <f>ዕቁብ!BI77/Sheet4!$C74</f>
        <v>1</v>
      </c>
      <c r="BI74" s="43">
        <f>ዕቁብ!BJ77/Sheet4!$C74</f>
        <v>1</v>
      </c>
      <c r="BJ74" s="43">
        <f>ዕቁብ!BK77/Sheet4!$C74</f>
        <v>1</v>
      </c>
      <c r="BK74" s="43">
        <f>ዕቁብ!BL77/Sheet4!$C74</f>
        <v>1</v>
      </c>
      <c r="BL74" s="43">
        <f>ዕቁብ!BM77/Sheet4!$C74</f>
        <v>1</v>
      </c>
      <c r="BM74" s="43">
        <f>ዕቁብ!BN77/Sheet4!$C74</f>
        <v>1</v>
      </c>
      <c r="BN74" s="43">
        <f>ዕቁብ!BO77/Sheet4!$C74</f>
        <v>1</v>
      </c>
      <c r="BO74" s="43">
        <f>ዕቁብ!BP77/Sheet4!$C74</f>
        <v>0</v>
      </c>
      <c r="BP74" s="43">
        <f>ዕቁብ!BQ77/Sheet4!$C74</f>
        <v>2</v>
      </c>
      <c r="BQ74" s="43">
        <f>ዕቁብ!BR77/Sheet4!$C74</f>
        <v>1</v>
      </c>
      <c r="BR74" s="43">
        <f>ዕቁብ!BS77/Sheet4!$C74</f>
        <v>1</v>
      </c>
      <c r="BS74" s="43">
        <f>ዕቁብ!BT77/Sheet4!$C74</f>
        <v>0</v>
      </c>
      <c r="BT74" s="43">
        <f>ዕቁብ!BU77/Sheet4!$C74</f>
        <v>1</v>
      </c>
      <c r="BU74" s="43">
        <f>ዕቁብ!BV77/Sheet4!$C74</f>
        <v>2</v>
      </c>
      <c r="BV74" s="43">
        <f>ዕቁብ!BW77/Sheet4!$C74</f>
        <v>1</v>
      </c>
      <c r="BW74" s="43">
        <f>ዕቁብ!BX77/Sheet4!$C74</f>
        <v>0</v>
      </c>
      <c r="BX74" s="43">
        <f>ዕቁብ!BY77/Sheet4!$C74</f>
        <v>0</v>
      </c>
      <c r="BY74" s="43">
        <f>ዕቁብ!BZ77/Sheet4!$C74</f>
        <v>0</v>
      </c>
      <c r="BZ74" s="43">
        <f>ዕቁብ!CA77/Sheet4!$C74</f>
        <v>0</v>
      </c>
      <c r="CA74" s="43">
        <f>ዕቁብ!CB77/Sheet4!$C74</f>
        <v>0</v>
      </c>
      <c r="CB74" s="43">
        <f>ዕቁብ!CC77/Sheet4!$C74</f>
        <v>6</v>
      </c>
      <c r="CC74" s="43">
        <f>ዕቁብ!CD77/Sheet4!$C74</f>
        <v>0</v>
      </c>
      <c r="CD74" s="43">
        <f>ዕቁብ!CE77/Sheet4!$C74</f>
        <v>0</v>
      </c>
      <c r="CE74" s="43">
        <f>ዕቁብ!CF77/Sheet4!$C74</f>
        <v>3</v>
      </c>
      <c r="CF74" s="43">
        <f>ዕቁብ!CG77/Sheet4!$C74</f>
        <v>0</v>
      </c>
      <c r="CG74" s="43">
        <f>ዕቁብ!CH77/Sheet4!$C74</f>
        <v>0</v>
      </c>
      <c r="CH74" s="43">
        <f>ዕቁብ!CI77/Sheet4!$C74</f>
        <v>0</v>
      </c>
      <c r="CI74" s="43">
        <f>ዕቁብ!CJ77/Sheet4!$C74</f>
        <v>0</v>
      </c>
      <c r="CJ74" s="43">
        <f>ዕቁብ!CK77/Sheet4!$C74</f>
        <v>2</v>
      </c>
      <c r="CK74" s="43">
        <f>ዕቁብ!CL77/Sheet4!$C74</f>
        <v>0</v>
      </c>
      <c r="CL74" s="43">
        <f>ዕቁብ!CM77/Sheet4!$C74</f>
        <v>0</v>
      </c>
      <c r="CM74" s="43">
        <f>ዕቁብ!CN77/Sheet4!$C74</f>
        <v>2</v>
      </c>
      <c r="CN74" s="43">
        <f>ዕቁብ!CO77/Sheet4!$C74</f>
        <v>0</v>
      </c>
      <c r="CO74" s="43">
        <f>ዕቁብ!CP77/Sheet4!$C74</f>
        <v>5</v>
      </c>
      <c r="CP74" s="43">
        <f>ዕቁብ!CQ77/Sheet4!$C74</f>
        <v>0</v>
      </c>
      <c r="CQ74" s="43">
        <f>ዕቁብ!CR77/Sheet4!$C74</f>
        <v>0</v>
      </c>
      <c r="CR74" s="43">
        <f>ዕቁብ!CS77/Sheet4!$C74</f>
        <v>3</v>
      </c>
      <c r="CS74" s="43">
        <f>ዕቁብ!CT77/Sheet4!$C74</f>
        <v>0</v>
      </c>
      <c r="CT74" s="43">
        <f>ዕቁብ!CU77/Sheet4!$C74</f>
        <v>2</v>
      </c>
      <c r="CU74" s="43">
        <f>ዕቁብ!CV77/Sheet4!$C74</f>
        <v>0</v>
      </c>
      <c r="CV74" s="43">
        <f>ዕቁብ!CW77/Sheet4!$C74</f>
        <v>0</v>
      </c>
      <c r="CW74" s="43">
        <f>ዕቁብ!CX77/Sheet4!$C74</f>
        <v>3</v>
      </c>
      <c r="CX74" s="43">
        <f>ዕቁብ!CY77/Sheet4!$C74</f>
        <v>0</v>
      </c>
      <c r="CY74" s="43">
        <f>ዕቁብ!CZ77/Sheet4!$C74</f>
        <v>0</v>
      </c>
      <c r="CZ74" s="43">
        <f>ዕቁብ!DA77/Sheet4!$C74</f>
        <v>3</v>
      </c>
      <c r="DA74" s="43">
        <f>ዕቁብ!DB77/Sheet4!$C74</f>
        <v>0</v>
      </c>
      <c r="DB74" s="43">
        <f>ዕቁብ!DC77/Sheet4!$C74</f>
        <v>0</v>
      </c>
      <c r="DC74" s="43">
        <f>ዕቁብ!DD77/Sheet4!$C74</f>
        <v>0</v>
      </c>
      <c r="DD74" s="43">
        <f>ዕቁብ!DE77/Sheet4!$C74</f>
        <v>3</v>
      </c>
      <c r="DE74" s="43">
        <f>ዕቁብ!DF77/Sheet4!$C74</f>
        <v>0</v>
      </c>
      <c r="DF74" s="43">
        <f>ዕቁብ!DG77/Sheet4!$C74</f>
        <v>0</v>
      </c>
      <c r="DG74" s="43">
        <f>ዕቁብ!DH77/Sheet4!$C74</f>
        <v>0</v>
      </c>
      <c r="DH74" s="43">
        <f>ዕቁብ!DI77/Sheet4!$C74</f>
        <v>0</v>
      </c>
      <c r="DI74" s="43">
        <f>ዕቁብ!DJ77/Sheet4!$C74</f>
        <v>0</v>
      </c>
      <c r="DJ74" s="43">
        <f>ዕቁብ!DK77/Sheet4!$C74</f>
        <v>0</v>
      </c>
      <c r="DK74" s="43">
        <f>ዕቁብ!DL77/Sheet4!$C74</f>
        <v>0</v>
      </c>
      <c r="DL74" s="43">
        <f>ዕቁብ!DM77/Sheet4!$C74</f>
        <v>0</v>
      </c>
      <c r="DM74" s="43">
        <f>ዕቁብ!DN77/Sheet4!$C74</f>
        <v>0</v>
      </c>
      <c r="DN74" s="43">
        <f>ዕቁብ!DO77/Sheet4!$C74</f>
        <v>0</v>
      </c>
      <c r="DO74" s="43">
        <f>ዕቁብ!DP77/Sheet4!$C74</f>
        <v>0</v>
      </c>
      <c r="DP74" s="43">
        <f>ዕቁብ!DQ77/Sheet4!$C74</f>
        <v>0</v>
      </c>
      <c r="DQ74" s="43">
        <f>ዕቁብ!DR77/Sheet4!$C74</f>
        <v>0</v>
      </c>
    </row>
    <row r="75" spans="1:121" ht="15.75" customHeight="1" x14ac:dyDescent="0.3">
      <c r="A75" s="40">
        <f>ዕቁብ!A78</f>
        <v>72</v>
      </c>
      <c r="B75" s="40" t="str">
        <f>ዕቁብ!B78</f>
        <v>እንግዳ ካሳዬ</v>
      </c>
      <c r="C75" s="30">
        <f>ዕቁብ!C78</f>
        <v>21000</v>
      </c>
      <c r="D75" s="43">
        <f>ዕቁብ!E78/Sheet4!$C75</f>
        <v>1</v>
      </c>
      <c r="E75" s="43">
        <f>ዕቁብ!F78/Sheet4!$C75</f>
        <v>1</v>
      </c>
      <c r="F75" s="43">
        <f>ዕቁብ!G78/Sheet4!$C75</f>
        <v>1</v>
      </c>
      <c r="G75" s="43">
        <f>ዕቁብ!H78/Sheet4!$C75</f>
        <v>1</v>
      </c>
      <c r="H75" s="43">
        <f>ዕቁብ!I78/Sheet4!$C75</f>
        <v>1</v>
      </c>
      <c r="I75" s="43">
        <f>ዕቁብ!J78/Sheet4!$C75</f>
        <v>1</v>
      </c>
      <c r="J75" s="43">
        <f>ዕቁብ!K78/Sheet4!$C75</f>
        <v>1</v>
      </c>
      <c r="K75" s="43">
        <f>ዕቁብ!L78/Sheet4!$C75</f>
        <v>1</v>
      </c>
      <c r="L75" s="43">
        <f>ዕቁብ!M78/Sheet4!$C75</f>
        <v>1</v>
      </c>
      <c r="M75" s="43">
        <f>ዕቁብ!N78/Sheet4!$C75</f>
        <v>1</v>
      </c>
      <c r="N75" s="43">
        <f>ዕቁብ!O78/Sheet4!$C75</f>
        <v>1</v>
      </c>
      <c r="O75" s="43">
        <f>ዕቁብ!P78/Sheet4!$C75</f>
        <v>1</v>
      </c>
      <c r="P75" s="43">
        <f>ዕቁብ!Q78/Sheet4!$C75</f>
        <v>1</v>
      </c>
      <c r="Q75" s="43">
        <f>ዕቁብ!R78/Sheet4!$C75</f>
        <v>1</v>
      </c>
      <c r="R75" s="43">
        <f>ዕቁብ!S78/Sheet4!$C75</f>
        <v>1</v>
      </c>
      <c r="S75" s="43">
        <f>ዕቁብ!T78/Sheet4!$C75</f>
        <v>1</v>
      </c>
      <c r="T75" s="43">
        <f>ዕቁብ!U78/Sheet4!$C75</f>
        <v>1</v>
      </c>
      <c r="U75" s="43">
        <f>ዕቁብ!V78/Sheet4!$C75</f>
        <v>1</v>
      </c>
      <c r="V75" s="43">
        <f>ዕቁብ!W78/Sheet4!$C75</f>
        <v>1</v>
      </c>
      <c r="W75" s="43">
        <f>ዕቁብ!X78/Sheet4!$C75</f>
        <v>1</v>
      </c>
      <c r="X75" s="43">
        <f>ዕቁብ!Y78/Sheet4!$C75</f>
        <v>1</v>
      </c>
      <c r="Y75" s="43">
        <f>ዕቁብ!Z78/Sheet4!$C75</f>
        <v>1</v>
      </c>
      <c r="Z75" s="43">
        <f>ዕቁብ!AA78/Sheet4!$C75</f>
        <v>1</v>
      </c>
      <c r="AA75" s="43">
        <f>ዕቁብ!AB78/Sheet4!$C75</f>
        <v>0</v>
      </c>
      <c r="AB75" s="43">
        <f>ዕቁብ!AC78/Sheet4!$C75</f>
        <v>2</v>
      </c>
      <c r="AC75" s="43">
        <f>ዕቁብ!AD78/Sheet4!$C75</f>
        <v>1</v>
      </c>
      <c r="AD75" s="43">
        <f>ዕቁብ!AE78/Sheet4!$C75</f>
        <v>1</v>
      </c>
      <c r="AE75" s="43">
        <f>ዕቁብ!AF78/Sheet4!$C75</f>
        <v>1</v>
      </c>
      <c r="AF75" s="43">
        <f>ዕቁብ!AG78/Sheet4!$C75</f>
        <v>1</v>
      </c>
      <c r="AG75" s="43">
        <f>ዕቁብ!AH78/Sheet4!$C75</f>
        <v>1</v>
      </c>
      <c r="AH75" s="43">
        <f>ዕቁብ!AI78/Sheet4!$C75</f>
        <v>1</v>
      </c>
      <c r="AI75" s="43">
        <f>ዕቁብ!AJ78/Sheet4!$C75</f>
        <v>1</v>
      </c>
      <c r="AJ75" s="43">
        <f>ዕቁብ!AK78/Sheet4!$C75</f>
        <v>1</v>
      </c>
      <c r="AK75" s="43">
        <f>ዕቁብ!AL78/Sheet4!$C75</f>
        <v>1</v>
      </c>
      <c r="AL75" s="43">
        <f>ዕቁብ!AM78/Sheet4!$C75</f>
        <v>1</v>
      </c>
      <c r="AM75" s="43">
        <f>ዕቁብ!AN78/Sheet4!$C75</f>
        <v>1</v>
      </c>
      <c r="AN75" s="43">
        <f>ዕቁብ!AO78/Sheet4!$C75</f>
        <v>1</v>
      </c>
      <c r="AO75" s="43">
        <f>ዕቁብ!AP78/Sheet4!$C75</f>
        <v>1</v>
      </c>
      <c r="AP75" s="43">
        <f>ዕቁብ!AQ78/Sheet4!$C75</f>
        <v>1</v>
      </c>
      <c r="AQ75" s="43">
        <f>ዕቁብ!AR78/Sheet4!$C75</f>
        <v>1</v>
      </c>
      <c r="AR75" s="43">
        <f>ዕቁብ!AS78/Sheet4!$C75</f>
        <v>1</v>
      </c>
      <c r="AS75" s="43">
        <f>ዕቁብ!AT78/Sheet4!$C75</f>
        <v>1</v>
      </c>
      <c r="AT75" s="43">
        <f>ዕቁብ!AU78/Sheet4!$C75</f>
        <v>1</v>
      </c>
      <c r="AU75" s="43">
        <f>ዕቁብ!AV78/Sheet4!$C75</f>
        <v>1</v>
      </c>
      <c r="AV75" s="43">
        <f>ዕቁብ!AW78/Sheet4!$C75</f>
        <v>1</v>
      </c>
      <c r="AW75" s="43">
        <f>ዕቁብ!AX78/Sheet4!$C75</f>
        <v>1</v>
      </c>
      <c r="AX75" s="43">
        <f>ዕቁብ!AY78/Sheet4!$C75</f>
        <v>1</v>
      </c>
      <c r="AY75" s="43">
        <f>ዕቁብ!AZ78/Sheet4!$C75</f>
        <v>1</v>
      </c>
      <c r="AZ75" s="43">
        <f>ዕቁብ!BA78/Sheet4!$C75</f>
        <v>1</v>
      </c>
      <c r="BA75" s="43">
        <f>ዕቁብ!BB78/Sheet4!$C75</f>
        <v>1</v>
      </c>
      <c r="BB75" s="43">
        <f>ዕቁብ!BC78/Sheet4!$C75</f>
        <v>1</v>
      </c>
      <c r="BC75" s="43">
        <f>ዕቁብ!BD78/Sheet4!$C75</f>
        <v>1</v>
      </c>
      <c r="BD75" s="43">
        <f>ዕቁብ!BE78/Sheet4!$C75</f>
        <v>1</v>
      </c>
      <c r="BE75" s="43">
        <f>ዕቁብ!BF78/Sheet4!$C75</f>
        <v>0</v>
      </c>
      <c r="BF75" s="43">
        <f>ዕቁብ!BG78/Sheet4!$C75</f>
        <v>1</v>
      </c>
      <c r="BG75" s="43">
        <f>ዕቁብ!BH78/Sheet4!$C75</f>
        <v>1</v>
      </c>
      <c r="BH75" s="43">
        <f>ዕቁብ!BI78/Sheet4!$C75</f>
        <v>1</v>
      </c>
      <c r="BI75" s="43">
        <f>ዕቁብ!BJ78/Sheet4!$C75</f>
        <v>1</v>
      </c>
      <c r="BJ75" s="43">
        <f>ዕቁብ!BK78/Sheet4!$C75</f>
        <v>1</v>
      </c>
      <c r="BK75" s="43">
        <f>ዕቁብ!BL78/Sheet4!$C75</f>
        <v>1</v>
      </c>
      <c r="BL75" s="43">
        <f>ዕቁብ!BM78/Sheet4!$C75</f>
        <v>1</v>
      </c>
      <c r="BM75" s="43">
        <f>ዕቁብ!BN78/Sheet4!$C75</f>
        <v>0</v>
      </c>
      <c r="BN75" s="43">
        <f>ዕቁብ!BO78/Sheet4!$C75</f>
        <v>2</v>
      </c>
      <c r="BO75" s="43">
        <f>ዕቁብ!BP78/Sheet4!$C75</f>
        <v>1</v>
      </c>
      <c r="BP75" s="43">
        <f>ዕቁብ!BQ78/Sheet4!$C75</f>
        <v>1</v>
      </c>
      <c r="BQ75" s="43">
        <f>ዕቁብ!BR78/Sheet4!$C75</f>
        <v>1</v>
      </c>
      <c r="BR75" s="43">
        <f>ዕቁብ!BS78/Sheet4!$C75</f>
        <v>1</v>
      </c>
      <c r="BS75" s="43">
        <f>ዕቁብ!BT78/Sheet4!$C75</f>
        <v>1</v>
      </c>
      <c r="BT75" s="43">
        <f>ዕቁብ!BU78/Sheet4!$C75</f>
        <v>1</v>
      </c>
      <c r="BU75" s="43">
        <f>ዕቁብ!BV78/Sheet4!$C75</f>
        <v>1</v>
      </c>
      <c r="BV75" s="43">
        <f>ዕቁብ!BW78/Sheet4!$C75</f>
        <v>1</v>
      </c>
      <c r="BW75" s="43">
        <f>ዕቁብ!BX78/Sheet4!$C75</f>
        <v>1</v>
      </c>
      <c r="BX75" s="43">
        <f>ዕቁብ!BY78/Sheet4!$C75</f>
        <v>1</v>
      </c>
      <c r="BY75" s="43">
        <f>ዕቁብ!BZ78/Sheet4!$C75</f>
        <v>1</v>
      </c>
      <c r="BZ75" s="43">
        <f>ዕቁብ!CA78/Sheet4!$C75</f>
        <v>1</v>
      </c>
      <c r="CA75" s="43">
        <f>ዕቁብ!CB78/Sheet4!$C75</f>
        <v>0</v>
      </c>
      <c r="CB75" s="43">
        <f>ዕቁብ!CC78/Sheet4!$C75</f>
        <v>2</v>
      </c>
      <c r="CC75" s="43">
        <f>ዕቁብ!CD78/Sheet4!$C75</f>
        <v>0</v>
      </c>
      <c r="CD75" s="43">
        <f>ዕቁብ!CE78/Sheet4!$C75</f>
        <v>0</v>
      </c>
      <c r="CE75" s="43">
        <f>ዕቁብ!CF78/Sheet4!$C75</f>
        <v>1</v>
      </c>
      <c r="CF75" s="43">
        <f>ዕቁብ!CG78/Sheet4!$C75</f>
        <v>0</v>
      </c>
      <c r="CG75" s="43">
        <f>ዕቁብ!CH78/Sheet4!$C75</f>
        <v>2</v>
      </c>
      <c r="CH75" s="43">
        <f>ዕቁብ!CI78/Sheet4!$C75</f>
        <v>1</v>
      </c>
      <c r="CI75" s="43">
        <f>ዕቁብ!CJ78/Sheet4!$C75</f>
        <v>1</v>
      </c>
      <c r="CJ75" s="43">
        <f>ዕቁብ!CK78/Sheet4!$C75</f>
        <v>1</v>
      </c>
      <c r="CK75" s="43">
        <f>ዕቁብ!CL78/Sheet4!$C75</f>
        <v>0</v>
      </c>
      <c r="CL75" s="43">
        <f>ዕቁብ!CM78/Sheet4!$C75</f>
        <v>1</v>
      </c>
      <c r="CM75" s="43">
        <f>ዕቁብ!CN78/Sheet4!$C75</f>
        <v>1</v>
      </c>
      <c r="CN75" s="43">
        <f>ዕቁብ!CO78/Sheet4!$C75</f>
        <v>1</v>
      </c>
      <c r="CO75" s="43">
        <f>ዕቁብ!CP78/Sheet4!$C75</f>
        <v>0</v>
      </c>
      <c r="CP75" s="43">
        <f>ዕቁብ!CQ78/Sheet4!$C75</f>
        <v>1</v>
      </c>
      <c r="CQ75" s="43">
        <f>ዕቁብ!CR78/Sheet4!$C75</f>
        <v>1</v>
      </c>
      <c r="CR75" s="43">
        <f>ዕቁብ!CS78/Sheet4!$C75</f>
        <v>1</v>
      </c>
      <c r="CS75" s="43">
        <f>ዕቁብ!CT78/Sheet4!$C75</f>
        <v>1</v>
      </c>
      <c r="CT75" s="43">
        <f>ዕቁብ!CU78/Sheet4!$C75</f>
        <v>1</v>
      </c>
      <c r="CU75" s="43">
        <f>ዕቁብ!CV78/Sheet4!$C75</f>
        <v>1</v>
      </c>
      <c r="CV75" s="43">
        <f>ዕቁብ!CW78/Sheet4!$C75</f>
        <v>0</v>
      </c>
      <c r="CW75" s="43">
        <f>ዕቁብ!CX78/Sheet4!$C75</f>
        <v>1</v>
      </c>
      <c r="CX75" s="43">
        <f>ዕቁብ!CY78/Sheet4!$C75</f>
        <v>0</v>
      </c>
      <c r="CY75" s="43">
        <f>ዕቁብ!CZ78/Sheet4!$C75</f>
        <v>0</v>
      </c>
      <c r="CZ75" s="43">
        <f>ዕቁብ!DA78/Sheet4!$C75</f>
        <v>1</v>
      </c>
      <c r="DA75" s="43">
        <f>ዕቁብ!DB78/Sheet4!$C75</f>
        <v>1</v>
      </c>
      <c r="DB75" s="43">
        <f>ዕቁብ!DC78/Sheet4!$C75</f>
        <v>1</v>
      </c>
      <c r="DC75" s="43">
        <f>ዕቁብ!DD78/Sheet4!$C75</f>
        <v>1</v>
      </c>
      <c r="DD75" s="43">
        <f>ዕቁብ!DE78/Sheet4!$C75</f>
        <v>1</v>
      </c>
      <c r="DE75" s="43">
        <f>ዕቁብ!DF78/Sheet4!$C75</f>
        <v>1</v>
      </c>
      <c r="DF75" s="43">
        <f>ዕቁብ!DG78/Sheet4!$C75</f>
        <v>1</v>
      </c>
      <c r="DG75" s="43">
        <f>ዕቁብ!DH78/Sheet4!$C75</f>
        <v>0</v>
      </c>
      <c r="DH75" s="43">
        <f>ዕቁብ!DI78/Sheet4!$C75</f>
        <v>0</v>
      </c>
      <c r="DI75" s="43">
        <f>ዕቁብ!DJ78/Sheet4!$C75</f>
        <v>0</v>
      </c>
      <c r="DJ75" s="43">
        <f>ዕቁብ!DK78/Sheet4!$C75</f>
        <v>0</v>
      </c>
      <c r="DK75" s="43">
        <f>ዕቁብ!DL78/Sheet4!$C75</f>
        <v>0</v>
      </c>
      <c r="DL75" s="43">
        <f>ዕቁብ!DM78/Sheet4!$C75</f>
        <v>0</v>
      </c>
      <c r="DM75" s="43">
        <f>ዕቁብ!DN78/Sheet4!$C75</f>
        <v>0</v>
      </c>
      <c r="DN75" s="43">
        <f>ዕቁብ!DO78/Sheet4!$C75</f>
        <v>0</v>
      </c>
      <c r="DO75" s="43">
        <f>ዕቁብ!DP78/Sheet4!$C75</f>
        <v>0</v>
      </c>
      <c r="DP75" s="43">
        <f>ዕቁብ!DQ78/Sheet4!$C75</f>
        <v>0</v>
      </c>
      <c r="DQ75" s="43">
        <f>ዕቁብ!DR78/Sheet4!$C75</f>
        <v>0</v>
      </c>
    </row>
    <row r="76" spans="1:121" ht="15.75" customHeight="1" x14ac:dyDescent="0.3">
      <c r="A76" s="40">
        <f>ዕቁብ!A79</f>
        <v>73</v>
      </c>
      <c r="B76" s="40" t="str">
        <f>ዕቁብ!B79</f>
        <v>ሲሳይ ይልማ</v>
      </c>
      <c r="C76" s="30">
        <f>ዕቁብ!C79</f>
        <v>21000</v>
      </c>
      <c r="D76" s="43">
        <f>ዕቁብ!E79/Sheet4!$C76</f>
        <v>1</v>
      </c>
      <c r="E76" s="43">
        <f>ዕቁብ!F79/Sheet4!$C76</f>
        <v>1</v>
      </c>
      <c r="F76" s="43">
        <f>ዕቁብ!G79/Sheet4!$C76</f>
        <v>1</v>
      </c>
      <c r="G76" s="43">
        <f>ዕቁብ!H79/Sheet4!$C76</f>
        <v>1</v>
      </c>
      <c r="H76" s="43">
        <f>ዕቁብ!I79/Sheet4!$C76</f>
        <v>1</v>
      </c>
      <c r="I76" s="43">
        <f>ዕቁብ!J79/Sheet4!$C76</f>
        <v>1</v>
      </c>
      <c r="J76" s="43">
        <f>ዕቁብ!K79/Sheet4!$C76</f>
        <v>1</v>
      </c>
      <c r="K76" s="43">
        <f>ዕቁብ!L79/Sheet4!$C76</f>
        <v>1</v>
      </c>
      <c r="L76" s="43">
        <f>ዕቁብ!M79/Sheet4!$C76</f>
        <v>1</v>
      </c>
      <c r="M76" s="43">
        <f>ዕቁብ!N79/Sheet4!$C76</f>
        <v>1</v>
      </c>
      <c r="N76" s="43">
        <f>ዕቁብ!O79/Sheet4!$C76</f>
        <v>1</v>
      </c>
      <c r="O76" s="43">
        <f>ዕቁብ!P79/Sheet4!$C76</f>
        <v>1</v>
      </c>
      <c r="P76" s="43">
        <f>ዕቁብ!Q79/Sheet4!$C76</f>
        <v>1</v>
      </c>
      <c r="Q76" s="43">
        <f>ዕቁብ!R79/Sheet4!$C76</f>
        <v>1</v>
      </c>
      <c r="R76" s="43">
        <f>ዕቁብ!S79/Sheet4!$C76</f>
        <v>1</v>
      </c>
      <c r="S76" s="43">
        <f>ዕቁብ!T79/Sheet4!$C76</f>
        <v>1</v>
      </c>
      <c r="T76" s="43">
        <f>ዕቁብ!U79/Sheet4!$C76</f>
        <v>1</v>
      </c>
      <c r="U76" s="43">
        <f>ዕቁብ!V79/Sheet4!$C76</f>
        <v>1</v>
      </c>
      <c r="V76" s="43">
        <f>ዕቁብ!W79/Sheet4!$C76</f>
        <v>1</v>
      </c>
      <c r="W76" s="43">
        <f>ዕቁብ!X79/Sheet4!$C76</f>
        <v>1</v>
      </c>
      <c r="X76" s="43">
        <f>ዕቁብ!Y79/Sheet4!$C76</f>
        <v>1</v>
      </c>
      <c r="Y76" s="43">
        <f>ዕቁብ!Z79/Sheet4!$C76</f>
        <v>1</v>
      </c>
      <c r="Z76" s="43">
        <f>ዕቁብ!AA79/Sheet4!$C76</f>
        <v>1</v>
      </c>
      <c r="AA76" s="43">
        <f>ዕቁብ!AB79/Sheet4!$C76</f>
        <v>1</v>
      </c>
      <c r="AB76" s="43">
        <f>ዕቁብ!AC79/Sheet4!$C76</f>
        <v>1</v>
      </c>
      <c r="AC76" s="43">
        <f>ዕቁብ!AD79/Sheet4!$C76</f>
        <v>1</v>
      </c>
      <c r="AD76" s="43">
        <f>ዕቁብ!AE79/Sheet4!$C76</f>
        <v>1</v>
      </c>
      <c r="AE76" s="43">
        <f>ዕቁብ!AF79/Sheet4!$C76</f>
        <v>1</v>
      </c>
      <c r="AF76" s="43">
        <f>ዕቁብ!AG79/Sheet4!$C76</f>
        <v>1</v>
      </c>
      <c r="AG76" s="43">
        <f>ዕቁብ!AH79/Sheet4!$C76</f>
        <v>1</v>
      </c>
      <c r="AH76" s="43">
        <f>ዕቁብ!AI79/Sheet4!$C76</f>
        <v>1</v>
      </c>
      <c r="AI76" s="43">
        <f>ዕቁብ!AJ79/Sheet4!$C76</f>
        <v>1</v>
      </c>
      <c r="AJ76" s="43">
        <f>ዕቁብ!AK79/Sheet4!$C76</f>
        <v>1</v>
      </c>
      <c r="AK76" s="43">
        <f>ዕቁብ!AL79/Sheet4!$C76</f>
        <v>1</v>
      </c>
      <c r="AL76" s="43">
        <f>ዕቁብ!AM79/Sheet4!$C76</f>
        <v>1</v>
      </c>
      <c r="AM76" s="43">
        <f>ዕቁብ!AN79/Sheet4!$C76</f>
        <v>1</v>
      </c>
      <c r="AN76" s="43">
        <f>ዕቁብ!AO79/Sheet4!$C76</f>
        <v>1</v>
      </c>
      <c r="AO76" s="43">
        <f>ዕቁብ!AP79/Sheet4!$C76</f>
        <v>1</v>
      </c>
      <c r="AP76" s="43">
        <f>ዕቁብ!AQ79/Sheet4!$C76</f>
        <v>1</v>
      </c>
      <c r="AQ76" s="43">
        <f>ዕቁብ!AR79/Sheet4!$C76</f>
        <v>1</v>
      </c>
      <c r="AR76" s="43">
        <f>ዕቁብ!AS79/Sheet4!$C76</f>
        <v>1</v>
      </c>
      <c r="AS76" s="43">
        <f>ዕቁብ!AT79/Sheet4!$C76</f>
        <v>1</v>
      </c>
      <c r="AT76" s="43">
        <f>ዕቁብ!AU79/Sheet4!$C76</f>
        <v>1</v>
      </c>
      <c r="AU76" s="43">
        <f>ዕቁብ!AV79/Sheet4!$C76</f>
        <v>1</v>
      </c>
      <c r="AV76" s="43">
        <f>ዕቁብ!AW79/Sheet4!$C76</f>
        <v>1</v>
      </c>
      <c r="AW76" s="43">
        <f>ዕቁብ!AX79/Sheet4!$C76</f>
        <v>1</v>
      </c>
      <c r="AX76" s="43">
        <f>ዕቁብ!AY79/Sheet4!$C76</f>
        <v>1</v>
      </c>
      <c r="AY76" s="43">
        <f>ዕቁብ!AZ79/Sheet4!$C76</f>
        <v>1</v>
      </c>
      <c r="AZ76" s="43">
        <f>ዕቁብ!BA79/Sheet4!$C76</f>
        <v>1</v>
      </c>
      <c r="BA76" s="43">
        <f>ዕቁብ!BB79/Sheet4!$C76</f>
        <v>1</v>
      </c>
      <c r="BB76" s="43">
        <f>ዕቁብ!BC79/Sheet4!$C76</f>
        <v>1</v>
      </c>
      <c r="BC76" s="43">
        <f>ዕቁብ!BD79/Sheet4!$C76</f>
        <v>1</v>
      </c>
      <c r="BD76" s="43">
        <f>ዕቁብ!BE79/Sheet4!$C76</f>
        <v>1</v>
      </c>
      <c r="BE76" s="43">
        <f>ዕቁብ!BF79/Sheet4!$C76</f>
        <v>1</v>
      </c>
      <c r="BF76" s="43">
        <f>ዕቁብ!BG79/Sheet4!$C76</f>
        <v>1</v>
      </c>
      <c r="BG76" s="43">
        <f>ዕቁብ!BH79/Sheet4!$C76</f>
        <v>1</v>
      </c>
      <c r="BH76" s="43">
        <f>ዕቁብ!BI79/Sheet4!$C76</f>
        <v>1</v>
      </c>
      <c r="BI76" s="43">
        <f>ዕቁብ!BJ79/Sheet4!$C76</f>
        <v>1</v>
      </c>
      <c r="BJ76" s="43">
        <f>ዕቁብ!BK79/Sheet4!$C76</f>
        <v>1</v>
      </c>
      <c r="BK76" s="43">
        <f>ዕቁብ!BL79/Sheet4!$C76</f>
        <v>1</v>
      </c>
      <c r="BL76" s="43">
        <f>ዕቁብ!BM79/Sheet4!$C76</f>
        <v>1</v>
      </c>
      <c r="BM76" s="43">
        <f>ዕቁብ!BN79/Sheet4!$C76</f>
        <v>1</v>
      </c>
      <c r="BN76" s="43">
        <f>ዕቁብ!BO79/Sheet4!$C76</f>
        <v>1</v>
      </c>
      <c r="BO76" s="43">
        <f>ዕቁብ!BP79/Sheet4!$C76</f>
        <v>1</v>
      </c>
      <c r="BP76" s="43">
        <f>ዕቁብ!BQ79/Sheet4!$C76</f>
        <v>1</v>
      </c>
      <c r="BQ76" s="43">
        <f>ዕቁብ!BR79/Sheet4!$C76</f>
        <v>1</v>
      </c>
      <c r="BR76" s="43">
        <f>ዕቁብ!BS79/Sheet4!$C76</f>
        <v>1</v>
      </c>
      <c r="BS76" s="43">
        <f>ዕቁብ!BT79/Sheet4!$C76</f>
        <v>1</v>
      </c>
      <c r="BT76" s="43">
        <f>ዕቁብ!BU79/Sheet4!$C76</f>
        <v>1</v>
      </c>
      <c r="BU76" s="43">
        <f>ዕቁብ!BV79/Sheet4!$C76</f>
        <v>1</v>
      </c>
      <c r="BV76" s="43">
        <f>ዕቁብ!BW79/Sheet4!$C76</f>
        <v>1</v>
      </c>
      <c r="BW76" s="43">
        <f>ዕቁብ!BX79/Sheet4!$C76</f>
        <v>1</v>
      </c>
      <c r="BX76" s="43">
        <f>ዕቁብ!BY79/Sheet4!$C76</f>
        <v>1</v>
      </c>
      <c r="BY76" s="43">
        <f>ዕቁብ!BZ79/Sheet4!$C76</f>
        <v>1</v>
      </c>
      <c r="BZ76" s="43">
        <f>ዕቁብ!CA79/Sheet4!$C76</f>
        <v>1</v>
      </c>
      <c r="CA76" s="43">
        <f>ዕቁብ!CB79/Sheet4!$C76</f>
        <v>1</v>
      </c>
      <c r="CB76" s="43">
        <f>ዕቁብ!CC79/Sheet4!$C76</f>
        <v>1</v>
      </c>
      <c r="CC76" s="43">
        <f>ዕቁብ!CD79/Sheet4!$C76</f>
        <v>1</v>
      </c>
      <c r="CD76" s="43">
        <f>ዕቁብ!CE79/Sheet4!$C76</f>
        <v>1</v>
      </c>
      <c r="CE76" s="43">
        <f>ዕቁብ!CF79/Sheet4!$C76</f>
        <v>1</v>
      </c>
      <c r="CF76" s="43">
        <f>ዕቁብ!CG79/Sheet4!$C76</f>
        <v>1</v>
      </c>
      <c r="CG76" s="43">
        <f>ዕቁብ!CH79/Sheet4!$C76</f>
        <v>1</v>
      </c>
      <c r="CH76" s="43">
        <f>ዕቁብ!CI79/Sheet4!$C76</f>
        <v>1</v>
      </c>
      <c r="CI76" s="43">
        <f>ዕቁብ!CJ79/Sheet4!$C76</f>
        <v>1</v>
      </c>
      <c r="CJ76" s="43">
        <f>ዕቁብ!CK79/Sheet4!$C76</f>
        <v>1</v>
      </c>
      <c r="CK76" s="43">
        <f>ዕቁብ!CL79/Sheet4!$C76</f>
        <v>1</v>
      </c>
      <c r="CL76" s="43">
        <f>ዕቁብ!CM79/Sheet4!$C76</f>
        <v>1</v>
      </c>
      <c r="CM76" s="43">
        <f>ዕቁብ!CN79/Sheet4!$C76</f>
        <v>1</v>
      </c>
      <c r="CN76" s="43">
        <f>ዕቁብ!CO79/Sheet4!$C76</f>
        <v>1</v>
      </c>
      <c r="CO76" s="43">
        <f>ዕቁብ!CP79/Sheet4!$C76</f>
        <v>1</v>
      </c>
      <c r="CP76" s="43">
        <f>ዕቁብ!CQ79/Sheet4!$C76</f>
        <v>1</v>
      </c>
      <c r="CQ76" s="43">
        <f>ዕቁብ!CR79/Sheet4!$C76</f>
        <v>1</v>
      </c>
      <c r="CR76" s="43">
        <f>ዕቁብ!CS79/Sheet4!$C76</f>
        <v>1</v>
      </c>
      <c r="CS76" s="43">
        <f>ዕቁብ!CT79/Sheet4!$C76</f>
        <v>1</v>
      </c>
      <c r="CT76" s="43">
        <f>ዕቁብ!CU79/Sheet4!$C76</f>
        <v>1</v>
      </c>
      <c r="CU76" s="43">
        <f>ዕቁብ!CV79/Sheet4!$C76</f>
        <v>1</v>
      </c>
      <c r="CV76" s="43">
        <f>ዕቁብ!CW79/Sheet4!$C76</f>
        <v>1</v>
      </c>
      <c r="CW76" s="43">
        <f>ዕቁብ!CX79/Sheet4!$C76</f>
        <v>1</v>
      </c>
      <c r="CX76" s="43">
        <f>ዕቁብ!CY79/Sheet4!$C76</f>
        <v>1</v>
      </c>
      <c r="CY76" s="43">
        <f>ዕቁብ!CZ79/Sheet4!$C76</f>
        <v>0</v>
      </c>
      <c r="CZ76" s="43">
        <f>ዕቁብ!DA79/Sheet4!$C76</f>
        <v>2</v>
      </c>
      <c r="DA76" s="43">
        <f>ዕቁብ!DB79/Sheet4!$C76</f>
        <v>1</v>
      </c>
      <c r="DB76" s="43">
        <f>ዕቁብ!DC79/Sheet4!$C76</f>
        <v>1</v>
      </c>
      <c r="DC76" s="43">
        <f>ዕቁብ!DD79/Sheet4!$C76</f>
        <v>1</v>
      </c>
      <c r="DD76" s="43">
        <f>ዕቁብ!DE79/Sheet4!$C76</f>
        <v>1</v>
      </c>
      <c r="DE76" s="43">
        <f>ዕቁብ!DF79/Sheet4!$C76</f>
        <v>1</v>
      </c>
      <c r="DF76" s="43">
        <f>ዕቁብ!DG79/Sheet4!$C76</f>
        <v>1</v>
      </c>
      <c r="DG76" s="43">
        <f>ዕቁብ!DH79/Sheet4!$C76</f>
        <v>1</v>
      </c>
      <c r="DH76" s="43">
        <f>ዕቁብ!DI79/Sheet4!$C76</f>
        <v>0</v>
      </c>
      <c r="DI76" s="43">
        <f>ዕቁብ!DJ79/Sheet4!$C76</f>
        <v>0</v>
      </c>
      <c r="DJ76" s="43">
        <f>ዕቁብ!DK79/Sheet4!$C76</f>
        <v>0</v>
      </c>
      <c r="DK76" s="43">
        <f>ዕቁብ!DL79/Sheet4!$C76</f>
        <v>0</v>
      </c>
      <c r="DL76" s="43">
        <f>ዕቁብ!DM79/Sheet4!$C76</f>
        <v>0</v>
      </c>
      <c r="DM76" s="43">
        <f>ዕቁብ!DN79/Sheet4!$C76</f>
        <v>0</v>
      </c>
      <c r="DN76" s="43">
        <f>ዕቁብ!DO79/Sheet4!$C76</f>
        <v>0</v>
      </c>
      <c r="DO76" s="43">
        <f>ዕቁብ!DP79/Sheet4!$C76</f>
        <v>0</v>
      </c>
      <c r="DP76" s="43">
        <f>ዕቁብ!DQ79/Sheet4!$C76</f>
        <v>0</v>
      </c>
      <c r="DQ76" s="43">
        <f>ዕቁብ!DR79/Sheet4!$C76</f>
        <v>0</v>
      </c>
    </row>
    <row r="77" spans="1:121" ht="15.75" customHeight="1" x14ac:dyDescent="0.3">
      <c r="A77" s="40">
        <f>ዕቁብ!A80</f>
        <v>74</v>
      </c>
      <c r="B77" s="40" t="str">
        <f>ዕቁብ!B80</f>
        <v>ይርዳቸዉ ኤርሚያስ</v>
      </c>
      <c r="C77" s="30">
        <f>ዕቁብ!C80</f>
        <v>21000</v>
      </c>
      <c r="D77" s="43">
        <f>ዕቁብ!E80/Sheet4!$C77</f>
        <v>1</v>
      </c>
      <c r="E77" s="43">
        <f>ዕቁብ!F80/Sheet4!$C77</f>
        <v>1</v>
      </c>
      <c r="F77" s="43">
        <f>ዕቁብ!G80/Sheet4!$C77</f>
        <v>1</v>
      </c>
      <c r="G77" s="43">
        <f>ዕቁብ!H80/Sheet4!$C77</f>
        <v>1</v>
      </c>
      <c r="H77" s="43">
        <f>ዕቁብ!I80/Sheet4!$C77</f>
        <v>1</v>
      </c>
      <c r="I77" s="43">
        <f>ዕቁብ!J80/Sheet4!$C77</f>
        <v>1</v>
      </c>
      <c r="J77" s="43">
        <f>ዕቁብ!K80/Sheet4!$C77</f>
        <v>1</v>
      </c>
      <c r="K77" s="43">
        <f>ዕቁብ!L80/Sheet4!$C77</f>
        <v>1</v>
      </c>
      <c r="L77" s="43">
        <f>ዕቁብ!M80/Sheet4!$C77</f>
        <v>1</v>
      </c>
      <c r="M77" s="43">
        <f>ዕቁብ!N80/Sheet4!$C77</f>
        <v>1</v>
      </c>
      <c r="N77" s="43">
        <f>ዕቁብ!O80/Sheet4!$C77</f>
        <v>1</v>
      </c>
      <c r="O77" s="43">
        <f>ዕቁብ!P80/Sheet4!$C77</f>
        <v>1</v>
      </c>
      <c r="P77" s="43">
        <f>ዕቁብ!Q80/Sheet4!$C77</f>
        <v>1</v>
      </c>
      <c r="Q77" s="43">
        <f>ዕቁብ!R80/Sheet4!$C77</f>
        <v>1</v>
      </c>
      <c r="R77" s="43">
        <f>ዕቁብ!S80/Sheet4!$C77</f>
        <v>1</v>
      </c>
      <c r="S77" s="43">
        <f>ዕቁብ!T80/Sheet4!$C77</f>
        <v>1</v>
      </c>
      <c r="T77" s="43">
        <f>ዕቁብ!U80/Sheet4!$C77</f>
        <v>1</v>
      </c>
      <c r="U77" s="43">
        <f>ዕቁብ!V80/Sheet4!$C77</f>
        <v>1</v>
      </c>
      <c r="V77" s="43">
        <f>ዕቁብ!W80/Sheet4!$C77</f>
        <v>1</v>
      </c>
      <c r="W77" s="43">
        <f>ዕቁብ!X80/Sheet4!$C77</f>
        <v>1</v>
      </c>
      <c r="X77" s="43">
        <f>ዕቁብ!Y80/Sheet4!$C77</f>
        <v>1</v>
      </c>
      <c r="Y77" s="43">
        <f>ዕቁብ!Z80/Sheet4!$C77</f>
        <v>1</v>
      </c>
      <c r="Z77" s="43">
        <f>ዕቁብ!AA80/Sheet4!$C77</f>
        <v>1</v>
      </c>
      <c r="AA77" s="43">
        <f>ዕቁብ!AB80/Sheet4!$C77</f>
        <v>0</v>
      </c>
      <c r="AB77" s="43">
        <f>ዕቁብ!AC80/Sheet4!$C77</f>
        <v>2</v>
      </c>
      <c r="AC77" s="43">
        <f>ዕቁብ!AD80/Sheet4!$C77</f>
        <v>1</v>
      </c>
      <c r="AD77" s="43">
        <f>ዕቁብ!AE80/Sheet4!$C77</f>
        <v>0</v>
      </c>
      <c r="AE77" s="43">
        <f>ዕቁብ!AF80/Sheet4!$C77</f>
        <v>2</v>
      </c>
      <c r="AF77" s="43">
        <f>ዕቁብ!AG80/Sheet4!$C77</f>
        <v>0</v>
      </c>
      <c r="AG77" s="43">
        <f>ዕቁብ!AH80/Sheet4!$C77</f>
        <v>2</v>
      </c>
      <c r="AH77" s="43">
        <f>ዕቁብ!AI80/Sheet4!$C77</f>
        <v>0</v>
      </c>
      <c r="AI77" s="43">
        <f>ዕቁብ!AJ80/Sheet4!$C77</f>
        <v>2</v>
      </c>
      <c r="AJ77" s="43">
        <f>ዕቁብ!AK80/Sheet4!$C77</f>
        <v>1</v>
      </c>
      <c r="AK77" s="43">
        <f>ዕቁብ!AL80/Sheet4!$C77</f>
        <v>1</v>
      </c>
      <c r="AL77" s="43">
        <f>ዕቁብ!AM80/Sheet4!$C77</f>
        <v>1</v>
      </c>
      <c r="AM77" s="43">
        <f>ዕቁብ!AN80/Sheet4!$C77</f>
        <v>1</v>
      </c>
      <c r="AN77" s="43">
        <f>ዕቁብ!AO80/Sheet4!$C77</f>
        <v>1</v>
      </c>
      <c r="AO77" s="43">
        <f>ዕቁብ!AP80/Sheet4!$C77</f>
        <v>1</v>
      </c>
      <c r="AP77" s="43">
        <f>ዕቁብ!AQ80/Sheet4!$C77</f>
        <v>1</v>
      </c>
      <c r="AQ77" s="43">
        <f>ዕቁብ!AR80/Sheet4!$C77</f>
        <v>1</v>
      </c>
      <c r="AR77" s="43">
        <f>ዕቁብ!AS80/Sheet4!$C77</f>
        <v>0</v>
      </c>
      <c r="AS77" s="43">
        <f>ዕቁብ!AT80/Sheet4!$C77</f>
        <v>1</v>
      </c>
      <c r="AT77" s="43">
        <f>ዕቁብ!AU80/Sheet4!$C77</f>
        <v>1</v>
      </c>
      <c r="AU77" s="43">
        <f>ዕቁብ!AV80/Sheet4!$C77</f>
        <v>1</v>
      </c>
      <c r="AV77" s="43">
        <f>ዕቁብ!AW80/Sheet4!$C77</f>
        <v>1</v>
      </c>
      <c r="AW77" s="43">
        <f>ዕቁብ!AX80/Sheet4!$C77</f>
        <v>0</v>
      </c>
      <c r="AX77" s="43">
        <f>ዕቁብ!AY80/Sheet4!$C77</f>
        <v>0</v>
      </c>
      <c r="AY77" s="43">
        <f>ዕቁብ!AZ80/Sheet4!$C77</f>
        <v>1</v>
      </c>
      <c r="AZ77" s="43">
        <f>ዕቁብ!BA80/Sheet4!$C77</f>
        <v>1</v>
      </c>
      <c r="BA77" s="43">
        <f>ዕቁብ!BB80/Sheet4!$C77</f>
        <v>0</v>
      </c>
      <c r="BB77" s="43">
        <f>ዕቁብ!BC80/Sheet4!$C77</f>
        <v>1</v>
      </c>
      <c r="BC77" s="43">
        <f>ዕቁብ!BD80/Sheet4!$C77</f>
        <v>0</v>
      </c>
      <c r="BD77" s="43">
        <f>ዕቁብ!BE80/Sheet4!$C77</f>
        <v>2</v>
      </c>
      <c r="BE77" s="43">
        <f>ዕቁብ!BF80/Sheet4!$C77</f>
        <v>2</v>
      </c>
      <c r="BF77" s="43">
        <f>ዕቁብ!BG80/Sheet4!$C77</f>
        <v>1</v>
      </c>
      <c r="BG77" s="43">
        <f>ዕቁብ!BH80/Sheet4!$C77</f>
        <v>1</v>
      </c>
      <c r="BH77" s="43">
        <f>ዕቁብ!BI80/Sheet4!$C77</f>
        <v>0</v>
      </c>
      <c r="BI77" s="43">
        <f>ዕቁብ!BJ80/Sheet4!$C77</f>
        <v>2</v>
      </c>
      <c r="BJ77" s="43">
        <f>ዕቁብ!BK80/Sheet4!$C77</f>
        <v>0</v>
      </c>
      <c r="BK77" s="43">
        <f>ዕቁብ!BL80/Sheet4!$C77</f>
        <v>1</v>
      </c>
      <c r="BL77" s="43">
        <f>ዕቁብ!BM80/Sheet4!$C77</f>
        <v>1</v>
      </c>
      <c r="BM77" s="43">
        <f>ዕቁብ!BN80/Sheet4!$C77</f>
        <v>1</v>
      </c>
      <c r="BN77" s="43">
        <f>ዕቁብ!BO80/Sheet4!$C77</f>
        <v>1</v>
      </c>
      <c r="BO77" s="43">
        <f>ዕቁብ!BP80/Sheet4!$C77</f>
        <v>1</v>
      </c>
      <c r="BP77" s="43">
        <f>ዕቁብ!BQ80/Sheet4!$C77</f>
        <v>1</v>
      </c>
      <c r="BQ77" s="43">
        <f>ዕቁብ!BR80/Sheet4!$C77</f>
        <v>0</v>
      </c>
      <c r="BR77" s="43">
        <f>ዕቁብ!BS80/Sheet4!$C77</f>
        <v>3</v>
      </c>
      <c r="BS77" s="43">
        <f>ዕቁብ!BT80/Sheet4!$C77</f>
        <v>0</v>
      </c>
      <c r="BT77" s="43">
        <f>ዕቁብ!BU80/Sheet4!$C77</f>
        <v>0</v>
      </c>
      <c r="BU77" s="43">
        <f>ዕቁብ!BV80/Sheet4!$C77</f>
        <v>1</v>
      </c>
      <c r="BV77" s="43">
        <f>ዕቁብ!BW80/Sheet4!$C77</f>
        <v>0</v>
      </c>
      <c r="BW77" s="43">
        <f>ዕቁብ!BX80/Sheet4!$C77</f>
        <v>2</v>
      </c>
      <c r="BX77" s="43">
        <f>ዕቁብ!BY80/Sheet4!$C77</f>
        <v>0</v>
      </c>
      <c r="BY77" s="43">
        <f>ዕቁብ!BZ80/Sheet4!$C77</f>
        <v>0</v>
      </c>
      <c r="BZ77" s="43">
        <f>ዕቁብ!CA80/Sheet4!$C77</f>
        <v>0</v>
      </c>
      <c r="CA77" s="43">
        <f>ዕቁብ!CB80/Sheet4!$C77</f>
        <v>0</v>
      </c>
      <c r="CB77" s="43">
        <f>ዕቁብ!CC80/Sheet4!$C77</f>
        <v>0</v>
      </c>
      <c r="CC77" s="43">
        <f>ዕቁብ!CD80/Sheet4!$C77</f>
        <v>0</v>
      </c>
      <c r="CD77" s="43">
        <f>ዕቁብ!CE80/Sheet4!$C77</f>
        <v>0</v>
      </c>
      <c r="CE77" s="43">
        <f>ዕቁብ!CF80/Sheet4!$C77</f>
        <v>2</v>
      </c>
      <c r="CF77" s="43">
        <f>ዕቁብ!CG80/Sheet4!$C77</f>
        <v>2</v>
      </c>
      <c r="CG77" s="43">
        <f>ዕቁብ!CH80/Sheet4!$C77</f>
        <v>0</v>
      </c>
      <c r="CH77" s="43">
        <f>ዕቁብ!CI80/Sheet4!$C77</f>
        <v>2</v>
      </c>
      <c r="CI77" s="43">
        <f>ዕቁብ!CJ80/Sheet4!$C77</f>
        <v>2</v>
      </c>
      <c r="CJ77" s="43">
        <f>ዕቁብ!CK80/Sheet4!$C77</f>
        <v>0</v>
      </c>
      <c r="CK77" s="43">
        <f>ዕቁብ!CL80/Sheet4!$C77</f>
        <v>1</v>
      </c>
      <c r="CL77" s="43">
        <f>ዕቁብ!CM80/Sheet4!$C77</f>
        <v>0</v>
      </c>
      <c r="CM77" s="43">
        <f>ዕቁብ!CN80/Sheet4!$C77</f>
        <v>1</v>
      </c>
      <c r="CN77" s="43">
        <f>ዕቁብ!CO80/Sheet4!$C77</f>
        <v>1</v>
      </c>
      <c r="CO77" s="43">
        <f>ዕቁብ!CP80/Sheet4!$C77</f>
        <v>0</v>
      </c>
      <c r="CP77" s="43">
        <f>ዕቁብ!CQ80/Sheet4!$C77</f>
        <v>1</v>
      </c>
      <c r="CQ77" s="43">
        <f>ዕቁብ!CR80/Sheet4!$C77</f>
        <v>1</v>
      </c>
      <c r="CR77" s="43">
        <f>ዕቁብ!CS80/Sheet4!$C77</f>
        <v>1</v>
      </c>
      <c r="CS77" s="43">
        <f>ዕቁብ!CT80/Sheet4!$C77</f>
        <v>0</v>
      </c>
      <c r="CT77" s="43">
        <f>ዕቁብ!CU80/Sheet4!$C77</f>
        <v>0</v>
      </c>
      <c r="CU77" s="43">
        <f>ዕቁብ!CV80/Sheet4!$C77</f>
        <v>2</v>
      </c>
      <c r="CV77" s="43">
        <f>ዕቁብ!CW80/Sheet4!$C77</f>
        <v>1</v>
      </c>
      <c r="CW77" s="43">
        <f>ዕቁብ!CX80/Sheet4!$C77</f>
        <v>1</v>
      </c>
      <c r="CX77" s="43">
        <f>ዕቁብ!CY80/Sheet4!$C77</f>
        <v>0</v>
      </c>
      <c r="CY77" s="43">
        <f>ዕቁብ!CZ80/Sheet4!$C77</f>
        <v>1</v>
      </c>
      <c r="CZ77" s="43">
        <f>ዕቁብ!DA80/Sheet4!$C77</f>
        <v>0</v>
      </c>
      <c r="DA77" s="43">
        <f>ዕቁብ!DB80/Sheet4!$C77</f>
        <v>1</v>
      </c>
      <c r="DB77" s="43">
        <f>ዕቁብ!DC80/Sheet4!$C77</f>
        <v>0</v>
      </c>
      <c r="DC77" s="43">
        <f>ዕቁብ!DD80/Sheet4!$C77</f>
        <v>1</v>
      </c>
      <c r="DD77" s="43">
        <f>ዕቁብ!DE80/Sheet4!$C77</f>
        <v>0</v>
      </c>
      <c r="DE77" s="43">
        <f>ዕቁብ!DF80/Sheet4!$C77</f>
        <v>1</v>
      </c>
      <c r="DF77" s="43">
        <f>ዕቁብ!DG80/Sheet4!$C77</f>
        <v>0</v>
      </c>
      <c r="DG77" s="43">
        <f>ዕቁብ!DH80/Sheet4!$C77</f>
        <v>2</v>
      </c>
      <c r="DH77" s="43">
        <f>ዕቁብ!DI80/Sheet4!$C77</f>
        <v>0</v>
      </c>
      <c r="DI77" s="43">
        <f>ዕቁብ!DJ80/Sheet4!$C77</f>
        <v>0</v>
      </c>
      <c r="DJ77" s="43">
        <f>ዕቁብ!DK80/Sheet4!$C77</f>
        <v>0</v>
      </c>
      <c r="DK77" s="43">
        <f>ዕቁብ!DL80/Sheet4!$C77</f>
        <v>0</v>
      </c>
      <c r="DL77" s="43">
        <f>ዕቁብ!DM80/Sheet4!$C77</f>
        <v>0</v>
      </c>
      <c r="DM77" s="43">
        <f>ዕቁብ!DN80/Sheet4!$C77</f>
        <v>0</v>
      </c>
      <c r="DN77" s="43">
        <f>ዕቁብ!DO80/Sheet4!$C77</f>
        <v>0</v>
      </c>
      <c r="DO77" s="43">
        <f>ዕቁብ!DP80/Sheet4!$C77</f>
        <v>0</v>
      </c>
      <c r="DP77" s="43">
        <f>ዕቁብ!DQ80/Sheet4!$C77</f>
        <v>0</v>
      </c>
      <c r="DQ77" s="43">
        <f>ዕቁብ!DR80/Sheet4!$C77</f>
        <v>0</v>
      </c>
    </row>
    <row r="78" spans="1:121" ht="15.75" customHeight="1" x14ac:dyDescent="0.3">
      <c r="A78" s="40">
        <f>ዕቁብ!A81</f>
        <v>75</v>
      </c>
      <c r="B78" s="40" t="str">
        <f>ዕቁብ!B81</f>
        <v>ጌቱ በቀለ</v>
      </c>
      <c r="C78" s="30">
        <f>ዕቁብ!C81</f>
        <v>21000</v>
      </c>
      <c r="D78" s="43">
        <f>ዕቁብ!E81/Sheet4!$C78</f>
        <v>1</v>
      </c>
      <c r="E78" s="43">
        <f>ዕቁብ!F81/Sheet4!$C78</f>
        <v>1</v>
      </c>
      <c r="F78" s="43">
        <f>ዕቁብ!G81/Sheet4!$C78</f>
        <v>1</v>
      </c>
      <c r="G78" s="43">
        <f>ዕቁብ!H81/Sheet4!$C78</f>
        <v>1</v>
      </c>
      <c r="H78" s="43">
        <f>ዕቁብ!I81/Sheet4!$C78</f>
        <v>1</v>
      </c>
      <c r="I78" s="43">
        <f>ዕቁብ!J81/Sheet4!$C78</f>
        <v>1</v>
      </c>
      <c r="J78" s="43">
        <f>ዕቁብ!K81/Sheet4!$C78</f>
        <v>1</v>
      </c>
      <c r="K78" s="43">
        <f>ዕቁብ!L81/Sheet4!$C78</f>
        <v>1</v>
      </c>
      <c r="L78" s="43">
        <f>ዕቁብ!M81/Sheet4!$C78</f>
        <v>1</v>
      </c>
      <c r="M78" s="43">
        <f>ዕቁብ!N81/Sheet4!$C78</f>
        <v>1</v>
      </c>
      <c r="N78" s="43">
        <f>ዕቁብ!O81/Sheet4!$C78</f>
        <v>1</v>
      </c>
      <c r="O78" s="43">
        <f>ዕቁብ!P81/Sheet4!$C78</f>
        <v>1</v>
      </c>
      <c r="P78" s="43">
        <f>ዕቁብ!Q81/Sheet4!$C78</f>
        <v>1</v>
      </c>
      <c r="Q78" s="43">
        <f>ዕቁብ!R81/Sheet4!$C78</f>
        <v>1</v>
      </c>
      <c r="R78" s="43">
        <f>ዕቁብ!S81/Sheet4!$C78</f>
        <v>1</v>
      </c>
      <c r="S78" s="43">
        <f>ዕቁብ!T81/Sheet4!$C78</f>
        <v>1</v>
      </c>
      <c r="T78" s="43">
        <f>ዕቁብ!U81/Sheet4!$C78</f>
        <v>1</v>
      </c>
      <c r="U78" s="43">
        <f>ዕቁብ!V81/Sheet4!$C78</f>
        <v>1</v>
      </c>
      <c r="V78" s="43">
        <f>ዕቁብ!W81/Sheet4!$C78</f>
        <v>1</v>
      </c>
      <c r="W78" s="43">
        <f>ዕቁብ!X81/Sheet4!$C78</f>
        <v>1</v>
      </c>
      <c r="X78" s="43">
        <f>ዕቁብ!Y81/Sheet4!$C78</f>
        <v>1</v>
      </c>
      <c r="Y78" s="43">
        <f>ዕቁብ!Z81/Sheet4!$C78</f>
        <v>1</v>
      </c>
      <c r="Z78" s="43">
        <f>ዕቁብ!AA81/Sheet4!$C78</f>
        <v>1</v>
      </c>
      <c r="AA78" s="43">
        <f>ዕቁብ!AB81/Sheet4!$C78</f>
        <v>1</v>
      </c>
      <c r="AB78" s="43">
        <f>ዕቁብ!AC81/Sheet4!$C78</f>
        <v>1</v>
      </c>
      <c r="AC78" s="43">
        <f>ዕቁብ!AD81/Sheet4!$C78</f>
        <v>1</v>
      </c>
      <c r="AD78" s="43">
        <f>ዕቁብ!AE81/Sheet4!$C78</f>
        <v>1</v>
      </c>
      <c r="AE78" s="43">
        <f>ዕቁብ!AF81/Sheet4!$C78</f>
        <v>1</v>
      </c>
      <c r="AF78" s="43">
        <f>ዕቁብ!AG81/Sheet4!$C78</f>
        <v>1</v>
      </c>
      <c r="AG78" s="43">
        <f>ዕቁብ!AH81/Sheet4!$C78</f>
        <v>1</v>
      </c>
      <c r="AH78" s="43">
        <f>ዕቁብ!AI81/Sheet4!$C78</f>
        <v>1</v>
      </c>
      <c r="AI78" s="43">
        <f>ዕቁብ!AJ81/Sheet4!$C78</f>
        <v>1</v>
      </c>
      <c r="AJ78" s="43">
        <f>ዕቁብ!AK81/Sheet4!$C78</f>
        <v>1</v>
      </c>
      <c r="AK78" s="43">
        <f>ዕቁብ!AL81/Sheet4!$C78</f>
        <v>1</v>
      </c>
      <c r="AL78" s="43">
        <f>ዕቁብ!AM81/Sheet4!$C78</f>
        <v>1</v>
      </c>
      <c r="AM78" s="43">
        <f>ዕቁብ!AN81/Sheet4!$C78</f>
        <v>1</v>
      </c>
      <c r="AN78" s="43">
        <f>ዕቁብ!AO81/Sheet4!$C78</f>
        <v>1</v>
      </c>
      <c r="AO78" s="43">
        <f>ዕቁብ!AP81/Sheet4!$C78</f>
        <v>1</v>
      </c>
      <c r="AP78" s="43">
        <f>ዕቁብ!AQ81/Sheet4!$C78</f>
        <v>1</v>
      </c>
      <c r="AQ78" s="43">
        <f>ዕቁብ!AR81/Sheet4!$C78</f>
        <v>1</v>
      </c>
      <c r="AR78" s="43">
        <f>ዕቁብ!AS81/Sheet4!$C78</f>
        <v>1</v>
      </c>
      <c r="AS78" s="43">
        <f>ዕቁብ!AT81/Sheet4!$C78</f>
        <v>1</v>
      </c>
      <c r="AT78" s="43">
        <f>ዕቁብ!AU81/Sheet4!$C78</f>
        <v>1</v>
      </c>
      <c r="AU78" s="43">
        <f>ዕቁብ!AV81/Sheet4!$C78</f>
        <v>1</v>
      </c>
      <c r="AV78" s="43">
        <f>ዕቁብ!AW81/Sheet4!$C78</f>
        <v>1</v>
      </c>
      <c r="AW78" s="43">
        <f>ዕቁብ!AX81/Sheet4!$C78</f>
        <v>1</v>
      </c>
      <c r="AX78" s="43">
        <f>ዕቁብ!AY81/Sheet4!$C78</f>
        <v>1</v>
      </c>
      <c r="AY78" s="43">
        <f>ዕቁብ!AZ81/Sheet4!$C78</f>
        <v>1</v>
      </c>
      <c r="AZ78" s="43">
        <f>ዕቁብ!BA81/Sheet4!$C78</f>
        <v>1</v>
      </c>
      <c r="BA78" s="43">
        <f>ዕቁብ!BB81/Sheet4!$C78</f>
        <v>1</v>
      </c>
      <c r="BB78" s="43">
        <f>ዕቁብ!BC81/Sheet4!$C78</f>
        <v>1</v>
      </c>
      <c r="BC78" s="43">
        <f>ዕቁብ!BD81/Sheet4!$C78</f>
        <v>1</v>
      </c>
      <c r="BD78" s="43">
        <f>ዕቁብ!BE81/Sheet4!$C78</f>
        <v>1</v>
      </c>
      <c r="BE78" s="43">
        <f>ዕቁብ!BF81/Sheet4!$C78</f>
        <v>1</v>
      </c>
      <c r="BF78" s="43">
        <f>ዕቁብ!BG81/Sheet4!$C78</f>
        <v>1</v>
      </c>
      <c r="BG78" s="43">
        <f>ዕቁብ!BH81/Sheet4!$C78</f>
        <v>1</v>
      </c>
      <c r="BH78" s="43">
        <f>ዕቁብ!BI81/Sheet4!$C78</f>
        <v>1</v>
      </c>
      <c r="BI78" s="43">
        <f>ዕቁብ!BJ81/Sheet4!$C78</f>
        <v>1</v>
      </c>
      <c r="BJ78" s="43">
        <f>ዕቁብ!BK81/Sheet4!$C78</f>
        <v>1</v>
      </c>
      <c r="BK78" s="43">
        <f>ዕቁብ!BL81/Sheet4!$C78</f>
        <v>1</v>
      </c>
      <c r="BL78" s="43">
        <f>ዕቁብ!BM81/Sheet4!$C78</f>
        <v>1</v>
      </c>
      <c r="BM78" s="43">
        <f>ዕቁብ!BN81/Sheet4!$C78</f>
        <v>0</v>
      </c>
      <c r="BN78" s="43">
        <f>ዕቁብ!BO81/Sheet4!$C78</f>
        <v>2</v>
      </c>
      <c r="BO78" s="43">
        <f>ዕቁብ!BP81/Sheet4!$C78</f>
        <v>1</v>
      </c>
      <c r="BP78" s="43">
        <f>ዕቁብ!BQ81/Sheet4!$C78</f>
        <v>1</v>
      </c>
      <c r="BQ78" s="43">
        <f>ዕቁብ!BR81/Sheet4!$C78</f>
        <v>1</v>
      </c>
      <c r="BR78" s="43">
        <f>ዕቁብ!BS81/Sheet4!$C78</f>
        <v>1</v>
      </c>
      <c r="BS78" s="43">
        <f>ዕቁብ!BT81/Sheet4!$C78</f>
        <v>1</v>
      </c>
      <c r="BT78" s="43">
        <f>ዕቁብ!BU81/Sheet4!$C78</f>
        <v>0</v>
      </c>
      <c r="BU78" s="43">
        <f>ዕቁብ!BV81/Sheet4!$C78</f>
        <v>1</v>
      </c>
      <c r="BV78" s="43">
        <f>ዕቁብ!BW81/Sheet4!$C78</f>
        <v>1</v>
      </c>
      <c r="BW78" s="43">
        <f>ዕቁብ!BX81/Sheet4!$C78</f>
        <v>1</v>
      </c>
      <c r="BX78" s="43">
        <f>ዕቁብ!BY81/Sheet4!$C78</f>
        <v>1</v>
      </c>
      <c r="BY78" s="43">
        <f>ዕቁብ!BZ81/Sheet4!$C78</f>
        <v>1</v>
      </c>
      <c r="BZ78" s="43">
        <f>ዕቁብ!CA81/Sheet4!$C78</f>
        <v>1</v>
      </c>
      <c r="CA78" s="43">
        <f>ዕቁብ!CB81/Sheet4!$C78</f>
        <v>1</v>
      </c>
      <c r="CB78" s="43">
        <f>ዕቁብ!CC81/Sheet4!$C78</f>
        <v>1</v>
      </c>
      <c r="CC78" s="43">
        <f>ዕቁብ!CD81/Sheet4!$C78</f>
        <v>1</v>
      </c>
      <c r="CD78" s="43">
        <f>ዕቁብ!CE81/Sheet4!$C78</f>
        <v>0</v>
      </c>
      <c r="CE78" s="43">
        <f>ዕቁብ!CF81/Sheet4!$C78</f>
        <v>1</v>
      </c>
      <c r="CF78" s="43">
        <f>ዕቁብ!CG81/Sheet4!$C78</f>
        <v>1</v>
      </c>
      <c r="CG78" s="43">
        <f>ዕቁብ!CH81/Sheet4!$C78</f>
        <v>1</v>
      </c>
      <c r="CH78" s="43">
        <f>ዕቁብ!CI81/Sheet4!$C78</f>
        <v>1</v>
      </c>
      <c r="CI78" s="43">
        <f>ዕቁብ!CJ81/Sheet4!$C78</f>
        <v>1</v>
      </c>
      <c r="CJ78" s="43">
        <f>ዕቁብ!CK81/Sheet4!$C78</f>
        <v>1</v>
      </c>
      <c r="CK78" s="43">
        <f>ዕቁብ!CL81/Sheet4!$C78</f>
        <v>0</v>
      </c>
      <c r="CL78" s="43">
        <f>ዕቁብ!CM81/Sheet4!$C78</f>
        <v>1</v>
      </c>
      <c r="CM78" s="43">
        <f>ዕቁብ!CN81/Sheet4!$C78</f>
        <v>0</v>
      </c>
      <c r="CN78" s="43">
        <f>ዕቁብ!CO81/Sheet4!$C78</f>
        <v>1</v>
      </c>
      <c r="CO78" s="43">
        <f>ዕቁብ!CP81/Sheet4!$C78</f>
        <v>1</v>
      </c>
      <c r="CP78" s="43">
        <f>ዕቁብ!CQ81/Sheet4!$C78</f>
        <v>1</v>
      </c>
      <c r="CQ78" s="43">
        <f>ዕቁብ!CR81/Sheet4!$C78</f>
        <v>1</v>
      </c>
      <c r="CR78" s="43">
        <f>ዕቁብ!CS81/Sheet4!$C78</f>
        <v>1</v>
      </c>
      <c r="CS78" s="43">
        <f>ዕቁብ!CT81/Sheet4!$C78</f>
        <v>1</v>
      </c>
      <c r="CT78" s="43">
        <f>ዕቁብ!CU81/Sheet4!$C78</f>
        <v>1</v>
      </c>
      <c r="CU78" s="43">
        <f>ዕቁብ!CV81/Sheet4!$C78</f>
        <v>1</v>
      </c>
      <c r="CV78" s="43">
        <f>ዕቁብ!CW81/Sheet4!$C78</f>
        <v>1</v>
      </c>
      <c r="CW78" s="43">
        <f>ዕቁብ!CX81/Sheet4!$C78</f>
        <v>1</v>
      </c>
      <c r="CX78" s="43">
        <f>ዕቁብ!CY81/Sheet4!$C78</f>
        <v>1</v>
      </c>
      <c r="CY78" s="43">
        <f>ዕቁብ!CZ81/Sheet4!$C78</f>
        <v>1</v>
      </c>
      <c r="CZ78" s="43">
        <f>ዕቁብ!DA81/Sheet4!$C78</f>
        <v>1</v>
      </c>
      <c r="DA78" s="43">
        <f>ዕቁብ!DB81/Sheet4!$C78</f>
        <v>1</v>
      </c>
      <c r="DB78" s="43">
        <f>ዕቁብ!DC81/Sheet4!$C78</f>
        <v>1</v>
      </c>
      <c r="DC78" s="43">
        <f>ዕቁብ!DD81/Sheet4!$C78</f>
        <v>0</v>
      </c>
      <c r="DD78" s="43">
        <f>ዕቁብ!DE81/Sheet4!$C78</f>
        <v>0</v>
      </c>
      <c r="DE78" s="43">
        <f>ዕቁብ!DF81/Sheet4!$C78</f>
        <v>1</v>
      </c>
      <c r="DF78" s="43">
        <f>ዕቁብ!DG81/Sheet4!$C78</f>
        <v>1</v>
      </c>
      <c r="DG78" s="43">
        <f>ዕቁብ!DH81/Sheet4!$C78</f>
        <v>0</v>
      </c>
      <c r="DH78" s="43">
        <f>ዕቁብ!DI81/Sheet4!$C78</f>
        <v>0</v>
      </c>
      <c r="DI78" s="43">
        <f>ዕቁብ!DJ81/Sheet4!$C78</f>
        <v>0</v>
      </c>
      <c r="DJ78" s="43">
        <f>ዕቁብ!DK81/Sheet4!$C78</f>
        <v>0</v>
      </c>
      <c r="DK78" s="43">
        <f>ዕቁብ!DL81/Sheet4!$C78</f>
        <v>0</v>
      </c>
      <c r="DL78" s="43">
        <f>ዕቁብ!DM81/Sheet4!$C78</f>
        <v>0</v>
      </c>
      <c r="DM78" s="43">
        <f>ዕቁብ!DN81/Sheet4!$C78</f>
        <v>0</v>
      </c>
      <c r="DN78" s="43">
        <f>ዕቁብ!DO81/Sheet4!$C78</f>
        <v>0</v>
      </c>
      <c r="DO78" s="43">
        <f>ዕቁብ!DP81/Sheet4!$C78</f>
        <v>0</v>
      </c>
      <c r="DP78" s="43">
        <f>ዕቁብ!DQ81/Sheet4!$C78</f>
        <v>0</v>
      </c>
      <c r="DQ78" s="43">
        <f>ዕቁብ!DR81/Sheet4!$C78</f>
        <v>0</v>
      </c>
    </row>
    <row r="79" spans="1:121" ht="15.75" customHeight="1" x14ac:dyDescent="0.3">
      <c r="A79" s="40">
        <f>ዕቁብ!A82</f>
        <v>76</v>
      </c>
      <c r="B79" s="40" t="str">
        <f>ዕቁብ!B82</f>
        <v>ሽፈራዉ ከበደ</v>
      </c>
      <c r="C79" s="30">
        <f>ዕቁብ!C82</f>
        <v>21000</v>
      </c>
      <c r="D79" s="43">
        <f>ዕቁብ!E82/Sheet4!$C79</f>
        <v>1</v>
      </c>
      <c r="E79" s="43">
        <f>ዕቁብ!F82/Sheet4!$C79</f>
        <v>1</v>
      </c>
      <c r="F79" s="43">
        <f>ዕቁብ!G82/Sheet4!$C79</f>
        <v>1</v>
      </c>
      <c r="G79" s="43">
        <f>ዕቁብ!H82/Sheet4!$C79</f>
        <v>1</v>
      </c>
      <c r="H79" s="43">
        <f>ዕቁብ!I82/Sheet4!$C79</f>
        <v>1</v>
      </c>
      <c r="I79" s="43">
        <f>ዕቁብ!J82/Sheet4!$C79</f>
        <v>1</v>
      </c>
      <c r="J79" s="43">
        <f>ዕቁብ!K82/Sheet4!$C79</f>
        <v>1</v>
      </c>
      <c r="K79" s="43">
        <f>ዕቁብ!L82/Sheet4!$C79</f>
        <v>1</v>
      </c>
      <c r="L79" s="43">
        <f>ዕቁብ!M82/Sheet4!$C79</f>
        <v>1</v>
      </c>
      <c r="M79" s="43">
        <f>ዕቁብ!N82/Sheet4!$C79</f>
        <v>1</v>
      </c>
      <c r="N79" s="43">
        <f>ዕቁብ!O82/Sheet4!$C79</f>
        <v>1</v>
      </c>
      <c r="O79" s="43">
        <f>ዕቁብ!P82/Sheet4!$C79</f>
        <v>1</v>
      </c>
      <c r="P79" s="43">
        <f>ዕቁብ!Q82/Sheet4!$C79</f>
        <v>1</v>
      </c>
      <c r="Q79" s="43">
        <f>ዕቁብ!R82/Sheet4!$C79</f>
        <v>1</v>
      </c>
      <c r="R79" s="43">
        <f>ዕቁብ!S82/Sheet4!$C79</f>
        <v>1</v>
      </c>
      <c r="S79" s="43">
        <f>ዕቁብ!T82/Sheet4!$C79</f>
        <v>1</v>
      </c>
      <c r="T79" s="43">
        <f>ዕቁብ!U82/Sheet4!$C79</f>
        <v>1</v>
      </c>
      <c r="U79" s="43">
        <f>ዕቁብ!V82/Sheet4!$C79</f>
        <v>1</v>
      </c>
      <c r="V79" s="43">
        <f>ዕቁብ!W82/Sheet4!$C79</f>
        <v>1</v>
      </c>
      <c r="W79" s="43">
        <f>ዕቁብ!X82/Sheet4!$C79</f>
        <v>1</v>
      </c>
      <c r="X79" s="43">
        <f>ዕቁብ!Y82/Sheet4!$C79</f>
        <v>0</v>
      </c>
      <c r="Y79" s="43">
        <f>ዕቁብ!Z82/Sheet4!$C79</f>
        <v>0</v>
      </c>
      <c r="Z79" s="43">
        <f>ዕቁብ!AA82/Sheet4!$C79</f>
        <v>0</v>
      </c>
      <c r="AA79" s="43">
        <f>ዕቁብ!AB82/Sheet4!$C79</f>
        <v>0</v>
      </c>
      <c r="AB79" s="43">
        <f>ዕቁብ!AC82/Sheet4!$C79</f>
        <v>0</v>
      </c>
      <c r="AC79" s="43">
        <f>ዕቁብ!AD82/Sheet4!$C79</f>
        <v>0</v>
      </c>
      <c r="AD79" s="43">
        <f>ዕቁብ!AE82/Sheet4!$C79</f>
        <v>0</v>
      </c>
      <c r="AE79" s="43">
        <f>ዕቁብ!AF82/Sheet4!$C79</f>
        <v>0</v>
      </c>
      <c r="AF79" s="43">
        <f>ዕቁብ!AG82/Sheet4!$C79</f>
        <v>0</v>
      </c>
      <c r="AG79" s="43">
        <f>ዕቁብ!AH82/Sheet4!$C79</f>
        <v>0</v>
      </c>
      <c r="AH79" s="43">
        <f>ዕቁብ!AI82/Sheet4!$C79</f>
        <v>10</v>
      </c>
      <c r="AI79" s="43">
        <f>ዕቁብ!AJ82/Sheet4!$C79</f>
        <v>2</v>
      </c>
      <c r="AJ79" s="43">
        <f>ዕቁብ!AK82/Sheet4!$C79</f>
        <v>1</v>
      </c>
      <c r="AK79" s="43">
        <f>ዕቁብ!AL82/Sheet4!$C79</f>
        <v>1</v>
      </c>
      <c r="AL79" s="43">
        <f>ዕቁብ!AM82/Sheet4!$C79</f>
        <v>1</v>
      </c>
      <c r="AM79" s="43">
        <f>ዕቁብ!AN82/Sheet4!$C79</f>
        <v>1</v>
      </c>
      <c r="AN79" s="43">
        <f>ዕቁብ!AO82/Sheet4!$C79</f>
        <v>1</v>
      </c>
      <c r="AO79" s="43">
        <f>ዕቁብ!AP82/Sheet4!$C79</f>
        <v>1</v>
      </c>
      <c r="AP79" s="43">
        <f>ዕቁብ!AQ82/Sheet4!$C79</f>
        <v>1</v>
      </c>
      <c r="AQ79" s="43">
        <f>ዕቁብ!AR82/Sheet4!$C79</f>
        <v>1</v>
      </c>
      <c r="AR79" s="43">
        <f>ዕቁብ!AS82/Sheet4!$C79</f>
        <v>0</v>
      </c>
      <c r="AS79" s="43">
        <f>ዕቁብ!AT82/Sheet4!$C79</f>
        <v>0</v>
      </c>
      <c r="AT79" s="43">
        <f>ዕቁብ!AU82/Sheet4!$C79</f>
        <v>3</v>
      </c>
      <c r="AU79" s="43">
        <f>ዕቁብ!AV82/Sheet4!$C79</f>
        <v>1</v>
      </c>
      <c r="AV79" s="43">
        <f>ዕቁብ!AW82/Sheet4!$C79</f>
        <v>1</v>
      </c>
      <c r="AW79" s="43">
        <f>ዕቁብ!AX82/Sheet4!$C79</f>
        <v>1</v>
      </c>
      <c r="AX79" s="43">
        <f>ዕቁብ!AY82/Sheet4!$C79</f>
        <v>0</v>
      </c>
      <c r="AY79" s="43">
        <f>ዕቁብ!AZ82/Sheet4!$C79</f>
        <v>0</v>
      </c>
      <c r="AZ79" s="43">
        <f>ዕቁብ!BA82/Sheet4!$C79</f>
        <v>0</v>
      </c>
      <c r="BA79" s="43">
        <f>ዕቁብ!BB82/Sheet4!$C79</f>
        <v>4</v>
      </c>
      <c r="BB79" s="43">
        <f>ዕቁብ!BC82/Sheet4!$C79</f>
        <v>1</v>
      </c>
      <c r="BC79" s="43">
        <f>ዕቁብ!BD82/Sheet4!$C79</f>
        <v>1</v>
      </c>
      <c r="BD79" s="43">
        <f>ዕቁብ!BE82/Sheet4!$C79</f>
        <v>1</v>
      </c>
      <c r="BE79" s="43">
        <f>ዕቁብ!BF82/Sheet4!$C79</f>
        <v>1</v>
      </c>
      <c r="BF79" s="43">
        <f>ዕቁብ!BG82/Sheet4!$C79</f>
        <v>0</v>
      </c>
      <c r="BG79" s="43">
        <f>ዕቁብ!BH82/Sheet4!$C79</f>
        <v>2</v>
      </c>
      <c r="BH79" s="43">
        <f>ዕቁብ!BI82/Sheet4!$C79</f>
        <v>0</v>
      </c>
      <c r="BI79" s="43">
        <f>ዕቁብ!BJ82/Sheet4!$C79</f>
        <v>2</v>
      </c>
      <c r="BJ79" s="43">
        <f>ዕቁብ!BK82/Sheet4!$C79</f>
        <v>1</v>
      </c>
      <c r="BK79" s="43">
        <f>ዕቁብ!BL82/Sheet4!$C79</f>
        <v>1</v>
      </c>
      <c r="BL79" s="43">
        <f>ዕቁብ!BM82/Sheet4!$C79</f>
        <v>1</v>
      </c>
      <c r="BM79" s="43">
        <f>ዕቁብ!BN82/Sheet4!$C79</f>
        <v>0</v>
      </c>
      <c r="BN79" s="43">
        <f>ዕቁብ!BO82/Sheet4!$C79</f>
        <v>2</v>
      </c>
      <c r="BO79" s="43">
        <f>ዕቁብ!BP82/Sheet4!$C79</f>
        <v>1</v>
      </c>
      <c r="BP79" s="43">
        <f>ዕቁብ!BQ82/Sheet4!$C79</f>
        <v>0</v>
      </c>
      <c r="BQ79" s="43">
        <f>ዕቁብ!BR82/Sheet4!$C79</f>
        <v>2</v>
      </c>
      <c r="BR79" s="43">
        <f>ዕቁብ!BS82/Sheet4!$C79</f>
        <v>1</v>
      </c>
      <c r="BS79" s="43">
        <f>ዕቁብ!BT82/Sheet4!$C79</f>
        <v>1</v>
      </c>
      <c r="BT79" s="43">
        <f>ዕቁብ!BU82/Sheet4!$C79</f>
        <v>1</v>
      </c>
      <c r="BU79" s="43">
        <f>ዕቁብ!BV82/Sheet4!$C79</f>
        <v>1</v>
      </c>
      <c r="BV79" s="43">
        <f>ዕቁብ!BW82/Sheet4!$C79</f>
        <v>0</v>
      </c>
      <c r="BW79" s="43">
        <f>ዕቁብ!BX82/Sheet4!$C79</f>
        <v>2</v>
      </c>
      <c r="BX79" s="43">
        <f>ዕቁብ!BY82/Sheet4!$C79</f>
        <v>1</v>
      </c>
      <c r="BY79" s="43">
        <f>ዕቁብ!BZ82/Sheet4!$C79</f>
        <v>1</v>
      </c>
      <c r="BZ79" s="43">
        <f>ዕቁብ!CA82/Sheet4!$C79</f>
        <v>1</v>
      </c>
      <c r="CA79" s="43">
        <f>ዕቁብ!CB82/Sheet4!$C79</f>
        <v>0</v>
      </c>
      <c r="CB79" s="43">
        <f>ዕቁብ!CC82/Sheet4!$C79</f>
        <v>2</v>
      </c>
      <c r="CC79" s="43">
        <f>ዕቁብ!CD82/Sheet4!$C79</f>
        <v>1</v>
      </c>
      <c r="CD79" s="43">
        <f>ዕቁብ!CE82/Sheet4!$C79</f>
        <v>1</v>
      </c>
      <c r="CE79" s="43">
        <f>ዕቁብ!CF82/Sheet4!$C79</f>
        <v>1</v>
      </c>
      <c r="CF79" s="43">
        <f>ዕቁብ!CG82/Sheet4!$C79</f>
        <v>1</v>
      </c>
      <c r="CG79" s="43">
        <f>ዕቁብ!CH82/Sheet4!$C79</f>
        <v>1</v>
      </c>
      <c r="CH79" s="43">
        <f>ዕቁብ!CI82/Sheet4!$C79</f>
        <v>1</v>
      </c>
      <c r="CI79" s="43">
        <f>ዕቁብ!CJ82/Sheet4!$C79</f>
        <v>1</v>
      </c>
      <c r="CJ79" s="43">
        <f>ዕቁብ!CK82/Sheet4!$C79</f>
        <v>1</v>
      </c>
      <c r="CK79" s="43">
        <f>ዕቁብ!CL82/Sheet4!$C79</f>
        <v>0</v>
      </c>
      <c r="CL79" s="43">
        <f>ዕቁብ!CM82/Sheet4!$C79</f>
        <v>2</v>
      </c>
      <c r="CM79" s="43">
        <f>ዕቁብ!CN82/Sheet4!$C79</f>
        <v>0</v>
      </c>
      <c r="CN79" s="43">
        <f>ዕቁብ!CO82/Sheet4!$C79</f>
        <v>2</v>
      </c>
      <c r="CO79" s="43">
        <f>ዕቁብ!CP82/Sheet4!$C79</f>
        <v>0</v>
      </c>
      <c r="CP79" s="43">
        <f>ዕቁብ!CQ82/Sheet4!$C79</f>
        <v>2</v>
      </c>
      <c r="CQ79" s="43">
        <f>ዕቁብ!CR82/Sheet4!$C79</f>
        <v>0</v>
      </c>
      <c r="CR79" s="43">
        <f>ዕቁብ!CS82/Sheet4!$C79</f>
        <v>0</v>
      </c>
      <c r="CS79" s="43">
        <f>ዕቁብ!CT82/Sheet4!$C79</f>
        <v>3</v>
      </c>
      <c r="CT79" s="43">
        <f>ዕቁብ!CU82/Sheet4!$C79</f>
        <v>1</v>
      </c>
      <c r="CU79" s="43">
        <f>ዕቁብ!CV82/Sheet4!$C79</f>
        <v>0</v>
      </c>
      <c r="CV79" s="43">
        <f>ዕቁብ!CW82/Sheet4!$C79</f>
        <v>2</v>
      </c>
      <c r="CW79" s="43">
        <f>ዕቁብ!CX82/Sheet4!$C79</f>
        <v>0</v>
      </c>
      <c r="CX79" s="43">
        <f>ዕቁብ!CY82/Sheet4!$C79</f>
        <v>2</v>
      </c>
      <c r="CY79" s="43">
        <f>ዕቁብ!CZ82/Sheet4!$C79</f>
        <v>0</v>
      </c>
      <c r="CZ79" s="43">
        <f>ዕቁብ!DA82/Sheet4!$C79</f>
        <v>2</v>
      </c>
      <c r="DA79" s="43">
        <f>ዕቁብ!DB82/Sheet4!$C79</f>
        <v>1</v>
      </c>
      <c r="DB79" s="43">
        <f>ዕቁብ!DC82/Sheet4!$C79</f>
        <v>0</v>
      </c>
      <c r="DC79" s="43">
        <f>ዕቁብ!DD82/Sheet4!$C79</f>
        <v>2</v>
      </c>
      <c r="DD79" s="43">
        <f>ዕቁብ!DE82/Sheet4!$C79</f>
        <v>1</v>
      </c>
      <c r="DE79" s="43">
        <f>ዕቁብ!DF82/Sheet4!$C79</f>
        <v>0</v>
      </c>
      <c r="DF79" s="43">
        <f>ዕቁብ!DG82/Sheet4!$C79</f>
        <v>2</v>
      </c>
      <c r="DG79" s="43">
        <f>ዕቁብ!DH82/Sheet4!$C79</f>
        <v>0</v>
      </c>
      <c r="DH79" s="43">
        <f>ዕቁብ!DI82/Sheet4!$C79</f>
        <v>0</v>
      </c>
      <c r="DI79" s="43">
        <f>ዕቁብ!DJ82/Sheet4!$C79</f>
        <v>0</v>
      </c>
      <c r="DJ79" s="43">
        <f>ዕቁብ!DK82/Sheet4!$C79</f>
        <v>0</v>
      </c>
      <c r="DK79" s="43">
        <f>ዕቁብ!DL82/Sheet4!$C79</f>
        <v>0</v>
      </c>
      <c r="DL79" s="43">
        <f>ዕቁብ!DM82/Sheet4!$C79</f>
        <v>0</v>
      </c>
      <c r="DM79" s="43">
        <f>ዕቁብ!DN82/Sheet4!$C79</f>
        <v>0</v>
      </c>
      <c r="DN79" s="43">
        <f>ዕቁብ!DO82/Sheet4!$C79</f>
        <v>0</v>
      </c>
      <c r="DO79" s="43">
        <f>ዕቁብ!DP82/Sheet4!$C79</f>
        <v>0</v>
      </c>
      <c r="DP79" s="43">
        <f>ዕቁብ!DQ82/Sheet4!$C79</f>
        <v>0</v>
      </c>
      <c r="DQ79" s="43">
        <f>ዕቁብ!DR82/Sheet4!$C79</f>
        <v>0</v>
      </c>
    </row>
    <row r="80" spans="1:121" ht="15.75" customHeight="1" x14ac:dyDescent="0.3">
      <c r="A80" s="40">
        <f>ዕቁብ!A83</f>
        <v>77</v>
      </c>
      <c r="B80" s="40" t="str">
        <f>ዕቁብ!B83</f>
        <v>አስቴር ገ/ፃዲቅ</v>
      </c>
      <c r="C80" s="30">
        <f>ዕቁብ!C83</f>
        <v>21000</v>
      </c>
      <c r="D80" s="43">
        <f>ዕቁብ!E83/Sheet4!$C80</f>
        <v>1</v>
      </c>
      <c r="E80" s="43">
        <f>ዕቁብ!F83/Sheet4!$C80</f>
        <v>1</v>
      </c>
      <c r="F80" s="43">
        <f>ዕቁብ!G83/Sheet4!$C80</f>
        <v>1</v>
      </c>
      <c r="G80" s="43">
        <f>ዕቁብ!H83/Sheet4!$C80</f>
        <v>1</v>
      </c>
      <c r="H80" s="43">
        <f>ዕቁብ!I83/Sheet4!$C80</f>
        <v>1</v>
      </c>
      <c r="I80" s="43">
        <f>ዕቁብ!J83/Sheet4!$C80</f>
        <v>1</v>
      </c>
      <c r="J80" s="43">
        <f>ዕቁብ!K83/Sheet4!$C80</f>
        <v>1</v>
      </c>
      <c r="K80" s="43">
        <f>ዕቁብ!L83/Sheet4!$C80</f>
        <v>1</v>
      </c>
      <c r="L80" s="43">
        <f>ዕቁብ!M83/Sheet4!$C80</f>
        <v>1</v>
      </c>
      <c r="M80" s="43">
        <f>ዕቁብ!N83/Sheet4!$C80</f>
        <v>1</v>
      </c>
      <c r="N80" s="43">
        <f>ዕቁብ!O83/Sheet4!$C80</f>
        <v>1</v>
      </c>
      <c r="O80" s="43">
        <f>ዕቁብ!P83/Sheet4!$C80</f>
        <v>1</v>
      </c>
      <c r="P80" s="43">
        <f>ዕቁብ!Q83/Sheet4!$C80</f>
        <v>1</v>
      </c>
      <c r="Q80" s="43">
        <f>ዕቁብ!R83/Sheet4!$C80</f>
        <v>1</v>
      </c>
      <c r="R80" s="43">
        <f>ዕቁብ!S83/Sheet4!$C80</f>
        <v>1</v>
      </c>
      <c r="S80" s="43">
        <f>ዕቁብ!T83/Sheet4!$C80</f>
        <v>1</v>
      </c>
      <c r="T80" s="43">
        <f>ዕቁብ!U83/Sheet4!$C80</f>
        <v>1</v>
      </c>
      <c r="U80" s="43">
        <f>ዕቁብ!V83/Sheet4!$C80</f>
        <v>1</v>
      </c>
      <c r="V80" s="43">
        <f>ዕቁብ!W83/Sheet4!$C80</f>
        <v>1</v>
      </c>
      <c r="W80" s="43">
        <f>ዕቁብ!X83/Sheet4!$C80</f>
        <v>1</v>
      </c>
      <c r="X80" s="43">
        <f>ዕቁብ!Y83/Sheet4!$C80</f>
        <v>1</v>
      </c>
      <c r="Y80" s="43">
        <f>ዕቁብ!Z83/Sheet4!$C80</f>
        <v>1</v>
      </c>
      <c r="Z80" s="43">
        <f>ዕቁብ!AA83/Sheet4!$C80</f>
        <v>1</v>
      </c>
      <c r="AA80" s="43">
        <f>ዕቁብ!AB83/Sheet4!$C80</f>
        <v>0</v>
      </c>
      <c r="AB80" s="43">
        <f>ዕቁብ!AC83/Sheet4!$C80</f>
        <v>2</v>
      </c>
      <c r="AC80" s="43">
        <f>ዕቁብ!AD83/Sheet4!$C80</f>
        <v>1</v>
      </c>
      <c r="AD80" s="43">
        <f>ዕቁብ!AE83/Sheet4!$C80</f>
        <v>1</v>
      </c>
      <c r="AE80" s="43">
        <f>ዕቁብ!AF83/Sheet4!$C80</f>
        <v>1</v>
      </c>
      <c r="AF80" s="43">
        <f>ዕቁብ!AG83/Sheet4!$C80</f>
        <v>1</v>
      </c>
      <c r="AG80" s="43">
        <f>ዕቁብ!AH83/Sheet4!$C80</f>
        <v>1</v>
      </c>
      <c r="AH80" s="43">
        <f>ዕቁብ!AI83/Sheet4!$C80</f>
        <v>1</v>
      </c>
      <c r="AI80" s="43">
        <f>ዕቁብ!AJ83/Sheet4!$C80</f>
        <v>1</v>
      </c>
      <c r="AJ80" s="43">
        <f>ዕቁብ!AK83/Sheet4!$C80</f>
        <v>1</v>
      </c>
      <c r="AK80" s="43">
        <f>ዕቁብ!AL83/Sheet4!$C80</f>
        <v>1</v>
      </c>
      <c r="AL80" s="43">
        <f>ዕቁብ!AM83/Sheet4!$C80</f>
        <v>1</v>
      </c>
      <c r="AM80" s="43">
        <f>ዕቁብ!AN83/Sheet4!$C80</f>
        <v>1</v>
      </c>
      <c r="AN80" s="43">
        <f>ዕቁብ!AO83/Sheet4!$C80</f>
        <v>1</v>
      </c>
      <c r="AO80" s="43">
        <f>ዕቁብ!AP83/Sheet4!$C80</f>
        <v>1</v>
      </c>
      <c r="AP80" s="43">
        <f>ዕቁብ!AQ83/Sheet4!$C80</f>
        <v>1</v>
      </c>
      <c r="AQ80" s="43">
        <f>ዕቁብ!AR83/Sheet4!$C80</f>
        <v>1</v>
      </c>
      <c r="AR80" s="43">
        <f>ዕቁብ!AS83/Sheet4!$C80</f>
        <v>1</v>
      </c>
      <c r="AS80" s="43">
        <f>ዕቁብ!AT83/Sheet4!$C80</f>
        <v>0</v>
      </c>
      <c r="AT80" s="43">
        <f>ዕቁብ!AU83/Sheet4!$C80</f>
        <v>1</v>
      </c>
      <c r="AU80" s="43">
        <f>ዕቁብ!AV83/Sheet4!$C80</f>
        <v>1</v>
      </c>
      <c r="AV80" s="43">
        <f>ዕቁብ!AW83/Sheet4!$C80</f>
        <v>1</v>
      </c>
      <c r="AW80" s="43">
        <f>ዕቁብ!AX83/Sheet4!$C80</f>
        <v>1</v>
      </c>
      <c r="AX80" s="43">
        <f>ዕቁብ!AY83/Sheet4!$C80</f>
        <v>1</v>
      </c>
      <c r="AY80" s="43">
        <f>ዕቁብ!AZ83/Sheet4!$C80</f>
        <v>1</v>
      </c>
      <c r="AZ80" s="43">
        <f>ዕቁብ!BA83/Sheet4!$C80</f>
        <v>1</v>
      </c>
      <c r="BA80" s="43">
        <f>ዕቁብ!BB83/Sheet4!$C80</f>
        <v>1</v>
      </c>
      <c r="BB80" s="43">
        <f>ዕቁብ!BC83/Sheet4!$C80</f>
        <v>1</v>
      </c>
      <c r="BC80" s="43">
        <f>ዕቁብ!BD83/Sheet4!$C80</f>
        <v>1</v>
      </c>
      <c r="BD80" s="43">
        <f>ዕቁብ!BE83/Sheet4!$C80</f>
        <v>1</v>
      </c>
      <c r="BE80" s="43">
        <f>ዕቁብ!BF83/Sheet4!$C80</f>
        <v>1</v>
      </c>
      <c r="BF80" s="43">
        <f>ዕቁብ!BG83/Sheet4!$C80</f>
        <v>0</v>
      </c>
      <c r="BG80" s="43">
        <f>ዕቁብ!BH83/Sheet4!$C80</f>
        <v>2</v>
      </c>
      <c r="BH80" s="43">
        <f>ዕቁብ!BI83/Sheet4!$C80</f>
        <v>1</v>
      </c>
      <c r="BI80" s="43">
        <f>ዕቁብ!BJ83/Sheet4!$C80</f>
        <v>1</v>
      </c>
      <c r="BJ80" s="43">
        <f>ዕቁብ!BK83/Sheet4!$C80</f>
        <v>1</v>
      </c>
      <c r="BK80" s="43">
        <f>ዕቁብ!BL83/Sheet4!$C80</f>
        <v>1</v>
      </c>
      <c r="BL80" s="43">
        <f>ዕቁብ!BM83/Sheet4!$C80</f>
        <v>1</v>
      </c>
      <c r="BM80" s="43">
        <f>ዕቁብ!BN83/Sheet4!$C80</f>
        <v>0</v>
      </c>
      <c r="BN80" s="43">
        <f>ዕቁብ!BO83/Sheet4!$C80</f>
        <v>2</v>
      </c>
      <c r="BO80" s="43">
        <f>ዕቁብ!BP83/Sheet4!$C80</f>
        <v>1</v>
      </c>
      <c r="BP80" s="43">
        <f>ዕቁብ!BQ83/Sheet4!$C80</f>
        <v>1</v>
      </c>
      <c r="BQ80" s="43">
        <f>ዕቁብ!BR83/Sheet4!$C80</f>
        <v>1</v>
      </c>
      <c r="BR80" s="43">
        <f>ዕቁብ!BS83/Sheet4!$C80</f>
        <v>1</v>
      </c>
      <c r="BS80" s="43">
        <f>ዕቁብ!BT83/Sheet4!$C80</f>
        <v>2</v>
      </c>
      <c r="BT80" s="43">
        <f>ዕቁብ!BU83/Sheet4!$C80</f>
        <v>1</v>
      </c>
      <c r="BU80" s="43">
        <f>ዕቁብ!BV83/Sheet4!$C80</f>
        <v>0</v>
      </c>
      <c r="BV80" s="43">
        <f>ዕቁብ!BW83/Sheet4!$C80</f>
        <v>2</v>
      </c>
      <c r="BW80" s="43">
        <f>ዕቁብ!BX83/Sheet4!$C80</f>
        <v>0</v>
      </c>
      <c r="BX80" s="43">
        <f>ዕቁብ!BY83/Sheet4!$C80</f>
        <v>0</v>
      </c>
      <c r="BY80" s="43">
        <f>ዕቁብ!BZ83/Sheet4!$C80</f>
        <v>3</v>
      </c>
      <c r="BZ80" s="43">
        <f>ዕቁብ!CA83/Sheet4!$C80</f>
        <v>1</v>
      </c>
      <c r="CA80" s="43">
        <f>ዕቁብ!CB83/Sheet4!$C80</f>
        <v>1</v>
      </c>
      <c r="CB80" s="43">
        <f>ዕቁብ!CC83/Sheet4!$C80</f>
        <v>1</v>
      </c>
      <c r="CC80" s="43">
        <f>ዕቁብ!CD83/Sheet4!$C80</f>
        <v>1</v>
      </c>
      <c r="CD80" s="43">
        <f>ዕቁብ!CE83/Sheet4!$C80</f>
        <v>0</v>
      </c>
      <c r="CE80" s="43">
        <f>ዕቁብ!CF83/Sheet4!$C80</f>
        <v>1</v>
      </c>
      <c r="CF80" s="43">
        <f>ዕቁብ!CG83/Sheet4!$C80</f>
        <v>2</v>
      </c>
      <c r="CG80" s="43">
        <f>ዕቁብ!CH83/Sheet4!$C80</f>
        <v>1</v>
      </c>
      <c r="CH80" s="43">
        <f>ዕቁብ!CI83/Sheet4!$C80</f>
        <v>1</v>
      </c>
      <c r="CI80" s="43">
        <f>ዕቁብ!CJ83/Sheet4!$C80</f>
        <v>0</v>
      </c>
      <c r="CJ80" s="43">
        <f>ዕቁብ!CK83/Sheet4!$C80</f>
        <v>0</v>
      </c>
      <c r="CK80" s="43">
        <f>ዕቁብ!CL83/Sheet4!$C80</f>
        <v>0</v>
      </c>
      <c r="CL80" s="43">
        <f>ዕቁብ!CM83/Sheet4!$C80</f>
        <v>4</v>
      </c>
      <c r="CM80" s="43">
        <f>ዕቁብ!CN83/Sheet4!$C80</f>
        <v>1</v>
      </c>
      <c r="CN80" s="43">
        <f>ዕቁብ!CO83/Sheet4!$C80</f>
        <v>0</v>
      </c>
      <c r="CO80" s="43">
        <f>ዕቁብ!CP83/Sheet4!$C80</f>
        <v>2</v>
      </c>
      <c r="CP80" s="43">
        <f>ዕቁብ!CQ83/Sheet4!$C80</f>
        <v>0</v>
      </c>
      <c r="CQ80" s="43">
        <f>ዕቁብ!CR83/Sheet4!$C80</f>
        <v>2</v>
      </c>
      <c r="CR80" s="43">
        <f>ዕቁብ!CS83/Sheet4!$C80</f>
        <v>1</v>
      </c>
      <c r="CS80" s="43">
        <f>ዕቁብ!CT83/Sheet4!$C80</f>
        <v>1</v>
      </c>
      <c r="CT80" s="43">
        <f>ዕቁብ!CU83/Sheet4!$C80</f>
        <v>1</v>
      </c>
      <c r="CU80" s="43">
        <f>ዕቁብ!CV83/Sheet4!$C80</f>
        <v>1</v>
      </c>
      <c r="CV80" s="43">
        <f>ዕቁብ!CW83/Sheet4!$C80</f>
        <v>1</v>
      </c>
      <c r="CW80" s="43">
        <f>ዕቁብ!CX83/Sheet4!$C80</f>
        <v>0</v>
      </c>
      <c r="CX80" s="43">
        <f>ዕቁብ!CY83/Sheet4!$C80</f>
        <v>2</v>
      </c>
      <c r="CY80" s="43">
        <f>ዕቁብ!CZ83/Sheet4!$C80</f>
        <v>1</v>
      </c>
      <c r="CZ80" s="43">
        <f>ዕቁብ!DA83/Sheet4!$C80</f>
        <v>1</v>
      </c>
      <c r="DA80" s="43">
        <f>ዕቁብ!DB83/Sheet4!$C80</f>
        <v>0</v>
      </c>
      <c r="DB80" s="43">
        <f>ዕቁብ!DC83/Sheet4!$C80</f>
        <v>2</v>
      </c>
      <c r="DC80" s="43">
        <f>ዕቁብ!DD83/Sheet4!$C80</f>
        <v>1</v>
      </c>
      <c r="DD80" s="43">
        <f>ዕቁብ!DE83/Sheet4!$C80</f>
        <v>1</v>
      </c>
      <c r="DE80" s="43">
        <f>ዕቁብ!DF83/Sheet4!$C80</f>
        <v>1</v>
      </c>
      <c r="DF80" s="43">
        <f>ዕቁብ!DG83/Sheet4!$C80</f>
        <v>0</v>
      </c>
      <c r="DG80" s="43">
        <f>ዕቁብ!DH83/Sheet4!$C80</f>
        <v>2</v>
      </c>
      <c r="DH80" s="43">
        <f>ዕቁብ!DI83/Sheet4!$C80</f>
        <v>0</v>
      </c>
      <c r="DI80" s="43">
        <f>ዕቁብ!DJ83/Sheet4!$C80</f>
        <v>0</v>
      </c>
      <c r="DJ80" s="43">
        <f>ዕቁብ!DK83/Sheet4!$C80</f>
        <v>0</v>
      </c>
      <c r="DK80" s="43">
        <f>ዕቁብ!DL83/Sheet4!$C80</f>
        <v>0</v>
      </c>
      <c r="DL80" s="43">
        <f>ዕቁብ!DM83/Sheet4!$C80</f>
        <v>0</v>
      </c>
      <c r="DM80" s="43">
        <f>ዕቁብ!DN83/Sheet4!$C80</f>
        <v>0</v>
      </c>
      <c r="DN80" s="43">
        <f>ዕቁብ!DO83/Sheet4!$C80</f>
        <v>0</v>
      </c>
      <c r="DO80" s="43">
        <f>ዕቁብ!DP83/Sheet4!$C80</f>
        <v>0</v>
      </c>
      <c r="DP80" s="43">
        <f>ዕቁብ!DQ83/Sheet4!$C80</f>
        <v>0</v>
      </c>
      <c r="DQ80" s="43">
        <f>ዕቁብ!DR83/Sheet4!$C80</f>
        <v>0</v>
      </c>
    </row>
    <row r="81" spans="1:121" ht="15.75" customHeight="1" x14ac:dyDescent="0.3">
      <c r="A81" s="40">
        <f>ዕቁብ!A84</f>
        <v>78</v>
      </c>
      <c r="B81" s="40" t="str">
        <f>ዕቁብ!B84</f>
        <v>መለሰ ከለቻ</v>
      </c>
      <c r="C81" s="30">
        <f>ዕቁብ!C84</f>
        <v>21000</v>
      </c>
      <c r="D81" s="43">
        <f>ዕቁብ!E84/Sheet4!$C81</f>
        <v>1</v>
      </c>
      <c r="E81" s="43">
        <f>ዕቁብ!F84/Sheet4!$C81</f>
        <v>1</v>
      </c>
      <c r="F81" s="43">
        <f>ዕቁብ!G84/Sheet4!$C81</f>
        <v>1</v>
      </c>
      <c r="G81" s="43">
        <f>ዕቁብ!H84/Sheet4!$C81</f>
        <v>1</v>
      </c>
      <c r="H81" s="43">
        <f>ዕቁብ!I84/Sheet4!$C81</f>
        <v>1</v>
      </c>
      <c r="I81" s="43">
        <f>ዕቁብ!J84/Sheet4!$C81</f>
        <v>1</v>
      </c>
      <c r="J81" s="43">
        <f>ዕቁብ!K84/Sheet4!$C81</f>
        <v>1</v>
      </c>
      <c r="K81" s="43">
        <f>ዕቁብ!L84/Sheet4!$C81</f>
        <v>1</v>
      </c>
      <c r="L81" s="43">
        <f>ዕቁብ!M84/Sheet4!$C81</f>
        <v>1</v>
      </c>
      <c r="M81" s="43">
        <f>ዕቁብ!N84/Sheet4!$C81</f>
        <v>1</v>
      </c>
      <c r="N81" s="43">
        <f>ዕቁብ!O84/Sheet4!$C81</f>
        <v>1</v>
      </c>
      <c r="O81" s="43">
        <f>ዕቁብ!P84/Sheet4!$C81</f>
        <v>1</v>
      </c>
      <c r="P81" s="43">
        <f>ዕቁብ!Q84/Sheet4!$C81</f>
        <v>1</v>
      </c>
      <c r="Q81" s="43">
        <f>ዕቁብ!R84/Sheet4!$C81</f>
        <v>1</v>
      </c>
      <c r="R81" s="43">
        <f>ዕቁብ!S84/Sheet4!$C81</f>
        <v>1</v>
      </c>
      <c r="S81" s="43">
        <f>ዕቁብ!T84/Sheet4!$C81</f>
        <v>1</v>
      </c>
      <c r="T81" s="43">
        <f>ዕቁብ!U84/Sheet4!$C81</f>
        <v>1</v>
      </c>
      <c r="U81" s="43">
        <f>ዕቁብ!V84/Sheet4!$C81</f>
        <v>1</v>
      </c>
      <c r="V81" s="43">
        <f>ዕቁብ!W84/Sheet4!$C81</f>
        <v>1</v>
      </c>
      <c r="W81" s="43">
        <f>ዕቁብ!X84/Sheet4!$C81</f>
        <v>1</v>
      </c>
      <c r="X81" s="43">
        <f>ዕቁብ!Y84/Sheet4!$C81</f>
        <v>1</v>
      </c>
      <c r="Y81" s="43">
        <f>ዕቁብ!Z84/Sheet4!$C81</f>
        <v>1</v>
      </c>
      <c r="Z81" s="43">
        <f>ዕቁብ!AA84/Sheet4!$C81</f>
        <v>1</v>
      </c>
      <c r="AA81" s="43">
        <f>ዕቁብ!AB84/Sheet4!$C81</f>
        <v>1</v>
      </c>
      <c r="AB81" s="43">
        <f>ዕቁብ!AC84/Sheet4!$C81</f>
        <v>1</v>
      </c>
      <c r="AC81" s="43">
        <f>ዕቁብ!AD84/Sheet4!$C81</f>
        <v>1</v>
      </c>
      <c r="AD81" s="43">
        <f>ዕቁብ!AE84/Sheet4!$C81</f>
        <v>1</v>
      </c>
      <c r="AE81" s="43">
        <f>ዕቁብ!AF84/Sheet4!$C81</f>
        <v>1</v>
      </c>
      <c r="AF81" s="43">
        <f>ዕቁብ!AG84/Sheet4!$C81</f>
        <v>1</v>
      </c>
      <c r="AG81" s="43">
        <f>ዕቁብ!AH84/Sheet4!$C81</f>
        <v>1</v>
      </c>
      <c r="AH81" s="43">
        <f>ዕቁብ!AI84/Sheet4!$C81</f>
        <v>1</v>
      </c>
      <c r="AI81" s="43">
        <f>ዕቁብ!AJ84/Sheet4!$C81</f>
        <v>1</v>
      </c>
      <c r="AJ81" s="43">
        <f>ዕቁብ!AK84/Sheet4!$C81</f>
        <v>1</v>
      </c>
      <c r="AK81" s="43">
        <f>ዕቁብ!AL84/Sheet4!$C81</f>
        <v>1</v>
      </c>
      <c r="AL81" s="43">
        <f>ዕቁብ!AM84/Sheet4!$C81</f>
        <v>1</v>
      </c>
      <c r="AM81" s="43">
        <f>ዕቁብ!AN84/Sheet4!$C81</f>
        <v>1</v>
      </c>
      <c r="AN81" s="43">
        <f>ዕቁብ!AO84/Sheet4!$C81</f>
        <v>1</v>
      </c>
      <c r="AO81" s="43">
        <f>ዕቁብ!AP84/Sheet4!$C81</f>
        <v>1</v>
      </c>
      <c r="AP81" s="43">
        <f>ዕቁብ!AQ84/Sheet4!$C81</f>
        <v>1</v>
      </c>
      <c r="AQ81" s="43">
        <f>ዕቁብ!AR84/Sheet4!$C81</f>
        <v>0</v>
      </c>
      <c r="AR81" s="43">
        <f>ዕቁብ!AS84/Sheet4!$C81</f>
        <v>2</v>
      </c>
      <c r="AS81" s="43">
        <f>ዕቁብ!AT84/Sheet4!$C81</f>
        <v>1</v>
      </c>
      <c r="AT81" s="43">
        <f>ዕቁብ!AU84/Sheet4!$C81</f>
        <v>1</v>
      </c>
      <c r="AU81" s="43">
        <f>ዕቁብ!AV84/Sheet4!$C81</f>
        <v>0</v>
      </c>
      <c r="AV81" s="43">
        <f>ዕቁብ!AW84/Sheet4!$C81</f>
        <v>2</v>
      </c>
      <c r="AW81" s="43">
        <f>ዕቁብ!AX84/Sheet4!$C81</f>
        <v>1</v>
      </c>
      <c r="AX81" s="43">
        <f>ዕቁብ!AY84/Sheet4!$C81</f>
        <v>1</v>
      </c>
      <c r="AY81" s="43">
        <f>ዕቁብ!AZ84/Sheet4!$C81</f>
        <v>1</v>
      </c>
      <c r="AZ81" s="43">
        <f>ዕቁብ!BA84/Sheet4!$C81</f>
        <v>0</v>
      </c>
      <c r="BA81" s="43">
        <f>ዕቁብ!BB84/Sheet4!$C81</f>
        <v>2</v>
      </c>
      <c r="BB81" s="43">
        <f>ዕቁብ!BC84/Sheet4!$C81</f>
        <v>0</v>
      </c>
      <c r="BC81" s="43">
        <f>ዕቁብ!BD84/Sheet4!$C81</f>
        <v>2</v>
      </c>
      <c r="BD81" s="43">
        <f>ዕቁብ!BE84/Sheet4!$C81</f>
        <v>1</v>
      </c>
      <c r="BE81" s="43">
        <f>ዕቁብ!BF84/Sheet4!$C81</f>
        <v>0</v>
      </c>
      <c r="BF81" s="43">
        <f>ዕቁብ!BG84/Sheet4!$C81</f>
        <v>2</v>
      </c>
      <c r="BG81" s="43">
        <f>ዕቁብ!BH84/Sheet4!$C81</f>
        <v>0</v>
      </c>
      <c r="BH81" s="43">
        <f>ዕቁብ!BI84/Sheet4!$C81</f>
        <v>2</v>
      </c>
      <c r="BI81" s="43">
        <f>ዕቁብ!BJ84/Sheet4!$C81</f>
        <v>0</v>
      </c>
      <c r="BJ81" s="43">
        <f>ዕቁብ!BK84/Sheet4!$C81</f>
        <v>1</v>
      </c>
      <c r="BK81" s="43">
        <f>ዕቁብ!BL84/Sheet4!$C81</f>
        <v>2</v>
      </c>
      <c r="BL81" s="43">
        <f>ዕቁብ!BM84/Sheet4!$C81</f>
        <v>1</v>
      </c>
      <c r="BM81" s="43">
        <f>ዕቁብ!BN84/Sheet4!$C81</f>
        <v>0</v>
      </c>
      <c r="BN81" s="43">
        <f>ዕቁብ!BO84/Sheet4!$C81</f>
        <v>2</v>
      </c>
      <c r="BO81" s="43">
        <f>ዕቁብ!BP84/Sheet4!$C81</f>
        <v>1</v>
      </c>
      <c r="BP81" s="43">
        <f>ዕቁብ!BQ84/Sheet4!$C81</f>
        <v>1</v>
      </c>
      <c r="BQ81" s="43">
        <f>ዕቁብ!BR84/Sheet4!$C81</f>
        <v>1</v>
      </c>
      <c r="BR81" s="43">
        <f>ዕቁብ!BS84/Sheet4!$C81</f>
        <v>0</v>
      </c>
      <c r="BS81" s="43">
        <f>ዕቁብ!BT84/Sheet4!$C81</f>
        <v>0</v>
      </c>
      <c r="BT81" s="43">
        <f>ዕቁብ!BU84/Sheet4!$C81</f>
        <v>0</v>
      </c>
      <c r="BU81" s="43">
        <f>ዕቁብ!BV84/Sheet4!$C81</f>
        <v>2</v>
      </c>
      <c r="BV81" s="43">
        <f>ዕቁብ!BW84/Sheet4!$C81</f>
        <v>2</v>
      </c>
      <c r="BW81" s="43">
        <f>ዕቁብ!BX84/Sheet4!$C81</f>
        <v>2</v>
      </c>
      <c r="BX81" s="43">
        <f>ዕቁብ!BY84/Sheet4!$C81</f>
        <v>0</v>
      </c>
      <c r="BY81" s="43">
        <f>ዕቁብ!BZ84/Sheet4!$C81</f>
        <v>2</v>
      </c>
      <c r="BZ81" s="43">
        <f>ዕቁብ!CA84/Sheet4!$C81</f>
        <v>1</v>
      </c>
      <c r="CA81" s="43">
        <f>ዕቁብ!CB84/Sheet4!$C81</f>
        <v>1</v>
      </c>
      <c r="CB81" s="43">
        <f>ዕቁብ!CC84/Sheet4!$C81</f>
        <v>1</v>
      </c>
      <c r="CC81" s="43">
        <f>ዕቁብ!CD84/Sheet4!$C81</f>
        <v>1</v>
      </c>
      <c r="CD81" s="43">
        <f>ዕቁብ!CE84/Sheet4!$C81</f>
        <v>0</v>
      </c>
      <c r="CE81" s="43">
        <f>ዕቁብ!CF84/Sheet4!$C81</f>
        <v>2</v>
      </c>
      <c r="CF81" s="43">
        <f>ዕቁብ!CG84/Sheet4!$C81</f>
        <v>0</v>
      </c>
      <c r="CG81" s="43">
        <f>ዕቁብ!CH84/Sheet4!$C81</f>
        <v>2</v>
      </c>
      <c r="CH81" s="43">
        <f>ዕቁብ!CI84/Sheet4!$C81</f>
        <v>0</v>
      </c>
      <c r="CI81" s="43">
        <f>ዕቁብ!CJ84/Sheet4!$C81</f>
        <v>2</v>
      </c>
      <c r="CJ81" s="43">
        <f>ዕቁብ!CK84/Sheet4!$C81</f>
        <v>0</v>
      </c>
      <c r="CK81" s="43">
        <f>ዕቁብ!CL84/Sheet4!$C81</f>
        <v>2</v>
      </c>
      <c r="CL81" s="43">
        <f>ዕቁብ!CM84/Sheet4!$C81</f>
        <v>1</v>
      </c>
      <c r="CM81" s="43">
        <f>ዕቁብ!CN84/Sheet4!$C81</f>
        <v>1</v>
      </c>
      <c r="CN81" s="43">
        <f>ዕቁብ!CO84/Sheet4!$C81</f>
        <v>1</v>
      </c>
      <c r="CO81" s="43">
        <f>ዕቁብ!CP84/Sheet4!$C81</f>
        <v>0</v>
      </c>
      <c r="CP81" s="43">
        <f>ዕቁብ!CQ84/Sheet4!$C81</f>
        <v>2</v>
      </c>
      <c r="CQ81" s="43">
        <f>ዕቁብ!CR84/Sheet4!$C81</f>
        <v>0</v>
      </c>
      <c r="CR81" s="43">
        <f>ዕቁብ!CS84/Sheet4!$C81</f>
        <v>2</v>
      </c>
      <c r="CS81" s="43">
        <f>ዕቁብ!CT84/Sheet4!$C81</f>
        <v>0</v>
      </c>
      <c r="CT81" s="43">
        <f>ዕቁብ!CU84/Sheet4!$C81</f>
        <v>2</v>
      </c>
      <c r="CU81" s="43">
        <f>ዕቁብ!CV84/Sheet4!$C81</f>
        <v>1</v>
      </c>
      <c r="CV81" s="43">
        <f>ዕቁብ!CW84/Sheet4!$C81</f>
        <v>1</v>
      </c>
      <c r="CW81" s="43">
        <f>ዕቁብ!CX84/Sheet4!$C81</f>
        <v>0</v>
      </c>
      <c r="CX81" s="43">
        <f>ዕቁብ!CY84/Sheet4!$C81</f>
        <v>1</v>
      </c>
      <c r="CY81" s="43">
        <f>ዕቁብ!CZ84/Sheet4!$C81</f>
        <v>1</v>
      </c>
      <c r="CZ81" s="43">
        <f>ዕቁብ!DA84/Sheet4!$C81</f>
        <v>1</v>
      </c>
      <c r="DA81" s="43">
        <f>ዕቁብ!DB84/Sheet4!$C81</f>
        <v>1</v>
      </c>
      <c r="DB81" s="43">
        <f>ዕቁብ!DC84/Sheet4!$C81</f>
        <v>1</v>
      </c>
      <c r="DC81" s="43">
        <f>ዕቁብ!DD84/Sheet4!$C81</f>
        <v>1</v>
      </c>
      <c r="DD81" s="43">
        <f>ዕቁብ!DE84/Sheet4!$C81</f>
        <v>1</v>
      </c>
      <c r="DE81" s="43">
        <f>ዕቁብ!DF84/Sheet4!$C81</f>
        <v>1</v>
      </c>
      <c r="DF81" s="43">
        <f>ዕቁብ!DG84/Sheet4!$C81</f>
        <v>1</v>
      </c>
      <c r="DG81" s="43">
        <f>ዕቁብ!DH84/Sheet4!$C81</f>
        <v>1</v>
      </c>
      <c r="DH81" s="43">
        <f>ዕቁብ!DI84/Sheet4!$C81</f>
        <v>0</v>
      </c>
      <c r="DI81" s="43">
        <f>ዕቁብ!DJ84/Sheet4!$C81</f>
        <v>0</v>
      </c>
      <c r="DJ81" s="43">
        <f>ዕቁብ!DK84/Sheet4!$C81</f>
        <v>0</v>
      </c>
      <c r="DK81" s="43">
        <f>ዕቁብ!DL84/Sheet4!$C81</f>
        <v>0</v>
      </c>
      <c r="DL81" s="43">
        <f>ዕቁብ!DM84/Sheet4!$C81</f>
        <v>0</v>
      </c>
      <c r="DM81" s="43">
        <f>ዕቁብ!DN84/Sheet4!$C81</f>
        <v>0</v>
      </c>
      <c r="DN81" s="43">
        <f>ዕቁብ!DO84/Sheet4!$C81</f>
        <v>0</v>
      </c>
      <c r="DO81" s="43">
        <f>ዕቁብ!DP84/Sheet4!$C81</f>
        <v>0</v>
      </c>
      <c r="DP81" s="43">
        <f>ዕቁብ!DQ84/Sheet4!$C81</f>
        <v>0</v>
      </c>
      <c r="DQ81" s="43">
        <f>ዕቁብ!DR84/Sheet4!$C81</f>
        <v>0</v>
      </c>
    </row>
    <row r="82" spans="1:121" ht="15.75" customHeight="1" x14ac:dyDescent="0.3">
      <c r="A82" s="40">
        <f>ዕቁብ!A85</f>
        <v>79</v>
      </c>
      <c r="B82" s="40" t="str">
        <f>ዕቁብ!B85</f>
        <v>ሻምበል ሚልክያስ</v>
      </c>
      <c r="C82" s="30">
        <f>ዕቁብ!C85</f>
        <v>21000</v>
      </c>
      <c r="D82" s="43">
        <f>ዕቁብ!E85/Sheet4!$C82</f>
        <v>1</v>
      </c>
      <c r="E82" s="43">
        <f>ዕቁብ!F85/Sheet4!$C82</f>
        <v>1</v>
      </c>
      <c r="F82" s="43">
        <f>ዕቁብ!G85/Sheet4!$C82</f>
        <v>1</v>
      </c>
      <c r="G82" s="43">
        <f>ዕቁብ!H85/Sheet4!$C82</f>
        <v>1</v>
      </c>
      <c r="H82" s="43">
        <f>ዕቁብ!I85/Sheet4!$C82</f>
        <v>1</v>
      </c>
      <c r="I82" s="43">
        <f>ዕቁብ!J85/Sheet4!$C82</f>
        <v>1</v>
      </c>
      <c r="J82" s="43">
        <f>ዕቁብ!K85/Sheet4!$C82</f>
        <v>1</v>
      </c>
      <c r="K82" s="43">
        <f>ዕቁብ!L85/Sheet4!$C82</f>
        <v>1</v>
      </c>
      <c r="L82" s="43">
        <f>ዕቁብ!M85/Sheet4!$C82</f>
        <v>1</v>
      </c>
      <c r="M82" s="43">
        <f>ዕቁብ!N85/Sheet4!$C82</f>
        <v>1</v>
      </c>
      <c r="N82" s="43">
        <f>ዕቁብ!O85/Sheet4!$C82</f>
        <v>1</v>
      </c>
      <c r="O82" s="43">
        <f>ዕቁብ!P85/Sheet4!$C82</f>
        <v>1</v>
      </c>
      <c r="P82" s="43">
        <f>ዕቁብ!Q85/Sheet4!$C82</f>
        <v>1</v>
      </c>
      <c r="Q82" s="43">
        <f>ዕቁብ!R85/Sheet4!$C82</f>
        <v>1</v>
      </c>
      <c r="R82" s="43">
        <f>ዕቁብ!S85/Sheet4!$C82</f>
        <v>1</v>
      </c>
      <c r="S82" s="43">
        <f>ዕቁብ!T85/Sheet4!$C82</f>
        <v>1</v>
      </c>
      <c r="T82" s="43">
        <f>ዕቁብ!U85/Sheet4!$C82</f>
        <v>1</v>
      </c>
      <c r="U82" s="43">
        <f>ዕቁብ!V85/Sheet4!$C82</f>
        <v>1</v>
      </c>
      <c r="V82" s="43">
        <f>ዕቁብ!W85/Sheet4!$C82</f>
        <v>1</v>
      </c>
      <c r="W82" s="43">
        <f>ዕቁብ!X85/Sheet4!$C82</f>
        <v>1</v>
      </c>
      <c r="X82" s="43">
        <f>ዕቁብ!Y85/Sheet4!$C82</f>
        <v>1</v>
      </c>
      <c r="Y82" s="43">
        <f>ዕቁብ!Z85/Sheet4!$C82</f>
        <v>1</v>
      </c>
      <c r="Z82" s="43">
        <f>ዕቁብ!AA85/Sheet4!$C82</f>
        <v>1</v>
      </c>
      <c r="AA82" s="43">
        <f>ዕቁብ!AB85/Sheet4!$C82</f>
        <v>0</v>
      </c>
      <c r="AB82" s="43">
        <f>ዕቁብ!AC85/Sheet4!$C82</f>
        <v>2</v>
      </c>
      <c r="AC82" s="43">
        <f>ዕቁብ!AD85/Sheet4!$C82</f>
        <v>1</v>
      </c>
      <c r="AD82" s="43">
        <f>ዕቁብ!AE85/Sheet4!$C82</f>
        <v>1</v>
      </c>
      <c r="AE82" s="43">
        <f>ዕቁብ!AF85/Sheet4!$C82</f>
        <v>1</v>
      </c>
      <c r="AF82" s="43">
        <f>ዕቁብ!AG85/Sheet4!$C82</f>
        <v>1</v>
      </c>
      <c r="AG82" s="43">
        <f>ዕቁብ!AH85/Sheet4!$C82</f>
        <v>0</v>
      </c>
      <c r="AH82" s="43">
        <f>ዕቁብ!AI85/Sheet4!$C82</f>
        <v>2</v>
      </c>
      <c r="AI82" s="43">
        <f>ዕቁብ!AJ85/Sheet4!$C82</f>
        <v>1</v>
      </c>
      <c r="AJ82" s="43">
        <f>ዕቁብ!AK85/Sheet4!$C82</f>
        <v>1</v>
      </c>
      <c r="AK82" s="43">
        <f>ዕቁብ!AL85/Sheet4!$C82</f>
        <v>0</v>
      </c>
      <c r="AL82" s="43">
        <f>ዕቁብ!AM85/Sheet4!$C82</f>
        <v>2</v>
      </c>
      <c r="AM82" s="43">
        <f>ዕቁብ!AN85/Sheet4!$C82</f>
        <v>1</v>
      </c>
      <c r="AN82" s="43">
        <f>ዕቁብ!AO85/Sheet4!$C82</f>
        <v>1</v>
      </c>
      <c r="AO82" s="43">
        <f>ዕቁብ!AP85/Sheet4!$C82</f>
        <v>1</v>
      </c>
      <c r="AP82" s="43">
        <f>ዕቁብ!AQ85/Sheet4!$C82</f>
        <v>1</v>
      </c>
      <c r="AQ82" s="43">
        <f>ዕቁብ!AR85/Sheet4!$C82</f>
        <v>1</v>
      </c>
      <c r="AR82" s="43">
        <f>ዕቁብ!AS85/Sheet4!$C82</f>
        <v>0</v>
      </c>
      <c r="AS82" s="43">
        <f>ዕቁብ!AT85/Sheet4!$C82</f>
        <v>2</v>
      </c>
      <c r="AT82" s="43">
        <f>ዕቁብ!AU85/Sheet4!$C82</f>
        <v>1</v>
      </c>
      <c r="AU82" s="43">
        <f>ዕቁብ!AV85/Sheet4!$C82</f>
        <v>0</v>
      </c>
      <c r="AV82" s="43">
        <f>ዕቁብ!AW85/Sheet4!$C82</f>
        <v>2</v>
      </c>
      <c r="AW82" s="43">
        <f>ዕቁብ!AX85/Sheet4!$C82</f>
        <v>1</v>
      </c>
      <c r="AX82" s="43">
        <f>ዕቁብ!AY85/Sheet4!$C82</f>
        <v>1</v>
      </c>
      <c r="AY82" s="43">
        <f>ዕቁብ!AZ85/Sheet4!$C82</f>
        <v>1</v>
      </c>
      <c r="AZ82" s="43">
        <f>ዕቁብ!BA85/Sheet4!$C82</f>
        <v>0</v>
      </c>
      <c r="BA82" s="43">
        <f>ዕቁብ!BB85/Sheet4!$C82</f>
        <v>2</v>
      </c>
      <c r="BB82" s="43">
        <f>ዕቁብ!BC85/Sheet4!$C82</f>
        <v>0</v>
      </c>
      <c r="BC82" s="43">
        <f>ዕቁብ!BD85/Sheet4!$C82</f>
        <v>2</v>
      </c>
      <c r="BD82" s="43">
        <f>ዕቁብ!BE85/Sheet4!$C82</f>
        <v>1</v>
      </c>
      <c r="BE82" s="43">
        <f>ዕቁብ!BF85/Sheet4!$C82</f>
        <v>0</v>
      </c>
      <c r="BF82" s="43">
        <f>ዕቁብ!BG85/Sheet4!$C82</f>
        <v>2</v>
      </c>
      <c r="BG82" s="43">
        <f>ዕቁብ!BH85/Sheet4!$C82</f>
        <v>0</v>
      </c>
      <c r="BH82" s="43">
        <f>ዕቁብ!BI85/Sheet4!$C82</f>
        <v>2</v>
      </c>
      <c r="BI82" s="43">
        <f>ዕቁብ!BJ85/Sheet4!$C82</f>
        <v>1</v>
      </c>
      <c r="BJ82" s="43">
        <f>ዕቁብ!BK85/Sheet4!$C82</f>
        <v>0</v>
      </c>
      <c r="BK82" s="43">
        <f>ዕቁብ!BL85/Sheet4!$C82</f>
        <v>1</v>
      </c>
      <c r="BL82" s="43">
        <f>ዕቁብ!BM85/Sheet4!$C82</f>
        <v>2</v>
      </c>
      <c r="BM82" s="43">
        <f>ዕቁብ!BN85/Sheet4!$C82</f>
        <v>1</v>
      </c>
      <c r="BN82" s="43">
        <f>ዕቁብ!BO85/Sheet4!$C82</f>
        <v>1</v>
      </c>
      <c r="BO82" s="43">
        <f>ዕቁብ!BP85/Sheet4!$C82</f>
        <v>1</v>
      </c>
      <c r="BP82" s="43">
        <f>ዕቁብ!BQ85/Sheet4!$C82</f>
        <v>1</v>
      </c>
      <c r="BQ82" s="43">
        <f>ዕቁብ!BR85/Sheet4!$C82</f>
        <v>1</v>
      </c>
      <c r="BR82" s="43">
        <f>ዕቁብ!BS85/Sheet4!$C82</f>
        <v>1</v>
      </c>
      <c r="BS82" s="43">
        <f>ዕቁብ!BT85/Sheet4!$C82</f>
        <v>1</v>
      </c>
      <c r="BT82" s="43">
        <f>ዕቁብ!BU85/Sheet4!$C82</f>
        <v>1</v>
      </c>
      <c r="BU82" s="43">
        <f>ዕቁብ!BV85/Sheet4!$C82</f>
        <v>1</v>
      </c>
      <c r="BV82" s="43">
        <f>ዕቁብ!BW85/Sheet4!$C82</f>
        <v>1</v>
      </c>
      <c r="BW82" s="43">
        <f>ዕቁብ!BX85/Sheet4!$C82</f>
        <v>0</v>
      </c>
      <c r="BX82" s="43">
        <f>ዕቁብ!BY85/Sheet4!$C82</f>
        <v>2</v>
      </c>
      <c r="BY82" s="43">
        <f>ዕቁብ!BZ85/Sheet4!$C82</f>
        <v>1</v>
      </c>
      <c r="BZ82" s="43">
        <f>ዕቁብ!CA85/Sheet4!$C82</f>
        <v>0</v>
      </c>
      <c r="CA82" s="43">
        <f>ዕቁብ!CB85/Sheet4!$C82</f>
        <v>2</v>
      </c>
      <c r="CB82" s="43">
        <f>ዕቁብ!CC85/Sheet4!$C82</f>
        <v>1</v>
      </c>
      <c r="CC82" s="43">
        <f>ዕቁብ!CD85/Sheet4!$C82</f>
        <v>1</v>
      </c>
      <c r="CD82" s="43">
        <f>ዕቁብ!CE85/Sheet4!$C82</f>
        <v>0</v>
      </c>
      <c r="CE82" s="43">
        <f>ዕቁብ!CF85/Sheet4!$C82</f>
        <v>2</v>
      </c>
      <c r="CF82" s="43">
        <f>ዕቁብ!CG85/Sheet4!$C82</f>
        <v>1</v>
      </c>
      <c r="CG82" s="43">
        <f>ዕቁብ!CH85/Sheet4!$C82</f>
        <v>1</v>
      </c>
      <c r="CH82" s="43">
        <f>ዕቁብ!CI85/Sheet4!$C82</f>
        <v>1</v>
      </c>
      <c r="CI82" s="43">
        <f>ዕቁብ!CJ85/Sheet4!$C82</f>
        <v>1</v>
      </c>
      <c r="CJ82" s="43">
        <f>ዕቁብ!CK85/Sheet4!$C82</f>
        <v>1</v>
      </c>
      <c r="CK82" s="43">
        <f>ዕቁብ!CL85/Sheet4!$C82</f>
        <v>1</v>
      </c>
      <c r="CL82" s="43">
        <f>ዕቁብ!CM85/Sheet4!$C82</f>
        <v>1</v>
      </c>
      <c r="CM82" s="43">
        <f>ዕቁብ!CN85/Sheet4!$C82</f>
        <v>1</v>
      </c>
      <c r="CN82" s="43">
        <f>ዕቁብ!CO85/Sheet4!$C82</f>
        <v>1</v>
      </c>
      <c r="CO82" s="43">
        <f>ዕቁብ!CP85/Sheet4!$C82</f>
        <v>0</v>
      </c>
      <c r="CP82" s="43">
        <f>ዕቁብ!CQ85/Sheet4!$C82</f>
        <v>2</v>
      </c>
      <c r="CQ82" s="43">
        <f>ዕቁብ!CR85/Sheet4!$C82</f>
        <v>1</v>
      </c>
      <c r="CR82" s="43">
        <f>ዕቁብ!CS85/Sheet4!$C82</f>
        <v>1</v>
      </c>
      <c r="CS82" s="43">
        <f>ዕቁብ!CT85/Sheet4!$C82</f>
        <v>1</v>
      </c>
      <c r="CT82" s="43">
        <f>ዕቁብ!CU85/Sheet4!$C82</f>
        <v>1</v>
      </c>
      <c r="CU82" s="43">
        <f>ዕቁብ!CV85/Sheet4!$C82</f>
        <v>0</v>
      </c>
      <c r="CV82" s="43">
        <f>ዕቁብ!CW85/Sheet4!$C82</f>
        <v>2</v>
      </c>
      <c r="CW82" s="43">
        <f>ዕቁብ!CX85/Sheet4!$C82</f>
        <v>0</v>
      </c>
      <c r="CX82" s="43">
        <f>ዕቁብ!CY85/Sheet4!$C82</f>
        <v>2</v>
      </c>
      <c r="CY82" s="43">
        <f>ዕቁብ!CZ85/Sheet4!$C82</f>
        <v>0</v>
      </c>
      <c r="CZ82" s="43">
        <f>ዕቁብ!DA85/Sheet4!$C82</f>
        <v>2</v>
      </c>
      <c r="DA82" s="43">
        <f>ዕቁብ!DB85/Sheet4!$C82</f>
        <v>0</v>
      </c>
      <c r="DB82" s="43">
        <f>ዕቁብ!DC85/Sheet4!$C82</f>
        <v>1</v>
      </c>
      <c r="DC82" s="43">
        <f>ዕቁብ!DD85/Sheet4!$C82</f>
        <v>2</v>
      </c>
      <c r="DD82" s="43">
        <f>ዕቁብ!DE85/Sheet4!$C82</f>
        <v>0</v>
      </c>
      <c r="DE82" s="43">
        <f>ዕቁብ!DF85/Sheet4!$C82</f>
        <v>1</v>
      </c>
      <c r="DF82" s="43">
        <f>ዕቁብ!DG85/Sheet4!$C82</f>
        <v>1</v>
      </c>
      <c r="DG82" s="43">
        <f>ዕቁብ!DH85/Sheet4!$C82</f>
        <v>0</v>
      </c>
      <c r="DH82" s="43">
        <f>ዕቁብ!DI85/Sheet4!$C82</f>
        <v>0</v>
      </c>
      <c r="DI82" s="43">
        <f>ዕቁብ!DJ85/Sheet4!$C82</f>
        <v>0</v>
      </c>
      <c r="DJ82" s="43">
        <f>ዕቁብ!DK85/Sheet4!$C82</f>
        <v>0</v>
      </c>
      <c r="DK82" s="43">
        <f>ዕቁብ!DL85/Sheet4!$C82</f>
        <v>0</v>
      </c>
      <c r="DL82" s="43">
        <f>ዕቁብ!DM85/Sheet4!$C82</f>
        <v>0</v>
      </c>
      <c r="DM82" s="43">
        <f>ዕቁብ!DN85/Sheet4!$C82</f>
        <v>0</v>
      </c>
      <c r="DN82" s="43">
        <f>ዕቁብ!DO85/Sheet4!$C82</f>
        <v>0</v>
      </c>
      <c r="DO82" s="43">
        <f>ዕቁብ!DP85/Sheet4!$C82</f>
        <v>0</v>
      </c>
      <c r="DP82" s="43">
        <f>ዕቁብ!DQ85/Sheet4!$C82</f>
        <v>0</v>
      </c>
      <c r="DQ82" s="43">
        <f>ዕቁብ!DR85/Sheet4!$C82</f>
        <v>0</v>
      </c>
    </row>
    <row r="83" spans="1:121" ht="15.75" customHeight="1" x14ac:dyDescent="0.3">
      <c r="A83" s="40">
        <f>ዕቁብ!A86</f>
        <v>80</v>
      </c>
      <c r="B83" s="40" t="str">
        <f>ዕቁብ!B86</f>
        <v>አክሊሉ አጥናፉ</v>
      </c>
      <c r="C83" s="30">
        <f>ዕቁብ!C86</f>
        <v>21000</v>
      </c>
      <c r="D83" s="43">
        <f>ዕቁብ!E86/Sheet4!$C83</f>
        <v>1</v>
      </c>
      <c r="E83" s="43">
        <f>ዕቁብ!F86/Sheet4!$C83</f>
        <v>1</v>
      </c>
      <c r="F83" s="43">
        <f>ዕቁብ!G86/Sheet4!$C83</f>
        <v>1</v>
      </c>
      <c r="G83" s="43">
        <f>ዕቁብ!H86/Sheet4!$C83</f>
        <v>1</v>
      </c>
      <c r="H83" s="43">
        <f>ዕቁብ!I86/Sheet4!$C83</f>
        <v>1</v>
      </c>
      <c r="I83" s="43">
        <f>ዕቁብ!J86/Sheet4!$C83</f>
        <v>1</v>
      </c>
      <c r="J83" s="43">
        <f>ዕቁብ!K86/Sheet4!$C83</f>
        <v>1</v>
      </c>
      <c r="K83" s="43">
        <f>ዕቁብ!L86/Sheet4!$C83</f>
        <v>1</v>
      </c>
      <c r="L83" s="43">
        <f>ዕቁብ!M86/Sheet4!$C83</f>
        <v>1</v>
      </c>
      <c r="M83" s="43">
        <f>ዕቁብ!N86/Sheet4!$C83</f>
        <v>1</v>
      </c>
      <c r="N83" s="43">
        <f>ዕቁብ!O86/Sheet4!$C83</f>
        <v>1</v>
      </c>
      <c r="O83" s="43">
        <f>ዕቁብ!P86/Sheet4!$C83</f>
        <v>1</v>
      </c>
      <c r="P83" s="43">
        <f>ዕቁብ!Q86/Sheet4!$C83</f>
        <v>1</v>
      </c>
      <c r="Q83" s="43">
        <f>ዕቁብ!R86/Sheet4!$C83</f>
        <v>1</v>
      </c>
      <c r="R83" s="43">
        <f>ዕቁብ!S86/Sheet4!$C83</f>
        <v>1</v>
      </c>
      <c r="S83" s="43">
        <f>ዕቁብ!T86/Sheet4!$C83</f>
        <v>1</v>
      </c>
      <c r="T83" s="43">
        <f>ዕቁብ!U86/Sheet4!$C83</f>
        <v>1</v>
      </c>
      <c r="U83" s="43">
        <f>ዕቁብ!V86/Sheet4!$C83</f>
        <v>1</v>
      </c>
      <c r="V83" s="43">
        <f>ዕቁብ!W86/Sheet4!$C83</f>
        <v>1</v>
      </c>
      <c r="W83" s="43">
        <f>ዕቁብ!X86/Sheet4!$C83</f>
        <v>1</v>
      </c>
      <c r="X83" s="43">
        <f>ዕቁብ!Y86/Sheet4!$C83</f>
        <v>1</v>
      </c>
      <c r="Y83" s="43">
        <f>ዕቁብ!Z86/Sheet4!$C83</f>
        <v>1</v>
      </c>
      <c r="Z83" s="43">
        <f>ዕቁብ!AA86/Sheet4!$C83</f>
        <v>1</v>
      </c>
      <c r="AA83" s="43">
        <f>ዕቁብ!AB86/Sheet4!$C83</f>
        <v>1</v>
      </c>
      <c r="AB83" s="43">
        <f>ዕቁብ!AC86/Sheet4!$C83</f>
        <v>1</v>
      </c>
      <c r="AC83" s="43">
        <f>ዕቁብ!AD86/Sheet4!$C83</f>
        <v>1</v>
      </c>
      <c r="AD83" s="43">
        <f>ዕቁብ!AE86/Sheet4!$C83</f>
        <v>1</v>
      </c>
      <c r="AE83" s="43">
        <f>ዕቁብ!AF86/Sheet4!$C83</f>
        <v>1</v>
      </c>
      <c r="AF83" s="43">
        <f>ዕቁብ!AG86/Sheet4!$C83</f>
        <v>1</v>
      </c>
      <c r="AG83" s="43">
        <f>ዕቁብ!AH86/Sheet4!$C83</f>
        <v>1</v>
      </c>
      <c r="AH83" s="43">
        <f>ዕቁብ!AI86/Sheet4!$C83</f>
        <v>1</v>
      </c>
      <c r="AI83" s="43">
        <f>ዕቁብ!AJ86/Sheet4!$C83</f>
        <v>1</v>
      </c>
      <c r="AJ83" s="43">
        <f>ዕቁብ!AK86/Sheet4!$C83</f>
        <v>1</v>
      </c>
      <c r="AK83" s="43">
        <f>ዕቁብ!AL86/Sheet4!$C83</f>
        <v>1</v>
      </c>
      <c r="AL83" s="43">
        <f>ዕቁብ!AM86/Sheet4!$C83</f>
        <v>1</v>
      </c>
      <c r="AM83" s="43">
        <f>ዕቁብ!AN86/Sheet4!$C83</f>
        <v>0</v>
      </c>
      <c r="AN83" s="43">
        <f>ዕቁብ!AO86/Sheet4!$C83</f>
        <v>2</v>
      </c>
      <c r="AO83" s="43">
        <f>ዕቁብ!AP86/Sheet4!$C83</f>
        <v>1</v>
      </c>
      <c r="AP83" s="43">
        <f>ዕቁብ!AQ86/Sheet4!$C83</f>
        <v>1</v>
      </c>
      <c r="AQ83" s="43">
        <f>ዕቁብ!AR86/Sheet4!$C83</f>
        <v>1</v>
      </c>
      <c r="AR83" s="43">
        <f>ዕቁብ!AS86/Sheet4!$C83</f>
        <v>1</v>
      </c>
      <c r="AS83" s="43">
        <f>ዕቁብ!AT86/Sheet4!$C83</f>
        <v>0</v>
      </c>
      <c r="AT83" s="43">
        <f>ዕቁብ!AU86/Sheet4!$C83</f>
        <v>2</v>
      </c>
      <c r="AU83" s="43">
        <f>ዕቁብ!AV86/Sheet4!$C83</f>
        <v>1</v>
      </c>
      <c r="AV83" s="43">
        <f>ዕቁብ!AW86/Sheet4!$C83</f>
        <v>1</v>
      </c>
      <c r="AW83" s="43">
        <f>ዕቁብ!AX86/Sheet4!$C83</f>
        <v>1</v>
      </c>
      <c r="AX83" s="43">
        <f>ዕቁብ!AY86/Sheet4!$C83</f>
        <v>0</v>
      </c>
      <c r="AY83" s="43">
        <f>ዕቁብ!AZ86/Sheet4!$C83</f>
        <v>1</v>
      </c>
      <c r="AZ83" s="43">
        <f>ዕቁብ!BA86/Sheet4!$C83</f>
        <v>2</v>
      </c>
      <c r="BA83" s="43">
        <f>ዕቁብ!BB86/Sheet4!$C83</f>
        <v>0</v>
      </c>
      <c r="BB83" s="43">
        <f>ዕቁብ!BC86/Sheet4!$C83</f>
        <v>1</v>
      </c>
      <c r="BC83" s="43">
        <f>ዕቁብ!BD86/Sheet4!$C83</f>
        <v>1</v>
      </c>
      <c r="BD83" s="43">
        <f>ዕቁብ!BE86/Sheet4!$C83</f>
        <v>0</v>
      </c>
      <c r="BE83" s="43">
        <f>ዕቁብ!BF86/Sheet4!$C83</f>
        <v>2</v>
      </c>
      <c r="BF83" s="43">
        <f>ዕቁብ!BG86/Sheet4!$C83</f>
        <v>1</v>
      </c>
      <c r="BG83" s="43">
        <f>ዕቁብ!BH86/Sheet4!$C83</f>
        <v>1</v>
      </c>
      <c r="BH83" s="43">
        <f>ዕቁብ!BI86/Sheet4!$C83</f>
        <v>1</v>
      </c>
      <c r="BI83" s="43">
        <f>ዕቁብ!BJ86/Sheet4!$C83</f>
        <v>0</v>
      </c>
      <c r="BJ83" s="43">
        <f>ዕቁብ!BK86/Sheet4!$C83</f>
        <v>2</v>
      </c>
      <c r="BK83" s="43">
        <f>ዕቁብ!BL86/Sheet4!$C83</f>
        <v>1</v>
      </c>
      <c r="BL83" s="43">
        <f>ዕቁብ!BM86/Sheet4!$C83</f>
        <v>1</v>
      </c>
      <c r="BM83" s="43">
        <f>ዕቁብ!BN86/Sheet4!$C83</f>
        <v>0</v>
      </c>
      <c r="BN83" s="43">
        <f>ዕቁብ!BO86/Sheet4!$C83</f>
        <v>1</v>
      </c>
      <c r="BO83" s="43">
        <f>ዕቁብ!BP86/Sheet4!$C83</f>
        <v>1</v>
      </c>
      <c r="BP83" s="43">
        <f>ዕቁብ!BQ86/Sheet4!$C83</f>
        <v>1</v>
      </c>
      <c r="BQ83" s="43">
        <f>ዕቁብ!BR86/Sheet4!$C83</f>
        <v>0</v>
      </c>
      <c r="BR83" s="43">
        <f>ዕቁብ!BS86/Sheet4!$C83</f>
        <v>1</v>
      </c>
      <c r="BS83" s="43">
        <f>ዕቁብ!BT86/Sheet4!$C83</f>
        <v>1</v>
      </c>
      <c r="BT83" s="43">
        <f>ዕቁብ!BU86/Sheet4!$C83</f>
        <v>0</v>
      </c>
      <c r="BU83" s="43">
        <f>ዕቁብ!BV86/Sheet4!$C83</f>
        <v>1</v>
      </c>
      <c r="BV83" s="43">
        <f>ዕቁብ!BW86/Sheet4!$C83</f>
        <v>0</v>
      </c>
      <c r="BW83" s="43">
        <f>ዕቁብ!BX86/Sheet4!$C83</f>
        <v>0</v>
      </c>
      <c r="BX83" s="43">
        <f>ዕቁብ!BY86/Sheet4!$C83</f>
        <v>1</v>
      </c>
      <c r="BY83" s="43">
        <f>ዕቁብ!BZ86/Sheet4!$C83</f>
        <v>1</v>
      </c>
      <c r="BZ83" s="43">
        <f>ዕቁብ!CA86/Sheet4!$C83</f>
        <v>0</v>
      </c>
      <c r="CA83" s="43">
        <f>ዕቁብ!CB86/Sheet4!$C83</f>
        <v>1</v>
      </c>
      <c r="CB83" s="43">
        <f>ዕቁብ!CC86/Sheet4!$C83</f>
        <v>1</v>
      </c>
      <c r="CC83" s="43">
        <f>ዕቁብ!CD86/Sheet4!$C83</f>
        <v>1</v>
      </c>
      <c r="CD83" s="43">
        <f>ዕቁብ!CE86/Sheet4!$C83</f>
        <v>0</v>
      </c>
      <c r="CE83" s="43">
        <f>ዕቁብ!CF86/Sheet4!$C83</f>
        <v>1</v>
      </c>
      <c r="CF83" s="43">
        <f>ዕቁብ!CG86/Sheet4!$C83</f>
        <v>0</v>
      </c>
      <c r="CG83" s="43">
        <f>ዕቁብ!CH86/Sheet4!$C83</f>
        <v>2</v>
      </c>
      <c r="CH83" s="43">
        <f>ዕቁብ!CI86/Sheet4!$C83</f>
        <v>1</v>
      </c>
      <c r="CI83" s="43">
        <f>ዕቁብ!CJ86/Sheet4!$C83</f>
        <v>1</v>
      </c>
      <c r="CJ83" s="43">
        <f>ዕቁብ!CK86/Sheet4!$C83</f>
        <v>1</v>
      </c>
      <c r="CK83" s="43">
        <f>ዕቁብ!CL86/Sheet4!$C83</f>
        <v>1</v>
      </c>
      <c r="CL83" s="43">
        <f>ዕቁብ!CM86/Sheet4!$C83</f>
        <v>1</v>
      </c>
      <c r="CM83" s="43">
        <f>ዕቁብ!CN86/Sheet4!$C83</f>
        <v>0</v>
      </c>
      <c r="CN83" s="43">
        <f>ዕቁብ!CO86/Sheet4!$C83</f>
        <v>1</v>
      </c>
      <c r="CO83" s="43">
        <f>ዕቁብ!CP86/Sheet4!$C83</f>
        <v>1</v>
      </c>
      <c r="CP83" s="43">
        <f>ዕቁብ!CQ86/Sheet4!$C83</f>
        <v>1</v>
      </c>
      <c r="CQ83" s="43">
        <f>ዕቁብ!CR86/Sheet4!$C83</f>
        <v>0</v>
      </c>
      <c r="CR83" s="43">
        <f>ዕቁብ!CS86/Sheet4!$C83</f>
        <v>0</v>
      </c>
      <c r="CS83" s="43">
        <f>ዕቁብ!CT86/Sheet4!$C83</f>
        <v>3</v>
      </c>
      <c r="CT83" s="43">
        <f>ዕቁብ!CU86/Sheet4!$C83</f>
        <v>1</v>
      </c>
      <c r="CU83" s="43">
        <f>ዕቁብ!CV86/Sheet4!$C83</f>
        <v>0</v>
      </c>
      <c r="CV83" s="43">
        <f>ዕቁብ!CW86/Sheet4!$C83</f>
        <v>1</v>
      </c>
      <c r="CW83" s="43">
        <f>ዕቁብ!CX86/Sheet4!$C83</f>
        <v>0</v>
      </c>
      <c r="CX83" s="43">
        <f>ዕቁብ!CY86/Sheet4!$C83</f>
        <v>0</v>
      </c>
      <c r="CY83" s="43">
        <f>ዕቁብ!CZ86/Sheet4!$C83</f>
        <v>2</v>
      </c>
      <c r="CZ83" s="43">
        <f>ዕቁብ!DA86/Sheet4!$C83</f>
        <v>0</v>
      </c>
      <c r="DA83" s="43">
        <f>ዕቁብ!DB86/Sheet4!$C83</f>
        <v>1</v>
      </c>
      <c r="DB83" s="43">
        <f>ዕቁብ!DC86/Sheet4!$C83</f>
        <v>0</v>
      </c>
      <c r="DC83" s="43">
        <f>ዕቁብ!DD86/Sheet4!$C83</f>
        <v>2</v>
      </c>
      <c r="DD83" s="43">
        <f>ዕቁብ!DE86/Sheet4!$C83</f>
        <v>0</v>
      </c>
      <c r="DE83" s="43">
        <f>ዕቁብ!DF86/Sheet4!$C83</f>
        <v>0</v>
      </c>
      <c r="DF83" s="43">
        <f>ዕቁብ!DG86/Sheet4!$C83</f>
        <v>1</v>
      </c>
      <c r="DG83" s="43">
        <f>ዕቁብ!DH86/Sheet4!$C83</f>
        <v>1</v>
      </c>
      <c r="DH83" s="43">
        <f>ዕቁብ!DI86/Sheet4!$C83</f>
        <v>0</v>
      </c>
      <c r="DI83" s="43">
        <f>ዕቁብ!DJ86/Sheet4!$C83</f>
        <v>0</v>
      </c>
      <c r="DJ83" s="43">
        <f>ዕቁብ!DK86/Sheet4!$C83</f>
        <v>0</v>
      </c>
      <c r="DK83" s="43">
        <f>ዕቁብ!DL86/Sheet4!$C83</f>
        <v>0</v>
      </c>
      <c r="DL83" s="43">
        <f>ዕቁብ!DM86/Sheet4!$C83</f>
        <v>0</v>
      </c>
      <c r="DM83" s="43">
        <f>ዕቁብ!DN86/Sheet4!$C83</f>
        <v>0</v>
      </c>
      <c r="DN83" s="43">
        <f>ዕቁብ!DO86/Sheet4!$C83</f>
        <v>0</v>
      </c>
      <c r="DO83" s="43">
        <f>ዕቁብ!DP86/Sheet4!$C83</f>
        <v>0</v>
      </c>
      <c r="DP83" s="43">
        <f>ዕቁብ!DQ86/Sheet4!$C83</f>
        <v>0</v>
      </c>
      <c r="DQ83" s="43">
        <f>ዕቁብ!DR86/Sheet4!$C83</f>
        <v>0</v>
      </c>
    </row>
    <row r="84" spans="1:121" ht="15.75" customHeight="1" x14ac:dyDescent="0.3">
      <c r="A84" s="40">
        <f>ዕቁብ!A87</f>
        <v>81</v>
      </c>
      <c r="B84" s="40" t="str">
        <f>ዕቁብ!B87</f>
        <v>ታምራት ወርቁ</v>
      </c>
      <c r="C84" s="30">
        <f>ዕቁብ!C87</f>
        <v>21000</v>
      </c>
      <c r="D84" s="43">
        <f>ዕቁብ!E87/Sheet4!$C84</f>
        <v>1</v>
      </c>
      <c r="E84" s="43">
        <f>ዕቁብ!F87/Sheet4!$C84</f>
        <v>1</v>
      </c>
      <c r="F84" s="43">
        <f>ዕቁብ!G87/Sheet4!$C84</f>
        <v>1</v>
      </c>
      <c r="G84" s="43">
        <f>ዕቁብ!H87/Sheet4!$C84</f>
        <v>1</v>
      </c>
      <c r="H84" s="43">
        <f>ዕቁብ!I87/Sheet4!$C84</f>
        <v>1</v>
      </c>
      <c r="I84" s="43">
        <f>ዕቁብ!J87/Sheet4!$C84</f>
        <v>1</v>
      </c>
      <c r="J84" s="43">
        <f>ዕቁብ!K87/Sheet4!$C84</f>
        <v>1</v>
      </c>
      <c r="K84" s="43">
        <f>ዕቁብ!L87/Sheet4!$C84</f>
        <v>1</v>
      </c>
      <c r="L84" s="43">
        <f>ዕቁብ!M87/Sheet4!$C84</f>
        <v>1</v>
      </c>
      <c r="M84" s="43">
        <f>ዕቁብ!N87/Sheet4!$C84</f>
        <v>1</v>
      </c>
      <c r="N84" s="43">
        <f>ዕቁብ!O87/Sheet4!$C84</f>
        <v>1</v>
      </c>
      <c r="O84" s="43">
        <f>ዕቁብ!P87/Sheet4!$C84</f>
        <v>1</v>
      </c>
      <c r="P84" s="43">
        <f>ዕቁብ!Q87/Sheet4!$C84</f>
        <v>1</v>
      </c>
      <c r="Q84" s="43">
        <f>ዕቁብ!R87/Sheet4!$C84</f>
        <v>1</v>
      </c>
      <c r="R84" s="43">
        <f>ዕቁብ!S87/Sheet4!$C84</f>
        <v>1</v>
      </c>
      <c r="S84" s="43">
        <f>ዕቁብ!T87/Sheet4!$C84</f>
        <v>1</v>
      </c>
      <c r="T84" s="43">
        <f>ዕቁብ!U87/Sheet4!$C84</f>
        <v>1</v>
      </c>
      <c r="U84" s="43">
        <f>ዕቁብ!V87/Sheet4!$C84</f>
        <v>1</v>
      </c>
      <c r="V84" s="43">
        <f>ዕቁብ!W87/Sheet4!$C84</f>
        <v>1</v>
      </c>
      <c r="W84" s="43">
        <f>ዕቁብ!X87/Sheet4!$C84</f>
        <v>1</v>
      </c>
      <c r="X84" s="43">
        <f>ዕቁብ!Y87/Sheet4!$C84</f>
        <v>1</v>
      </c>
      <c r="Y84" s="43">
        <f>ዕቁብ!Z87/Sheet4!$C84</f>
        <v>1</v>
      </c>
      <c r="Z84" s="43">
        <f>ዕቁብ!AA87/Sheet4!$C84</f>
        <v>1</v>
      </c>
      <c r="AA84" s="43">
        <f>ዕቁብ!AB87/Sheet4!$C84</f>
        <v>1</v>
      </c>
      <c r="AB84" s="43">
        <f>ዕቁብ!AC87/Sheet4!$C84</f>
        <v>1</v>
      </c>
      <c r="AC84" s="43">
        <f>ዕቁብ!AD87/Sheet4!$C84</f>
        <v>1</v>
      </c>
      <c r="AD84" s="43">
        <f>ዕቁብ!AE87/Sheet4!$C84</f>
        <v>1</v>
      </c>
      <c r="AE84" s="43">
        <f>ዕቁብ!AF87/Sheet4!$C84</f>
        <v>1</v>
      </c>
      <c r="AF84" s="43">
        <f>ዕቁብ!AG87/Sheet4!$C84</f>
        <v>1</v>
      </c>
      <c r="AG84" s="43">
        <f>ዕቁብ!AH87/Sheet4!$C84</f>
        <v>1</v>
      </c>
      <c r="AH84" s="43">
        <f>ዕቁብ!AI87/Sheet4!$C84</f>
        <v>1</v>
      </c>
      <c r="AI84" s="43">
        <f>ዕቁብ!AJ87/Sheet4!$C84</f>
        <v>1</v>
      </c>
      <c r="AJ84" s="43">
        <f>ዕቁብ!AK87/Sheet4!$C84</f>
        <v>1</v>
      </c>
      <c r="AK84" s="43">
        <f>ዕቁብ!AL87/Sheet4!$C84</f>
        <v>1</v>
      </c>
      <c r="AL84" s="43">
        <f>ዕቁብ!AM87/Sheet4!$C84</f>
        <v>1</v>
      </c>
      <c r="AM84" s="43">
        <f>ዕቁብ!AN87/Sheet4!$C84</f>
        <v>1</v>
      </c>
      <c r="AN84" s="43">
        <f>ዕቁብ!AO87/Sheet4!$C84</f>
        <v>1</v>
      </c>
      <c r="AO84" s="43">
        <f>ዕቁብ!AP87/Sheet4!$C84</f>
        <v>1</v>
      </c>
      <c r="AP84" s="43">
        <f>ዕቁብ!AQ87/Sheet4!$C84</f>
        <v>1</v>
      </c>
      <c r="AQ84" s="43">
        <f>ዕቁብ!AR87/Sheet4!$C84</f>
        <v>1</v>
      </c>
      <c r="AR84" s="43">
        <f>ዕቁብ!AS87/Sheet4!$C84</f>
        <v>1</v>
      </c>
      <c r="AS84" s="43">
        <f>ዕቁብ!AT87/Sheet4!$C84</f>
        <v>1</v>
      </c>
      <c r="AT84" s="43">
        <f>ዕቁብ!AU87/Sheet4!$C84</f>
        <v>1</v>
      </c>
      <c r="AU84" s="43">
        <f>ዕቁብ!AV87/Sheet4!$C84</f>
        <v>1</v>
      </c>
      <c r="AV84" s="43">
        <f>ዕቁብ!AW87/Sheet4!$C84</f>
        <v>0</v>
      </c>
      <c r="AW84" s="43">
        <f>ዕቁብ!AX87/Sheet4!$C84</f>
        <v>1</v>
      </c>
      <c r="AX84" s="43">
        <f>ዕቁብ!AY87/Sheet4!$C84</f>
        <v>1</v>
      </c>
      <c r="AY84" s="43">
        <f>ዕቁብ!AZ87/Sheet4!$C84</f>
        <v>1</v>
      </c>
      <c r="AZ84" s="43">
        <f>ዕቁብ!BA87/Sheet4!$C84</f>
        <v>1</v>
      </c>
      <c r="BA84" s="43">
        <f>ዕቁብ!BB87/Sheet4!$C84</f>
        <v>0</v>
      </c>
      <c r="BB84" s="43">
        <f>ዕቁብ!BC87/Sheet4!$C84</f>
        <v>1</v>
      </c>
      <c r="BC84" s="43">
        <f>ዕቁብ!BD87/Sheet4!$C84</f>
        <v>1</v>
      </c>
      <c r="BD84" s="43">
        <f>ዕቁብ!BE87/Sheet4!$C84</f>
        <v>1</v>
      </c>
      <c r="BE84" s="43">
        <f>ዕቁብ!BF87/Sheet4!$C84</f>
        <v>1</v>
      </c>
      <c r="BF84" s="43">
        <f>ዕቁብ!BG87/Sheet4!$C84</f>
        <v>1</v>
      </c>
      <c r="BG84" s="43">
        <f>ዕቁብ!BH87/Sheet4!$C84</f>
        <v>1</v>
      </c>
      <c r="BH84" s="43">
        <f>ዕቁብ!BI87/Sheet4!$C84</f>
        <v>0</v>
      </c>
      <c r="BI84" s="43">
        <f>ዕቁብ!BJ87/Sheet4!$C84</f>
        <v>0</v>
      </c>
      <c r="BJ84" s="43">
        <f>ዕቁብ!BK87/Sheet4!$C84</f>
        <v>0</v>
      </c>
      <c r="BK84" s="43">
        <f>ዕቁብ!BL87/Sheet4!$C84</f>
        <v>0</v>
      </c>
      <c r="BL84" s="43">
        <f>ዕቁብ!BM87/Sheet4!$C84</f>
        <v>0</v>
      </c>
      <c r="BM84" s="43">
        <f>ዕቁብ!BN87/Sheet4!$C84</f>
        <v>0</v>
      </c>
      <c r="BN84" s="43">
        <f>ዕቁብ!BO87/Sheet4!$C84</f>
        <v>0</v>
      </c>
      <c r="BO84" s="43">
        <f>ዕቁብ!BP87/Sheet4!$C84</f>
        <v>0</v>
      </c>
      <c r="BP84" s="43">
        <f>ዕቁብ!BQ87/Sheet4!$C84</f>
        <v>1</v>
      </c>
      <c r="BQ84" s="43">
        <f>ዕቁብ!BR87/Sheet4!$C84</f>
        <v>0</v>
      </c>
      <c r="BR84" s="43">
        <f>ዕቁብ!BS87/Sheet4!$C84</f>
        <v>0</v>
      </c>
      <c r="BS84" s="43">
        <f>ዕቁብ!BT87/Sheet4!$C84</f>
        <v>10</v>
      </c>
      <c r="BT84" s="43">
        <f>ዕቁብ!BU87/Sheet4!$C84</f>
        <v>0</v>
      </c>
      <c r="BU84" s="43">
        <f>ዕቁብ!BV87/Sheet4!$C84</f>
        <v>0</v>
      </c>
      <c r="BV84" s="43">
        <f>ዕቁብ!BW87/Sheet4!$C84</f>
        <v>0</v>
      </c>
      <c r="BW84" s="43">
        <f>ዕቁብ!BX87/Sheet4!$C84</f>
        <v>0</v>
      </c>
      <c r="BX84" s="43">
        <f>ዕቁብ!BY87/Sheet4!$C84</f>
        <v>0</v>
      </c>
      <c r="BY84" s="43">
        <f>ዕቁብ!BZ87/Sheet4!$C84</f>
        <v>0</v>
      </c>
      <c r="BZ84" s="43">
        <f>ዕቁብ!CA87/Sheet4!$C84</f>
        <v>0</v>
      </c>
      <c r="CA84" s="43">
        <f>ዕቁብ!CB87/Sheet4!$C84</f>
        <v>1</v>
      </c>
      <c r="CB84" s="43">
        <f>ዕቁብ!CC87/Sheet4!$C84</f>
        <v>1</v>
      </c>
      <c r="CC84" s="43">
        <f>ዕቁብ!CD87/Sheet4!$C84</f>
        <v>0</v>
      </c>
      <c r="CD84" s="43">
        <f>ዕቁብ!CE87/Sheet4!$C84</f>
        <v>1</v>
      </c>
      <c r="CE84" s="43">
        <f>ዕቁብ!CF87/Sheet4!$C84</f>
        <v>1</v>
      </c>
      <c r="CF84" s="43">
        <f>ዕቁብ!CG87/Sheet4!$C84</f>
        <v>1</v>
      </c>
      <c r="CG84" s="43">
        <f>ዕቁብ!CH87/Sheet4!$C84</f>
        <v>0</v>
      </c>
      <c r="CH84" s="43">
        <f>ዕቁብ!CI87/Sheet4!$C84</f>
        <v>0</v>
      </c>
      <c r="CI84" s="43">
        <f>ዕቁብ!CJ87/Sheet4!$C84</f>
        <v>1</v>
      </c>
      <c r="CJ84" s="43">
        <f>ዕቁብ!CK87/Sheet4!$C84</f>
        <v>0</v>
      </c>
      <c r="CK84" s="43">
        <f>ዕቁብ!CL87/Sheet4!$C84</f>
        <v>2</v>
      </c>
      <c r="CL84" s="43">
        <f>ዕቁብ!CM87/Sheet4!$C84</f>
        <v>7</v>
      </c>
      <c r="CM84" s="43">
        <f>ዕቁብ!CN87/Sheet4!$C84</f>
        <v>1</v>
      </c>
      <c r="CN84" s="43">
        <f>ዕቁብ!CO87/Sheet4!$C84</f>
        <v>0</v>
      </c>
      <c r="CO84" s="43">
        <f>ዕቁብ!CP87/Sheet4!$C84</f>
        <v>1</v>
      </c>
      <c r="CP84" s="43">
        <f>ዕቁብ!CQ87/Sheet4!$C84</f>
        <v>1</v>
      </c>
      <c r="CQ84" s="43">
        <f>ዕቁብ!CR87/Sheet4!$C84</f>
        <v>0</v>
      </c>
      <c r="CR84" s="43">
        <f>ዕቁብ!CS87/Sheet4!$C84</f>
        <v>0</v>
      </c>
      <c r="CS84" s="43">
        <f>ዕቁብ!CT87/Sheet4!$C84</f>
        <v>0</v>
      </c>
      <c r="CT84" s="43">
        <f>ዕቁብ!CU87/Sheet4!$C84</f>
        <v>0</v>
      </c>
      <c r="CU84" s="43">
        <f>ዕቁብ!CV87/Sheet4!$C84</f>
        <v>1</v>
      </c>
      <c r="CV84" s="43">
        <f>ዕቁብ!CW87/Sheet4!$C84</f>
        <v>1</v>
      </c>
      <c r="CW84" s="43">
        <f>ዕቁብ!CX87/Sheet4!$C84</f>
        <v>0</v>
      </c>
      <c r="CX84" s="43">
        <f>ዕቁብ!CY87/Sheet4!$C84</f>
        <v>0</v>
      </c>
      <c r="CY84" s="43">
        <f>ዕቁብ!CZ87/Sheet4!$C84</f>
        <v>0</v>
      </c>
      <c r="CZ84" s="43">
        <f>ዕቁብ!DA87/Sheet4!$C84</f>
        <v>0</v>
      </c>
      <c r="DA84" s="43">
        <f>ዕቁብ!DB87/Sheet4!$C84</f>
        <v>0</v>
      </c>
      <c r="DB84" s="43">
        <f>ዕቁብ!DC87/Sheet4!$C84</f>
        <v>0</v>
      </c>
      <c r="DC84" s="43">
        <f>ዕቁብ!DD87/Sheet4!$C84</f>
        <v>0</v>
      </c>
      <c r="DD84" s="43">
        <f>ዕቁብ!DE87/Sheet4!$C84</f>
        <v>0</v>
      </c>
      <c r="DE84" s="43">
        <f>ዕቁብ!DF87/Sheet4!$C84</f>
        <v>0</v>
      </c>
      <c r="DF84" s="43">
        <f>ዕቁብ!DG87/Sheet4!$C84</f>
        <v>0</v>
      </c>
      <c r="DG84" s="43">
        <f>ዕቁብ!DH87/Sheet4!$C84</f>
        <v>0</v>
      </c>
      <c r="DH84" s="43">
        <f>ዕቁብ!DI87/Sheet4!$C84</f>
        <v>0</v>
      </c>
      <c r="DI84" s="43">
        <f>ዕቁብ!DJ87/Sheet4!$C84</f>
        <v>0</v>
      </c>
      <c r="DJ84" s="43">
        <f>ዕቁብ!DK87/Sheet4!$C84</f>
        <v>0</v>
      </c>
      <c r="DK84" s="43">
        <f>ዕቁብ!DL87/Sheet4!$C84</f>
        <v>0</v>
      </c>
      <c r="DL84" s="43">
        <f>ዕቁብ!DM87/Sheet4!$C84</f>
        <v>0</v>
      </c>
      <c r="DM84" s="43">
        <f>ዕቁብ!DN87/Sheet4!$C84</f>
        <v>0</v>
      </c>
      <c r="DN84" s="43">
        <f>ዕቁብ!DO87/Sheet4!$C84</f>
        <v>0</v>
      </c>
      <c r="DO84" s="43">
        <f>ዕቁብ!DP87/Sheet4!$C84</f>
        <v>0</v>
      </c>
      <c r="DP84" s="43">
        <f>ዕቁብ!DQ87/Sheet4!$C84</f>
        <v>0</v>
      </c>
      <c r="DQ84" s="43">
        <f>ዕቁብ!DR87/Sheet4!$C84</f>
        <v>0</v>
      </c>
    </row>
    <row r="85" spans="1:121" ht="15.75" customHeight="1" x14ac:dyDescent="0.3">
      <c r="A85" s="40">
        <f>ዕቁብ!A88</f>
        <v>82</v>
      </c>
      <c r="B85" s="40" t="str">
        <f>ዕቁብ!B88</f>
        <v>አዲሱ ግሼ</v>
      </c>
      <c r="C85" s="30">
        <f>ዕቁብ!C88</f>
        <v>21000</v>
      </c>
      <c r="D85" s="43">
        <f>ዕቁብ!E88/Sheet4!$C85</f>
        <v>1</v>
      </c>
      <c r="E85" s="43">
        <f>ዕቁብ!F88/Sheet4!$C85</f>
        <v>1</v>
      </c>
      <c r="F85" s="43">
        <f>ዕቁብ!G88/Sheet4!$C85</f>
        <v>1</v>
      </c>
      <c r="G85" s="43">
        <f>ዕቁብ!H88/Sheet4!$C85</f>
        <v>1</v>
      </c>
      <c r="H85" s="43">
        <f>ዕቁብ!I88/Sheet4!$C85</f>
        <v>1</v>
      </c>
      <c r="I85" s="43">
        <f>ዕቁብ!J88/Sheet4!$C85</f>
        <v>1</v>
      </c>
      <c r="J85" s="43">
        <f>ዕቁብ!K88/Sheet4!$C85</f>
        <v>1</v>
      </c>
      <c r="K85" s="43">
        <f>ዕቁብ!L88/Sheet4!$C85</f>
        <v>1</v>
      </c>
      <c r="L85" s="43">
        <f>ዕቁብ!M88/Sheet4!$C85</f>
        <v>1</v>
      </c>
      <c r="M85" s="43">
        <f>ዕቁብ!N88/Sheet4!$C85</f>
        <v>1</v>
      </c>
      <c r="N85" s="43">
        <f>ዕቁብ!O88/Sheet4!$C85</f>
        <v>1</v>
      </c>
      <c r="O85" s="43">
        <f>ዕቁብ!P88/Sheet4!$C85</f>
        <v>1</v>
      </c>
      <c r="P85" s="43">
        <f>ዕቁብ!Q88/Sheet4!$C85</f>
        <v>1</v>
      </c>
      <c r="Q85" s="43">
        <f>ዕቁብ!R88/Sheet4!$C85</f>
        <v>1</v>
      </c>
      <c r="R85" s="43">
        <f>ዕቁብ!S88/Sheet4!$C85</f>
        <v>1</v>
      </c>
      <c r="S85" s="43">
        <f>ዕቁብ!T88/Sheet4!$C85</f>
        <v>1</v>
      </c>
      <c r="T85" s="43">
        <f>ዕቁብ!U88/Sheet4!$C85</f>
        <v>1</v>
      </c>
      <c r="U85" s="43">
        <f>ዕቁብ!V88/Sheet4!$C85</f>
        <v>1</v>
      </c>
      <c r="V85" s="43">
        <f>ዕቁብ!W88/Sheet4!$C85</f>
        <v>1</v>
      </c>
      <c r="W85" s="43">
        <f>ዕቁብ!X88/Sheet4!$C85</f>
        <v>1</v>
      </c>
      <c r="X85" s="43">
        <f>ዕቁብ!Y88/Sheet4!$C85</f>
        <v>1</v>
      </c>
      <c r="Y85" s="43">
        <f>ዕቁብ!Z88/Sheet4!$C85</f>
        <v>1</v>
      </c>
      <c r="Z85" s="43">
        <f>ዕቁብ!AA88/Sheet4!$C85</f>
        <v>1</v>
      </c>
      <c r="AA85" s="43">
        <f>ዕቁብ!AB88/Sheet4!$C85</f>
        <v>1</v>
      </c>
      <c r="AB85" s="43">
        <f>ዕቁብ!AC88/Sheet4!$C85</f>
        <v>1</v>
      </c>
      <c r="AC85" s="43">
        <f>ዕቁብ!AD88/Sheet4!$C85</f>
        <v>1</v>
      </c>
      <c r="AD85" s="43">
        <f>ዕቁብ!AE88/Sheet4!$C85</f>
        <v>1</v>
      </c>
      <c r="AE85" s="43">
        <f>ዕቁብ!AF88/Sheet4!$C85</f>
        <v>1</v>
      </c>
      <c r="AF85" s="43">
        <f>ዕቁብ!AG88/Sheet4!$C85</f>
        <v>1</v>
      </c>
      <c r="AG85" s="43">
        <f>ዕቁብ!AH88/Sheet4!$C85</f>
        <v>1</v>
      </c>
      <c r="AH85" s="43">
        <f>ዕቁብ!AI88/Sheet4!$C85</f>
        <v>1</v>
      </c>
      <c r="AI85" s="43">
        <f>ዕቁብ!AJ88/Sheet4!$C85</f>
        <v>1</v>
      </c>
      <c r="AJ85" s="43">
        <f>ዕቁብ!AK88/Sheet4!$C85</f>
        <v>1</v>
      </c>
      <c r="AK85" s="43">
        <f>ዕቁብ!AL88/Sheet4!$C85</f>
        <v>1</v>
      </c>
      <c r="AL85" s="43">
        <f>ዕቁብ!AM88/Sheet4!$C85</f>
        <v>1</v>
      </c>
      <c r="AM85" s="43">
        <f>ዕቁብ!AN88/Sheet4!$C85</f>
        <v>1</v>
      </c>
      <c r="AN85" s="43">
        <f>ዕቁብ!AO88/Sheet4!$C85</f>
        <v>1</v>
      </c>
      <c r="AO85" s="43">
        <f>ዕቁብ!AP88/Sheet4!$C85</f>
        <v>1</v>
      </c>
      <c r="AP85" s="43">
        <f>ዕቁብ!AQ88/Sheet4!$C85</f>
        <v>1</v>
      </c>
      <c r="AQ85" s="43">
        <f>ዕቁብ!AR88/Sheet4!$C85</f>
        <v>1</v>
      </c>
      <c r="AR85" s="43">
        <f>ዕቁብ!AS88/Sheet4!$C85</f>
        <v>1</v>
      </c>
      <c r="AS85" s="43">
        <f>ዕቁብ!AT88/Sheet4!$C85</f>
        <v>1</v>
      </c>
      <c r="AT85" s="43">
        <f>ዕቁብ!AU88/Sheet4!$C85</f>
        <v>1</v>
      </c>
      <c r="AU85" s="43">
        <f>ዕቁብ!AV88/Sheet4!$C85</f>
        <v>1</v>
      </c>
      <c r="AV85" s="43">
        <f>ዕቁብ!AW88/Sheet4!$C85</f>
        <v>1</v>
      </c>
      <c r="AW85" s="43">
        <f>ዕቁብ!AX88/Sheet4!$C85</f>
        <v>1</v>
      </c>
      <c r="AX85" s="43">
        <f>ዕቁብ!AY88/Sheet4!$C85</f>
        <v>1</v>
      </c>
      <c r="AY85" s="43">
        <f>ዕቁብ!AZ88/Sheet4!$C85</f>
        <v>1</v>
      </c>
      <c r="AZ85" s="43">
        <f>ዕቁብ!BA88/Sheet4!$C85</f>
        <v>1</v>
      </c>
      <c r="BA85" s="43">
        <f>ዕቁብ!BB88/Sheet4!$C85</f>
        <v>1</v>
      </c>
      <c r="BB85" s="43">
        <f>ዕቁብ!BC88/Sheet4!$C85</f>
        <v>1</v>
      </c>
      <c r="BC85" s="43">
        <f>ዕቁብ!BD88/Sheet4!$C85</f>
        <v>1</v>
      </c>
      <c r="BD85" s="43">
        <f>ዕቁብ!BE88/Sheet4!$C85</f>
        <v>1</v>
      </c>
      <c r="BE85" s="43">
        <f>ዕቁብ!BF88/Sheet4!$C85</f>
        <v>1</v>
      </c>
      <c r="BF85" s="43">
        <f>ዕቁብ!BG88/Sheet4!$C85</f>
        <v>1</v>
      </c>
      <c r="BG85" s="43">
        <f>ዕቁብ!BH88/Sheet4!$C85</f>
        <v>1</v>
      </c>
      <c r="BH85" s="43">
        <f>ዕቁብ!BI88/Sheet4!$C85</f>
        <v>1</v>
      </c>
      <c r="BI85" s="43">
        <f>ዕቁብ!BJ88/Sheet4!$C85</f>
        <v>1</v>
      </c>
      <c r="BJ85" s="43">
        <f>ዕቁብ!BK88/Sheet4!$C85</f>
        <v>1</v>
      </c>
      <c r="BK85" s="43">
        <f>ዕቁብ!BL88/Sheet4!$C85</f>
        <v>1</v>
      </c>
      <c r="BL85" s="43">
        <f>ዕቁብ!BM88/Sheet4!$C85</f>
        <v>1</v>
      </c>
      <c r="BM85" s="43">
        <f>ዕቁብ!BN88/Sheet4!$C85</f>
        <v>1</v>
      </c>
      <c r="BN85" s="43">
        <f>ዕቁብ!BO88/Sheet4!$C85</f>
        <v>1</v>
      </c>
      <c r="BO85" s="43">
        <f>ዕቁብ!BP88/Sheet4!$C85</f>
        <v>1</v>
      </c>
      <c r="BP85" s="43">
        <f>ዕቁብ!BQ88/Sheet4!$C85</f>
        <v>1</v>
      </c>
      <c r="BQ85" s="43">
        <f>ዕቁብ!BR88/Sheet4!$C85</f>
        <v>1</v>
      </c>
      <c r="BR85" s="43">
        <f>ዕቁብ!BS88/Sheet4!$C85</f>
        <v>1</v>
      </c>
      <c r="BS85" s="43">
        <f>ዕቁብ!BT88/Sheet4!$C85</f>
        <v>1</v>
      </c>
      <c r="BT85" s="43">
        <f>ዕቁብ!BU88/Sheet4!$C85</f>
        <v>1</v>
      </c>
      <c r="BU85" s="43">
        <f>ዕቁብ!BV88/Sheet4!$C85</f>
        <v>1</v>
      </c>
      <c r="BV85" s="43">
        <f>ዕቁብ!BW88/Sheet4!$C85</f>
        <v>1</v>
      </c>
      <c r="BW85" s="43">
        <f>ዕቁብ!BX88/Sheet4!$C85</f>
        <v>1</v>
      </c>
      <c r="BX85" s="43">
        <f>ዕቁብ!BY88/Sheet4!$C85</f>
        <v>1</v>
      </c>
      <c r="BY85" s="43">
        <f>ዕቁብ!BZ88/Sheet4!$C85</f>
        <v>1</v>
      </c>
      <c r="BZ85" s="43">
        <f>ዕቁብ!CA88/Sheet4!$C85</f>
        <v>1</v>
      </c>
      <c r="CA85" s="43">
        <f>ዕቁብ!CB88/Sheet4!$C85</f>
        <v>1</v>
      </c>
      <c r="CB85" s="43">
        <f>ዕቁብ!CC88/Sheet4!$C85</f>
        <v>1</v>
      </c>
      <c r="CC85" s="43">
        <f>ዕቁብ!CD88/Sheet4!$C85</f>
        <v>0</v>
      </c>
      <c r="CD85" s="43">
        <f>ዕቁብ!CE88/Sheet4!$C85</f>
        <v>2</v>
      </c>
      <c r="CE85" s="43">
        <f>ዕቁብ!CF88/Sheet4!$C85</f>
        <v>1</v>
      </c>
      <c r="CF85" s="43">
        <f>ዕቁብ!CG88/Sheet4!$C85</f>
        <v>1</v>
      </c>
      <c r="CG85" s="43">
        <f>ዕቁብ!CH88/Sheet4!$C85</f>
        <v>1</v>
      </c>
      <c r="CH85" s="43">
        <f>ዕቁብ!CI88/Sheet4!$C85</f>
        <v>1</v>
      </c>
      <c r="CI85" s="43">
        <f>ዕቁብ!CJ88/Sheet4!$C85</f>
        <v>1</v>
      </c>
      <c r="CJ85" s="43">
        <f>ዕቁብ!CK88/Sheet4!$C85</f>
        <v>1</v>
      </c>
      <c r="CK85" s="43">
        <f>ዕቁብ!CL88/Sheet4!$C85</f>
        <v>0</v>
      </c>
      <c r="CL85" s="43">
        <f>ዕቁብ!CM88/Sheet4!$C85</f>
        <v>2</v>
      </c>
      <c r="CM85" s="43">
        <f>ዕቁብ!CN88/Sheet4!$C85</f>
        <v>0</v>
      </c>
      <c r="CN85" s="43">
        <f>ዕቁብ!CO88/Sheet4!$C85</f>
        <v>2</v>
      </c>
      <c r="CO85" s="43">
        <f>ዕቁብ!CP88/Sheet4!$C85</f>
        <v>0</v>
      </c>
      <c r="CP85" s="43">
        <f>ዕቁብ!CQ88/Sheet4!$C85</f>
        <v>2</v>
      </c>
      <c r="CQ85" s="43">
        <f>ዕቁብ!CR88/Sheet4!$C85</f>
        <v>0</v>
      </c>
      <c r="CR85" s="43">
        <f>ዕቁብ!CS88/Sheet4!$C85</f>
        <v>2</v>
      </c>
      <c r="CS85" s="43">
        <f>ዕቁብ!CT88/Sheet4!$C85</f>
        <v>0</v>
      </c>
      <c r="CT85" s="43">
        <f>ዕቁብ!CU88/Sheet4!$C85</f>
        <v>2</v>
      </c>
      <c r="CU85" s="43">
        <f>ዕቁብ!CV88/Sheet4!$C85</f>
        <v>0</v>
      </c>
      <c r="CV85" s="43">
        <f>ዕቁብ!CW88/Sheet4!$C85</f>
        <v>2</v>
      </c>
      <c r="CW85" s="43">
        <f>ዕቁብ!CX88/Sheet4!$C85</f>
        <v>0</v>
      </c>
      <c r="CX85" s="43">
        <f>ዕቁብ!CY88/Sheet4!$C85</f>
        <v>2</v>
      </c>
      <c r="CY85" s="43">
        <f>ዕቁብ!CZ88/Sheet4!$C85</f>
        <v>0</v>
      </c>
      <c r="CZ85" s="43">
        <f>ዕቁብ!DA88/Sheet4!$C85</f>
        <v>0</v>
      </c>
      <c r="DA85" s="43">
        <f>ዕቁብ!DB88/Sheet4!$C85</f>
        <v>2</v>
      </c>
      <c r="DB85" s="43">
        <f>ዕቁብ!DC88/Sheet4!$C85</f>
        <v>1</v>
      </c>
      <c r="DC85" s="43">
        <f>ዕቁብ!DD88/Sheet4!$C85</f>
        <v>1</v>
      </c>
      <c r="DD85" s="43">
        <f>ዕቁብ!DE88/Sheet4!$C85</f>
        <v>1</v>
      </c>
      <c r="DE85" s="43">
        <f>ዕቁብ!DF88/Sheet4!$C85</f>
        <v>0</v>
      </c>
      <c r="DF85" s="43">
        <f>ዕቁብ!DG88/Sheet4!$C85</f>
        <v>2</v>
      </c>
      <c r="DG85" s="43">
        <f>ዕቁብ!DH88/Sheet4!$C85</f>
        <v>0</v>
      </c>
      <c r="DH85" s="43">
        <f>ዕቁብ!DI88/Sheet4!$C85</f>
        <v>0</v>
      </c>
      <c r="DI85" s="43">
        <f>ዕቁብ!DJ88/Sheet4!$C85</f>
        <v>0</v>
      </c>
      <c r="DJ85" s="43">
        <f>ዕቁብ!DK88/Sheet4!$C85</f>
        <v>0</v>
      </c>
      <c r="DK85" s="43">
        <f>ዕቁብ!DL88/Sheet4!$C85</f>
        <v>0</v>
      </c>
      <c r="DL85" s="43">
        <f>ዕቁብ!DM88/Sheet4!$C85</f>
        <v>0</v>
      </c>
      <c r="DM85" s="43">
        <f>ዕቁብ!DN88/Sheet4!$C85</f>
        <v>0</v>
      </c>
      <c r="DN85" s="43">
        <f>ዕቁብ!DO88/Sheet4!$C85</f>
        <v>0</v>
      </c>
      <c r="DO85" s="43">
        <f>ዕቁብ!DP88/Sheet4!$C85</f>
        <v>0</v>
      </c>
      <c r="DP85" s="43">
        <f>ዕቁብ!DQ88/Sheet4!$C85</f>
        <v>0</v>
      </c>
      <c r="DQ85" s="43">
        <f>ዕቁብ!DR88/Sheet4!$C85</f>
        <v>0</v>
      </c>
    </row>
    <row r="86" spans="1:121" ht="15.75" customHeight="1" x14ac:dyDescent="0.3">
      <c r="A86" s="40">
        <f>ዕቁብ!A89</f>
        <v>83</v>
      </c>
      <c r="B86" s="40" t="str">
        <f>ዕቁብ!B89</f>
        <v>ዘለቀ አከ</v>
      </c>
      <c r="C86" s="30">
        <f>ዕቁብ!C89</f>
        <v>21000</v>
      </c>
      <c r="D86" s="43">
        <f>ዕቁብ!E89/Sheet4!$C86</f>
        <v>1</v>
      </c>
      <c r="E86" s="43">
        <f>ዕቁብ!F89/Sheet4!$C86</f>
        <v>1</v>
      </c>
      <c r="F86" s="43">
        <f>ዕቁብ!G89/Sheet4!$C86</f>
        <v>1</v>
      </c>
      <c r="G86" s="43">
        <f>ዕቁብ!H89/Sheet4!$C86</f>
        <v>1</v>
      </c>
      <c r="H86" s="43">
        <f>ዕቁብ!I89/Sheet4!$C86</f>
        <v>1</v>
      </c>
      <c r="I86" s="43">
        <f>ዕቁብ!J89/Sheet4!$C86</f>
        <v>1</v>
      </c>
      <c r="J86" s="43">
        <f>ዕቁብ!K89/Sheet4!$C86</f>
        <v>1</v>
      </c>
      <c r="K86" s="43">
        <f>ዕቁብ!L89/Sheet4!$C86</f>
        <v>1</v>
      </c>
      <c r="L86" s="43">
        <f>ዕቁብ!M89/Sheet4!$C86</f>
        <v>1</v>
      </c>
      <c r="M86" s="43">
        <f>ዕቁብ!N89/Sheet4!$C86</f>
        <v>1</v>
      </c>
      <c r="N86" s="43">
        <f>ዕቁብ!O89/Sheet4!$C86</f>
        <v>1</v>
      </c>
      <c r="O86" s="43">
        <f>ዕቁብ!P89/Sheet4!$C86</f>
        <v>1</v>
      </c>
      <c r="P86" s="43">
        <f>ዕቁብ!Q89/Sheet4!$C86</f>
        <v>1</v>
      </c>
      <c r="Q86" s="43">
        <f>ዕቁብ!R89/Sheet4!$C86</f>
        <v>1</v>
      </c>
      <c r="R86" s="43">
        <f>ዕቁብ!S89/Sheet4!$C86</f>
        <v>1</v>
      </c>
      <c r="S86" s="43">
        <f>ዕቁብ!T89/Sheet4!$C86</f>
        <v>1</v>
      </c>
      <c r="T86" s="43">
        <f>ዕቁብ!U89/Sheet4!$C86</f>
        <v>1</v>
      </c>
      <c r="U86" s="43">
        <f>ዕቁብ!V89/Sheet4!$C86</f>
        <v>1</v>
      </c>
      <c r="V86" s="43">
        <f>ዕቁብ!W89/Sheet4!$C86</f>
        <v>1</v>
      </c>
      <c r="W86" s="43">
        <f>ዕቁብ!X89/Sheet4!$C86</f>
        <v>1</v>
      </c>
      <c r="X86" s="43">
        <f>ዕቁብ!Y89/Sheet4!$C86</f>
        <v>1</v>
      </c>
      <c r="Y86" s="43">
        <f>ዕቁብ!Z89/Sheet4!$C86</f>
        <v>1</v>
      </c>
      <c r="Z86" s="43">
        <f>ዕቁብ!AA89/Sheet4!$C86</f>
        <v>1</v>
      </c>
      <c r="AA86" s="43">
        <f>ዕቁብ!AB89/Sheet4!$C86</f>
        <v>1</v>
      </c>
      <c r="AB86" s="43">
        <f>ዕቁብ!AC89/Sheet4!$C86</f>
        <v>1</v>
      </c>
      <c r="AC86" s="43">
        <f>ዕቁብ!AD89/Sheet4!$C86</f>
        <v>1</v>
      </c>
      <c r="AD86" s="43">
        <f>ዕቁብ!AE89/Sheet4!$C86</f>
        <v>1</v>
      </c>
      <c r="AE86" s="43">
        <f>ዕቁብ!AF89/Sheet4!$C86</f>
        <v>0</v>
      </c>
      <c r="AF86" s="43">
        <f>ዕቁብ!AG89/Sheet4!$C86</f>
        <v>2</v>
      </c>
      <c r="AG86" s="43">
        <f>ዕቁብ!AH89/Sheet4!$C86</f>
        <v>1</v>
      </c>
      <c r="AH86" s="43">
        <f>ዕቁብ!AI89/Sheet4!$C86</f>
        <v>1</v>
      </c>
      <c r="AI86" s="43">
        <f>ዕቁብ!AJ89/Sheet4!$C86</f>
        <v>0</v>
      </c>
      <c r="AJ86" s="43">
        <f>ዕቁብ!AK89/Sheet4!$C86</f>
        <v>2</v>
      </c>
      <c r="AK86" s="43">
        <f>ዕቁብ!AL89/Sheet4!$C86</f>
        <v>1</v>
      </c>
      <c r="AL86" s="43">
        <f>ዕቁብ!AM89/Sheet4!$C86</f>
        <v>1</v>
      </c>
      <c r="AM86" s="43">
        <f>ዕቁብ!AN89/Sheet4!$C86</f>
        <v>0</v>
      </c>
      <c r="AN86" s="43">
        <f>ዕቁብ!AO89/Sheet4!$C86</f>
        <v>2</v>
      </c>
      <c r="AO86" s="43">
        <f>ዕቁብ!AP89/Sheet4!$C86</f>
        <v>1</v>
      </c>
      <c r="AP86" s="43">
        <f>ዕቁብ!AQ89/Sheet4!$C86</f>
        <v>1</v>
      </c>
      <c r="AQ86" s="43">
        <f>ዕቁብ!AR89/Sheet4!$C86</f>
        <v>1</v>
      </c>
      <c r="AR86" s="43">
        <f>ዕቁብ!AS89/Sheet4!$C86</f>
        <v>1</v>
      </c>
      <c r="AS86" s="43">
        <f>ዕቁብ!AT89/Sheet4!$C86</f>
        <v>1</v>
      </c>
      <c r="AT86" s="43">
        <f>ዕቁብ!AU89/Sheet4!$C86</f>
        <v>1</v>
      </c>
      <c r="AU86" s="43">
        <f>ዕቁብ!AV89/Sheet4!$C86</f>
        <v>1</v>
      </c>
      <c r="AV86" s="43">
        <f>ዕቁብ!AW89/Sheet4!$C86</f>
        <v>0</v>
      </c>
      <c r="AW86" s="43">
        <f>ዕቁብ!AX89/Sheet4!$C86</f>
        <v>1</v>
      </c>
      <c r="AX86" s="43">
        <f>ዕቁብ!AY89/Sheet4!$C86</f>
        <v>2</v>
      </c>
      <c r="AY86" s="43">
        <f>ዕቁብ!AZ89/Sheet4!$C86</f>
        <v>1</v>
      </c>
      <c r="AZ86" s="43">
        <f>ዕቁብ!BA89/Sheet4!$C86</f>
        <v>1</v>
      </c>
      <c r="BA86" s="43">
        <f>ዕቁብ!BB89/Sheet4!$C86</f>
        <v>1</v>
      </c>
      <c r="BB86" s="43">
        <f>ዕቁብ!BC89/Sheet4!$C86</f>
        <v>1</v>
      </c>
      <c r="BC86" s="43">
        <f>ዕቁብ!BD89/Sheet4!$C86</f>
        <v>1</v>
      </c>
      <c r="BD86" s="43">
        <f>ዕቁብ!BE89/Sheet4!$C86</f>
        <v>1</v>
      </c>
      <c r="BE86" s="43">
        <f>ዕቁብ!BF89/Sheet4!$C86</f>
        <v>1</v>
      </c>
      <c r="BF86" s="43">
        <f>ዕቁብ!BG89/Sheet4!$C86</f>
        <v>1</v>
      </c>
      <c r="BG86" s="43">
        <f>ዕቁብ!BH89/Sheet4!$C86</f>
        <v>0</v>
      </c>
      <c r="BH86" s="43">
        <f>ዕቁብ!BI89/Sheet4!$C86</f>
        <v>2</v>
      </c>
      <c r="BI86" s="43">
        <f>ዕቁብ!BJ89/Sheet4!$C86</f>
        <v>1</v>
      </c>
      <c r="BJ86" s="43">
        <f>ዕቁብ!BK89/Sheet4!$C86</f>
        <v>1</v>
      </c>
      <c r="BK86" s="43">
        <f>ዕቁብ!BL89/Sheet4!$C86</f>
        <v>0</v>
      </c>
      <c r="BL86" s="43">
        <f>ዕቁብ!BM89/Sheet4!$C86</f>
        <v>2</v>
      </c>
      <c r="BM86" s="43">
        <f>ዕቁብ!BN89/Sheet4!$C86</f>
        <v>1</v>
      </c>
      <c r="BN86" s="43">
        <f>ዕቁብ!BO89/Sheet4!$C86</f>
        <v>1</v>
      </c>
      <c r="BO86" s="43">
        <f>ዕቁብ!BP89/Sheet4!$C86</f>
        <v>0</v>
      </c>
      <c r="BP86" s="43">
        <f>ዕቁብ!BQ89/Sheet4!$C86</f>
        <v>2</v>
      </c>
      <c r="BQ86" s="43">
        <f>ዕቁብ!BR89/Sheet4!$C86</f>
        <v>0</v>
      </c>
      <c r="BR86" s="43">
        <f>ዕቁብ!BS89/Sheet4!$C86</f>
        <v>1</v>
      </c>
      <c r="BS86" s="43">
        <f>ዕቁብ!BT89/Sheet4!$C86</f>
        <v>1</v>
      </c>
      <c r="BT86" s="43">
        <f>ዕቁብ!BU89/Sheet4!$C86</f>
        <v>2</v>
      </c>
      <c r="BU86" s="43">
        <f>ዕቁብ!BV89/Sheet4!$C86</f>
        <v>1</v>
      </c>
      <c r="BV86" s="43">
        <f>ዕቁብ!BW89/Sheet4!$C86</f>
        <v>1</v>
      </c>
      <c r="BW86" s="43">
        <f>ዕቁብ!BX89/Sheet4!$C86</f>
        <v>0</v>
      </c>
      <c r="BX86" s="43">
        <f>ዕቁብ!BY89/Sheet4!$C86</f>
        <v>2</v>
      </c>
      <c r="BY86" s="43">
        <f>ዕቁብ!BZ89/Sheet4!$C86</f>
        <v>0</v>
      </c>
      <c r="BZ86" s="43">
        <f>ዕቁብ!CA89/Sheet4!$C86</f>
        <v>2</v>
      </c>
      <c r="CA86" s="43">
        <f>ዕቁብ!CB89/Sheet4!$C86</f>
        <v>1</v>
      </c>
      <c r="CB86" s="43">
        <f>ዕቁብ!CC89/Sheet4!$C86</f>
        <v>1</v>
      </c>
      <c r="CC86" s="43">
        <f>ዕቁብ!CD89/Sheet4!$C86</f>
        <v>1</v>
      </c>
      <c r="CD86" s="43">
        <f>ዕቁብ!CE89/Sheet4!$C86</f>
        <v>0</v>
      </c>
      <c r="CE86" s="43">
        <f>ዕቁብ!CF89/Sheet4!$C86</f>
        <v>2</v>
      </c>
      <c r="CF86" s="43">
        <f>ዕቁብ!CG89/Sheet4!$C86</f>
        <v>0</v>
      </c>
      <c r="CG86" s="43">
        <f>ዕቁብ!CH89/Sheet4!$C86</f>
        <v>2</v>
      </c>
      <c r="CH86" s="43">
        <f>ዕቁብ!CI89/Sheet4!$C86</f>
        <v>0</v>
      </c>
      <c r="CI86" s="43">
        <f>ዕቁብ!CJ89/Sheet4!$C86</f>
        <v>0</v>
      </c>
      <c r="CJ86" s="43">
        <f>ዕቁብ!CK89/Sheet4!$C86</f>
        <v>3</v>
      </c>
      <c r="CK86" s="43">
        <f>ዕቁብ!CL89/Sheet4!$C86</f>
        <v>0</v>
      </c>
      <c r="CL86" s="43">
        <f>ዕቁብ!CM89/Sheet4!$C86</f>
        <v>0</v>
      </c>
      <c r="CM86" s="43">
        <f>ዕቁብ!CN89/Sheet4!$C86</f>
        <v>3</v>
      </c>
      <c r="CN86" s="43">
        <f>ዕቁብ!CO89/Sheet4!$C86</f>
        <v>0</v>
      </c>
      <c r="CO86" s="43">
        <f>ዕቁብ!CP89/Sheet4!$C86</f>
        <v>0</v>
      </c>
      <c r="CP86" s="43">
        <f>ዕቁብ!CQ89/Sheet4!$C86</f>
        <v>3</v>
      </c>
      <c r="CQ86" s="43">
        <f>ዕቁብ!CR89/Sheet4!$C86</f>
        <v>0</v>
      </c>
      <c r="CR86" s="43">
        <f>ዕቁብ!CS89/Sheet4!$C86</f>
        <v>2</v>
      </c>
      <c r="CS86" s="43">
        <f>ዕቁብ!CT89/Sheet4!$C86</f>
        <v>0</v>
      </c>
      <c r="CT86" s="43">
        <f>ዕቁብ!CU89/Sheet4!$C86</f>
        <v>0</v>
      </c>
      <c r="CU86" s="43">
        <f>ዕቁብ!CV89/Sheet4!$C86</f>
        <v>0</v>
      </c>
      <c r="CV86" s="43">
        <f>ዕቁብ!CW89/Sheet4!$C86</f>
        <v>2</v>
      </c>
      <c r="CW86" s="43">
        <f>ዕቁብ!CX89/Sheet4!$C86</f>
        <v>0</v>
      </c>
      <c r="CX86" s="43">
        <f>ዕቁብ!CY89/Sheet4!$C86</f>
        <v>0</v>
      </c>
      <c r="CY86" s="43">
        <f>ዕቁብ!CZ89/Sheet4!$C86</f>
        <v>0</v>
      </c>
      <c r="CZ86" s="43">
        <f>ዕቁብ!DA89/Sheet4!$C86</f>
        <v>3</v>
      </c>
      <c r="DA86" s="43">
        <f>ዕቁብ!DB89/Sheet4!$C86</f>
        <v>0</v>
      </c>
      <c r="DB86" s="43">
        <f>ዕቁብ!DC89/Sheet4!$C86</f>
        <v>0</v>
      </c>
      <c r="DC86" s="43">
        <f>ዕቁብ!DD89/Sheet4!$C86</f>
        <v>0</v>
      </c>
      <c r="DD86" s="43">
        <f>ዕቁብ!DE89/Sheet4!$C86</f>
        <v>5</v>
      </c>
      <c r="DE86" s="43">
        <f>ዕቁብ!DF89/Sheet4!$C86</f>
        <v>0</v>
      </c>
      <c r="DF86" s="43">
        <f>ዕቁብ!DG89/Sheet4!$C86</f>
        <v>1</v>
      </c>
      <c r="DG86" s="43">
        <f>ዕቁብ!DH89/Sheet4!$C86</f>
        <v>0</v>
      </c>
      <c r="DH86" s="43">
        <f>ዕቁብ!DI89/Sheet4!$C86</f>
        <v>0</v>
      </c>
      <c r="DI86" s="43">
        <f>ዕቁብ!DJ89/Sheet4!$C86</f>
        <v>0</v>
      </c>
      <c r="DJ86" s="43">
        <f>ዕቁብ!DK89/Sheet4!$C86</f>
        <v>0</v>
      </c>
      <c r="DK86" s="43">
        <f>ዕቁብ!DL89/Sheet4!$C86</f>
        <v>0</v>
      </c>
      <c r="DL86" s="43">
        <f>ዕቁብ!DM89/Sheet4!$C86</f>
        <v>0</v>
      </c>
      <c r="DM86" s="43">
        <f>ዕቁብ!DN89/Sheet4!$C86</f>
        <v>0</v>
      </c>
      <c r="DN86" s="43">
        <f>ዕቁብ!DO89/Sheet4!$C86</f>
        <v>0</v>
      </c>
      <c r="DO86" s="43">
        <f>ዕቁብ!DP89/Sheet4!$C86</f>
        <v>0</v>
      </c>
      <c r="DP86" s="43">
        <f>ዕቁብ!DQ89/Sheet4!$C86</f>
        <v>0</v>
      </c>
      <c r="DQ86" s="43">
        <f>ዕቁብ!DR89/Sheet4!$C86</f>
        <v>0</v>
      </c>
    </row>
    <row r="87" spans="1:121" ht="15.75" customHeight="1" x14ac:dyDescent="0.3">
      <c r="A87" s="40">
        <f>ዕቁብ!A90</f>
        <v>84</v>
      </c>
      <c r="B87" s="40" t="str">
        <f>ዕቁብ!B90</f>
        <v>ከፈለኝ ፃዲቁ</v>
      </c>
      <c r="C87" s="30">
        <f>ዕቁብ!C90</f>
        <v>21000</v>
      </c>
      <c r="D87" s="43">
        <f>ዕቁብ!E90/Sheet4!$C87</f>
        <v>0</v>
      </c>
      <c r="E87" s="43">
        <f>ዕቁብ!F90/Sheet4!$C87</f>
        <v>0</v>
      </c>
      <c r="F87" s="43">
        <f>ዕቁብ!G90/Sheet4!$C87</f>
        <v>0</v>
      </c>
      <c r="G87" s="43">
        <f>ዕቁብ!H90/Sheet4!$C87</f>
        <v>0</v>
      </c>
      <c r="H87" s="43">
        <f>ዕቁብ!I90/Sheet4!$C87</f>
        <v>0</v>
      </c>
      <c r="I87" s="43">
        <f>ዕቁብ!J90/Sheet4!$C87</f>
        <v>0</v>
      </c>
      <c r="J87" s="43">
        <f>ዕቁብ!K90/Sheet4!$C87</f>
        <v>0</v>
      </c>
      <c r="K87" s="43">
        <f>ዕቁብ!L90/Sheet4!$C87</f>
        <v>0</v>
      </c>
      <c r="L87" s="43">
        <f>ዕቁብ!M90/Sheet4!$C87</f>
        <v>0</v>
      </c>
      <c r="M87" s="43">
        <f>ዕቁብ!N90/Sheet4!$C87</f>
        <v>0</v>
      </c>
      <c r="N87" s="43">
        <f>ዕቁብ!O90/Sheet4!$C87</f>
        <v>0</v>
      </c>
      <c r="O87" s="43">
        <f>ዕቁብ!P90/Sheet4!$C87</f>
        <v>0</v>
      </c>
      <c r="P87" s="43">
        <f>ዕቁብ!Q90/Sheet4!$C87</f>
        <v>0</v>
      </c>
      <c r="Q87" s="43">
        <f>ዕቁብ!R90/Sheet4!$C87</f>
        <v>0</v>
      </c>
      <c r="R87" s="43">
        <f>ዕቁብ!S90/Sheet4!$C87</f>
        <v>0</v>
      </c>
      <c r="S87" s="43">
        <f>ዕቁብ!T90/Sheet4!$C87</f>
        <v>0</v>
      </c>
      <c r="T87" s="43">
        <f>ዕቁብ!U90/Sheet4!$C87</f>
        <v>0</v>
      </c>
      <c r="U87" s="43">
        <f>ዕቁብ!V90/Sheet4!$C87</f>
        <v>0</v>
      </c>
      <c r="V87" s="43">
        <f>ዕቁብ!W90/Sheet4!$C87</f>
        <v>0</v>
      </c>
      <c r="W87" s="43">
        <f>ዕቁብ!X90/Sheet4!$C87</f>
        <v>0</v>
      </c>
      <c r="X87" s="43">
        <f>ዕቁብ!Y90/Sheet4!$C87</f>
        <v>0</v>
      </c>
      <c r="Y87" s="43">
        <f>ዕቁብ!Z90/Sheet4!$C87</f>
        <v>0</v>
      </c>
      <c r="Z87" s="43">
        <f>ዕቁብ!AA90/Sheet4!$C87</f>
        <v>0</v>
      </c>
      <c r="AA87" s="43">
        <f>ዕቁብ!AB90/Sheet4!$C87</f>
        <v>0</v>
      </c>
      <c r="AB87" s="43">
        <f>ዕቁብ!AC90/Sheet4!$C87</f>
        <v>0</v>
      </c>
      <c r="AC87" s="43">
        <f>ዕቁብ!AD90/Sheet4!$C87</f>
        <v>0</v>
      </c>
      <c r="AD87" s="43">
        <f>ዕቁብ!AE90/Sheet4!$C87</f>
        <v>0</v>
      </c>
      <c r="AE87" s="43">
        <f>ዕቁብ!AF90/Sheet4!$C87</f>
        <v>0</v>
      </c>
      <c r="AF87" s="43">
        <f>ዕቁብ!AG90/Sheet4!$C87</f>
        <v>0</v>
      </c>
      <c r="AG87" s="43">
        <f>ዕቁብ!AH90/Sheet4!$C87</f>
        <v>0</v>
      </c>
      <c r="AH87" s="43">
        <f>ዕቁብ!AI90/Sheet4!$C87</f>
        <v>0</v>
      </c>
      <c r="AI87" s="43">
        <f>ዕቁብ!AJ90/Sheet4!$C87</f>
        <v>0</v>
      </c>
      <c r="AJ87" s="43">
        <f>ዕቁብ!AK90/Sheet4!$C87</f>
        <v>0</v>
      </c>
      <c r="AK87" s="43">
        <f>ዕቁብ!AL90/Sheet4!$C87</f>
        <v>0</v>
      </c>
      <c r="AL87" s="43">
        <f>ዕቁብ!AM90/Sheet4!$C87</f>
        <v>0</v>
      </c>
      <c r="AM87" s="43">
        <f>ዕቁብ!AN90/Sheet4!$C87</f>
        <v>0</v>
      </c>
      <c r="AN87" s="43">
        <f>ዕቁብ!AO90/Sheet4!$C87</f>
        <v>0</v>
      </c>
      <c r="AO87" s="43">
        <f>ዕቁብ!AP90/Sheet4!$C87</f>
        <v>0</v>
      </c>
      <c r="AP87" s="43">
        <f>ዕቁብ!AQ90/Sheet4!$C87</f>
        <v>0</v>
      </c>
      <c r="AQ87" s="43">
        <f>ዕቁብ!AR90/Sheet4!$C87</f>
        <v>0</v>
      </c>
      <c r="AR87" s="43">
        <f>ዕቁብ!AS90/Sheet4!$C87</f>
        <v>0</v>
      </c>
      <c r="AS87" s="43">
        <f>ዕቁብ!AT90/Sheet4!$C87</f>
        <v>0</v>
      </c>
      <c r="AT87" s="43">
        <f>ዕቁብ!AU90/Sheet4!$C87</f>
        <v>0</v>
      </c>
      <c r="AU87" s="43">
        <f>ዕቁብ!AV90/Sheet4!$C87</f>
        <v>0</v>
      </c>
      <c r="AV87" s="43">
        <f>ዕቁብ!AW90/Sheet4!$C87</f>
        <v>0</v>
      </c>
      <c r="AW87" s="43">
        <f>ዕቁብ!AX90/Sheet4!$C87</f>
        <v>0</v>
      </c>
      <c r="AX87" s="43">
        <f>ዕቁብ!AY90/Sheet4!$C87</f>
        <v>0</v>
      </c>
      <c r="AY87" s="43">
        <f>ዕቁብ!AZ90/Sheet4!$C87</f>
        <v>0</v>
      </c>
      <c r="AZ87" s="43">
        <f>ዕቁብ!BA90/Sheet4!$C87</f>
        <v>0</v>
      </c>
      <c r="BA87" s="43">
        <f>ዕቁብ!BB90/Sheet4!$C87</f>
        <v>0</v>
      </c>
      <c r="BB87" s="43">
        <f>ዕቁብ!BC90/Sheet4!$C87</f>
        <v>0</v>
      </c>
      <c r="BC87" s="43">
        <f>ዕቁብ!BD90/Sheet4!$C87</f>
        <v>0</v>
      </c>
      <c r="BD87" s="43">
        <f>ዕቁብ!BE90/Sheet4!$C87</f>
        <v>0</v>
      </c>
      <c r="BE87" s="43">
        <f>ዕቁብ!BF90/Sheet4!$C87</f>
        <v>0</v>
      </c>
      <c r="BF87" s="43">
        <f>ዕቁብ!BG90/Sheet4!$C87</f>
        <v>0</v>
      </c>
      <c r="BG87" s="43">
        <f>ዕቁብ!BH90/Sheet4!$C87</f>
        <v>0</v>
      </c>
      <c r="BH87" s="43">
        <f>ዕቁብ!BI90/Sheet4!$C87</f>
        <v>0</v>
      </c>
      <c r="BI87" s="43">
        <f>ዕቁብ!BJ90/Sheet4!$C87</f>
        <v>0</v>
      </c>
      <c r="BJ87" s="43">
        <f>ዕቁብ!BK90/Sheet4!$C87</f>
        <v>0</v>
      </c>
      <c r="BK87" s="43">
        <f>ዕቁብ!BL90/Sheet4!$C87</f>
        <v>0</v>
      </c>
      <c r="BL87" s="43">
        <f>ዕቁብ!BM90/Sheet4!$C87</f>
        <v>0</v>
      </c>
      <c r="BM87" s="43">
        <f>ዕቁብ!BN90/Sheet4!$C87</f>
        <v>0</v>
      </c>
      <c r="BN87" s="43">
        <f>ዕቁብ!BO90/Sheet4!$C87</f>
        <v>0</v>
      </c>
      <c r="BO87" s="43">
        <f>ዕቁብ!BP90/Sheet4!$C87</f>
        <v>0</v>
      </c>
      <c r="BP87" s="43">
        <f>ዕቁብ!BQ90/Sheet4!$C87</f>
        <v>0</v>
      </c>
      <c r="BQ87" s="43">
        <f>ዕቁብ!BR90/Sheet4!$C87</f>
        <v>0</v>
      </c>
      <c r="BR87" s="43">
        <f>ዕቁብ!BS90/Sheet4!$C87</f>
        <v>0</v>
      </c>
      <c r="BS87" s="43">
        <f>ዕቁብ!BT90/Sheet4!$C87</f>
        <v>0</v>
      </c>
      <c r="BT87" s="43">
        <f>ዕቁብ!BU90/Sheet4!$C87</f>
        <v>0</v>
      </c>
      <c r="BU87" s="43">
        <f>ዕቁብ!BV90/Sheet4!$C87</f>
        <v>0</v>
      </c>
      <c r="BV87" s="43">
        <f>ዕቁብ!BW90/Sheet4!$C87</f>
        <v>0</v>
      </c>
      <c r="BW87" s="43">
        <f>ዕቁብ!BX90/Sheet4!$C87</f>
        <v>0</v>
      </c>
      <c r="BX87" s="43">
        <f>ዕቁብ!BY90/Sheet4!$C87</f>
        <v>0</v>
      </c>
      <c r="BY87" s="43">
        <f>ዕቁብ!BZ90/Sheet4!$C87</f>
        <v>0</v>
      </c>
      <c r="BZ87" s="43">
        <f>ዕቁብ!CA90/Sheet4!$C87</f>
        <v>0</v>
      </c>
      <c r="CA87" s="43">
        <f>ዕቁብ!CB90/Sheet4!$C87</f>
        <v>0</v>
      </c>
      <c r="CB87" s="43">
        <f>ዕቁብ!CC90/Sheet4!$C87</f>
        <v>0</v>
      </c>
      <c r="CC87" s="43">
        <f>ዕቁብ!CD90/Sheet4!$C87</f>
        <v>0</v>
      </c>
      <c r="CD87" s="43">
        <f>ዕቁብ!CE90/Sheet4!$C87</f>
        <v>0</v>
      </c>
      <c r="CE87" s="43">
        <f>ዕቁብ!CF90/Sheet4!$C87</f>
        <v>0</v>
      </c>
      <c r="CF87" s="43">
        <f>ዕቁብ!CG90/Sheet4!$C87</f>
        <v>0</v>
      </c>
      <c r="CG87" s="43">
        <f>ዕቁብ!CH90/Sheet4!$C87</f>
        <v>0</v>
      </c>
      <c r="CH87" s="43">
        <f>ዕቁብ!CI90/Sheet4!$C87</f>
        <v>0</v>
      </c>
      <c r="CI87" s="43">
        <f>ዕቁብ!CJ90/Sheet4!$C87</f>
        <v>0</v>
      </c>
      <c r="CJ87" s="43">
        <f>ዕቁብ!CK90/Sheet4!$C87</f>
        <v>0</v>
      </c>
      <c r="CK87" s="43">
        <f>ዕቁብ!CL90/Sheet4!$C87</f>
        <v>0</v>
      </c>
      <c r="CL87" s="43">
        <f>ዕቁብ!CM90/Sheet4!$C87</f>
        <v>0</v>
      </c>
      <c r="CM87" s="43">
        <f>ዕቁብ!CN90/Sheet4!$C87</f>
        <v>0</v>
      </c>
      <c r="CN87" s="43">
        <f>ዕቁብ!CO90/Sheet4!$C87</f>
        <v>0</v>
      </c>
      <c r="CO87" s="43">
        <f>ዕቁብ!CP90/Sheet4!$C87</f>
        <v>0</v>
      </c>
      <c r="CP87" s="43">
        <f>ዕቁብ!CQ90/Sheet4!$C87</f>
        <v>0</v>
      </c>
      <c r="CQ87" s="43">
        <f>ዕቁብ!CR90/Sheet4!$C87</f>
        <v>0</v>
      </c>
      <c r="CR87" s="43">
        <f>ዕቁብ!CS90/Sheet4!$C87</f>
        <v>0</v>
      </c>
      <c r="CS87" s="43">
        <f>ዕቁብ!CT90/Sheet4!$C87</f>
        <v>0</v>
      </c>
      <c r="CT87" s="43">
        <f>ዕቁብ!CU90/Sheet4!$C87</f>
        <v>0</v>
      </c>
      <c r="CU87" s="43">
        <f>ዕቁብ!CV90/Sheet4!$C87</f>
        <v>0</v>
      </c>
      <c r="CV87" s="43">
        <f>ዕቁብ!CW90/Sheet4!$C87</f>
        <v>0</v>
      </c>
      <c r="CW87" s="43">
        <f>ዕቁብ!CX90/Sheet4!$C87</f>
        <v>0</v>
      </c>
      <c r="CX87" s="43">
        <f>ዕቁብ!CY90/Sheet4!$C87</f>
        <v>0</v>
      </c>
      <c r="CY87" s="43">
        <f>ዕቁብ!CZ90/Sheet4!$C87</f>
        <v>0</v>
      </c>
      <c r="CZ87" s="43">
        <f>ዕቁብ!DA90/Sheet4!$C87</f>
        <v>0</v>
      </c>
      <c r="DA87" s="43">
        <f>ዕቁብ!DB90/Sheet4!$C87</f>
        <v>0</v>
      </c>
      <c r="DB87" s="43">
        <f>ዕቁብ!DC90/Sheet4!$C87</f>
        <v>0</v>
      </c>
      <c r="DC87" s="43">
        <f>ዕቁብ!DD90/Sheet4!$C87</f>
        <v>0</v>
      </c>
      <c r="DD87" s="43">
        <f>ዕቁብ!DE90/Sheet4!$C87</f>
        <v>0</v>
      </c>
      <c r="DE87" s="43">
        <f>ዕቁብ!DF90/Sheet4!$C87</f>
        <v>0</v>
      </c>
      <c r="DF87" s="43">
        <f>ዕቁብ!DG90/Sheet4!$C87</f>
        <v>0</v>
      </c>
      <c r="DG87" s="43">
        <f>ዕቁብ!DH90/Sheet4!$C87</f>
        <v>0</v>
      </c>
      <c r="DH87" s="43">
        <f>ዕቁብ!DI90/Sheet4!$C87</f>
        <v>0</v>
      </c>
      <c r="DI87" s="43">
        <f>ዕቁብ!DJ90/Sheet4!$C87</f>
        <v>0</v>
      </c>
      <c r="DJ87" s="43">
        <f>ዕቁብ!DK90/Sheet4!$C87</f>
        <v>0</v>
      </c>
      <c r="DK87" s="43">
        <f>ዕቁብ!DL90/Sheet4!$C87</f>
        <v>0</v>
      </c>
      <c r="DL87" s="43">
        <f>ዕቁብ!DM90/Sheet4!$C87</f>
        <v>0</v>
      </c>
      <c r="DM87" s="43">
        <f>ዕቁብ!DN90/Sheet4!$C87</f>
        <v>0</v>
      </c>
      <c r="DN87" s="43">
        <f>ዕቁብ!DO90/Sheet4!$C87</f>
        <v>0</v>
      </c>
      <c r="DO87" s="43">
        <f>ዕቁብ!DP90/Sheet4!$C87</f>
        <v>0</v>
      </c>
      <c r="DP87" s="43">
        <f>ዕቁብ!DQ90/Sheet4!$C87</f>
        <v>0</v>
      </c>
      <c r="DQ87" s="43">
        <f>ዕቁብ!DR90/Sheet4!$C87</f>
        <v>0</v>
      </c>
    </row>
    <row r="88" spans="1:121" ht="15.75" customHeight="1" x14ac:dyDescent="0.3">
      <c r="A88" s="40">
        <f>ዕቁብ!A91</f>
        <v>85</v>
      </c>
      <c r="B88" s="40" t="str">
        <f>ዕቁብ!B91</f>
        <v>ጋቶ ጋሌ</v>
      </c>
      <c r="C88" s="30">
        <f>ዕቁብ!C91</f>
        <v>21000</v>
      </c>
      <c r="D88" s="43">
        <f>ዕቁብ!E91/Sheet4!$C88</f>
        <v>1</v>
      </c>
      <c r="E88" s="43">
        <f>ዕቁብ!F91/Sheet4!$C88</f>
        <v>1</v>
      </c>
      <c r="F88" s="43">
        <f>ዕቁብ!G91/Sheet4!$C88</f>
        <v>1</v>
      </c>
      <c r="G88" s="43">
        <f>ዕቁብ!H91/Sheet4!$C88</f>
        <v>1</v>
      </c>
      <c r="H88" s="43">
        <f>ዕቁብ!I91/Sheet4!$C88</f>
        <v>1</v>
      </c>
      <c r="I88" s="43">
        <f>ዕቁብ!J91/Sheet4!$C88</f>
        <v>1</v>
      </c>
      <c r="J88" s="43">
        <f>ዕቁብ!K91/Sheet4!$C88</f>
        <v>1</v>
      </c>
      <c r="K88" s="43">
        <f>ዕቁብ!L91/Sheet4!$C88</f>
        <v>1</v>
      </c>
      <c r="L88" s="43">
        <f>ዕቁብ!M91/Sheet4!$C88</f>
        <v>1</v>
      </c>
      <c r="M88" s="43">
        <f>ዕቁብ!N91/Sheet4!$C88</f>
        <v>1</v>
      </c>
      <c r="N88" s="43">
        <f>ዕቁብ!O91/Sheet4!$C88</f>
        <v>1</v>
      </c>
      <c r="O88" s="43">
        <f>ዕቁብ!P91/Sheet4!$C88</f>
        <v>1</v>
      </c>
      <c r="P88" s="43">
        <f>ዕቁብ!Q91/Sheet4!$C88</f>
        <v>1</v>
      </c>
      <c r="Q88" s="43">
        <f>ዕቁብ!R91/Sheet4!$C88</f>
        <v>1</v>
      </c>
      <c r="R88" s="43">
        <f>ዕቁብ!S91/Sheet4!$C88</f>
        <v>1</v>
      </c>
      <c r="S88" s="43">
        <f>ዕቁብ!T91/Sheet4!$C88</f>
        <v>1</v>
      </c>
      <c r="T88" s="43">
        <f>ዕቁብ!U91/Sheet4!$C88</f>
        <v>1</v>
      </c>
      <c r="U88" s="43">
        <f>ዕቁብ!V91/Sheet4!$C88</f>
        <v>1</v>
      </c>
      <c r="V88" s="43">
        <f>ዕቁብ!W91/Sheet4!$C88</f>
        <v>1</v>
      </c>
      <c r="W88" s="43">
        <f>ዕቁብ!X91/Sheet4!$C88</f>
        <v>1</v>
      </c>
      <c r="X88" s="43">
        <f>ዕቁብ!Y91/Sheet4!$C88</f>
        <v>1</v>
      </c>
      <c r="Y88" s="43">
        <f>ዕቁብ!Z91/Sheet4!$C88</f>
        <v>1</v>
      </c>
      <c r="Z88" s="43">
        <f>ዕቁብ!AA91/Sheet4!$C88</f>
        <v>1</v>
      </c>
      <c r="AA88" s="43">
        <f>ዕቁብ!AB91/Sheet4!$C88</f>
        <v>1</v>
      </c>
      <c r="AB88" s="43">
        <f>ዕቁብ!AC91/Sheet4!$C88</f>
        <v>1</v>
      </c>
      <c r="AC88" s="43">
        <f>ዕቁብ!AD91/Sheet4!$C88</f>
        <v>1</v>
      </c>
      <c r="AD88" s="43">
        <f>ዕቁብ!AE91/Sheet4!$C88</f>
        <v>1</v>
      </c>
      <c r="AE88" s="43">
        <f>ዕቁብ!AF91/Sheet4!$C88</f>
        <v>1</v>
      </c>
      <c r="AF88" s="43">
        <f>ዕቁብ!AG91/Sheet4!$C88</f>
        <v>1</v>
      </c>
      <c r="AG88" s="43">
        <f>ዕቁብ!AH91/Sheet4!$C88</f>
        <v>1</v>
      </c>
      <c r="AH88" s="43">
        <f>ዕቁብ!AI91/Sheet4!$C88</f>
        <v>1</v>
      </c>
      <c r="AI88" s="43">
        <f>ዕቁብ!AJ91/Sheet4!$C88</f>
        <v>1</v>
      </c>
      <c r="AJ88" s="43">
        <f>ዕቁብ!AK91/Sheet4!$C88</f>
        <v>1</v>
      </c>
      <c r="AK88" s="43">
        <f>ዕቁብ!AL91/Sheet4!$C88</f>
        <v>1</v>
      </c>
      <c r="AL88" s="43">
        <f>ዕቁብ!AM91/Sheet4!$C88</f>
        <v>1</v>
      </c>
      <c r="AM88" s="43">
        <f>ዕቁብ!AN91/Sheet4!$C88</f>
        <v>1</v>
      </c>
      <c r="AN88" s="43">
        <f>ዕቁብ!AO91/Sheet4!$C88</f>
        <v>1</v>
      </c>
      <c r="AO88" s="43">
        <f>ዕቁብ!AP91/Sheet4!$C88</f>
        <v>1</v>
      </c>
      <c r="AP88" s="43">
        <f>ዕቁብ!AQ91/Sheet4!$C88</f>
        <v>1</v>
      </c>
      <c r="AQ88" s="43">
        <f>ዕቁብ!AR91/Sheet4!$C88</f>
        <v>1</v>
      </c>
      <c r="AR88" s="43">
        <f>ዕቁብ!AS91/Sheet4!$C88</f>
        <v>1</v>
      </c>
      <c r="AS88" s="43">
        <f>ዕቁብ!AT91/Sheet4!$C88</f>
        <v>1</v>
      </c>
      <c r="AT88" s="43">
        <f>ዕቁብ!AU91/Sheet4!$C88</f>
        <v>1</v>
      </c>
      <c r="AU88" s="43">
        <f>ዕቁብ!AV91/Sheet4!$C88</f>
        <v>0</v>
      </c>
      <c r="AV88" s="43">
        <f>ዕቁብ!AW91/Sheet4!$C88</f>
        <v>2</v>
      </c>
      <c r="AW88" s="43">
        <f>ዕቁብ!AX91/Sheet4!$C88</f>
        <v>1</v>
      </c>
      <c r="AX88" s="43">
        <f>ዕቁብ!AY91/Sheet4!$C88</f>
        <v>1</v>
      </c>
      <c r="AY88" s="43">
        <f>ዕቁብ!AZ91/Sheet4!$C88</f>
        <v>1</v>
      </c>
      <c r="AZ88" s="43">
        <f>ዕቁብ!BA91/Sheet4!$C88</f>
        <v>1</v>
      </c>
      <c r="BA88" s="43">
        <f>ዕቁብ!BB91/Sheet4!$C88</f>
        <v>1</v>
      </c>
      <c r="BB88" s="43">
        <f>ዕቁብ!BC91/Sheet4!$C88</f>
        <v>0</v>
      </c>
      <c r="BC88" s="43">
        <f>ዕቁብ!BD91/Sheet4!$C88</f>
        <v>2</v>
      </c>
      <c r="BD88" s="43">
        <f>ዕቁብ!BE91/Sheet4!$C88</f>
        <v>1</v>
      </c>
      <c r="BE88" s="43">
        <f>ዕቁብ!BF91/Sheet4!$C88</f>
        <v>1</v>
      </c>
      <c r="BF88" s="43">
        <f>ዕቁብ!BG91/Sheet4!$C88</f>
        <v>1</v>
      </c>
      <c r="BG88" s="43">
        <f>ዕቁብ!BH91/Sheet4!$C88</f>
        <v>0</v>
      </c>
      <c r="BH88" s="43">
        <f>ዕቁብ!BI91/Sheet4!$C88</f>
        <v>2</v>
      </c>
      <c r="BI88" s="43">
        <f>ዕቁብ!BJ91/Sheet4!$C88</f>
        <v>1</v>
      </c>
      <c r="BJ88" s="43">
        <f>ዕቁብ!BK91/Sheet4!$C88</f>
        <v>0</v>
      </c>
      <c r="BK88" s="43">
        <f>ዕቁብ!BL91/Sheet4!$C88</f>
        <v>2</v>
      </c>
      <c r="BL88" s="43">
        <f>ዕቁብ!BM91/Sheet4!$C88</f>
        <v>1</v>
      </c>
      <c r="BM88" s="43">
        <f>ዕቁብ!BN91/Sheet4!$C88</f>
        <v>1</v>
      </c>
      <c r="BN88" s="43">
        <f>ዕቁብ!BO91/Sheet4!$C88</f>
        <v>1</v>
      </c>
      <c r="BO88" s="43">
        <f>ዕቁብ!BP91/Sheet4!$C88</f>
        <v>1</v>
      </c>
      <c r="BP88" s="43">
        <f>ዕቁብ!BQ91/Sheet4!$C88</f>
        <v>1</v>
      </c>
      <c r="BQ88" s="43">
        <f>ዕቁብ!BR91/Sheet4!$C88</f>
        <v>1</v>
      </c>
      <c r="BR88" s="43">
        <f>ዕቁብ!BS91/Sheet4!$C88</f>
        <v>1</v>
      </c>
      <c r="BS88" s="43">
        <f>ዕቁብ!BT91/Sheet4!$C88</f>
        <v>1</v>
      </c>
      <c r="BT88" s="43">
        <f>ዕቁብ!BU91/Sheet4!$C88</f>
        <v>1</v>
      </c>
      <c r="BU88" s="43">
        <f>ዕቁብ!BV91/Sheet4!$C88</f>
        <v>1</v>
      </c>
      <c r="BV88" s="43">
        <f>ዕቁብ!BW91/Sheet4!$C88</f>
        <v>1</v>
      </c>
      <c r="BW88" s="43">
        <f>ዕቁብ!BX91/Sheet4!$C88</f>
        <v>1</v>
      </c>
      <c r="BX88" s="43">
        <f>ዕቁብ!BY91/Sheet4!$C88</f>
        <v>1</v>
      </c>
      <c r="BY88" s="43">
        <f>ዕቁብ!BZ91/Sheet4!$C88</f>
        <v>1</v>
      </c>
      <c r="BZ88" s="43">
        <f>ዕቁብ!CA91/Sheet4!$C88</f>
        <v>1</v>
      </c>
      <c r="CA88" s="43">
        <f>ዕቁብ!CB91/Sheet4!$C88</f>
        <v>1</v>
      </c>
      <c r="CB88" s="43">
        <f>ዕቁብ!CC91/Sheet4!$C88</f>
        <v>1</v>
      </c>
      <c r="CC88" s="43">
        <f>ዕቁብ!CD91/Sheet4!$C88</f>
        <v>1</v>
      </c>
      <c r="CD88" s="43">
        <f>ዕቁብ!CE91/Sheet4!$C88</f>
        <v>1</v>
      </c>
      <c r="CE88" s="43">
        <f>ዕቁብ!CF91/Sheet4!$C88</f>
        <v>1</v>
      </c>
      <c r="CF88" s="43">
        <f>ዕቁብ!CG91/Sheet4!$C88</f>
        <v>1</v>
      </c>
      <c r="CG88" s="43">
        <f>ዕቁብ!CH91/Sheet4!$C88</f>
        <v>1</v>
      </c>
      <c r="CH88" s="43">
        <f>ዕቁብ!CI91/Sheet4!$C88</f>
        <v>1</v>
      </c>
      <c r="CI88" s="43">
        <f>ዕቁብ!CJ91/Sheet4!$C88</f>
        <v>1</v>
      </c>
      <c r="CJ88" s="43">
        <f>ዕቁብ!CK91/Sheet4!$C88</f>
        <v>1</v>
      </c>
      <c r="CK88" s="43">
        <f>ዕቁብ!CL91/Sheet4!$C88</f>
        <v>1</v>
      </c>
      <c r="CL88" s="43">
        <f>ዕቁብ!CM91/Sheet4!$C88</f>
        <v>1</v>
      </c>
      <c r="CM88" s="43">
        <f>ዕቁብ!CN91/Sheet4!$C88</f>
        <v>1</v>
      </c>
      <c r="CN88" s="43">
        <f>ዕቁብ!CO91/Sheet4!$C88</f>
        <v>1</v>
      </c>
      <c r="CO88" s="43">
        <f>ዕቁብ!CP91/Sheet4!$C88</f>
        <v>1</v>
      </c>
      <c r="CP88" s="43">
        <f>ዕቁብ!CQ91/Sheet4!$C88</f>
        <v>0</v>
      </c>
      <c r="CQ88" s="43">
        <f>ዕቁብ!CR91/Sheet4!$C88</f>
        <v>1</v>
      </c>
      <c r="CR88" s="43">
        <f>ዕቁብ!CS91/Sheet4!$C88</f>
        <v>1</v>
      </c>
      <c r="CS88" s="43">
        <f>ዕቁብ!CT91/Sheet4!$C88</f>
        <v>1</v>
      </c>
      <c r="CT88" s="43">
        <f>ዕቁብ!CU91/Sheet4!$C88</f>
        <v>1</v>
      </c>
      <c r="CU88" s="43">
        <f>ዕቁብ!CV91/Sheet4!$C88</f>
        <v>1</v>
      </c>
      <c r="CV88" s="43">
        <f>ዕቁብ!CW91/Sheet4!$C88</f>
        <v>1</v>
      </c>
      <c r="CW88" s="43">
        <f>ዕቁብ!CX91/Sheet4!$C88</f>
        <v>1</v>
      </c>
      <c r="CX88" s="43">
        <f>ዕቁብ!CY91/Sheet4!$C88</f>
        <v>1</v>
      </c>
      <c r="CY88" s="43">
        <f>ዕቁብ!CZ91/Sheet4!$C88</f>
        <v>1</v>
      </c>
      <c r="CZ88" s="43">
        <f>ዕቁብ!DA91/Sheet4!$C88</f>
        <v>1</v>
      </c>
      <c r="DA88" s="43">
        <f>ዕቁብ!DB91/Sheet4!$C88</f>
        <v>1</v>
      </c>
      <c r="DB88" s="43">
        <f>ዕቁብ!DC91/Sheet4!$C88</f>
        <v>1</v>
      </c>
      <c r="DC88" s="43">
        <f>ዕቁብ!DD91/Sheet4!$C88</f>
        <v>1</v>
      </c>
      <c r="DD88" s="43">
        <f>ዕቁብ!DE91/Sheet4!$C88</f>
        <v>1</v>
      </c>
      <c r="DE88" s="43">
        <f>ዕቁብ!DF91/Sheet4!$C88</f>
        <v>0</v>
      </c>
      <c r="DF88" s="43">
        <f>ዕቁብ!DG91/Sheet4!$C88</f>
        <v>2</v>
      </c>
      <c r="DG88" s="43">
        <f>ዕቁብ!DH91/Sheet4!$C88</f>
        <v>1</v>
      </c>
      <c r="DH88" s="43">
        <f>ዕቁብ!DI91/Sheet4!$C88</f>
        <v>0</v>
      </c>
      <c r="DI88" s="43">
        <f>ዕቁብ!DJ91/Sheet4!$C88</f>
        <v>0</v>
      </c>
      <c r="DJ88" s="43">
        <f>ዕቁብ!DK91/Sheet4!$C88</f>
        <v>0</v>
      </c>
      <c r="DK88" s="43">
        <f>ዕቁብ!DL91/Sheet4!$C88</f>
        <v>0</v>
      </c>
      <c r="DL88" s="43">
        <f>ዕቁብ!DM91/Sheet4!$C88</f>
        <v>0</v>
      </c>
      <c r="DM88" s="43">
        <f>ዕቁብ!DN91/Sheet4!$C88</f>
        <v>0</v>
      </c>
      <c r="DN88" s="43">
        <f>ዕቁብ!DO91/Sheet4!$C88</f>
        <v>0</v>
      </c>
      <c r="DO88" s="43">
        <f>ዕቁብ!DP91/Sheet4!$C88</f>
        <v>0</v>
      </c>
      <c r="DP88" s="43">
        <f>ዕቁብ!DQ91/Sheet4!$C88</f>
        <v>0</v>
      </c>
      <c r="DQ88" s="43">
        <f>ዕቁብ!DR91/Sheet4!$C88</f>
        <v>0</v>
      </c>
    </row>
    <row r="89" spans="1:121" ht="15.75" customHeight="1" x14ac:dyDescent="0.3">
      <c r="A89" s="40">
        <f>ዕቁብ!A92</f>
        <v>86</v>
      </c>
      <c r="B89" s="40" t="str">
        <f>ዕቁብ!B92</f>
        <v xml:space="preserve">ቀሬ ቀማቾ </v>
      </c>
      <c r="C89" s="30">
        <f>ዕቁብ!C92</f>
        <v>21000</v>
      </c>
      <c r="D89" s="43">
        <f>ዕቁብ!E92/Sheet4!$C89</f>
        <v>1</v>
      </c>
      <c r="E89" s="43">
        <f>ዕቁብ!F92/Sheet4!$C89</f>
        <v>1</v>
      </c>
      <c r="F89" s="43">
        <f>ዕቁብ!G92/Sheet4!$C89</f>
        <v>1</v>
      </c>
      <c r="G89" s="43">
        <f>ዕቁብ!H92/Sheet4!$C89</f>
        <v>1</v>
      </c>
      <c r="H89" s="43">
        <f>ዕቁብ!I92/Sheet4!$C89</f>
        <v>1</v>
      </c>
      <c r="I89" s="43">
        <f>ዕቁብ!J92/Sheet4!$C89</f>
        <v>1</v>
      </c>
      <c r="J89" s="43">
        <f>ዕቁብ!K92/Sheet4!$C89</f>
        <v>1</v>
      </c>
      <c r="K89" s="43">
        <f>ዕቁብ!L92/Sheet4!$C89</f>
        <v>1</v>
      </c>
      <c r="L89" s="43">
        <f>ዕቁብ!M92/Sheet4!$C89</f>
        <v>1</v>
      </c>
      <c r="M89" s="43">
        <f>ዕቁብ!N92/Sheet4!$C89</f>
        <v>1</v>
      </c>
      <c r="N89" s="43">
        <f>ዕቁብ!O92/Sheet4!$C89</f>
        <v>1</v>
      </c>
      <c r="O89" s="43">
        <f>ዕቁብ!P92/Sheet4!$C89</f>
        <v>1</v>
      </c>
      <c r="P89" s="43">
        <f>ዕቁብ!Q92/Sheet4!$C89</f>
        <v>1</v>
      </c>
      <c r="Q89" s="43">
        <f>ዕቁብ!R92/Sheet4!$C89</f>
        <v>1</v>
      </c>
      <c r="R89" s="43">
        <f>ዕቁብ!S92/Sheet4!$C89</f>
        <v>1</v>
      </c>
      <c r="S89" s="43">
        <f>ዕቁብ!T92/Sheet4!$C89</f>
        <v>1</v>
      </c>
      <c r="T89" s="43">
        <f>ዕቁብ!U92/Sheet4!$C89</f>
        <v>1</v>
      </c>
      <c r="U89" s="43">
        <f>ዕቁብ!V92/Sheet4!$C89</f>
        <v>1</v>
      </c>
      <c r="V89" s="43">
        <f>ዕቁብ!W92/Sheet4!$C89</f>
        <v>1</v>
      </c>
      <c r="W89" s="43">
        <f>ዕቁብ!X92/Sheet4!$C89</f>
        <v>1</v>
      </c>
      <c r="X89" s="43">
        <f>ዕቁብ!Y92/Sheet4!$C89</f>
        <v>1</v>
      </c>
      <c r="Y89" s="43">
        <f>ዕቁብ!Z92/Sheet4!$C89</f>
        <v>1</v>
      </c>
      <c r="Z89" s="43">
        <f>ዕቁብ!AA92/Sheet4!$C89</f>
        <v>1</v>
      </c>
      <c r="AA89" s="43">
        <f>ዕቁብ!AB92/Sheet4!$C89</f>
        <v>1</v>
      </c>
      <c r="AB89" s="43">
        <f>ዕቁብ!AC92/Sheet4!$C89</f>
        <v>1</v>
      </c>
      <c r="AC89" s="43">
        <f>ዕቁብ!AD92/Sheet4!$C89</f>
        <v>1</v>
      </c>
      <c r="AD89" s="43">
        <f>ዕቁብ!AE92/Sheet4!$C89</f>
        <v>1</v>
      </c>
      <c r="AE89" s="43">
        <f>ዕቁብ!AF92/Sheet4!$C89</f>
        <v>1</v>
      </c>
      <c r="AF89" s="43">
        <f>ዕቁብ!AG92/Sheet4!$C89</f>
        <v>1</v>
      </c>
      <c r="AG89" s="43">
        <f>ዕቁብ!AH92/Sheet4!$C89</f>
        <v>1</v>
      </c>
      <c r="AH89" s="43">
        <f>ዕቁብ!AI92/Sheet4!$C89</f>
        <v>1</v>
      </c>
      <c r="AI89" s="43">
        <f>ዕቁብ!AJ92/Sheet4!$C89</f>
        <v>1</v>
      </c>
      <c r="AJ89" s="43">
        <f>ዕቁብ!AK92/Sheet4!$C89</f>
        <v>1</v>
      </c>
      <c r="AK89" s="43">
        <f>ዕቁብ!AL92/Sheet4!$C89</f>
        <v>1</v>
      </c>
      <c r="AL89" s="43">
        <f>ዕቁብ!AM92/Sheet4!$C89</f>
        <v>1</v>
      </c>
      <c r="AM89" s="43">
        <f>ዕቁብ!AN92/Sheet4!$C89</f>
        <v>1</v>
      </c>
      <c r="AN89" s="43">
        <f>ዕቁብ!AO92/Sheet4!$C89</f>
        <v>1</v>
      </c>
      <c r="AO89" s="43">
        <f>ዕቁብ!AP92/Sheet4!$C89</f>
        <v>1</v>
      </c>
      <c r="AP89" s="43">
        <f>ዕቁብ!AQ92/Sheet4!$C89</f>
        <v>1</v>
      </c>
      <c r="AQ89" s="43">
        <f>ዕቁብ!AR92/Sheet4!$C89</f>
        <v>1</v>
      </c>
      <c r="AR89" s="43">
        <f>ዕቁብ!AS92/Sheet4!$C89</f>
        <v>1</v>
      </c>
      <c r="AS89" s="43">
        <f>ዕቁብ!AT92/Sheet4!$C89</f>
        <v>1</v>
      </c>
      <c r="AT89" s="43">
        <f>ዕቁብ!AU92/Sheet4!$C89</f>
        <v>1</v>
      </c>
      <c r="AU89" s="43">
        <f>ዕቁብ!AV92/Sheet4!$C89</f>
        <v>1</v>
      </c>
      <c r="AV89" s="43">
        <f>ዕቁብ!AW92/Sheet4!$C89</f>
        <v>1</v>
      </c>
      <c r="AW89" s="43">
        <f>ዕቁብ!AX92/Sheet4!$C89</f>
        <v>1</v>
      </c>
      <c r="AX89" s="43">
        <f>ዕቁብ!AY92/Sheet4!$C89</f>
        <v>1</v>
      </c>
      <c r="AY89" s="43">
        <f>ዕቁብ!AZ92/Sheet4!$C89</f>
        <v>1</v>
      </c>
      <c r="AZ89" s="43">
        <f>ዕቁብ!BA92/Sheet4!$C89</f>
        <v>1</v>
      </c>
      <c r="BA89" s="43">
        <f>ዕቁብ!BB92/Sheet4!$C89</f>
        <v>1</v>
      </c>
      <c r="BB89" s="43">
        <f>ዕቁብ!BC92/Sheet4!$C89</f>
        <v>1</v>
      </c>
      <c r="BC89" s="43">
        <f>ዕቁብ!BD92/Sheet4!$C89</f>
        <v>1</v>
      </c>
      <c r="BD89" s="43">
        <f>ዕቁብ!BE92/Sheet4!$C89</f>
        <v>1</v>
      </c>
      <c r="BE89" s="43">
        <f>ዕቁብ!BF92/Sheet4!$C89</f>
        <v>1</v>
      </c>
      <c r="BF89" s="43">
        <f>ዕቁብ!BG92/Sheet4!$C89</f>
        <v>1</v>
      </c>
      <c r="BG89" s="43">
        <f>ዕቁብ!BH92/Sheet4!$C89</f>
        <v>1</v>
      </c>
      <c r="BH89" s="43">
        <f>ዕቁብ!BI92/Sheet4!$C89</f>
        <v>1</v>
      </c>
      <c r="BI89" s="43">
        <f>ዕቁብ!BJ92/Sheet4!$C89</f>
        <v>1</v>
      </c>
      <c r="BJ89" s="43">
        <f>ዕቁብ!BK92/Sheet4!$C89</f>
        <v>1</v>
      </c>
      <c r="BK89" s="43">
        <f>ዕቁብ!BL92/Sheet4!$C89</f>
        <v>1</v>
      </c>
      <c r="BL89" s="43">
        <f>ዕቁብ!BM92/Sheet4!$C89</f>
        <v>1</v>
      </c>
      <c r="BM89" s="43">
        <f>ዕቁብ!BN92/Sheet4!$C89</f>
        <v>1</v>
      </c>
      <c r="BN89" s="43">
        <f>ዕቁብ!BO92/Sheet4!$C89</f>
        <v>1</v>
      </c>
      <c r="BO89" s="43">
        <f>ዕቁብ!BP92/Sheet4!$C89</f>
        <v>0</v>
      </c>
      <c r="BP89" s="43">
        <f>ዕቁብ!BQ92/Sheet4!$C89</f>
        <v>2</v>
      </c>
      <c r="BQ89" s="43">
        <f>ዕቁብ!BR92/Sheet4!$C89</f>
        <v>1</v>
      </c>
      <c r="BR89" s="43">
        <f>ዕቁብ!BS92/Sheet4!$C89</f>
        <v>0</v>
      </c>
      <c r="BS89" s="43">
        <f>ዕቁብ!BT92/Sheet4!$C89</f>
        <v>2</v>
      </c>
      <c r="BT89" s="43">
        <f>ዕቁብ!BU92/Sheet4!$C89</f>
        <v>1</v>
      </c>
      <c r="BU89" s="43">
        <f>ዕቁብ!BV92/Sheet4!$C89</f>
        <v>0</v>
      </c>
      <c r="BV89" s="43">
        <f>ዕቁብ!BW92/Sheet4!$C89</f>
        <v>2</v>
      </c>
      <c r="BW89" s="43">
        <f>ዕቁብ!BX92/Sheet4!$C89</f>
        <v>0</v>
      </c>
      <c r="BX89" s="43">
        <f>ዕቁብ!BY92/Sheet4!$C89</f>
        <v>2</v>
      </c>
      <c r="BY89" s="43">
        <f>ዕቁብ!BZ92/Sheet4!$C89</f>
        <v>0</v>
      </c>
      <c r="BZ89" s="43">
        <f>ዕቁብ!CA92/Sheet4!$C89</f>
        <v>2</v>
      </c>
      <c r="CA89" s="43">
        <f>ዕቁብ!CB92/Sheet4!$C89</f>
        <v>0</v>
      </c>
      <c r="CB89" s="43">
        <f>ዕቁብ!CC92/Sheet4!$C89</f>
        <v>2</v>
      </c>
      <c r="CC89" s="43">
        <f>ዕቁብ!CD92/Sheet4!$C89</f>
        <v>0</v>
      </c>
      <c r="CD89" s="43">
        <f>ዕቁብ!CE92/Sheet4!$C89</f>
        <v>0</v>
      </c>
      <c r="CE89" s="43">
        <f>ዕቁብ!CF92/Sheet4!$C89</f>
        <v>3</v>
      </c>
      <c r="CF89" s="43">
        <f>ዕቁብ!CG92/Sheet4!$C89</f>
        <v>0</v>
      </c>
      <c r="CG89" s="43">
        <f>ዕቁብ!CH92/Sheet4!$C89</f>
        <v>0</v>
      </c>
      <c r="CH89" s="43">
        <f>ዕቁብ!CI92/Sheet4!$C89</f>
        <v>3</v>
      </c>
      <c r="CI89" s="43">
        <f>ዕቁብ!CJ92/Sheet4!$C89</f>
        <v>0</v>
      </c>
      <c r="CJ89" s="43">
        <f>ዕቁብ!CK92/Sheet4!$C89</f>
        <v>0</v>
      </c>
      <c r="CK89" s="43">
        <f>ዕቁብ!CL92/Sheet4!$C89</f>
        <v>3</v>
      </c>
      <c r="CL89" s="43">
        <f>ዕቁብ!CM92/Sheet4!$C89</f>
        <v>0</v>
      </c>
      <c r="CM89" s="43">
        <f>ዕቁብ!CN92/Sheet4!$C89</f>
        <v>0</v>
      </c>
      <c r="CN89" s="43">
        <f>ዕቁብ!CO92/Sheet4!$C89</f>
        <v>3</v>
      </c>
      <c r="CO89" s="43">
        <f>ዕቁብ!CP92/Sheet4!$C89</f>
        <v>0</v>
      </c>
      <c r="CP89" s="43">
        <f>ዕቁብ!CQ92/Sheet4!$C89</f>
        <v>0</v>
      </c>
      <c r="CQ89" s="43">
        <f>ዕቁብ!CR92/Sheet4!$C89</f>
        <v>0</v>
      </c>
      <c r="CR89" s="43">
        <f>ዕቁብ!CS92/Sheet4!$C89</f>
        <v>2</v>
      </c>
      <c r="CS89" s="43">
        <f>ዕቁብ!CT92/Sheet4!$C89</f>
        <v>0</v>
      </c>
      <c r="CT89" s="43">
        <f>ዕቁብ!CU92/Sheet4!$C89</f>
        <v>0</v>
      </c>
      <c r="CU89" s="43">
        <f>ዕቁብ!CV92/Sheet4!$C89</f>
        <v>2</v>
      </c>
      <c r="CV89" s="43">
        <f>ዕቁብ!CW92/Sheet4!$C89</f>
        <v>0</v>
      </c>
      <c r="CW89" s="43">
        <f>ዕቁብ!CX92/Sheet4!$C89</f>
        <v>0</v>
      </c>
      <c r="CX89" s="43">
        <f>ዕቁብ!CY92/Sheet4!$C89</f>
        <v>2</v>
      </c>
      <c r="CY89" s="43">
        <f>ዕቁብ!CZ92/Sheet4!$C89</f>
        <v>0</v>
      </c>
      <c r="CZ89" s="43">
        <f>ዕቁብ!DA92/Sheet4!$C89</f>
        <v>0</v>
      </c>
      <c r="DA89" s="43">
        <f>ዕቁብ!DB92/Sheet4!$C89</f>
        <v>3</v>
      </c>
      <c r="DB89" s="43">
        <f>ዕቁብ!DC92/Sheet4!$C89</f>
        <v>0</v>
      </c>
      <c r="DC89" s="43">
        <f>ዕቁብ!DD92/Sheet4!$C89</f>
        <v>0</v>
      </c>
      <c r="DD89" s="43">
        <f>ዕቁብ!DE92/Sheet4!$C89</f>
        <v>3</v>
      </c>
      <c r="DE89" s="43">
        <f>ዕቁብ!DF92/Sheet4!$C89</f>
        <v>0</v>
      </c>
      <c r="DF89" s="43">
        <f>ዕቁብ!DG92/Sheet4!$C89</f>
        <v>0</v>
      </c>
      <c r="DG89" s="43">
        <f>ዕቁብ!DH92/Sheet4!$C89</f>
        <v>0</v>
      </c>
      <c r="DH89" s="43">
        <f>ዕቁብ!DI92/Sheet4!$C89</f>
        <v>0</v>
      </c>
      <c r="DI89" s="43">
        <f>ዕቁብ!DJ92/Sheet4!$C89</f>
        <v>0</v>
      </c>
      <c r="DJ89" s="43">
        <f>ዕቁብ!DK92/Sheet4!$C89</f>
        <v>0</v>
      </c>
      <c r="DK89" s="43">
        <f>ዕቁብ!DL92/Sheet4!$C89</f>
        <v>0</v>
      </c>
      <c r="DL89" s="43">
        <f>ዕቁብ!DM92/Sheet4!$C89</f>
        <v>0</v>
      </c>
      <c r="DM89" s="43">
        <f>ዕቁብ!DN92/Sheet4!$C89</f>
        <v>0</v>
      </c>
      <c r="DN89" s="43">
        <f>ዕቁብ!DO92/Sheet4!$C89</f>
        <v>0</v>
      </c>
      <c r="DO89" s="43">
        <f>ዕቁብ!DP92/Sheet4!$C89</f>
        <v>0</v>
      </c>
      <c r="DP89" s="43">
        <f>ዕቁብ!DQ92/Sheet4!$C89</f>
        <v>0</v>
      </c>
      <c r="DQ89" s="43">
        <f>ዕቁብ!DR92/Sheet4!$C89</f>
        <v>0</v>
      </c>
    </row>
    <row r="90" spans="1:121" ht="15.75" customHeight="1" x14ac:dyDescent="0.3">
      <c r="A90" s="40">
        <f>ዕቁብ!A93</f>
        <v>87</v>
      </c>
      <c r="B90" s="40" t="str">
        <f>ዕቁብ!B93</f>
        <v>ሀብታሙ ቀሬ</v>
      </c>
      <c r="C90" s="30">
        <f>ዕቁብ!C93</f>
        <v>21000</v>
      </c>
      <c r="D90" s="43">
        <f>ዕቁብ!E93/Sheet4!$C90</f>
        <v>1</v>
      </c>
      <c r="E90" s="43">
        <f>ዕቁብ!F93/Sheet4!$C90</f>
        <v>1</v>
      </c>
      <c r="F90" s="43">
        <f>ዕቁብ!G93/Sheet4!$C90</f>
        <v>1</v>
      </c>
      <c r="G90" s="43">
        <f>ዕቁብ!H93/Sheet4!$C90</f>
        <v>1</v>
      </c>
      <c r="H90" s="43">
        <f>ዕቁብ!I93/Sheet4!$C90</f>
        <v>1</v>
      </c>
      <c r="I90" s="43">
        <f>ዕቁብ!J93/Sheet4!$C90</f>
        <v>1</v>
      </c>
      <c r="J90" s="43">
        <f>ዕቁብ!K93/Sheet4!$C90</f>
        <v>1</v>
      </c>
      <c r="K90" s="43">
        <f>ዕቁብ!L93/Sheet4!$C90</f>
        <v>1</v>
      </c>
      <c r="L90" s="43">
        <f>ዕቁብ!M93/Sheet4!$C90</f>
        <v>1</v>
      </c>
      <c r="M90" s="43">
        <f>ዕቁብ!N93/Sheet4!$C90</f>
        <v>1</v>
      </c>
      <c r="N90" s="43">
        <f>ዕቁብ!O93/Sheet4!$C90</f>
        <v>1</v>
      </c>
      <c r="O90" s="43">
        <f>ዕቁብ!P93/Sheet4!$C90</f>
        <v>1</v>
      </c>
      <c r="P90" s="43">
        <f>ዕቁብ!Q93/Sheet4!$C90</f>
        <v>1</v>
      </c>
      <c r="Q90" s="43">
        <f>ዕቁብ!R93/Sheet4!$C90</f>
        <v>1</v>
      </c>
      <c r="R90" s="43">
        <f>ዕቁብ!S93/Sheet4!$C90</f>
        <v>1</v>
      </c>
      <c r="S90" s="43">
        <f>ዕቁብ!T93/Sheet4!$C90</f>
        <v>1</v>
      </c>
      <c r="T90" s="43">
        <f>ዕቁብ!U93/Sheet4!$C90</f>
        <v>1</v>
      </c>
      <c r="U90" s="43">
        <f>ዕቁብ!V93/Sheet4!$C90</f>
        <v>1</v>
      </c>
      <c r="V90" s="43">
        <f>ዕቁብ!W93/Sheet4!$C90</f>
        <v>1</v>
      </c>
      <c r="W90" s="43">
        <f>ዕቁብ!X93/Sheet4!$C90</f>
        <v>1</v>
      </c>
      <c r="X90" s="43">
        <f>ዕቁብ!Y93/Sheet4!$C90</f>
        <v>1</v>
      </c>
      <c r="Y90" s="43">
        <f>ዕቁብ!Z93/Sheet4!$C90</f>
        <v>1</v>
      </c>
      <c r="Z90" s="43">
        <f>ዕቁብ!AA93/Sheet4!$C90</f>
        <v>1</v>
      </c>
      <c r="AA90" s="43">
        <f>ዕቁብ!AB93/Sheet4!$C90</f>
        <v>1</v>
      </c>
      <c r="AB90" s="43">
        <f>ዕቁብ!AC93/Sheet4!$C90</f>
        <v>1</v>
      </c>
      <c r="AC90" s="43">
        <f>ዕቁብ!AD93/Sheet4!$C90</f>
        <v>1</v>
      </c>
      <c r="AD90" s="43">
        <f>ዕቁብ!AE93/Sheet4!$C90</f>
        <v>1</v>
      </c>
      <c r="AE90" s="43">
        <f>ዕቁብ!AF93/Sheet4!$C90</f>
        <v>1</v>
      </c>
      <c r="AF90" s="43">
        <f>ዕቁብ!AG93/Sheet4!$C90</f>
        <v>1</v>
      </c>
      <c r="AG90" s="43">
        <f>ዕቁብ!AH93/Sheet4!$C90</f>
        <v>1</v>
      </c>
      <c r="AH90" s="43">
        <f>ዕቁብ!AI93/Sheet4!$C90</f>
        <v>1</v>
      </c>
      <c r="AI90" s="43">
        <f>ዕቁብ!AJ93/Sheet4!$C90</f>
        <v>1</v>
      </c>
      <c r="AJ90" s="43">
        <f>ዕቁብ!AK93/Sheet4!$C90</f>
        <v>1</v>
      </c>
      <c r="AK90" s="43">
        <f>ዕቁብ!AL93/Sheet4!$C90</f>
        <v>1</v>
      </c>
      <c r="AL90" s="43">
        <f>ዕቁብ!AM93/Sheet4!$C90</f>
        <v>1</v>
      </c>
      <c r="AM90" s="43">
        <f>ዕቁብ!AN93/Sheet4!$C90</f>
        <v>1</v>
      </c>
      <c r="AN90" s="43">
        <f>ዕቁብ!AO93/Sheet4!$C90</f>
        <v>1</v>
      </c>
      <c r="AO90" s="43">
        <f>ዕቁብ!AP93/Sheet4!$C90</f>
        <v>1</v>
      </c>
      <c r="AP90" s="43">
        <f>ዕቁብ!AQ93/Sheet4!$C90</f>
        <v>1</v>
      </c>
      <c r="AQ90" s="43">
        <f>ዕቁብ!AR93/Sheet4!$C90</f>
        <v>1</v>
      </c>
      <c r="AR90" s="43">
        <f>ዕቁብ!AS93/Sheet4!$C90</f>
        <v>1</v>
      </c>
      <c r="AS90" s="43">
        <f>ዕቁብ!AT93/Sheet4!$C90</f>
        <v>1</v>
      </c>
      <c r="AT90" s="43">
        <f>ዕቁብ!AU93/Sheet4!$C90</f>
        <v>1</v>
      </c>
      <c r="AU90" s="43">
        <f>ዕቁብ!AV93/Sheet4!$C90</f>
        <v>1</v>
      </c>
      <c r="AV90" s="43">
        <f>ዕቁብ!AW93/Sheet4!$C90</f>
        <v>1</v>
      </c>
      <c r="AW90" s="43">
        <f>ዕቁብ!AX93/Sheet4!$C90</f>
        <v>1</v>
      </c>
      <c r="AX90" s="43">
        <f>ዕቁብ!AY93/Sheet4!$C90</f>
        <v>1</v>
      </c>
      <c r="AY90" s="43">
        <f>ዕቁብ!AZ93/Sheet4!$C90</f>
        <v>1</v>
      </c>
      <c r="AZ90" s="43">
        <f>ዕቁብ!BA93/Sheet4!$C90</f>
        <v>1</v>
      </c>
      <c r="BA90" s="43">
        <f>ዕቁብ!BB93/Sheet4!$C90</f>
        <v>1</v>
      </c>
      <c r="BB90" s="43">
        <f>ዕቁብ!BC93/Sheet4!$C90</f>
        <v>1</v>
      </c>
      <c r="BC90" s="43">
        <f>ዕቁብ!BD93/Sheet4!$C90</f>
        <v>1</v>
      </c>
      <c r="BD90" s="43">
        <f>ዕቁብ!BE93/Sheet4!$C90</f>
        <v>1</v>
      </c>
      <c r="BE90" s="43">
        <f>ዕቁብ!BF93/Sheet4!$C90</f>
        <v>1</v>
      </c>
      <c r="BF90" s="43">
        <f>ዕቁብ!BG93/Sheet4!$C90</f>
        <v>1</v>
      </c>
      <c r="BG90" s="43">
        <f>ዕቁብ!BH93/Sheet4!$C90</f>
        <v>1</v>
      </c>
      <c r="BH90" s="43">
        <f>ዕቁብ!BI93/Sheet4!$C90</f>
        <v>1</v>
      </c>
      <c r="BI90" s="43">
        <f>ዕቁብ!BJ93/Sheet4!$C90</f>
        <v>1</v>
      </c>
      <c r="BJ90" s="43">
        <f>ዕቁብ!BK93/Sheet4!$C90</f>
        <v>1</v>
      </c>
      <c r="BK90" s="43">
        <f>ዕቁብ!BL93/Sheet4!$C90</f>
        <v>1</v>
      </c>
      <c r="BL90" s="43">
        <f>ዕቁብ!BM93/Sheet4!$C90</f>
        <v>1</v>
      </c>
      <c r="BM90" s="43">
        <f>ዕቁብ!BN93/Sheet4!$C90</f>
        <v>1</v>
      </c>
      <c r="BN90" s="43">
        <f>ዕቁብ!BO93/Sheet4!$C90</f>
        <v>1</v>
      </c>
      <c r="BO90" s="43">
        <f>ዕቁብ!BP93/Sheet4!$C90</f>
        <v>0</v>
      </c>
      <c r="BP90" s="43">
        <f>ዕቁብ!BQ93/Sheet4!$C90</f>
        <v>2</v>
      </c>
      <c r="BQ90" s="43">
        <f>ዕቁብ!BR93/Sheet4!$C90</f>
        <v>1</v>
      </c>
      <c r="BR90" s="43">
        <f>ዕቁብ!BS93/Sheet4!$C90</f>
        <v>0</v>
      </c>
      <c r="BS90" s="43">
        <f>ዕቁብ!BT93/Sheet4!$C90</f>
        <v>2</v>
      </c>
      <c r="BT90" s="43">
        <f>ዕቁብ!BU93/Sheet4!$C90</f>
        <v>1</v>
      </c>
      <c r="BU90" s="43">
        <f>ዕቁብ!BV93/Sheet4!$C90</f>
        <v>0</v>
      </c>
      <c r="BV90" s="43">
        <f>ዕቁብ!BW93/Sheet4!$C90</f>
        <v>2</v>
      </c>
      <c r="BW90" s="43">
        <f>ዕቁብ!BX93/Sheet4!$C90</f>
        <v>0</v>
      </c>
      <c r="BX90" s="43">
        <f>ዕቁብ!BY93/Sheet4!$C90</f>
        <v>2</v>
      </c>
      <c r="BY90" s="43">
        <f>ዕቁብ!BZ93/Sheet4!$C90</f>
        <v>0</v>
      </c>
      <c r="BZ90" s="43">
        <f>ዕቁብ!CA93/Sheet4!$C90</f>
        <v>2</v>
      </c>
      <c r="CA90" s="43">
        <f>ዕቁብ!CB93/Sheet4!$C90</f>
        <v>0</v>
      </c>
      <c r="CB90" s="43">
        <f>ዕቁብ!CC93/Sheet4!$C90</f>
        <v>2</v>
      </c>
      <c r="CC90" s="43">
        <f>ዕቁብ!CD93/Sheet4!$C90</f>
        <v>0</v>
      </c>
      <c r="CD90" s="43">
        <f>ዕቁብ!CE93/Sheet4!$C90</f>
        <v>0</v>
      </c>
      <c r="CE90" s="43">
        <f>ዕቁብ!CF93/Sheet4!$C90</f>
        <v>3</v>
      </c>
      <c r="CF90" s="43">
        <f>ዕቁብ!CG93/Sheet4!$C90</f>
        <v>0</v>
      </c>
      <c r="CG90" s="43">
        <f>ዕቁብ!CH93/Sheet4!$C90</f>
        <v>0</v>
      </c>
      <c r="CH90" s="43">
        <f>ዕቁብ!CI93/Sheet4!$C90</f>
        <v>3</v>
      </c>
      <c r="CI90" s="43">
        <f>ዕቁብ!CJ93/Sheet4!$C90</f>
        <v>0</v>
      </c>
      <c r="CJ90" s="43">
        <f>ዕቁብ!CK93/Sheet4!$C90</f>
        <v>0</v>
      </c>
      <c r="CK90" s="43">
        <f>ዕቁብ!CL93/Sheet4!$C90</f>
        <v>3</v>
      </c>
      <c r="CL90" s="43">
        <f>ዕቁብ!CM93/Sheet4!$C90</f>
        <v>0</v>
      </c>
      <c r="CM90" s="43">
        <f>ዕቁብ!CN93/Sheet4!$C90</f>
        <v>0</v>
      </c>
      <c r="CN90" s="43">
        <f>ዕቁብ!CO93/Sheet4!$C90</f>
        <v>3</v>
      </c>
      <c r="CO90" s="43">
        <f>ዕቁብ!CP93/Sheet4!$C90</f>
        <v>0</v>
      </c>
      <c r="CP90" s="43">
        <f>ዕቁብ!CQ93/Sheet4!$C90</f>
        <v>0</v>
      </c>
      <c r="CQ90" s="43">
        <f>ዕቁብ!CR93/Sheet4!$C90</f>
        <v>0</v>
      </c>
      <c r="CR90" s="43">
        <f>ዕቁብ!CS93/Sheet4!$C90</f>
        <v>2</v>
      </c>
      <c r="CS90" s="43">
        <f>ዕቁብ!CT93/Sheet4!$C90</f>
        <v>0</v>
      </c>
      <c r="CT90" s="43">
        <f>ዕቁብ!CU93/Sheet4!$C90</f>
        <v>0</v>
      </c>
      <c r="CU90" s="43">
        <f>ዕቁብ!CV93/Sheet4!$C90</f>
        <v>2</v>
      </c>
      <c r="CV90" s="43">
        <f>ዕቁብ!CW93/Sheet4!$C90</f>
        <v>0</v>
      </c>
      <c r="CW90" s="43">
        <f>ዕቁብ!CX93/Sheet4!$C90</f>
        <v>0</v>
      </c>
      <c r="CX90" s="43">
        <f>ዕቁብ!CY93/Sheet4!$C90</f>
        <v>2</v>
      </c>
      <c r="CY90" s="43">
        <f>ዕቁብ!CZ93/Sheet4!$C90</f>
        <v>0</v>
      </c>
      <c r="CZ90" s="43">
        <f>ዕቁብ!DA93/Sheet4!$C90</f>
        <v>0</v>
      </c>
      <c r="DA90" s="43">
        <f>ዕቁብ!DB93/Sheet4!$C90</f>
        <v>3</v>
      </c>
      <c r="DB90" s="43">
        <f>ዕቁብ!DC93/Sheet4!$C90</f>
        <v>0</v>
      </c>
      <c r="DC90" s="43">
        <f>ዕቁብ!DD93/Sheet4!$C90</f>
        <v>0</v>
      </c>
      <c r="DD90" s="43">
        <f>ዕቁብ!DE93/Sheet4!$C90</f>
        <v>3</v>
      </c>
      <c r="DE90" s="43">
        <f>ዕቁብ!DF93/Sheet4!$C90</f>
        <v>0</v>
      </c>
      <c r="DF90" s="43">
        <f>ዕቁብ!DG93/Sheet4!$C90</f>
        <v>0</v>
      </c>
      <c r="DG90" s="43">
        <f>ዕቁብ!DH93/Sheet4!$C90</f>
        <v>0</v>
      </c>
      <c r="DH90" s="43">
        <f>ዕቁብ!DI93/Sheet4!$C90</f>
        <v>0</v>
      </c>
      <c r="DI90" s="43">
        <f>ዕቁብ!DJ93/Sheet4!$C90</f>
        <v>0</v>
      </c>
      <c r="DJ90" s="43">
        <f>ዕቁብ!DK93/Sheet4!$C90</f>
        <v>0</v>
      </c>
      <c r="DK90" s="43">
        <f>ዕቁብ!DL93/Sheet4!$C90</f>
        <v>0</v>
      </c>
      <c r="DL90" s="43">
        <f>ዕቁብ!DM93/Sheet4!$C90</f>
        <v>0</v>
      </c>
      <c r="DM90" s="43">
        <f>ዕቁብ!DN93/Sheet4!$C90</f>
        <v>0</v>
      </c>
      <c r="DN90" s="43">
        <f>ዕቁብ!DO93/Sheet4!$C90</f>
        <v>0</v>
      </c>
      <c r="DO90" s="43">
        <f>ዕቁብ!DP93/Sheet4!$C90</f>
        <v>0</v>
      </c>
      <c r="DP90" s="43">
        <f>ዕቁብ!DQ93/Sheet4!$C90</f>
        <v>0</v>
      </c>
      <c r="DQ90" s="43">
        <f>ዕቁብ!DR93/Sheet4!$C90</f>
        <v>0</v>
      </c>
    </row>
    <row r="91" spans="1:121" ht="15.75" customHeight="1" x14ac:dyDescent="0.3">
      <c r="A91" s="40">
        <f>ዕቁብ!A94</f>
        <v>88</v>
      </c>
      <c r="B91" s="40" t="str">
        <f>ዕቁብ!B94</f>
        <v xml:space="preserve">ኢዮብ ዋኬኖ </v>
      </c>
      <c r="C91" s="30">
        <f>ዕቁብ!C94</f>
        <v>21000</v>
      </c>
      <c r="D91" s="43">
        <f>ዕቁብ!E94/Sheet4!$C91</f>
        <v>1</v>
      </c>
      <c r="E91" s="43">
        <f>ዕቁብ!F94/Sheet4!$C91</f>
        <v>1</v>
      </c>
      <c r="F91" s="43">
        <f>ዕቁብ!G94/Sheet4!$C91</f>
        <v>1</v>
      </c>
      <c r="G91" s="43">
        <f>ዕቁብ!H94/Sheet4!$C91</f>
        <v>1</v>
      </c>
      <c r="H91" s="43">
        <f>ዕቁብ!I94/Sheet4!$C91</f>
        <v>1</v>
      </c>
      <c r="I91" s="43">
        <f>ዕቁብ!J94/Sheet4!$C91</f>
        <v>1</v>
      </c>
      <c r="J91" s="43">
        <f>ዕቁብ!K94/Sheet4!$C91</f>
        <v>1</v>
      </c>
      <c r="K91" s="43">
        <f>ዕቁብ!L94/Sheet4!$C91</f>
        <v>1</v>
      </c>
      <c r="L91" s="43">
        <f>ዕቁብ!M94/Sheet4!$C91</f>
        <v>1</v>
      </c>
      <c r="M91" s="43">
        <f>ዕቁብ!N94/Sheet4!$C91</f>
        <v>1</v>
      </c>
      <c r="N91" s="43">
        <f>ዕቁብ!O94/Sheet4!$C91</f>
        <v>1</v>
      </c>
      <c r="O91" s="43">
        <f>ዕቁብ!P94/Sheet4!$C91</f>
        <v>1</v>
      </c>
      <c r="P91" s="43">
        <f>ዕቁብ!Q94/Sheet4!$C91</f>
        <v>1</v>
      </c>
      <c r="Q91" s="43">
        <f>ዕቁብ!R94/Sheet4!$C91</f>
        <v>1</v>
      </c>
      <c r="R91" s="43">
        <f>ዕቁብ!S94/Sheet4!$C91</f>
        <v>1</v>
      </c>
      <c r="S91" s="43">
        <f>ዕቁብ!T94/Sheet4!$C91</f>
        <v>1</v>
      </c>
      <c r="T91" s="43">
        <f>ዕቁብ!U94/Sheet4!$C91</f>
        <v>1</v>
      </c>
      <c r="U91" s="43">
        <f>ዕቁብ!V94/Sheet4!$C91</f>
        <v>1</v>
      </c>
      <c r="V91" s="43">
        <f>ዕቁብ!W94/Sheet4!$C91</f>
        <v>1</v>
      </c>
      <c r="W91" s="43">
        <f>ዕቁብ!X94/Sheet4!$C91</f>
        <v>1</v>
      </c>
      <c r="X91" s="43">
        <f>ዕቁብ!Y94/Sheet4!$C91</f>
        <v>1</v>
      </c>
      <c r="Y91" s="43">
        <f>ዕቁብ!Z94/Sheet4!$C91</f>
        <v>1</v>
      </c>
      <c r="Z91" s="43">
        <f>ዕቁብ!AA94/Sheet4!$C91</f>
        <v>1</v>
      </c>
      <c r="AA91" s="43">
        <f>ዕቁብ!AB94/Sheet4!$C91</f>
        <v>0</v>
      </c>
      <c r="AB91" s="43">
        <f>ዕቁብ!AC94/Sheet4!$C91</f>
        <v>2</v>
      </c>
      <c r="AC91" s="43">
        <f>ዕቁብ!AD94/Sheet4!$C91</f>
        <v>1</v>
      </c>
      <c r="AD91" s="43">
        <f>ዕቁብ!AE94/Sheet4!$C91</f>
        <v>0</v>
      </c>
      <c r="AE91" s="43">
        <f>ዕቁብ!AF94/Sheet4!$C91</f>
        <v>2</v>
      </c>
      <c r="AF91" s="43">
        <f>ዕቁብ!AG94/Sheet4!$C91</f>
        <v>0</v>
      </c>
      <c r="AG91" s="43">
        <f>ዕቁብ!AH94/Sheet4!$C91</f>
        <v>2</v>
      </c>
      <c r="AH91" s="43">
        <f>ዕቁብ!AI94/Sheet4!$C91</f>
        <v>0</v>
      </c>
      <c r="AI91" s="43">
        <f>ዕቁብ!AJ94/Sheet4!$C91</f>
        <v>2</v>
      </c>
      <c r="AJ91" s="43">
        <f>ዕቁብ!AK94/Sheet4!$C91</f>
        <v>0</v>
      </c>
      <c r="AK91" s="43">
        <f>ዕቁብ!AL94/Sheet4!$C91</f>
        <v>2</v>
      </c>
      <c r="AL91" s="43">
        <f>ዕቁብ!AM94/Sheet4!$C91</f>
        <v>1</v>
      </c>
      <c r="AM91" s="43">
        <f>ዕቁብ!AN94/Sheet4!$C91</f>
        <v>1</v>
      </c>
      <c r="AN91" s="43">
        <f>ዕቁብ!AO94/Sheet4!$C91</f>
        <v>0</v>
      </c>
      <c r="AO91" s="43">
        <f>ዕቁብ!AP94/Sheet4!$C91</f>
        <v>2</v>
      </c>
      <c r="AP91" s="43">
        <f>ዕቁብ!AQ94/Sheet4!$C91</f>
        <v>1</v>
      </c>
      <c r="AQ91" s="43">
        <f>ዕቁብ!AR94/Sheet4!$C91</f>
        <v>0</v>
      </c>
      <c r="AR91" s="43">
        <f>ዕቁብ!AS94/Sheet4!$C91</f>
        <v>1</v>
      </c>
      <c r="AS91" s="43">
        <f>ዕቁብ!AT94/Sheet4!$C91</f>
        <v>2</v>
      </c>
      <c r="AT91" s="43">
        <f>ዕቁብ!AU94/Sheet4!$C91</f>
        <v>0</v>
      </c>
      <c r="AU91" s="43">
        <f>ዕቁብ!AV94/Sheet4!$C91</f>
        <v>2</v>
      </c>
      <c r="AV91" s="43">
        <f>ዕቁብ!AW94/Sheet4!$C91</f>
        <v>0</v>
      </c>
      <c r="AW91" s="43">
        <f>ዕቁብ!AX94/Sheet4!$C91</f>
        <v>2</v>
      </c>
      <c r="AX91" s="43">
        <f>ዕቁብ!AY94/Sheet4!$C91</f>
        <v>1</v>
      </c>
      <c r="AY91" s="43">
        <f>ዕቁብ!AZ94/Sheet4!$C91</f>
        <v>1</v>
      </c>
      <c r="AZ91" s="43">
        <f>ዕቁብ!BA94/Sheet4!$C91</f>
        <v>1</v>
      </c>
      <c r="BA91" s="43">
        <f>ዕቁብ!BB94/Sheet4!$C91</f>
        <v>1</v>
      </c>
      <c r="BB91" s="43">
        <f>ዕቁብ!BC94/Sheet4!$C91</f>
        <v>1</v>
      </c>
      <c r="BC91" s="43">
        <f>ዕቁብ!BD94/Sheet4!$C91</f>
        <v>1</v>
      </c>
      <c r="BD91" s="43">
        <f>ዕቁብ!BE94/Sheet4!$C91</f>
        <v>0</v>
      </c>
      <c r="BE91" s="43">
        <f>ዕቁብ!BF94/Sheet4!$C91</f>
        <v>1</v>
      </c>
      <c r="BF91" s="43">
        <f>ዕቁብ!BG94/Sheet4!$C91</f>
        <v>1</v>
      </c>
      <c r="BG91" s="43">
        <f>ዕቁብ!BH94/Sheet4!$C91</f>
        <v>0</v>
      </c>
      <c r="BH91" s="43">
        <f>ዕቁብ!BI94/Sheet4!$C91</f>
        <v>3</v>
      </c>
      <c r="BI91" s="43">
        <f>ዕቁብ!BJ94/Sheet4!$C91</f>
        <v>0</v>
      </c>
      <c r="BJ91" s="43">
        <f>ዕቁብ!BK94/Sheet4!$C91</f>
        <v>1</v>
      </c>
      <c r="BK91" s="43">
        <f>ዕቁብ!BL94/Sheet4!$C91</f>
        <v>1</v>
      </c>
      <c r="BL91" s="43">
        <f>ዕቁብ!BM94/Sheet4!$C91</f>
        <v>1</v>
      </c>
      <c r="BM91" s="43">
        <f>ዕቁብ!BN94/Sheet4!$C91</f>
        <v>0</v>
      </c>
      <c r="BN91" s="43">
        <f>ዕቁብ!BO94/Sheet4!$C91</f>
        <v>1</v>
      </c>
      <c r="BO91" s="43">
        <f>ዕቁብ!BP94/Sheet4!$C91</f>
        <v>0</v>
      </c>
      <c r="BP91" s="43">
        <f>ዕቁብ!BQ94/Sheet4!$C91</f>
        <v>2</v>
      </c>
      <c r="BQ91" s="43">
        <f>ዕቁብ!BR94/Sheet4!$C91</f>
        <v>1</v>
      </c>
      <c r="BR91" s="43">
        <f>ዕቁብ!BS94/Sheet4!$C91</f>
        <v>1</v>
      </c>
      <c r="BS91" s="43">
        <f>ዕቁብ!BT94/Sheet4!$C91</f>
        <v>2</v>
      </c>
      <c r="BT91" s="43">
        <f>ዕቁብ!BU94/Sheet4!$C91</f>
        <v>1</v>
      </c>
      <c r="BU91" s="43">
        <f>ዕቁብ!BV94/Sheet4!$C91</f>
        <v>0</v>
      </c>
      <c r="BV91" s="43">
        <f>ዕቁብ!BW94/Sheet4!$C91</f>
        <v>0</v>
      </c>
      <c r="BW91" s="43">
        <f>ዕቁብ!BX94/Sheet4!$C91</f>
        <v>3</v>
      </c>
      <c r="BX91" s="43">
        <f>ዕቁብ!BY94/Sheet4!$C91</f>
        <v>0</v>
      </c>
      <c r="BY91" s="43">
        <f>ዕቁብ!BZ94/Sheet4!$C91</f>
        <v>0</v>
      </c>
      <c r="BZ91" s="43">
        <f>ዕቁብ!CA94/Sheet4!$C91</f>
        <v>2</v>
      </c>
      <c r="CA91" s="43">
        <f>ዕቁብ!CB94/Sheet4!$C91</f>
        <v>1</v>
      </c>
      <c r="CB91" s="43">
        <f>ዕቁብ!CC94/Sheet4!$C91</f>
        <v>0</v>
      </c>
      <c r="CC91" s="43">
        <f>ዕቁብ!CD94/Sheet4!$C91</f>
        <v>2</v>
      </c>
      <c r="CD91" s="43">
        <f>ዕቁብ!CE94/Sheet4!$C91</f>
        <v>0</v>
      </c>
      <c r="CE91" s="43">
        <f>ዕቁብ!CF94/Sheet4!$C91</f>
        <v>0</v>
      </c>
      <c r="CF91" s="43">
        <f>ዕቁብ!CG94/Sheet4!$C91</f>
        <v>0</v>
      </c>
      <c r="CG91" s="43">
        <f>ዕቁብ!CH94/Sheet4!$C91</f>
        <v>4</v>
      </c>
      <c r="CH91" s="43">
        <f>ዕቁብ!CI94/Sheet4!$C91</f>
        <v>3</v>
      </c>
      <c r="CI91" s="43">
        <f>ዕቁብ!CJ94/Sheet4!$C91</f>
        <v>0</v>
      </c>
      <c r="CJ91" s="43">
        <f>ዕቁብ!CK94/Sheet4!$C91</f>
        <v>2</v>
      </c>
      <c r="CK91" s="43">
        <f>ዕቁብ!CL94/Sheet4!$C91</f>
        <v>0</v>
      </c>
      <c r="CL91" s="43">
        <f>ዕቁብ!CM94/Sheet4!$C91</f>
        <v>0</v>
      </c>
      <c r="CM91" s="43">
        <f>ዕቁብ!CN94/Sheet4!$C91</f>
        <v>3</v>
      </c>
      <c r="CN91" s="43">
        <f>ዕቁብ!CO94/Sheet4!$C91</f>
        <v>1</v>
      </c>
      <c r="CO91" s="43">
        <f>ዕቁብ!CP94/Sheet4!$C91</f>
        <v>1</v>
      </c>
      <c r="CP91" s="43">
        <f>ዕቁብ!CQ94/Sheet4!$C91</f>
        <v>1</v>
      </c>
      <c r="CQ91" s="43">
        <f>ዕቁብ!CR94/Sheet4!$C91</f>
        <v>0</v>
      </c>
      <c r="CR91" s="43">
        <f>ዕቁብ!CS94/Sheet4!$C91</f>
        <v>2</v>
      </c>
      <c r="CS91" s="43">
        <f>ዕቁብ!CT94/Sheet4!$C91</f>
        <v>1</v>
      </c>
      <c r="CT91" s="43">
        <f>ዕቁብ!CU94/Sheet4!$C91</f>
        <v>0</v>
      </c>
      <c r="CU91" s="43">
        <f>ዕቁብ!CV94/Sheet4!$C91</f>
        <v>0</v>
      </c>
      <c r="CV91" s="43">
        <f>ዕቁብ!CW94/Sheet4!$C91</f>
        <v>0</v>
      </c>
      <c r="CW91" s="43">
        <f>ዕቁብ!CX94/Sheet4!$C91</f>
        <v>0</v>
      </c>
      <c r="CX91" s="43">
        <f>ዕቁብ!CY94/Sheet4!$C91</f>
        <v>0</v>
      </c>
      <c r="CY91" s="43">
        <f>ዕቁብ!CZ94/Sheet4!$C91</f>
        <v>0</v>
      </c>
      <c r="CZ91" s="43">
        <f>ዕቁብ!DA94/Sheet4!$C91</f>
        <v>3</v>
      </c>
      <c r="DA91" s="43">
        <f>ዕቁብ!DB94/Sheet4!$C91</f>
        <v>4</v>
      </c>
      <c r="DB91" s="43">
        <f>ዕቁብ!DC94/Sheet4!$C91</f>
        <v>0</v>
      </c>
      <c r="DC91" s="43">
        <f>ዕቁብ!DD94/Sheet4!$C91</f>
        <v>0</v>
      </c>
      <c r="DD91" s="43">
        <f>ዕቁብ!DE94/Sheet4!$C91</f>
        <v>0</v>
      </c>
      <c r="DE91" s="43">
        <f>ዕቁብ!DF94/Sheet4!$C91</f>
        <v>0</v>
      </c>
      <c r="DF91" s="43">
        <f>ዕቁብ!DG94/Sheet4!$C91</f>
        <v>2</v>
      </c>
      <c r="DG91" s="43">
        <f>ዕቁብ!DH94/Sheet4!$C91</f>
        <v>0</v>
      </c>
      <c r="DH91" s="43">
        <f>ዕቁብ!DI94/Sheet4!$C91</f>
        <v>0</v>
      </c>
      <c r="DI91" s="43">
        <f>ዕቁብ!DJ94/Sheet4!$C91</f>
        <v>0</v>
      </c>
      <c r="DJ91" s="43">
        <f>ዕቁብ!DK94/Sheet4!$C91</f>
        <v>0</v>
      </c>
      <c r="DK91" s="43">
        <f>ዕቁብ!DL94/Sheet4!$C91</f>
        <v>0</v>
      </c>
      <c r="DL91" s="43">
        <f>ዕቁብ!DM94/Sheet4!$C91</f>
        <v>0</v>
      </c>
      <c r="DM91" s="43">
        <f>ዕቁብ!DN94/Sheet4!$C91</f>
        <v>0</v>
      </c>
      <c r="DN91" s="43">
        <f>ዕቁብ!DO94/Sheet4!$C91</f>
        <v>0</v>
      </c>
      <c r="DO91" s="43">
        <f>ዕቁብ!DP94/Sheet4!$C91</f>
        <v>0</v>
      </c>
      <c r="DP91" s="43">
        <f>ዕቁብ!DQ94/Sheet4!$C91</f>
        <v>0</v>
      </c>
      <c r="DQ91" s="43">
        <f>ዕቁብ!DR94/Sheet4!$C91</f>
        <v>0</v>
      </c>
    </row>
    <row r="92" spans="1:121" ht="15.75" customHeight="1" x14ac:dyDescent="0.3">
      <c r="A92" s="40">
        <f>ዕቁብ!A95</f>
        <v>89</v>
      </c>
      <c r="B92" s="40" t="str">
        <f>ዕቁብ!B95</f>
        <v xml:space="preserve">ስለሺ ግርማ </v>
      </c>
      <c r="C92" s="30">
        <f>ዕቁብ!C95</f>
        <v>21000</v>
      </c>
      <c r="D92" s="43">
        <f>ዕቁብ!E95/Sheet4!$C92</f>
        <v>1</v>
      </c>
      <c r="E92" s="43">
        <f>ዕቁብ!F95/Sheet4!$C92</f>
        <v>1</v>
      </c>
      <c r="F92" s="43">
        <f>ዕቁብ!G95/Sheet4!$C92</f>
        <v>1</v>
      </c>
      <c r="G92" s="43">
        <f>ዕቁብ!H95/Sheet4!$C92</f>
        <v>1</v>
      </c>
      <c r="H92" s="43">
        <f>ዕቁብ!I95/Sheet4!$C92</f>
        <v>1</v>
      </c>
      <c r="I92" s="43">
        <f>ዕቁብ!J95/Sheet4!$C92</f>
        <v>1</v>
      </c>
      <c r="J92" s="43">
        <f>ዕቁብ!K95/Sheet4!$C92</f>
        <v>1</v>
      </c>
      <c r="K92" s="43">
        <f>ዕቁብ!L95/Sheet4!$C92</f>
        <v>1</v>
      </c>
      <c r="L92" s="43">
        <f>ዕቁብ!M95/Sheet4!$C92</f>
        <v>1</v>
      </c>
      <c r="M92" s="43">
        <f>ዕቁብ!N95/Sheet4!$C92</f>
        <v>1</v>
      </c>
      <c r="N92" s="43">
        <f>ዕቁብ!O95/Sheet4!$C92</f>
        <v>1</v>
      </c>
      <c r="O92" s="43">
        <f>ዕቁብ!P95/Sheet4!$C92</f>
        <v>1</v>
      </c>
      <c r="P92" s="43">
        <f>ዕቁብ!Q95/Sheet4!$C92</f>
        <v>1</v>
      </c>
      <c r="Q92" s="43">
        <f>ዕቁብ!R95/Sheet4!$C92</f>
        <v>1</v>
      </c>
      <c r="R92" s="43">
        <f>ዕቁብ!S95/Sheet4!$C92</f>
        <v>1</v>
      </c>
      <c r="S92" s="43">
        <f>ዕቁብ!T95/Sheet4!$C92</f>
        <v>1</v>
      </c>
      <c r="T92" s="43">
        <f>ዕቁብ!U95/Sheet4!$C92</f>
        <v>1</v>
      </c>
      <c r="U92" s="43">
        <f>ዕቁብ!V95/Sheet4!$C92</f>
        <v>1</v>
      </c>
      <c r="V92" s="43">
        <f>ዕቁብ!W95/Sheet4!$C92</f>
        <v>1</v>
      </c>
      <c r="W92" s="43">
        <f>ዕቁብ!X95/Sheet4!$C92</f>
        <v>1</v>
      </c>
      <c r="X92" s="43">
        <f>ዕቁብ!Y95/Sheet4!$C92</f>
        <v>1</v>
      </c>
      <c r="Y92" s="43">
        <f>ዕቁብ!Z95/Sheet4!$C92</f>
        <v>1</v>
      </c>
      <c r="Z92" s="43">
        <f>ዕቁብ!AA95/Sheet4!$C92</f>
        <v>1</v>
      </c>
      <c r="AA92" s="43">
        <f>ዕቁብ!AB95/Sheet4!$C92</f>
        <v>1</v>
      </c>
      <c r="AB92" s="43">
        <f>ዕቁብ!AC95/Sheet4!$C92</f>
        <v>1</v>
      </c>
      <c r="AC92" s="43">
        <f>ዕቁብ!AD95/Sheet4!$C92</f>
        <v>1</v>
      </c>
      <c r="AD92" s="43">
        <f>ዕቁብ!AE95/Sheet4!$C92</f>
        <v>1</v>
      </c>
      <c r="AE92" s="43">
        <f>ዕቁብ!AF95/Sheet4!$C92</f>
        <v>1</v>
      </c>
      <c r="AF92" s="43">
        <f>ዕቁብ!AG95/Sheet4!$C92</f>
        <v>1</v>
      </c>
      <c r="AG92" s="43">
        <f>ዕቁብ!AH95/Sheet4!$C92</f>
        <v>1</v>
      </c>
      <c r="AH92" s="43">
        <f>ዕቁብ!AI95/Sheet4!$C92</f>
        <v>1</v>
      </c>
      <c r="AI92" s="43">
        <f>ዕቁብ!AJ95/Sheet4!$C92</f>
        <v>1</v>
      </c>
      <c r="AJ92" s="43">
        <f>ዕቁብ!AK95/Sheet4!$C92</f>
        <v>1</v>
      </c>
      <c r="AK92" s="43">
        <f>ዕቁብ!AL95/Sheet4!$C92</f>
        <v>1</v>
      </c>
      <c r="AL92" s="43">
        <f>ዕቁብ!AM95/Sheet4!$C92</f>
        <v>1</v>
      </c>
      <c r="AM92" s="43">
        <f>ዕቁብ!AN95/Sheet4!$C92</f>
        <v>1</v>
      </c>
      <c r="AN92" s="43">
        <f>ዕቁብ!AO95/Sheet4!$C92</f>
        <v>1</v>
      </c>
      <c r="AO92" s="43">
        <f>ዕቁብ!AP95/Sheet4!$C92</f>
        <v>1</v>
      </c>
      <c r="AP92" s="43">
        <f>ዕቁብ!AQ95/Sheet4!$C92</f>
        <v>1</v>
      </c>
      <c r="AQ92" s="43">
        <f>ዕቁብ!AR95/Sheet4!$C92</f>
        <v>1</v>
      </c>
      <c r="AR92" s="43">
        <f>ዕቁብ!AS95/Sheet4!$C92</f>
        <v>1</v>
      </c>
      <c r="AS92" s="43">
        <f>ዕቁብ!AT95/Sheet4!$C92</f>
        <v>1</v>
      </c>
      <c r="AT92" s="43">
        <f>ዕቁብ!AU95/Sheet4!$C92</f>
        <v>1</v>
      </c>
      <c r="AU92" s="43">
        <f>ዕቁብ!AV95/Sheet4!$C92</f>
        <v>1</v>
      </c>
      <c r="AV92" s="43">
        <f>ዕቁብ!AW95/Sheet4!$C92</f>
        <v>1</v>
      </c>
      <c r="AW92" s="43">
        <f>ዕቁብ!AX95/Sheet4!$C92</f>
        <v>1</v>
      </c>
      <c r="AX92" s="43">
        <f>ዕቁብ!AY95/Sheet4!$C92</f>
        <v>1</v>
      </c>
      <c r="AY92" s="43">
        <f>ዕቁብ!AZ95/Sheet4!$C92</f>
        <v>1</v>
      </c>
      <c r="AZ92" s="43">
        <f>ዕቁብ!BA95/Sheet4!$C92</f>
        <v>1</v>
      </c>
      <c r="BA92" s="43">
        <f>ዕቁብ!BB95/Sheet4!$C92</f>
        <v>1</v>
      </c>
      <c r="BB92" s="43">
        <f>ዕቁብ!BC95/Sheet4!$C92</f>
        <v>1</v>
      </c>
      <c r="BC92" s="43">
        <f>ዕቁብ!BD95/Sheet4!$C92</f>
        <v>1</v>
      </c>
      <c r="BD92" s="43">
        <f>ዕቁብ!BE95/Sheet4!$C92</f>
        <v>1</v>
      </c>
      <c r="BE92" s="43">
        <f>ዕቁብ!BF95/Sheet4!$C92</f>
        <v>1</v>
      </c>
      <c r="BF92" s="43">
        <f>ዕቁብ!BG95/Sheet4!$C92</f>
        <v>1</v>
      </c>
      <c r="BG92" s="43">
        <f>ዕቁብ!BH95/Sheet4!$C92</f>
        <v>1</v>
      </c>
      <c r="BH92" s="43">
        <f>ዕቁብ!BI95/Sheet4!$C92</f>
        <v>1</v>
      </c>
      <c r="BI92" s="43">
        <f>ዕቁብ!BJ95/Sheet4!$C92</f>
        <v>1</v>
      </c>
      <c r="BJ92" s="43">
        <f>ዕቁብ!BK95/Sheet4!$C92</f>
        <v>1</v>
      </c>
      <c r="BK92" s="43">
        <f>ዕቁብ!BL95/Sheet4!$C92</f>
        <v>1</v>
      </c>
      <c r="BL92" s="43">
        <f>ዕቁብ!BM95/Sheet4!$C92</f>
        <v>1</v>
      </c>
      <c r="BM92" s="43">
        <f>ዕቁብ!BN95/Sheet4!$C92</f>
        <v>0</v>
      </c>
      <c r="BN92" s="43">
        <f>ዕቁብ!BO95/Sheet4!$C92</f>
        <v>2</v>
      </c>
      <c r="BO92" s="43">
        <f>ዕቁብ!BP95/Sheet4!$C92</f>
        <v>1</v>
      </c>
      <c r="BP92" s="43">
        <f>ዕቁብ!BQ95/Sheet4!$C92</f>
        <v>1</v>
      </c>
      <c r="BQ92" s="43">
        <f>ዕቁብ!BR95/Sheet4!$C92</f>
        <v>1</v>
      </c>
      <c r="BR92" s="43">
        <f>ዕቁብ!BS95/Sheet4!$C92</f>
        <v>1</v>
      </c>
      <c r="BS92" s="43">
        <f>ዕቁብ!BT95/Sheet4!$C92</f>
        <v>1</v>
      </c>
      <c r="BT92" s="43">
        <f>ዕቁብ!BU95/Sheet4!$C92</f>
        <v>1</v>
      </c>
      <c r="BU92" s="43">
        <f>ዕቁብ!BV95/Sheet4!$C92</f>
        <v>1</v>
      </c>
      <c r="BV92" s="43">
        <f>ዕቁብ!BW95/Sheet4!$C92</f>
        <v>1</v>
      </c>
      <c r="BW92" s="43">
        <f>ዕቁብ!BX95/Sheet4!$C92</f>
        <v>1</v>
      </c>
      <c r="BX92" s="43">
        <f>ዕቁብ!BY95/Sheet4!$C92</f>
        <v>1</v>
      </c>
      <c r="BY92" s="43">
        <f>ዕቁብ!BZ95/Sheet4!$C92</f>
        <v>1</v>
      </c>
      <c r="BZ92" s="43">
        <f>ዕቁብ!CA95/Sheet4!$C92</f>
        <v>1</v>
      </c>
      <c r="CA92" s="43">
        <f>ዕቁብ!CB95/Sheet4!$C92</f>
        <v>1</v>
      </c>
      <c r="CB92" s="43">
        <f>ዕቁብ!CC95/Sheet4!$C92</f>
        <v>1</v>
      </c>
      <c r="CC92" s="43">
        <f>ዕቁብ!CD95/Sheet4!$C92</f>
        <v>1</v>
      </c>
      <c r="CD92" s="43">
        <f>ዕቁብ!CE95/Sheet4!$C92</f>
        <v>0</v>
      </c>
      <c r="CE92" s="43">
        <f>ዕቁብ!CF95/Sheet4!$C92</f>
        <v>2</v>
      </c>
      <c r="CF92" s="43">
        <f>ዕቁብ!CG95/Sheet4!$C92</f>
        <v>1</v>
      </c>
      <c r="CG92" s="43">
        <f>ዕቁብ!CH95/Sheet4!$C92</f>
        <v>0</v>
      </c>
      <c r="CH92" s="43">
        <f>ዕቁብ!CI95/Sheet4!$C92</f>
        <v>2</v>
      </c>
      <c r="CI92" s="43">
        <f>ዕቁብ!CJ95/Sheet4!$C92</f>
        <v>0</v>
      </c>
      <c r="CJ92" s="43">
        <f>ዕቁብ!CK95/Sheet4!$C92</f>
        <v>2</v>
      </c>
      <c r="CK92" s="43">
        <f>ዕቁብ!CL95/Sheet4!$C92</f>
        <v>1</v>
      </c>
      <c r="CL92" s="43">
        <f>ዕቁብ!CM95/Sheet4!$C92</f>
        <v>0</v>
      </c>
      <c r="CM92" s="43">
        <f>ዕቁብ!CN95/Sheet4!$C92</f>
        <v>2</v>
      </c>
      <c r="CN92" s="43">
        <f>ዕቁብ!CO95/Sheet4!$C92</f>
        <v>1</v>
      </c>
      <c r="CO92" s="43">
        <f>ዕቁብ!CP95/Sheet4!$C92</f>
        <v>1</v>
      </c>
      <c r="CP92" s="43">
        <f>ዕቁብ!CQ95/Sheet4!$C92</f>
        <v>0</v>
      </c>
      <c r="CQ92" s="43">
        <f>ዕቁብ!CR95/Sheet4!$C92</f>
        <v>0</v>
      </c>
      <c r="CR92" s="43">
        <f>ዕቁብ!CS95/Sheet4!$C92</f>
        <v>3</v>
      </c>
      <c r="CS92" s="43">
        <f>ዕቁብ!CT95/Sheet4!$C92</f>
        <v>1</v>
      </c>
      <c r="CT92" s="43">
        <f>ዕቁብ!CU95/Sheet4!$C92</f>
        <v>0</v>
      </c>
      <c r="CU92" s="43">
        <f>ዕቁብ!CV95/Sheet4!$C92</f>
        <v>2</v>
      </c>
      <c r="CV92" s="43">
        <f>ዕቁብ!CW95/Sheet4!$C92</f>
        <v>1</v>
      </c>
      <c r="CW92" s="43">
        <f>ዕቁብ!CX95/Sheet4!$C92</f>
        <v>1</v>
      </c>
      <c r="CX92" s="43">
        <f>ዕቁብ!CY95/Sheet4!$C92</f>
        <v>0</v>
      </c>
      <c r="CY92" s="43">
        <f>ዕቁብ!CZ95/Sheet4!$C92</f>
        <v>2</v>
      </c>
      <c r="CZ92" s="43">
        <f>ዕቁብ!DA95/Sheet4!$C92</f>
        <v>0</v>
      </c>
      <c r="DA92" s="43">
        <f>ዕቁብ!DB95/Sheet4!$C92</f>
        <v>2</v>
      </c>
      <c r="DB92" s="43">
        <f>ዕቁብ!DC95/Sheet4!$C92</f>
        <v>1</v>
      </c>
      <c r="DC92" s="43">
        <f>ዕቁብ!DD95/Sheet4!$C92</f>
        <v>1</v>
      </c>
      <c r="DD92" s="43">
        <f>ዕቁብ!DE95/Sheet4!$C92</f>
        <v>1</v>
      </c>
      <c r="DE92" s="43">
        <f>ዕቁብ!DF95/Sheet4!$C92</f>
        <v>1</v>
      </c>
      <c r="DF92" s="43">
        <f>ዕቁብ!DG95/Sheet4!$C92</f>
        <v>1</v>
      </c>
      <c r="DG92" s="43">
        <f>ዕቁብ!DH95/Sheet4!$C92</f>
        <v>1</v>
      </c>
      <c r="DH92" s="43">
        <f>ዕቁብ!DI95/Sheet4!$C92</f>
        <v>0</v>
      </c>
      <c r="DI92" s="43">
        <f>ዕቁብ!DJ95/Sheet4!$C92</f>
        <v>0</v>
      </c>
      <c r="DJ92" s="43">
        <f>ዕቁብ!DK95/Sheet4!$C92</f>
        <v>0</v>
      </c>
      <c r="DK92" s="43">
        <f>ዕቁብ!DL95/Sheet4!$C92</f>
        <v>0</v>
      </c>
      <c r="DL92" s="43">
        <f>ዕቁብ!DM95/Sheet4!$C92</f>
        <v>0</v>
      </c>
      <c r="DM92" s="43">
        <f>ዕቁብ!DN95/Sheet4!$C92</f>
        <v>0</v>
      </c>
      <c r="DN92" s="43">
        <f>ዕቁብ!DO95/Sheet4!$C92</f>
        <v>0</v>
      </c>
      <c r="DO92" s="43">
        <f>ዕቁብ!DP95/Sheet4!$C92</f>
        <v>0</v>
      </c>
      <c r="DP92" s="43">
        <f>ዕቁብ!DQ95/Sheet4!$C92</f>
        <v>0</v>
      </c>
      <c r="DQ92" s="43">
        <f>ዕቁብ!DR95/Sheet4!$C92</f>
        <v>0</v>
      </c>
    </row>
    <row r="93" spans="1:121" ht="15.75" customHeight="1" x14ac:dyDescent="0.3">
      <c r="A93" s="40">
        <f>ዕቁብ!A96</f>
        <v>90</v>
      </c>
      <c r="B93" s="40" t="str">
        <f>ዕቁብ!B96</f>
        <v>ሰለሞን ግርማ</v>
      </c>
      <c r="C93" s="30">
        <f>ዕቁብ!C96</f>
        <v>21000</v>
      </c>
      <c r="D93" s="43">
        <f>ዕቁብ!E96/Sheet4!$C93</f>
        <v>1</v>
      </c>
      <c r="E93" s="43">
        <f>ዕቁብ!F96/Sheet4!$C93</f>
        <v>1</v>
      </c>
      <c r="F93" s="43">
        <f>ዕቁብ!G96/Sheet4!$C93</f>
        <v>1</v>
      </c>
      <c r="G93" s="43">
        <f>ዕቁብ!H96/Sheet4!$C93</f>
        <v>1</v>
      </c>
      <c r="H93" s="43">
        <f>ዕቁብ!I96/Sheet4!$C93</f>
        <v>1</v>
      </c>
      <c r="I93" s="43">
        <f>ዕቁብ!J96/Sheet4!$C93</f>
        <v>1</v>
      </c>
      <c r="J93" s="43">
        <f>ዕቁብ!K96/Sheet4!$C93</f>
        <v>1</v>
      </c>
      <c r="K93" s="43">
        <f>ዕቁብ!L96/Sheet4!$C93</f>
        <v>1</v>
      </c>
      <c r="L93" s="43">
        <f>ዕቁብ!M96/Sheet4!$C93</f>
        <v>1</v>
      </c>
      <c r="M93" s="43">
        <f>ዕቁብ!N96/Sheet4!$C93</f>
        <v>1</v>
      </c>
      <c r="N93" s="43">
        <f>ዕቁብ!O96/Sheet4!$C93</f>
        <v>1</v>
      </c>
      <c r="O93" s="43">
        <f>ዕቁብ!P96/Sheet4!$C93</f>
        <v>1</v>
      </c>
      <c r="P93" s="43">
        <f>ዕቁብ!Q96/Sheet4!$C93</f>
        <v>1</v>
      </c>
      <c r="Q93" s="43">
        <f>ዕቁብ!R96/Sheet4!$C93</f>
        <v>1</v>
      </c>
      <c r="R93" s="43">
        <f>ዕቁብ!S96/Sheet4!$C93</f>
        <v>1</v>
      </c>
      <c r="S93" s="43">
        <f>ዕቁብ!T96/Sheet4!$C93</f>
        <v>1</v>
      </c>
      <c r="T93" s="43">
        <f>ዕቁብ!U96/Sheet4!$C93</f>
        <v>1</v>
      </c>
      <c r="U93" s="43">
        <f>ዕቁብ!V96/Sheet4!$C93</f>
        <v>1</v>
      </c>
      <c r="V93" s="43">
        <f>ዕቁብ!W96/Sheet4!$C93</f>
        <v>1</v>
      </c>
      <c r="W93" s="43">
        <f>ዕቁብ!X96/Sheet4!$C93</f>
        <v>1</v>
      </c>
      <c r="X93" s="43">
        <f>ዕቁብ!Y96/Sheet4!$C93</f>
        <v>1</v>
      </c>
      <c r="Y93" s="43">
        <f>ዕቁብ!Z96/Sheet4!$C93</f>
        <v>1</v>
      </c>
      <c r="Z93" s="43">
        <f>ዕቁብ!AA96/Sheet4!$C93</f>
        <v>1</v>
      </c>
      <c r="AA93" s="43">
        <f>ዕቁብ!AB96/Sheet4!$C93</f>
        <v>0</v>
      </c>
      <c r="AB93" s="43">
        <f>ዕቁብ!AC96/Sheet4!$C93</f>
        <v>2</v>
      </c>
      <c r="AC93" s="43">
        <f>ዕቁብ!AD96/Sheet4!$C93</f>
        <v>1</v>
      </c>
      <c r="AD93" s="43">
        <f>ዕቁብ!AE96/Sheet4!$C93</f>
        <v>1</v>
      </c>
      <c r="AE93" s="43">
        <f>ዕቁብ!AF96/Sheet4!$C93</f>
        <v>1</v>
      </c>
      <c r="AF93" s="43">
        <f>ዕቁብ!AG96/Sheet4!$C93</f>
        <v>1</v>
      </c>
      <c r="AG93" s="43">
        <f>ዕቁብ!AH96/Sheet4!$C93</f>
        <v>1</v>
      </c>
      <c r="AH93" s="43">
        <f>ዕቁብ!AI96/Sheet4!$C93</f>
        <v>1</v>
      </c>
      <c r="AI93" s="43">
        <f>ዕቁብ!AJ96/Sheet4!$C93</f>
        <v>1</v>
      </c>
      <c r="AJ93" s="43">
        <f>ዕቁብ!AK96/Sheet4!$C93</f>
        <v>1</v>
      </c>
      <c r="AK93" s="43">
        <f>ዕቁብ!AL96/Sheet4!$C93</f>
        <v>1</v>
      </c>
      <c r="AL93" s="43">
        <f>ዕቁብ!AM96/Sheet4!$C93</f>
        <v>1</v>
      </c>
      <c r="AM93" s="43">
        <f>ዕቁብ!AN96/Sheet4!$C93</f>
        <v>1</v>
      </c>
      <c r="AN93" s="43">
        <f>ዕቁብ!AO96/Sheet4!$C93</f>
        <v>1</v>
      </c>
      <c r="AO93" s="43">
        <f>ዕቁብ!AP96/Sheet4!$C93</f>
        <v>1</v>
      </c>
      <c r="AP93" s="43">
        <f>ዕቁብ!AQ96/Sheet4!$C93</f>
        <v>1</v>
      </c>
      <c r="AQ93" s="43">
        <f>ዕቁብ!AR96/Sheet4!$C93</f>
        <v>1</v>
      </c>
      <c r="AR93" s="43">
        <f>ዕቁብ!AS96/Sheet4!$C93</f>
        <v>1</v>
      </c>
      <c r="AS93" s="43">
        <f>ዕቁብ!AT96/Sheet4!$C93</f>
        <v>1</v>
      </c>
      <c r="AT93" s="43">
        <f>ዕቁብ!AU96/Sheet4!$C93</f>
        <v>1</v>
      </c>
      <c r="AU93" s="43">
        <f>ዕቁብ!AV96/Sheet4!$C93</f>
        <v>1</v>
      </c>
      <c r="AV93" s="43">
        <f>ዕቁብ!AW96/Sheet4!$C93</f>
        <v>1</v>
      </c>
      <c r="AW93" s="43">
        <f>ዕቁብ!AX96/Sheet4!$C93</f>
        <v>1</v>
      </c>
      <c r="AX93" s="43">
        <f>ዕቁብ!AY96/Sheet4!$C93</f>
        <v>1</v>
      </c>
      <c r="AY93" s="43">
        <f>ዕቁብ!AZ96/Sheet4!$C93</f>
        <v>0</v>
      </c>
      <c r="AZ93" s="43">
        <f>ዕቁብ!BA96/Sheet4!$C93</f>
        <v>2</v>
      </c>
      <c r="BA93" s="43">
        <f>ዕቁብ!BB96/Sheet4!$C93</f>
        <v>1</v>
      </c>
      <c r="BB93" s="43">
        <f>ዕቁብ!BC96/Sheet4!$C93</f>
        <v>1</v>
      </c>
      <c r="BC93" s="43">
        <f>ዕቁብ!BD96/Sheet4!$C93</f>
        <v>0</v>
      </c>
      <c r="BD93" s="43">
        <f>ዕቁብ!BE96/Sheet4!$C93</f>
        <v>2</v>
      </c>
      <c r="BE93" s="43">
        <f>ዕቁብ!BF96/Sheet4!$C93</f>
        <v>1</v>
      </c>
      <c r="BF93" s="43">
        <f>ዕቁብ!BG96/Sheet4!$C93</f>
        <v>1</v>
      </c>
      <c r="BG93" s="43">
        <f>ዕቁብ!BH96/Sheet4!$C93</f>
        <v>1</v>
      </c>
      <c r="BH93" s="43">
        <f>ዕቁብ!BI96/Sheet4!$C93</f>
        <v>1</v>
      </c>
      <c r="BI93" s="43">
        <f>ዕቁብ!BJ96/Sheet4!$C93</f>
        <v>0</v>
      </c>
      <c r="BJ93" s="43">
        <f>ዕቁብ!BK96/Sheet4!$C93</f>
        <v>2</v>
      </c>
      <c r="BK93" s="43">
        <f>ዕቁብ!BL96/Sheet4!$C93</f>
        <v>1</v>
      </c>
      <c r="BL93" s="43">
        <f>ዕቁብ!BM96/Sheet4!$C93</f>
        <v>1</v>
      </c>
      <c r="BM93" s="43">
        <f>ዕቁብ!BN96/Sheet4!$C93</f>
        <v>0</v>
      </c>
      <c r="BN93" s="43">
        <f>ዕቁብ!BO96/Sheet4!$C93</f>
        <v>1</v>
      </c>
      <c r="BO93" s="43">
        <f>ዕቁብ!BP96/Sheet4!$C93</f>
        <v>2</v>
      </c>
      <c r="BP93" s="43">
        <f>ዕቁብ!BQ96/Sheet4!$C93</f>
        <v>0</v>
      </c>
      <c r="BQ93" s="43">
        <f>ዕቁብ!BR96/Sheet4!$C93</f>
        <v>2</v>
      </c>
      <c r="BR93" s="43">
        <f>ዕቁብ!BS96/Sheet4!$C93</f>
        <v>0</v>
      </c>
      <c r="BS93" s="43">
        <f>ዕቁብ!BT96/Sheet4!$C93</f>
        <v>2</v>
      </c>
      <c r="BT93" s="43">
        <f>ዕቁብ!BU96/Sheet4!$C93</f>
        <v>1</v>
      </c>
      <c r="BU93" s="43">
        <f>ዕቁብ!BV96/Sheet4!$C93</f>
        <v>0</v>
      </c>
      <c r="BV93" s="43">
        <f>ዕቁብ!BW96/Sheet4!$C93</f>
        <v>1</v>
      </c>
      <c r="BW93" s="43">
        <f>ዕቁብ!BX96/Sheet4!$C93</f>
        <v>1</v>
      </c>
      <c r="BX93" s="43">
        <f>ዕቁብ!BY96/Sheet4!$C93</f>
        <v>1</v>
      </c>
      <c r="BY93" s="43">
        <f>ዕቁብ!BZ96/Sheet4!$C93</f>
        <v>0</v>
      </c>
      <c r="BZ93" s="43">
        <f>ዕቁብ!CA96/Sheet4!$C93</f>
        <v>2</v>
      </c>
      <c r="CA93" s="43">
        <f>ዕቁብ!CB96/Sheet4!$C93</f>
        <v>0</v>
      </c>
      <c r="CB93" s="43">
        <f>ዕቁብ!CC96/Sheet4!$C93</f>
        <v>1</v>
      </c>
      <c r="CC93" s="43">
        <f>ዕቁብ!CD96/Sheet4!$C93</f>
        <v>1</v>
      </c>
      <c r="CD93" s="43">
        <f>ዕቁብ!CE96/Sheet4!$C93</f>
        <v>1</v>
      </c>
      <c r="CE93" s="43">
        <f>ዕቁብ!CF96/Sheet4!$C93</f>
        <v>2</v>
      </c>
      <c r="CF93" s="43">
        <f>ዕቁብ!CG96/Sheet4!$C93</f>
        <v>1</v>
      </c>
      <c r="CG93" s="43">
        <f>ዕቁብ!CH96/Sheet4!$C93</f>
        <v>1</v>
      </c>
      <c r="CH93" s="43">
        <f>ዕቁብ!CI96/Sheet4!$C93</f>
        <v>1</v>
      </c>
      <c r="CI93" s="43">
        <f>ዕቁብ!CJ96/Sheet4!$C93</f>
        <v>0</v>
      </c>
      <c r="CJ93" s="43">
        <f>ዕቁብ!CK96/Sheet4!$C93</f>
        <v>0</v>
      </c>
      <c r="CK93" s="43">
        <f>ዕቁብ!CL96/Sheet4!$C93</f>
        <v>2</v>
      </c>
      <c r="CL93" s="43">
        <f>ዕቁብ!CM96/Sheet4!$C93</f>
        <v>0</v>
      </c>
      <c r="CM93" s="43">
        <f>ዕቁብ!CN96/Sheet4!$C93</f>
        <v>2</v>
      </c>
      <c r="CN93" s="43">
        <f>ዕቁብ!CO96/Sheet4!$C93</f>
        <v>2</v>
      </c>
      <c r="CO93" s="43">
        <f>ዕቁብ!CP96/Sheet4!$C93</f>
        <v>1</v>
      </c>
      <c r="CP93" s="43">
        <f>ዕቁብ!CQ96/Sheet4!$C93</f>
        <v>0</v>
      </c>
      <c r="CQ93" s="43">
        <f>ዕቁብ!CR96/Sheet4!$C93</f>
        <v>0</v>
      </c>
      <c r="CR93" s="43">
        <f>ዕቁብ!CS96/Sheet4!$C93</f>
        <v>2</v>
      </c>
      <c r="CS93" s="43">
        <f>ዕቁብ!CT96/Sheet4!$C93</f>
        <v>1</v>
      </c>
      <c r="CT93" s="43">
        <f>ዕቁብ!CU96/Sheet4!$C93</f>
        <v>0</v>
      </c>
      <c r="CU93" s="43">
        <f>ዕቁብ!CV96/Sheet4!$C93</f>
        <v>2</v>
      </c>
      <c r="CV93" s="43">
        <f>ዕቁብ!CW96/Sheet4!$C93</f>
        <v>0</v>
      </c>
      <c r="CW93" s="43">
        <f>ዕቁብ!CX96/Sheet4!$C93</f>
        <v>1</v>
      </c>
      <c r="CX93" s="43">
        <f>ዕቁብ!CY96/Sheet4!$C93</f>
        <v>1</v>
      </c>
      <c r="CY93" s="43">
        <f>ዕቁብ!CZ96/Sheet4!$C93</f>
        <v>0</v>
      </c>
      <c r="CZ93" s="43">
        <f>ዕቁብ!DA96/Sheet4!$C93</f>
        <v>0</v>
      </c>
      <c r="DA93" s="43">
        <f>ዕቁብ!DB96/Sheet4!$C93</f>
        <v>2</v>
      </c>
      <c r="DB93" s="43">
        <f>ዕቁብ!DC96/Sheet4!$C93</f>
        <v>0</v>
      </c>
      <c r="DC93" s="43">
        <f>ዕቁብ!DD96/Sheet4!$C93</f>
        <v>1</v>
      </c>
      <c r="DD93" s="43">
        <f>ዕቁብ!DE96/Sheet4!$C93</f>
        <v>2</v>
      </c>
      <c r="DE93" s="43">
        <f>ዕቁብ!DF96/Sheet4!$C93</f>
        <v>0</v>
      </c>
      <c r="DF93" s="43">
        <f>ዕቁብ!DG96/Sheet4!$C93</f>
        <v>2</v>
      </c>
      <c r="DG93" s="43">
        <f>ዕቁብ!DH96/Sheet4!$C93</f>
        <v>1</v>
      </c>
      <c r="DH93" s="43">
        <f>ዕቁብ!DI96/Sheet4!$C93</f>
        <v>0</v>
      </c>
      <c r="DI93" s="43">
        <f>ዕቁብ!DJ96/Sheet4!$C93</f>
        <v>0</v>
      </c>
      <c r="DJ93" s="43">
        <f>ዕቁብ!DK96/Sheet4!$C93</f>
        <v>0</v>
      </c>
      <c r="DK93" s="43">
        <f>ዕቁብ!DL96/Sheet4!$C93</f>
        <v>0</v>
      </c>
      <c r="DL93" s="43">
        <f>ዕቁብ!DM96/Sheet4!$C93</f>
        <v>0</v>
      </c>
      <c r="DM93" s="43">
        <f>ዕቁብ!DN96/Sheet4!$C93</f>
        <v>0</v>
      </c>
      <c r="DN93" s="43">
        <f>ዕቁብ!DO96/Sheet4!$C93</f>
        <v>0</v>
      </c>
      <c r="DO93" s="43">
        <f>ዕቁብ!DP96/Sheet4!$C93</f>
        <v>0</v>
      </c>
      <c r="DP93" s="43">
        <f>ዕቁብ!DQ96/Sheet4!$C93</f>
        <v>0</v>
      </c>
      <c r="DQ93" s="43">
        <f>ዕቁብ!DR96/Sheet4!$C93</f>
        <v>0</v>
      </c>
    </row>
    <row r="94" spans="1:121" ht="15.75" customHeight="1" x14ac:dyDescent="0.3">
      <c r="A94" s="40">
        <f>ዕቁብ!A97</f>
        <v>91</v>
      </c>
      <c r="B94" s="40" t="str">
        <f>ዕቁብ!B97</f>
        <v xml:space="preserve">ሄኖክ ቶሎሳ </v>
      </c>
      <c r="C94" s="30">
        <f>ዕቁብ!C97</f>
        <v>21000</v>
      </c>
      <c r="D94" s="43">
        <f>ዕቁብ!E97/Sheet4!$C94</f>
        <v>1</v>
      </c>
      <c r="E94" s="43">
        <f>ዕቁብ!F97/Sheet4!$C94</f>
        <v>1</v>
      </c>
      <c r="F94" s="43">
        <f>ዕቁብ!G97/Sheet4!$C94</f>
        <v>1</v>
      </c>
      <c r="G94" s="43">
        <f>ዕቁብ!H97/Sheet4!$C94</f>
        <v>1</v>
      </c>
      <c r="H94" s="43">
        <f>ዕቁብ!I97/Sheet4!$C94</f>
        <v>1</v>
      </c>
      <c r="I94" s="43">
        <f>ዕቁብ!J97/Sheet4!$C94</f>
        <v>1</v>
      </c>
      <c r="J94" s="43">
        <f>ዕቁብ!K97/Sheet4!$C94</f>
        <v>1</v>
      </c>
      <c r="K94" s="43">
        <f>ዕቁብ!L97/Sheet4!$C94</f>
        <v>1</v>
      </c>
      <c r="L94" s="43">
        <f>ዕቁብ!M97/Sheet4!$C94</f>
        <v>1</v>
      </c>
      <c r="M94" s="43">
        <f>ዕቁብ!N97/Sheet4!$C94</f>
        <v>1</v>
      </c>
      <c r="N94" s="43">
        <f>ዕቁብ!O97/Sheet4!$C94</f>
        <v>1</v>
      </c>
      <c r="O94" s="43">
        <f>ዕቁብ!P97/Sheet4!$C94</f>
        <v>1</v>
      </c>
      <c r="P94" s="43">
        <f>ዕቁብ!Q97/Sheet4!$C94</f>
        <v>1</v>
      </c>
      <c r="Q94" s="43">
        <f>ዕቁብ!R97/Sheet4!$C94</f>
        <v>1</v>
      </c>
      <c r="R94" s="43">
        <f>ዕቁብ!S97/Sheet4!$C94</f>
        <v>1</v>
      </c>
      <c r="S94" s="43">
        <f>ዕቁብ!T97/Sheet4!$C94</f>
        <v>1</v>
      </c>
      <c r="T94" s="43">
        <f>ዕቁብ!U97/Sheet4!$C94</f>
        <v>1</v>
      </c>
      <c r="U94" s="43">
        <f>ዕቁብ!V97/Sheet4!$C94</f>
        <v>1</v>
      </c>
      <c r="V94" s="43">
        <f>ዕቁብ!W97/Sheet4!$C94</f>
        <v>1</v>
      </c>
      <c r="W94" s="43">
        <f>ዕቁብ!X97/Sheet4!$C94</f>
        <v>0</v>
      </c>
      <c r="X94" s="43">
        <f>ዕቁብ!Y97/Sheet4!$C94</f>
        <v>1</v>
      </c>
      <c r="Y94" s="43">
        <f>ዕቁብ!Z97/Sheet4!$C94</f>
        <v>1</v>
      </c>
      <c r="Z94" s="43">
        <f>ዕቁብ!AA97/Sheet4!$C94</f>
        <v>1</v>
      </c>
      <c r="AA94" s="43">
        <f>ዕቁብ!AB97/Sheet4!$C94</f>
        <v>0</v>
      </c>
      <c r="AB94" s="43">
        <f>ዕቁብ!AC97/Sheet4!$C94</f>
        <v>2</v>
      </c>
      <c r="AC94" s="43">
        <f>ዕቁብ!AD97/Sheet4!$C94</f>
        <v>1</v>
      </c>
      <c r="AD94" s="43">
        <f>ዕቁብ!AE97/Sheet4!$C94</f>
        <v>1</v>
      </c>
      <c r="AE94" s="43">
        <f>ዕቁብ!AF97/Sheet4!$C94</f>
        <v>2</v>
      </c>
      <c r="AF94" s="43">
        <f>ዕቁብ!AG97/Sheet4!$C94</f>
        <v>1</v>
      </c>
      <c r="AG94" s="43">
        <f>ዕቁብ!AH97/Sheet4!$C94</f>
        <v>1</v>
      </c>
      <c r="AH94" s="43">
        <f>ዕቁብ!AI97/Sheet4!$C94</f>
        <v>1</v>
      </c>
      <c r="AI94" s="43">
        <f>ዕቁብ!AJ97/Sheet4!$C94</f>
        <v>1</v>
      </c>
      <c r="AJ94" s="43">
        <f>ዕቁብ!AK97/Sheet4!$C94</f>
        <v>1</v>
      </c>
      <c r="AK94" s="43">
        <f>ዕቁብ!AL97/Sheet4!$C94</f>
        <v>1</v>
      </c>
      <c r="AL94" s="43">
        <f>ዕቁብ!AM97/Sheet4!$C94</f>
        <v>1</v>
      </c>
      <c r="AM94" s="43">
        <f>ዕቁብ!AN97/Sheet4!$C94</f>
        <v>0</v>
      </c>
      <c r="AN94" s="43">
        <f>ዕቁብ!AO97/Sheet4!$C94</f>
        <v>2</v>
      </c>
      <c r="AO94" s="43">
        <f>ዕቁብ!AP97/Sheet4!$C94</f>
        <v>1</v>
      </c>
      <c r="AP94" s="43">
        <f>ዕቁብ!AQ97/Sheet4!$C94</f>
        <v>1</v>
      </c>
      <c r="AQ94" s="43">
        <f>ዕቁብ!AR97/Sheet4!$C94</f>
        <v>1</v>
      </c>
      <c r="AR94" s="43">
        <f>ዕቁብ!AS97/Sheet4!$C94</f>
        <v>1</v>
      </c>
      <c r="AS94" s="43">
        <f>ዕቁብ!AT97/Sheet4!$C94</f>
        <v>1</v>
      </c>
      <c r="AT94" s="43">
        <f>ዕቁብ!AU97/Sheet4!$C94</f>
        <v>1</v>
      </c>
      <c r="AU94" s="43">
        <f>ዕቁብ!AV97/Sheet4!$C94</f>
        <v>1</v>
      </c>
      <c r="AV94" s="43">
        <f>ዕቁብ!AW97/Sheet4!$C94</f>
        <v>1</v>
      </c>
      <c r="AW94" s="43">
        <f>ዕቁብ!AX97/Sheet4!$C94</f>
        <v>0</v>
      </c>
      <c r="AX94" s="43">
        <f>ዕቁብ!AY97/Sheet4!$C94</f>
        <v>2</v>
      </c>
      <c r="AY94" s="43">
        <f>ዕቁብ!AZ97/Sheet4!$C94</f>
        <v>1</v>
      </c>
      <c r="AZ94" s="43">
        <f>ዕቁብ!BA97/Sheet4!$C94</f>
        <v>1</v>
      </c>
      <c r="BA94" s="43">
        <f>ዕቁብ!BB97/Sheet4!$C94</f>
        <v>1</v>
      </c>
      <c r="BB94" s="43">
        <f>ዕቁብ!BC97/Sheet4!$C94</f>
        <v>1</v>
      </c>
      <c r="BC94" s="43">
        <f>ዕቁብ!BD97/Sheet4!$C94</f>
        <v>1</v>
      </c>
      <c r="BD94" s="43">
        <f>ዕቁብ!BE97/Sheet4!$C94</f>
        <v>1</v>
      </c>
      <c r="BE94" s="43">
        <f>ዕቁብ!BF97/Sheet4!$C94</f>
        <v>1</v>
      </c>
      <c r="BF94" s="43">
        <f>ዕቁብ!BG97/Sheet4!$C94</f>
        <v>0</v>
      </c>
      <c r="BG94" s="43">
        <f>ዕቁብ!BH97/Sheet4!$C94</f>
        <v>0</v>
      </c>
      <c r="BH94" s="43">
        <f>ዕቁብ!BI97/Sheet4!$C94</f>
        <v>3</v>
      </c>
      <c r="BI94" s="43">
        <f>ዕቁብ!BJ97/Sheet4!$C94</f>
        <v>1</v>
      </c>
      <c r="BJ94" s="43">
        <f>ዕቁብ!BK97/Sheet4!$C94</f>
        <v>1</v>
      </c>
      <c r="BK94" s="43">
        <f>ዕቁብ!BL97/Sheet4!$C94</f>
        <v>0</v>
      </c>
      <c r="BL94" s="43">
        <f>ዕቁብ!BM97/Sheet4!$C94</f>
        <v>2</v>
      </c>
      <c r="BM94" s="43">
        <f>ዕቁብ!BN97/Sheet4!$C94</f>
        <v>0</v>
      </c>
      <c r="BN94" s="43">
        <f>ዕቁብ!BO97/Sheet4!$C94</f>
        <v>2</v>
      </c>
      <c r="BO94" s="43">
        <f>ዕቁብ!BP97/Sheet4!$C94</f>
        <v>1</v>
      </c>
      <c r="BP94" s="43">
        <f>ዕቁብ!BQ97/Sheet4!$C94</f>
        <v>1</v>
      </c>
      <c r="BQ94" s="43">
        <f>ዕቁብ!BR97/Sheet4!$C94</f>
        <v>0</v>
      </c>
      <c r="BR94" s="43">
        <f>ዕቁብ!BS97/Sheet4!$C94</f>
        <v>2</v>
      </c>
      <c r="BS94" s="43">
        <f>ዕቁብ!BT97/Sheet4!$C94</f>
        <v>1</v>
      </c>
      <c r="BT94" s="43">
        <f>ዕቁብ!BU97/Sheet4!$C94</f>
        <v>1</v>
      </c>
      <c r="BU94" s="43">
        <f>ዕቁብ!BV97/Sheet4!$C94</f>
        <v>0</v>
      </c>
      <c r="BV94" s="43">
        <f>ዕቁብ!BW97/Sheet4!$C94</f>
        <v>2</v>
      </c>
      <c r="BW94" s="43">
        <f>ዕቁብ!BX97/Sheet4!$C94</f>
        <v>0</v>
      </c>
      <c r="BX94" s="43">
        <f>ዕቁብ!BY97/Sheet4!$C94</f>
        <v>2</v>
      </c>
      <c r="BY94" s="43">
        <f>ዕቁብ!BZ97/Sheet4!$C94</f>
        <v>0</v>
      </c>
      <c r="BZ94" s="43">
        <f>ዕቁብ!CA97/Sheet4!$C94</f>
        <v>1</v>
      </c>
      <c r="CA94" s="43">
        <f>ዕቁብ!CB97/Sheet4!$C94</f>
        <v>2</v>
      </c>
      <c r="CB94" s="43">
        <f>ዕቁብ!CC97/Sheet4!$C94</f>
        <v>1</v>
      </c>
      <c r="CC94" s="43">
        <f>ዕቁብ!CD97/Sheet4!$C94</f>
        <v>1</v>
      </c>
      <c r="CD94" s="43">
        <f>ዕቁብ!CE97/Sheet4!$C94</f>
        <v>0</v>
      </c>
      <c r="CE94" s="43">
        <f>ዕቁብ!CF97/Sheet4!$C94</f>
        <v>2</v>
      </c>
      <c r="CF94" s="43">
        <f>ዕቁብ!CG97/Sheet4!$C94</f>
        <v>1</v>
      </c>
      <c r="CG94" s="43">
        <f>ዕቁብ!CH97/Sheet4!$C94</f>
        <v>0</v>
      </c>
      <c r="CH94" s="43">
        <f>ዕቁብ!CI97/Sheet4!$C94</f>
        <v>1</v>
      </c>
      <c r="CI94" s="43">
        <f>ዕቁብ!CJ97/Sheet4!$C94</f>
        <v>0</v>
      </c>
      <c r="CJ94" s="43">
        <f>ዕቁብ!CK97/Sheet4!$C94</f>
        <v>2</v>
      </c>
      <c r="CK94" s="43">
        <f>ዕቁብ!CL97/Sheet4!$C94</f>
        <v>1</v>
      </c>
      <c r="CL94" s="43">
        <f>ዕቁብ!CM97/Sheet4!$C94</f>
        <v>0</v>
      </c>
      <c r="CM94" s="43">
        <f>ዕቁብ!CN97/Sheet4!$C94</f>
        <v>2</v>
      </c>
      <c r="CN94" s="43">
        <f>ዕቁብ!CO97/Sheet4!$C94</f>
        <v>0</v>
      </c>
      <c r="CO94" s="43">
        <f>ዕቁብ!CP97/Sheet4!$C94</f>
        <v>2</v>
      </c>
      <c r="CP94" s="43">
        <f>ዕቁብ!CQ97/Sheet4!$C94</f>
        <v>0</v>
      </c>
      <c r="CQ94" s="43">
        <f>ዕቁብ!CR97/Sheet4!$C94</f>
        <v>0</v>
      </c>
      <c r="CR94" s="43">
        <f>ዕቁብ!CS97/Sheet4!$C94</f>
        <v>3</v>
      </c>
      <c r="CS94" s="43">
        <f>ዕቁብ!CT97/Sheet4!$C94</f>
        <v>0</v>
      </c>
      <c r="CT94" s="43">
        <f>ዕቁብ!CU97/Sheet4!$C94</f>
        <v>0</v>
      </c>
      <c r="CU94" s="43">
        <f>ዕቁብ!CV97/Sheet4!$C94</f>
        <v>1</v>
      </c>
      <c r="CV94" s="43">
        <f>ዕቁብ!CW97/Sheet4!$C94</f>
        <v>2</v>
      </c>
      <c r="CW94" s="43">
        <f>ዕቁብ!CX97/Sheet4!$C94</f>
        <v>0</v>
      </c>
      <c r="CX94" s="43">
        <f>ዕቁብ!CY97/Sheet4!$C94</f>
        <v>0</v>
      </c>
      <c r="CY94" s="43">
        <f>ዕቁብ!CZ97/Sheet4!$C94</f>
        <v>2</v>
      </c>
      <c r="CZ94" s="43">
        <f>ዕቁብ!DA97/Sheet4!$C94</f>
        <v>1</v>
      </c>
      <c r="DA94" s="43">
        <f>ዕቁብ!DB97/Sheet4!$C94</f>
        <v>1</v>
      </c>
      <c r="DB94" s="43">
        <f>ዕቁብ!DC97/Sheet4!$C94</f>
        <v>0</v>
      </c>
      <c r="DC94" s="43">
        <f>ዕቁብ!DD97/Sheet4!$C94</f>
        <v>2</v>
      </c>
      <c r="DD94" s="43">
        <f>ዕቁብ!DE97/Sheet4!$C94</f>
        <v>0</v>
      </c>
      <c r="DE94" s="43">
        <f>ዕቁብ!DF97/Sheet4!$C94</f>
        <v>0</v>
      </c>
      <c r="DF94" s="43">
        <f>ዕቁብ!DG97/Sheet4!$C94</f>
        <v>2</v>
      </c>
      <c r="DG94" s="43">
        <f>ዕቁብ!DH97/Sheet4!$C94</f>
        <v>1</v>
      </c>
      <c r="DH94" s="43">
        <f>ዕቁብ!DI97/Sheet4!$C94</f>
        <v>0</v>
      </c>
      <c r="DI94" s="43">
        <f>ዕቁብ!DJ97/Sheet4!$C94</f>
        <v>0</v>
      </c>
      <c r="DJ94" s="43">
        <f>ዕቁብ!DK97/Sheet4!$C94</f>
        <v>0</v>
      </c>
      <c r="DK94" s="43">
        <f>ዕቁብ!DL97/Sheet4!$C94</f>
        <v>0</v>
      </c>
      <c r="DL94" s="43">
        <f>ዕቁብ!DM97/Sheet4!$C94</f>
        <v>0</v>
      </c>
      <c r="DM94" s="43">
        <f>ዕቁብ!DN97/Sheet4!$C94</f>
        <v>0</v>
      </c>
      <c r="DN94" s="43">
        <f>ዕቁብ!DO97/Sheet4!$C94</f>
        <v>0</v>
      </c>
      <c r="DO94" s="43">
        <f>ዕቁብ!DP97/Sheet4!$C94</f>
        <v>0</v>
      </c>
      <c r="DP94" s="43">
        <f>ዕቁብ!DQ97/Sheet4!$C94</f>
        <v>0</v>
      </c>
      <c r="DQ94" s="43">
        <f>ዕቁብ!DR97/Sheet4!$C94</f>
        <v>0</v>
      </c>
    </row>
    <row r="95" spans="1:121" ht="15.75" customHeight="1" x14ac:dyDescent="0.3">
      <c r="A95" s="40">
        <f>ዕቁብ!A98</f>
        <v>92</v>
      </c>
      <c r="B95" s="40" t="str">
        <f>ዕቁብ!B98</f>
        <v>ያዕቆብ ይቱራ</v>
      </c>
      <c r="C95" s="30">
        <f>ዕቁብ!C98</f>
        <v>21000</v>
      </c>
      <c r="D95" s="43">
        <f>ዕቁብ!E98/Sheet4!$C95</f>
        <v>1</v>
      </c>
      <c r="E95" s="43">
        <f>ዕቁብ!F98/Sheet4!$C95</f>
        <v>1</v>
      </c>
      <c r="F95" s="43">
        <f>ዕቁብ!G98/Sheet4!$C95</f>
        <v>1</v>
      </c>
      <c r="G95" s="43">
        <f>ዕቁብ!H98/Sheet4!$C95</f>
        <v>1</v>
      </c>
      <c r="H95" s="43">
        <f>ዕቁብ!I98/Sheet4!$C95</f>
        <v>1</v>
      </c>
      <c r="I95" s="43">
        <f>ዕቁብ!J98/Sheet4!$C95</f>
        <v>1</v>
      </c>
      <c r="J95" s="43">
        <f>ዕቁብ!K98/Sheet4!$C95</f>
        <v>1</v>
      </c>
      <c r="K95" s="43">
        <f>ዕቁብ!L98/Sheet4!$C95</f>
        <v>1</v>
      </c>
      <c r="L95" s="43">
        <f>ዕቁብ!M98/Sheet4!$C95</f>
        <v>1</v>
      </c>
      <c r="M95" s="43">
        <f>ዕቁብ!N98/Sheet4!$C95</f>
        <v>1</v>
      </c>
      <c r="N95" s="43">
        <f>ዕቁብ!O98/Sheet4!$C95</f>
        <v>1</v>
      </c>
      <c r="O95" s="43">
        <f>ዕቁብ!P98/Sheet4!$C95</f>
        <v>1</v>
      </c>
      <c r="P95" s="43">
        <f>ዕቁብ!Q98/Sheet4!$C95</f>
        <v>1</v>
      </c>
      <c r="Q95" s="43">
        <f>ዕቁብ!R98/Sheet4!$C95</f>
        <v>1</v>
      </c>
      <c r="R95" s="43">
        <f>ዕቁብ!S98/Sheet4!$C95</f>
        <v>1</v>
      </c>
      <c r="S95" s="43">
        <f>ዕቁብ!T98/Sheet4!$C95</f>
        <v>1</v>
      </c>
      <c r="T95" s="43">
        <f>ዕቁብ!U98/Sheet4!$C95</f>
        <v>1</v>
      </c>
      <c r="U95" s="43">
        <f>ዕቁብ!V98/Sheet4!$C95</f>
        <v>1</v>
      </c>
      <c r="V95" s="43">
        <f>ዕቁብ!W98/Sheet4!$C95</f>
        <v>1</v>
      </c>
      <c r="W95" s="43">
        <f>ዕቁብ!X98/Sheet4!$C95</f>
        <v>1</v>
      </c>
      <c r="X95" s="43">
        <f>ዕቁብ!Y98/Sheet4!$C95</f>
        <v>1</v>
      </c>
      <c r="Y95" s="43">
        <f>ዕቁብ!Z98/Sheet4!$C95</f>
        <v>1</v>
      </c>
      <c r="Z95" s="43">
        <f>ዕቁብ!AA98/Sheet4!$C95</f>
        <v>1</v>
      </c>
      <c r="AA95" s="43">
        <f>ዕቁብ!AB98/Sheet4!$C95</f>
        <v>0</v>
      </c>
      <c r="AB95" s="43">
        <f>ዕቁብ!AC98/Sheet4!$C95</f>
        <v>2</v>
      </c>
      <c r="AC95" s="43">
        <f>ዕቁብ!AD98/Sheet4!$C95</f>
        <v>1</v>
      </c>
      <c r="AD95" s="43">
        <f>ዕቁብ!AE98/Sheet4!$C95</f>
        <v>1</v>
      </c>
      <c r="AE95" s="43">
        <f>ዕቁብ!AF98/Sheet4!$C95</f>
        <v>0</v>
      </c>
      <c r="AF95" s="43">
        <f>ዕቁብ!AG98/Sheet4!$C95</f>
        <v>2</v>
      </c>
      <c r="AG95" s="43">
        <f>ዕቁብ!AH98/Sheet4!$C95</f>
        <v>1</v>
      </c>
      <c r="AH95" s="43">
        <f>ዕቁብ!AI98/Sheet4!$C95</f>
        <v>0</v>
      </c>
      <c r="AI95" s="43">
        <f>ዕቁብ!AJ98/Sheet4!$C95</f>
        <v>0</v>
      </c>
      <c r="AJ95" s="43">
        <f>ዕቁብ!AK98/Sheet4!$C95</f>
        <v>2</v>
      </c>
      <c r="AK95" s="43">
        <f>ዕቁብ!AL98/Sheet4!$C95</f>
        <v>2</v>
      </c>
      <c r="AL95" s="43">
        <f>ዕቁብ!AM98/Sheet4!$C95</f>
        <v>0</v>
      </c>
      <c r="AM95" s="43">
        <f>ዕቁብ!AN98/Sheet4!$C95</f>
        <v>1</v>
      </c>
      <c r="AN95" s="43">
        <f>ዕቁብ!AO98/Sheet4!$C95</f>
        <v>1</v>
      </c>
      <c r="AO95" s="43">
        <f>ዕቁብ!AP98/Sheet4!$C95</f>
        <v>1</v>
      </c>
      <c r="AP95" s="43">
        <f>ዕቁብ!AQ98/Sheet4!$C95</f>
        <v>1</v>
      </c>
      <c r="AQ95" s="43">
        <f>ዕቁብ!AR98/Sheet4!$C95</f>
        <v>1</v>
      </c>
      <c r="AR95" s="43">
        <f>ዕቁብ!AS98/Sheet4!$C95</f>
        <v>1</v>
      </c>
      <c r="AS95" s="43">
        <f>ዕቁብ!AT98/Sheet4!$C95</f>
        <v>1</v>
      </c>
      <c r="AT95" s="43">
        <f>ዕቁብ!AU98/Sheet4!$C95</f>
        <v>1</v>
      </c>
      <c r="AU95" s="43">
        <f>ዕቁብ!AV98/Sheet4!$C95</f>
        <v>1</v>
      </c>
      <c r="AV95" s="43">
        <f>ዕቁብ!AW98/Sheet4!$C95</f>
        <v>1</v>
      </c>
      <c r="AW95" s="43">
        <f>ዕቁብ!AX98/Sheet4!$C95</f>
        <v>1</v>
      </c>
      <c r="AX95" s="43">
        <f>ዕቁብ!AY98/Sheet4!$C95</f>
        <v>1</v>
      </c>
      <c r="AY95" s="43">
        <f>ዕቁብ!AZ98/Sheet4!$C95</f>
        <v>0</v>
      </c>
      <c r="AZ95" s="43">
        <f>ዕቁብ!BA98/Sheet4!$C95</f>
        <v>2</v>
      </c>
      <c r="BA95" s="43">
        <f>ዕቁብ!BB98/Sheet4!$C95</f>
        <v>1</v>
      </c>
      <c r="BB95" s="43">
        <f>ዕቁብ!BC98/Sheet4!$C95</f>
        <v>1</v>
      </c>
      <c r="BC95" s="43">
        <f>ዕቁብ!BD98/Sheet4!$C95</f>
        <v>0</v>
      </c>
      <c r="BD95" s="43">
        <f>ዕቁብ!BE98/Sheet4!$C95</f>
        <v>1</v>
      </c>
      <c r="BE95" s="43">
        <f>ዕቁብ!BF98/Sheet4!$C95</f>
        <v>2</v>
      </c>
      <c r="BF95" s="43">
        <f>ዕቁብ!BG98/Sheet4!$C95</f>
        <v>1</v>
      </c>
      <c r="BG95" s="43">
        <f>ዕቁብ!BH98/Sheet4!$C95</f>
        <v>0</v>
      </c>
      <c r="BH95" s="43">
        <f>ዕቁብ!BI98/Sheet4!$C95</f>
        <v>1</v>
      </c>
      <c r="BI95" s="43">
        <f>ዕቁብ!BJ98/Sheet4!$C95</f>
        <v>2</v>
      </c>
      <c r="BJ95" s="43">
        <f>ዕቁብ!BK98/Sheet4!$C95</f>
        <v>1</v>
      </c>
      <c r="BK95" s="43">
        <f>ዕቁብ!BL98/Sheet4!$C95</f>
        <v>0</v>
      </c>
      <c r="BL95" s="43">
        <f>ዕቁብ!BM98/Sheet4!$C95</f>
        <v>1</v>
      </c>
      <c r="BM95" s="43">
        <f>ዕቁብ!BN98/Sheet4!$C95</f>
        <v>0</v>
      </c>
      <c r="BN95" s="43">
        <f>ዕቁብ!BO98/Sheet4!$C95</f>
        <v>2</v>
      </c>
      <c r="BO95" s="43">
        <f>ዕቁብ!BP98/Sheet4!$C95</f>
        <v>0</v>
      </c>
      <c r="BP95" s="43">
        <f>ዕቁብ!BQ98/Sheet4!$C95</f>
        <v>2</v>
      </c>
      <c r="BQ95" s="43">
        <f>ዕቁብ!BR98/Sheet4!$C95</f>
        <v>1</v>
      </c>
      <c r="BR95" s="43">
        <f>ዕቁብ!BS98/Sheet4!$C95</f>
        <v>0</v>
      </c>
      <c r="BS95" s="43">
        <f>ዕቁብ!BT98/Sheet4!$C95</f>
        <v>2</v>
      </c>
      <c r="BT95" s="43">
        <f>ዕቁብ!BU98/Sheet4!$C95</f>
        <v>1</v>
      </c>
      <c r="BU95" s="43">
        <f>ዕቁብ!BV98/Sheet4!$C95</f>
        <v>0</v>
      </c>
      <c r="BV95" s="43">
        <f>ዕቁብ!BW98/Sheet4!$C95</f>
        <v>0</v>
      </c>
      <c r="BW95" s="43">
        <f>ዕቁብ!BX98/Sheet4!$C95</f>
        <v>1</v>
      </c>
      <c r="BX95" s="43">
        <f>ዕቁብ!BY98/Sheet4!$C95</f>
        <v>1</v>
      </c>
      <c r="BY95" s="43">
        <f>ዕቁብ!BZ98/Sheet4!$C95</f>
        <v>0</v>
      </c>
      <c r="BZ95" s="43">
        <f>ዕቁብ!CA98/Sheet4!$C95</f>
        <v>4</v>
      </c>
      <c r="CA95" s="43">
        <f>ዕቁብ!CB98/Sheet4!$C95</f>
        <v>1</v>
      </c>
      <c r="CB95" s="43">
        <f>ዕቁብ!CC98/Sheet4!$C95</f>
        <v>1</v>
      </c>
      <c r="CC95" s="43">
        <f>ዕቁብ!CD98/Sheet4!$C95</f>
        <v>0</v>
      </c>
      <c r="CD95" s="43">
        <f>ዕቁብ!CE98/Sheet4!$C95</f>
        <v>0</v>
      </c>
      <c r="CE95" s="43">
        <f>ዕቁብ!CF98/Sheet4!$C95</f>
        <v>2</v>
      </c>
      <c r="CF95" s="43">
        <f>ዕቁብ!CG98/Sheet4!$C95</f>
        <v>1</v>
      </c>
      <c r="CG95" s="43">
        <f>ዕቁብ!CH98/Sheet4!$C95</f>
        <v>1</v>
      </c>
      <c r="CH95" s="43">
        <f>ዕቁብ!CI98/Sheet4!$C95</f>
        <v>1</v>
      </c>
      <c r="CI95" s="43">
        <f>ዕቁብ!CJ98/Sheet4!$C95</f>
        <v>0</v>
      </c>
      <c r="CJ95" s="43">
        <f>ዕቁብ!CK98/Sheet4!$C95</f>
        <v>2</v>
      </c>
      <c r="CK95" s="43">
        <f>ዕቁብ!CL98/Sheet4!$C95</f>
        <v>1</v>
      </c>
      <c r="CL95" s="43">
        <f>ዕቁብ!CM98/Sheet4!$C95</f>
        <v>1</v>
      </c>
      <c r="CM95" s="43">
        <f>ዕቁብ!CN98/Sheet4!$C95</f>
        <v>1</v>
      </c>
      <c r="CN95" s="43">
        <f>ዕቁብ!CO98/Sheet4!$C95</f>
        <v>0</v>
      </c>
      <c r="CO95" s="43">
        <f>ዕቁብ!CP98/Sheet4!$C95</f>
        <v>1</v>
      </c>
      <c r="CP95" s="43">
        <f>ዕቁብ!CQ98/Sheet4!$C95</f>
        <v>0</v>
      </c>
      <c r="CQ95" s="43">
        <f>ዕቁብ!CR98/Sheet4!$C95</f>
        <v>0</v>
      </c>
      <c r="CR95" s="43">
        <f>ዕቁብ!CS98/Sheet4!$C95</f>
        <v>2</v>
      </c>
      <c r="CS95" s="43">
        <f>ዕቁብ!CT98/Sheet4!$C95</f>
        <v>1</v>
      </c>
      <c r="CT95" s="43">
        <f>ዕቁብ!CU98/Sheet4!$C95</f>
        <v>1</v>
      </c>
      <c r="CU95" s="43">
        <f>ዕቁብ!CV98/Sheet4!$C95</f>
        <v>1</v>
      </c>
      <c r="CV95" s="43">
        <f>ዕቁብ!CW98/Sheet4!$C95</f>
        <v>1</v>
      </c>
      <c r="CW95" s="43">
        <f>ዕቁብ!CX98/Sheet4!$C95</f>
        <v>1</v>
      </c>
      <c r="CX95" s="43">
        <f>ዕቁብ!CY98/Sheet4!$C95</f>
        <v>1</v>
      </c>
      <c r="CY95" s="43">
        <f>ዕቁብ!CZ98/Sheet4!$C95</f>
        <v>0</v>
      </c>
      <c r="CZ95" s="43">
        <f>ዕቁብ!DA98/Sheet4!$C95</f>
        <v>2</v>
      </c>
      <c r="DA95" s="43">
        <f>ዕቁብ!DB98/Sheet4!$C95</f>
        <v>1</v>
      </c>
      <c r="DB95" s="43">
        <f>ዕቁብ!DC98/Sheet4!$C95</f>
        <v>1</v>
      </c>
      <c r="DC95" s="43">
        <f>ዕቁብ!DD98/Sheet4!$C95</f>
        <v>0</v>
      </c>
      <c r="DD95" s="43">
        <f>ዕቁብ!DE98/Sheet4!$C95</f>
        <v>2</v>
      </c>
      <c r="DE95" s="43">
        <f>ዕቁብ!DF98/Sheet4!$C95</f>
        <v>0</v>
      </c>
      <c r="DF95" s="43">
        <f>ዕቁብ!DG98/Sheet4!$C95</f>
        <v>1</v>
      </c>
      <c r="DG95" s="43">
        <f>ዕቁብ!DH98/Sheet4!$C95</f>
        <v>1</v>
      </c>
      <c r="DH95" s="43">
        <f>ዕቁብ!DI98/Sheet4!$C95</f>
        <v>0</v>
      </c>
      <c r="DI95" s="43">
        <f>ዕቁብ!DJ98/Sheet4!$C95</f>
        <v>0</v>
      </c>
      <c r="DJ95" s="43">
        <f>ዕቁብ!DK98/Sheet4!$C95</f>
        <v>0</v>
      </c>
      <c r="DK95" s="43">
        <f>ዕቁብ!DL98/Sheet4!$C95</f>
        <v>0</v>
      </c>
      <c r="DL95" s="43">
        <f>ዕቁብ!DM98/Sheet4!$C95</f>
        <v>0</v>
      </c>
      <c r="DM95" s="43">
        <f>ዕቁብ!DN98/Sheet4!$C95</f>
        <v>0</v>
      </c>
      <c r="DN95" s="43">
        <f>ዕቁብ!DO98/Sheet4!$C95</f>
        <v>0</v>
      </c>
      <c r="DO95" s="43">
        <f>ዕቁብ!DP98/Sheet4!$C95</f>
        <v>0</v>
      </c>
      <c r="DP95" s="43">
        <f>ዕቁብ!DQ98/Sheet4!$C95</f>
        <v>0</v>
      </c>
      <c r="DQ95" s="43">
        <f>ዕቁብ!DR98/Sheet4!$C95</f>
        <v>0</v>
      </c>
    </row>
    <row r="96" spans="1:121" ht="15.75" customHeight="1" x14ac:dyDescent="0.3">
      <c r="A96" s="40">
        <f>ዕቁብ!A99</f>
        <v>93</v>
      </c>
      <c r="B96" s="40" t="str">
        <f>ዕቁብ!B99</f>
        <v>እንግዳ ካሳዬ</v>
      </c>
      <c r="C96" s="30">
        <f>ዕቁብ!C99</f>
        <v>21000</v>
      </c>
      <c r="D96" s="43">
        <f>ዕቁብ!E99/Sheet4!$C96</f>
        <v>1</v>
      </c>
      <c r="E96" s="43">
        <f>ዕቁብ!F99/Sheet4!$C96</f>
        <v>1</v>
      </c>
      <c r="F96" s="43">
        <f>ዕቁብ!G99/Sheet4!$C96</f>
        <v>1</v>
      </c>
      <c r="G96" s="43">
        <f>ዕቁብ!H99/Sheet4!$C96</f>
        <v>1</v>
      </c>
      <c r="H96" s="43">
        <f>ዕቁብ!I99/Sheet4!$C96</f>
        <v>1</v>
      </c>
      <c r="I96" s="43">
        <f>ዕቁብ!J99/Sheet4!$C96</f>
        <v>1</v>
      </c>
      <c r="J96" s="43">
        <f>ዕቁብ!K99/Sheet4!$C96</f>
        <v>1</v>
      </c>
      <c r="K96" s="43">
        <f>ዕቁብ!L99/Sheet4!$C96</f>
        <v>1</v>
      </c>
      <c r="L96" s="43">
        <f>ዕቁብ!M99/Sheet4!$C96</f>
        <v>1</v>
      </c>
      <c r="M96" s="43">
        <f>ዕቁብ!N99/Sheet4!$C96</f>
        <v>1</v>
      </c>
      <c r="N96" s="43">
        <f>ዕቁብ!O99/Sheet4!$C96</f>
        <v>1</v>
      </c>
      <c r="O96" s="43">
        <f>ዕቁብ!P99/Sheet4!$C96</f>
        <v>1</v>
      </c>
      <c r="P96" s="43">
        <f>ዕቁብ!Q99/Sheet4!$C96</f>
        <v>1</v>
      </c>
      <c r="Q96" s="43">
        <f>ዕቁብ!R99/Sheet4!$C96</f>
        <v>1</v>
      </c>
      <c r="R96" s="43">
        <f>ዕቁብ!S99/Sheet4!$C96</f>
        <v>1</v>
      </c>
      <c r="S96" s="43">
        <f>ዕቁብ!T99/Sheet4!$C96</f>
        <v>1</v>
      </c>
      <c r="T96" s="43">
        <f>ዕቁብ!U99/Sheet4!$C96</f>
        <v>1</v>
      </c>
      <c r="U96" s="43">
        <f>ዕቁብ!V99/Sheet4!$C96</f>
        <v>1</v>
      </c>
      <c r="V96" s="43">
        <f>ዕቁብ!W99/Sheet4!$C96</f>
        <v>1</v>
      </c>
      <c r="W96" s="43">
        <f>ዕቁብ!X99/Sheet4!$C96</f>
        <v>1</v>
      </c>
      <c r="X96" s="43">
        <f>ዕቁብ!Y99/Sheet4!$C96</f>
        <v>1</v>
      </c>
      <c r="Y96" s="43">
        <f>ዕቁብ!Z99/Sheet4!$C96</f>
        <v>1</v>
      </c>
      <c r="Z96" s="43">
        <f>ዕቁብ!AA99/Sheet4!$C96</f>
        <v>1</v>
      </c>
      <c r="AA96" s="43">
        <f>ዕቁብ!AB99/Sheet4!$C96</f>
        <v>0</v>
      </c>
      <c r="AB96" s="43">
        <f>ዕቁብ!AC99/Sheet4!$C96</f>
        <v>2</v>
      </c>
      <c r="AC96" s="43">
        <f>ዕቁብ!AD99/Sheet4!$C96</f>
        <v>1</v>
      </c>
      <c r="AD96" s="43">
        <f>ዕቁብ!AE99/Sheet4!$C96</f>
        <v>1</v>
      </c>
      <c r="AE96" s="43">
        <f>ዕቁብ!AF99/Sheet4!$C96</f>
        <v>1</v>
      </c>
      <c r="AF96" s="43">
        <f>ዕቁብ!AG99/Sheet4!$C96</f>
        <v>1</v>
      </c>
      <c r="AG96" s="43">
        <f>ዕቁብ!AH99/Sheet4!$C96</f>
        <v>1</v>
      </c>
      <c r="AH96" s="43">
        <f>ዕቁብ!AI99/Sheet4!$C96</f>
        <v>1</v>
      </c>
      <c r="AI96" s="43">
        <f>ዕቁብ!AJ99/Sheet4!$C96</f>
        <v>1</v>
      </c>
      <c r="AJ96" s="43">
        <f>ዕቁብ!AK99/Sheet4!$C96</f>
        <v>1</v>
      </c>
      <c r="AK96" s="43">
        <f>ዕቁብ!AL99/Sheet4!$C96</f>
        <v>1</v>
      </c>
      <c r="AL96" s="43">
        <f>ዕቁብ!AM99/Sheet4!$C96</f>
        <v>1</v>
      </c>
      <c r="AM96" s="43">
        <f>ዕቁብ!AN99/Sheet4!$C96</f>
        <v>1</v>
      </c>
      <c r="AN96" s="43">
        <f>ዕቁብ!AO99/Sheet4!$C96</f>
        <v>1</v>
      </c>
      <c r="AO96" s="43">
        <f>ዕቁብ!AP99/Sheet4!$C96</f>
        <v>1</v>
      </c>
      <c r="AP96" s="43">
        <f>ዕቁብ!AQ99/Sheet4!$C96</f>
        <v>1</v>
      </c>
      <c r="AQ96" s="43">
        <f>ዕቁብ!AR99/Sheet4!$C96</f>
        <v>1</v>
      </c>
      <c r="AR96" s="43">
        <f>ዕቁብ!AS99/Sheet4!$C96</f>
        <v>1</v>
      </c>
      <c r="AS96" s="43">
        <f>ዕቁብ!AT99/Sheet4!$C96</f>
        <v>1</v>
      </c>
      <c r="AT96" s="43">
        <f>ዕቁብ!AU99/Sheet4!$C96</f>
        <v>1</v>
      </c>
      <c r="AU96" s="43">
        <f>ዕቁብ!AV99/Sheet4!$C96</f>
        <v>1</v>
      </c>
      <c r="AV96" s="43">
        <f>ዕቁብ!AW99/Sheet4!$C96</f>
        <v>1</v>
      </c>
      <c r="AW96" s="43">
        <f>ዕቁብ!AX99/Sheet4!$C96</f>
        <v>1</v>
      </c>
      <c r="AX96" s="43">
        <f>ዕቁብ!AY99/Sheet4!$C96</f>
        <v>1</v>
      </c>
      <c r="AY96" s="43">
        <f>ዕቁብ!AZ99/Sheet4!$C96</f>
        <v>1</v>
      </c>
      <c r="AZ96" s="43">
        <f>ዕቁብ!BA99/Sheet4!$C96</f>
        <v>1</v>
      </c>
      <c r="BA96" s="43">
        <f>ዕቁብ!BB99/Sheet4!$C96</f>
        <v>1</v>
      </c>
      <c r="BB96" s="43">
        <f>ዕቁብ!BC99/Sheet4!$C96</f>
        <v>1</v>
      </c>
      <c r="BC96" s="43">
        <f>ዕቁብ!BD99/Sheet4!$C96</f>
        <v>1</v>
      </c>
      <c r="BD96" s="43">
        <f>ዕቁብ!BE99/Sheet4!$C96</f>
        <v>1</v>
      </c>
      <c r="BE96" s="43">
        <f>ዕቁብ!BF99/Sheet4!$C96</f>
        <v>0</v>
      </c>
      <c r="BF96" s="43">
        <f>ዕቁብ!BG99/Sheet4!$C96</f>
        <v>1</v>
      </c>
      <c r="BG96" s="43">
        <f>ዕቁብ!BH99/Sheet4!$C96</f>
        <v>1</v>
      </c>
      <c r="BH96" s="43">
        <f>ዕቁብ!BI99/Sheet4!$C96</f>
        <v>1</v>
      </c>
      <c r="BI96" s="43">
        <f>ዕቁብ!BJ99/Sheet4!$C96</f>
        <v>1</v>
      </c>
      <c r="BJ96" s="43">
        <f>ዕቁብ!BK99/Sheet4!$C96</f>
        <v>1</v>
      </c>
      <c r="BK96" s="43">
        <f>ዕቁብ!BL99/Sheet4!$C96</f>
        <v>1</v>
      </c>
      <c r="BL96" s="43">
        <f>ዕቁብ!BM99/Sheet4!$C96</f>
        <v>1</v>
      </c>
      <c r="BM96" s="43">
        <f>ዕቁብ!BN99/Sheet4!$C96</f>
        <v>0</v>
      </c>
      <c r="BN96" s="43">
        <f>ዕቁብ!BO99/Sheet4!$C96</f>
        <v>2</v>
      </c>
      <c r="BO96" s="43">
        <f>ዕቁብ!BP99/Sheet4!$C96</f>
        <v>1</v>
      </c>
      <c r="BP96" s="43">
        <f>ዕቁብ!BQ99/Sheet4!$C96</f>
        <v>1</v>
      </c>
      <c r="BQ96" s="43">
        <f>ዕቁብ!BR99/Sheet4!$C96</f>
        <v>1</v>
      </c>
      <c r="BR96" s="43">
        <f>ዕቁብ!BS99/Sheet4!$C96</f>
        <v>1</v>
      </c>
      <c r="BS96" s="43">
        <f>ዕቁብ!BT99/Sheet4!$C96</f>
        <v>1</v>
      </c>
      <c r="BT96" s="43">
        <f>ዕቁብ!BU99/Sheet4!$C96</f>
        <v>1</v>
      </c>
      <c r="BU96" s="43">
        <f>ዕቁብ!BV99/Sheet4!$C96</f>
        <v>1</v>
      </c>
      <c r="BV96" s="43">
        <f>ዕቁብ!BW99/Sheet4!$C96</f>
        <v>1</v>
      </c>
      <c r="BW96" s="43">
        <f>ዕቁብ!BX99/Sheet4!$C96</f>
        <v>1</v>
      </c>
      <c r="BX96" s="43">
        <f>ዕቁብ!BY99/Sheet4!$C96</f>
        <v>1</v>
      </c>
      <c r="BY96" s="43">
        <f>ዕቁብ!BZ99/Sheet4!$C96</f>
        <v>1</v>
      </c>
      <c r="BZ96" s="43">
        <f>ዕቁብ!CA99/Sheet4!$C96</f>
        <v>1</v>
      </c>
      <c r="CA96" s="43">
        <f>ዕቁብ!CB99/Sheet4!$C96</f>
        <v>0</v>
      </c>
      <c r="CB96" s="43">
        <f>ዕቁብ!CC99/Sheet4!$C96</f>
        <v>2</v>
      </c>
      <c r="CC96" s="43">
        <f>ዕቁብ!CD99/Sheet4!$C96</f>
        <v>0</v>
      </c>
      <c r="CD96" s="43">
        <f>ዕቁብ!CE99/Sheet4!$C96</f>
        <v>0</v>
      </c>
      <c r="CE96" s="43">
        <f>ዕቁብ!CF99/Sheet4!$C96</f>
        <v>1</v>
      </c>
      <c r="CF96" s="43">
        <f>ዕቁብ!CG99/Sheet4!$C96</f>
        <v>0</v>
      </c>
      <c r="CG96" s="43">
        <f>ዕቁብ!CH99/Sheet4!$C96</f>
        <v>2</v>
      </c>
      <c r="CH96" s="43">
        <f>ዕቁብ!CI99/Sheet4!$C96</f>
        <v>1</v>
      </c>
      <c r="CI96" s="43">
        <f>ዕቁብ!CJ99/Sheet4!$C96</f>
        <v>1</v>
      </c>
      <c r="CJ96" s="43">
        <f>ዕቁብ!CK99/Sheet4!$C96</f>
        <v>1</v>
      </c>
      <c r="CK96" s="43">
        <f>ዕቁብ!CL99/Sheet4!$C96</f>
        <v>0</v>
      </c>
      <c r="CL96" s="43">
        <f>ዕቁብ!CM99/Sheet4!$C96</f>
        <v>2</v>
      </c>
      <c r="CM96" s="43">
        <f>ዕቁብ!CN99/Sheet4!$C96</f>
        <v>1</v>
      </c>
      <c r="CN96" s="43">
        <f>ዕቁብ!CO99/Sheet4!$C96</f>
        <v>1</v>
      </c>
      <c r="CO96" s="43">
        <f>ዕቁብ!CP99/Sheet4!$C96</f>
        <v>0</v>
      </c>
      <c r="CP96" s="43">
        <f>ዕቁብ!CQ99/Sheet4!$C96</f>
        <v>1</v>
      </c>
      <c r="CQ96" s="43">
        <f>ዕቁብ!CR99/Sheet4!$C96</f>
        <v>1</v>
      </c>
      <c r="CR96" s="43">
        <f>ዕቁብ!CS99/Sheet4!$C96</f>
        <v>1</v>
      </c>
      <c r="CS96" s="43">
        <f>ዕቁብ!CT99/Sheet4!$C96</f>
        <v>1</v>
      </c>
      <c r="CT96" s="43">
        <f>ዕቁብ!CU99/Sheet4!$C96</f>
        <v>1</v>
      </c>
      <c r="CU96" s="43">
        <f>ዕቁብ!CV99/Sheet4!$C96</f>
        <v>1</v>
      </c>
      <c r="CV96" s="43">
        <f>ዕቁብ!CW99/Sheet4!$C96</f>
        <v>0</v>
      </c>
      <c r="CW96" s="43">
        <f>ዕቁብ!CX99/Sheet4!$C96</f>
        <v>1</v>
      </c>
      <c r="CX96" s="43">
        <f>ዕቁብ!CY99/Sheet4!$C96</f>
        <v>0</v>
      </c>
      <c r="CY96" s="43">
        <f>ዕቁብ!CZ99/Sheet4!$C96</f>
        <v>0</v>
      </c>
      <c r="CZ96" s="43">
        <f>ዕቁብ!DA99/Sheet4!$C96</f>
        <v>1</v>
      </c>
      <c r="DA96" s="43">
        <f>ዕቁብ!DB99/Sheet4!$C96</f>
        <v>1</v>
      </c>
      <c r="DB96" s="43">
        <f>ዕቁብ!DC99/Sheet4!$C96</f>
        <v>0</v>
      </c>
      <c r="DC96" s="43">
        <f>ዕቁብ!DD99/Sheet4!$C96</f>
        <v>1</v>
      </c>
      <c r="DD96" s="43">
        <f>ዕቁብ!DE99/Sheet4!$C96</f>
        <v>1</v>
      </c>
      <c r="DE96" s="43">
        <f>ዕቁብ!DF99/Sheet4!$C96</f>
        <v>0</v>
      </c>
      <c r="DF96" s="43">
        <f>ዕቁብ!DG99/Sheet4!$C96</f>
        <v>1</v>
      </c>
      <c r="DG96" s="43">
        <f>ዕቁብ!DH99/Sheet4!$C96</f>
        <v>1</v>
      </c>
      <c r="DH96" s="43">
        <f>ዕቁብ!DI99/Sheet4!$C96</f>
        <v>0</v>
      </c>
      <c r="DI96" s="43">
        <f>ዕቁብ!DJ99/Sheet4!$C96</f>
        <v>0</v>
      </c>
      <c r="DJ96" s="43">
        <f>ዕቁብ!DK99/Sheet4!$C96</f>
        <v>0</v>
      </c>
      <c r="DK96" s="43">
        <f>ዕቁብ!DL99/Sheet4!$C96</f>
        <v>0</v>
      </c>
      <c r="DL96" s="43">
        <f>ዕቁብ!DM99/Sheet4!$C96</f>
        <v>0</v>
      </c>
      <c r="DM96" s="43">
        <f>ዕቁብ!DN99/Sheet4!$C96</f>
        <v>0</v>
      </c>
      <c r="DN96" s="43">
        <f>ዕቁብ!DO99/Sheet4!$C96</f>
        <v>0</v>
      </c>
      <c r="DO96" s="43">
        <f>ዕቁብ!DP99/Sheet4!$C96</f>
        <v>0</v>
      </c>
      <c r="DP96" s="43">
        <f>ዕቁብ!DQ99/Sheet4!$C96</f>
        <v>0</v>
      </c>
      <c r="DQ96" s="43">
        <f>ዕቁብ!DR99/Sheet4!$C96</f>
        <v>0</v>
      </c>
    </row>
    <row r="97" spans="1:121" ht="15.75" customHeight="1" x14ac:dyDescent="0.3">
      <c r="A97" s="40">
        <f>ዕቁብ!A100</f>
        <v>94</v>
      </c>
      <c r="B97" s="40" t="str">
        <f>ዕቁብ!B100</f>
        <v xml:space="preserve">ዬሐንስ ከበደ </v>
      </c>
      <c r="C97" s="30">
        <f>ዕቁብ!C100</f>
        <v>10500</v>
      </c>
      <c r="D97" s="43">
        <f>ዕቁብ!E100/Sheet4!$C97</f>
        <v>1</v>
      </c>
      <c r="E97" s="43">
        <f>ዕቁብ!F100/Sheet4!$C97</f>
        <v>1</v>
      </c>
      <c r="F97" s="43">
        <f>ዕቁብ!G100/Sheet4!$C97</f>
        <v>1</v>
      </c>
      <c r="G97" s="43">
        <f>ዕቁብ!H100/Sheet4!$C97</f>
        <v>1</v>
      </c>
      <c r="H97" s="43">
        <f>ዕቁብ!I100/Sheet4!$C97</f>
        <v>1</v>
      </c>
      <c r="I97" s="43">
        <f>ዕቁብ!J100/Sheet4!$C97</f>
        <v>1</v>
      </c>
      <c r="J97" s="43">
        <f>ዕቁብ!K100/Sheet4!$C97</f>
        <v>1</v>
      </c>
      <c r="K97" s="43">
        <f>ዕቁብ!L100/Sheet4!$C97</f>
        <v>1</v>
      </c>
      <c r="L97" s="43">
        <f>ዕቁብ!M100/Sheet4!$C97</f>
        <v>1</v>
      </c>
      <c r="M97" s="43">
        <f>ዕቁብ!N100/Sheet4!$C97</f>
        <v>1</v>
      </c>
      <c r="N97" s="43">
        <f>ዕቁብ!O100/Sheet4!$C97</f>
        <v>1</v>
      </c>
      <c r="O97" s="43">
        <f>ዕቁብ!P100/Sheet4!$C97</f>
        <v>1</v>
      </c>
      <c r="P97" s="43">
        <f>ዕቁብ!Q100/Sheet4!$C97</f>
        <v>1</v>
      </c>
      <c r="Q97" s="43">
        <f>ዕቁብ!R100/Sheet4!$C97</f>
        <v>1</v>
      </c>
      <c r="R97" s="43">
        <f>ዕቁብ!S100/Sheet4!$C97</f>
        <v>1</v>
      </c>
      <c r="S97" s="43">
        <f>ዕቁብ!T100/Sheet4!$C97</f>
        <v>1</v>
      </c>
      <c r="T97" s="43">
        <f>ዕቁብ!U100/Sheet4!$C97</f>
        <v>1</v>
      </c>
      <c r="U97" s="43">
        <f>ዕቁብ!V100/Sheet4!$C97</f>
        <v>1</v>
      </c>
      <c r="V97" s="43">
        <f>ዕቁብ!W100/Sheet4!$C97</f>
        <v>1</v>
      </c>
      <c r="W97" s="43">
        <f>ዕቁብ!X100/Sheet4!$C97</f>
        <v>1</v>
      </c>
      <c r="X97" s="43">
        <f>ዕቁብ!Y100/Sheet4!$C97</f>
        <v>0</v>
      </c>
      <c r="Y97" s="43">
        <f>ዕቁብ!Z100/Sheet4!$C97</f>
        <v>2</v>
      </c>
      <c r="Z97" s="43">
        <f>ዕቁብ!AA100/Sheet4!$C97</f>
        <v>0</v>
      </c>
      <c r="AA97" s="43">
        <f>ዕቁብ!AB100/Sheet4!$C97</f>
        <v>2</v>
      </c>
      <c r="AB97" s="43">
        <f>ዕቁብ!AC100/Sheet4!$C97</f>
        <v>1</v>
      </c>
      <c r="AC97" s="43">
        <f>ዕቁብ!AD100/Sheet4!$C97</f>
        <v>1</v>
      </c>
      <c r="AD97" s="43">
        <f>ዕቁብ!AE100/Sheet4!$C97</f>
        <v>0</v>
      </c>
      <c r="AE97" s="43">
        <f>ዕቁብ!AF100/Sheet4!$C97</f>
        <v>1</v>
      </c>
      <c r="AF97" s="43">
        <f>ዕቁብ!AG100/Sheet4!$C97</f>
        <v>1</v>
      </c>
      <c r="AG97" s="43">
        <f>ዕቁብ!AH100/Sheet4!$C97</f>
        <v>1</v>
      </c>
      <c r="AH97" s="43">
        <f>ዕቁብ!AI100/Sheet4!$C97</f>
        <v>1</v>
      </c>
      <c r="AI97" s="43">
        <f>ዕቁብ!AJ100/Sheet4!$C97</f>
        <v>1</v>
      </c>
      <c r="AJ97" s="43">
        <f>ዕቁብ!AK100/Sheet4!$C97</f>
        <v>1</v>
      </c>
      <c r="AK97" s="43">
        <f>ዕቁብ!AL100/Sheet4!$C97</f>
        <v>1</v>
      </c>
      <c r="AL97" s="43">
        <f>ዕቁብ!AM100/Sheet4!$C97</f>
        <v>1</v>
      </c>
      <c r="AM97" s="43">
        <f>ዕቁብ!AN100/Sheet4!$C97</f>
        <v>1</v>
      </c>
      <c r="AN97" s="43">
        <f>ዕቁብ!AO100/Sheet4!$C97</f>
        <v>1</v>
      </c>
      <c r="AO97" s="43">
        <f>ዕቁብ!AP100/Sheet4!$C97</f>
        <v>0</v>
      </c>
      <c r="AP97" s="43">
        <f>ዕቁብ!AQ100/Sheet4!$C97</f>
        <v>3</v>
      </c>
      <c r="AQ97" s="43">
        <f>ዕቁብ!AR100/Sheet4!$C97</f>
        <v>1</v>
      </c>
      <c r="AR97" s="43">
        <f>ዕቁብ!AS100/Sheet4!$C97</f>
        <v>0</v>
      </c>
      <c r="AS97" s="43">
        <f>ዕቁብ!AT100/Sheet4!$C97</f>
        <v>2</v>
      </c>
      <c r="AT97" s="43">
        <f>ዕቁብ!AU100/Sheet4!$C97</f>
        <v>1</v>
      </c>
      <c r="AU97" s="43">
        <f>ዕቁብ!AV100/Sheet4!$C97</f>
        <v>1</v>
      </c>
      <c r="AV97" s="43">
        <f>ዕቁብ!AW100/Sheet4!$C97</f>
        <v>1</v>
      </c>
      <c r="AW97" s="43">
        <f>ዕቁብ!AX100/Sheet4!$C97</f>
        <v>0</v>
      </c>
      <c r="AX97" s="43">
        <f>ዕቁብ!AY100/Sheet4!$C97</f>
        <v>1</v>
      </c>
      <c r="AY97" s="43">
        <f>ዕቁብ!AZ100/Sheet4!$C97</f>
        <v>2</v>
      </c>
      <c r="AZ97" s="43">
        <f>ዕቁብ!BA100/Sheet4!$C97</f>
        <v>0</v>
      </c>
      <c r="BA97" s="43">
        <f>ዕቁብ!BB100/Sheet4!$C97</f>
        <v>1</v>
      </c>
      <c r="BB97" s="43">
        <f>ዕቁብ!BC100/Sheet4!$C97</f>
        <v>1</v>
      </c>
      <c r="BC97" s="43">
        <f>ዕቁብ!BD100/Sheet4!$C97</f>
        <v>1</v>
      </c>
      <c r="BD97" s="43">
        <f>ዕቁብ!BE100/Sheet4!$C97</f>
        <v>2</v>
      </c>
      <c r="BE97" s="43">
        <f>ዕቁብ!BF100/Sheet4!$C97</f>
        <v>0</v>
      </c>
      <c r="BF97" s="43">
        <f>ዕቁብ!BG100/Sheet4!$C97</f>
        <v>1</v>
      </c>
      <c r="BG97" s="43">
        <f>ዕቁብ!BH100/Sheet4!$C97</f>
        <v>0</v>
      </c>
      <c r="BH97" s="43">
        <f>ዕቁብ!BI100/Sheet4!$C97</f>
        <v>2</v>
      </c>
      <c r="BI97" s="43">
        <f>ዕቁብ!BJ100/Sheet4!$C97</f>
        <v>1</v>
      </c>
      <c r="BJ97" s="43">
        <f>ዕቁብ!BK100/Sheet4!$C97</f>
        <v>0</v>
      </c>
      <c r="BK97" s="43">
        <f>ዕቁብ!BL100/Sheet4!$C97</f>
        <v>2</v>
      </c>
      <c r="BL97" s="43">
        <f>ዕቁብ!BM100/Sheet4!$C97</f>
        <v>1</v>
      </c>
      <c r="BM97" s="43">
        <f>ዕቁብ!BN100/Sheet4!$C97</f>
        <v>1</v>
      </c>
      <c r="BN97" s="43">
        <f>ዕቁብ!BO100/Sheet4!$C97</f>
        <v>0</v>
      </c>
      <c r="BO97" s="43">
        <f>ዕቁብ!BP100/Sheet4!$C97</f>
        <v>1</v>
      </c>
      <c r="BP97" s="43">
        <f>ዕቁብ!BQ100/Sheet4!$C97</f>
        <v>1</v>
      </c>
      <c r="BQ97" s="43">
        <f>ዕቁብ!BR100/Sheet4!$C97</f>
        <v>0</v>
      </c>
      <c r="BR97" s="43">
        <f>ዕቁብ!BS100/Sheet4!$C97</f>
        <v>2</v>
      </c>
      <c r="BS97" s="43">
        <f>ዕቁብ!BT100/Sheet4!$C97</f>
        <v>3</v>
      </c>
      <c r="BT97" s="43">
        <f>ዕቁብ!BU100/Sheet4!$C97</f>
        <v>0</v>
      </c>
      <c r="BU97" s="43">
        <f>ዕቁብ!BV100/Sheet4!$C97</f>
        <v>1</v>
      </c>
      <c r="BV97" s="43">
        <f>ዕቁብ!BW100/Sheet4!$C97</f>
        <v>0</v>
      </c>
      <c r="BW97" s="43">
        <f>ዕቁብ!BX100/Sheet4!$C97</f>
        <v>0</v>
      </c>
      <c r="BX97" s="43">
        <f>ዕቁብ!BY100/Sheet4!$C97</f>
        <v>0</v>
      </c>
      <c r="BY97" s="43">
        <f>ዕቁብ!BZ100/Sheet4!$C97</f>
        <v>3</v>
      </c>
      <c r="BZ97" s="43">
        <f>ዕቁብ!CA100/Sheet4!$C97</f>
        <v>0</v>
      </c>
      <c r="CA97" s="43">
        <f>ዕቁብ!CB100/Sheet4!$C97</f>
        <v>0</v>
      </c>
      <c r="CB97" s="43">
        <f>ዕቁብ!CC100/Sheet4!$C97</f>
        <v>0</v>
      </c>
      <c r="CC97" s="43">
        <f>ዕቁብ!CD100/Sheet4!$C97</f>
        <v>3</v>
      </c>
      <c r="CD97" s="43">
        <f>ዕቁብ!CE100/Sheet4!$C97</f>
        <v>0</v>
      </c>
      <c r="CE97" s="43">
        <f>ዕቁብ!CF100/Sheet4!$C97</f>
        <v>3</v>
      </c>
      <c r="CF97" s="43">
        <f>ዕቁብ!CG100/Sheet4!$C97</f>
        <v>0</v>
      </c>
      <c r="CG97" s="43">
        <f>ዕቁብ!CH100/Sheet4!$C97</f>
        <v>0</v>
      </c>
      <c r="CH97" s="43">
        <f>ዕቁብ!CI100/Sheet4!$C97</f>
        <v>3</v>
      </c>
      <c r="CI97" s="43">
        <f>ዕቁብ!CJ100/Sheet4!$C97</f>
        <v>0</v>
      </c>
      <c r="CJ97" s="43">
        <f>ዕቁብ!CK100/Sheet4!$C97</f>
        <v>1</v>
      </c>
      <c r="CK97" s="43">
        <f>ዕቁብ!CL100/Sheet4!$C97</f>
        <v>0</v>
      </c>
      <c r="CL97" s="43">
        <f>ዕቁብ!CM100/Sheet4!$C97</f>
        <v>0</v>
      </c>
      <c r="CM97" s="43">
        <f>ዕቁብ!CN100/Sheet4!$C97</f>
        <v>2</v>
      </c>
      <c r="CN97" s="43">
        <f>ዕቁብ!CO100/Sheet4!$C97</f>
        <v>0</v>
      </c>
      <c r="CO97" s="43">
        <f>ዕቁብ!CP100/Sheet4!$C97</f>
        <v>0</v>
      </c>
      <c r="CP97" s="43">
        <f>ዕቁብ!CQ100/Sheet4!$C97</f>
        <v>0</v>
      </c>
      <c r="CQ97" s="43">
        <f>ዕቁብ!CR100/Sheet4!$C97</f>
        <v>0</v>
      </c>
      <c r="CR97" s="43">
        <f>ዕቁብ!CS100/Sheet4!$C97</f>
        <v>3</v>
      </c>
      <c r="CS97" s="43">
        <f>ዕቁብ!CT100/Sheet4!$C97</f>
        <v>1</v>
      </c>
      <c r="CT97" s="43">
        <f>ዕቁብ!CU100/Sheet4!$C97</f>
        <v>0</v>
      </c>
      <c r="CU97" s="43">
        <f>ዕቁብ!CV100/Sheet4!$C97</f>
        <v>3</v>
      </c>
      <c r="CV97" s="43">
        <f>ዕቁብ!CW100/Sheet4!$C97</f>
        <v>2</v>
      </c>
      <c r="CW97" s="43">
        <f>ዕቁብ!CX100/Sheet4!$C97</f>
        <v>0</v>
      </c>
      <c r="CX97" s="43">
        <f>ዕቁብ!CY100/Sheet4!$C97</f>
        <v>0</v>
      </c>
      <c r="CY97" s="43">
        <f>ዕቁብ!CZ100/Sheet4!$C97</f>
        <v>0</v>
      </c>
      <c r="CZ97" s="43">
        <f>ዕቁብ!DA100/Sheet4!$C97</f>
        <v>3</v>
      </c>
      <c r="DA97" s="43">
        <f>ዕቁብ!DB100/Sheet4!$C97</f>
        <v>2</v>
      </c>
      <c r="DB97" s="43">
        <f>ዕቁብ!DC100/Sheet4!$C97</f>
        <v>1</v>
      </c>
      <c r="DC97" s="43">
        <f>ዕቁብ!DD100/Sheet4!$C97</f>
        <v>2</v>
      </c>
      <c r="DD97" s="43">
        <f>ዕቁብ!DE100/Sheet4!$C97</f>
        <v>2</v>
      </c>
      <c r="DE97" s="43">
        <f>ዕቁብ!DF100/Sheet4!$C97</f>
        <v>0</v>
      </c>
      <c r="DF97" s="43">
        <f>ዕቁብ!DG100/Sheet4!$C97</f>
        <v>0</v>
      </c>
      <c r="DG97" s="43">
        <f>ዕቁብ!DH100/Sheet4!$C97</f>
        <v>4</v>
      </c>
      <c r="DH97" s="43">
        <f>ዕቁብ!DI100/Sheet4!$C97</f>
        <v>0</v>
      </c>
      <c r="DI97" s="43">
        <f>ዕቁብ!DJ100/Sheet4!$C97</f>
        <v>0</v>
      </c>
      <c r="DJ97" s="43">
        <f>ዕቁብ!DK100/Sheet4!$C97</f>
        <v>0</v>
      </c>
      <c r="DK97" s="43">
        <f>ዕቁብ!DL100/Sheet4!$C97</f>
        <v>0</v>
      </c>
      <c r="DL97" s="43">
        <f>ዕቁብ!DM100/Sheet4!$C97</f>
        <v>0</v>
      </c>
      <c r="DM97" s="43">
        <f>ዕቁብ!DN100/Sheet4!$C97</f>
        <v>0</v>
      </c>
      <c r="DN97" s="43">
        <f>ዕቁብ!DO100/Sheet4!$C97</f>
        <v>0</v>
      </c>
      <c r="DO97" s="43">
        <f>ዕቁብ!DP100/Sheet4!$C97</f>
        <v>0</v>
      </c>
      <c r="DP97" s="43">
        <f>ዕቁብ!DQ100/Sheet4!$C97</f>
        <v>0</v>
      </c>
      <c r="DQ97" s="43">
        <f>ዕቁብ!DR100/Sheet4!$C97</f>
        <v>0</v>
      </c>
    </row>
    <row r="98" spans="1:121" ht="15.75" customHeight="1" x14ac:dyDescent="0.3">
      <c r="A98" s="40">
        <f>ዕቁብ!A101</f>
        <v>94</v>
      </c>
      <c r="B98" s="40" t="str">
        <f>ዕቁብ!B101</f>
        <v>እያሱ ዎታንጎ</v>
      </c>
      <c r="C98" s="30">
        <f>ዕቁብ!C101</f>
        <v>10500</v>
      </c>
      <c r="D98" s="43">
        <f>ዕቁብ!E101/Sheet4!$C98</f>
        <v>1</v>
      </c>
      <c r="E98" s="43">
        <f>ዕቁብ!F101/Sheet4!$C98</f>
        <v>1</v>
      </c>
      <c r="F98" s="43">
        <f>ዕቁብ!G101/Sheet4!$C98</f>
        <v>1</v>
      </c>
      <c r="G98" s="43">
        <f>ዕቁብ!H101/Sheet4!$C98</f>
        <v>1</v>
      </c>
      <c r="H98" s="43">
        <f>ዕቁብ!I101/Sheet4!$C98</f>
        <v>1</v>
      </c>
      <c r="I98" s="43">
        <f>ዕቁብ!J101/Sheet4!$C98</f>
        <v>1</v>
      </c>
      <c r="J98" s="43">
        <f>ዕቁብ!K101/Sheet4!$C98</f>
        <v>1</v>
      </c>
      <c r="K98" s="43">
        <f>ዕቁብ!L101/Sheet4!$C98</f>
        <v>1</v>
      </c>
      <c r="L98" s="43">
        <f>ዕቁብ!M101/Sheet4!$C98</f>
        <v>1</v>
      </c>
      <c r="M98" s="43">
        <f>ዕቁብ!N101/Sheet4!$C98</f>
        <v>1</v>
      </c>
      <c r="N98" s="43">
        <f>ዕቁብ!O101/Sheet4!$C98</f>
        <v>1</v>
      </c>
      <c r="O98" s="43">
        <f>ዕቁብ!P101/Sheet4!$C98</f>
        <v>1</v>
      </c>
      <c r="P98" s="43">
        <f>ዕቁብ!Q101/Sheet4!$C98</f>
        <v>1</v>
      </c>
      <c r="Q98" s="43">
        <f>ዕቁብ!R101/Sheet4!$C98</f>
        <v>1</v>
      </c>
      <c r="R98" s="43">
        <f>ዕቁብ!S101/Sheet4!$C98</f>
        <v>1</v>
      </c>
      <c r="S98" s="43">
        <f>ዕቁብ!T101/Sheet4!$C98</f>
        <v>1</v>
      </c>
      <c r="T98" s="43">
        <f>ዕቁብ!U101/Sheet4!$C98</f>
        <v>1</v>
      </c>
      <c r="U98" s="43">
        <f>ዕቁብ!V101/Sheet4!$C98</f>
        <v>1</v>
      </c>
      <c r="V98" s="43">
        <f>ዕቁብ!W101/Sheet4!$C98</f>
        <v>1</v>
      </c>
      <c r="W98" s="43">
        <f>ዕቁብ!X101/Sheet4!$C98</f>
        <v>1</v>
      </c>
      <c r="X98" s="43">
        <f>ዕቁብ!Y101/Sheet4!$C98</f>
        <v>1</v>
      </c>
      <c r="Y98" s="43">
        <f>ዕቁብ!Z101/Sheet4!$C98</f>
        <v>1</v>
      </c>
      <c r="Z98" s="43">
        <f>ዕቁብ!AA101/Sheet4!$C98</f>
        <v>1</v>
      </c>
      <c r="AA98" s="43">
        <f>ዕቁብ!AB101/Sheet4!$C98</f>
        <v>0</v>
      </c>
      <c r="AB98" s="43">
        <f>ዕቁብ!AC101/Sheet4!$C98</f>
        <v>2</v>
      </c>
      <c r="AC98" s="43">
        <f>ዕቁብ!AD101/Sheet4!$C98</f>
        <v>1</v>
      </c>
      <c r="AD98" s="43">
        <f>ዕቁብ!AE101/Sheet4!$C98</f>
        <v>1</v>
      </c>
      <c r="AE98" s="43">
        <f>ዕቁብ!AF101/Sheet4!$C98</f>
        <v>0</v>
      </c>
      <c r="AF98" s="43">
        <f>ዕቁብ!AG101/Sheet4!$C98</f>
        <v>2</v>
      </c>
      <c r="AG98" s="43">
        <f>ዕቁብ!AH101/Sheet4!$C98</f>
        <v>1</v>
      </c>
      <c r="AH98" s="43">
        <f>ዕቁብ!AI101/Sheet4!$C98</f>
        <v>1</v>
      </c>
      <c r="AI98" s="43">
        <f>ዕቁብ!AJ101/Sheet4!$C98</f>
        <v>0</v>
      </c>
      <c r="AJ98" s="43">
        <f>ዕቁብ!AK101/Sheet4!$C98</f>
        <v>2</v>
      </c>
      <c r="AK98" s="43">
        <f>ዕቁብ!AL101/Sheet4!$C98</f>
        <v>1</v>
      </c>
      <c r="AL98" s="43">
        <f>ዕቁብ!AM101/Sheet4!$C98</f>
        <v>1</v>
      </c>
      <c r="AM98" s="43">
        <f>ዕቁብ!AN101/Sheet4!$C98</f>
        <v>1</v>
      </c>
      <c r="AN98" s="43">
        <f>ዕቁብ!AO101/Sheet4!$C98</f>
        <v>1</v>
      </c>
      <c r="AO98" s="43">
        <f>ዕቁብ!AP101/Sheet4!$C98</f>
        <v>1</v>
      </c>
      <c r="AP98" s="43">
        <f>ዕቁብ!AQ101/Sheet4!$C98</f>
        <v>1</v>
      </c>
      <c r="AQ98" s="43">
        <f>ዕቁብ!AR101/Sheet4!$C98</f>
        <v>1</v>
      </c>
      <c r="AR98" s="43">
        <f>ዕቁብ!AS101/Sheet4!$C98</f>
        <v>1</v>
      </c>
      <c r="AS98" s="43">
        <f>ዕቁብ!AT101/Sheet4!$C98</f>
        <v>1</v>
      </c>
      <c r="AT98" s="43">
        <f>ዕቁብ!AU101/Sheet4!$C98</f>
        <v>1</v>
      </c>
      <c r="AU98" s="43">
        <f>ዕቁብ!AV101/Sheet4!$C98</f>
        <v>1</v>
      </c>
      <c r="AV98" s="43">
        <f>ዕቁብ!AW101/Sheet4!$C98</f>
        <v>1</v>
      </c>
      <c r="AW98" s="43">
        <f>ዕቁብ!AX101/Sheet4!$C98</f>
        <v>1</v>
      </c>
      <c r="AX98" s="43">
        <f>ዕቁብ!AY101/Sheet4!$C98</f>
        <v>1</v>
      </c>
      <c r="AY98" s="43">
        <f>ዕቁብ!AZ101/Sheet4!$C98</f>
        <v>0</v>
      </c>
      <c r="AZ98" s="43">
        <f>ዕቁብ!BA101/Sheet4!$C98</f>
        <v>2</v>
      </c>
      <c r="BA98" s="43">
        <f>ዕቁብ!BB101/Sheet4!$C98</f>
        <v>1</v>
      </c>
      <c r="BB98" s="43">
        <f>ዕቁብ!BC101/Sheet4!$C98</f>
        <v>1</v>
      </c>
      <c r="BC98" s="43">
        <f>ዕቁብ!BD101/Sheet4!$C98</f>
        <v>0</v>
      </c>
      <c r="BD98" s="43">
        <f>ዕቁብ!BE101/Sheet4!$C98</f>
        <v>2</v>
      </c>
      <c r="BE98" s="43">
        <f>ዕቁብ!BF101/Sheet4!$C98</f>
        <v>1</v>
      </c>
      <c r="BF98" s="43">
        <f>ዕቁብ!BG101/Sheet4!$C98</f>
        <v>1</v>
      </c>
      <c r="BG98" s="43">
        <f>ዕቁብ!BH101/Sheet4!$C98</f>
        <v>0</v>
      </c>
      <c r="BH98" s="43">
        <f>ዕቁብ!BI101/Sheet4!$C98</f>
        <v>1</v>
      </c>
      <c r="BI98" s="43">
        <f>ዕቁብ!BJ101/Sheet4!$C98</f>
        <v>1</v>
      </c>
      <c r="BJ98" s="43">
        <f>ዕቁብ!BK101/Sheet4!$C98</f>
        <v>1</v>
      </c>
      <c r="BK98" s="43">
        <f>ዕቁብ!BL101/Sheet4!$C98</f>
        <v>0</v>
      </c>
      <c r="BL98" s="43">
        <f>ዕቁብ!BM101/Sheet4!$C98</f>
        <v>2</v>
      </c>
      <c r="BM98" s="43">
        <f>ዕቁብ!BN101/Sheet4!$C98</f>
        <v>2</v>
      </c>
      <c r="BN98" s="43">
        <f>ዕቁብ!BO101/Sheet4!$C98</f>
        <v>1</v>
      </c>
      <c r="BO98" s="43">
        <f>ዕቁብ!BP101/Sheet4!$C98</f>
        <v>0</v>
      </c>
      <c r="BP98" s="43">
        <f>ዕቁብ!BQ101/Sheet4!$C98</f>
        <v>1</v>
      </c>
      <c r="BQ98" s="43">
        <f>ዕቁብ!BR101/Sheet4!$C98</f>
        <v>0</v>
      </c>
      <c r="BR98" s="43">
        <f>ዕቁብ!BS101/Sheet4!$C98</f>
        <v>1</v>
      </c>
      <c r="BS98" s="43">
        <f>ዕቁብ!BT101/Sheet4!$C98</f>
        <v>1</v>
      </c>
      <c r="BT98" s="43">
        <f>ዕቁብ!BU101/Sheet4!$C98</f>
        <v>1</v>
      </c>
      <c r="BU98" s="43">
        <f>ዕቁብ!BV101/Sheet4!$C98</f>
        <v>1</v>
      </c>
      <c r="BV98" s="43">
        <f>ዕቁብ!BW101/Sheet4!$C98</f>
        <v>1</v>
      </c>
      <c r="BW98" s="43">
        <f>ዕቁብ!BX101/Sheet4!$C98</f>
        <v>1</v>
      </c>
      <c r="BX98" s="43">
        <f>ዕቁብ!BY101/Sheet4!$C98</f>
        <v>1</v>
      </c>
      <c r="BY98" s="43">
        <f>ዕቁብ!BZ101/Sheet4!$C98</f>
        <v>1</v>
      </c>
      <c r="BZ98" s="43">
        <f>ዕቁብ!CA101/Sheet4!$C98</f>
        <v>1</v>
      </c>
      <c r="CA98" s="43">
        <f>ዕቁብ!CB101/Sheet4!$C98</f>
        <v>1</v>
      </c>
      <c r="CB98" s="43">
        <f>ዕቁብ!CC101/Sheet4!$C98</f>
        <v>0</v>
      </c>
      <c r="CC98" s="43">
        <f>ዕቁብ!CD101/Sheet4!$C98</f>
        <v>1</v>
      </c>
      <c r="CD98" s="43">
        <f>ዕቁብ!CE101/Sheet4!$C98</f>
        <v>0</v>
      </c>
      <c r="CE98" s="43">
        <f>ዕቁብ!CF101/Sheet4!$C98</f>
        <v>2</v>
      </c>
      <c r="CF98" s="43">
        <f>ዕቁብ!CG101/Sheet4!$C98</f>
        <v>0</v>
      </c>
      <c r="CG98" s="43">
        <f>ዕቁብ!CH101/Sheet4!$C98</f>
        <v>2</v>
      </c>
      <c r="CH98" s="43">
        <f>ዕቁብ!CI101/Sheet4!$C98</f>
        <v>1</v>
      </c>
      <c r="CI98" s="43">
        <f>ዕቁብ!CJ101/Sheet4!$C98</f>
        <v>1</v>
      </c>
      <c r="CJ98" s="43">
        <f>ዕቁብ!CK101/Sheet4!$C98</f>
        <v>1</v>
      </c>
      <c r="CK98" s="43">
        <f>ዕቁብ!CL101/Sheet4!$C98</f>
        <v>0</v>
      </c>
      <c r="CL98" s="43">
        <f>ዕቁብ!CM101/Sheet4!$C98</f>
        <v>0</v>
      </c>
      <c r="CM98" s="43">
        <f>ዕቁብ!CN101/Sheet4!$C98</f>
        <v>3</v>
      </c>
      <c r="CN98" s="43">
        <f>ዕቁብ!CO101/Sheet4!$C98</f>
        <v>1</v>
      </c>
      <c r="CO98" s="43">
        <f>ዕቁብ!CP101/Sheet4!$C98</f>
        <v>1</v>
      </c>
      <c r="CP98" s="43">
        <f>ዕቁብ!CQ101/Sheet4!$C98</f>
        <v>1</v>
      </c>
      <c r="CQ98" s="43">
        <f>ዕቁብ!CR101/Sheet4!$C98</f>
        <v>0</v>
      </c>
      <c r="CR98" s="43">
        <f>ዕቁብ!CS101/Sheet4!$C98</f>
        <v>0</v>
      </c>
      <c r="CS98" s="43">
        <f>ዕቁብ!CT101/Sheet4!$C98</f>
        <v>2</v>
      </c>
      <c r="CT98" s="43">
        <f>ዕቁብ!CU101/Sheet4!$C98</f>
        <v>0</v>
      </c>
      <c r="CU98" s="43">
        <f>ዕቁብ!CV101/Sheet4!$C98</f>
        <v>2</v>
      </c>
      <c r="CV98" s="43">
        <f>ዕቁብ!CW101/Sheet4!$C98</f>
        <v>1</v>
      </c>
      <c r="CW98" s="43">
        <f>ዕቁብ!CX101/Sheet4!$C98</f>
        <v>1</v>
      </c>
      <c r="CX98" s="43">
        <f>ዕቁብ!CY101/Sheet4!$C98</f>
        <v>1</v>
      </c>
      <c r="CY98" s="43">
        <f>ዕቁብ!CZ101/Sheet4!$C98</f>
        <v>0</v>
      </c>
      <c r="CZ98" s="43">
        <f>ዕቁብ!DA101/Sheet4!$C98</f>
        <v>1</v>
      </c>
      <c r="DA98" s="43">
        <f>ዕቁብ!DB101/Sheet4!$C98</f>
        <v>2</v>
      </c>
      <c r="DB98" s="43">
        <f>ዕቁብ!DC101/Sheet4!$C98</f>
        <v>0</v>
      </c>
      <c r="DC98" s="43">
        <f>ዕቁብ!DD101/Sheet4!$C98</f>
        <v>0</v>
      </c>
      <c r="DD98" s="43">
        <f>ዕቁብ!DE101/Sheet4!$C98</f>
        <v>2</v>
      </c>
      <c r="DE98" s="43">
        <f>ዕቁብ!DF101/Sheet4!$C98</f>
        <v>1</v>
      </c>
      <c r="DF98" s="43">
        <f>ዕቁብ!DG101/Sheet4!$C98</f>
        <v>1</v>
      </c>
      <c r="DG98" s="43">
        <f>ዕቁብ!DH101/Sheet4!$C98</f>
        <v>1</v>
      </c>
      <c r="DH98" s="43">
        <f>ዕቁብ!DI101/Sheet4!$C98</f>
        <v>0</v>
      </c>
      <c r="DI98" s="43">
        <f>ዕቁብ!DJ101/Sheet4!$C98</f>
        <v>0</v>
      </c>
      <c r="DJ98" s="43">
        <f>ዕቁብ!DK101/Sheet4!$C98</f>
        <v>0</v>
      </c>
      <c r="DK98" s="43">
        <f>ዕቁብ!DL101/Sheet4!$C98</f>
        <v>0</v>
      </c>
      <c r="DL98" s="43">
        <f>ዕቁብ!DM101/Sheet4!$C98</f>
        <v>0</v>
      </c>
      <c r="DM98" s="43">
        <f>ዕቁብ!DN101/Sheet4!$C98</f>
        <v>0</v>
      </c>
      <c r="DN98" s="43">
        <f>ዕቁብ!DO101/Sheet4!$C98</f>
        <v>0</v>
      </c>
      <c r="DO98" s="43">
        <f>ዕቁብ!DP101/Sheet4!$C98</f>
        <v>0</v>
      </c>
      <c r="DP98" s="43">
        <f>ዕቁብ!DQ101/Sheet4!$C98</f>
        <v>0</v>
      </c>
      <c r="DQ98" s="43">
        <f>ዕቁብ!DR101/Sheet4!$C98</f>
        <v>0</v>
      </c>
    </row>
    <row r="99" spans="1:121" ht="15.75" customHeight="1" x14ac:dyDescent="0.3">
      <c r="A99" s="40">
        <f>ዕቁብ!A102</f>
        <v>95</v>
      </c>
      <c r="B99" s="40" t="str">
        <f>ዕቁብ!B102</f>
        <v xml:space="preserve">ዳናዋ ደምሴ </v>
      </c>
      <c r="C99" s="30">
        <f>ዕቁብ!C102</f>
        <v>10500</v>
      </c>
      <c r="D99" s="43">
        <f>ዕቁብ!E102/Sheet4!$C99</f>
        <v>1</v>
      </c>
      <c r="E99" s="43">
        <f>ዕቁብ!F102/Sheet4!$C99</f>
        <v>1</v>
      </c>
      <c r="F99" s="43">
        <f>ዕቁብ!G102/Sheet4!$C99</f>
        <v>1</v>
      </c>
      <c r="G99" s="43">
        <f>ዕቁብ!H102/Sheet4!$C99</f>
        <v>1</v>
      </c>
      <c r="H99" s="43">
        <f>ዕቁብ!I102/Sheet4!$C99</f>
        <v>1</v>
      </c>
      <c r="I99" s="43">
        <f>ዕቁብ!J102/Sheet4!$C99</f>
        <v>1</v>
      </c>
      <c r="J99" s="43">
        <f>ዕቁብ!K102/Sheet4!$C99</f>
        <v>1</v>
      </c>
      <c r="K99" s="43">
        <f>ዕቁብ!L102/Sheet4!$C99</f>
        <v>1</v>
      </c>
      <c r="L99" s="43">
        <f>ዕቁብ!M102/Sheet4!$C99</f>
        <v>1</v>
      </c>
      <c r="M99" s="43">
        <f>ዕቁብ!N102/Sheet4!$C99</f>
        <v>1</v>
      </c>
      <c r="N99" s="43">
        <f>ዕቁብ!O102/Sheet4!$C99</f>
        <v>1</v>
      </c>
      <c r="O99" s="43">
        <f>ዕቁብ!P102/Sheet4!$C99</f>
        <v>1</v>
      </c>
      <c r="P99" s="43">
        <f>ዕቁብ!Q102/Sheet4!$C99</f>
        <v>1</v>
      </c>
      <c r="Q99" s="43">
        <f>ዕቁብ!R102/Sheet4!$C99</f>
        <v>1</v>
      </c>
      <c r="R99" s="43">
        <f>ዕቁብ!S102/Sheet4!$C99</f>
        <v>1</v>
      </c>
      <c r="S99" s="43">
        <f>ዕቁብ!T102/Sheet4!$C99</f>
        <v>1</v>
      </c>
      <c r="T99" s="43">
        <f>ዕቁብ!U102/Sheet4!$C99</f>
        <v>1</v>
      </c>
      <c r="U99" s="43">
        <f>ዕቁብ!V102/Sheet4!$C99</f>
        <v>1</v>
      </c>
      <c r="V99" s="43">
        <f>ዕቁብ!W102/Sheet4!$C99</f>
        <v>1</v>
      </c>
      <c r="W99" s="43">
        <f>ዕቁብ!X102/Sheet4!$C99</f>
        <v>1</v>
      </c>
      <c r="X99" s="43">
        <f>ዕቁብ!Y102/Sheet4!$C99</f>
        <v>1</v>
      </c>
      <c r="Y99" s="43">
        <f>ዕቁብ!Z102/Sheet4!$C99</f>
        <v>1</v>
      </c>
      <c r="Z99" s="43">
        <f>ዕቁብ!AA102/Sheet4!$C99</f>
        <v>1</v>
      </c>
      <c r="AA99" s="43">
        <f>ዕቁብ!AB102/Sheet4!$C99</f>
        <v>1</v>
      </c>
      <c r="AB99" s="43">
        <f>ዕቁብ!AC102/Sheet4!$C99</f>
        <v>1</v>
      </c>
      <c r="AC99" s="43">
        <f>ዕቁብ!AD102/Sheet4!$C99</f>
        <v>1</v>
      </c>
      <c r="AD99" s="43">
        <f>ዕቁብ!AE102/Sheet4!$C99</f>
        <v>1</v>
      </c>
      <c r="AE99" s="43">
        <f>ዕቁብ!AF102/Sheet4!$C99</f>
        <v>1</v>
      </c>
      <c r="AF99" s="43">
        <f>ዕቁብ!AG102/Sheet4!$C99</f>
        <v>1</v>
      </c>
      <c r="AG99" s="43">
        <f>ዕቁብ!AH102/Sheet4!$C99</f>
        <v>1</v>
      </c>
      <c r="AH99" s="43">
        <f>ዕቁብ!AI102/Sheet4!$C99</f>
        <v>1</v>
      </c>
      <c r="AI99" s="43">
        <f>ዕቁብ!AJ102/Sheet4!$C99</f>
        <v>1</v>
      </c>
      <c r="AJ99" s="43">
        <f>ዕቁብ!AK102/Sheet4!$C99</f>
        <v>1</v>
      </c>
      <c r="AK99" s="43">
        <f>ዕቁብ!AL102/Sheet4!$C99</f>
        <v>1</v>
      </c>
      <c r="AL99" s="43">
        <f>ዕቁብ!AM102/Sheet4!$C99</f>
        <v>1</v>
      </c>
      <c r="AM99" s="43">
        <f>ዕቁብ!AN102/Sheet4!$C99</f>
        <v>1</v>
      </c>
      <c r="AN99" s="43">
        <f>ዕቁብ!AO102/Sheet4!$C99</f>
        <v>1</v>
      </c>
      <c r="AO99" s="43">
        <f>ዕቁብ!AP102/Sheet4!$C99</f>
        <v>1</v>
      </c>
      <c r="AP99" s="43">
        <f>ዕቁብ!AQ102/Sheet4!$C99</f>
        <v>1</v>
      </c>
      <c r="AQ99" s="43">
        <f>ዕቁብ!AR102/Sheet4!$C99</f>
        <v>1</v>
      </c>
      <c r="AR99" s="43">
        <f>ዕቁብ!AS102/Sheet4!$C99</f>
        <v>1</v>
      </c>
      <c r="AS99" s="43">
        <f>ዕቁብ!AT102/Sheet4!$C99</f>
        <v>1</v>
      </c>
      <c r="AT99" s="43">
        <f>ዕቁብ!AU102/Sheet4!$C99</f>
        <v>1</v>
      </c>
      <c r="AU99" s="43">
        <f>ዕቁብ!AV102/Sheet4!$C99</f>
        <v>0</v>
      </c>
      <c r="AV99" s="43">
        <f>ዕቁብ!AW102/Sheet4!$C99</f>
        <v>1</v>
      </c>
      <c r="AW99" s="43">
        <f>ዕቁብ!AX102/Sheet4!$C99</f>
        <v>1</v>
      </c>
      <c r="AX99" s="43">
        <f>ዕቁብ!AY102/Sheet4!$C99</f>
        <v>1</v>
      </c>
      <c r="AY99" s="43">
        <f>ዕቁብ!AZ102/Sheet4!$C99</f>
        <v>1</v>
      </c>
      <c r="AZ99" s="43">
        <f>ዕቁብ!BA102/Sheet4!$C99</f>
        <v>1</v>
      </c>
      <c r="BA99" s="43">
        <f>ዕቁብ!BB102/Sheet4!$C99</f>
        <v>1</v>
      </c>
      <c r="BB99" s="43">
        <f>ዕቁብ!BC102/Sheet4!$C99</f>
        <v>1</v>
      </c>
      <c r="BC99" s="43">
        <f>ዕቁብ!BD102/Sheet4!$C99</f>
        <v>1</v>
      </c>
      <c r="BD99" s="43">
        <f>ዕቁብ!BE102/Sheet4!$C99</f>
        <v>1</v>
      </c>
      <c r="BE99" s="43">
        <f>ዕቁብ!BF102/Sheet4!$C99</f>
        <v>1</v>
      </c>
      <c r="BF99" s="43">
        <f>ዕቁብ!BG102/Sheet4!$C99</f>
        <v>1</v>
      </c>
      <c r="BG99" s="43">
        <f>ዕቁብ!BH102/Sheet4!$C99</f>
        <v>1</v>
      </c>
      <c r="BH99" s="43">
        <f>ዕቁብ!BI102/Sheet4!$C99</f>
        <v>2</v>
      </c>
      <c r="BI99" s="43">
        <f>ዕቁብ!BJ102/Sheet4!$C99</f>
        <v>1</v>
      </c>
      <c r="BJ99" s="43">
        <f>ዕቁብ!BK102/Sheet4!$C99</f>
        <v>1</v>
      </c>
      <c r="BK99" s="43">
        <f>ዕቁብ!BL102/Sheet4!$C99</f>
        <v>1</v>
      </c>
      <c r="BL99" s="43">
        <f>ዕቁብ!BM102/Sheet4!$C99</f>
        <v>1</v>
      </c>
      <c r="BM99" s="43">
        <f>ዕቁብ!BN102/Sheet4!$C99</f>
        <v>1</v>
      </c>
      <c r="BN99" s="43">
        <f>ዕቁብ!BO102/Sheet4!$C99</f>
        <v>1</v>
      </c>
      <c r="BO99" s="43">
        <f>ዕቁብ!BP102/Sheet4!$C99</f>
        <v>1</v>
      </c>
      <c r="BP99" s="43">
        <f>ዕቁብ!BQ102/Sheet4!$C99</f>
        <v>1</v>
      </c>
      <c r="BQ99" s="43">
        <f>ዕቁብ!BR102/Sheet4!$C99</f>
        <v>1</v>
      </c>
      <c r="BR99" s="43">
        <f>ዕቁብ!BS102/Sheet4!$C99</f>
        <v>1</v>
      </c>
      <c r="BS99" s="43">
        <f>ዕቁብ!BT102/Sheet4!$C99</f>
        <v>1</v>
      </c>
      <c r="BT99" s="43">
        <f>ዕቁብ!BU102/Sheet4!$C99</f>
        <v>1</v>
      </c>
      <c r="BU99" s="43">
        <f>ዕቁብ!BV102/Sheet4!$C99</f>
        <v>1</v>
      </c>
      <c r="BV99" s="43">
        <f>ዕቁብ!BW102/Sheet4!$C99</f>
        <v>0</v>
      </c>
      <c r="BW99" s="43">
        <f>ዕቁብ!BX102/Sheet4!$C99</f>
        <v>0</v>
      </c>
      <c r="BX99" s="43">
        <f>ዕቁብ!BY102/Sheet4!$C99</f>
        <v>0</v>
      </c>
      <c r="BY99" s="43">
        <f>ዕቁብ!BZ102/Sheet4!$C99</f>
        <v>0</v>
      </c>
      <c r="BZ99" s="43">
        <f>ዕቁብ!CA102/Sheet4!$C99</f>
        <v>0</v>
      </c>
      <c r="CA99" s="43">
        <f>ዕቁብ!CB102/Sheet4!$C99</f>
        <v>0</v>
      </c>
      <c r="CB99" s="43">
        <f>ዕቁብ!CC102/Sheet4!$C99</f>
        <v>5</v>
      </c>
      <c r="CC99" s="43">
        <f>ዕቁብ!CD102/Sheet4!$C99</f>
        <v>0</v>
      </c>
      <c r="CD99" s="43">
        <f>ዕቁብ!CE102/Sheet4!$C99</f>
        <v>0</v>
      </c>
      <c r="CE99" s="43">
        <f>ዕቁብ!CF102/Sheet4!$C99</f>
        <v>2</v>
      </c>
      <c r="CF99" s="43">
        <f>ዕቁብ!CG102/Sheet4!$C99</f>
        <v>0</v>
      </c>
      <c r="CG99" s="43">
        <f>ዕቁብ!CH102/Sheet4!$C99</f>
        <v>0</v>
      </c>
      <c r="CH99" s="43">
        <f>ዕቁብ!CI102/Sheet4!$C99</f>
        <v>0</v>
      </c>
      <c r="CI99" s="43">
        <f>ዕቁብ!CJ102/Sheet4!$C99</f>
        <v>0</v>
      </c>
      <c r="CJ99" s="43">
        <f>ዕቁብ!CK102/Sheet4!$C99</f>
        <v>0</v>
      </c>
      <c r="CK99" s="43">
        <f>ዕቁብ!CL102/Sheet4!$C99</f>
        <v>0</v>
      </c>
      <c r="CL99" s="43">
        <f>ዕቁብ!CM102/Sheet4!$C99</f>
        <v>0</v>
      </c>
      <c r="CM99" s="43">
        <f>ዕቁብ!CN102/Sheet4!$C99</f>
        <v>0</v>
      </c>
      <c r="CN99" s="43">
        <f>ዕቁብ!CO102/Sheet4!$C99</f>
        <v>0</v>
      </c>
      <c r="CO99" s="43">
        <f>ዕቁብ!CP102/Sheet4!$C99</f>
        <v>0</v>
      </c>
      <c r="CP99" s="43">
        <f>ዕቁብ!CQ102/Sheet4!$C99</f>
        <v>0</v>
      </c>
      <c r="CQ99" s="43">
        <f>ዕቁብ!CR102/Sheet4!$C99</f>
        <v>0</v>
      </c>
      <c r="CR99" s="43">
        <f>ዕቁብ!CS102/Sheet4!$C99</f>
        <v>0</v>
      </c>
      <c r="CS99" s="43">
        <f>ዕቁብ!CT102/Sheet4!$C99</f>
        <v>0</v>
      </c>
      <c r="CT99" s="43">
        <f>ዕቁብ!CU102/Sheet4!$C99</f>
        <v>0</v>
      </c>
      <c r="CU99" s="43">
        <f>ዕቁብ!CV102/Sheet4!$C99</f>
        <v>0</v>
      </c>
      <c r="CV99" s="43">
        <f>ዕቁብ!CW102/Sheet4!$C99</f>
        <v>0</v>
      </c>
      <c r="CW99" s="43">
        <f>ዕቁብ!CX102/Sheet4!$C99</f>
        <v>0</v>
      </c>
      <c r="CX99" s="43">
        <f>ዕቁብ!CY102/Sheet4!$C99</f>
        <v>0</v>
      </c>
      <c r="CY99" s="43">
        <f>ዕቁብ!CZ102/Sheet4!$C99</f>
        <v>0</v>
      </c>
      <c r="CZ99" s="43">
        <f>ዕቁብ!DA102/Sheet4!$C99</f>
        <v>0</v>
      </c>
      <c r="DA99" s="43">
        <f>ዕቁብ!DB102/Sheet4!$C99</f>
        <v>0</v>
      </c>
      <c r="DB99" s="43">
        <f>ዕቁብ!DC102/Sheet4!$C99</f>
        <v>0</v>
      </c>
      <c r="DC99" s="43">
        <f>ዕቁብ!DD102/Sheet4!$C99</f>
        <v>0</v>
      </c>
      <c r="DD99" s="43">
        <f>ዕቁብ!DE102/Sheet4!$C99</f>
        <v>0</v>
      </c>
      <c r="DE99" s="43">
        <f>ዕቁብ!DF102/Sheet4!$C99</f>
        <v>0</v>
      </c>
      <c r="DF99" s="43">
        <f>ዕቁብ!DG102/Sheet4!$C99</f>
        <v>0</v>
      </c>
      <c r="DG99" s="43">
        <f>ዕቁብ!DH102/Sheet4!$C99</f>
        <v>0</v>
      </c>
      <c r="DH99" s="43">
        <f>ዕቁብ!DI102/Sheet4!$C99</f>
        <v>0</v>
      </c>
      <c r="DI99" s="43">
        <f>ዕቁብ!DJ102/Sheet4!$C99</f>
        <v>0</v>
      </c>
      <c r="DJ99" s="43">
        <f>ዕቁብ!DK102/Sheet4!$C99</f>
        <v>0</v>
      </c>
      <c r="DK99" s="43">
        <f>ዕቁብ!DL102/Sheet4!$C99</f>
        <v>0</v>
      </c>
      <c r="DL99" s="43">
        <f>ዕቁብ!DM102/Sheet4!$C99</f>
        <v>0</v>
      </c>
      <c r="DM99" s="43">
        <f>ዕቁብ!DN102/Sheet4!$C99</f>
        <v>0</v>
      </c>
      <c r="DN99" s="43">
        <f>ዕቁብ!DO102/Sheet4!$C99</f>
        <v>0</v>
      </c>
      <c r="DO99" s="43">
        <f>ዕቁብ!DP102/Sheet4!$C99</f>
        <v>0</v>
      </c>
      <c r="DP99" s="43">
        <f>ዕቁብ!DQ102/Sheet4!$C99</f>
        <v>0</v>
      </c>
      <c r="DQ99" s="43">
        <f>ዕቁብ!DR102/Sheet4!$C99</f>
        <v>0</v>
      </c>
    </row>
    <row r="100" spans="1:121" ht="15.75" customHeight="1" x14ac:dyDescent="0.3">
      <c r="A100" s="40">
        <f>ዕቁብ!A103</f>
        <v>95</v>
      </c>
      <c r="B100" s="40" t="str">
        <f>ዕቁብ!B103</f>
        <v>ዶክተር ጠቃ</v>
      </c>
      <c r="C100" s="30">
        <f>ዕቁብ!C103</f>
        <v>10500</v>
      </c>
      <c r="D100" s="43">
        <f>ዕቁብ!E103/Sheet4!$C100</f>
        <v>1</v>
      </c>
      <c r="E100" s="43">
        <f>ዕቁብ!F103/Sheet4!$C100</f>
        <v>1</v>
      </c>
      <c r="F100" s="43">
        <f>ዕቁብ!G103/Sheet4!$C100</f>
        <v>1</v>
      </c>
      <c r="G100" s="43">
        <f>ዕቁብ!H103/Sheet4!$C100</f>
        <v>1</v>
      </c>
      <c r="H100" s="43">
        <f>ዕቁብ!I103/Sheet4!$C100</f>
        <v>1</v>
      </c>
      <c r="I100" s="43">
        <f>ዕቁብ!J103/Sheet4!$C100</f>
        <v>1</v>
      </c>
      <c r="J100" s="43">
        <f>ዕቁብ!K103/Sheet4!$C100</f>
        <v>1</v>
      </c>
      <c r="K100" s="43">
        <f>ዕቁብ!L103/Sheet4!$C100</f>
        <v>1</v>
      </c>
      <c r="L100" s="43">
        <f>ዕቁብ!M103/Sheet4!$C100</f>
        <v>1</v>
      </c>
      <c r="M100" s="43">
        <f>ዕቁብ!N103/Sheet4!$C100</f>
        <v>1</v>
      </c>
      <c r="N100" s="43">
        <f>ዕቁብ!O103/Sheet4!$C100</f>
        <v>1</v>
      </c>
      <c r="O100" s="43">
        <f>ዕቁብ!P103/Sheet4!$C100</f>
        <v>1</v>
      </c>
      <c r="P100" s="43">
        <f>ዕቁብ!Q103/Sheet4!$C100</f>
        <v>1</v>
      </c>
      <c r="Q100" s="43">
        <f>ዕቁብ!R103/Sheet4!$C100</f>
        <v>1</v>
      </c>
      <c r="R100" s="43">
        <f>ዕቁብ!S103/Sheet4!$C100</f>
        <v>1</v>
      </c>
      <c r="S100" s="43">
        <f>ዕቁብ!T103/Sheet4!$C100</f>
        <v>1</v>
      </c>
      <c r="T100" s="43">
        <f>ዕቁብ!U103/Sheet4!$C100</f>
        <v>1</v>
      </c>
      <c r="U100" s="43">
        <f>ዕቁብ!V103/Sheet4!$C100</f>
        <v>1</v>
      </c>
      <c r="V100" s="43">
        <f>ዕቁብ!W103/Sheet4!$C100</f>
        <v>1</v>
      </c>
      <c r="W100" s="43">
        <f>ዕቁብ!X103/Sheet4!$C100</f>
        <v>1</v>
      </c>
      <c r="X100" s="43">
        <f>ዕቁብ!Y103/Sheet4!$C100</f>
        <v>1</v>
      </c>
      <c r="Y100" s="43">
        <f>ዕቁብ!Z103/Sheet4!$C100</f>
        <v>1</v>
      </c>
      <c r="Z100" s="43">
        <f>ዕቁብ!AA103/Sheet4!$C100</f>
        <v>1</v>
      </c>
      <c r="AA100" s="43">
        <f>ዕቁብ!AB103/Sheet4!$C100</f>
        <v>1</v>
      </c>
      <c r="AB100" s="43">
        <f>ዕቁብ!AC103/Sheet4!$C100</f>
        <v>1</v>
      </c>
      <c r="AC100" s="43">
        <f>ዕቁብ!AD103/Sheet4!$C100</f>
        <v>1</v>
      </c>
      <c r="AD100" s="43">
        <f>ዕቁብ!AE103/Sheet4!$C100</f>
        <v>1</v>
      </c>
      <c r="AE100" s="43">
        <f>ዕቁብ!AF103/Sheet4!$C100</f>
        <v>1</v>
      </c>
      <c r="AF100" s="43">
        <f>ዕቁብ!AG103/Sheet4!$C100</f>
        <v>1</v>
      </c>
      <c r="AG100" s="43">
        <f>ዕቁብ!AH103/Sheet4!$C100</f>
        <v>1</v>
      </c>
      <c r="AH100" s="43">
        <f>ዕቁብ!AI103/Sheet4!$C100</f>
        <v>1</v>
      </c>
      <c r="AI100" s="43">
        <f>ዕቁብ!AJ103/Sheet4!$C100</f>
        <v>1</v>
      </c>
      <c r="AJ100" s="43">
        <f>ዕቁብ!AK103/Sheet4!$C100</f>
        <v>1</v>
      </c>
      <c r="AK100" s="43">
        <f>ዕቁብ!AL103/Sheet4!$C100</f>
        <v>1</v>
      </c>
      <c r="AL100" s="43">
        <f>ዕቁብ!AM103/Sheet4!$C100</f>
        <v>1</v>
      </c>
      <c r="AM100" s="43">
        <f>ዕቁብ!AN103/Sheet4!$C100</f>
        <v>1</v>
      </c>
      <c r="AN100" s="43">
        <f>ዕቁብ!AO103/Sheet4!$C100</f>
        <v>1</v>
      </c>
      <c r="AO100" s="43">
        <f>ዕቁብ!AP103/Sheet4!$C100</f>
        <v>1</v>
      </c>
      <c r="AP100" s="43">
        <f>ዕቁብ!AQ103/Sheet4!$C100</f>
        <v>1</v>
      </c>
      <c r="AQ100" s="43">
        <f>ዕቁብ!AR103/Sheet4!$C100</f>
        <v>1</v>
      </c>
      <c r="AR100" s="43">
        <f>ዕቁብ!AS103/Sheet4!$C100</f>
        <v>1</v>
      </c>
      <c r="AS100" s="43">
        <f>ዕቁብ!AT103/Sheet4!$C100</f>
        <v>1</v>
      </c>
      <c r="AT100" s="43">
        <f>ዕቁብ!AU103/Sheet4!$C100</f>
        <v>1</v>
      </c>
      <c r="AU100" s="43">
        <f>ዕቁብ!AV103/Sheet4!$C100</f>
        <v>0</v>
      </c>
      <c r="AV100" s="43">
        <f>ዕቁብ!AW103/Sheet4!$C100</f>
        <v>1</v>
      </c>
      <c r="AW100" s="43">
        <f>ዕቁብ!AX103/Sheet4!$C100</f>
        <v>1</v>
      </c>
      <c r="AX100" s="43">
        <f>ዕቁብ!AY103/Sheet4!$C100</f>
        <v>1</v>
      </c>
      <c r="AY100" s="43">
        <f>ዕቁብ!AZ103/Sheet4!$C100</f>
        <v>1</v>
      </c>
      <c r="AZ100" s="43">
        <f>ዕቁብ!BA103/Sheet4!$C100</f>
        <v>1</v>
      </c>
      <c r="BA100" s="43">
        <f>ዕቁብ!BB103/Sheet4!$C100</f>
        <v>1</v>
      </c>
      <c r="BB100" s="43">
        <f>ዕቁብ!BC103/Sheet4!$C100</f>
        <v>1</v>
      </c>
      <c r="BC100" s="43">
        <f>ዕቁብ!BD103/Sheet4!$C100</f>
        <v>1</v>
      </c>
      <c r="BD100" s="43">
        <f>ዕቁብ!BE103/Sheet4!$C100</f>
        <v>1</v>
      </c>
      <c r="BE100" s="43">
        <f>ዕቁብ!BF103/Sheet4!$C100</f>
        <v>1</v>
      </c>
      <c r="BF100" s="43">
        <f>ዕቁብ!BG103/Sheet4!$C100</f>
        <v>1</v>
      </c>
      <c r="BG100" s="43">
        <f>ዕቁብ!BH103/Sheet4!$C100</f>
        <v>1</v>
      </c>
      <c r="BH100" s="43">
        <f>ዕቁብ!BI103/Sheet4!$C100</f>
        <v>2</v>
      </c>
      <c r="BI100" s="43">
        <f>ዕቁብ!BJ103/Sheet4!$C100</f>
        <v>1</v>
      </c>
      <c r="BJ100" s="43">
        <f>ዕቁብ!BK103/Sheet4!$C100</f>
        <v>1</v>
      </c>
      <c r="BK100" s="43">
        <f>ዕቁብ!BL103/Sheet4!$C100</f>
        <v>1</v>
      </c>
      <c r="BL100" s="43">
        <f>ዕቁብ!BM103/Sheet4!$C100</f>
        <v>1</v>
      </c>
      <c r="BM100" s="43">
        <f>ዕቁብ!BN103/Sheet4!$C100</f>
        <v>1</v>
      </c>
      <c r="BN100" s="43">
        <f>ዕቁብ!BO103/Sheet4!$C100</f>
        <v>1</v>
      </c>
      <c r="BO100" s="43">
        <f>ዕቁብ!BP103/Sheet4!$C100</f>
        <v>1</v>
      </c>
      <c r="BP100" s="43">
        <f>ዕቁብ!BQ103/Sheet4!$C100</f>
        <v>1</v>
      </c>
      <c r="BQ100" s="43">
        <f>ዕቁብ!BR103/Sheet4!$C100</f>
        <v>1</v>
      </c>
      <c r="BR100" s="43">
        <f>ዕቁብ!BS103/Sheet4!$C100</f>
        <v>1</v>
      </c>
      <c r="BS100" s="43">
        <f>ዕቁብ!BT103/Sheet4!$C100</f>
        <v>1</v>
      </c>
      <c r="BT100" s="43">
        <f>ዕቁብ!BU103/Sheet4!$C100</f>
        <v>1</v>
      </c>
      <c r="BU100" s="43">
        <f>ዕቁብ!BV103/Sheet4!$C100</f>
        <v>1</v>
      </c>
      <c r="BV100" s="43">
        <f>ዕቁብ!BW103/Sheet4!$C100</f>
        <v>0</v>
      </c>
      <c r="BW100" s="43">
        <f>ዕቁብ!BX103/Sheet4!$C100</f>
        <v>0</v>
      </c>
      <c r="BX100" s="43">
        <f>ዕቁብ!BY103/Sheet4!$C100</f>
        <v>0</v>
      </c>
      <c r="BY100" s="43">
        <f>ዕቁብ!BZ103/Sheet4!$C100</f>
        <v>4</v>
      </c>
      <c r="BZ100" s="43">
        <f>ዕቁብ!CA103/Sheet4!$C100</f>
        <v>1</v>
      </c>
      <c r="CA100" s="43">
        <f>ዕቁብ!CB103/Sheet4!$C100</f>
        <v>1</v>
      </c>
      <c r="CB100" s="43">
        <f>ዕቁብ!CC103/Sheet4!$C100</f>
        <v>1</v>
      </c>
      <c r="CC100" s="43">
        <f>ዕቁብ!CD103/Sheet4!$C100</f>
        <v>1</v>
      </c>
      <c r="CD100" s="43">
        <f>ዕቁብ!CE103/Sheet4!$C100</f>
        <v>1</v>
      </c>
      <c r="CE100" s="43">
        <f>ዕቁብ!CF103/Sheet4!$C100</f>
        <v>1</v>
      </c>
      <c r="CF100" s="43">
        <f>ዕቁብ!CG103/Sheet4!$C100</f>
        <v>0</v>
      </c>
      <c r="CG100" s="43">
        <f>ዕቁብ!CH103/Sheet4!$C100</f>
        <v>2</v>
      </c>
      <c r="CH100" s="43">
        <f>ዕቁብ!CI103/Sheet4!$C100</f>
        <v>0</v>
      </c>
      <c r="CI100" s="43">
        <f>ዕቁብ!CJ103/Sheet4!$C100</f>
        <v>0</v>
      </c>
      <c r="CJ100" s="43">
        <f>ዕቁብ!CK103/Sheet4!$C100</f>
        <v>0</v>
      </c>
      <c r="CK100" s="43">
        <f>ዕቁብ!CL103/Sheet4!$C100</f>
        <v>2</v>
      </c>
      <c r="CL100" s="43">
        <f>ዕቁብ!CM103/Sheet4!$C100</f>
        <v>2</v>
      </c>
      <c r="CM100" s="43">
        <f>ዕቁብ!CN103/Sheet4!$C100</f>
        <v>0</v>
      </c>
      <c r="CN100" s="43">
        <f>ዕቁብ!CO103/Sheet4!$C100</f>
        <v>3</v>
      </c>
      <c r="CO100" s="43">
        <f>ዕቁብ!CP103/Sheet4!$C100</f>
        <v>0</v>
      </c>
      <c r="CP100" s="43">
        <f>ዕቁብ!CQ103/Sheet4!$C100</f>
        <v>0</v>
      </c>
      <c r="CQ100" s="43">
        <f>ዕቁብ!CR103/Sheet4!$C100</f>
        <v>0</v>
      </c>
      <c r="CR100" s="43">
        <f>ዕቁብ!CS103/Sheet4!$C100</f>
        <v>4</v>
      </c>
      <c r="CS100" s="43">
        <f>ዕቁብ!CT103/Sheet4!$C100</f>
        <v>0</v>
      </c>
      <c r="CT100" s="43">
        <f>ዕቁብ!CU103/Sheet4!$C100</f>
        <v>2</v>
      </c>
      <c r="CU100" s="43">
        <f>ዕቁብ!CV103/Sheet4!$C100</f>
        <v>0</v>
      </c>
      <c r="CV100" s="43">
        <f>ዕቁብ!CW103/Sheet4!$C100</f>
        <v>0</v>
      </c>
      <c r="CW100" s="43">
        <f>ዕቁብ!CX103/Sheet4!$C100</f>
        <v>3</v>
      </c>
      <c r="CX100" s="43">
        <f>ዕቁብ!CY103/Sheet4!$C100</f>
        <v>0</v>
      </c>
      <c r="CY100" s="43">
        <f>ዕቁብ!CZ103/Sheet4!$C100</f>
        <v>0</v>
      </c>
      <c r="CZ100" s="43">
        <f>ዕቁብ!DA103/Sheet4!$C100</f>
        <v>0</v>
      </c>
      <c r="DA100" s="43">
        <f>ዕቁብ!DB103/Sheet4!$C100</f>
        <v>0</v>
      </c>
      <c r="DB100" s="43">
        <f>ዕቁብ!DC103/Sheet4!$C100</f>
        <v>0</v>
      </c>
      <c r="DC100" s="43">
        <f>ዕቁብ!DD103/Sheet4!$C100</f>
        <v>0</v>
      </c>
      <c r="DD100" s="43">
        <f>ዕቁብ!DE103/Sheet4!$C100</f>
        <v>0</v>
      </c>
      <c r="DE100" s="43">
        <f>ዕቁብ!DF103/Sheet4!$C100</f>
        <v>0</v>
      </c>
      <c r="DF100" s="43">
        <f>ዕቁብ!DG103/Sheet4!$C100</f>
        <v>0</v>
      </c>
      <c r="DG100" s="43">
        <f>ዕቁብ!DH103/Sheet4!$C100</f>
        <v>0</v>
      </c>
      <c r="DH100" s="43">
        <f>ዕቁብ!DI103/Sheet4!$C100</f>
        <v>0</v>
      </c>
      <c r="DI100" s="43">
        <f>ዕቁብ!DJ103/Sheet4!$C100</f>
        <v>0</v>
      </c>
      <c r="DJ100" s="43">
        <f>ዕቁብ!DK103/Sheet4!$C100</f>
        <v>0</v>
      </c>
      <c r="DK100" s="43">
        <f>ዕቁብ!DL103/Sheet4!$C100</f>
        <v>0</v>
      </c>
      <c r="DL100" s="43">
        <f>ዕቁብ!DM103/Sheet4!$C100</f>
        <v>0</v>
      </c>
      <c r="DM100" s="43">
        <f>ዕቁብ!DN103/Sheet4!$C100</f>
        <v>0</v>
      </c>
      <c r="DN100" s="43">
        <f>ዕቁብ!DO103/Sheet4!$C100</f>
        <v>0</v>
      </c>
      <c r="DO100" s="43">
        <f>ዕቁብ!DP103/Sheet4!$C100</f>
        <v>0</v>
      </c>
      <c r="DP100" s="43">
        <f>ዕቁብ!DQ103/Sheet4!$C100</f>
        <v>0</v>
      </c>
      <c r="DQ100" s="43">
        <f>ዕቁብ!DR103/Sheet4!$C100</f>
        <v>0</v>
      </c>
    </row>
    <row r="101" spans="1:121" ht="15.75" customHeight="1" x14ac:dyDescent="0.3">
      <c r="A101" s="40">
        <f>ዕቁብ!A104</f>
        <v>96</v>
      </c>
      <c r="B101" s="40" t="str">
        <f>ዕቁብ!B104</f>
        <v xml:space="preserve">ታሪኩ ካርሎስ </v>
      </c>
      <c r="C101" s="30">
        <f>ዕቁብ!C104</f>
        <v>10500</v>
      </c>
      <c r="D101" s="43">
        <f>ዕቁብ!E104/Sheet4!$C101</f>
        <v>1</v>
      </c>
      <c r="E101" s="43">
        <f>ዕቁብ!F104/Sheet4!$C101</f>
        <v>1</v>
      </c>
      <c r="F101" s="43">
        <f>ዕቁብ!G104/Sheet4!$C101</f>
        <v>1</v>
      </c>
      <c r="G101" s="43">
        <f>ዕቁብ!H104/Sheet4!$C101</f>
        <v>1</v>
      </c>
      <c r="H101" s="43">
        <f>ዕቁብ!I104/Sheet4!$C101</f>
        <v>1</v>
      </c>
      <c r="I101" s="43">
        <f>ዕቁብ!J104/Sheet4!$C101</f>
        <v>1</v>
      </c>
      <c r="J101" s="43">
        <f>ዕቁብ!K104/Sheet4!$C101</f>
        <v>1</v>
      </c>
      <c r="K101" s="43">
        <f>ዕቁብ!L104/Sheet4!$C101</f>
        <v>1</v>
      </c>
      <c r="L101" s="43">
        <f>ዕቁብ!M104/Sheet4!$C101</f>
        <v>1</v>
      </c>
      <c r="M101" s="43">
        <f>ዕቁብ!N104/Sheet4!$C101</f>
        <v>1</v>
      </c>
      <c r="N101" s="43">
        <f>ዕቁብ!O104/Sheet4!$C101</f>
        <v>1</v>
      </c>
      <c r="O101" s="43">
        <f>ዕቁብ!P104/Sheet4!$C101</f>
        <v>1</v>
      </c>
      <c r="P101" s="43">
        <f>ዕቁብ!Q104/Sheet4!$C101</f>
        <v>1</v>
      </c>
      <c r="Q101" s="43">
        <f>ዕቁብ!R104/Sheet4!$C101</f>
        <v>1</v>
      </c>
      <c r="R101" s="43">
        <f>ዕቁብ!S104/Sheet4!$C101</f>
        <v>1</v>
      </c>
      <c r="S101" s="43">
        <f>ዕቁብ!T104/Sheet4!$C101</f>
        <v>1</v>
      </c>
      <c r="T101" s="43">
        <f>ዕቁብ!U104/Sheet4!$C101</f>
        <v>1</v>
      </c>
      <c r="U101" s="43">
        <f>ዕቁብ!V104/Sheet4!$C101</f>
        <v>1</v>
      </c>
      <c r="V101" s="43">
        <f>ዕቁብ!W104/Sheet4!$C101</f>
        <v>1</v>
      </c>
      <c r="W101" s="43">
        <f>ዕቁብ!X104/Sheet4!$C101</f>
        <v>1</v>
      </c>
      <c r="X101" s="43">
        <f>ዕቁብ!Y104/Sheet4!$C101</f>
        <v>0</v>
      </c>
      <c r="Y101" s="43">
        <f>ዕቁብ!Z104/Sheet4!$C101</f>
        <v>2</v>
      </c>
      <c r="Z101" s="43">
        <f>ዕቁብ!AA104/Sheet4!$C101</f>
        <v>1</v>
      </c>
      <c r="AA101" s="43">
        <f>ዕቁብ!AB104/Sheet4!$C101</f>
        <v>0</v>
      </c>
      <c r="AB101" s="43">
        <f>ዕቁብ!AC104/Sheet4!$C101</f>
        <v>2</v>
      </c>
      <c r="AC101" s="43">
        <f>ዕቁብ!AD104/Sheet4!$C101</f>
        <v>1</v>
      </c>
      <c r="AD101" s="43">
        <f>ዕቁብ!AE104/Sheet4!$C101</f>
        <v>1</v>
      </c>
      <c r="AE101" s="43">
        <f>ዕቁብ!AF104/Sheet4!$C101</f>
        <v>0</v>
      </c>
      <c r="AF101" s="43">
        <f>ዕቁብ!AG104/Sheet4!$C101</f>
        <v>2</v>
      </c>
      <c r="AG101" s="43">
        <f>ዕቁብ!AH104/Sheet4!$C101</f>
        <v>1</v>
      </c>
      <c r="AH101" s="43">
        <f>ዕቁብ!AI104/Sheet4!$C101</f>
        <v>1</v>
      </c>
      <c r="AI101" s="43">
        <f>ዕቁብ!AJ104/Sheet4!$C101</f>
        <v>1</v>
      </c>
      <c r="AJ101" s="43">
        <f>ዕቁብ!AK104/Sheet4!$C101</f>
        <v>1</v>
      </c>
      <c r="AK101" s="43">
        <f>ዕቁብ!AL104/Sheet4!$C101</f>
        <v>1</v>
      </c>
      <c r="AL101" s="43">
        <f>ዕቁብ!AM104/Sheet4!$C101</f>
        <v>0</v>
      </c>
      <c r="AM101" s="43">
        <f>ዕቁብ!AN104/Sheet4!$C101</f>
        <v>2</v>
      </c>
      <c r="AN101" s="43">
        <f>ዕቁብ!AO104/Sheet4!$C101</f>
        <v>1</v>
      </c>
      <c r="AO101" s="43">
        <f>ዕቁብ!AP104/Sheet4!$C101</f>
        <v>1</v>
      </c>
      <c r="AP101" s="43">
        <f>ዕቁብ!AQ104/Sheet4!$C101</f>
        <v>1</v>
      </c>
      <c r="AQ101" s="43">
        <f>ዕቁብ!AR104/Sheet4!$C101</f>
        <v>1</v>
      </c>
      <c r="AR101" s="43">
        <f>ዕቁብ!AS104/Sheet4!$C101</f>
        <v>1</v>
      </c>
      <c r="AS101" s="43">
        <f>ዕቁብ!AT104/Sheet4!$C101</f>
        <v>1</v>
      </c>
      <c r="AT101" s="43">
        <f>ዕቁብ!AU104/Sheet4!$C101</f>
        <v>1</v>
      </c>
      <c r="AU101" s="43">
        <f>ዕቁብ!AV104/Sheet4!$C101</f>
        <v>1</v>
      </c>
      <c r="AV101" s="43">
        <f>ዕቁብ!AW104/Sheet4!$C101</f>
        <v>0</v>
      </c>
      <c r="AW101" s="43">
        <f>ዕቁብ!AX104/Sheet4!$C101</f>
        <v>2</v>
      </c>
      <c r="AX101" s="43">
        <f>ዕቁብ!AY104/Sheet4!$C101</f>
        <v>0</v>
      </c>
      <c r="AY101" s="43">
        <f>ዕቁብ!AZ104/Sheet4!$C101</f>
        <v>2</v>
      </c>
      <c r="AZ101" s="43">
        <f>ዕቁብ!BA104/Sheet4!$C101</f>
        <v>1</v>
      </c>
      <c r="BA101" s="43">
        <f>ዕቁብ!BB104/Sheet4!$C101</f>
        <v>1</v>
      </c>
      <c r="BB101" s="43">
        <f>ዕቁብ!BC104/Sheet4!$C101</f>
        <v>0</v>
      </c>
      <c r="BC101" s="43">
        <f>ዕቁብ!BD104/Sheet4!$C101</f>
        <v>2</v>
      </c>
      <c r="BD101" s="43">
        <f>ዕቁብ!BE104/Sheet4!$C101</f>
        <v>1</v>
      </c>
      <c r="BE101" s="43">
        <f>ዕቁብ!BF104/Sheet4!$C101</f>
        <v>1</v>
      </c>
      <c r="BF101" s="43">
        <f>ዕቁብ!BG104/Sheet4!$C101</f>
        <v>1</v>
      </c>
      <c r="BG101" s="43">
        <f>ዕቁብ!BH104/Sheet4!$C101</f>
        <v>0</v>
      </c>
      <c r="BH101" s="43">
        <f>ዕቁብ!BI104/Sheet4!$C101</f>
        <v>0</v>
      </c>
      <c r="BI101" s="43">
        <f>ዕቁብ!BJ104/Sheet4!$C101</f>
        <v>2</v>
      </c>
      <c r="BJ101" s="43">
        <f>ዕቁብ!BK104/Sheet4!$C101</f>
        <v>2</v>
      </c>
      <c r="BK101" s="43">
        <f>ዕቁብ!BL104/Sheet4!$C101</f>
        <v>0</v>
      </c>
      <c r="BL101" s="43">
        <f>ዕቁብ!BM104/Sheet4!$C101</f>
        <v>2</v>
      </c>
      <c r="BM101" s="43">
        <f>ዕቁብ!BN104/Sheet4!$C101</f>
        <v>0</v>
      </c>
      <c r="BN101" s="43">
        <f>ዕቁብ!BO104/Sheet4!$C101</f>
        <v>2</v>
      </c>
      <c r="BO101" s="43">
        <f>ዕቁብ!BP104/Sheet4!$C101</f>
        <v>0</v>
      </c>
      <c r="BP101" s="43">
        <f>ዕቁብ!BQ104/Sheet4!$C101</f>
        <v>0</v>
      </c>
      <c r="BQ101" s="43">
        <f>ዕቁብ!BR104/Sheet4!$C101</f>
        <v>0</v>
      </c>
      <c r="BR101" s="43">
        <f>ዕቁብ!BS104/Sheet4!$C101</f>
        <v>4</v>
      </c>
      <c r="BS101" s="43">
        <f>ዕቁብ!BT104/Sheet4!$C101</f>
        <v>0</v>
      </c>
      <c r="BT101" s="43">
        <f>ዕቁብ!BU104/Sheet4!$C101</f>
        <v>0</v>
      </c>
      <c r="BU101" s="43">
        <f>ዕቁብ!BV104/Sheet4!$C101</f>
        <v>0</v>
      </c>
      <c r="BV101" s="43">
        <f>ዕቁብ!BW104/Sheet4!$C101</f>
        <v>2</v>
      </c>
      <c r="BW101" s="43">
        <f>ዕቁብ!BX104/Sheet4!$C101</f>
        <v>0</v>
      </c>
      <c r="BX101" s="43">
        <f>ዕቁብ!BY104/Sheet4!$C101</f>
        <v>2</v>
      </c>
      <c r="BY101" s="43">
        <f>ዕቁብ!BZ104/Sheet4!$C101</f>
        <v>0</v>
      </c>
      <c r="BZ101" s="43">
        <f>ዕቁብ!CA104/Sheet4!$C101</f>
        <v>0</v>
      </c>
      <c r="CA101" s="43">
        <f>ዕቁብ!CB104/Sheet4!$C101</f>
        <v>0</v>
      </c>
      <c r="CB101" s="43">
        <f>ዕቁብ!CC104/Sheet4!$C101</f>
        <v>4</v>
      </c>
      <c r="CC101" s="43">
        <f>ዕቁብ!CD104/Sheet4!$C101</f>
        <v>0</v>
      </c>
      <c r="CD101" s="43">
        <f>ዕቁብ!CE104/Sheet4!$C101</f>
        <v>0</v>
      </c>
      <c r="CE101" s="43">
        <f>ዕቁብ!CF104/Sheet4!$C101</f>
        <v>4</v>
      </c>
      <c r="CF101" s="43">
        <f>ዕቁብ!CG104/Sheet4!$C101</f>
        <v>1</v>
      </c>
      <c r="CG101" s="43">
        <f>ዕቁብ!CH104/Sheet4!$C101</f>
        <v>0</v>
      </c>
      <c r="CH101" s="43">
        <f>ዕቁብ!CI104/Sheet4!$C101</f>
        <v>2</v>
      </c>
      <c r="CI101" s="43">
        <f>ዕቁብ!CJ104/Sheet4!$C101</f>
        <v>1</v>
      </c>
      <c r="CJ101" s="43">
        <f>ዕቁብ!CK104/Sheet4!$C101</f>
        <v>1</v>
      </c>
      <c r="CK101" s="43">
        <f>ዕቁብ!CL104/Sheet4!$C101</f>
        <v>0</v>
      </c>
      <c r="CL101" s="43">
        <f>ዕቁብ!CM104/Sheet4!$C101</f>
        <v>2</v>
      </c>
      <c r="CM101" s="43">
        <f>ዕቁብ!CN104/Sheet4!$C101</f>
        <v>0</v>
      </c>
      <c r="CN101" s="43">
        <f>ዕቁብ!CO104/Sheet4!$C101</f>
        <v>0</v>
      </c>
      <c r="CO101" s="43">
        <f>ዕቁብ!CP104/Sheet4!$C101</f>
        <v>3</v>
      </c>
      <c r="CP101" s="43">
        <f>ዕቁብ!CQ104/Sheet4!$C101</f>
        <v>1</v>
      </c>
      <c r="CQ101" s="43">
        <f>ዕቁብ!CR104/Sheet4!$C101</f>
        <v>1</v>
      </c>
      <c r="CR101" s="43">
        <f>ዕቁብ!CS104/Sheet4!$C101</f>
        <v>1</v>
      </c>
      <c r="CS101" s="43">
        <f>ዕቁብ!CT104/Sheet4!$C101</f>
        <v>1</v>
      </c>
      <c r="CT101" s="43">
        <f>ዕቁብ!CU104/Sheet4!$C101</f>
        <v>1</v>
      </c>
      <c r="CU101" s="43">
        <f>ዕቁብ!CV104/Sheet4!$C101</f>
        <v>1</v>
      </c>
      <c r="CV101" s="43">
        <f>ዕቁብ!CW104/Sheet4!$C101</f>
        <v>1</v>
      </c>
      <c r="CW101" s="43">
        <f>ዕቁብ!CX104/Sheet4!$C101</f>
        <v>1</v>
      </c>
      <c r="CX101" s="43">
        <f>ዕቁብ!CY104/Sheet4!$C101</f>
        <v>1</v>
      </c>
      <c r="CY101" s="43">
        <f>ዕቁብ!CZ104/Sheet4!$C101</f>
        <v>1</v>
      </c>
      <c r="CZ101" s="43">
        <f>ዕቁብ!DA104/Sheet4!$C101</f>
        <v>1</v>
      </c>
      <c r="DA101" s="43">
        <f>ዕቁብ!DB104/Sheet4!$C101</f>
        <v>1</v>
      </c>
      <c r="DB101" s="43">
        <f>ዕቁብ!DC104/Sheet4!$C101</f>
        <v>1</v>
      </c>
      <c r="DC101" s="43">
        <f>ዕቁብ!DD104/Sheet4!$C101</f>
        <v>1</v>
      </c>
      <c r="DD101" s="43">
        <f>ዕቁብ!DE104/Sheet4!$C101</f>
        <v>1</v>
      </c>
      <c r="DE101" s="43">
        <f>ዕቁብ!DF104/Sheet4!$C101</f>
        <v>1</v>
      </c>
      <c r="DF101" s="43">
        <f>ዕቁብ!DG104/Sheet4!$C101</f>
        <v>1</v>
      </c>
      <c r="DG101" s="43">
        <f>ዕቁብ!DH104/Sheet4!$C101</f>
        <v>0</v>
      </c>
      <c r="DH101" s="43">
        <f>ዕቁብ!DI104/Sheet4!$C101</f>
        <v>0</v>
      </c>
      <c r="DI101" s="43">
        <f>ዕቁብ!DJ104/Sheet4!$C101</f>
        <v>0</v>
      </c>
      <c r="DJ101" s="43">
        <f>ዕቁብ!DK104/Sheet4!$C101</f>
        <v>0</v>
      </c>
      <c r="DK101" s="43">
        <f>ዕቁብ!DL104/Sheet4!$C101</f>
        <v>0</v>
      </c>
      <c r="DL101" s="43">
        <f>ዕቁብ!DM104/Sheet4!$C101</f>
        <v>0</v>
      </c>
      <c r="DM101" s="43">
        <f>ዕቁብ!DN104/Sheet4!$C101</f>
        <v>0</v>
      </c>
      <c r="DN101" s="43">
        <f>ዕቁብ!DO104/Sheet4!$C101</f>
        <v>0</v>
      </c>
      <c r="DO101" s="43">
        <f>ዕቁብ!DP104/Sheet4!$C101</f>
        <v>0</v>
      </c>
      <c r="DP101" s="43">
        <f>ዕቁብ!DQ104/Sheet4!$C101</f>
        <v>0</v>
      </c>
      <c r="DQ101" s="43">
        <f>ዕቁብ!DR104/Sheet4!$C101</f>
        <v>0</v>
      </c>
    </row>
    <row r="102" spans="1:121" ht="15.75" customHeight="1" x14ac:dyDescent="0.3">
      <c r="A102" s="40">
        <f>ዕቁብ!A105</f>
        <v>96</v>
      </c>
      <c r="B102" s="40" t="str">
        <f>ዕቁብ!B105</f>
        <v>እንግዳ ካሳዬ</v>
      </c>
      <c r="C102" s="30">
        <f>ዕቁብ!C105</f>
        <v>10500</v>
      </c>
      <c r="D102" s="43">
        <f>ዕቁብ!E105/Sheet4!$C102</f>
        <v>1</v>
      </c>
      <c r="E102" s="43">
        <f>ዕቁብ!F105/Sheet4!$C102</f>
        <v>1</v>
      </c>
      <c r="F102" s="43">
        <f>ዕቁብ!G105/Sheet4!$C102</f>
        <v>1</v>
      </c>
      <c r="G102" s="43">
        <f>ዕቁብ!H105/Sheet4!$C102</f>
        <v>1</v>
      </c>
      <c r="H102" s="43">
        <f>ዕቁብ!I105/Sheet4!$C102</f>
        <v>1</v>
      </c>
      <c r="I102" s="43">
        <f>ዕቁብ!J105/Sheet4!$C102</f>
        <v>1</v>
      </c>
      <c r="J102" s="43">
        <f>ዕቁብ!K105/Sheet4!$C102</f>
        <v>1</v>
      </c>
      <c r="K102" s="43">
        <f>ዕቁብ!L105/Sheet4!$C102</f>
        <v>1</v>
      </c>
      <c r="L102" s="43">
        <f>ዕቁብ!M105/Sheet4!$C102</f>
        <v>1</v>
      </c>
      <c r="M102" s="43">
        <f>ዕቁብ!N105/Sheet4!$C102</f>
        <v>1</v>
      </c>
      <c r="N102" s="43">
        <f>ዕቁብ!O105/Sheet4!$C102</f>
        <v>1</v>
      </c>
      <c r="O102" s="43">
        <f>ዕቁብ!P105/Sheet4!$C102</f>
        <v>1</v>
      </c>
      <c r="P102" s="43">
        <f>ዕቁብ!Q105/Sheet4!$C102</f>
        <v>1</v>
      </c>
      <c r="Q102" s="43">
        <f>ዕቁብ!R105/Sheet4!$C102</f>
        <v>1</v>
      </c>
      <c r="R102" s="43">
        <f>ዕቁብ!S105/Sheet4!$C102</f>
        <v>1</v>
      </c>
      <c r="S102" s="43">
        <f>ዕቁብ!T105/Sheet4!$C102</f>
        <v>1</v>
      </c>
      <c r="T102" s="43">
        <f>ዕቁብ!U105/Sheet4!$C102</f>
        <v>1</v>
      </c>
      <c r="U102" s="43">
        <f>ዕቁብ!V105/Sheet4!$C102</f>
        <v>1</v>
      </c>
      <c r="V102" s="43">
        <f>ዕቁብ!W105/Sheet4!$C102</f>
        <v>1</v>
      </c>
      <c r="W102" s="43">
        <f>ዕቁብ!X105/Sheet4!$C102</f>
        <v>1</v>
      </c>
      <c r="X102" s="43">
        <f>ዕቁብ!Y105/Sheet4!$C102</f>
        <v>1</v>
      </c>
      <c r="Y102" s="43">
        <f>ዕቁብ!Z105/Sheet4!$C102</f>
        <v>1</v>
      </c>
      <c r="Z102" s="43">
        <f>ዕቁብ!AA105/Sheet4!$C102</f>
        <v>1</v>
      </c>
      <c r="AA102" s="43">
        <f>ዕቁብ!AB105/Sheet4!$C102</f>
        <v>0</v>
      </c>
      <c r="AB102" s="43">
        <f>ዕቁብ!AC105/Sheet4!$C102</f>
        <v>2</v>
      </c>
      <c r="AC102" s="43">
        <f>ዕቁብ!AD105/Sheet4!$C102</f>
        <v>1</v>
      </c>
      <c r="AD102" s="43">
        <f>ዕቁብ!AE105/Sheet4!$C102</f>
        <v>1</v>
      </c>
      <c r="AE102" s="43">
        <f>ዕቁብ!AF105/Sheet4!$C102</f>
        <v>1</v>
      </c>
      <c r="AF102" s="43">
        <f>ዕቁብ!AG105/Sheet4!$C102</f>
        <v>1</v>
      </c>
      <c r="AG102" s="43">
        <f>ዕቁብ!AH105/Sheet4!$C102</f>
        <v>1</v>
      </c>
      <c r="AH102" s="43">
        <f>ዕቁብ!AI105/Sheet4!$C102</f>
        <v>1</v>
      </c>
      <c r="AI102" s="43">
        <f>ዕቁብ!AJ105/Sheet4!$C102</f>
        <v>1</v>
      </c>
      <c r="AJ102" s="43">
        <f>ዕቁብ!AK105/Sheet4!$C102</f>
        <v>1</v>
      </c>
      <c r="AK102" s="43">
        <f>ዕቁብ!AL105/Sheet4!$C102</f>
        <v>1</v>
      </c>
      <c r="AL102" s="43">
        <f>ዕቁብ!AM105/Sheet4!$C102</f>
        <v>1</v>
      </c>
      <c r="AM102" s="43">
        <f>ዕቁብ!AN105/Sheet4!$C102</f>
        <v>1</v>
      </c>
      <c r="AN102" s="43">
        <f>ዕቁብ!AO105/Sheet4!$C102</f>
        <v>1</v>
      </c>
      <c r="AO102" s="43">
        <f>ዕቁብ!AP105/Sheet4!$C102</f>
        <v>1</v>
      </c>
      <c r="AP102" s="43">
        <f>ዕቁብ!AQ105/Sheet4!$C102</f>
        <v>1</v>
      </c>
      <c r="AQ102" s="43">
        <f>ዕቁብ!AR105/Sheet4!$C102</f>
        <v>1</v>
      </c>
      <c r="AR102" s="43">
        <f>ዕቁብ!AS105/Sheet4!$C102</f>
        <v>1</v>
      </c>
      <c r="AS102" s="43">
        <f>ዕቁብ!AT105/Sheet4!$C102</f>
        <v>1</v>
      </c>
      <c r="AT102" s="43">
        <f>ዕቁብ!AU105/Sheet4!$C102</f>
        <v>1</v>
      </c>
      <c r="AU102" s="43">
        <f>ዕቁብ!AV105/Sheet4!$C102</f>
        <v>1</v>
      </c>
      <c r="AV102" s="43">
        <f>ዕቁብ!AW105/Sheet4!$C102</f>
        <v>1</v>
      </c>
      <c r="AW102" s="43">
        <f>ዕቁብ!AX105/Sheet4!$C102</f>
        <v>1</v>
      </c>
      <c r="AX102" s="43">
        <f>ዕቁብ!AY105/Sheet4!$C102</f>
        <v>1</v>
      </c>
      <c r="AY102" s="43">
        <f>ዕቁብ!AZ105/Sheet4!$C102</f>
        <v>1</v>
      </c>
      <c r="AZ102" s="43">
        <f>ዕቁብ!BA105/Sheet4!$C102</f>
        <v>1</v>
      </c>
      <c r="BA102" s="43">
        <f>ዕቁብ!BB105/Sheet4!$C102</f>
        <v>0</v>
      </c>
      <c r="BB102" s="43">
        <f>ዕቁብ!BC105/Sheet4!$C102</f>
        <v>0</v>
      </c>
      <c r="BC102" s="43">
        <f>ዕቁብ!BD105/Sheet4!$C102</f>
        <v>1</v>
      </c>
      <c r="BD102" s="43">
        <f>ዕቁብ!BE105/Sheet4!$C102</f>
        <v>1</v>
      </c>
      <c r="BE102" s="43">
        <f>ዕቁብ!BF105/Sheet4!$C102</f>
        <v>0</v>
      </c>
      <c r="BF102" s="43">
        <f>ዕቁብ!BG105/Sheet4!$C102</f>
        <v>1</v>
      </c>
      <c r="BG102" s="43">
        <f>ዕቁብ!BH105/Sheet4!$C102</f>
        <v>1</v>
      </c>
      <c r="BH102" s="43">
        <f>ዕቁብ!BI105/Sheet4!$C102</f>
        <v>1</v>
      </c>
      <c r="BI102" s="43">
        <f>ዕቁብ!BJ105/Sheet4!$C102</f>
        <v>1</v>
      </c>
      <c r="BJ102" s="43">
        <f>ዕቁብ!BK105/Sheet4!$C102</f>
        <v>1</v>
      </c>
      <c r="BK102" s="43">
        <f>ዕቁብ!BL105/Sheet4!$C102</f>
        <v>1</v>
      </c>
      <c r="BL102" s="43">
        <f>ዕቁብ!BM105/Sheet4!$C102</f>
        <v>1</v>
      </c>
      <c r="BM102" s="43">
        <f>ዕቁብ!BN105/Sheet4!$C102</f>
        <v>0</v>
      </c>
      <c r="BN102" s="43">
        <f>ዕቁብ!BO105/Sheet4!$C102</f>
        <v>2</v>
      </c>
      <c r="BO102" s="43">
        <f>ዕቁብ!BP105/Sheet4!$C102</f>
        <v>1</v>
      </c>
      <c r="BP102" s="43">
        <f>ዕቁብ!BQ105/Sheet4!$C102</f>
        <v>1</v>
      </c>
      <c r="BQ102" s="43">
        <f>ዕቁብ!BR105/Sheet4!$C102</f>
        <v>1</v>
      </c>
      <c r="BR102" s="43">
        <f>ዕቁብ!BS105/Sheet4!$C102</f>
        <v>1</v>
      </c>
      <c r="BS102" s="43">
        <f>ዕቁብ!BT105/Sheet4!$C102</f>
        <v>1</v>
      </c>
      <c r="BT102" s="43">
        <f>ዕቁብ!BU105/Sheet4!$C102</f>
        <v>1</v>
      </c>
      <c r="BU102" s="43">
        <f>ዕቁብ!BV105/Sheet4!$C102</f>
        <v>1</v>
      </c>
      <c r="BV102" s="43">
        <f>ዕቁብ!BW105/Sheet4!$C102</f>
        <v>1</v>
      </c>
      <c r="BW102" s="43">
        <f>ዕቁብ!BX105/Sheet4!$C102</f>
        <v>1</v>
      </c>
      <c r="BX102" s="43">
        <f>ዕቁብ!BY105/Sheet4!$C102</f>
        <v>1</v>
      </c>
      <c r="BY102" s="43">
        <f>ዕቁብ!BZ105/Sheet4!$C102</f>
        <v>1</v>
      </c>
      <c r="BZ102" s="43">
        <f>ዕቁብ!CA105/Sheet4!$C102</f>
        <v>1</v>
      </c>
      <c r="CA102" s="43">
        <f>ዕቁብ!CB105/Sheet4!$C102</f>
        <v>0</v>
      </c>
      <c r="CB102" s="43">
        <f>ዕቁብ!CC105/Sheet4!$C102</f>
        <v>2</v>
      </c>
      <c r="CC102" s="43">
        <f>ዕቁብ!CD105/Sheet4!$C102</f>
        <v>0</v>
      </c>
      <c r="CD102" s="43">
        <f>ዕቁብ!CE105/Sheet4!$C102</f>
        <v>0</v>
      </c>
      <c r="CE102" s="43">
        <f>ዕቁብ!CF105/Sheet4!$C102</f>
        <v>1</v>
      </c>
      <c r="CF102" s="43">
        <f>ዕቁብ!CG105/Sheet4!$C102</f>
        <v>0</v>
      </c>
      <c r="CG102" s="43">
        <f>ዕቁብ!CH105/Sheet4!$C102</f>
        <v>4</v>
      </c>
      <c r="CH102" s="43">
        <f>ዕቁብ!CI105/Sheet4!$C102</f>
        <v>1</v>
      </c>
      <c r="CI102" s="43">
        <f>ዕቁብ!CJ105/Sheet4!$C102</f>
        <v>1</v>
      </c>
      <c r="CJ102" s="43">
        <f>ዕቁብ!CK105/Sheet4!$C102</f>
        <v>1</v>
      </c>
      <c r="CK102" s="43">
        <f>ዕቁብ!CL105/Sheet4!$C102</f>
        <v>0</v>
      </c>
      <c r="CL102" s="43">
        <f>ዕቁብ!CM105/Sheet4!$C102</f>
        <v>1</v>
      </c>
      <c r="CM102" s="43">
        <f>ዕቁብ!CN105/Sheet4!$C102</f>
        <v>1</v>
      </c>
      <c r="CN102" s="43">
        <f>ዕቁብ!CO105/Sheet4!$C102</f>
        <v>1</v>
      </c>
      <c r="CO102" s="43">
        <f>ዕቁብ!CP105/Sheet4!$C102</f>
        <v>0</v>
      </c>
      <c r="CP102" s="43">
        <f>ዕቁብ!CQ105/Sheet4!$C102</f>
        <v>1</v>
      </c>
      <c r="CQ102" s="43">
        <f>ዕቁብ!CR105/Sheet4!$C102</f>
        <v>1</v>
      </c>
      <c r="CR102" s="43">
        <f>ዕቁብ!CS105/Sheet4!$C102</f>
        <v>1</v>
      </c>
      <c r="CS102" s="43">
        <f>ዕቁብ!CT105/Sheet4!$C102</f>
        <v>1</v>
      </c>
      <c r="CT102" s="43">
        <f>ዕቁብ!CU105/Sheet4!$C102</f>
        <v>1</v>
      </c>
      <c r="CU102" s="43">
        <f>ዕቁብ!CV105/Sheet4!$C102</f>
        <v>1</v>
      </c>
      <c r="CV102" s="43">
        <f>ዕቁብ!CW105/Sheet4!$C102</f>
        <v>0</v>
      </c>
      <c r="CW102" s="43">
        <f>ዕቁብ!CX105/Sheet4!$C102</f>
        <v>1</v>
      </c>
      <c r="CX102" s="43">
        <f>ዕቁብ!CY105/Sheet4!$C102</f>
        <v>0</v>
      </c>
      <c r="CY102" s="43">
        <f>ዕቁብ!CZ105/Sheet4!$C102</f>
        <v>0</v>
      </c>
      <c r="CZ102" s="43">
        <f>ዕቁብ!DA105/Sheet4!$C102</f>
        <v>1</v>
      </c>
      <c r="DA102" s="43">
        <f>ዕቁብ!DB105/Sheet4!$C102</f>
        <v>1</v>
      </c>
      <c r="DB102" s="43">
        <f>ዕቁብ!DC105/Sheet4!$C102</f>
        <v>0</v>
      </c>
      <c r="DC102" s="43">
        <f>ዕቁብ!DD105/Sheet4!$C102</f>
        <v>1</v>
      </c>
      <c r="DD102" s="43">
        <f>ዕቁብ!DE105/Sheet4!$C102</f>
        <v>1</v>
      </c>
      <c r="DE102" s="43">
        <f>ዕቁብ!DF105/Sheet4!$C102</f>
        <v>0</v>
      </c>
      <c r="DF102" s="43">
        <f>ዕቁብ!DG105/Sheet4!$C102</f>
        <v>0</v>
      </c>
      <c r="DG102" s="43">
        <f>ዕቁብ!DH105/Sheet4!$C102</f>
        <v>1</v>
      </c>
      <c r="DH102" s="43">
        <f>ዕቁብ!DI105/Sheet4!$C102</f>
        <v>0</v>
      </c>
      <c r="DI102" s="43">
        <f>ዕቁብ!DJ105/Sheet4!$C102</f>
        <v>0</v>
      </c>
      <c r="DJ102" s="43">
        <f>ዕቁብ!DK105/Sheet4!$C102</f>
        <v>0</v>
      </c>
      <c r="DK102" s="43">
        <f>ዕቁብ!DL105/Sheet4!$C102</f>
        <v>0</v>
      </c>
      <c r="DL102" s="43">
        <f>ዕቁብ!DM105/Sheet4!$C102</f>
        <v>0</v>
      </c>
      <c r="DM102" s="43">
        <f>ዕቁብ!DN105/Sheet4!$C102</f>
        <v>0</v>
      </c>
      <c r="DN102" s="43">
        <f>ዕቁብ!DO105/Sheet4!$C102</f>
        <v>0</v>
      </c>
      <c r="DO102" s="43">
        <f>ዕቁብ!DP105/Sheet4!$C102</f>
        <v>0</v>
      </c>
      <c r="DP102" s="43">
        <f>ዕቁብ!DQ105/Sheet4!$C102</f>
        <v>0</v>
      </c>
      <c r="DQ102" s="43">
        <f>ዕቁብ!DR105/Sheet4!$C102</f>
        <v>0</v>
      </c>
    </row>
    <row r="103" spans="1:121" ht="15.75" customHeight="1" x14ac:dyDescent="0.3">
      <c r="A103" s="40">
        <f>ዕቁብ!A106</f>
        <v>97</v>
      </c>
      <c r="B103" s="40" t="str">
        <f>ዕቁብ!B106</f>
        <v xml:space="preserve">ሙሄድን አህመድ </v>
      </c>
      <c r="C103" s="30">
        <f>ዕቁብ!C106</f>
        <v>10500</v>
      </c>
      <c r="D103" s="43">
        <f>ዕቁብ!E106/Sheet4!$C103</f>
        <v>1</v>
      </c>
      <c r="E103" s="43">
        <f>ዕቁብ!F106/Sheet4!$C103</f>
        <v>1</v>
      </c>
      <c r="F103" s="43">
        <f>ዕቁብ!G106/Sheet4!$C103</f>
        <v>1</v>
      </c>
      <c r="G103" s="43">
        <f>ዕቁብ!H106/Sheet4!$C103</f>
        <v>1</v>
      </c>
      <c r="H103" s="43">
        <f>ዕቁብ!I106/Sheet4!$C103</f>
        <v>1</v>
      </c>
      <c r="I103" s="43">
        <f>ዕቁብ!J106/Sheet4!$C103</f>
        <v>1</v>
      </c>
      <c r="J103" s="43">
        <f>ዕቁብ!K106/Sheet4!$C103</f>
        <v>1</v>
      </c>
      <c r="K103" s="43">
        <f>ዕቁብ!L106/Sheet4!$C103</f>
        <v>1</v>
      </c>
      <c r="L103" s="43">
        <f>ዕቁብ!M106/Sheet4!$C103</f>
        <v>1</v>
      </c>
      <c r="M103" s="43">
        <f>ዕቁብ!N106/Sheet4!$C103</f>
        <v>1</v>
      </c>
      <c r="N103" s="43">
        <f>ዕቁብ!O106/Sheet4!$C103</f>
        <v>1</v>
      </c>
      <c r="O103" s="43">
        <f>ዕቁብ!P106/Sheet4!$C103</f>
        <v>1</v>
      </c>
      <c r="P103" s="43">
        <f>ዕቁብ!Q106/Sheet4!$C103</f>
        <v>1</v>
      </c>
      <c r="Q103" s="43">
        <f>ዕቁብ!R106/Sheet4!$C103</f>
        <v>1</v>
      </c>
      <c r="R103" s="43">
        <f>ዕቁብ!S106/Sheet4!$C103</f>
        <v>1</v>
      </c>
      <c r="S103" s="43">
        <f>ዕቁብ!T106/Sheet4!$C103</f>
        <v>1</v>
      </c>
      <c r="T103" s="43">
        <f>ዕቁብ!U106/Sheet4!$C103</f>
        <v>1</v>
      </c>
      <c r="U103" s="43">
        <f>ዕቁብ!V106/Sheet4!$C103</f>
        <v>1</v>
      </c>
      <c r="V103" s="43">
        <f>ዕቁብ!W106/Sheet4!$C103</f>
        <v>1</v>
      </c>
      <c r="W103" s="43">
        <f>ዕቁብ!X106/Sheet4!$C103</f>
        <v>1</v>
      </c>
      <c r="X103" s="43">
        <f>ዕቁብ!Y106/Sheet4!$C103</f>
        <v>1</v>
      </c>
      <c r="Y103" s="43">
        <f>ዕቁብ!Z106/Sheet4!$C103</f>
        <v>1</v>
      </c>
      <c r="Z103" s="43">
        <f>ዕቁብ!AA106/Sheet4!$C103</f>
        <v>1</v>
      </c>
      <c r="AA103" s="43">
        <f>ዕቁብ!AB106/Sheet4!$C103</f>
        <v>1</v>
      </c>
      <c r="AB103" s="43">
        <f>ዕቁብ!AC106/Sheet4!$C103</f>
        <v>1</v>
      </c>
      <c r="AC103" s="43">
        <f>ዕቁብ!AD106/Sheet4!$C103</f>
        <v>1</v>
      </c>
      <c r="AD103" s="43">
        <f>ዕቁብ!AE106/Sheet4!$C103</f>
        <v>1</v>
      </c>
      <c r="AE103" s="43">
        <f>ዕቁብ!AF106/Sheet4!$C103</f>
        <v>1</v>
      </c>
      <c r="AF103" s="43">
        <f>ዕቁብ!AG106/Sheet4!$C103</f>
        <v>1</v>
      </c>
      <c r="AG103" s="43">
        <f>ዕቁብ!AH106/Sheet4!$C103</f>
        <v>1</v>
      </c>
      <c r="AH103" s="43">
        <f>ዕቁብ!AI106/Sheet4!$C103</f>
        <v>0</v>
      </c>
      <c r="AI103" s="43">
        <f>ዕቁብ!AJ106/Sheet4!$C103</f>
        <v>2</v>
      </c>
      <c r="AJ103" s="43">
        <f>ዕቁብ!AK106/Sheet4!$C103</f>
        <v>1</v>
      </c>
      <c r="AK103" s="43">
        <f>ዕቁብ!AL106/Sheet4!$C103</f>
        <v>1</v>
      </c>
      <c r="AL103" s="43">
        <f>ዕቁብ!AM106/Sheet4!$C103</f>
        <v>1</v>
      </c>
      <c r="AM103" s="43">
        <f>ዕቁብ!AN106/Sheet4!$C103</f>
        <v>1</v>
      </c>
      <c r="AN103" s="43">
        <f>ዕቁብ!AO106/Sheet4!$C103</f>
        <v>1</v>
      </c>
      <c r="AO103" s="43">
        <f>ዕቁብ!AP106/Sheet4!$C103</f>
        <v>1</v>
      </c>
      <c r="AP103" s="43">
        <f>ዕቁብ!AQ106/Sheet4!$C103</f>
        <v>1</v>
      </c>
      <c r="AQ103" s="43">
        <f>ዕቁብ!AR106/Sheet4!$C103</f>
        <v>1</v>
      </c>
      <c r="AR103" s="43">
        <f>ዕቁብ!AS106/Sheet4!$C103</f>
        <v>1</v>
      </c>
      <c r="AS103" s="43">
        <f>ዕቁብ!AT106/Sheet4!$C103</f>
        <v>0</v>
      </c>
      <c r="AT103" s="43">
        <f>ዕቁብ!AU106/Sheet4!$C103</f>
        <v>0</v>
      </c>
      <c r="AU103" s="43">
        <f>ዕቁብ!AV106/Sheet4!$C103</f>
        <v>1</v>
      </c>
      <c r="AV103" s="43">
        <f>ዕቁብ!AW106/Sheet4!$C103</f>
        <v>0</v>
      </c>
      <c r="AW103" s="43">
        <f>ዕቁብ!AX106/Sheet4!$C103</f>
        <v>0</v>
      </c>
      <c r="AX103" s="43">
        <f>ዕቁብ!AY106/Sheet4!$C103</f>
        <v>0</v>
      </c>
      <c r="AY103" s="43">
        <f>ዕቁብ!AZ106/Sheet4!$C103</f>
        <v>0</v>
      </c>
      <c r="AZ103" s="43">
        <f>ዕቁብ!BA106/Sheet4!$C103</f>
        <v>1</v>
      </c>
      <c r="BA103" s="43">
        <f>ዕቁብ!BB106/Sheet4!$C103</f>
        <v>0</v>
      </c>
      <c r="BB103" s="43">
        <f>ዕቁብ!BC106/Sheet4!$C103</f>
        <v>0</v>
      </c>
      <c r="BC103" s="43">
        <f>ዕቁብ!BD106/Sheet4!$C103</f>
        <v>1</v>
      </c>
      <c r="BD103" s="43">
        <f>ዕቁብ!BE106/Sheet4!$C103</f>
        <v>1</v>
      </c>
      <c r="BE103" s="43">
        <f>ዕቁብ!BF106/Sheet4!$C103</f>
        <v>0</v>
      </c>
      <c r="BF103" s="43">
        <f>ዕቁብ!BG106/Sheet4!$C103</f>
        <v>1</v>
      </c>
      <c r="BG103" s="43">
        <f>ዕቁብ!BH106/Sheet4!$C103</f>
        <v>0</v>
      </c>
      <c r="BH103" s="43">
        <f>ዕቁብ!BI106/Sheet4!$C103</f>
        <v>0</v>
      </c>
      <c r="BI103" s="43">
        <f>ዕቁብ!BJ106/Sheet4!$C103</f>
        <v>0</v>
      </c>
      <c r="BJ103" s="43">
        <f>ዕቁብ!BK106/Sheet4!$C103</f>
        <v>0</v>
      </c>
      <c r="BK103" s="43">
        <f>ዕቁብ!BL106/Sheet4!$C103</f>
        <v>0</v>
      </c>
      <c r="BL103" s="43">
        <f>ዕቁብ!BM106/Sheet4!$C103</f>
        <v>1</v>
      </c>
      <c r="BM103" s="43">
        <f>ዕቁብ!BN106/Sheet4!$C103</f>
        <v>0</v>
      </c>
      <c r="BN103" s="43">
        <f>ዕቁብ!BO106/Sheet4!$C103</f>
        <v>0</v>
      </c>
      <c r="BO103" s="43">
        <f>ዕቁብ!BP106/Sheet4!$C103</f>
        <v>0</v>
      </c>
      <c r="BP103" s="43">
        <f>ዕቁብ!BQ106/Sheet4!$C103</f>
        <v>0</v>
      </c>
      <c r="BQ103" s="43">
        <f>ዕቁብ!BR106/Sheet4!$C103</f>
        <v>0</v>
      </c>
      <c r="BR103" s="43">
        <f>ዕቁብ!BS106/Sheet4!$C103</f>
        <v>0</v>
      </c>
      <c r="BS103" s="43">
        <f>ዕቁብ!BT106/Sheet4!$C103</f>
        <v>14</v>
      </c>
      <c r="BT103" s="43">
        <f>ዕቁብ!BU106/Sheet4!$C103</f>
        <v>0</v>
      </c>
      <c r="BU103" s="43">
        <f>ዕቁብ!BV106/Sheet4!$C103</f>
        <v>0</v>
      </c>
      <c r="BV103" s="43">
        <f>ዕቁብ!BW106/Sheet4!$C103</f>
        <v>0</v>
      </c>
      <c r="BW103" s="43">
        <f>ዕቁብ!BX106/Sheet4!$C103</f>
        <v>0</v>
      </c>
      <c r="BX103" s="43">
        <f>ዕቁብ!BY106/Sheet4!$C103</f>
        <v>4</v>
      </c>
      <c r="BY103" s="43">
        <f>ዕቁብ!BZ106/Sheet4!$C103</f>
        <v>0</v>
      </c>
      <c r="BZ103" s="43">
        <f>ዕቁብ!CA106/Sheet4!$C103</f>
        <v>1</v>
      </c>
      <c r="CA103" s="43">
        <f>ዕቁብ!CB106/Sheet4!$C103</f>
        <v>0</v>
      </c>
      <c r="CB103" s="43">
        <f>ዕቁብ!CC106/Sheet4!$C103</f>
        <v>0</v>
      </c>
      <c r="CC103" s="43">
        <f>ዕቁብ!CD106/Sheet4!$C103</f>
        <v>0</v>
      </c>
      <c r="CD103" s="43">
        <f>ዕቁብ!CE106/Sheet4!$C103</f>
        <v>0</v>
      </c>
      <c r="CE103" s="43">
        <f>ዕቁብ!CF106/Sheet4!$C103</f>
        <v>0</v>
      </c>
      <c r="CF103" s="43">
        <f>ዕቁብ!CG106/Sheet4!$C103</f>
        <v>0</v>
      </c>
      <c r="CG103" s="43">
        <f>ዕቁብ!CH106/Sheet4!$C103</f>
        <v>0</v>
      </c>
      <c r="CH103" s="43">
        <f>ዕቁብ!CI106/Sheet4!$C103</f>
        <v>0</v>
      </c>
      <c r="CI103" s="43">
        <f>ዕቁብ!CJ106/Sheet4!$C103</f>
        <v>0</v>
      </c>
      <c r="CJ103" s="43">
        <f>ዕቁብ!CK106/Sheet4!$C103</f>
        <v>0</v>
      </c>
      <c r="CK103" s="43">
        <f>ዕቁብ!CL106/Sheet4!$C103</f>
        <v>11</v>
      </c>
      <c r="CL103" s="43">
        <f>ዕቁብ!CM106/Sheet4!$C103</f>
        <v>3</v>
      </c>
      <c r="CM103" s="43">
        <f>ዕቁብ!CN106/Sheet4!$C103</f>
        <v>0</v>
      </c>
      <c r="CN103" s="43">
        <f>ዕቁብ!CO106/Sheet4!$C103</f>
        <v>0</v>
      </c>
      <c r="CO103" s="43">
        <f>ዕቁብ!CP106/Sheet4!$C103</f>
        <v>5</v>
      </c>
      <c r="CP103" s="43">
        <f>ዕቁብ!CQ106/Sheet4!$C103</f>
        <v>6</v>
      </c>
      <c r="CQ103" s="43">
        <f>ዕቁብ!CR106/Sheet4!$C103</f>
        <v>0</v>
      </c>
      <c r="CR103" s="43">
        <f>ዕቁብ!CS106/Sheet4!$C103</f>
        <v>0</v>
      </c>
      <c r="CS103" s="43">
        <f>ዕቁብ!CT106/Sheet4!$C103</f>
        <v>0</v>
      </c>
      <c r="CT103" s="43">
        <f>ዕቁብ!CU106/Sheet4!$C103</f>
        <v>0</v>
      </c>
      <c r="CU103" s="43">
        <f>ዕቁብ!CV106/Sheet4!$C103</f>
        <v>0</v>
      </c>
      <c r="CV103" s="43">
        <f>ዕቁብ!CW106/Sheet4!$C103</f>
        <v>0</v>
      </c>
      <c r="CW103" s="43">
        <f>ዕቁብ!CX106/Sheet4!$C103</f>
        <v>0</v>
      </c>
      <c r="CX103" s="43">
        <f>ዕቁብ!CY106/Sheet4!$C103</f>
        <v>0</v>
      </c>
      <c r="CY103" s="43">
        <f>ዕቁብ!CZ106/Sheet4!$C103</f>
        <v>0</v>
      </c>
      <c r="CZ103" s="43">
        <f>ዕቁብ!DA106/Sheet4!$C103</f>
        <v>0</v>
      </c>
      <c r="DA103" s="43">
        <f>ዕቁብ!DB106/Sheet4!$C103</f>
        <v>0</v>
      </c>
      <c r="DB103" s="43">
        <f>ዕቁብ!DC106/Sheet4!$C103</f>
        <v>0</v>
      </c>
      <c r="DC103" s="43">
        <f>ዕቁብ!DD106/Sheet4!$C103</f>
        <v>0</v>
      </c>
      <c r="DD103" s="43">
        <f>ዕቁብ!DE106/Sheet4!$C103</f>
        <v>0</v>
      </c>
      <c r="DE103" s="43">
        <f>ዕቁብ!DF106/Sheet4!$C103</f>
        <v>0</v>
      </c>
      <c r="DF103" s="43">
        <f>ዕቁብ!DG106/Sheet4!$C103</f>
        <v>0</v>
      </c>
      <c r="DG103" s="43">
        <f>ዕቁብ!DH106/Sheet4!$C103</f>
        <v>0</v>
      </c>
      <c r="DH103" s="43">
        <f>ዕቁብ!DI106/Sheet4!$C103</f>
        <v>0</v>
      </c>
      <c r="DI103" s="43">
        <f>ዕቁብ!DJ106/Sheet4!$C103</f>
        <v>0</v>
      </c>
      <c r="DJ103" s="43">
        <f>ዕቁብ!DK106/Sheet4!$C103</f>
        <v>0</v>
      </c>
      <c r="DK103" s="43">
        <f>ዕቁብ!DL106/Sheet4!$C103</f>
        <v>0</v>
      </c>
      <c r="DL103" s="43">
        <f>ዕቁብ!DM106/Sheet4!$C103</f>
        <v>0</v>
      </c>
      <c r="DM103" s="43">
        <f>ዕቁብ!DN106/Sheet4!$C103</f>
        <v>0</v>
      </c>
      <c r="DN103" s="43">
        <f>ዕቁብ!DO106/Sheet4!$C103</f>
        <v>0</v>
      </c>
      <c r="DO103" s="43">
        <f>ዕቁብ!DP106/Sheet4!$C103</f>
        <v>0</v>
      </c>
      <c r="DP103" s="43">
        <f>ዕቁብ!DQ106/Sheet4!$C103</f>
        <v>0</v>
      </c>
      <c r="DQ103" s="43">
        <f>ዕቁብ!DR106/Sheet4!$C103</f>
        <v>0</v>
      </c>
    </row>
    <row r="104" spans="1:121" ht="15.75" customHeight="1" x14ac:dyDescent="0.3">
      <c r="A104" s="40">
        <f>ዕቁብ!A107</f>
        <v>97</v>
      </c>
      <c r="B104" s="40" t="str">
        <f>ዕቁብ!B107</f>
        <v xml:space="preserve">እዮብ ደርቤ </v>
      </c>
      <c r="C104" s="30">
        <f>ዕቁብ!C107</f>
        <v>10500</v>
      </c>
      <c r="D104" s="43">
        <f>ዕቁብ!E107/Sheet4!$C104</f>
        <v>1</v>
      </c>
      <c r="E104" s="43">
        <f>ዕቁብ!F107/Sheet4!$C104</f>
        <v>1</v>
      </c>
      <c r="F104" s="43">
        <f>ዕቁብ!G107/Sheet4!$C104</f>
        <v>1</v>
      </c>
      <c r="G104" s="43">
        <f>ዕቁብ!H107/Sheet4!$C104</f>
        <v>1</v>
      </c>
      <c r="H104" s="43">
        <f>ዕቁብ!I107/Sheet4!$C104</f>
        <v>1</v>
      </c>
      <c r="I104" s="43">
        <f>ዕቁብ!J107/Sheet4!$C104</f>
        <v>1</v>
      </c>
      <c r="J104" s="43">
        <f>ዕቁብ!K107/Sheet4!$C104</f>
        <v>1</v>
      </c>
      <c r="K104" s="43">
        <f>ዕቁብ!L107/Sheet4!$C104</f>
        <v>1</v>
      </c>
      <c r="L104" s="43">
        <f>ዕቁብ!M107/Sheet4!$C104</f>
        <v>1</v>
      </c>
      <c r="M104" s="43">
        <f>ዕቁብ!N107/Sheet4!$C104</f>
        <v>1</v>
      </c>
      <c r="N104" s="43">
        <f>ዕቁብ!O107/Sheet4!$C104</f>
        <v>1</v>
      </c>
      <c r="O104" s="43">
        <f>ዕቁብ!P107/Sheet4!$C104</f>
        <v>1</v>
      </c>
      <c r="P104" s="43">
        <f>ዕቁብ!Q107/Sheet4!$C104</f>
        <v>1</v>
      </c>
      <c r="Q104" s="43">
        <f>ዕቁብ!R107/Sheet4!$C104</f>
        <v>1</v>
      </c>
      <c r="R104" s="43">
        <f>ዕቁብ!S107/Sheet4!$C104</f>
        <v>1</v>
      </c>
      <c r="S104" s="43">
        <f>ዕቁብ!T107/Sheet4!$C104</f>
        <v>1</v>
      </c>
      <c r="T104" s="43">
        <f>ዕቁብ!U107/Sheet4!$C104</f>
        <v>1</v>
      </c>
      <c r="U104" s="43">
        <f>ዕቁብ!V107/Sheet4!$C104</f>
        <v>1</v>
      </c>
      <c r="V104" s="43">
        <f>ዕቁብ!W107/Sheet4!$C104</f>
        <v>1</v>
      </c>
      <c r="W104" s="43">
        <f>ዕቁብ!X107/Sheet4!$C104</f>
        <v>1</v>
      </c>
      <c r="X104" s="43">
        <f>ዕቁብ!Y107/Sheet4!$C104</f>
        <v>1</v>
      </c>
      <c r="Y104" s="43">
        <f>ዕቁብ!Z107/Sheet4!$C104</f>
        <v>1</v>
      </c>
      <c r="Z104" s="43">
        <f>ዕቁብ!AA107/Sheet4!$C104</f>
        <v>1</v>
      </c>
      <c r="AA104" s="43">
        <f>ዕቁብ!AB107/Sheet4!$C104</f>
        <v>1</v>
      </c>
      <c r="AB104" s="43">
        <f>ዕቁብ!AC107/Sheet4!$C104</f>
        <v>1</v>
      </c>
      <c r="AC104" s="43">
        <f>ዕቁብ!AD107/Sheet4!$C104</f>
        <v>1</v>
      </c>
      <c r="AD104" s="43">
        <f>ዕቁብ!AE107/Sheet4!$C104</f>
        <v>1</v>
      </c>
      <c r="AE104" s="43">
        <f>ዕቁብ!AF107/Sheet4!$C104</f>
        <v>1</v>
      </c>
      <c r="AF104" s="43">
        <f>ዕቁብ!AG107/Sheet4!$C104</f>
        <v>1</v>
      </c>
      <c r="AG104" s="43">
        <f>ዕቁብ!AH107/Sheet4!$C104</f>
        <v>1</v>
      </c>
      <c r="AH104" s="43">
        <f>ዕቁብ!AI107/Sheet4!$C104</f>
        <v>1</v>
      </c>
      <c r="AI104" s="43">
        <f>ዕቁብ!AJ107/Sheet4!$C104</f>
        <v>1</v>
      </c>
      <c r="AJ104" s="43">
        <f>ዕቁብ!AK107/Sheet4!$C104</f>
        <v>1</v>
      </c>
      <c r="AK104" s="43">
        <f>ዕቁብ!AL107/Sheet4!$C104</f>
        <v>1</v>
      </c>
      <c r="AL104" s="43">
        <f>ዕቁብ!AM107/Sheet4!$C104</f>
        <v>1</v>
      </c>
      <c r="AM104" s="43">
        <f>ዕቁብ!AN107/Sheet4!$C104</f>
        <v>1</v>
      </c>
      <c r="AN104" s="43">
        <f>ዕቁብ!AO107/Sheet4!$C104</f>
        <v>1</v>
      </c>
      <c r="AO104" s="43">
        <f>ዕቁብ!AP107/Sheet4!$C104</f>
        <v>0</v>
      </c>
      <c r="AP104" s="43">
        <f>ዕቁብ!AQ107/Sheet4!$C104</f>
        <v>2</v>
      </c>
      <c r="AQ104" s="43">
        <f>ዕቁብ!AR107/Sheet4!$C104</f>
        <v>1</v>
      </c>
      <c r="AR104" s="43">
        <f>ዕቁብ!AS107/Sheet4!$C104</f>
        <v>1</v>
      </c>
      <c r="AS104" s="43">
        <f>ዕቁብ!AT107/Sheet4!$C104</f>
        <v>1</v>
      </c>
      <c r="AT104" s="43">
        <f>ዕቁብ!AU107/Sheet4!$C104</f>
        <v>1</v>
      </c>
      <c r="AU104" s="43">
        <f>ዕቁብ!AV107/Sheet4!$C104</f>
        <v>1</v>
      </c>
      <c r="AV104" s="43">
        <f>ዕቁብ!AW107/Sheet4!$C104</f>
        <v>1</v>
      </c>
      <c r="AW104" s="43">
        <f>ዕቁብ!AX107/Sheet4!$C104</f>
        <v>1</v>
      </c>
      <c r="AX104" s="43">
        <f>ዕቁብ!AY107/Sheet4!$C104</f>
        <v>1</v>
      </c>
      <c r="AY104" s="43">
        <f>ዕቁብ!AZ107/Sheet4!$C104</f>
        <v>1</v>
      </c>
      <c r="AZ104" s="43">
        <f>ዕቁብ!BA107/Sheet4!$C104</f>
        <v>1</v>
      </c>
      <c r="BA104" s="43">
        <f>ዕቁብ!BB107/Sheet4!$C104</f>
        <v>1</v>
      </c>
      <c r="BB104" s="43">
        <f>ዕቁብ!BC107/Sheet4!$C104</f>
        <v>1</v>
      </c>
      <c r="BC104" s="43">
        <f>ዕቁብ!BD107/Sheet4!$C104</f>
        <v>1</v>
      </c>
      <c r="BD104" s="43">
        <f>ዕቁብ!BE107/Sheet4!$C104</f>
        <v>1</v>
      </c>
      <c r="BE104" s="43">
        <f>ዕቁብ!BF107/Sheet4!$C104</f>
        <v>0</v>
      </c>
      <c r="BF104" s="43">
        <f>ዕቁብ!BG107/Sheet4!$C104</f>
        <v>2</v>
      </c>
      <c r="BG104" s="43">
        <f>ዕቁብ!BH107/Sheet4!$C104</f>
        <v>0</v>
      </c>
      <c r="BH104" s="43">
        <f>ዕቁብ!BI107/Sheet4!$C104</f>
        <v>1</v>
      </c>
      <c r="BI104" s="43">
        <f>ዕቁብ!BJ107/Sheet4!$C104</f>
        <v>2</v>
      </c>
      <c r="BJ104" s="43">
        <f>ዕቁብ!BK107/Sheet4!$C104</f>
        <v>1</v>
      </c>
      <c r="BK104" s="43">
        <f>ዕቁብ!BL107/Sheet4!$C104</f>
        <v>1</v>
      </c>
      <c r="BL104" s="43">
        <f>ዕቁብ!BM107/Sheet4!$C104</f>
        <v>1</v>
      </c>
      <c r="BM104" s="43">
        <f>ዕቁብ!BN107/Sheet4!$C104</f>
        <v>1</v>
      </c>
      <c r="BN104" s="43">
        <f>ዕቁብ!BO107/Sheet4!$C104</f>
        <v>1</v>
      </c>
      <c r="BO104" s="43">
        <f>ዕቁብ!BP107/Sheet4!$C104</f>
        <v>1</v>
      </c>
      <c r="BP104" s="43">
        <f>ዕቁብ!BQ107/Sheet4!$C104</f>
        <v>1</v>
      </c>
      <c r="BQ104" s="43">
        <f>ዕቁብ!BR107/Sheet4!$C104</f>
        <v>1</v>
      </c>
      <c r="BR104" s="43">
        <f>ዕቁብ!BS107/Sheet4!$C104</f>
        <v>1</v>
      </c>
      <c r="BS104" s="43">
        <f>ዕቁብ!BT107/Sheet4!$C104</f>
        <v>1</v>
      </c>
      <c r="BT104" s="43">
        <f>ዕቁብ!BU107/Sheet4!$C104</f>
        <v>1</v>
      </c>
      <c r="BU104" s="43">
        <f>ዕቁብ!BV107/Sheet4!$C104</f>
        <v>1</v>
      </c>
      <c r="BV104" s="43">
        <f>ዕቁብ!BW107/Sheet4!$C104</f>
        <v>0</v>
      </c>
      <c r="BW104" s="43">
        <f>ዕቁብ!BX107/Sheet4!$C104</f>
        <v>1</v>
      </c>
      <c r="BX104" s="43">
        <f>ዕቁብ!BY107/Sheet4!$C104</f>
        <v>1</v>
      </c>
      <c r="BY104" s="43">
        <f>ዕቁብ!BZ107/Sheet4!$C104</f>
        <v>1</v>
      </c>
      <c r="BZ104" s="43">
        <f>ዕቁብ!CA107/Sheet4!$C104</f>
        <v>1</v>
      </c>
      <c r="CA104" s="43">
        <f>ዕቁብ!CB107/Sheet4!$C104</f>
        <v>1</v>
      </c>
      <c r="CB104" s="43">
        <f>ዕቁብ!CC107/Sheet4!$C104</f>
        <v>1</v>
      </c>
      <c r="CC104" s="43">
        <f>ዕቁብ!CD107/Sheet4!$C104</f>
        <v>0</v>
      </c>
      <c r="CD104" s="43">
        <f>ዕቁብ!CE107/Sheet4!$C104</f>
        <v>1</v>
      </c>
      <c r="CE104" s="43">
        <f>ዕቁብ!CF107/Sheet4!$C104</f>
        <v>1</v>
      </c>
      <c r="CF104" s="43">
        <f>ዕቁብ!CG107/Sheet4!$C104</f>
        <v>1</v>
      </c>
      <c r="CG104" s="43">
        <f>ዕቁብ!CH107/Sheet4!$C104</f>
        <v>1</v>
      </c>
      <c r="CH104" s="43">
        <f>ዕቁብ!CI107/Sheet4!$C104</f>
        <v>1</v>
      </c>
      <c r="CI104" s="43">
        <f>ዕቁብ!CJ107/Sheet4!$C104</f>
        <v>0</v>
      </c>
      <c r="CJ104" s="43">
        <f>ዕቁብ!CK107/Sheet4!$C104</f>
        <v>1</v>
      </c>
      <c r="CK104" s="43">
        <f>ዕቁብ!CL107/Sheet4!$C104</f>
        <v>0</v>
      </c>
      <c r="CL104" s="43">
        <f>ዕቁብ!CM107/Sheet4!$C104</f>
        <v>4</v>
      </c>
      <c r="CM104" s="43">
        <f>ዕቁብ!CN107/Sheet4!$C104</f>
        <v>0</v>
      </c>
      <c r="CN104" s="43">
        <f>ዕቁብ!CO107/Sheet4!$C104</f>
        <v>0</v>
      </c>
      <c r="CO104" s="43">
        <f>ዕቁብ!CP107/Sheet4!$C104</f>
        <v>0</v>
      </c>
      <c r="CP104" s="43">
        <f>ዕቁብ!CQ107/Sheet4!$C104</f>
        <v>0</v>
      </c>
      <c r="CQ104" s="43">
        <f>ዕቁብ!CR107/Sheet4!$C104</f>
        <v>0</v>
      </c>
      <c r="CR104" s="43">
        <f>ዕቁብ!CS107/Sheet4!$C104</f>
        <v>3</v>
      </c>
      <c r="CS104" s="43">
        <f>ዕቁብ!CT107/Sheet4!$C104</f>
        <v>0</v>
      </c>
      <c r="CT104" s="43">
        <f>ዕቁብ!CU107/Sheet4!$C104</f>
        <v>0</v>
      </c>
      <c r="CU104" s="43">
        <f>ዕቁብ!CV107/Sheet4!$C104</f>
        <v>0</v>
      </c>
      <c r="CV104" s="43">
        <f>ዕቁብ!CW107/Sheet4!$C104</f>
        <v>0</v>
      </c>
      <c r="CW104" s="43">
        <f>ዕቁብ!CX107/Sheet4!$C104</f>
        <v>0</v>
      </c>
      <c r="CX104" s="43">
        <f>ዕቁብ!CY107/Sheet4!$C104</f>
        <v>0</v>
      </c>
      <c r="CY104" s="43">
        <f>ዕቁብ!CZ107/Sheet4!$C104</f>
        <v>0</v>
      </c>
      <c r="CZ104" s="43">
        <f>ዕቁብ!DA107/Sheet4!$C104</f>
        <v>0</v>
      </c>
      <c r="DA104" s="43">
        <f>ዕቁብ!DB107/Sheet4!$C104</f>
        <v>0</v>
      </c>
      <c r="DB104" s="43">
        <f>ዕቁብ!DC107/Sheet4!$C104</f>
        <v>0</v>
      </c>
      <c r="DC104" s="43">
        <f>ዕቁብ!DD107/Sheet4!$C104</f>
        <v>0</v>
      </c>
      <c r="DD104" s="43">
        <f>ዕቁብ!DE107/Sheet4!$C104</f>
        <v>0</v>
      </c>
      <c r="DE104" s="43">
        <f>ዕቁብ!DF107/Sheet4!$C104</f>
        <v>0</v>
      </c>
      <c r="DF104" s="43">
        <f>ዕቁብ!DG107/Sheet4!$C104</f>
        <v>0</v>
      </c>
      <c r="DG104" s="43">
        <f>ዕቁብ!DH107/Sheet4!$C104</f>
        <v>0</v>
      </c>
      <c r="DH104" s="43">
        <f>ዕቁብ!DI107/Sheet4!$C104</f>
        <v>0</v>
      </c>
      <c r="DI104" s="43">
        <f>ዕቁብ!DJ107/Sheet4!$C104</f>
        <v>0</v>
      </c>
      <c r="DJ104" s="43">
        <f>ዕቁብ!DK107/Sheet4!$C104</f>
        <v>0</v>
      </c>
      <c r="DK104" s="43">
        <f>ዕቁብ!DL107/Sheet4!$C104</f>
        <v>0</v>
      </c>
      <c r="DL104" s="43">
        <f>ዕቁብ!DM107/Sheet4!$C104</f>
        <v>0</v>
      </c>
      <c r="DM104" s="43">
        <f>ዕቁብ!DN107/Sheet4!$C104</f>
        <v>0</v>
      </c>
      <c r="DN104" s="43">
        <f>ዕቁብ!DO107/Sheet4!$C104</f>
        <v>0</v>
      </c>
      <c r="DO104" s="43">
        <f>ዕቁብ!DP107/Sheet4!$C104</f>
        <v>0</v>
      </c>
      <c r="DP104" s="43">
        <f>ዕቁብ!DQ107/Sheet4!$C104</f>
        <v>0</v>
      </c>
      <c r="DQ104" s="43">
        <f>ዕቁብ!DR107/Sheet4!$C104</f>
        <v>0</v>
      </c>
    </row>
    <row r="105" spans="1:121" ht="15.75" customHeight="1" x14ac:dyDescent="0.3">
      <c r="A105" s="40">
        <f>ዕቁብ!A108</f>
        <v>98</v>
      </c>
      <c r="B105" s="40" t="str">
        <f>ዕቁብ!B108</f>
        <v>ኢትዮጽያ አንዳርጌ</v>
      </c>
      <c r="C105" s="30">
        <f>ዕቁብ!C108</f>
        <v>10500</v>
      </c>
      <c r="D105" s="43">
        <f>ዕቁብ!E108/Sheet4!$C105</f>
        <v>1</v>
      </c>
      <c r="E105" s="43">
        <f>ዕቁብ!F108/Sheet4!$C105</f>
        <v>1</v>
      </c>
      <c r="F105" s="43">
        <f>ዕቁብ!G108/Sheet4!$C105</f>
        <v>1</v>
      </c>
      <c r="G105" s="43">
        <f>ዕቁብ!H108/Sheet4!$C105</f>
        <v>1</v>
      </c>
      <c r="H105" s="43">
        <f>ዕቁብ!I108/Sheet4!$C105</f>
        <v>1</v>
      </c>
      <c r="I105" s="43">
        <f>ዕቁብ!J108/Sheet4!$C105</f>
        <v>1</v>
      </c>
      <c r="J105" s="43">
        <f>ዕቁብ!K108/Sheet4!$C105</f>
        <v>1</v>
      </c>
      <c r="K105" s="43">
        <f>ዕቁብ!L108/Sheet4!$C105</f>
        <v>1</v>
      </c>
      <c r="L105" s="43">
        <f>ዕቁብ!M108/Sheet4!$C105</f>
        <v>1</v>
      </c>
      <c r="M105" s="43">
        <f>ዕቁብ!N108/Sheet4!$C105</f>
        <v>1</v>
      </c>
      <c r="N105" s="43">
        <f>ዕቁብ!O108/Sheet4!$C105</f>
        <v>1</v>
      </c>
      <c r="O105" s="43">
        <f>ዕቁብ!P108/Sheet4!$C105</f>
        <v>1</v>
      </c>
      <c r="P105" s="43">
        <f>ዕቁብ!Q108/Sheet4!$C105</f>
        <v>1</v>
      </c>
      <c r="Q105" s="43">
        <f>ዕቁብ!R108/Sheet4!$C105</f>
        <v>1</v>
      </c>
      <c r="R105" s="43">
        <f>ዕቁብ!S108/Sheet4!$C105</f>
        <v>1</v>
      </c>
      <c r="S105" s="43">
        <f>ዕቁብ!T108/Sheet4!$C105</f>
        <v>1</v>
      </c>
      <c r="T105" s="43">
        <f>ዕቁብ!U108/Sheet4!$C105</f>
        <v>1</v>
      </c>
      <c r="U105" s="43">
        <f>ዕቁብ!V108/Sheet4!$C105</f>
        <v>1</v>
      </c>
      <c r="V105" s="43">
        <f>ዕቁብ!W108/Sheet4!$C105</f>
        <v>1</v>
      </c>
      <c r="W105" s="43">
        <f>ዕቁብ!X108/Sheet4!$C105</f>
        <v>1</v>
      </c>
      <c r="X105" s="43">
        <f>ዕቁብ!Y108/Sheet4!$C105</f>
        <v>1</v>
      </c>
      <c r="Y105" s="43">
        <f>ዕቁብ!Z108/Sheet4!$C105</f>
        <v>1</v>
      </c>
      <c r="Z105" s="43">
        <f>ዕቁብ!AA108/Sheet4!$C105</f>
        <v>1</v>
      </c>
      <c r="AA105" s="43">
        <f>ዕቁብ!AB108/Sheet4!$C105</f>
        <v>1</v>
      </c>
      <c r="AB105" s="43">
        <f>ዕቁብ!AC108/Sheet4!$C105</f>
        <v>0</v>
      </c>
      <c r="AC105" s="43">
        <f>ዕቁብ!AD108/Sheet4!$C105</f>
        <v>2</v>
      </c>
      <c r="AD105" s="43">
        <f>ዕቁብ!AE108/Sheet4!$C105</f>
        <v>1</v>
      </c>
      <c r="AE105" s="43">
        <f>ዕቁብ!AF108/Sheet4!$C105</f>
        <v>1</v>
      </c>
      <c r="AF105" s="43">
        <f>ዕቁብ!AG108/Sheet4!$C105</f>
        <v>1</v>
      </c>
      <c r="AG105" s="43">
        <f>ዕቁብ!AH108/Sheet4!$C105</f>
        <v>0</v>
      </c>
      <c r="AH105" s="43">
        <f>ዕቁብ!AI108/Sheet4!$C105</f>
        <v>2</v>
      </c>
      <c r="AI105" s="43">
        <f>ዕቁብ!AJ108/Sheet4!$C105</f>
        <v>1</v>
      </c>
      <c r="AJ105" s="43">
        <f>ዕቁብ!AK108/Sheet4!$C105</f>
        <v>0</v>
      </c>
      <c r="AK105" s="43">
        <f>ዕቁብ!AL108/Sheet4!$C105</f>
        <v>2</v>
      </c>
      <c r="AL105" s="43">
        <f>ዕቁብ!AM108/Sheet4!$C105</f>
        <v>0</v>
      </c>
      <c r="AM105" s="43">
        <f>ዕቁብ!AN108/Sheet4!$C105</f>
        <v>1</v>
      </c>
      <c r="AN105" s="43">
        <f>ዕቁብ!AO108/Sheet4!$C105</f>
        <v>0</v>
      </c>
      <c r="AO105" s="43">
        <f>ዕቁብ!AP108/Sheet4!$C105</f>
        <v>1</v>
      </c>
      <c r="AP105" s="43">
        <f>ዕቁብ!AQ108/Sheet4!$C105</f>
        <v>3</v>
      </c>
      <c r="AQ105" s="43">
        <f>ዕቁብ!AR108/Sheet4!$C105</f>
        <v>1</v>
      </c>
      <c r="AR105" s="43">
        <f>ዕቁብ!AS108/Sheet4!$C105</f>
        <v>1</v>
      </c>
      <c r="AS105" s="43">
        <f>ዕቁብ!AT108/Sheet4!$C105</f>
        <v>1</v>
      </c>
      <c r="AT105" s="43">
        <f>ዕቁብ!AU108/Sheet4!$C105</f>
        <v>1</v>
      </c>
      <c r="AU105" s="43">
        <f>ዕቁብ!AV108/Sheet4!$C105</f>
        <v>0</v>
      </c>
      <c r="AV105" s="43">
        <f>ዕቁብ!AW108/Sheet4!$C105</f>
        <v>2</v>
      </c>
      <c r="AW105" s="43">
        <f>ዕቁብ!AX108/Sheet4!$C105</f>
        <v>1</v>
      </c>
      <c r="AX105" s="43">
        <f>ዕቁብ!AY108/Sheet4!$C105</f>
        <v>1</v>
      </c>
      <c r="AY105" s="43">
        <f>ዕቁብ!AZ108/Sheet4!$C105</f>
        <v>1</v>
      </c>
      <c r="AZ105" s="43">
        <f>ዕቁብ!BA108/Sheet4!$C105</f>
        <v>0</v>
      </c>
      <c r="BA105" s="43">
        <f>ዕቁብ!BB108/Sheet4!$C105</f>
        <v>2</v>
      </c>
      <c r="BB105" s="43">
        <f>ዕቁብ!BC108/Sheet4!$C105</f>
        <v>1</v>
      </c>
      <c r="BC105" s="43">
        <f>ዕቁብ!BD108/Sheet4!$C105</f>
        <v>1</v>
      </c>
      <c r="BD105" s="43">
        <f>ዕቁብ!BE108/Sheet4!$C105</f>
        <v>0</v>
      </c>
      <c r="BE105" s="43">
        <f>ዕቁብ!BF108/Sheet4!$C105</f>
        <v>2</v>
      </c>
      <c r="BF105" s="43">
        <f>ዕቁብ!BG108/Sheet4!$C105</f>
        <v>1</v>
      </c>
      <c r="BG105" s="43">
        <f>ዕቁብ!BH108/Sheet4!$C105</f>
        <v>1</v>
      </c>
      <c r="BH105" s="43">
        <f>ዕቁብ!BI108/Sheet4!$C105</f>
        <v>1</v>
      </c>
      <c r="BI105" s="43">
        <f>ዕቁብ!BJ108/Sheet4!$C105</f>
        <v>1</v>
      </c>
      <c r="BJ105" s="43">
        <f>ዕቁብ!BK108/Sheet4!$C105</f>
        <v>1</v>
      </c>
      <c r="BK105" s="43">
        <f>ዕቁብ!BL108/Sheet4!$C105</f>
        <v>1</v>
      </c>
      <c r="BL105" s="43">
        <f>ዕቁብ!BM108/Sheet4!$C105</f>
        <v>1</v>
      </c>
      <c r="BM105" s="43">
        <f>ዕቁብ!BN108/Sheet4!$C105</f>
        <v>0</v>
      </c>
      <c r="BN105" s="43">
        <f>ዕቁብ!BO108/Sheet4!$C105</f>
        <v>1</v>
      </c>
      <c r="BO105" s="43">
        <f>ዕቁብ!BP108/Sheet4!$C105</f>
        <v>0</v>
      </c>
      <c r="BP105" s="43">
        <f>ዕቁብ!BQ108/Sheet4!$C105</f>
        <v>2</v>
      </c>
      <c r="BQ105" s="43">
        <f>ዕቁብ!BR108/Sheet4!$C105</f>
        <v>1</v>
      </c>
      <c r="BR105" s="43">
        <f>ዕቁብ!BS108/Sheet4!$C105</f>
        <v>0</v>
      </c>
      <c r="BS105" s="43">
        <f>ዕቁብ!BT108/Sheet4!$C105</f>
        <v>2</v>
      </c>
      <c r="BT105" s="43">
        <f>ዕቁብ!BU108/Sheet4!$C105</f>
        <v>1</v>
      </c>
      <c r="BU105" s="43">
        <f>ዕቁብ!BV108/Sheet4!$C105</f>
        <v>1</v>
      </c>
      <c r="BV105" s="43">
        <f>ዕቁብ!BW108/Sheet4!$C105</f>
        <v>0</v>
      </c>
      <c r="BW105" s="43">
        <f>ዕቁብ!BX108/Sheet4!$C105</f>
        <v>2</v>
      </c>
      <c r="BX105" s="43">
        <f>ዕቁብ!BY108/Sheet4!$C105</f>
        <v>0</v>
      </c>
      <c r="BY105" s="43">
        <f>ዕቁብ!BZ108/Sheet4!$C105</f>
        <v>2</v>
      </c>
      <c r="BZ105" s="43">
        <f>ዕቁብ!CA108/Sheet4!$C105</f>
        <v>1</v>
      </c>
      <c r="CA105" s="43">
        <f>ዕቁብ!CB108/Sheet4!$C105</f>
        <v>0</v>
      </c>
      <c r="CB105" s="43">
        <f>ዕቁብ!CC108/Sheet4!$C105</f>
        <v>0</v>
      </c>
      <c r="CC105" s="43">
        <f>ዕቁብ!CD108/Sheet4!$C105</f>
        <v>2</v>
      </c>
      <c r="CD105" s="43">
        <f>ዕቁብ!CE108/Sheet4!$C105</f>
        <v>0</v>
      </c>
      <c r="CE105" s="43">
        <f>ዕቁብ!CF108/Sheet4!$C105</f>
        <v>2</v>
      </c>
      <c r="CF105" s="43">
        <f>ዕቁብ!CG108/Sheet4!$C105</f>
        <v>1</v>
      </c>
      <c r="CG105" s="43">
        <f>ዕቁብ!CH108/Sheet4!$C105</f>
        <v>1</v>
      </c>
      <c r="CH105" s="43">
        <f>ዕቁብ!CI108/Sheet4!$C105</f>
        <v>3</v>
      </c>
      <c r="CI105" s="43">
        <f>ዕቁብ!CJ108/Sheet4!$C105</f>
        <v>0</v>
      </c>
      <c r="CJ105" s="43">
        <f>ዕቁብ!CK108/Sheet4!$C105</f>
        <v>2</v>
      </c>
      <c r="CK105" s="43">
        <f>ዕቁብ!CL108/Sheet4!$C105</f>
        <v>0</v>
      </c>
      <c r="CL105" s="43">
        <f>ዕቁብ!CM108/Sheet4!$C105</f>
        <v>0</v>
      </c>
      <c r="CM105" s="43">
        <f>ዕቁብ!CN108/Sheet4!$C105</f>
        <v>3</v>
      </c>
      <c r="CN105" s="43">
        <f>ዕቁብ!CO108/Sheet4!$C105</f>
        <v>0</v>
      </c>
      <c r="CO105" s="43">
        <f>ዕቁብ!CP108/Sheet4!$C105</f>
        <v>0</v>
      </c>
      <c r="CP105" s="43">
        <f>ዕቁብ!CQ108/Sheet4!$C105</f>
        <v>3</v>
      </c>
      <c r="CQ105" s="43">
        <f>ዕቁብ!CR108/Sheet4!$C105</f>
        <v>0</v>
      </c>
      <c r="CR105" s="43">
        <f>ዕቁብ!CS108/Sheet4!$C105</f>
        <v>0</v>
      </c>
      <c r="CS105" s="43">
        <f>ዕቁብ!CT108/Sheet4!$C105</f>
        <v>2</v>
      </c>
      <c r="CT105" s="43">
        <f>ዕቁብ!CU108/Sheet4!$C105</f>
        <v>0</v>
      </c>
      <c r="CU105" s="43">
        <f>ዕቁብ!CV108/Sheet4!$C105</f>
        <v>0</v>
      </c>
      <c r="CV105" s="43">
        <f>ዕቁብ!CW108/Sheet4!$C105</f>
        <v>2</v>
      </c>
      <c r="CW105" s="43">
        <f>ዕቁብ!CX108/Sheet4!$C105</f>
        <v>1</v>
      </c>
      <c r="CX105" s="43">
        <f>ዕቁብ!CY108/Sheet4!$C105</f>
        <v>1</v>
      </c>
      <c r="CY105" s="43">
        <f>ዕቁብ!CZ108/Sheet4!$C105</f>
        <v>0</v>
      </c>
      <c r="CZ105" s="43">
        <f>ዕቁብ!DA108/Sheet4!$C105</f>
        <v>2</v>
      </c>
      <c r="DA105" s="43">
        <f>ዕቁብ!DB108/Sheet4!$C105</f>
        <v>0</v>
      </c>
      <c r="DB105" s="43">
        <f>ዕቁብ!DC108/Sheet4!$C105</f>
        <v>1</v>
      </c>
      <c r="DC105" s="43">
        <f>ዕቁብ!DD108/Sheet4!$C105</f>
        <v>1</v>
      </c>
      <c r="DD105" s="43">
        <f>ዕቁብ!DE108/Sheet4!$C105</f>
        <v>1</v>
      </c>
      <c r="DE105" s="43">
        <f>ዕቁብ!DF108/Sheet4!$C105</f>
        <v>0</v>
      </c>
      <c r="DF105" s="43">
        <f>ዕቁብ!DG108/Sheet4!$C105</f>
        <v>0</v>
      </c>
      <c r="DG105" s="43">
        <f>ዕቁብ!DH108/Sheet4!$C105</f>
        <v>0</v>
      </c>
      <c r="DH105" s="43">
        <f>ዕቁብ!DI108/Sheet4!$C105</f>
        <v>0</v>
      </c>
      <c r="DI105" s="43">
        <f>ዕቁብ!DJ108/Sheet4!$C105</f>
        <v>0</v>
      </c>
      <c r="DJ105" s="43">
        <f>ዕቁብ!DK108/Sheet4!$C105</f>
        <v>0</v>
      </c>
      <c r="DK105" s="43">
        <f>ዕቁብ!DL108/Sheet4!$C105</f>
        <v>0</v>
      </c>
      <c r="DL105" s="43">
        <f>ዕቁብ!DM108/Sheet4!$C105</f>
        <v>0</v>
      </c>
      <c r="DM105" s="43">
        <f>ዕቁብ!DN108/Sheet4!$C105</f>
        <v>0</v>
      </c>
      <c r="DN105" s="43">
        <f>ዕቁብ!DO108/Sheet4!$C105</f>
        <v>0</v>
      </c>
      <c r="DO105" s="43">
        <f>ዕቁብ!DP108/Sheet4!$C105</f>
        <v>0</v>
      </c>
      <c r="DP105" s="43">
        <f>ዕቁብ!DQ108/Sheet4!$C105</f>
        <v>0</v>
      </c>
      <c r="DQ105" s="43">
        <f>ዕቁብ!DR108/Sheet4!$C105</f>
        <v>0</v>
      </c>
    </row>
    <row r="106" spans="1:121" ht="15.75" customHeight="1" x14ac:dyDescent="0.3">
      <c r="A106" s="40">
        <f>ዕቁብ!A109</f>
        <v>98</v>
      </c>
      <c r="B106" s="40" t="str">
        <f>ዕቁብ!B109</f>
        <v xml:space="preserve">ፀጋዬ ቡጤ </v>
      </c>
      <c r="C106" s="30">
        <f>ዕቁብ!C109</f>
        <v>10500</v>
      </c>
      <c r="D106" s="43">
        <f>ዕቁብ!E109/Sheet4!$C106</f>
        <v>1</v>
      </c>
      <c r="E106" s="43">
        <f>ዕቁብ!F109/Sheet4!$C106</f>
        <v>1</v>
      </c>
      <c r="F106" s="43">
        <f>ዕቁብ!G109/Sheet4!$C106</f>
        <v>1</v>
      </c>
      <c r="G106" s="43">
        <f>ዕቁብ!H109/Sheet4!$C106</f>
        <v>1</v>
      </c>
      <c r="H106" s="43">
        <f>ዕቁብ!I109/Sheet4!$C106</f>
        <v>1</v>
      </c>
      <c r="I106" s="43">
        <f>ዕቁብ!J109/Sheet4!$C106</f>
        <v>1</v>
      </c>
      <c r="J106" s="43">
        <f>ዕቁብ!K109/Sheet4!$C106</f>
        <v>1</v>
      </c>
      <c r="K106" s="43">
        <f>ዕቁብ!L109/Sheet4!$C106</f>
        <v>1</v>
      </c>
      <c r="L106" s="43">
        <f>ዕቁብ!M109/Sheet4!$C106</f>
        <v>1</v>
      </c>
      <c r="M106" s="43">
        <f>ዕቁብ!N109/Sheet4!$C106</f>
        <v>1</v>
      </c>
      <c r="N106" s="43">
        <f>ዕቁብ!O109/Sheet4!$C106</f>
        <v>1</v>
      </c>
      <c r="O106" s="43">
        <f>ዕቁብ!P109/Sheet4!$C106</f>
        <v>1</v>
      </c>
      <c r="P106" s="43">
        <f>ዕቁብ!Q109/Sheet4!$C106</f>
        <v>1</v>
      </c>
      <c r="Q106" s="43">
        <f>ዕቁብ!R109/Sheet4!$C106</f>
        <v>1</v>
      </c>
      <c r="R106" s="43">
        <f>ዕቁብ!S109/Sheet4!$C106</f>
        <v>1</v>
      </c>
      <c r="S106" s="43">
        <f>ዕቁብ!T109/Sheet4!$C106</f>
        <v>1</v>
      </c>
      <c r="T106" s="43">
        <f>ዕቁብ!U109/Sheet4!$C106</f>
        <v>1</v>
      </c>
      <c r="U106" s="43">
        <f>ዕቁብ!V109/Sheet4!$C106</f>
        <v>1</v>
      </c>
      <c r="V106" s="43">
        <f>ዕቁብ!W109/Sheet4!$C106</f>
        <v>1</v>
      </c>
      <c r="W106" s="43">
        <f>ዕቁብ!X109/Sheet4!$C106</f>
        <v>1</v>
      </c>
      <c r="X106" s="43">
        <f>ዕቁብ!Y109/Sheet4!$C106</f>
        <v>1</v>
      </c>
      <c r="Y106" s="43">
        <f>ዕቁብ!Z109/Sheet4!$C106</f>
        <v>1</v>
      </c>
      <c r="Z106" s="43">
        <f>ዕቁብ!AA109/Sheet4!$C106</f>
        <v>1</v>
      </c>
      <c r="AA106" s="43">
        <f>ዕቁብ!AB109/Sheet4!$C106</f>
        <v>1</v>
      </c>
      <c r="AB106" s="43">
        <f>ዕቁብ!AC109/Sheet4!$C106</f>
        <v>1</v>
      </c>
      <c r="AC106" s="43">
        <f>ዕቁብ!AD109/Sheet4!$C106</f>
        <v>1</v>
      </c>
      <c r="AD106" s="43">
        <f>ዕቁብ!AE109/Sheet4!$C106</f>
        <v>1</v>
      </c>
      <c r="AE106" s="43">
        <f>ዕቁብ!AF109/Sheet4!$C106</f>
        <v>1</v>
      </c>
      <c r="AF106" s="43">
        <f>ዕቁብ!AG109/Sheet4!$C106</f>
        <v>1</v>
      </c>
      <c r="AG106" s="43">
        <f>ዕቁብ!AH109/Sheet4!$C106</f>
        <v>1</v>
      </c>
      <c r="AH106" s="43">
        <f>ዕቁብ!AI109/Sheet4!$C106</f>
        <v>1</v>
      </c>
      <c r="AI106" s="43">
        <f>ዕቁብ!AJ109/Sheet4!$C106</f>
        <v>1</v>
      </c>
      <c r="AJ106" s="43">
        <f>ዕቁብ!AK109/Sheet4!$C106</f>
        <v>1</v>
      </c>
      <c r="AK106" s="43">
        <f>ዕቁብ!AL109/Sheet4!$C106</f>
        <v>1</v>
      </c>
      <c r="AL106" s="43">
        <f>ዕቁብ!AM109/Sheet4!$C106</f>
        <v>1</v>
      </c>
      <c r="AM106" s="43">
        <f>ዕቁብ!AN109/Sheet4!$C106</f>
        <v>1</v>
      </c>
      <c r="AN106" s="43">
        <f>ዕቁብ!AO109/Sheet4!$C106</f>
        <v>1</v>
      </c>
      <c r="AO106" s="43">
        <f>ዕቁብ!AP109/Sheet4!$C106</f>
        <v>1</v>
      </c>
      <c r="AP106" s="43">
        <f>ዕቁብ!AQ109/Sheet4!$C106</f>
        <v>1</v>
      </c>
      <c r="AQ106" s="43">
        <f>ዕቁብ!AR109/Sheet4!$C106</f>
        <v>1</v>
      </c>
      <c r="AR106" s="43">
        <f>ዕቁብ!AS109/Sheet4!$C106</f>
        <v>1</v>
      </c>
      <c r="AS106" s="43">
        <f>ዕቁብ!AT109/Sheet4!$C106</f>
        <v>1</v>
      </c>
      <c r="AT106" s="43">
        <f>ዕቁብ!AU109/Sheet4!$C106</f>
        <v>1</v>
      </c>
      <c r="AU106" s="43">
        <f>ዕቁብ!AV109/Sheet4!$C106</f>
        <v>1</v>
      </c>
      <c r="AV106" s="43">
        <f>ዕቁብ!AW109/Sheet4!$C106</f>
        <v>1</v>
      </c>
      <c r="AW106" s="43">
        <f>ዕቁብ!AX109/Sheet4!$C106</f>
        <v>1</v>
      </c>
      <c r="AX106" s="43">
        <f>ዕቁብ!AY109/Sheet4!$C106</f>
        <v>1</v>
      </c>
      <c r="AY106" s="43">
        <f>ዕቁብ!AZ109/Sheet4!$C106</f>
        <v>1</v>
      </c>
      <c r="AZ106" s="43">
        <f>ዕቁብ!BA109/Sheet4!$C106</f>
        <v>1</v>
      </c>
      <c r="BA106" s="43">
        <f>ዕቁብ!BB109/Sheet4!$C106</f>
        <v>1</v>
      </c>
      <c r="BB106" s="43">
        <f>ዕቁብ!BC109/Sheet4!$C106</f>
        <v>1</v>
      </c>
      <c r="BC106" s="43">
        <f>ዕቁብ!BD109/Sheet4!$C106</f>
        <v>1</v>
      </c>
      <c r="BD106" s="43">
        <f>ዕቁብ!BE109/Sheet4!$C106</f>
        <v>1</v>
      </c>
      <c r="BE106" s="43">
        <f>ዕቁብ!BF109/Sheet4!$C106</f>
        <v>1</v>
      </c>
      <c r="BF106" s="43">
        <f>ዕቁብ!BG109/Sheet4!$C106</f>
        <v>1</v>
      </c>
      <c r="BG106" s="43">
        <f>ዕቁብ!BH109/Sheet4!$C106</f>
        <v>1</v>
      </c>
      <c r="BH106" s="43">
        <f>ዕቁብ!BI109/Sheet4!$C106</f>
        <v>1</v>
      </c>
      <c r="BI106" s="43">
        <f>ዕቁብ!BJ109/Sheet4!$C106</f>
        <v>1</v>
      </c>
      <c r="BJ106" s="43">
        <f>ዕቁብ!BK109/Sheet4!$C106</f>
        <v>1</v>
      </c>
      <c r="BK106" s="43">
        <f>ዕቁብ!BL109/Sheet4!$C106</f>
        <v>1</v>
      </c>
      <c r="BL106" s="43">
        <f>ዕቁብ!BM109/Sheet4!$C106</f>
        <v>1</v>
      </c>
      <c r="BM106" s="43">
        <f>ዕቁብ!BN109/Sheet4!$C106</f>
        <v>0</v>
      </c>
      <c r="BN106" s="43">
        <f>ዕቁብ!BO109/Sheet4!$C106</f>
        <v>2</v>
      </c>
      <c r="BO106" s="43">
        <f>ዕቁብ!BP109/Sheet4!$C106</f>
        <v>1</v>
      </c>
      <c r="BP106" s="43">
        <f>ዕቁብ!BQ109/Sheet4!$C106</f>
        <v>1</v>
      </c>
      <c r="BQ106" s="43">
        <f>ዕቁብ!BR109/Sheet4!$C106</f>
        <v>0</v>
      </c>
      <c r="BR106" s="43">
        <f>ዕቁብ!BS109/Sheet4!$C106</f>
        <v>2</v>
      </c>
      <c r="BS106" s="43">
        <f>ዕቁብ!BT109/Sheet4!$C106</f>
        <v>1</v>
      </c>
      <c r="BT106" s="43">
        <f>ዕቁብ!BU109/Sheet4!$C106</f>
        <v>1</v>
      </c>
      <c r="BU106" s="43">
        <f>ዕቁብ!BV109/Sheet4!$C106</f>
        <v>1</v>
      </c>
      <c r="BV106" s="43">
        <f>ዕቁብ!BW109/Sheet4!$C106</f>
        <v>0</v>
      </c>
      <c r="BW106" s="43">
        <f>ዕቁብ!BX109/Sheet4!$C106</f>
        <v>2</v>
      </c>
      <c r="BX106" s="43">
        <f>ዕቁብ!BY109/Sheet4!$C106</f>
        <v>1</v>
      </c>
      <c r="BY106" s="43">
        <f>ዕቁብ!BZ109/Sheet4!$C106</f>
        <v>1</v>
      </c>
      <c r="BZ106" s="43">
        <f>ዕቁብ!CA109/Sheet4!$C106</f>
        <v>1</v>
      </c>
      <c r="CA106" s="43">
        <f>ዕቁብ!CB109/Sheet4!$C106</f>
        <v>1</v>
      </c>
      <c r="CB106" s="43">
        <f>ዕቁብ!CC109/Sheet4!$C106</f>
        <v>1</v>
      </c>
      <c r="CC106" s="43">
        <f>ዕቁብ!CD109/Sheet4!$C106</f>
        <v>0</v>
      </c>
      <c r="CD106" s="43">
        <f>ዕቁብ!CE109/Sheet4!$C106</f>
        <v>0</v>
      </c>
      <c r="CE106" s="43">
        <f>ዕቁብ!CF109/Sheet4!$C106</f>
        <v>2</v>
      </c>
      <c r="CF106" s="43">
        <f>ዕቁብ!CG109/Sheet4!$C106</f>
        <v>1</v>
      </c>
      <c r="CG106" s="43">
        <f>ዕቁብ!CH109/Sheet4!$C106</f>
        <v>1</v>
      </c>
      <c r="CH106" s="43">
        <f>ዕቁብ!CI109/Sheet4!$C106</f>
        <v>1</v>
      </c>
      <c r="CI106" s="43">
        <f>ዕቁብ!CJ109/Sheet4!$C106</f>
        <v>2</v>
      </c>
      <c r="CJ106" s="43">
        <f>ዕቁብ!CK109/Sheet4!$C106</f>
        <v>1</v>
      </c>
      <c r="CK106" s="43">
        <f>ዕቁብ!CL109/Sheet4!$C106</f>
        <v>1</v>
      </c>
      <c r="CL106" s="43">
        <f>ዕቁብ!CM109/Sheet4!$C106</f>
        <v>0</v>
      </c>
      <c r="CM106" s="43">
        <f>ዕቁብ!CN109/Sheet4!$C106</f>
        <v>1</v>
      </c>
      <c r="CN106" s="43">
        <f>ዕቁብ!CO109/Sheet4!$C106</f>
        <v>1</v>
      </c>
      <c r="CO106" s="43">
        <f>ዕቁብ!CP109/Sheet4!$C106</f>
        <v>1</v>
      </c>
      <c r="CP106" s="43">
        <f>ዕቁብ!CQ109/Sheet4!$C106</f>
        <v>0</v>
      </c>
      <c r="CQ106" s="43">
        <f>ዕቁብ!CR109/Sheet4!$C106</f>
        <v>2</v>
      </c>
      <c r="CR106" s="43">
        <f>ዕቁብ!CS109/Sheet4!$C106</f>
        <v>1</v>
      </c>
      <c r="CS106" s="43">
        <f>ዕቁብ!CT109/Sheet4!$C106</f>
        <v>0</v>
      </c>
      <c r="CT106" s="43">
        <f>ዕቁብ!CU109/Sheet4!$C106</f>
        <v>2</v>
      </c>
      <c r="CU106" s="43">
        <f>ዕቁብ!CV109/Sheet4!$C106</f>
        <v>0</v>
      </c>
      <c r="CV106" s="43">
        <f>ዕቁብ!CW109/Sheet4!$C106</f>
        <v>2</v>
      </c>
      <c r="CW106" s="43">
        <f>ዕቁብ!CX109/Sheet4!$C106</f>
        <v>0</v>
      </c>
      <c r="CX106" s="43">
        <f>ዕቁብ!CY109/Sheet4!$C106</f>
        <v>2</v>
      </c>
      <c r="CY106" s="43">
        <f>ዕቁብ!CZ109/Sheet4!$C106</f>
        <v>0</v>
      </c>
      <c r="CZ106" s="43">
        <f>ዕቁብ!DA109/Sheet4!$C106</f>
        <v>2</v>
      </c>
      <c r="DA106" s="43">
        <f>ዕቁብ!DB109/Sheet4!$C106</f>
        <v>0</v>
      </c>
      <c r="DB106" s="43">
        <f>ዕቁብ!DC109/Sheet4!$C106</f>
        <v>0</v>
      </c>
      <c r="DC106" s="43">
        <f>ዕቁብ!DD109/Sheet4!$C106</f>
        <v>2</v>
      </c>
      <c r="DD106" s="43">
        <f>ዕቁብ!DE109/Sheet4!$C106</f>
        <v>0</v>
      </c>
      <c r="DE106" s="43">
        <f>ዕቁብ!DF109/Sheet4!$C106</f>
        <v>0</v>
      </c>
      <c r="DF106" s="43">
        <f>ዕቁብ!DG109/Sheet4!$C106</f>
        <v>3</v>
      </c>
      <c r="DG106" s="43">
        <f>ዕቁብ!DH109/Sheet4!$C106</f>
        <v>0</v>
      </c>
      <c r="DH106" s="43">
        <f>ዕቁብ!DI109/Sheet4!$C106</f>
        <v>0</v>
      </c>
      <c r="DI106" s="43">
        <f>ዕቁብ!DJ109/Sheet4!$C106</f>
        <v>0</v>
      </c>
      <c r="DJ106" s="43">
        <f>ዕቁብ!DK109/Sheet4!$C106</f>
        <v>0</v>
      </c>
      <c r="DK106" s="43">
        <f>ዕቁብ!DL109/Sheet4!$C106</f>
        <v>0</v>
      </c>
      <c r="DL106" s="43">
        <f>ዕቁብ!DM109/Sheet4!$C106</f>
        <v>0</v>
      </c>
      <c r="DM106" s="43">
        <f>ዕቁብ!DN109/Sheet4!$C106</f>
        <v>0</v>
      </c>
      <c r="DN106" s="43">
        <f>ዕቁብ!DO109/Sheet4!$C106</f>
        <v>0</v>
      </c>
      <c r="DO106" s="43">
        <f>ዕቁብ!DP109/Sheet4!$C106</f>
        <v>0</v>
      </c>
      <c r="DP106" s="43">
        <f>ዕቁብ!DQ109/Sheet4!$C106</f>
        <v>0</v>
      </c>
      <c r="DQ106" s="43">
        <f>ዕቁብ!DR109/Sheet4!$C106</f>
        <v>0</v>
      </c>
    </row>
    <row r="107" spans="1:121" ht="15.75" customHeight="1" x14ac:dyDescent="0.3">
      <c r="A107" s="40">
        <f>ዕቁብ!A110</f>
        <v>99</v>
      </c>
      <c r="B107" s="40" t="str">
        <f>ዕቁብ!B110</f>
        <v>መኮንን ሰኬሎ</v>
      </c>
      <c r="C107" s="30">
        <f>ዕቁብ!C110</f>
        <v>10500</v>
      </c>
      <c r="D107" s="43">
        <f>ዕቁብ!E110/Sheet4!$C107</f>
        <v>1</v>
      </c>
      <c r="E107" s="43">
        <f>ዕቁብ!F110/Sheet4!$C107</f>
        <v>1</v>
      </c>
      <c r="F107" s="43">
        <f>ዕቁብ!G110/Sheet4!$C107</f>
        <v>1</v>
      </c>
      <c r="G107" s="43">
        <f>ዕቁብ!H110/Sheet4!$C107</f>
        <v>1</v>
      </c>
      <c r="H107" s="43">
        <f>ዕቁብ!I110/Sheet4!$C107</f>
        <v>1</v>
      </c>
      <c r="I107" s="43">
        <f>ዕቁብ!J110/Sheet4!$C107</f>
        <v>1</v>
      </c>
      <c r="J107" s="43">
        <f>ዕቁብ!K110/Sheet4!$C107</f>
        <v>1</v>
      </c>
      <c r="K107" s="43">
        <f>ዕቁብ!L110/Sheet4!$C107</f>
        <v>1</v>
      </c>
      <c r="L107" s="43">
        <f>ዕቁብ!M110/Sheet4!$C107</f>
        <v>1</v>
      </c>
      <c r="M107" s="43">
        <f>ዕቁብ!N110/Sheet4!$C107</f>
        <v>1</v>
      </c>
      <c r="N107" s="43">
        <f>ዕቁብ!O110/Sheet4!$C107</f>
        <v>1</v>
      </c>
      <c r="O107" s="43">
        <f>ዕቁብ!P110/Sheet4!$C107</f>
        <v>1</v>
      </c>
      <c r="P107" s="43">
        <f>ዕቁብ!Q110/Sheet4!$C107</f>
        <v>1</v>
      </c>
      <c r="Q107" s="43">
        <f>ዕቁብ!R110/Sheet4!$C107</f>
        <v>1</v>
      </c>
      <c r="R107" s="43">
        <f>ዕቁብ!S110/Sheet4!$C107</f>
        <v>1</v>
      </c>
      <c r="S107" s="43">
        <f>ዕቁብ!T110/Sheet4!$C107</f>
        <v>1</v>
      </c>
      <c r="T107" s="43">
        <f>ዕቁብ!U110/Sheet4!$C107</f>
        <v>1</v>
      </c>
      <c r="U107" s="43">
        <f>ዕቁብ!V110/Sheet4!$C107</f>
        <v>1</v>
      </c>
      <c r="V107" s="43">
        <f>ዕቁብ!W110/Sheet4!$C107</f>
        <v>1</v>
      </c>
      <c r="W107" s="43">
        <f>ዕቁብ!X110/Sheet4!$C107</f>
        <v>1</v>
      </c>
      <c r="X107" s="43">
        <f>ዕቁብ!Y110/Sheet4!$C107</f>
        <v>1</v>
      </c>
      <c r="Y107" s="43">
        <f>ዕቁብ!Z110/Sheet4!$C107</f>
        <v>1</v>
      </c>
      <c r="Z107" s="43">
        <f>ዕቁብ!AA110/Sheet4!$C107</f>
        <v>1</v>
      </c>
      <c r="AA107" s="43">
        <f>ዕቁብ!AB110/Sheet4!$C107</f>
        <v>1</v>
      </c>
      <c r="AB107" s="43">
        <f>ዕቁብ!AC110/Sheet4!$C107</f>
        <v>1</v>
      </c>
      <c r="AC107" s="43">
        <f>ዕቁብ!AD110/Sheet4!$C107</f>
        <v>1</v>
      </c>
      <c r="AD107" s="43">
        <f>ዕቁብ!AE110/Sheet4!$C107</f>
        <v>1</v>
      </c>
      <c r="AE107" s="43">
        <f>ዕቁብ!AF110/Sheet4!$C107</f>
        <v>0</v>
      </c>
      <c r="AF107" s="43">
        <f>ዕቁብ!AG110/Sheet4!$C107</f>
        <v>2</v>
      </c>
      <c r="AG107" s="43">
        <f>ዕቁብ!AH110/Sheet4!$C107</f>
        <v>1</v>
      </c>
      <c r="AH107" s="43">
        <f>ዕቁብ!AI110/Sheet4!$C107</f>
        <v>1</v>
      </c>
      <c r="AI107" s="43">
        <f>ዕቁብ!AJ110/Sheet4!$C107</f>
        <v>0</v>
      </c>
      <c r="AJ107" s="43">
        <f>ዕቁብ!AK110/Sheet4!$C107</f>
        <v>2</v>
      </c>
      <c r="AK107" s="43">
        <f>ዕቁብ!AL110/Sheet4!$C107</f>
        <v>1</v>
      </c>
      <c r="AL107" s="43">
        <f>ዕቁብ!AM110/Sheet4!$C107</f>
        <v>1</v>
      </c>
      <c r="AM107" s="43">
        <f>ዕቁብ!AN110/Sheet4!$C107</f>
        <v>1</v>
      </c>
      <c r="AN107" s="43">
        <f>ዕቁብ!AO110/Sheet4!$C107</f>
        <v>1</v>
      </c>
      <c r="AO107" s="43">
        <f>ዕቁብ!AP110/Sheet4!$C107</f>
        <v>1</v>
      </c>
      <c r="AP107" s="43">
        <f>ዕቁብ!AQ110/Sheet4!$C107</f>
        <v>1</v>
      </c>
      <c r="AQ107" s="43">
        <f>ዕቁብ!AR110/Sheet4!$C107</f>
        <v>1</v>
      </c>
      <c r="AR107" s="43">
        <f>ዕቁብ!AS110/Sheet4!$C107</f>
        <v>1</v>
      </c>
      <c r="AS107" s="43">
        <f>ዕቁብ!AT110/Sheet4!$C107</f>
        <v>1</v>
      </c>
      <c r="AT107" s="43">
        <f>ዕቁብ!AU110/Sheet4!$C107</f>
        <v>1</v>
      </c>
      <c r="AU107" s="43">
        <f>ዕቁብ!AV110/Sheet4!$C107</f>
        <v>1</v>
      </c>
      <c r="AV107" s="43">
        <f>ዕቁብ!AW110/Sheet4!$C107</f>
        <v>1</v>
      </c>
      <c r="AW107" s="43">
        <f>ዕቁብ!AX110/Sheet4!$C107</f>
        <v>1</v>
      </c>
      <c r="AX107" s="43">
        <f>ዕቁብ!AY110/Sheet4!$C107</f>
        <v>1</v>
      </c>
      <c r="AY107" s="43">
        <f>ዕቁብ!AZ110/Sheet4!$C107</f>
        <v>1</v>
      </c>
      <c r="AZ107" s="43">
        <f>ዕቁብ!BA110/Sheet4!$C107</f>
        <v>1</v>
      </c>
      <c r="BA107" s="43">
        <f>ዕቁብ!BB110/Sheet4!$C107</f>
        <v>1</v>
      </c>
      <c r="BB107" s="43">
        <f>ዕቁብ!BC110/Sheet4!$C107</f>
        <v>1</v>
      </c>
      <c r="BC107" s="43">
        <f>ዕቁብ!BD110/Sheet4!$C107</f>
        <v>1</v>
      </c>
      <c r="BD107" s="43">
        <f>ዕቁብ!BE110/Sheet4!$C107</f>
        <v>1</v>
      </c>
      <c r="BE107" s="43">
        <f>ዕቁብ!BF110/Sheet4!$C107</f>
        <v>1</v>
      </c>
      <c r="BF107" s="43">
        <f>ዕቁብ!BG110/Sheet4!$C107</f>
        <v>1</v>
      </c>
      <c r="BG107" s="43">
        <f>ዕቁብ!BH110/Sheet4!$C107</f>
        <v>0</v>
      </c>
      <c r="BH107" s="43">
        <f>ዕቁብ!BI110/Sheet4!$C107</f>
        <v>2</v>
      </c>
      <c r="BI107" s="43">
        <f>ዕቁብ!BJ110/Sheet4!$C107</f>
        <v>0</v>
      </c>
      <c r="BJ107" s="43">
        <f>ዕቁብ!BK110/Sheet4!$C107</f>
        <v>2</v>
      </c>
      <c r="BK107" s="43">
        <f>ዕቁብ!BL110/Sheet4!$C107</f>
        <v>1</v>
      </c>
      <c r="BL107" s="43">
        <f>ዕቁብ!BM110/Sheet4!$C107</f>
        <v>1</v>
      </c>
      <c r="BM107" s="43">
        <f>ዕቁብ!BN110/Sheet4!$C107</f>
        <v>1</v>
      </c>
      <c r="BN107" s="43">
        <f>ዕቁብ!BO110/Sheet4!$C107</f>
        <v>1</v>
      </c>
      <c r="BO107" s="43">
        <f>ዕቁብ!BP110/Sheet4!$C107</f>
        <v>0</v>
      </c>
      <c r="BP107" s="43">
        <f>ዕቁብ!BQ110/Sheet4!$C107</f>
        <v>1</v>
      </c>
      <c r="BQ107" s="43">
        <f>ዕቁብ!BR110/Sheet4!$C107</f>
        <v>1</v>
      </c>
      <c r="BR107" s="43">
        <f>ዕቁብ!BS110/Sheet4!$C107</f>
        <v>1</v>
      </c>
      <c r="BS107" s="43">
        <f>ዕቁብ!BT110/Sheet4!$C107</f>
        <v>0</v>
      </c>
      <c r="BT107" s="43">
        <f>ዕቁብ!BU110/Sheet4!$C107</f>
        <v>2</v>
      </c>
      <c r="BU107" s="43">
        <f>ዕቁብ!BV110/Sheet4!$C107</f>
        <v>1</v>
      </c>
      <c r="BV107" s="43">
        <f>ዕቁብ!BW110/Sheet4!$C107</f>
        <v>1</v>
      </c>
      <c r="BW107" s="43">
        <f>ዕቁብ!BX110/Sheet4!$C107</f>
        <v>0</v>
      </c>
      <c r="BX107" s="43">
        <f>ዕቁብ!BY110/Sheet4!$C107</f>
        <v>2</v>
      </c>
      <c r="BY107" s="43">
        <f>ዕቁብ!BZ110/Sheet4!$C107</f>
        <v>1</v>
      </c>
      <c r="BZ107" s="43">
        <f>ዕቁብ!CA110/Sheet4!$C107</f>
        <v>1</v>
      </c>
      <c r="CA107" s="43">
        <f>ዕቁብ!CB110/Sheet4!$C107</f>
        <v>1</v>
      </c>
      <c r="CB107" s="43">
        <f>ዕቁብ!CC110/Sheet4!$C107</f>
        <v>1</v>
      </c>
      <c r="CC107" s="43">
        <f>ዕቁብ!CD110/Sheet4!$C107</f>
        <v>1</v>
      </c>
      <c r="CD107" s="43">
        <f>ዕቁብ!CE110/Sheet4!$C107</f>
        <v>0</v>
      </c>
      <c r="CE107" s="43">
        <f>ዕቁብ!CF110/Sheet4!$C107</f>
        <v>1</v>
      </c>
      <c r="CF107" s="43">
        <f>ዕቁብ!CG110/Sheet4!$C107</f>
        <v>2</v>
      </c>
      <c r="CG107" s="43">
        <f>ዕቁብ!CH110/Sheet4!$C107</f>
        <v>1</v>
      </c>
      <c r="CH107" s="43">
        <f>ዕቁብ!CI110/Sheet4!$C107</f>
        <v>0</v>
      </c>
      <c r="CI107" s="43">
        <f>ዕቁብ!CJ110/Sheet4!$C107</f>
        <v>0</v>
      </c>
      <c r="CJ107" s="43">
        <f>ዕቁብ!CK110/Sheet4!$C107</f>
        <v>2</v>
      </c>
      <c r="CK107" s="43">
        <f>ዕቁብ!CL110/Sheet4!$C107</f>
        <v>1</v>
      </c>
      <c r="CL107" s="43">
        <f>ዕቁብ!CM110/Sheet4!$C107</f>
        <v>1</v>
      </c>
      <c r="CM107" s="43">
        <f>ዕቁብ!CN110/Sheet4!$C107</f>
        <v>1</v>
      </c>
      <c r="CN107" s="43">
        <f>ዕቁብ!CO110/Sheet4!$C107</f>
        <v>1</v>
      </c>
      <c r="CO107" s="43">
        <f>ዕቁብ!CP110/Sheet4!$C107</f>
        <v>1</v>
      </c>
      <c r="CP107" s="43">
        <f>ዕቁብ!CQ110/Sheet4!$C107</f>
        <v>1</v>
      </c>
      <c r="CQ107" s="43">
        <f>ዕቁብ!CR110/Sheet4!$C107</f>
        <v>1</v>
      </c>
      <c r="CR107" s="43">
        <f>ዕቁብ!CS110/Sheet4!$C107</f>
        <v>1</v>
      </c>
      <c r="CS107" s="43">
        <f>ዕቁብ!CT110/Sheet4!$C107</f>
        <v>1</v>
      </c>
      <c r="CT107" s="43">
        <f>ዕቁብ!CU110/Sheet4!$C107</f>
        <v>1</v>
      </c>
      <c r="CU107" s="43">
        <f>ዕቁብ!CV110/Sheet4!$C107</f>
        <v>1</v>
      </c>
      <c r="CV107" s="43">
        <f>ዕቁብ!CW110/Sheet4!$C107</f>
        <v>3</v>
      </c>
      <c r="CW107" s="43">
        <f>ዕቁብ!CX110/Sheet4!$C107</f>
        <v>0</v>
      </c>
      <c r="CX107" s="43">
        <f>ዕቁብ!CY110/Sheet4!$C107</f>
        <v>1</v>
      </c>
      <c r="CY107" s="43">
        <f>ዕቁብ!CZ110/Sheet4!$C107</f>
        <v>1</v>
      </c>
      <c r="CZ107" s="43">
        <f>ዕቁብ!DA110/Sheet4!$C107</f>
        <v>1</v>
      </c>
      <c r="DA107" s="43">
        <f>ዕቁብ!DB110/Sheet4!$C107</f>
        <v>0</v>
      </c>
      <c r="DB107" s="43">
        <f>ዕቁብ!DC110/Sheet4!$C107</f>
        <v>0</v>
      </c>
      <c r="DC107" s="43">
        <f>ዕቁብ!DD110/Sheet4!$C107</f>
        <v>2</v>
      </c>
      <c r="DD107" s="43">
        <f>ዕቁብ!DE110/Sheet4!$C107</f>
        <v>0</v>
      </c>
      <c r="DE107" s="43">
        <f>ዕቁብ!DF110/Sheet4!$C107</f>
        <v>1</v>
      </c>
      <c r="DF107" s="43">
        <f>ዕቁብ!DG110/Sheet4!$C107</f>
        <v>1</v>
      </c>
      <c r="DG107" s="43">
        <f>ዕቁብ!DH110/Sheet4!$C107</f>
        <v>0</v>
      </c>
      <c r="DH107" s="43">
        <f>ዕቁብ!DI110/Sheet4!$C107</f>
        <v>0</v>
      </c>
      <c r="DI107" s="43">
        <f>ዕቁብ!DJ110/Sheet4!$C107</f>
        <v>0</v>
      </c>
      <c r="DJ107" s="43">
        <f>ዕቁብ!DK110/Sheet4!$C107</f>
        <v>0</v>
      </c>
      <c r="DK107" s="43">
        <f>ዕቁብ!DL110/Sheet4!$C107</f>
        <v>0</v>
      </c>
      <c r="DL107" s="43">
        <f>ዕቁብ!DM110/Sheet4!$C107</f>
        <v>0</v>
      </c>
      <c r="DM107" s="43">
        <f>ዕቁብ!DN110/Sheet4!$C107</f>
        <v>0</v>
      </c>
      <c r="DN107" s="43">
        <f>ዕቁብ!DO110/Sheet4!$C107</f>
        <v>0</v>
      </c>
      <c r="DO107" s="43">
        <f>ዕቁብ!DP110/Sheet4!$C107</f>
        <v>0</v>
      </c>
      <c r="DP107" s="43">
        <f>ዕቁብ!DQ110/Sheet4!$C107</f>
        <v>0</v>
      </c>
      <c r="DQ107" s="43">
        <f>ዕቁብ!DR110/Sheet4!$C107</f>
        <v>0</v>
      </c>
    </row>
    <row r="108" spans="1:121" ht="15.75" customHeight="1" x14ac:dyDescent="0.3">
      <c r="A108" s="40">
        <f>ዕቁብ!A111</f>
        <v>99</v>
      </c>
      <c r="B108" s="40" t="str">
        <f>ዕቁብ!B111</f>
        <v xml:space="preserve">ፍቃዱ ባልቻ </v>
      </c>
      <c r="C108" s="30">
        <f>ዕቁብ!C111</f>
        <v>10500</v>
      </c>
      <c r="D108" s="43">
        <f>ዕቁብ!E111/Sheet4!$C108</f>
        <v>1</v>
      </c>
      <c r="E108" s="43">
        <f>ዕቁብ!F111/Sheet4!$C108</f>
        <v>0</v>
      </c>
      <c r="F108" s="43">
        <f>ዕቁብ!G111/Sheet4!$C108</f>
        <v>0</v>
      </c>
      <c r="G108" s="43">
        <f>ዕቁብ!H111/Sheet4!$C108</f>
        <v>0</v>
      </c>
      <c r="H108" s="43">
        <f>ዕቁብ!I111/Sheet4!$C108</f>
        <v>0</v>
      </c>
      <c r="I108" s="43">
        <f>ዕቁብ!J111/Sheet4!$C108</f>
        <v>0</v>
      </c>
      <c r="J108" s="43">
        <f>ዕቁብ!K111/Sheet4!$C108</f>
        <v>0</v>
      </c>
      <c r="K108" s="43">
        <f>ዕቁብ!L111/Sheet4!$C108</f>
        <v>0</v>
      </c>
      <c r="L108" s="43">
        <f>ዕቁብ!M111/Sheet4!$C108</f>
        <v>0</v>
      </c>
      <c r="M108" s="43">
        <f>ዕቁብ!N111/Sheet4!$C108</f>
        <v>0</v>
      </c>
      <c r="N108" s="43">
        <f>ዕቁብ!O111/Sheet4!$C108</f>
        <v>0</v>
      </c>
      <c r="O108" s="43">
        <f>ዕቁብ!P111/Sheet4!$C108</f>
        <v>0</v>
      </c>
      <c r="P108" s="43">
        <f>ዕቁብ!Q111/Sheet4!$C108</f>
        <v>0</v>
      </c>
      <c r="Q108" s="43">
        <f>ዕቁብ!R111/Sheet4!$C108</f>
        <v>0</v>
      </c>
      <c r="R108" s="43">
        <f>ዕቁብ!S111/Sheet4!$C108</f>
        <v>0</v>
      </c>
      <c r="S108" s="43">
        <f>ዕቁብ!T111/Sheet4!$C108</f>
        <v>0</v>
      </c>
      <c r="T108" s="43">
        <f>ዕቁብ!U111/Sheet4!$C108</f>
        <v>0</v>
      </c>
      <c r="U108" s="43">
        <f>ዕቁብ!V111/Sheet4!$C108</f>
        <v>0</v>
      </c>
      <c r="V108" s="43">
        <f>ዕቁብ!W111/Sheet4!$C108</f>
        <v>0</v>
      </c>
      <c r="W108" s="43">
        <f>ዕቁብ!X111/Sheet4!$C108</f>
        <v>0</v>
      </c>
      <c r="X108" s="43">
        <f>ዕቁብ!Y111/Sheet4!$C108</f>
        <v>0</v>
      </c>
      <c r="Y108" s="43">
        <f>ዕቁብ!Z111/Sheet4!$C108</f>
        <v>0</v>
      </c>
      <c r="Z108" s="43">
        <f>ዕቁብ!AA111/Sheet4!$C108</f>
        <v>0</v>
      </c>
      <c r="AA108" s="43">
        <f>ዕቁብ!AB111/Sheet4!$C108</f>
        <v>0</v>
      </c>
      <c r="AB108" s="43">
        <f>ዕቁብ!AC111/Sheet4!$C108</f>
        <v>0</v>
      </c>
      <c r="AC108" s="43">
        <f>ዕቁብ!AD111/Sheet4!$C108</f>
        <v>0</v>
      </c>
      <c r="AD108" s="43">
        <f>ዕቁብ!AE111/Sheet4!$C108</f>
        <v>0</v>
      </c>
      <c r="AE108" s="43">
        <f>ዕቁብ!AF111/Sheet4!$C108</f>
        <v>0</v>
      </c>
      <c r="AF108" s="43">
        <f>ዕቁብ!AG111/Sheet4!$C108</f>
        <v>0</v>
      </c>
      <c r="AG108" s="43">
        <f>ዕቁብ!AH111/Sheet4!$C108</f>
        <v>0</v>
      </c>
      <c r="AH108" s="43">
        <f>ዕቁብ!AI111/Sheet4!$C108</f>
        <v>0</v>
      </c>
      <c r="AI108" s="43">
        <f>ዕቁብ!AJ111/Sheet4!$C108</f>
        <v>0</v>
      </c>
      <c r="AJ108" s="43">
        <f>ዕቁብ!AK111/Sheet4!$C108</f>
        <v>0</v>
      </c>
      <c r="AK108" s="43">
        <f>ዕቁብ!AL111/Sheet4!$C108</f>
        <v>0</v>
      </c>
      <c r="AL108" s="43">
        <f>ዕቁብ!AM111/Sheet4!$C108</f>
        <v>0</v>
      </c>
      <c r="AM108" s="43">
        <f>ዕቁብ!AN111/Sheet4!$C108</f>
        <v>0</v>
      </c>
      <c r="AN108" s="43">
        <f>ዕቁብ!AO111/Sheet4!$C108</f>
        <v>0</v>
      </c>
      <c r="AO108" s="43">
        <f>ዕቁብ!AP111/Sheet4!$C108</f>
        <v>0</v>
      </c>
      <c r="AP108" s="43">
        <f>ዕቁብ!AQ111/Sheet4!$C108</f>
        <v>0</v>
      </c>
      <c r="AQ108" s="43">
        <f>ዕቁብ!AR111/Sheet4!$C108</f>
        <v>0</v>
      </c>
      <c r="AR108" s="43">
        <f>ዕቁብ!AS111/Sheet4!$C108</f>
        <v>0</v>
      </c>
      <c r="AS108" s="43">
        <f>ዕቁብ!AT111/Sheet4!$C108</f>
        <v>0</v>
      </c>
      <c r="AT108" s="43">
        <f>ዕቁብ!AU111/Sheet4!$C108</f>
        <v>0</v>
      </c>
      <c r="AU108" s="43">
        <f>ዕቁብ!AV111/Sheet4!$C108</f>
        <v>0</v>
      </c>
      <c r="AV108" s="43">
        <f>ዕቁብ!AW111/Sheet4!$C108</f>
        <v>0</v>
      </c>
      <c r="AW108" s="43">
        <f>ዕቁብ!AX111/Sheet4!$C108</f>
        <v>0</v>
      </c>
      <c r="AX108" s="43">
        <f>ዕቁብ!AY111/Sheet4!$C108</f>
        <v>0</v>
      </c>
      <c r="AY108" s="43">
        <f>ዕቁብ!AZ111/Sheet4!$C108</f>
        <v>0</v>
      </c>
      <c r="AZ108" s="43">
        <f>ዕቁብ!BA111/Sheet4!$C108</f>
        <v>0</v>
      </c>
      <c r="BA108" s="43">
        <f>ዕቁብ!BB111/Sheet4!$C108</f>
        <v>0</v>
      </c>
      <c r="BB108" s="43">
        <f>ዕቁብ!BC111/Sheet4!$C108</f>
        <v>0</v>
      </c>
      <c r="BC108" s="43">
        <f>ዕቁብ!BD111/Sheet4!$C108</f>
        <v>0</v>
      </c>
      <c r="BD108" s="43">
        <f>ዕቁብ!BE111/Sheet4!$C108</f>
        <v>0</v>
      </c>
      <c r="BE108" s="43">
        <f>ዕቁብ!BF111/Sheet4!$C108</f>
        <v>0</v>
      </c>
      <c r="BF108" s="43">
        <f>ዕቁብ!BG111/Sheet4!$C108</f>
        <v>0</v>
      </c>
      <c r="BG108" s="43">
        <f>ዕቁብ!BH111/Sheet4!$C108</f>
        <v>0</v>
      </c>
      <c r="BH108" s="43">
        <f>ዕቁብ!BI111/Sheet4!$C108</f>
        <v>0</v>
      </c>
      <c r="BI108" s="43">
        <f>ዕቁብ!BJ111/Sheet4!$C108</f>
        <v>0</v>
      </c>
      <c r="BJ108" s="43">
        <f>ዕቁብ!BK111/Sheet4!$C108</f>
        <v>0</v>
      </c>
      <c r="BK108" s="43">
        <f>ዕቁብ!BL111/Sheet4!$C108</f>
        <v>0</v>
      </c>
      <c r="BL108" s="43">
        <f>ዕቁብ!BM111/Sheet4!$C108</f>
        <v>0</v>
      </c>
      <c r="BM108" s="43">
        <f>ዕቁብ!BN111/Sheet4!$C108</f>
        <v>0</v>
      </c>
      <c r="BN108" s="43">
        <f>ዕቁብ!BO111/Sheet4!$C108</f>
        <v>0</v>
      </c>
      <c r="BO108" s="43">
        <f>ዕቁብ!BP111/Sheet4!$C108</f>
        <v>0</v>
      </c>
      <c r="BP108" s="43">
        <f>ዕቁብ!BQ111/Sheet4!$C108</f>
        <v>0</v>
      </c>
      <c r="BQ108" s="43">
        <f>ዕቁብ!BR111/Sheet4!$C108</f>
        <v>0</v>
      </c>
      <c r="BR108" s="43">
        <f>ዕቁብ!BS111/Sheet4!$C108</f>
        <v>0</v>
      </c>
      <c r="BS108" s="43">
        <f>ዕቁብ!BT111/Sheet4!$C108</f>
        <v>0</v>
      </c>
      <c r="BT108" s="43">
        <f>ዕቁብ!BU111/Sheet4!$C108</f>
        <v>0</v>
      </c>
      <c r="BU108" s="43">
        <f>ዕቁብ!BV111/Sheet4!$C108</f>
        <v>0</v>
      </c>
      <c r="BV108" s="43">
        <f>ዕቁብ!BW111/Sheet4!$C108</f>
        <v>0</v>
      </c>
      <c r="BW108" s="43">
        <f>ዕቁብ!BX111/Sheet4!$C108</f>
        <v>0</v>
      </c>
      <c r="BX108" s="43">
        <f>ዕቁብ!BY111/Sheet4!$C108</f>
        <v>0</v>
      </c>
      <c r="BY108" s="43">
        <f>ዕቁብ!BZ111/Sheet4!$C108</f>
        <v>0</v>
      </c>
      <c r="BZ108" s="43">
        <f>ዕቁብ!CA111/Sheet4!$C108</f>
        <v>0</v>
      </c>
      <c r="CA108" s="43">
        <f>ዕቁብ!CB111/Sheet4!$C108</f>
        <v>0</v>
      </c>
      <c r="CB108" s="43">
        <f>ዕቁብ!CC111/Sheet4!$C108</f>
        <v>0</v>
      </c>
      <c r="CC108" s="43">
        <f>ዕቁብ!CD111/Sheet4!$C108</f>
        <v>0</v>
      </c>
      <c r="CD108" s="43">
        <f>ዕቁብ!CE111/Sheet4!$C108</f>
        <v>0</v>
      </c>
      <c r="CE108" s="43">
        <f>ዕቁብ!CF111/Sheet4!$C108</f>
        <v>0</v>
      </c>
      <c r="CF108" s="43">
        <f>ዕቁብ!CG111/Sheet4!$C108</f>
        <v>0</v>
      </c>
      <c r="CG108" s="43">
        <f>ዕቁብ!CH111/Sheet4!$C108</f>
        <v>0</v>
      </c>
      <c r="CH108" s="43">
        <f>ዕቁብ!CI111/Sheet4!$C108</f>
        <v>0</v>
      </c>
      <c r="CI108" s="43">
        <f>ዕቁብ!CJ111/Sheet4!$C108</f>
        <v>0</v>
      </c>
      <c r="CJ108" s="43">
        <f>ዕቁብ!CK111/Sheet4!$C108</f>
        <v>0</v>
      </c>
      <c r="CK108" s="43">
        <f>ዕቁብ!CL111/Sheet4!$C108</f>
        <v>0</v>
      </c>
      <c r="CL108" s="43">
        <f>ዕቁብ!CM111/Sheet4!$C108</f>
        <v>0</v>
      </c>
      <c r="CM108" s="43">
        <f>ዕቁብ!CN111/Sheet4!$C108</f>
        <v>0</v>
      </c>
      <c r="CN108" s="43">
        <f>ዕቁብ!CO111/Sheet4!$C108</f>
        <v>0</v>
      </c>
      <c r="CO108" s="43">
        <f>ዕቁብ!CP111/Sheet4!$C108</f>
        <v>0</v>
      </c>
      <c r="CP108" s="43">
        <f>ዕቁብ!CQ111/Sheet4!$C108</f>
        <v>0</v>
      </c>
      <c r="CQ108" s="43">
        <f>ዕቁብ!CR111/Sheet4!$C108</f>
        <v>0</v>
      </c>
      <c r="CR108" s="43">
        <f>ዕቁብ!CS111/Sheet4!$C108</f>
        <v>0</v>
      </c>
      <c r="CS108" s="43">
        <f>ዕቁብ!CT111/Sheet4!$C108</f>
        <v>0</v>
      </c>
      <c r="CT108" s="43">
        <f>ዕቁብ!CU111/Sheet4!$C108</f>
        <v>0</v>
      </c>
      <c r="CU108" s="43">
        <f>ዕቁብ!CV111/Sheet4!$C108</f>
        <v>0</v>
      </c>
      <c r="CV108" s="43">
        <f>ዕቁብ!CW111/Sheet4!$C108</f>
        <v>0</v>
      </c>
      <c r="CW108" s="43">
        <f>ዕቁብ!CX111/Sheet4!$C108</f>
        <v>0</v>
      </c>
      <c r="CX108" s="43">
        <f>ዕቁብ!CY111/Sheet4!$C108</f>
        <v>0</v>
      </c>
      <c r="CY108" s="43">
        <f>ዕቁብ!CZ111/Sheet4!$C108</f>
        <v>0</v>
      </c>
      <c r="CZ108" s="43">
        <f>ዕቁብ!DA111/Sheet4!$C108</f>
        <v>0</v>
      </c>
      <c r="DA108" s="43">
        <f>ዕቁብ!DB111/Sheet4!$C108</f>
        <v>1</v>
      </c>
      <c r="DB108" s="43">
        <f>ዕቁብ!DC111/Sheet4!$C108</f>
        <v>0</v>
      </c>
      <c r="DC108" s="43">
        <f>ዕቁብ!DD111/Sheet4!$C108</f>
        <v>0</v>
      </c>
      <c r="DD108" s="43">
        <f>ዕቁብ!DE111/Sheet4!$C108</f>
        <v>0</v>
      </c>
      <c r="DE108" s="43">
        <f>ዕቁብ!DF111/Sheet4!$C108</f>
        <v>0</v>
      </c>
      <c r="DF108" s="43">
        <f>ዕቁብ!DG111/Sheet4!$C108</f>
        <v>0</v>
      </c>
      <c r="DG108" s="43">
        <f>ዕቁብ!DH111/Sheet4!$C108</f>
        <v>5</v>
      </c>
      <c r="DH108" s="43">
        <f>ዕቁብ!DI111/Sheet4!$C108</f>
        <v>0</v>
      </c>
      <c r="DI108" s="43">
        <f>ዕቁብ!DJ111/Sheet4!$C108</f>
        <v>0</v>
      </c>
      <c r="DJ108" s="43">
        <f>ዕቁብ!DK111/Sheet4!$C108</f>
        <v>0</v>
      </c>
      <c r="DK108" s="43">
        <f>ዕቁብ!DL111/Sheet4!$C108</f>
        <v>0</v>
      </c>
      <c r="DL108" s="43">
        <f>ዕቁብ!DM111/Sheet4!$C108</f>
        <v>0</v>
      </c>
      <c r="DM108" s="43">
        <f>ዕቁብ!DN111/Sheet4!$C108</f>
        <v>0</v>
      </c>
      <c r="DN108" s="43">
        <f>ዕቁብ!DO111/Sheet4!$C108</f>
        <v>0</v>
      </c>
      <c r="DO108" s="43">
        <f>ዕቁብ!DP111/Sheet4!$C108</f>
        <v>0</v>
      </c>
      <c r="DP108" s="43">
        <f>ዕቁብ!DQ111/Sheet4!$C108</f>
        <v>0</v>
      </c>
      <c r="DQ108" s="43">
        <f>ዕቁብ!DR111/Sheet4!$C108</f>
        <v>0</v>
      </c>
    </row>
    <row r="109" spans="1:121" ht="15.75" customHeight="1" x14ac:dyDescent="0.3">
      <c r="A109" s="40">
        <f>ዕቁብ!A112</f>
        <v>100</v>
      </c>
      <c r="B109" s="40" t="str">
        <f>ዕቁብ!B112</f>
        <v>ሮዛ ተስፋማርያም</v>
      </c>
      <c r="C109" s="30">
        <f>ዕቁብ!C112</f>
        <v>10500</v>
      </c>
      <c r="D109" s="43">
        <f>ዕቁብ!E112/Sheet4!$C109</f>
        <v>1</v>
      </c>
      <c r="E109" s="43">
        <f>ዕቁብ!F112/Sheet4!$C109</f>
        <v>1</v>
      </c>
      <c r="F109" s="43">
        <f>ዕቁብ!G112/Sheet4!$C109</f>
        <v>1</v>
      </c>
      <c r="G109" s="43">
        <f>ዕቁብ!H112/Sheet4!$C109</f>
        <v>1</v>
      </c>
      <c r="H109" s="43">
        <f>ዕቁብ!I112/Sheet4!$C109</f>
        <v>1</v>
      </c>
      <c r="I109" s="43">
        <f>ዕቁብ!J112/Sheet4!$C109</f>
        <v>1</v>
      </c>
      <c r="J109" s="43">
        <f>ዕቁብ!K112/Sheet4!$C109</f>
        <v>1</v>
      </c>
      <c r="K109" s="43">
        <f>ዕቁብ!L112/Sheet4!$C109</f>
        <v>1</v>
      </c>
      <c r="L109" s="43">
        <f>ዕቁብ!M112/Sheet4!$C109</f>
        <v>1</v>
      </c>
      <c r="M109" s="43">
        <f>ዕቁብ!N112/Sheet4!$C109</f>
        <v>1</v>
      </c>
      <c r="N109" s="43">
        <f>ዕቁብ!O112/Sheet4!$C109</f>
        <v>1</v>
      </c>
      <c r="O109" s="43">
        <f>ዕቁብ!P112/Sheet4!$C109</f>
        <v>1</v>
      </c>
      <c r="P109" s="43">
        <f>ዕቁብ!Q112/Sheet4!$C109</f>
        <v>1</v>
      </c>
      <c r="Q109" s="43">
        <f>ዕቁብ!R112/Sheet4!$C109</f>
        <v>1</v>
      </c>
      <c r="R109" s="43">
        <f>ዕቁብ!S112/Sheet4!$C109</f>
        <v>1</v>
      </c>
      <c r="S109" s="43">
        <f>ዕቁብ!T112/Sheet4!$C109</f>
        <v>1</v>
      </c>
      <c r="T109" s="43">
        <f>ዕቁብ!U112/Sheet4!$C109</f>
        <v>1</v>
      </c>
      <c r="U109" s="43">
        <f>ዕቁብ!V112/Sheet4!$C109</f>
        <v>1</v>
      </c>
      <c r="V109" s="43">
        <f>ዕቁብ!W112/Sheet4!$C109</f>
        <v>1</v>
      </c>
      <c r="W109" s="43">
        <f>ዕቁብ!X112/Sheet4!$C109</f>
        <v>1</v>
      </c>
      <c r="X109" s="43">
        <f>ዕቁብ!Y112/Sheet4!$C109</f>
        <v>1</v>
      </c>
      <c r="Y109" s="43">
        <f>ዕቁብ!Z112/Sheet4!$C109</f>
        <v>1</v>
      </c>
      <c r="Z109" s="43">
        <f>ዕቁብ!AA112/Sheet4!$C109</f>
        <v>1</v>
      </c>
      <c r="AA109" s="43">
        <f>ዕቁብ!AB112/Sheet4!$C109</f>
        <v>0</v>
      </c>
      <c r="AB109" s="43">
        <f>ዕቁብ!AC112/Sheet4!$C109</f>
        <v>2</v>
      </c>
      <c r="AC109" s="43">
        <f>ዕቁብ!AD112/Sheet4!$C109</f>
        <v>1</v>
      </c>
      <c r="AD109" s="43">
        <f>ዕቁብ!AE112/Sheet4!$C109</f>
        <v>1</v>
      </c>
      <c r="AE109" s="43">
        <f>ዕቁብ!AF112/Sheet4!$C109</f>
        <v>1</v>
      </c>
      <c r="AF109" s="43">
        <f>ዕቁብ!AG112/Sheet4!$C109</f>
        <v>1</v>
      </c>
      <c r="AG109" s="43">
        <f>ዕቁብ!AH112/Sheet4!$C109</f>
        <v>1</v>
      </c>
      <c r="AH109" s="43">
        <f>ዕቁብ!AI112/Sheet4!$C109</f>
        <v>1</v>
      </c>
      <c r="AI109" s="43">
        <f>ዕቁብ!AJ112/Sheet4!$C109</f>
        <v>1</v>
      </c>
      <c r="AJ109" s="43">
        <f>ዕቁብ!AK112/Sheet4!$C109</f>
        <v>1</v>
      </c>
      <c r="AK109" s="43">
        <f>ዕቁብ!AL112/Sheet4!$C109</f>
        <v>1</v>
      </c>
      <c r="AL109" s="43">
        <f>ዕቁብ!AM112/Sheet4!$C109</f>
        <v>1</v>
      </c>
      <c r="AM109" s="43">
        <f>ዕቁብ!AN112/Sheet4!$C109</f>
        <v>1</v>
      </c>
      <c r="AN109" s="43">
        <f>ዕቁብ!AO112/Sheet4!$C109</f>
        <v>1</v>
      </c>
      <c r="AO109" s="43">
        <f>ዕቁብ!AP112/Sheet4!$C109</f>
        <v>1</v>
      </c>
      <c r="AP109" s="43">
        <f>ዕቁብ!AQ112/Sheet4!$C109</f>
        <v>1</v>
      </c>
      <c r="AQ109" s="43">
        <f>ዕቁብ!AR112/Sheet4!$C109</f>
        <v>1</v>
      </c>
      <c r="AR109" s="43">
        <f>ዕቁብ!AS112/Sheet4!$C109</f>
        <v>1</v>
      </c>
      <c r="AS109" s="43">
        <f>ዕቁብ!AT112/Sheet4!$C109</f>
        <v>1</v>
      </c>
      <c r="AT109" s="43">
        <f>ዕቁብ!AU112/Sheet4!$C109</f>
        <v>1</v>
      </c>
      <c r="AU109" s="43">
        <f>ዕቁብ!AV112/Sheet4!$C109</f>
        <v>1</v>
      </c>
      <c r="AV109" s="43">
        <f>ዕቁብ!AW112/Sheet4!$C109</f>
        <v>0</v>
      </c>
      <c r="AW109" s="43">
        <f>ዕቁብ!AX112/Sheet4!$C109</f>
        <v>2</v>
      </c>
      <c r="AX109" s="43">
        <f>ዕቁብ!AY112/Sheet4!$C109</f>
        <v>1</v>
      </c>
      <c r="AY109" s="43">
        <f>ዕቁብ!AZ112/Sheet4!$C109</f>
        <v>0</v>
      </c>
      <c r="AZ109" s="43">
        <f>ዕቁብ!BA112/Sheet4!$C109</f>
        <v>1</v>
      </c>
      <c r="BA109" s="43">
        <f>ዕቁብ!BB112/Sheet4!$C109</f>
        <v>1</v>
      </c>
      <c r="BB109" s="43">
        <f>ዕቁብ!BC112/Sheet4!$C109</f>
        <v>1</v>
      </c>
      <c r="BC109" s="43">
        <f>ዕቁብ!BD112/Sheet4!$C109</f>
        <v>1</v>
      </c>
      <c r="BD109" s="43">
        <f>ዕቁብ!BE112/Sheet4!$C109</f>
        <v>1</v>
      </c>
      <c r="BE109" s="43">
        <f>ዕቁብ!BF112/Sheet4!$C109</f>
        <v>0</v>
      </c>
      <c r="BF109" s="43">
        <f>ዕቁብ!BG112/Sheet4!$C109</f>
        <v>0</v>
      </c>
      <c r="BG109" s="43">
        <f>ዕቁብ!BH112/Sheet4!$C109</f>
        <v>2</v>
      </c>
      <c r="BH109" s="43">
        <f>ዕቁብ!BI112/Sheet4!$C109</f>
        <v>1</v>
      </c>
      <c r="BI109" s="43">
        <f>ዕቁብ!BJ112/Sheet4!$C109</f>
        <v>1</v>
      </c>
      <c r="BJ109" s="43">
        <f>ዕቁብ!BK112/Sheet4!$C109</f>
        <v>0</v>
      </c>
      <c r="BK109" s="43">
        <f>ዕቁብ!BL112/Sheet4!$C109</f>
        <v>0</v>
      </c>
      <c r="BL109" s="43">
        <f>ዕቁብ!BM112/Sheet4!$C109</f>
        <v>1</v>
      </c>
      <c r="BM109" s="43">
        <f>ዕቁብ!BN112/Sheet4!$C109</f>
        <v>0</v>
      </c>
      <c r="BN109" s="43">
        <f>ዕቁብ!BO112/Sheet4!$C109</f>
        <v>0</v>
      </c>
      <c r="BO109" s="43">
        <f>ዕቁብ!BP112/Sheet4!$C109</f>
        <v>1</v>
      </c>
      <c r="BP109" s="43">
        <f>ዕቁብ!BQ112/Sheet4!$C109</f>
        <v>0</v>
      </c>
      <c r="BQ109" s="43">
        <f>ዕቁብ!BR112/Sheet4!$C109</f>
        <v>1</v>
      </c>
      <c r="BR109" s="43">
        <f>ዕቁብ!BS112/Sheet4!$C109</f>
        <v>1</v>
      </c>
      <c r="BS109" s="43">
        <f>ዕቁብ!BT112/Sheet4!$C109</f>
        <v>0</v>
      </c>
      <c r="BT109" s="43">
        <f>ዕቁብ!BU112/Sheet4!$C109</f>
        <v>0</v>
      </c>
      <c r="BU109" s="43">
        <f>ዕቁብ!BV112/Sheet4!$C109</f>
        <v>1</v>
      </c>
      <c r="BV109" s="43">
        <f>ዕቁብ!BW112/Sheet4!$C109</f>
        <v>0</v>
      </c>
      <c r="BW109" s="43">
        <f>ዕቁብ!BX112/Sheet4!$C109</f>
        <v>0</v>
      </c>
      <c r="BX109" s="43">
        <f>ዕቁብ!BY112/Sheet4!$C109</f>
        <v>0</v>
      </c>
      <c r="BY109" s="43">
        <f>ዕቁብ!BZ112/Sheet4!$C109</f>
        <v>0</v>
      </c>
      <c r="BZ109" s="43">
        <f>ዕቁብ!CA112/Sheet4!$C109</f>
        <v>0</v>
      </c>
      <c r="CA109" s="43">
        <f>ዕቁብ!CB112/Sheet4!$C109</f>
        <v>1</v>
      </c>
      <c r="CB109" s="43">
        <f>ዕቁብ!CC112/Sheet4!$C109</f>
        <v>0</v>
      </c>
      <c r="CC109" s="43">
        <f>ዕቁብ!CD112/Sheet4!$C109</f>
        <v>0</v>
      </c>
      <c r="CD109" s="43">
        <f>ዕቁብ!CE112/Sheet4!$C109</f>
        <v>0</v>
      </c>
      <c r="CE109" s="43">
        <f>ዕቁብ!CF112/Sheet4!$C109</f>
        <v>0</v>
      </c>
      <c r="CF109" s="43">
        <f>ዕቁብ!CG112/Sheet4!$C109</f>
        <v>1</v>
      </c>
      <c r="CG109" s="43">
        <f>ዕቁብ!CH112/Sheet4!$C109</f>
        <v>0</v>
      </c>
      <c r="CH109" s="43">
        <f>ዕቁብ!CI112/Sheet4!$C109</f>
        <v>0</v>
      </c>
      <c r="CI109" s="43">
        <f>ዕቁብ!CJ112/Sheet4!$C109</f>
        <v>0</v>
      </c>
      <c r="CJ109" s="43">
        <f>ዕቁብ!CK112/Sheet4!$C109</f>
        <v>0</v>
      </c>
      <c r="CK109" s="43">
        <f>ዕቁብ!CL112/Sheet4!$C109</f>
        <v>0</v>
      </c>
      <c r="CL109" s="43">
        <f>ዕቁብ!CM112/Sheet4!$C109</f>
        <v>0</v>
      </c>
      <c r="CM109" s="43">
        <f>ዕቁብ!CN112/Sheet4!$C109</f>
        <v>0</v>
      </c>
      <c r="CN109" s="43">
        <f>ዕቁብ!CO112/Sheet4!$C109</f>
        <v>0</v>
      </c>
      <c r="CO109" s="43">
        <f>ዕቁብ!CP112/Sheet4!$C109</f>
        <v>0</v>
      </c>
      <c r="CP109" s="43">
        <f>ዕቁብ!CQ112/Sheet4!$C109</f>
        <v>0</v>
      </c>
      <c r="CQ109" s="43">
        <f>ዕቁብ!CR112/Sheet4!$C109</f>
        <v>0</v>
      </c>
      <c r="CR109" s="43">
        <f>ዕቁብ!CS112/Sheet4!$C109</f>
        <v>0</v>
      </c>
      <c r="CS109" s="43">
        <f>ዕቁብ!CT112/Sheet4!$C109</f>
        <v>0</v>
      </c>
      <c r="CT109" s="43">
        <f>ዕቁብ!CU112/Sheet4!$C109</f>
        <v>0</v>
      </c>
      <c r="CU109" s="43">
        <f>ዕቁብ!CV112/Sheet4!$C109</f>
        <v>0</v>
      </c>
      <c r="CV109" s="43">
        <f>ዕቁብ!CW112/Sheet4!$C109</f>
        <v>0</v>
      </c>
      <c r="CW109" s="43">
        <f>ዕቁብ!CX112/Sheet4!$C109</f>
        <v>0</v>
      </c>
      <c r="CX109" s="43">
        <f>ዕቁብ!CY112/Sheet4!$C109</f>
        <v>0</v>
      </c>
      <c r="CY109" s="43">
        <f>ዕቁብ!CZ112/Sheet4!$C109</f>
        <v>0</v>
      </c>
      <c r="CZ109" s="43">
        <f>ዕቁብ!DA112/Sheet4!$C109</f>
        <v>0</v>
      </c>
      <c r="DA109" s="43">
        <f>ዕቁብ!DB112/Sheet4!$C109</f>
        <v>1</v>
      </c>
      <c r="DB109" s="43">
        <f>ዕቁብ!DC112/Sheet4!$C109</f>
        <v>0</v>
      </c>
      <c r="DC109" s="43">
        <f>ዕቁብ!DD112/Sheet4!$C109</f>
        <v>0</v>
      </c>
      <c r="DD109" s="43">
        <f>ዕቁብ!DE112/Sheet4!$C109</f>
        <v>0</v>
      </c>
      <c r="DE109" s="43">
        <f>ዕቁብ!DF112/Sheet4!$C109</f>
        <v>2</v>
      </c>
      <c r="DF109" s="43">
        <f>ዕቁብ!DG112/Sheet4!$C109</f>
        <v>0</v>
      </c>
      <c r="DG109" s="43">
        <f>ዕቁብ!DH112/Sheet4!$C109</f>
        <v>0</v>
      </c>
      <c r="DH109" s="43">
        <f>ዕቁብ!DI112/Sheet4!$C109</f>
        <v>0</v>
      </c>
      <c r="DI109" s="43">
        <f>ዕቁብ!DJ112/Sheet4!$C109</f>
        <v>0</v>
      </c>
      <c r="DJ109" s="43">
        <f>ዕቁብ!DK112/Sheet4!$C109</f>
        <v>0</v>
      </c>
      <c r="DK109" s="43">
        <f>ዕቁብ!DL112/Sheet4!$C109</f>
        <v>0</v>
      </c>
      <c r="DL109" s="43">
        <f>ዕቁብ!DM112/Sheet4!$C109</f>
        <v>0</v>
      </c>
      <c r="DM109" s="43">
        <f>ዕቁብ!DN112/Sheet4!$C109</f>
        <v>0</v>
      </c>
      <c r="DN109" s="43">
        <f>ዕቁብ!DO112/Sheet4!$C109</f>
        <v>0</v>
      </c>
      <c r="DO109" s="43">
        <f>ዕቁብ!DP112/Sheet4!$C109</f>
        <v>0</v>
      </c>
      <c r="DP109" s="43">
        <f>ዕቁብ!DQ112/Sheet4!$C109</f>
        <v>0</v>
      </c>
      <c r="DQ109" s="43">
        <f>ዕቁብ!DR112/Sheet4!$C109</f>
        <v>0</v>
      </c>
    </row>
    <row r="110" spans="1:121" ht="15.75" customHeight="1" x14ac:dyDescent="0.3">
      <c r="A110" s="40">
        <f>ዕቁብ!A113</f>
        <v>100</v>
      </c>
      <c r="B110" s="40" t="str">
        <f>ዕቁብ!B113</f>
        <v xml:space="preserve">ዘመዱ ሸኖ </v>
      </c>
      <c r="C110" s="30">
        <f>ዕቁብ!C113</f>
        <v>10500</v>
      </c>
      <c r="D110" s="43">
        <f>ዕቁብ!E113/Sheet4!$C110</f>
        <v>1</v>
      </c>
      <c r="E110" s="43">
        <f>ዕቁብ!F113/Sheet4!$C110</f>
        <v>1</v>
      </c>
      <c r="F110" s="43">
        <f>ዕቁብ!G113/Sheet4!$C110</f>
        <v>1</v>
      </c>
      <c r="G110" s="43">
        <f>ዕቁብ!H113/Sheet4!$C110</f>
        <v>1</v>
      </c>
      <c r="H110" s="43">
        <f>ዕቁብ!I113/Sheet4!$C110</f>
        <v>1</v>
      </c>
      <c r="I110" s="43">
        <f>ዕቁብ!J113/Sheet4!$C110</f>
        <v>1</v>
      </c>
      <c r="J110" s="43">
        <f>ዕቁብ!K113/Sheet4!$C110</f>
        <v>1</v>
      </c>
      <c r="K110" s="43">
        <f>ዕቁብ!L113/Sheet4!$C110</f>
        <v>1</v>
      </c>
      <c r="L110" s="43">
        <f>ዕቁብ!M113/Sheet4!$C110</f>
        <v>1</v>
      </c>
      <c r="M110" s="43">
        <f>ዕቁብ!N113/Sheet4!$C110</f>
        <v>1</v>
      </c>
      <c r="N110" s="43">
        <f>ዕቁብ!O113/Sheet4!$C110</f>
        <v>1</v>
      </c>
      <c r="O110" s="43">
        <f>ዕቁብ!P113/Sheet4!$C110</f>
        <v>1</v>
      </c>
      <c r="P110" s="43">
        <f>ዕቁብ!Q113/Sheet4!$C110</f>
        <v>1</v>
      </c>
      <c r="Q110" s="43">
        <f>ዕቁብ!R113/Sheet4!$C110</f>
        <v>1</v>
      </c>
      <c r="R110" s="43">
        <f>ዕቁብ!S113/Sheet4!$C110</f>
        <v>1</v>
      </c>
      <c r="S110" s="43">
        <f>ዕቁብ!T113/Sheet4!$C110</f>
        <v>1</v>
      </c>
      <c r="T110" s="43">
        <f>ዕቁብ!U113/Sheet4!$C110</f>
        <v>1</v>
      </c>
      <c r="U110" s="43">
        <f>ዕቁብ!V113/Sheet4!$C110</f>
        <v>1</v>
      </c>
      <c r="V110" s="43">
        <f>ዕቁብ!W113/Sheet4!$C110</f>
        <v>1</v>
      </c>
      <c r="W110" s="43">
        <f>ዕቁብ!X113/Sheet4!$C110</f>
        <v>1</v>
      </c>
      <c r="X110" s="43">
        <f>ዕቁብ!Y113/Sheet4!$C110</f>
        <v>1</v>
      </c>
      <c r="Y110" s="43">
        <f>ዕቁብ!Z113/Sheet4!$C110</f>
        <v>1</v>
      </c>
      <c r="Z110" s="43">
        <f>ዕቁብ!AA113/Sheet4!$C110</f>
        <v>1</v>
      </c>
      <c r="AA110" s="43">
        <f>ዕቁብ!AB113/Sheet4!$C110</f>
        <v>0</v>
      </c>
      <c r="AB110" s="43">
        <f>ዕቁብ!AC113/Sheet4!$C110</f>
        <v>2</v>
      </c>
      <c r="AC110" s="43">
        <f>ዕቁብ!AD113/Sheet4!$C110</f>
        <v>1</v>
      </c>
      <c r="AD110" s="43">
        <f>ዕቁብ!AE113/Sheet4!$C110</f>
        <v>1</v>
      </c>
      <c r="AE110" s="43">
        <f>ዕቁብ!AF113/Sheet4!$C110</f>
        <v>1</v>
      </c>
      <c r="AF110" s="43">
        <f>ዕቁብ!AG113/Sheet4!$C110</f>
        <v>1</v>
      </c>
      <c r="AG110" s="43">
        <f>ዕቁብ!AH113/Sheet4!$C110</f>
        <v>1</v>
      </c>
      <c r="AH110" s="43">
        <f>ዕቁብ!AI113/Sheet4!$C110</f>
        <v>0</v>
      </c>
      <c r="AI110" s="43">
        <f>ዕቁብ!AJ113/Sheet4!$C110</f>
        <v>2</v>
      </c>
      <c r="AJ110" s="43">
        <f>ዕቁብ!AK113/Sheet4!$C110</f>
        <v>0</v>
      </c>
      <c r="AK110" s="43">
        <f>ዕቁብ!AL113/Sheet4!$C110</f>
        <v>2</v>
      </c>
      <c r="AL110" s="43">
        <f>ዕቁብ!AM113/Sheet4!$C110</f>
        <v>0</v>
      </c>
      <c r="AM110" s="43">
        <f>ዕቁብ!AN113/Sheet4!$C110</f>
        <v>2</v>
      </c>
      <c r="AN110" s="43">
        <f>ዕቁብ!AO113/Sheet4!$C110</f>
        <v>1</v>
      </c>
      <c r="AO110" s="43">
        <f>ዕቁብ!AP113/Sheet4!$C110</f>
        <v>1</v>
      </c>
      <c r="AP110" s="43">
        <f>ዕቁብ!AQ113/Sheet4!$C110</f>
        <v>1</v>
      </c>
      <c r="AQ110" s="43">
        <f>ዕቁብ!AR113/Sheet4!$C110</f>
        <v>1</v>
      </c>
      <c r="AR110" s="43">
        <f>ዕቁብ!AS113/Sheet4!$C110</f>
        <v>1</v>
      </c>
      <c r="AS110" s="43">
        <f>ዕቁብ!AT113/Sheet4!$C110</f>
        <v>1</v>
      </c>
      <c r="AT110" s="43">
        <f>ዕቁብ!AU113/Sheet4!$C110</f>
        <v>1</v>
      </c>
      <c r="AU110" s="43">
        <f>ዕቁብ!AV113/Sheet4!$C110</f>
        <v>0</v>
      </c>
      <c r="AV110" s="43">
        <f>ዕቁብ!AW113/Sheet4!$C110</f>
        <v>2</v>
      </c>
      <c r="AW110" s="43">
        <f>ዕቁብ!AX113/Sheet4!$C110</f>
        <v>1</v>
      </c>
      <c r="AX110" s="43">
        <f>ዕቁብ!AY113/Sheet4!$C110</f>
        <v>0</v>
      </c>
      <c r="AY110" s="43">
        <f>ዕቁብ!AZ113/Sheet4!$C110</f>
        <v>2</v>
      </c>
      <c r="AZ110" s="43">
        <f>ዕቁብ!BA113/Sheet4!$C110</f>
        <v>0</v>
      </c>
      <c r="BA110" s="43">
        <f>ዕቁብ!BB113/Sheet4!$C110</f>
        <v>2</v>
      </c>
      <c r="BB110" s="43">
        <f>ዕቁብ!BC113/Sheet4!$C110</f>
        <v>1</v>
      </c>
      <c r="BC110" s="43">
        <f>ዕቁብ!BD113/Sheet4!$C110</f>
        <v>1</v>
      </c>
      <c r="BD110" s="43">
        <f>ዕቁብ!BE113/Sheet4!$C110</f>
        <v>0</v>
      </c>
      <c r="BE110" s="43">
        <f>ዕቁብ!BF113/Sheet4!$C110</f>
        <v>2</v>
      </c>
      <c r="BF110" s="43">
        <f>ዕቁብ!BG113/Sheet4!$C110</f>
        <v>1</v>
      </c>
      <c r="BG110" s="43">
        <f>ዕቁብ!BH113/Sheet4!$C110</f>
        <v>1</v>
      </c>
      <c r="BH110" s="43">
        <f>ዕቁብ!BI113/Sheet4!$C110</f>
        <v>0</v>
      </c>
      <c r="BI110" s="43">
        <f>ዕቁብ!BJ113/Sheet4!$C110</f>
        <v>2</v>
      </c>
      <c r="BJ110" s="43">
        <f>ዕቁብ!BK113/Sheet4!$C110</f>
        <v>1</v>
      </c>
      <c r="BK110" s="43">
        <f>ዕቁብ!BL113/Sheet4!$C110</f>
        <v>1</v>
      </c>
      <c r="BL110" s="43">
        <f>ዕቁብ!BM113/Sheet4!$C110</f>
        <v>1</v>
      </c>
      <c r="BM110" s="43">
        <f>ዕቁብ!BN113/Sheet4!$C110</f>
        <v>0</v>
      </c>
      <c r="BN110" s="43">
        <f>ዕቁብ!BO113/Sheet4!$C110</f>
        <v>1</v>
      </c>
      <c r="BO110" s="43">
        <f>ዕቁብ!BP113/Sheet4!$C110</f>
        <v>2</v>
      </c>
      <c r="BP110" s="43">
        <f>ዕቁብ!BQ113/Sheet4!$C110</f>
        <v>1</v>
      </c>
      <c r="BQ110" s="43">
        <f>ዕቁብ!BR113/Sheet4!$C110</f>
        <v>0</v>
      </c>
      <c r="BR110" s="43">
        <f>ዕቁብ!BS113/Sheet4!$C110</f>
        <v>2</v>
      </c>
      <c r="BS110" s="43">
        <f>ዕቁብ!BT113/Sheet4!$C110</f>
        <v>0</v>
      </c>
      <c r="BT110" s="43">
        <f>ዕቁብ!BU113/Sheet4!$C110</f>
        <v>2</v>
      </c>
      <c r="BU110" s="43">
        <f>ዕቁብ!BV113/Sheet4!$C110</f>
        <v>0</v>
      </c>
      <c r="BV110" s="43">
        <f>ዕቁብ!BW113/Sheet4!$C110</f>
        <v>2</v>
      </c>
      <c r="BW110" s="43">
        <f>ዕቁብ!BX113/Sheet4!$C110</f>
        <v>1</v>
      </c>
      <c r="BX110" s="43">
        <f>ዕቁብ!BY113/Sheet4!$C110</f>
        <v>0</v>
      </c>
      <c r="BY110" s="43">
        <f>ዕቁብ!BZ113/Sheet4!$C110</f>
        <v>2</v>
      </c>
      <c r="BZ110" s="43">
        <f>ዕቁብ!CA113/Sheet4!$C110</f>
        <v>0</v>
      </c>
      <c r="CA110" s="43">
        <f>ዕቁብ!CB113/Sheet4!$C110</f>
        <v>2</v>
      </c>
      <c r="CB110" s="43">
        <f>ዕቁብ!CC113/Sheet4!$C110</f>
        <v>1</v>
      </c>
      <c r="CC110" s="43">
        <f>ዕቁብ!CD113/Sheet4!$C110</f>
        <v>1</v>
      </c>
      <c r="CD110" s="43">
        <f>ዕቁብ!CE113/Sheet4!$C110</f>
        <v>0</v>
      </c>
      <c r="CE110" s="43">
        <f>ዕቁብ!CF113/Sheet4!$C110</f>
        <v>2</v>
      </c>
      <c r="CF110" s="43">
        <f>ዕቁብ!CG113/Sheet4!$C110</f>
        <v>0</v>
      </c>
      <c r="CG110" s="43">
        <f>ዕቁብ!CH113/Sheet4!$C110</f>
        <v>1</v>
      </c>
      <c r="CH110" s="43">
        <f>ዕቁብ!CI113/Sheet4!$C110</f>
        <v>1</v>
      </c>
      <c r="CI110" s="43">
        <f>ዕቁብ!CJ113/Sheet4!$C110</f>
        <v>1</v>
      </c>
      <c r="CJ110" s="43">
        <f>ዕቁብ!CK113/Sheet4!$C110</f>
        <v>1</v>
      </c>
      <c r="CK110" s="43">
        <f>ዕቁብ!CL113/Sheet4!$C110</f>
        <v>1</v>
      </c>
      <c r="CL110" s="43">
        <f>ዕቁብ!CM113/Sheet4!$C110</f>
        <v>1</v>
      </c>
      <c r="CM110" s="43">
        <f>ዕቁብ!CN113/Sheet4!$C110</f>
        <v>1</v>
      </c>
      <c r="CN110" s="43">
        <f>ዕቁብ!CO113/Sheet4!$C110</f>
        <v>1</v>
      </c>
      <c r="CO110" s="43">
        <f>ዕቁብ!CP113/Sheet4!$C110</f>
        <v>1</v>
      </c>
      <c r="CP110" s="43">
        <f>ዕቁብ!CQ113/Sheet4!$C110</f>
        <v>1</v>
      </c>
      <c r="CQ110" s="43">
        <f>ዕቁብ!CR113/Sheet4!$C110</f>
        <v>1</v>
      </c>
      <c r="CR110" s="43">
        <f>ዕቁብ!CS113/Sheet4!$C110</f>
        <v>1</v>
      </c>
      <c r="CS110" s="43">
        <f>ዕቁብ!CT113/Sheet4!$C110</f>
        <v>1</v>
      </c>
      <c r="CT110" s="43">
        <f>ዕቁብ!CU113/Sheet4!$C110</f>
        <v>1</v>
      </c>
      <c r="CU110" s="43">
        <f>ዕቁብ!CV113/Sheet4!$C110</f>
        <v>1</v>
      </c>
      <c r="CV110" s="43">
        <f>ዕቁብ!CW113/Sheet4!$C110</f>
        <v>1</v>
      </c>
      <c r="CW110" s="43">
        <f>ዕቁብ!CX113/Sheet4!$C110</f>
        <v>1</v>
      </c>
      <c r="CX110" s="43">
        <f>ዕቁብ!CY113/Sheet4!$C110</f>
        <v>1</v>
      </c>
      <c r="CY110" s="43">
        <f>ዕቁብ!CZ113/Sheet4!$C110</f>
        <v>1</v>
      </c>
      <c r="CZ110" s="43">
        <f>ዕቁብ!DA113/Sheet4!$C110</f>
        <v>1</v>
      </c>
      <c r="DA110" s="43">
        <f>ዕቁብ!DB113/Sheet4!$C110</f>
        <v>1</v>
      </c>
      <c r="DB110" s="43">
        <f>ዕቁብ!DC113/Sheet4!$C110</f>
        <v>1</v>
      </c>
      <c r="DC110" s="43">
        <f>ዕቁብ!DD113/Sheet4!$C110</f>
        <v>1</v>
      </c>
      <c r="DD110" s="43">
        <f>ዕቁብ!DE113/Sheet4!$C110</f>
        <v>1</v>
      </c>
      <c r="DE110" s="43">
        <f>ዕቁብ!DF113/Sheet4!$C110</f>
        <v>1</v>
      </c>
      <c r="DF110" s="43">
        <f>ዕቁብ!DG113/Sheet4!$C110</f>
        <v>1</v>
      </c>
      <c r="DG110" s="43">
        <f>ዕቁብ!DH113/Sheet4!$C110</f>
        <v>1</v>
      </c>
      <c r="DH110" s="43">
        <f>ዕቁብ!DI113/Sheet4!$C110</f>
        <v>0</v>
      </c>
      <c r="DI110" s="43">
        <f>ዕቁብ!DJ113/Sheet4!$C110</f>
        <v>0</v>
      </c>
      <c r="DJ110" s="43">
        <f>ዕቁብ!DK113/Sheet4!$C110</f>
        <v>0</v>
      </c>
      <c r="DK110" s="43">
        <f>ዕቁብ!DL113/Sheet4!$C110</f>
        <v>0</v>
      </c>
      <c r="DL110" s="43">
        <f>ዕቁብ!DM113/Sheet4!$C110</f>
        <v>0</v>
      </c>
      <c r="DM110" s="43">
        <f>ዕቁብ!DN113/Sheet4!$C110</f>
        <v>0</v>
      </c>
      <c r="DN110" s="43">
        <f>ዕቁብ!DO113/Sheet4!$C110</f>
        <v>0</v>
      </c>
      <c r="DO110" s="43">
        <f>ዕቁብ!DP113/Sheet4!$C110</f>
        <v>0</v>
      </c>
      <c r="DP110" s="43">
        <f>ዕቁብ!DQ113/Sheet4!$C110</f>
        <v>0</v>
      </c>
      <c r="DQ110" s="43">
        <f>ዕቁብ!DR113/Sheet4!$C110</f>
        <v>0</v>
      </c>
    </row>
    <row r="111" spans="1:121" ht="15.75" customHeight="1" x14ac:dyDescent="0.3">
      <c r="A111" s="40">
        <f>ዕቁብ!A114</f>
        <v>101</v>
      </c>
      <c r="B111" s="40" t="str">
        <f>ዕቁብ!B114</f>
        <v>ሰጋሮ ገለሶ</v>
      </c>
      <c r="C111" s="30">
        <f>ዕቁብ!C114</f>
        <v>10500</v>
      </c>
      <c r="D111" s="43">
        <f>ዕቁብ!E114/Sheet4!$C111</f>
        <v>1</v>
      </c>
      <c r="E111" s="43">
        <f>ዕቁብ!F114/Sheet4!$C111</f>
        <v>1</v>
      </c>
      <c r="F111" s="43">
        <f>ዕቁብ!G114/Sheet4!$C111</f>
        <v>1</v>
      </c>
      <c r="G111" s="43">
        <f>ዕቁብ!H114/Sheet4!$C111</f>
        <v>1</v>
      </c>
      <c r="H111" s="43">
        <f>ዕቁብ!I114/Sheet4!$C111</f>
        <v>1</v>
      </c>
      <c r="I111" s="43">
        <f>ዕቁብ!J114/Sheet4!$C111</f>
        <v>1</v>
      </c>
      <c r="J111" s="43">
        <f>ዕቁብ!K114/Sheet4!$C111</f>
        <v>1</v>
      </c>
      <c r="K111" s="43">
        <f>ዕቁብ!L114/Sheet4!$C111</f>
        <v>1</v>
      </c>
      <c r="L111" s="43">
        <f>ዕቁብ!M114/Sheet4!$C111</f>
        <v>1</v>
      </c>
      <c r="M111" s="43">
        <f>ዕቁብ!N114/Sheet4!$C111</f>
        <v>1</v>
      </c>
      <c r="N111" s="43">
        <f>ዕቁብ!O114/Sheet4!$C111</f>
        <v>1</v>
      </c>
      <c r="O111" s="43">
        <f>ዕቁብ!P114/Sheet4!$C111</f>
        <v>1</v>
      </c>
      <c r="P111" s="43">
        <f>ዕቁብ!Q114/Sheet4!$C111</f>
        <v>1</v>
      </c>
      <c r="Q111" s="43">
        <f>ዕቁብ!R114/Sheet4!$C111</f>
        <v>1</v>
      </c>
      <c r="R111" s="43">
        <f>ዕቁብ!S114/Sheet4!$C111</f>
        <v>1</v>
      </c>
      <c r="S111" s="43">
        <f>ዕቁብ!T114/Sheet4!$C111</f>
        <v>1</v>
      </c>
      <c r="T111" s="43">
        <f>ዕቁብ!U114/Sheet4!$C111</f>
        <v>1</v>
      </c>
      <c r="U111" s="43">
        <f>ዕቁብ!V114/Sheet4!$C111</f>
        <v>1</v>
      </c>
      <c r="V111" s="43">
        <f>ዕቁብ!W114/Sheet4!$C111</f>
        <v>1</v>
      </c>
      <c r="W111" s="43">
        <f>ዕቁብ!X114/Sheet4!$C111</f>
        <v>0</v>
      </c>
      <c r="X111" s="43">
        <f>ዕቁብ!Y114/Sheet4!$C111</f>
        <v>1</v>
      </c>
      <c r="Y111" s="43">
        <f>ዕቁብ!Z114/Sheet4!$C111</f>
        <v>1</v>
      </c>
      <c r="Z111" s="43">
        <f>ዕቁብ!AA114/Sheet4!$C111</f>
        <v>1</v>
      </c>
      <c r="AA111" s="43">
        <f>ዕቁብ!AB114/Sheet4!$C111</f>
        <v>0</v>
      </c>
      <c r="AB111" s="43">
        <f>ዕቁብ!AC114/Sheet4!$C111</f>
        <v>2</v>
      </c>
      <c r="AC111" s="43">
        <f>ዕቁብ!AD114/Sheet4!$C111</f>
        <v>1</v>
      </c>
      <c r="AD111" s="43">
        <f>ዕቁብ!AE114/Sheet4!$C111</f>
        <v>1</v>
      </c>
      <c r="AE111" s="43">
        <f>ዕቁብ!AF114/Sheet4!$C111</f>
        <v>1</v>
      </c>
      <c r="AF111" s="43">
        <f>ዕቁብ!AG114/Sheet4!$C111</f>
        <v>1</v>
      </c>
      <c r="AG111" s="43">
        <f>ዕቁብ!AH114/Sheet4!$C111</f>
        <v>1</v>
      </c>
      <c r="AH111" s="43">
        <f>ዕቁብ!AI114/Sheet4!$C111</f>
        <v>1</v>
      </c>
      <c r="AI111" s="43">
        <f>ዕቁብ!AJ114/Sheet4!$C111</f>
        <v>1</v>
      </c>
      <c r="AJ111" s="43">
        <f>ዕቁብ!AK114/Sheet4!$C111</f>
        <v>1</v>
      </c>
      <c r="AK111" s="43">
        <f>ዕቁብ!AL114/Sheet4!$C111</f>
        <v>1</v>
      </c>
      <c r="AL111" s="43">
        <f>ዕቁብ!AM114/Sheet4!$C111</f>
        <v>1</v>
      </c>
      <c r="AM111" s="43">
        <f>ዕቁብ!AN114/Sheet4!$C111</f>
        <v>1</v>
      </c>
      <c r="AN111" s="43">
        <f>ዕቁብ!AO114/Sheet4!$C111</f>
        <v>1</v>
      </c>
      <c r="AO111" s="43">
        <f>ዕቁብ!AP114/Sheet4!$C111</f>
        <v>1</v>
      </c>
      <c r="AP111" s="43">
        <f>ዕቁብ!AQ114/Sheet4!$C111</f>
        <v>1</v>
      </c>
      <c r="AQ111" s="43">
        <f>ዕቁብ!AR114/Sheet4!$C111</f>
        <v>1</v>
      </c>
      <c r="AR111" s="43">
        <f>ዕቁብ!AS114/Sheet4!$C111</f>
        <v>1</v>
      </c>
      <c r="AS111" s="43">
        <f>ዕቁብ!AT114/Sheet4!$C111</f>
        <v>1</v>
      </c>
      <c r="AT111" s="43">
        <f>ዕቁብ!AU114/Sheet4!$C111</f>
        <v>0</v>
      </c>
      <c r="AU111" s="43">
        <f>ዕቁብ!AV114/Sheet4!$C111</f>
        <v>1</v>
      </c>
      <c r="AV111" s="43">
        <f>ዕቁብ!AW114/Sheet4!$C111</f>
        <v>1</v>
      </c>
      <c r="AW111" s="43">
        <f>ዕቁብ!AX114/Sheet4!$C111</f>
        <v>1</v>
      </c>
      <c r="AX111" s="43">
        <f>ዕቁብ!AY114/Sheet4!$C111</f>
        <v>1</v>
      </c>
      <c r="AY111" s="43">
        <f>ዕቁብ!AZ114/Sheet4!$C111</f>
        <v>1</v>
      </c>
      <c r="AZ111" s="43">
        <f>ዕቁብ!BA114/Sheet4!$C111</f>
        <v>0</v>
      </c>
      <c r="BA111" s="43">
        <f>ዕቁብ!BB114/Sheet4!$C111</f>
        <v>2</v>
      </c>
      <c r="BB111" s="43">
        <f>ዕቁብ!BC114/Sheet4!$C111</f>
        <v>1</v>
      </c>
      <c r="BC111" s="43">
        <f>ዕቁብ!BD114/Sheet4!$C111</f>
        <v>1</v>
      </c>
      <c r="BD111" s="43">
        <f>ዕቁብ!BE114/Sheet4!$C111</f>
        <v>0</v>
      </c>
      <c r="BE111" s="43">
        <f>ዕቁብ!BF114/Sheet4!$C111</f>
        <v>2</v>
      </c>
      <c r="BF111" s="43">
        <f>ዕቁብ!BG114/Sheet4!$C111</f>
        <v>1</v>
      </c>
      <c r="BG111" s="43">
        <f>ዕቁብ!BH114/Sheet4!$C111</f>
        <v>1</v>
      </c>
      <c r="BH111" s="43">
        <f>ዕቁብ!BI114/Sheet4!$C111</f>
        <v>1</v>
      </c>
      <c r="BI111" s="43">
        <f>ዕቁብ!BJ114/Sheet4!$C111</f>
        <v>1</v>
      </c>
      <c r="BJ111" s="43">
        <f>ዕቁብ!BK114/Sheet4!$C111</f>
        <v>0</v>
      </c>
      <c r="BK111" s="43">
        <f>ዕቁብ!BL114/Sheet4!$C111</f>
        <v>2</v>
      </c>
      <c r="BL111" s="43">
        <f>ዕቁብ!BM114/Sheet4!$C111</f>
        <v>1</v>
      </c>
      <c r="BM111" s="43">
        <f>ዕቁብ!BN114/Sheet4!$C111</f>
        <v>0</v>
      </c>
      <c r="BN111" s="43">
        <f>ዕቁብ!BO114/Sheet4!$C111</f>
        <v>2</v>
      </c>
      <c r="BO111" s="43">
        <f>ዕቁብ!BP114/Sheet4!$C111</f>
        <v>1</v>
      </c>
      <c r="BP111" s="43">
        <f>ዕቁብ!BQ114/Sheet4!$C111</f>
        <v>1</v>
      </c>
      <c r="BQ111" s="43">
        <f>ዕቁብ!BR114/Sheet4!$C111</f>
        <v>0</v>
      </c>
      <c r="BR111" s="43">
        <f>ዕቁብ!BS114/Sheet4!$C111</f>
        <v>2</v>
      </c>
      <c r="BS111" s="43">
        <f>ዕቁብ!BT114/Sheet4!$C111</f>
        <v>0</v>
      </c>
      <c r="BT111" s="43">
        <f>ዕቁብ!BU114/Sheet4!$C111</f>
        <v>2</v>
      </c>
      <c r="BU111" s="43">
        <f>ዕቁብ!BV114/Sheet4!$C111</f>
        <v>0</v>
      </c>
      <c r="BV111" s="43">
        <f>ዕቁብ!BW114/Sheet4!$C111</f>
        <v>2</v>
      </c>
      <c r="BW111" s="43">
        <f>ዕቁብ!BX114/Sheet4!$C111</f>
        <v>0</v>
      </c>
      <c r="BX111" s="43">
        <f>ዕቁብ!BY114/Sheet4!$C111</f>
        <v>2</v>
      </c>
      <c r="BY111" s="43">
        <f>ዕቁብ!BZ114/Sheet4!$C111</f>
        <v>0</v>
      </c>
      <c r="BZ111" s="43">
        <f>ዕቁብ!CA114/Sheet4!$C111</f>
        <v>2</v>
      </c>
      <c r="CA111" s="43">
        <f>ዕቁብ!CB114/Sheet4!$C111</f>
        <v>0</v>
      </c>
      <c r="CB111" s="43">
        <f>ዕቁብ!CC114/Sheet4!$C111</f>
        <v>2</v>
      </c>
      <c r="CC111" s="43">
        <f>ዕቁብ!CD114/Sheet4!$C111</f>
        <v>0</v>
      </c>
      <c r="CD111" s="43">
        <f>ዕቁብ!CE114/Sheet4!$C111</f>
        <v>0</v>
      </c>
      <c r="CE111" s="43">
        <f>ዕቁብ!CF114/Sheet4!$C111</f>
        <v>2</v>
      </c>
      <c r="CF111" s="43">
        <f>ዕቁብ!CG114/Sheet4!$C111</f>
        <v>1</v>
      </c>
      <c r="CG111" s="43">
        <f>ዕቁብ!CH114/Sheet4!$C111</f>
        <v>1</v>
      </c>
      <c r="CH111" s="43">
        <f>ዕቁብ!CI114/Sheet4!$C111</f>
        <v>1</v>
      </c>
      <c r="CI111" s="43">
        <f>ዕቁብ!CJ114/Sheet4!$C111</f>
        <v>1</v>
      </c>
      <c r="CJ111" s="43">
        <f>ዕቁብ!CK114/Sheet4!$C111</f>
        <v>1</v>
      </c>
      <c r="CK111" s="43">
        <f>ዕቁብ!CL114/Sheet4!$C111</f>
        <v>1</v>
      </c>
      <c r="CL111" s="43">
        <f>ዕቁብ!CM114/Sheet4!$C111</f>
        <v>1</v>
      </c>
      <c r="CM111" s="43">
        <f>ዕቁብ!CN114/Sheet4!$C111</f>
        <v>1</v>
      </c>
      <c r="CN111" s="43">
        <f>ዕቁብ!CO114/Sheet4!$C111</f>
        <v>1</v>
      </c>
      <c r="CO111" s="43">
        <f>ዕቁብ!CP114/Sheet4!$C111</f>
        <v>0</v>
      </c>
      <c r="CP111" s="43">
        <f>ዕቁብ!CQ114/Sheet4!$C111</f>
        <v>2</v>
      </c>
      <c r="CQ111" s="43">
        <f>ዕቁብ!CR114/Sheet4!$C111</f>
        <v>0</v>
      </c>
      <c r="CR111" s="43">
        <f>ዕቁብ!CS114/Sheet4!$C111</f>
        <v>1</v>
      </c>
      <c r="CS111" s="43">
        <f>ዕቁብ!CT114/Sheet4!$C111</f>
        <v>1</v>
      </c>
      <c r="CT111" s="43">
        <f>ዕቁብ!CU114/Sheet4!$C111</f>
        <v>1</v>
      </c>
      <c r="CU111" s="43">
        <f>ዕቁብ!CV114/Sheet4!$C111</f>
        <v>1</v>
      </c>
      <c r="CV111" s="43">
        <f>ዕቁብ!CW114/Sheet4!$C111</f>
        <v>1</v>
      </c>
      <c r="CW111" s="43">
        <f>ዕቁብ!CX114/Sheet4!$C111</f>
        <v>1</v>
      </c>
      <c r="CX111" s="43">
        <f>ዕቁብ!CY114/Sheet4!$C111</f>
        <v>1</v>
      </c>
      <c r="CY111" s="43">
        <f>ዕቁብ!CZ114/Sheet4!$C111</f>
        <v>1</v>
      </c>
      <c r="CZ111" s="43">
        <f>ዕቁብ!DA114/Sheet4!$C111</f>
        <v>1</v>
      </c>
      <c r="DA111" s="43">
        <f>ዕቁብ!DB114/Sheet4!$C111</f>
        <v>1</v>
      </c>
      <c r="DB111" s="43">
        <f>ዕቁብ!DC114/Sheet4!$C111</f>
        <v>1</v>
      </c>
      <c r="DC111" s="43">
        <f>ዕቁብ!DD114/Sheet4!$C111</f>
        <v>1</v>
      </c>
      <c r="DD111" s="43">
        <f>ዕቁብ!DE114/Sheet4!$C111</f>
        <v>0</v>
      </c>
      <c r="DE111" s="43">
        <f>ዕቁብ!DF114/Sheet4!$C111</f>
        <v>1</v>
      </c>
      <c r="DF111" s="43">
        <f>ዕቁብ!DG114/Sheet4!$C111</f>
        <v>1</v>
      </c>
      <c r="DG111" s="43">
        <f>ዕቁብ!DH114/Sheet4!$C111</f>
        <v>0</v>
      </c>
      <c r="DH111" s="43">
        <f>ዕቁብ!DI114/Sheet4!$C111</f>
        <v>0</v>
      </c>
      <c r="DI111" s="43">
        <f>ዕቁብ!DJ114/Sheet4!$C111</f>
        <v>0</v>
      </c>
      <c r="DJ111" s="43">
        <f>ዕቁብ!DK114/Sheet4!$C111</f>
        <v>0</v>
      </c>
      <c r="DK111" s="43">
        <f>ዕቁብ!DL114/Sheet4!$C111</f>
        <v>0</v>
      </c>
      <c r="DL111" s="43">
        <f>ዕቁብ!DM114/Sheet4!$C111</f>
        <v>0</v>
      </c>
      <c r="DM111" s="43">
        <f>ዕቁብ!DN114/Sheet4!$C111</f>
        <v>0</v>
      </c>
      <c r="DN111" s="43">
        <f>ዕቁብ!DO114/Sheet4!$C111</f>
        <v>0</v>
      </c>
      <c r="DO111" s="43">
        <f>ዕቁብ!DP114/Sheet4!$C111</f>
        <v>0</v>
      </c>
      <c r="DP111" s="43">
        <f>ዕቁብ!DQ114/Sheet4!$C111</f>
        <v>0</v>
      </c>
      <c r="DQ111" s="43">
        <f>ዕቁብ!DR114/Sheet4!$C111</f>
        <v>0</v>
      </c>
    </row>
    <row r="112" spans="1:121" ht="15.75" customHeight="1" x14ac:dyDescent="0.3">
      <c r="A112" s="40">
        <f>ዕቁብ!A115</f>
        <v>101</v>
      </c>
      <c r="B112" s="40" t="str">
        <f>ዕቁብ!B115</f>
        <v xml:space="preserve">ስካሬ ደጋጋ </v>
      </c>
      <c r="C112" s="30">
        <f>ዕቁብ!C115</f>
        <v>10500</v>
      </c>
      <c r="D112" s="43">
        <f>ዕቁብ!E115/Sheet4!$C112</f>
        <v>1</v>
      </c>
      <c r="E112" s="43">
        <f>ዕቁብ!F115/Sheet4!$C112</f>
        <v>1</v>
      </c>
      <c r="F112" s="43">
        <f>ዕቁብ!G115/Sheet4!$C112</f>
        <v>1</v>
      </c>
      <c r="G112" s="43">
        <f>ዕቁብ!H115/Sheet4!$C112</f>
        <v>1</v>
      </c>
      <c r="H112" s="43">
        <f>ዕቁብ!I115/Sheet4!$C112</f>
        <v>1</v>
      </c>
      <c r="I112" s="43">
        <f>ዕቁብ!J115/Sheet4!$C112</f>
        <v>1</v>
      </c>
      <c r="J112" s="43">
        <f>ዕቁብ!K115/Sheet4!$C112</f>
        <v>1</v>
      </c>
      <c r="K112" s="43">
        <f>ዕቁብ!L115/Sheet4!$C112</f>
        <v>1</v>
      </c>
      <c r="L112" s="43">
        <f>ዕቁብ!M115/Sheet4!$C112</f>
        <v>1</v>
      </c>
      <c r="M112" s="43">
        <f>ዕቁብ!N115/Sheet4!$C112</f>
        <v>1</v>
      </c>
      <c r="N112" s="43">
        <f>ዕቁብ!O115/Sheet4!$C112</f>
        <v>1</v>
      </c>
      <c r="O112" s="43">
        <f>ዕቁብ!P115/Sheet4!$C112</f>
        <v>1</v>
      </c>
      <c r="P112" s="43">
        <f>ዕቁብ!Q115/Sheet4!$C112</f>
        <v>1</v>
      </c>
      <c r="Q112" s="43">
        <f>ዕቁብ!R115/Sheet4!$C112</f>
        <v>1</v>
      </c>
      <c r="R112" s="43">
        <f>ዕቁብ!S115/Sheet4!$C112</f>
        <v>1</v>
      </c>
      <c r="S112" s="43">
        <f>ዕቁብ!T115/Sheet4!$C112</f>
        <v>1</v>
      </c>
      <c r="T112" s="43">
        <f>ዕቁብ!U115/Sheet4!$C112</f>
        <v>1</v>
      </c>
      <c r="U112" s="43">
        <f>ዕቁብ!V115/Sheet4!$C112</f>
        <v>1</v>
      </c>
      <c r="V112" s="43">
        <f>ዕቁብ!W115/Sheet4!$C112</f>
        <v>1</v>
      </c>
      <c r="W112" s="43">
        <f>ዕቁብ!X115/Sheet4!$C112</f>
        <v>1</v>
      </c>
      <c r="X112" s="43">
        <f>ዕቁብ!Y115/Sheet4!$C112</f>
        <v>1</v>
      </c>
      <c r="Y112" s="43">
        <f>ዕቁብ!Z115/Sheet4!$C112</f>
        <v>1</v>
      </c>
      <c r="Z112" s="43">
        <f>ዕቁብ!AA115/Sheet4!$C112</f>
        <v>1</v>
      </c>
      <c r="AA112" s="43">
        <f>ዕቁብ!AB115/Sheet4!$C112</f>
        <v>1</v>
      </c>
      <c r="AB112" s="43">
        <f>ዕቁብ!AC115/Sheet4!$C112</f>
        <v>1</v>
      </c>
      <c r="AC112" s="43">
        <f>ዕቁብ!AD115/Sheet4!$C112</f>
        <v>1</v>
      </c>
      <c r="AD112" s="43">
        <f>ዕቁብ!AE115/Sheet4!$C112</f>
        <v>1</v>
      </c>
      <c r="AE112" s="43">
        <f>ዕቁብ!AF115/Sheet4!$C112</f>
        <v>1</v>
      </c>
      <c r="AF112" s="43">
        <f>ዕቁብ!AG115/Sheet4!$C112</f>
        <v>1</v>
      </c>
      <c r="AG112" s="43">
        <f>ዕቁብ!AH115/Sheet4!$C112</f>
        <v>1</v>
      </c>
      <c r="AH112" s="43">
        <f>ዕቁብ!AI115/Sheet4!$C112</f>
        <v>1</v>
      </c>
      <c r="AI112" s="43">
        <f>ዕቁብ!AJ115/Sheet4!$C112</f>
        <v>1</v>
      </c>
      <c r="AJ112" s="43">
        <f>ዕቁብ!AK115/Sheet4!$C112</f>
        <v>1</v>
      </c>
      <c r="AK112" s="43">
        <f>ዕቁብ!AL115/Sheet4!$C112</f>
        <v>1</v>
      </c>
      <c r="AL112" s="43">
        <f>ዕቁብ!AM115/Sheet4!$C112</f>
        <v>1</v>
      </c>
      <c r="AM112" s="43">
        <f>ዕቁብ!AN115/Sheet4!$C112</f>
        <v>1</v>
      </c>
      <c r="AN112" s="43">
        <f>ዕቁብ!AO115/Sheet4!$C112</f>
        <v>1</v>
      </c>
      <c r="AO112" s="43">
        <f>ዕቁብ!AP115/Sheet4!$C112</f>
        <v>1</v>
      </c>
      <c r="AP112" s="43">
        <f>ዕቁብ!AQ115/Sheet4!$C112</f>
        <v>1</v>
      </c>
      <c r="AQ112" s="43">
        <f>ዕቁብ!AR115/Sheet4!$C112</f>
        <v>1</v>
      </c>
      <c r="AR112" s="43">
        <f>ዕቁብ!AS115/Sheet4!$C112</f>
        <v>1</v>
      </c>
      <c r="AS112" s="43">
        <f>ዕቁብ!AT115/Sheet4!$C112</f>
        <v>1</v>
      </c>
      <c r="AT112" s="43">
        <f>ዕቁብ!AU115/Sheet4!$C112</f>
        <v>1</v>
      </c>
      <c r="AU112" s="43">
        <f>ዕቁብ!AV115/Sheet4!$C112</f>
        <v>1</v>
      </c>
      <c r="AV112" s="43">
        <f>ዕቁብ!AW115/Sheet4!$C112</f>
        <v>1</v>
      </c>
      <c r="AW112" s="43">
        <f>ዕቁብ!AX115/Sheet4!$C112</f>
        <v>1</v>
      </c>
      <c r="AX112" s="43">
        <f>ዕቁብ!AY115/Sheet4!$C112</f>
        <v>1</v>
      </c>
      <c r="AY112" s="43">
        <f>ዕቁብ!AZ115/Sheet4!$C112</f>
        <v>1</v>
      </c>
      <c r="AZ112" s="43">
        <f>ዕቁብ!BA115/Sheet4!$C112</f>
        <v>1</v>
      </c>
      <c r="BA112" s="43">
        <f>ዕቁብ!BB115/Sheet4!$C112</f>
        <v>1</v>
      </c>
      <c r="BB112" s="43">
        <f>ዕቁብ!BC115/Sheet4!$C112</f>
        <v>1</v>
      </c>
      <c r="BC112" s="43">
        <f>ዕቁብ!BD115/Sheet4!$C112</f>
        <v>1</v>
      </c>
      <c r="BD112" s="43">
        <f>ዕቁብ!BE115/Sheet4!$C112</f>
        <v>1</v>
      </c>
      <c r="BE112" s="43">
        <f>ዕቁብ!BF115/Sheet4!$C112</f>
        <v>1</v>
      </c>
      <c r="BF112" s="43">
        <f>ዕቁብ!BG115/Sheet4!$C112</f>
        <v>1</v>
      </c>
      <c r="BG112" s="43">
        <f>ዕቁብ!BH115/Sheet4!$C112</f>
        <v>1</v>
      </c>
      <c r="BH112" s="43">
        <f>ዕቁብ!BI115/Sheet4!$C112</f>
        <v>1</v>
      </c>
      <c r="BI112" s="43">
        <f>ዕቁብ!BJ115/Sheet4!$C112</f>
        <v>1</v>
      </c>
      <c r="BJ112" s="43">
        <f>ዕቁብ!BK115/Sheet4!$C112</f>
        <v>1</v>
      </c>
      <c r="BK112" s="43">
        <f>ዕቁብ!BL115/Sheet4!$C112</f>
        <v>1</v>
      </c>
      <c r="BL112" s="43">
        <f>ዕቁብ!BM115/Sheet4!$C112</f>
        <v>1</v>
      </c>
      <c r="BM112" s="43">
        <f>ዕቁብ!BN115/Sheet4!$C112</f>
        <v>0</v>
      </c>
      <c r="BN112" s="43">
        <f>ዕቁብ!BO115/Sheet4!$C112</f>
        <v>2</v>
      </c>
      <c r="BO112" s="43">
        <f>ዕቁብ!BP115/Sheet4!$C112</f>
        <v>1</v>
      </c>
      <c r="BP112" s="43">
        <f>ዕቁብ!BQ115/Sheet4!$C112</f>
        <v>1</v>
      </c>
      <c r="BQ112" s="43">
        <f>ዕቁብ!BR115/Sheet4!$C112</f>
        <v>1</v>
      </c>
      <c r="BR112" s="43">
        <f>ዕቁብ!BS115/Sheet4!$C112</f>
        <v>1</v>
      </c>
      <c r="BS112" s="43">
        <f>ዕቁብ!BT115/Sheet4!$C112</f>
        <v>1</v>
      </c>
      <c r="BT112" s="43">
        <f>ዕቁብ!BU115/Sheet4!$C112</f>
        <v>1</v>
      </c>
      <c r="BU112" s="43">
        <f>ዕቁብ!BV115/Sheet4!$C112</f>
        <v>1</v>
      </c>
      <c r="BV112" s="43">
        <f>ዕቁብ!BW115/Sheet4!$C112</f>
        <v>1</v>
      </c>
      <c r="BW112" s="43">
        <f>ዕቁብ!BX115/Sheet4!$C112</f>
        <v>1</v>
      </c>
      <c r="BX112" s="43">
        <f>ዕቁብ!BY115/Sheet4!$C112</f>
        <v>1</v>
      </c>
      <c r="BY112" s="43">
        <f>ዕቁብ!BZ115/Sheet4!$C112</f>
        <v>1</v>
      </c>
      <c r="BZ112" s="43">
        <f>ዕቁብ!CA115/Sheet4!$C112</f>
        <v>1</v>
      </c>
      <c r="CA112" s="43">
        <f>ዕቁብ!CB115/Sheet4!$C112</f>
        <v>1</v>
      </c>
      <c r="CB112" s="43">
        <f>ዕቁብ!CC115/Sheet4!$C112</f>
        <v>1</v>
      </c>
      <c r="CC112" s="43">
        <f>ዕቁብ!CD115/Sheet4!$C112</f>
        <v>1</v>
      </c>
      <c r="CD112" s="43">
        <f>ዕቁብ!CE115/Sheet4!$C112</f>
        <v>1</v>
      </c>
      <c r="CE112" s="43">
        <f>ዕቁብ!CF115/Sheet4!$C112</f>
        <v>1</v>
      </c>
      <c r="CF112" s="43">
        <f>ዕቁብ!CG115/Sheet4!$C112</f>
        <v>1</v>
      </c>
      <c r="CG112" s="43">
        <f>ዕቁብ!CH115/Sheet4!$C112</f>
        <v>1</v>
      </c>
      <c r="CH112" s="43">
        <f>ዕቁብ!CI115/Sheet4!$C112</f>
        <v>1</v>
      </c>
      <c r="CI112" s="43">
        <f>ዕቁብ!CJ115/Sheet4!$C112</f>
        <v>1</v>
      </c>
      <c r="CJ112" s="43">
        <f>ዕቁብ!CK115/Sheet4!$C112</f>
        <v>1</v>
      </c>
      <c r="CK112" s="43">
        <f>ዕቁብ!CL115/Sheet4!$C112</f>
        <v>1</v>
      </c>
      <c r="CL112" s="43">
        <f>ዕቁብ!CM115/Sheet4!$C112</f>
        <v>1</v>
      </c>
      <c r="CM112" s="43">
        <f>ዕቁብ!CN115/Sheet4!$C112</f>
        <v>1</v>
      </c>
      <c r="CN112" s="43">
        <f>ዕቁብ!CO115/Sheet4!$C112</f>
        <v>1</v>
      </c>
      <c r="CO112" s="43">
        <f>ዕቁብ!CP115/Sheet4!$C112</f>
        <v>1</v>
      </c>
      <c r="CP112" s="43">
        <f>ዕቁብ!CQ115/Sheet4!$C112</f>
        <v>1</v>
      </c>
      <c r="CQ112" s="43">
        <f>ዕቁብ!CR115/Sheet4!$C112</f>
        <v>1</v>
      </c>
      <c r="CR112" s="43">
        <f>ዕቁብ!CS115/Sheet4!$C112</f>
        <v>1</v>
      </c>
      <c r="CS112" s="43">
        <f>ዕቁብ!CT115/Sheet4!$C112</f>
        <v>1</v>
      </c>
      <c r="CT112" s="43">
        <f>ዕቁብ!CU115/Sheet4!$C112</f>
        <v>1</v>
      </c>
      <c r="CU112" s="43">
        <f>ዕቁብ!CV115/Sheet4!$C112</f>
        <v>1</v>
      </c>
      <c r="CV112" s="43">
        <f>ዕቁብ!CW115/Sheet4!$C112</f>
        <v>1</v>
      </c>
      <c r="CW112" s="43">
        <f>ዕቁብ!CX115/Sheet4!$C112</f>
        <v>1</v>
      </c>
      <c r="CX112" s="43">
        <f>ዕቁብ!CY115/Sheet4!$C112</f>
        <v>1</v>
      </c>
      <c r="CY112" s="43">
        <f>ዕቁብ!CZ115/Sheet4!$C112</f>
        <v>1</v>
      </c>
      <c r="CZ112" s="43">
        <f>ዕቁብ!DA115/Sheet4!$C112</f>
        <v>1</v>
      </c>
      <c r="DA112" s="43">
        <f>ዕቁብ!DB115/Sheet4!$C112</f>
        <v>1</v>
      </c>
      <c r="DB112" s="43">
        <f>ዕቁብ!DC115/Sheet4!$C112</f>
        <v>1</v>
      </c>
      <c r="DC112" s="43">
        <f>ዕቁብ!DD115/Sheet4!$C112</f>
        <v>1</v>
      </c>
      <c r="DD112" s="43">
        <f>ዕቁብ!DE115/Sheet4!$C112</f>
        <v>1</v>
      </c>
      <c r="DE112" s="43">
        <f>ዕቁብ!DF115/Sheet4!$C112</f>
        <v>1</v>
      </c>
      <c r="DF112" s="43">
        <f>ዕቁብ!DG115/Sheet4!$C112</f>
        <v>1</v>
      </c>
      <c r="DG112" s="43">
        <f>ዕቁብ!DH115/Sheet4!$C112</f>
        <v>1</v>
      </c>
      <c r="DH112" s="43">
        <f>ዕቁብ!DI115/Sheet4!$C112</f>
        <v>0</v>
      </c>
      <c r="DI112" s="43">
        <f>ዕቁብ!DJ115/Sheet4!$C112</f>
        <v>0</v>
      </c>
      <c r="DJ112" s="43">
        <f>ዕቁብ!DK115/Sheet4!$C112</f>
        <v>0</v>
      </c>
      <c r="DK112" s="43">
        <f>ዕቁብ!DL115/Sheet4!$C112</f>
        <v>0</v>
      </c>
      <c r="DL112" s="43">
        <f>ዕቁብ!DM115/Sheet4!$C112</f>
        <v>0</v>
      </c>
      <c r="DM112" s="43">
        <f>ዕቁብ!DN115/Sheet4!$C112</f>
        <v>0</v>
      </c>
      <c r="DN112" s="43">
        <f>ዕቁብ!DO115/Sheet4!$C112</f>
        <v>0</v>
      </c>
      <c r="DO112" s="43">
        <f>ዕቁብ!DP115/Sheet4!$C112</f>
        <v>0</v>
      </c>
      <c r="DP112" s="43">
        <f>ዕቁብ!DQ115/Sheet4!$C112</f>
        <v>0</v>
      </c>
      <c r="DQ112" s="43">
        <f>ዕቁብ!DR115/Sheet4!$C112</f>
        <v>0</v>
      </c>
    </row>
    <row r="113" spans="1:121" ht="15.75" customHeight="1" x14ac:dyDescent="0.3">
      <c r="A113" s="40">
        <f>ዕቁብ!A116</f>
        <v>102</v>
      </c>
      <c r="B113" s="40" t="str">
        <f>ዕቁብ!B116</f>
        <v>ዳንኤል ጎሌ</v>
      </c>
      <c r="C113" s="30">
        <f>ዕቁብ!C116</f>
        <v>21000</v>
      </c>
      <c r="D113" s="43">
        <f>ዕቁብ!E116/Sheet4!$C113</f>
        <v>1</v>
      </c>
      <c r="E113" s="43">
        <f>ዕቁብ!F116/Sheet4!$C113</f>
        <v>1</v>
      </c>
      <c r="F113" s="43">
        <f>ዕቁብ!G116/Sheet4!$C113</f>
        <v>1</v>
      </c>
      <c r="G113" s="43">
        <f>ዕቁብ!H116/Sheet4!$C113</f>
        <v>1</v>
      </c>
      <c r="H113" s="43">
        <f>ዕቁብ!I116/Sheet4!$C113</f>
        <v>1</v>
      </c>
      <c r="I113" s="43">
        <f>ዕቁብ!J116/Sheet4!$C113</f>
        <v>1</v>
      </c>
      <c r="J113" s="43">
        <f>ዕቁብ!K116/Sheet4!$C113</f>
        <v>1</v>
      </c>
      <c r="K113" s="43">
        <f>ዕቁብ!L116/Sheet4!$C113</f>
        <v>1</v>
      </c>
      <c r="L113" s="43">
        <f>ዕቁብ!M116/Sheet4!$C113</f>
        <v>1</v>
      </c>
      <c r="M113" s="43">
        <f>ዕቁብ!N116/Sheet4!$C113</f>
        <v>1</v>
      </c>
      <c r="N113" s="43">
        <f>ዕቁብ!O116/Sheet4!$C113</f>
        <v>1</v>
      </c>
      <c r="O113" s="43">
        <f>ዕቁብ!P116/Sheet4!$C113</f>
        <v>1</v>
      </c>
      <c r="P113" s="43">
        <f>ዕቁብ!Q116/Sheet4!$C113</f>
        <v>1</v>
      </c>
      <c r="Q113" s="43">
        <f>ዕቁብ!R116/Sheet4!$C113</f>
        <v>1</v>
      </c>
      <c r="R113" s="43">
        <f>ዕቁብ!S116/Sheet4!$C113</f>
        <v>1</v>
      </c>
      <c r="S113" s="43">
        <f>ዕቁብ!T116/Sheet4!$C113</f>
        <v>1</v>
      </c>
      <c r="T113" s="43">
        <f>ዕቁብ!U116/Sheet4!$C113</f>
        <v>1</v>
      </c>
      <c r="U113" s="43">
        <f>ዕቁብ!V116/Sheet4!$C113</f>
        <v>1</v>
      </c>
      <c r="V113" s="43">
        <f>ዕቁብ!W116/Sheet4!$C113</f>
        <v>1</v>
      </c>
      <c r="W113" s="43">
        <f>ዕቁብ!X116/Sheet4!$C113</f>
        <v>1</v>
      </c>
      <c r="X113" s="43">
        <f>ዕቁብ!Y116/Sheet4!$C113</f>
        <v>1</v>
      </c>
      <c r="Y113" s="43">
        <f>ዕቁብ!Z116/Sheet4!$C113</f>
        <v>1</v>
      </c>
      <c r="Z113" s="43">
        <f>ዕቁብ!AA116/Sheet4!$C113</f>
        <v>1</v>
      </c>
      <c r="AA113" s="43">
        <f>ዕቁብ!AB116/Sheet4!$C113</f>
        <v>1</v>
      </c>
      <c r="AB113" s="43">
        <f>ዕቁብ!AC116/Sheet4!$C113</f>
        <v>1</v>
      </c>
      <c r="AC113" s="43">
        <f>ዕቁብ!AD116/Sheet4!$C113</f>
        <v>1</v>
      </c>
      <c r="AD113" s="43">
        <f>ዕቁብ!AE116/Sheet4!$C113</f>
        <v>1</v>
      </c>
      <c r="AE113" s="43">
        <f>ዕቁብ!AF116/Sheet4!$C113</f>
        <v>1</v>
      </c>
      <c r="AF113" s="43">
        <f>ዕቁብ!AG116/Sheet4!$C113</f>
        <v>1</v>
      </c>
      <c r="AG113" s="43">
        <f>ዕቁብ!AH116/Sheet4!$C113</f>
        <v>1</v>
      </c>
      <c r="AH113" s="43">
        <f>ዕቁብ!AI116/Sheet4!$C113</f>
        <v>1</v>
      </c>
      <c r="AI113" s="43">
        <f>ዕቁብ!AJ116/Sheet4!$C113</f>
        <v>1</v>
      </c>
      <c r="AJ113" s="43">
        <f>ዕቁብ!AK116/Sheet4!$C113</f>
        <v>1</v>
      </c>
      <c r="AK113" s="43">
        <f>ዕቁብ!AL116/Sheet4!$C113</f>
        <v>1</v>
      </c>
      <c r="AL113" s="43">
        <f>ዕቁብ!AM116/Sheet4!$C113</f>
        <v>1</v>
      </c>
      <c r="AM113" s="43">
        <f>ዕቁብ!AN116/Sheet4!$C113</f>
        <v>1</v>
      </c>
      <c r="AN113" s="43">
        <f>ዕቁብ!AO116/Sheet4!$C113</f>
        <v>1</v>
      </c>
      <c r="AO113" s="43">
        <f>ዕቁብ!AP116/Sheet4!$C113</f>
        <v>1</v>
      </c>
      <c r="AP113" s="43">
        <f>ዕቁብ!AQ116/Sheet4!$C113</f>
        <v>1</v>
      </c>
      <c r="AQ113" s="43">
        <f>ዕቁብ!AR116/Sheet4!$C113</f>
        <v>1</v>
      </c>
      <c r="AR113" s="43">
        <f>ዕቁብ!AS116/Sheet4!$C113</f>
        <v>1</v>
      </c>
      <c r="AS113" s="43">
        <f>ዕቁብ!AT116/Sheet4!$C113</f>
        <v>1</v>
      </c>
      <c r="AT113" s="43">
        <f>ዕቁብ!AU116/Sheet4!$C113</f>
        <v>1</v>
      </c>
      <c r="AU113" s="43">
        <f>ዕቁብ!AV116/Sheet4!$C113</f>
        <v>1</v>
      </c>
      <c r="AV113" s="43">
        <f>ዕቁብ!AW116/Sheet4!$C113</f>
        <v>1</v>
      </c>
      <c r="AW113" s="43">
        <f>ዕቁብ!AX116/Sheet4!$C113</f>
        <v>1</v>
      </c>
      <c r="AX113" s="43">
        <f>ዕቁብ!AY116/Sheet4!$C113</f>
        <v>1</v>
      </c>
      <c r="AY113" s="43">
        <f>ዕቁብ!AZ116/Sheet4!$C113</f>
        <v>1</v>
      </c>
      <c r="AZ113" s="43">
        <f>ዕቁብ!BA116/Sheet4!$C113</f>
        <v>1</v>
      </c>
      <c r="BA113" s="43">
        <f>ዕቁብ!BB116/Sheet4!$C113</f>
        <v>1</v>
      </c>
      <c r="BB113" s="43">
        <f>ዕቁብ!BC116/Sheet4!$C113</f>
        <v>1</v>
      </c>
      <c r="BC113" s="43">
        <f>ዕቁብ!BD116/Sheet4!$C113</f>
        <v>1</v>
      </c>
      <c r="BD113" s="43">
        <f>ዕቁብ!BE116/Sheet4!$C113</f>
        <v>1</v>
      </c>
      <c r="BE113" s="43">
        <f>ዕቁብ!BF116/Sheet4!$C113</f>
        <v>1</v>
      </c>
      <c r="BF113" s="43">
        <f>ዕቁብ!BG116/Sheet4!$C113</f>
        <v>1</v>
      </c>
      <c r="BG113" s="43">
        <f>ዕቁብ!BH116/Sheet4!$C113</f>
        <v>1</v>
      </c>
      <c r="BH113" s="43">
        <f>ዕቁብ!BI116/Sheet4!$C113</f>
        <v>1</v>
      </c>
      <c r="BI113" s="43">
        <f>ዕቁብ!BJ116/Sheet4!$C113</f>
        <v>1</v>
      </c>
      <c r="BJ113" s="43">
        <f>ዕቁብ!BK116/Sheet4!$C113</f>
        <v>1</v>
      </c>
      <c r="BK113" s="43">
        <f>ዕቁብ!BL116/Sheet4!$C113</f>
        <v>1</v>
      </c>
      <c r="BL113" s="43">
        <f>ዕቁብ!BM116/Sheet4!$C113</f>
        <v>1</v>
      </c>
      <c r="BM113" s="43">
        <f>ዕቁብ!BN116/Sheet4!$C113</f>
        <v>1</v>
      </c>
      <c r="BN113" s="43">
        <f>ዕቁብ!BO116/Sheet4!$C113</f>
        <v>1</v>
      </c>
      <c r="BO113" s="43">
        <f>ዕቁብ!BP116/Sheet4!$C113</f>
        <v>1</v>
      </c>
      <c r="BP113" s="43">
        <f>ዕቁብ!BQ116/Sheet4!$C113</f>
        <v>1</v>
      </c>
      <c r="BQ113" s="43">
        <f>ዕቁብ!BR116/Sheet4!$C113</f>
        <v>1</v>
      </c>
      <c r="BR113" s="43">
        <f>ዕቁብ!BS116/Sheet4!$C113</f>
        <v>1</v>
      </c>
      <c r="BS113" s="43">
        <f>ዕቁብ!BT116/Sheet4!$C113</f>
        <v>1</v>
      </c>
      <c r="BT113" s="43">
        <f>ዕቁብ!BU116/Sheet4!$C113</f>
        <v>0</v>
      </c>
      <c r="BU113" s="43">
        <f>ዕቁብ!BV116/Sheet4!$C113</f>
        <v>1</v>
      </c>
      <c r="BV113" s="43">
        <f>ዕቁብ!BW116/Sheet4!$C113</f>
        <v>1</v>
      </c>
      <c r="BW113" s="43">
        <f>ዕቁብ!BX116/Sheet4!$C113</f>
        <v>1</v>
      </c>
      <c r="BX113" s="43">
        <f>ዕቁብ!BY116/Sheet4!$C113</f>
        <v>1</v>
      </c>
      <c r="BY113" s="43">
        <f>ዕቁብ!BZ116/Sheet4!$C113</f>
        <v>1</v>
      </c>
      <c r="BZ113" s="43">
        <f>ዕቁብ!CA116/Sheet4!$C113</f>
        <v>1</v>
      </c>
      <c r="CA113" s="43">
        <f>ዕቁብ!CB116/Sheet4!$C113</f>
        <v>1</v>
      </c>
      <c r="CB113" s="43">
        <f>ዕቁብ!CC116/Sheet4!$C113</f>
        <v>1</v>
      </c>
      <c r="CC113" s="43">
        <f>ዕቁብ!CD116/Sheet4!$C113</f>
        <v>1</v>
      </c>
      <c r="CD113" s="43">
        <f>ዕቁብ!CE116/Sheet4!$C113</f>
        <v>1</v>
      </c>
      <c r="CE113" s="43">
        <f>ዕቁብ!CF116/Sheet4!$C113</f>
        <v>1</v>
      </c>
      <c r="CF113" s="43">
        <f>ዕቁብ!CG116/Sheet4!$C113</f>
        <v>1</v>
      </c>
      <c r="CG113" s="43">
        <f>ዕቁብ!CH116/Sheet4!$C113</f>
        <v>0</v>
      </c>
      <c r="CH113" s="43">
        <f>ዕቁብ!CI116/Sheet4!$C113</f>
        <v>2</v>
      </c>
      <c r="CI113" s="43">
        <f>ዕቁብ!CJ116/Sheet4!$C113</f>
        <v>1</v>
      </c>
      <c r="CJ113" s="43">
        <f>ዕቁብ!CK116/Sheet4!$C113</f>
        <v>1</v>
      </c>
      <c r="CK113" s="43">
        <f>ዕቁብ!CL116/Sheet4!$C113</f>
        <v>1</v>
      </c>
      <c r="CL113" s="43">
        <f>ዕቁብ!CM116/Sheet4!$C113</f>
        <v>1</v>
      </c>
      <c r="CM113" s="43">
        <f>ዕቁብ!CN116/Sheet4!$C113</f>
        <v>1</v>
      </c>
      <c r="CN113" s="43">
        <f>ዕቁብ!CO116/Sheet4!$C113</f>
        <v>1</v>
      </c>
      <c r="CO113" s="43">
        <f>ዕቁብ!CP116/Sheet4!$C113</f>
        <v>1</v>
      </c>
      <c r="CP113" s="43">
        <f>ዕቁብ!CQ116/Sheet4!$C113</f>
        <v>1</v>
      </c>
      <c r="CQ113" s="43">
        <f>ዕቁብ!CR116/Sheet4!$C113</f>
        <v>1</v>
      </c>
      <c r="CR113" s="43">
        <f>ዕቁብ!CS116/Sheet4!$C113</f>
        <v>1</v>
      </c>
      <c r="CS113" s="43">
        <f>ዕቁብ!CT116/Sheet4!$C113</f>
        <v>1</v>
      </c>
      <c r="CT113" s="43">
        <f>ዕቁብ!CU116/Sheet4!$C113</f>
        <v>1</v>
      </c>
      <c r="CU113" s="43">
        <f>ዕቁብ!CV116/Sheet4!$C113</f>
        <v>1</v>
      </c>
      <c r="CV113" s="43">
        <f>ዕቁብ!CW116/Sheet4!$C113</f>
        <v>1</v>
      </c>
      <c r="CW113" s="43">
        <f>ዕቁብ!CX116/Sheet4!$C113</f>
        <v>1</v>
      </c>
      <c r="CX113" s="43">
        <f>ዕቁብ!CY116/Sheet4!$C113</f>
        <v>1</v>
      </c>
      <c r="CY113" s="43">
        <f>ዕቁብ!CZ116/Sheet4!$C113</f>
        <v>1</v>
      </c>
      <c r="CZ113" s="43">
        <f>ዕቁብ!DA116/Sheet4!$C113</f>
        <v>1</v>
      </c>
      <c r="DA113" s="43">
        <f>ዕቁብ!DB116/Sheet4!$C113</f>
        <v>1</v>
      </c>
      <c r="DB113" s="43">
        <f>ዕቁብ!DC116/Sheet4!$C113</f>
        <v>1</v>
      </c>
      <c r="DC113" s="43">
        <f>ዕቁብ!DD116/Sheet4!$C113</f>
        <v>1</v>
      </c>
      <c r="DD113" s="43">
        <f>ዕቁብ!DE116/Sheet4!$C113</f>
        <v>1</v>
      </c>
      <c r="DE113" s="43">
        <f>ዕቁብ!DF116/Sheet4!$C113</f>
        <v>1</v>
      </c>
      <c r="DF113" s="43">
        <f>ዕቁብ!DG116/Sheet4!$C113</f>
        <v>1</v>
      </c>
      <c r="DG113" s="43">
        <f>ዕቁብ!DH116/Sheet4!$C113</f>
        <v>1</v>
      </c>
      <c r="DH113" s="43">
        <f>ዕቁብ!DI116/Sheet4!$C113</f>
        <v>0</v>
      </c>
      <c r="DI113" s="43">
        <f>ዕቁብ!DJ116/Sheet4!$C113</f>
        <v>0</v>
      </c>
      <c r="DJ113" s="43">
        <f>ዕቁብ!DK116/Sheet4!$C113</f>
        <v>0</v>
      </c>
      <c r="DK113" s="43">
        <f>ዕቁብ!DL116/Sheet4!$C113</f>
        <v>0</v>
      </c>
      <c r="DL113" s="43">
        <f>ዕቁብ!DM116/Sheet4!$C113</f>
        <v>0</v>
      </c>
      <c r="DM113" s="43">
        <f>ዕቁብ!DN116/Sheet4!$C113</f>
        <v>0</v>
      </c>
      <c r="DN113" s="43">
        <f>ዕቁብ!DO116/Sheet4!$C113</f>
        <v>0</v>
      </c>
      <c r="DO113" s="43">
        <f>ዕቁብ!DP116/Sheet4!$C113</f>
        <v>0</v>
      </c>
      <c r="DP113" s="43">
        <f>ዕቁብ!DQ116/Sheet4!$C113</f>
        <v>0</v>
      </c>
      <c r="DQ113" s="43">
        <f>ዕቁብ!DR116/Sheet4!$C113</f>
        <v>0</v>
      </c>
    </row>
    <row r="114" spans="1:121" ht="15.75" customHeight="1" x14ac:dyDescent="0.3">
      <c r="A114" s="40">
        <f>ዕቁብ!A117</f>
        <v>103</v>
      </c>
      <c r="B114" s="40" t="str">
        <f>ዕቁብ!B117</f>
        <v>ወንድሙ ስንታየሁ</v>
      </c>
      <c r="C114" s="30">
        <f>ዕቁብ!C117</f>
        <v>10500</v>
      </c>
      <c r="D114" s="43">
        <f>ዕቁብ!E117/Sheet4!$C114</f>
        <v>1</v>
      </c>
      <c r="E114" s="43">
        <f>ዕቁብ!F117/Sheet4!$C114</f>
        <v>1</v>
      </c>
      <c r="F114" s="43">
        <f>ዕቁብ!G117/Sheet4!$C114</f>
        <v>1</v>
      </c>
      <c r="G114" s="43">
        <f>ዕቁብ!H117/Sheet4!$C114</f>
        <v>1</v>
      </c>
      <c r="H114" s="43">
        <f>ዕቁብ!I117/Sheet4!$C114</f>
        <v>1</v>
      </c>
      <c r="I114" s="43">
        <f>ዕቁብ!J117/Sheet4!$C114</f>
        <v>1</v>
      </c>
      <c r="J114" s="43">
        <f>ዕቁብ!K117/Sheet4!$C114</f>
        <v>1</v>
      </c>
      <c r="K114" s="43">
        <f>ዕቁብ!L117/Sheet4!$C114</f>
        <v>1</v>
      </c>
      <c r="L114" s="43">
        <f>ዕቁብ!M117/Sheet4!$C114</f>
        <v>1</v>
      </c>
      <c r="M114" s="43">
        <f>ዕቁብ!N117/Sheet4!$C114</f>
        <v>1</v>
      </c>
      <c r="N114" s="43">
        <f>ዕቁብ!O117/Sheet4!$C114</f>
        <v>1</v>
      </c>
      <c r="O114" s="43">
        <f>ዕቁብ!P117/Sheet4!$C114</f>
        <v>1</v>
      </c>
      <c r="P114" s="43">
        <f>ዕቁብ!Q117/Sheet4!$C114</f>
        <v>1</v>
      </c>
      <c r="Q114" s="43">
        <f>ዕቁብ!R117/Sheet4!$C114</f>
        <v>1</v>
      </c>
      <c r="R114" s="43">
        <f>ዕቁብ!S117/Sheet4!$C114</f>
        <v>1</v>
      </c>
      <c r="S114" s="43">
        <f>ዕቁብ!T117/Sheet4!$C114</f>
        <v>1</v>
      </c>
      <c r="T114" s="43">
        <f>ዕቁብ!U117/Sheet4!$C114</f>
        <v>1</v>
      </c>
      <c r="U114" s="43">
        <f>ዕቁብ!V117/Sheet4!$C114</f>
        <v>1</v>
      </c>
      <c r="V114" s="43">
        <f>ዕቁብ!W117/Sheet4!$C114</f>
        <v>1</v>
      </c>
      <c r="W114" s="43">
        <f>ዕቁብ!X117/Sheet4!$C114</f>
        <v>1</v>
      </c>
      <c r="X114" s="43">
        <f>ዕቁብ!Y117/Sheet4!$C114</f>
        <v>1</v>
      </c>
      <c r="Y114" s="43">
        <f>ዕቁብ!Z117/Sheet4!$C114</f>
        <v>1</v>
      </c>
      <c r="Z114" s="43">
        <f>ዕቁብ!AA117/Sheet4!$C114</f>
        <v>1</v>
      </c>
      <c r="AA114" s="43">
        <f>ዕቁብ!AB117/Sheet4!$C114</f>
        <v>0</v>
      </c>
      <c r="AB114" s="43">
        <f>ዕቁብ!AC117/Sheet4!$C114</f>
        <v>2</v>
      </c>
      <c r="AC114" s="43">
        <f>ዕቁብ!AD117/Sheet4!$C114</f>
        <v>1</v>
      </c>
      <c r="AD114" s="43">
        <f>ዕቁብ!AE117/Sheet4!$C114</f>
        <v>1</v>
      </c>
      <c r="AE114" s="43">
        <f>ዕቁብ!AF117/Sheet4!$C114</f>
        <v>0</v>
      </c>
      <c r="AF114" s="43">
        <f>ዕቁብ!AG117/Sheet4!$C114</f>
        <v>2</v>
      </c>
      <c r="AG114" s="43">
        <f>ዕቁብ!AH117/Sheet4!$C114</f>
        <v>1</v>
      </c>
      <c r="AH114" s="43">
        <f>ዕቁብ!AI117/Sheet4!$C114</f>
        <v>1</v>
      </c>
      <c r="AI114" s="43">
        <f>ዕቁብ!AJ117/Sheet4!$C114</f>
        <v>1</v>
      </c>
      <c r="AJ114" s="43">
        <f>ዕቁብ!AK117/Sheet4!$C114</f>
        <v>1</v>
      </c>
      <c r="AK114" s="43">
        <f>ዕቁብ!AL117/Sheet4!$C114</f>
        <v>0</v>
      </c>
      <c r="AL114" s="43">
        <f>ዕቁብ!AM117/Sheet4!$C114</f>
        <v>2</v>
      </c>
      <c r="AM114" s="43">
        <f>ዕቁብ!AN117/Sheet4!$C114</f>
        <v>1</v>
      </c>
      <c r="AN114" s="43">
        <f>ዕቁብ!AO117/Sheet4!$C114</f>
        <v>1</v>
      </c>
      <c r="AO114" s="43">
        <f>ዕቁብ!AP117/Sheet4!$C114</f>
        <v>1</v>
      </c>
      <c r="AP114" s="43">
        <f>ዕቁብ!AQ117/Sheet4!$C114</f>
        <v>1</v>
      </c>
      <c r="AQ114" s="43">
        <f>ዕቁብ!AR117/Sheet4!$C114</f>
        <v>1</v>
      </c>
      <c r="AR114" s="43">
        <f>ዕቁብ!AS117/Sheet4!$C114</f>
        <v>1</v>
      </c>
      <c r="AS114" s="43">
        <f>ዕቁብ!AT117/Sheet4!$C114</f>
        <v>1</v>
      </c>
      <c r="AT114" s="43">
        <f>ዕቁብ!AU117/Sheet4!$C114</f>
        <v>1</v>
      </c>
      <c r="AU114" s="43">
        <f>ዕቁብ!AV117/Sheet4!$C114</f>
        <v>1</v>
      </c>
      <c r="AV114" s="43">
        <f>ዕቁብ!AW117/Sheet4!$C114</f>
        <v>1</v>
      </c>
      <c r="AW114" s="43">
        <f>ዕቁብ!AX117/Sheet4!$C114</f>
        <v>0</v>
      </c>
      <c r="AX114" s="43">
        <f>ዕቁብ!AY117/Sheet4!$C114</f>
        <v>2</v>
      </c>
      <c r="AY114" s="43">
        <f>ዕቁብ!AZ117/Sheet4!$C114</f>
        <v>1</v>
      </c>
      <c r="AZ114" s="43">
        <f>ዕቁብ!BA117/Sheet4!$C114</f>
        <v>1</v>
      </c>
      <c r="BA114" s="43">
        <f>ዕቁብ!BB117/Sheet4!$C114</f>
        <v>1</v>
      </c>
      <c r="BB114" s="43">
        <f>ዕቁብ!BC117/Sheet4!$C114</f>
        <v>1</v>
      </c>
      <c r="BC114" s="43">
        <f>ዕቁብ!BD117/Sheet4!$C114</f>
        <v>1</v>
      </c>
      <c r="BD114" s="43">
        <f>ዕቁብ!BE117/Sheet4!$C114</f>
        <v>0</v>
      </c>
      <c r="BE114" s="43">
        <f>ዕቁብ!BF117/Sheet4!$C114</f>
        <v>2</v>
      </c>
      <c r="BF114" s="43">
        <f>ዕቁብ!BG117/Sheet4!$C114</f>
        <v>1</v>
      </c>
      <c r="BG114" s="43">
        <f>ዕቁብ!BH117/Sheet4!$C114</f>
        <v>0</v>
      </c>
      <c r="BH114" s="43">
        <f>ዕቁብ!BI117/Sheet4!$C114</f>
        <v>2</v>
      </c>
      <c r="BI114" s="43">
        <f>ዕቁብ!BJ117/Sheet4!$C114</f>
        <v>0</v>
      </c>
      <c r="BJ114" s="43">
        <f>ዕቁብ!BK117/Sheet4!$C114</f>
        <v>2</v>
      </c>
      <c r="BK114" s="43">
        <f>ዕቁብ!BL117/Sheet4!$C114</f>
        <v>0</v>
      </c>
      <c r="BL114" s="43">
        <f>ዕቁብ!BM117/Sheet4!$C114</f>
        <v>2</v>
      </c>
      <c r="BM114" s="43">
        <f>ዕቁብ!BN117/Sheet4!$C114</f>
        <v>1</v>
      </c>
      <c r="BN114" s="43">
        <f>ዕቁብ!BO117/Sheet4!$C114</f>
        <v>1</v>
      </c>
      <c r="BO114" s="43">
        <f>ዕቁብ!BP117/Sheet4!$C114</f>
        <v>0</v>
      </c>
      <c r="BP114" s="43">
        <f>ዕቁብ!BQ117/Sheet4!$C114</f>
        <v>1</v>
      </c>
      <c r="BQ114" s="43">
        <f>ዕቁብ!BR117/Sheet4!$C114</f>
        <v>2</v>
      </c>
      <c r="BR114" s="43">
        <f>ዕቁብ!BS117/Sheet4!$C114</f>
        <v>1</v>
      </c>
      <c r="BS114" s="43">
        <f>ዕቁብ!BT117/Sheet4!$C114</f>
        <v>1</v>
      </c>
      <c r="BT114" s="43">
        <f>ዕቁብ!BU117/Sheet4!$C114</f>
        <v>1</v>
      </c>
      <c r="BU114" s="43">
        <f>ዕቁብ!BV117/Sheet4!$C114</f>
        <v>1</v>
      </c>
      <c r="BV114" s="43">
        <f>ዕቁብ!BW117/Sheet4!$C114</f>
        <v>1</v>
      </c>
      <c r="BW114" s="43">
        <f>ዕቁብ!BX117/Sheet4!$C114</f>
        <v>1</v>
      </c>
      <c r="BX114" s="43">
        <f>ዕቁብ!BY117/Sheet4!$C114</f>
        <v>0</v>
      </c>
      <c r="BY114" s="43">
        <f>ዕቁብ!BZ117/Sheet4!$C114</f>
        <v>2</v>
      </c>
      <c r="BZ114" s="43">
        <f>ዕቁብ!CA117/Sheet4!$C114</f>
        <v>0</v>
      </c>
      <c r="CA114" s="43">
        <f>ዕቁብ!CB117/Sheet4!$C114</f>
        <v>1</v>
      </c>
      <c r="CB114" s="43">
        <f>ዕቁብ!CC117/Sheet4!$C114</f>
        <v>0</v>
      </c>
      <c r="CC114" s="43">
        <f>ዕቁብ!CD117/Sheet4!$C114</f>
        <v>2</v>
      </c>
      <c r="CD114" s="43">
        <f>ዕቁብ!CE117/Sheet4!$C114</f>
        <v>1</v>
      </c>
      <c r="CE114" s="43">
        <f>ዕቁብ!CF117/Sheet4!$C114</f>
        <v>0</v>
      </c>
      <c r="CF114" s="43">
        <f>ዕቁብ!CG117/Sheet4!$C114</f>
        <v>1</v>
      </c>
      <c r="CG114" s="43">
        <f>ዕቁብ!CH117/Sheet4!$C114</f>
        <v>0</v>
      </c>
      <c r="CH114" s="43">
        <f>ዕቁብ!CI117/Sheet4!$C114</f>
        <v>2</v>
      </c>
      <c r="CI114" s="43">
        <f>ዕቁብ!CJ117/Sheet4!$C114</f>
        <v>0</v>
      </c>
      <c r="CJ114" s="43">
        <f>ዕቁብ!CK117/Sheet4!$C114</f>
        <v>1</v>
      </c>
      <c r="CK114" s="43">
        <f>ዕቁብ!CL117/Sheet4!$C114</f>
        <v>1</v>
      </c>
      <c r="CL114" s="43">
        <f>ዕቁብ!CM117/Sheet4!$C114</f>
        <v>1</v>
      </c>
      <c r="CM114" s="43">
        <f>ዕቁብ!CN117/Sheet4!$C114</f>
        <v>0</v>
      </c>
      <c r="CN114" s="43">
        <f>ዕቁብ!CO117/Sheet4!$C114</f>
        <v>1</v>
      </c>
      <c r="CO114" s="43">
        <f>ዕቁብ!CP117/Sheet4!$C114</f>
        <v>1</v>
      </c>
      <c r="CP114" s="43">
        <f>ዕቁብ!CQ117/Sheet4!$C114</f>
        <v>1</v>
      </c>
      <c r="CQ114" s="43">
        <f>ዕቁብ!CR117/Sheet4!$C114</f>
        <v>0</v>
      </c>
      <c r="CR114" s="43">
        <f>ዕቁብ!CS117/Sheet4!$C114</f>
        <v>1</v>
      </c>
      <c r="CS114" s="43">
        <f>ዕቁብ!CT117/Sheet4!$C114</f>
        <v>0</v>
      </c>
      <c r="CT114" s="43">
        <f>ዕቁብ!CU117/Sheet4!$C114</f>
        <v>1</v>
      </c>
      <c r="CU114" s="43">
        <f>ዕቁብ!CV117/Sheet4!$C114</f>
        <v>0</v>
      </c>
      <c r="CV114" s="43">
        <f>ዕቁብ!CW117/Sheet4!$C114</f>
        <v>0</v>
      </c>
      <c r="CW114" s="43">
        <f>ዕቁብ!CX117/Sheet4!$C114</f>
        <v>0</v>
      </c>
      <c r="CX114" s="43">
        <f>ዕቁብ!CY117/Sheet4!$C114</f>
        <v>0</v>
      </c>
      <c r="CY114" s="43">
        <f>ዕቁብ!CZ117/Sheet4!$C114</f>
        <v>6</v>
      </c>
      <c r="CZ114" s="43">
        <f>ዕቁብ!DA117/Sheet4!$C114</f>
        <v>0</v>
      </c>
      <c r="DA114" s="43">
        <f>ዕቁብ!DB117/Sheet4!$C114</f>
        <v>0</v>
      </c>
      <c r="DB114" s="43">
        <f>ዕቁብ!DC117/Sheet4!$C114</f>
        <v>0</v>
      </c>
      <c r="DC114" s="43">
        <f>ዕቁብ!DD117/Sheet4!$C114</f>
        <v>0</v>
      </c>
      <c r="DD114" s="43">
        <f>ዕቁብ!DE117/Sheet4!$C114</f>
        <v>0</v>
      </c>
      <c r="DE114" s="43">
        <f>ዕቁብ!DF117/Sheet4!$C114</f>
        <v>3</v>
      </c>
      <c r="DF114" s="43">
        <f>ዕቁብ!DG117/Sheet4!$C114</f>
        <v>0</v>
      </c>
      <c r="DG114" s="43">
        <f>ዕቁብ!DH117/Sheet4!$C114</f>
        <v>1</v>
      </c>
      <c r="DH114" s="43">
        <f>ዕቁብ!DI117/Sheet4!$C114</f>
        <v>0</v>
      </c>
      <c r="DI114" s="43">
        <f>ዕቁብ!DJ117/Sheet4!$C114</f>
        <v>0</v>
      </c>
      <c r="DJ114" s="43">
        <f>ዕቁብ!DK117/Sheet4!$C114</f>
        <v>0</v>
      </c>
      <c r="DK114" s="43">
        <f>ዕቁብ!DL117/Sheet4!$C114</f>
        <v>0</v>
      </c>
      <c r="DL114" s="43">
        <f>ዕቁብ!DM117/Sheet4!$C114</f>
        <v>0</v>
      </c>
      <c r="DM114" s="43">
        <f>ዕቁብ!DN117/Sheet4!$C114</f>
        <v>0</v>
      </c>
      <c r="DN114" s="43">
        <f>ዕቁብ!DO117/Sheet4!$C114</f>
        <v>0</v>
      </c>
      <c r="DO114" s="43">
        <f>ዕቁብ!DP117/Sheet4!$C114</f>
        <v>0</v>
      </c>
      <c r="DP114" s="43">
        <f>ዕቁብ!DQ117/Sheet4!$C114</f>
        <v>0</v>
      </c>
      <c r="DQ114" s="43">
        <f>ዕቁብ!DR117/Sheet4!$C114</f>
        <v>0</v>
      </c>
    </row>
    <row r="115" spans="1:121" ht="15.75" customHeight="1" x14ac:dyDescent="0.3">
      <c r="A115" s="40">
        <f>ዕቁብ!A118</f>
        <v>103</v>
      </c>
      <c r="B115" s="40" t="str">
        <f>ዕቁብ!B118</f>
        <v>አንበሴ ማናዩ</v>
      </c>
      <c r="C115" s="30">
        <f>ዕቁብ!C118</f>
        <v>10500</v>
      </c>
      <c r="D115" s="43">
        <f>ዕቁብ!E118/Sheet4!$C115</f>
        <v>1</v>
      </c>
      <c r="E115" s="43">
        <f>ዕቁብ!F118/Sheet4!$C115</f>
        <v>1</v>
      </c>
      <c r="F115" s="43">
        <f>ዕቁብ!G118/Sheet4!$C115</f>
        <v>1</v>
      </c>
      <c r="G115" s="43">
        <f>ዕቁብ!H118/Sheet4!$C115</f>
        <v>1</v>
      </c>
      <c r="H115" s="43">
        <f>ዕቁብ!I118/Sheet4!$C115</f>
        <v>1</v>
      </c>
      <c r="I115" s="43">
        <f>ዕቁብ!J118/Sheet4!$C115</f>
        <v>1</v>
      </c>
      <c r="J115" s="43">
        <f>ዕቁብ!K118/Sheet4!$C115</f>
        <v>1</v>
      </c>
      <c r="K115" s="43">
        <f>ዕቁብ!L118/Sheet4!$C115</f>
        <v>1</v>
      </c>
      <c r="L115" s="43">
        <f>ዕቁብ!M118/Sheet4!$C115</f>
        <v>1</v>
      </c>
      <c r="M115" s="43">
        <f>ዕቁብ!N118/Sheet4!$C115</f>
        <v>1</v>
      </c>
      <c r="N115" s="43">
        <f>ዕቁብ!O118/Sheet4!$C115</f>
        <v>1</v>
      </c>
      <c r="O115" s="43">
        <f>ዕቁብ!P118/Sheet4!$C115</f>
        <v>1</v>
      </c>
      <c r="P115" s="43">
        <f>ዕቁብ!Q118/Sheet4!$C115</f>
        <v>1</v>
      </c>
      <c r="Q115" s="43">
        <f>ዕቁብ!R118/Sheet4!$C115</f>
        <v>1</v>
      </c>
      <c r="R115" s="43">
        <f>ዕቁብ!S118/Sheet4!$C115</f>
        <v>1</v>
      </c>
      <c r="S115" s="43">
        <f>ዕቁብ!T118/Sheet4!$C115</f>
        <v>1</v>
      </c>
      <c r="T115" s="43">
        <f>ዕቁብ!U118/Sheet4!$C115</f>
        <v>1</v>
      </c>
      <c r="U115" s="43">
        <f>ዕቁብ!V118/Sheet4!$C115</f>
        <v>1</v>
      </c>
      <c r="V115" s="43">
        <f>ዕቁብ!W118/Sheet4!$C115</f>
        <v>1</v>
      </c>
      <c r="W115" s="43">
        <f>ዕቁብ!X118/Sheet4!$C115</f>
        <v>1</v>
      </c>
      <c r="X115" s="43">
        <f>ዕቁብ!Y118/Sheet4!$C115</f>
        <v>1</v>
      </c>
      <c r="Y115" s="43">
        <f>ዕቁብ!Z118/Sheet4!$C115</f>
        <v>1</v>
      </c>
      <c r="Z115" s="43">
        <f>ዕቁብ!AA118/Sheet4!$C115</f>
        <v>1</v>
      </c>
      <c r="AA115" s="43">
        <f>ዕቁብ!AB118/Sheet4!$C115</f>
        <v>1</v>
      </c>
      <c r="AB115" s="43">
        <f>ዕቁብ!AC118/Sheet4!$C115</f>
        <v>0</v>
      </c>
      <c r="AC115" s="43">
        <f>ዕቁብ!AD118/Sheet4!$C115</f>
        <v>1</v>
      </c>
      <c r="AD115" s="43">
        <f>ዕቁብ!AE118/Sheet4!$C115</f>
        <v>1</v>
      </c>
      <c r="AE115" s="43">
        <f>ዕቁብ!AF118/Sheet4!$C115</f>
        <v>0</v>
      </c>
      <c r="AF115" s="43">
        <f>ዕቁብ!AG118/Sheet4!$C115</f>
        <v>2</v>
      </c>
      <c r="AG115" s="43">
        <f>ዕቁብ!AH118/Sheet4!$C115</f>
        <v>2</v>
      </c>
      <c r="AH115" s="43">
        <f>ዕቁብ!AI118/Sheet4!$C115</f>
        <v>1</v>
      </c>
      <c r="AI115" s="43">
        <f>ዕቁብ!AJ118/Sheet4!$C115</f>
        <v>1</v>
      </c>
      <c r="AJ115" s="43">
        <f>ዕቁብ!AK118/Sheet4!$C115</f>
        <v>0</v>
      </c>
      <c r="AK115" s="43">
        <f>ዕቁብ!AL118/Sheet4!$C115</f>
        <v>1</v>
      </c>
      <c r="AL115" s="43">
        <f>ዕቁብ!AM118/Sheet4!$C115</f>
        <v>1</v>
      </c>
      <c r="AM115" s="43">
        <f>ዕቁብ!AN118/Sheet4!$C115</f>
        <v>1</v>
      </c>
      <c r="AN115" s="43">
        <f>ዕቁብ!AO118/Sheet4!$C115</f>
        <v>1</v>
      </c>
      <c r="AO115" s="43">
        <f>ዕቁብ!AP118/Sheet4!$C115</f>
        <v>0</v>
      </c>
      <c r="AP115" s="43">
        <f>ዕቁብ!AQ118/Sheet4!$C115</f>
        <v>1</v>
      </c>
      <c r="AQ115" s="43">
        <f>ዕቁብ!AR118/Sheet4!$C115</f>
        <v>1</v>
      </c>
      <c r="AR115" s="43">
        <f>ዕቁብ!AS118/Sheet4!$C115</f>
        <v>1</v>
      </c>
      <c r="AS115" s="43">
        <f>ዕቁብ!AT118/Sheet4!$C115</f>
        <v>1</v>
      </c>
      <c r="AT115" s="43">
        <f>ዕቁብ!AU118/Sheet4!$C115</f>
        <v>1</v>
      </c>
      <c r="AU115" s="43">
        <f>ዕቁብ!AV118/Sheet4!$C115</f>
        <v>1</v>
      </c>
      <c r="AV115" s="43">
        <f>ዕቁብ!AW118/Sheet4!$C115</f>
        <v>1</v>
      </c>
      <c r="AW115" s="43">
        <f>ዕቁብ!AX118/Sheet4!$C115</f>
        <v>1</v>
      </c>
      <c r="AX115" s="43">
        <f>ዕቁብ!AY118/Sheet4!$C115</f>
        <v>1</v>
      </c>
      <c r="AY115" s="43">
        <f>ዕቁብ!AZ118/Sheet4!$C115</f>
        <v>1</v>
      </c>
      <c r="AZ115" s="43">
        <f>ዕቁብ!BA118/Sheet4!$C115</f>
        <v>1</v>
      </c>
      <c r="BA115" s="43">
        <f>ዕቁብ!BB118/Sheet4!$C115</f>
        <v>1</v>
      </c>
      <c r="BB115" s="43">
        <f>ዕቁብ!BC118/Sheet4!$C115</f>
        <v>1</v>
      </c>
      <c r="BC115" s="43">
        <f>ዕቁብ!BD118/Sheet4!$C115</f>
        <v>1</v>
      </c>
      <c r="BD115" s="43">
        <f>ዕቁብ!BE118/Sheet4!$C115</f>
        <v>1</v>
      </c>
      <c r="BE115" s="43">
        <f>ዕቁብ!BF118/Sheet4!$C115</f>
        <v>1</v>
      </c>
      <c r="BF115" s="43">
        <f>ዕቁብ!BG118/Sheet4!$C115</f>
        <v>1</v>
      </c>
      <c r="BG115" s="43">
        <f>ዕቁብ!BH118/Sheet4!$C115</f>
        <v>1</v>
      </c>
      <c r="BH115" s="43">
        <f>ዕቁብ!BI118/Sheet4!$C115</f>
        <v>1</v>
      </c>
      <c r="BI115" s="43">
        <f>ዕቁብ!BJ118/Sheet4!$C115</f>
        <v>1</v>
      </c>
      <c r="BJ115" s="43">
        <f>ዕቁብ!BK118/Sheet4!$C115</f>
        <v>1</v>
      </c>
      <c r="BK115" s="43">
        <f>ዕቁብ!BL118/Sheet4!$C115</f>
        <v>0</v>
      </c>
      <c r="BL115" s="43">
        <f>ዕቁብ!BM118/Sheet4!$C115</f>
        <v>1</v>
      </c>
      <c r="BM115" s="43">
        <f>ዕቁብ!BN118/Sheet4!$C115</f>
        <v>0</v>
      </c>
      <c r="BN115" s="43">
        <f>ዕቁብ!BO118/Sheet4!$C115</f>
        <v>2</v>
      </c>
      <c r="BO115" s="43">
        <f>ዕቁብ!BP118/Sheet4!$C115</f>
        <v>2</v>
      </c>
      <c r="BP115" s="43">
        <f>ዕቁብ!BQ118/Sheet4!$C115</f>
        <v>1</v>
      </c>
      <c r="BQ115" s="43">
        <f>ዕቁብ!BR118/Sheet4!$C115</f>
        <v>1</v>
      </c>
      <c r="BR115" s="43">
        <f>ዕቁብ!BS118/Sheet4!$C115</f>
        <v>1</v>
      </c>
      <c r="BS115" s="43">
        <f>ዕቁብ!BT118/Sheet4!$C115</f>
        <v>1</v>
      </c>
      <c r="BT115" s="43">
        <f>ዕቁብ!BU118/Sheet4!$C115</f>
        <v>1</v>
      </c>
      <c r="BU115" s="43">
        <f>ዕቁብ!BV118/Sheet4!$C115</f>
        <v>1</v>
      </c>
      <c r="BV115" s="43">
        <f>ዕቁብ!BW118/Sheet4!$C115</f>
        <v>1</v>
      </c>
      <c r="BW115" s="43">
        <f>ዕቁብ!BX118/Sheet4!$C115</f>
        <v>1</v>
      </c>
      <c r="BX115" s="43">
        <f>ዕቁብ!BY118/Sheet4!$C115</f>
        <v>1</v>
      </c>
      <c r="BY115" s="43">
        <f>ዕቁብ!BZ118/Sheet4!$C115</f>
        <v>1</v>
      </c>
      <c r="BZ115" s="43">
        <f>ዕቁብ!CA118/Sheet4!$C115</f>
        <v>1</v>
      </c>
      <c r="CA115" s="43">
        <f>ዕቁብ!CB118/Sheet4!$C115</f>
        <v>0</v>
      </c>
      <c r="CB115" s="43">
        <f>ዕቁብ!CC118/Sheet4!$C115</f>
        <v>1</v>
      </c>
      <c r="CC115" s="43">
        <f>ዕቁብ!CD118/Sheet4!$C115</f>
        <v>1</v>
      </c>
      <c r="CD115" s="43">
        <f>ዕቁብ!CE118/Sheet4!$C115</f>
        <v>1</v>
      </c>
      <c r="CE115" s="43">
        <f>ዕቁብ!CF118/Sheet4!$C115</f>
        <v>1</v>
      </c>
      <c r="CF115" s="43">
        <f>ዕቁብ!CG118/Sheet4!$C115</f>
        <v>0</v>
      </c>
      <c r="CG115" s="43">
        <f>ዕቁብ!CH118/Sheet4!$C115</f>
        <v>0</v>
      </c>
      <c r="CH115" s="43">
        <f>ዕቁብ!CI118/Sheet4!$C115</f>
        <v>0</v>
      </c>
      <c r="CI115" s="43">
        <f>ዕቁብ!CJ118/Sheet4!$C115</f>
        <v>1</v>
      </c>
      <c r="CJ115" s="43">
        <f>ዕቁብ!CK118/Sheet4!$C115</f>
        <v>1</v>
      </c>
      <c r="CK115" s="43">
        <f>ዕቁብ!CL118/Sheet4!$C115</f>
        <v>1</v>
      </c>
      <c r="CL115" s="43">
        <f>ዕቁብ!CM118/Sheet4!$C115</f>
        <v>0</v>
      </c>
      <c r="CM115" s="43">
        <f>ዕቁብ!CN118/Sheet4!$C115</f>
        <v>1</v>
      </c>
      <c r="CN115" s="43">
        <f>ዕቁብ!CO118/Sheet4!$C115</f>
        <v>1</v>
      </c>
      <c r="CO115" s="43">
        <f>ዕቁብ!CP118/Sheet4!$C115</f>
        <v>0</v>
      </c>
      <c r="CP115" s="43">
        <f>ዕቁብ!CQ118/Sheet4!$C115</f>
        <v>1</v>
      </c>
      <c r="CQ115" s="43">
        <f>ዕቁብ!CR118/Sheet4!$C115</f>
        <v>0</v>
      </c>
      <c r="CR115" s="43">
        <f>ዕቁብ!CS118/Sheet4!$C115</f>
        <v>0</v>
      </c>
      <c r="CS115" s="43">
        <f>ዕቁብ!CT118/Sheet4!$C115</f>
        <v>1</v>
      </c>
      <c r="CT115" s="43">
        <f>ዕቁብ!CU118/Sheet4!$C115</f>
        <v>0</v>
      </c>
      <c r="CU115" s="43">
        <f>ዕቁብ!CV118/Sheet4!$C115</f>
        <v>1</v>
      </c>
      <c r="CV115" s="43">
        <f>ዕቁብ!CW118/Sheet4!$C115</f>
        <v>0</v>
      </c>
      <c r="CW115" s="43">
        <f>ዕቁብ!CX118/Sheet4!$C115</f>
        <v>1</v>
      </c>
      <c r="CX115" s="43">
        <f>ዕቁብ!CY118/Sheet4!$C115</f>
        <v>1</v>
      </c>
      <c r="CY115" s="43">
        <f>ዕቁብ!CZ118/Sheet4!$C115</f>
        <v>0</v>
      </c>
      <c r="CZ115" s="43">
        <f>ዕቁብ!DA118/Sheet4!$C115</f>
        <v>1</v>
      </c>
      <c r="DA115" s="43">
        <f>ዕቁብ!DB118/Sheet4!$C115</f>
        <v>0</v>
      </c>
      <c r="DB115" s="43">
        <f>ዕቁብ!DC118/Sheet4!$C115</f>
        <v>1</v>
      </c>
      <c r="DC115" s="43">
        <f>ዕቁብ!DD118/Sheet4!$C115</f>
        <v>1</v>
      </c>
      <c r="DD115" s="43">
        <f>ዕቁብ!DE118/Sheet4!$C115</f>
        <v>1</v>
      </c>
      <c r="DE115" s="43">
        <f>ዕቁብ!DF118/Sheet4!$C115</f>
        <v>0</v>
      </c>
      <c r="DF115" s="43">
        <f>ዕቁብ!DG118/Sheet4!$C115</f>
        <v>1</v>
      </c>
      <c r="DG115" s="43">
        <f>ዕቁብ!DH118/Sheet4!$C115</f>
        <v>1</v>
      </c>
      <c r="DH115" s="43">
        <f>ዕቁብ!DI118/Sheet4!$C115</f>
        <v>0</v>
      </c>
      <c r="DI115" s="43">
        <f>ዕቁብ!DJ118/Sheet4!$C115</f>
        <v>0</v>
      </c>
      <c r="DJ115" s="43">
        <f>ዕቁብ!DK118/Sheet4!$C115</f>
        <v>0</v>
      </c>
      <c r="DK115" s="43">
        <f>ዕቁብ!DL118/Sheet4!$C115</f>
        <v>0</v>
      </c>
      <c r="DL115" s="43">
        <f>ዕቁብ!DM118/Sheet4!$C115</f>
        <v>0</v>
      </c>
      <c r="DM115" s="43">
        <f>ዕቁብ!DN118/Sheet4!$C115</f>
        <v>0</v>
      </c>
      <c r="DN115" s="43">
        <f>ዕቁብ!DO118/Sheet4!$C115</f>
        <v>0</v>
      </c>
      <c r="DO115" s="43">
        <f>ዕቁብ!DP118/Sheet4!$C115</f>
        <v>0</v>
      </c>
      <c r="DP115" s="43">
        <f>ዕቁብ!DQ118/Sheet4!$C115</f>
        <v>0</v>
      </c>
      <c r="DQ115" s="43">
        <f>ዕቁብ!DR118/Sheet4!$C115</f>
        <v>0</v>
      </c>
    </row>
    <row r="116" spans="1:121" ht="15.75" customHeight="1" x14ac:dyDescent="0.3">
      <c r="A116" s="40">
        <f>ዕቁብ!A119</f>
        <v>104</v>
      </c>
      <c r="B116" s="40" t="str">
        <f>ዕቁብ!B119</f>
        <v xml:space="preserve">ሴም ገብራይ </v>
      </c>
      <c r="C116" s="30">
        <f>ዕቁብ!C119</f>
        <v>10500</v>
      </c>
      <c r="D116" s="43">
        <f>ዕቁብ!E119/Sheet4!$C116</f>
        <v>1</v>
      </c>
      <c r="E116" s="43">
        <f>ዕቁብ!F119/Sheet4!$C116</f>
        <v>1</v>
      </c>
      <c r="F116" s="43">
        <f>ዕቁብ!G119/Sheet4!$C116</f>
        <v>1</v>
      </c>
      <c r="G116" s="43">
        <f>ዕቁብ!H119/Sheet4!$C116</f>
        <v>1</v>
      </c>
      <c r="H116" s="43">
        <f>ዕቁብ!I119/Sheet4!$C116</f>
        <v>1</v>
      </c>
      <c r="I116" s="43">
        <f>ዕቁብ!J119/Sheet4!$C116</f>
        <v>1</v>
      </c>
      <c r="J116" s="43">
        <f>ዕቁብ!K119/Sheet4!$C116</f>
        <v>1</v>
      </c>
      <c r="K116" s="43">
        <f>ዕቁብ!L119/Sheet4!$C116</f>
        <v>1</v>
      </c>
      <c r="L116" s="43">
        <f>ዕቁብ!M119/Sheet4!$C116</f>
        <v>1</v>
      </c>
      <c r="M116" s="43">
        <f>ዕቁብ!N119/Sheet4!$C116</f>
        <v>1</v>
      </c>
      <c r="N116" s="43">
        <f>ዕቁብ!O119/Sheet4!$C116</f>
        <v>1</v>
      </c>
      <c r="O116" s="43">
        <f>ዕቁብ!P119/Sheet4!$C116</f>
        <v>1</v>
      </c>
      <c r="P116" s="43">
        <f>ዕቁብ!Q119/Sheet4!$C116</f>
        <v>1</v>
      </c>
      <c r="Q116" s="43">
        <f>ዕቁብ!R119/Sheet4!$C116</f>
        <v>1</v>
      </c>
      <c r="R116" s="43">
        <f>ዕቁብ!S119/Sheet4!$C116</f>
        <v>1</v>
      </c>
      <c r="S116" s="43">
        <f>ዕቁብ!T119/Sheet4!$C116</f>
        <v>1</v>
      </c>
      <c r="T116" s="43">
        <f>ዕቁብ!U119/Sheet4!$C116</f>
        <v>1</v>
      </c>
      <c r="U116" s="43">
        <f>ዕቁብ!V119/Sheet4!$C116</f>
        <v>1</v>
      </c>
      <c r="V116" s="43">
        <f>ዕቁብ!W119/Sheet4!$C116</f>
        <v>1</v>
      </c>
      <c r="W116" s="43">
        <f>ዕቁብ!X119/Sheet4!$C116</f>
        <v>1</v>
      </c>
      <c r="X116" s="43">
        <f>ዕቁብ!Y119/Sheet4!$C116</f>
        <v>1</v>
      </c>
      <c r="Y116" s="43">
        <f>ዕቁብ!Z119/Sheet4!$C116</f>
        <v>1</v>
      </c>
      <c r="Z116" s="43">
        <f>ዕቁብ!AA119/Sheet4!$C116</f>
        <v>1</v>
      </c>
      <c r="AA116" s="43">
        <f>ዕቁብ!AB119/Sheet4!$C116</f>
        <v>1</v>
      </c>
      <c r="AB116" s="43">
        <f>ዕቁብ!AC119/Sheet4!$C116</f>
        <v>1</v>
      </c>
      <c r="AC116" s="43">
        <f>ዕቁብ!AD119/Sheet4!$C116</f>
        <v>1</v>
      </c>
      <c r="AD116" s="43">
        <f>ዕቁብ!AE119/Sheet4!$C116</f>
        <v>1</v>
      </c>
      <c r="AE116" s="43">
        <f>ዕቁብ!AF119/Sheet4!$C116</f>
        <v>1</v>
      </c>
      <c r="AF116" s="43">
        <f>ዕቁብ!AG119/Sheet4!$C116</f>
        <v>1</v>
      </c>
      <c r="AG116" s="43">
        <f>ዕቁብ!AH119/Sheet4!$C116</f>
        <v>1</v>
      </c>
      <c r="AH116" s="43">
        <f>ዕቁብ!AI119/Sheet4!$C116</f>
        <v>1</v>
      </c>
      <c r="AI116" s="43">
        <f>ዕቁብ!AJ119/Sheet4!$C116</f>
        <v>1</v>
      </c>
      <c r="AJ116" s="43">
        <f>ዕቁብ!AK119/Sheet4!$C116</f>
        <v>1</v>
      </c>
      <c r="AK116" s="43">
        <f>ዕቁብ!AL119/Sheet4!$C116</f>
        <v>1</v>
      </c>
      <c r="AL116" s="43">
        <f>ዕቁብ!AM119/Sheet4!$C116</f>
        <v>1</v>
      </c>
      <c r="AM116" s="43">
        <f>ዕቁብ!AN119/Sheet4!$C116</f>
        <v>1</v>
      </c>
      <c r="AN116" s="43">
        <f>ዕቁብ!AO119/Sheet4!$C116</f>
        <v>1</v>
      </c>
      <c r="AO116" s="43">
        <f>ዕቁብ!AP119/Sheet4!$C116</f>
        <v>1</v>
      </c>
      <c r="AP116" s="43">
        <f>ዕቁብ!AQ119/Sheet4!$C116</f>
        <v>1</v>
      </c>
      <c r="AQ116" s="43">
        <f>ዕቁብ!AR119/Sheet4!$C116</f>
        <v>1</v>
      </c>
      <c r="AR116" s="43">
        <f>ዕቁብ!AS119/Sheet4!$C116</f>
        <v>1</v>
      </c>
      <c r="AS116" s="43">
        <f>ዕቁብ!AT119/Sheet4!$C116</f>
        <v>1</v>
      </c>
      <c r="AT116" s="43">
        <f>ዕቁብ!AU119/Sheet4!$C116</f>
        <v>1</v>
      </c>
      <c r="AU116" s="43">
        <f>ዕቁብ!AV119/Sheet4!$C116</f>
        <v>1</v>
      </c>
      <c r="AV116" s="43">
        <f>ዕቁብ!AW119/Sheet4!$C116</f>
        <v>1</v>
      </c>
      <c r="AW116" s="43">
        <f>ዕቁብ!AX119/Sheet4!$C116</f>
        <v>1</v>
      </c>
      <c r="AX116" s="43">
        <f>ዕቁብ!AY119/Sheet4!$C116</f>
        <v>1</v>
      </c>
      <c r="AY116" s="43">
        <f>ዕቁብ!AZ119/Sheet4!$C116</f>
        <v>1</v>
      </c>
      <c r="AZ116" s="43">
        <f>ዕቁብ!BA119/Sheet4!$C116</f>
        <v>1</v>
      </c>
      <c r="BA116" s="43">
        <f>ዕቁብ!BB119/Sheet4!$C116</f>
        <v>1</v>
      </c>
      <c r="BB116" s="43">
        <f>ዕቁብ!BC119/Sheet4!$C116</f>
        <v>1</v>
      </c>
      <c r="BC116" s="43">
        <f>ዕቁብ!BD119/Sheet4!$C116</f>
        <v>1</v>
      </c>
      <c r="BD116" s="43">
        <f>ዕቁብ!BE119/Sheet4!$C116</f>
        <v>1</v>
      </c>
      <c r="BE116" s="43">
        <f>ዕቁብ!BF119/Sheet4!$C116</f>
        <v>1</v>
      </c>
      <c r="BF116" s="43">
        <f>ዕቁብ!BG119/Sheet4!$C116</f>
        <v>1</v>
      </c>
      <c r="BG116" s="43">
        <f>ዕቁብ!BH119/Sheet4!$C116</f>
        <v>1</v>
      </c>
      <c r="BH116" s="43">
        <f>ዕቁብ!BI119/Sheet4!$C116</f>
        <v>1</v>
      </c>
      <c r="BI116" s="43">
        <f>ዕቁብ!BJ119/Sheet4!$C116</f>
        <v>1</v>
      </c>
      <c r="BJ116" s="43">
        <f>ዕቁብ!BK119/Sheet4!$C116</f>
        <v>1</v>
      </c>
      <c r="BK116" s="43">
        <f>ዕቁብ!BL119/Sheet4!$C116</f>
        <v>1</v>
      </c>
      <c r="BL116" s="43">
        <f>ዕቁብ!BM119/Sheet4!$C116</f>
        <v>1</v>
      </c>
      <c r="BM116" s="43">
        <f>ዕቁብ!BN119/Sheet4!$C116</f>
        <v>1</v>
      </c>
      <c r="BN116" s="43">
        <f>ዕቁብ!BO119/Sheet4!$C116</f>
        <v>1</v>
      </c>
      <c r="BO116" s="43">
        <f>ዕቁብ!BP119/Sheet4!$C116</f>
        <v>1</v>
      </c>
      <c r="BP116" s="43">
        <f>ዕቁብ!BQ119/Sheet4!$C116</f>
        <v>1</v>
      </c>
      <c r="BQ116" s="43">
        <f>ዕቁብ!BR119/Sheet4!$C116</f>
        <v>1</v>
      </c>
      <c r="BR116" s="43">
        <f>ዕቁብ!BS119/Sheet4!$C116</f>
        <v>1</v>
      </c>
      <c r="BS116" s="43">
        <f>ዕቁብ!BT119/Sheet4!$C116</f>
        <v>0</v>
      </c>
      <c r="BT116" s="43">
        <f>ዕቁብ!BU119/Sheet4!$C116</f>
        <v>2</v>
      </c>
      <c r="BU116" s="43">
        <f>ዕቁብ!BV119/Sheet4!$C116</f>
        <v>1</v>
      </c>
      <c r="BV116" s="43">
        <f>ዕቁብ!BW119/Sheet4!$C116</f>
        <v>1</v>
      </c>
      <c r="BW116" s="43">
        <f>ዕቁብ!BX119/Sheet4!$C116</f>
        <v>1</v>
      </c>
      <c r="BX116" s="43">
        <f>ዕቁብ!BY119/Sheet4!$C116</f>
        <v>1</v>
      </c>
      <c r="BY116" s="43">
        <f>ዕቁብ!BZ119/Sheet4!$C116</f>
        <v>1</v>
      </c>
      <c r="BZ116" s="43">
        <f>ዕቁብ!CA119/Sheet4!$C116</f>
        <v>1</v>
      </c>
      <c r="CA116" s="43">
        <f>ዕቁብ!CB119/Sheet4!$C116</f>
        <v>1</v>
      </c>
      <c r="CB116" s="43">
        <f>ዕቁብ!CC119/Sheet4!$C116</f>
        <v>1</v>
      </c>
      <c r="CC116" s="43">
        <f>ዕቁብ!CD119/Sheet4!$C116</f>
        <v>1</v>
      </c>
      <c r="CD116" s="43">
        <f>ዕቁብ!CE119/Sheet4!$C116</f>
        <v>1</v>
      </c>
      <c r="CE116" s="43">
        <f>ዕቁብ!CF119/Sheet4!$C116</f>
        <v>1</v>
      </c>
      <c r="CF116" s="43">
        <f>ዕቁብ!CG119/Sheet4!$C116</f>
        <v>1</v>
      </c>
      <c r="CG116" s="43">
        <f>ዕቁብ!CH119/Sheet4!$C116</f>
        <v>1</v>
      </c>
      <c r="CH116" s="43">
        <f>ዕቁብ!CI119/Sheet4!$C116</f>
        <v>1</v>
      </c>
      <c r="CI116" s="43">
        <f>ዕቁብ!CJ119/Sheet4!$C116</f>
        <v>1</v>
      </c>
      <c r="CJ116" s="43">
        <f>ዕቁብ!CK119/Sheet4!$C116</f>
        <v>1</v>
      </c>
      <c r="CK116" s="43">
        <f>ዕቁብ!CL119/Sheet4!$C116</f>
        <v>1</v>
      </c>
      <c r="CL116" s="43">
        <f>ዕቁብ!CM119/Sheet4!$C116</f>
        <v>1</v>
      </c>
      <c r="CM116" s="43">
        <f>ዕቁብ!CN119/Sheet4!$C116</f>
        <v>1</v>
      </c>
      <c r="CN116" s="43">
        <f>ዕቁብ!CO119/Sheet4!$C116</f>
        <v>1</v>
      </c>
      <c r="CO116" s="43">
        <f>ዕቁብ!CP119/Sheet4!$C116</f>
        <v>1</v>
      </c>
      <c r="CP116" s="43">
        <f>ዕቁብ!CQ119/Sheet4!$C116</f>
        <v>1</v>
      </c>
      <c r="CQ116" s="43">
        <f>ዕቁብ!CR119/Sheet4!$C116</f>
        <v>1</v>
      </c>
      <c r="CR116" s="43">
        <f>ዕቁብ!CS119/Sheet4!$C116</f>
        <v>1</v>
      </c>
      <c r="CS116" s="43">
        <f>ዕቁብ!CT119/Sheet4!$C116</f>
        <v>1</v>
      </c>
      <c r="CT116" s="43">
        <f>ዕቁብ!CU119/Sheet4!$C116</f>
        <v>1</v>
      </c>
      <c r="CU116" s="43">
        <f>ዕቁብ!CV119/Sheet4!$C116</f>
        <v>1</v>
      </c>
      <c r="CV116" s="43">
        <f>ዕቁብ!CW119/Sheet4!$C116</f>
        <v>1</v>
      </c>
      <c r="CW116" s="43">
        <f>ዕቁብ!CX119/Sheet4!$C116</f>
        <v>1</v>
      </c>
      <c r="CX116" s="43">
        <f>ዕቁብ!CY119/Sheet4!$C116</f>
        <v>1</v>
      </c>
      <c r="CY116" s="43">
        <f>ዕቁብ!CZ119/Sheet4!$C116</f>
        <v>1</v>
      </c>
      <c r="CZ116" s="43">
        <f>ዕቁብ!DA119/Sheet4!$C116</f>
        <v>1</v>
      </c>
      <c r="DA116" s="43">
        <f>ዕቁብ!DB119/Sheet4!$C116</f>
        <v>1</v>
      </c>
      <c r="DB116" s="43">
        <f>ዕቁብ!DC119/Sheet4!$C116</f>
        <v>1</v>
      </c>
      <c r="DC116" s="43">
        <f>ዕቁብ!DD119/Sheet4!$C116</f>
        <v>1</v>
      </c>
      <c r="DD116" s="43">
        <f>ዕቁብ!DE119/Sheet4!$C116</f>
        <v>1</v>
      </c>
      <c r="DE116" s="43">
        <f>ዕቁብ!DF119/Sheet4!$C116</f>
        <v>1</v>
      </c>
      <c r="DF116" s="43">
        <f>ዕቁብ!DG119/Sheet4!$C116</f>
        <v>1</v>
      </c>
      <c r="DG116" s="43">
        <f>ዕቁብ!DH119/Sheet4!$C116</f>
        <v>1</v>
      </c>
      <c r="DH116" s="43">
        <f>ዕቁብ!DI119/Sheet4!$C116</f>
        <v>0</v>
      </c>
      <c r="DI116" s="43">
        <f>ዕቁብ!DJ119/Sheet4!$C116</f>
        <v>0</v>
      </c>
      <c r="DJ116" s="43">
        <f>ዕቁብ!DK119/Sheet4!$C116</f>
        <v>0</v>
      </c>
      <c r="DK116" s="43">
        <f>ዕቁብ!DL119/Sheet4!$C116</f>
        <v>0</v>
      </c>
      <c r="DL116" s="43">
        <f>ዕቁብ!DM119/Sheet4!$C116</f>
        <v>0</v>
      </c>
      <c r="DM116" s="43">
        <f>ዕቁብ!DN119/Sheet4!$C116</f>
        <v>0</v>
      </c>
      <c r="DN116" s="43">
        <f>ዕቁብ!DO119/Sheet4!$C116</f>
        <v>0</v>
      </c>
      <c r="DO116" s="43">
        <f>ዕቁብ!DP119/Sheet4!$C116</f>
        <v>0</v>
      </c>
      <c r="DP116" s="43">
        <f>ዕቁብ!DQ119/Sheet4!$C116</f>
        <v>0</v>
      </c>
      <c r="DQ116" s="43">
        <f>ዕቁብ!DR119/Sheet4!$C116</f>
        <v>0</v>
      </c>
    </row>
    <row r="117" spans="1:121" ht="15.75" customHeight="1" x14ac:dyDescent="0.3">
      <c r="A117" s="40">
        <f>ዕቁብ!A120</f>
        <v>104</v>
      </c>
      <c r="B117" s="40" t="str">
        <f>ዕቁብ!B120</f>
        <v>ሙሉአባይ መለሰ</v>
      </c>
      <c r="C117" s="30">
        <f>ዕቁብ!C120</f>
        <v>10500</v>
      </c>
      <c r="D117" s="43">
        <f>ዕቁብ!E120/Sheet4!$C117</f>
        <v>1</v>
      </c>
      <c r="E117" s="43">
        <f>ዕቁብ!F120/Sheet4!$C117</f>
        <v>1</v>
      </c>
      <c r="F117" s="43">
        <f>ዕቁብ!G120/Sheet4!$C117</f>
        <v>1</v>
      </c>
      <c r="G117" s="43">
        <f>ዕቁብ!H120/Sheet4!$C117</f>
        <v>1</v>
      </c>
      <c r="H117" s="43">
        <f>ዕቁብ!I120/Sheet4!$C117</f>
        <v>1</v>
      </c>
      <c r="I117" s="43">
        <f>ዕቁብ!J120/Sheet4!$C117</f>
        <v>1</v>
      </c>
      <c r="J117" s="43">
        <f>ዕቁብ!K120/Sheet4!$C117</f>
        <v>1</v>
      </c>
      <c r="K117" s="43">
        <f>ዕቁብ!L120/Sheet4!$C117</f>
        <v>1</v>
      </c>
      <c r="L117" s="43">
        <f>ዕቁብ!M120/Sheet4!$C117</f>
        <v>1</v>
      </c>
      <c r="M117" s="43">
        <f>ዕቁብ!N120/Sheet4!$C117</f>
        <v>1</v>
      </c>
      <c r="N117" s="43">
        <f>ዕቁብ!O120/Sheet4!$C117</f>
        <v>1</v>
      </c>
      <c r="O117" s="43">
        <f>ዕቁብ!P120/Sheet4!$C117</f>
        <v>1</v>
      </c>
      <c r="P117" s="43">
        <f>ዕቁብ!Q120/Sheet4!$C117</f>
        <v>1</v>
      </c>
      <c r="Q117" s="43">
        <f>ዕቁብ!R120/Sheet4!$C117</f>
        <v>1</v>
      </c>
      <c r="R117" s="43">
        <f>ዕቁብ!S120/Sheet4!$C117</f>
        <v>1</v>
      </c>
      <c r="S117" s="43">
        <f>ዕቁብ!T120/Sheet4!$C117</f>
        <v>1</v>
      </c>
      <c r="T117" s="43">
        <f>ዕቁብ!U120/Sheet4!$C117</f>
        <v>1</v>
      </c>
      <c r="U117" s="43">
        <f>ዕቁብ!V120/Sheet4!$C117</f>
        <v>1</v>
      </c>
      <c r="V117" s="43">
        <f>ዕቁብ!W120/Sheet4!$C117</f>
        <v>1</v>
      </c>
      <c r="W117" s="43">
        <f>ዕቁብ!X120/Sheet4!$C117</f>
        <v>1</v>
      </c>
      <c r="X117" s="43">
        <f>ዕቁብ!Y120/Sheet4!$C117</f>
        <v>1</v>
      </c>
      <c r="Y117" s="43">
        <f>ዕቁብ!Z120/Sheet4!$C117</f>
        <v>1</v>
      </c>
      <c r="Z117" s="43">
        <f>ዕቁብ!AA120/Sheet4!$C117</f>
        <v>1</v>
      </c>
      <c r="AA117" s="43">
        <f>ዕቁብ!AB120/Sheet4!$C117</f>
        <v>1</v>
      </c>
      <c r="AB117" s="43">
        <f>ዕቁብ!AC120/Sheet4!$C117</f>
        <v>1</v>
      </c>
      <c r="AC117" s="43">
        <f>ዕቁብ!AD120/Sheet4!$C117</f>
        <v>1</v>
      </c>
      <c r="AD117" s="43">
        <f>ዕቁብ!AE120/Sheet4!$C117</f>
        <v>1</v>
      </c>
      <c r="AE117" s="43">
        <f>ዕቁብ!AF120/Sheet4!$C117</f>
        <v>1</v>
      </c>
      <c r="AF117" s="43">
        <f>ዕቁብ!AG120/Sheet4!$C117</f>
        <v>1</v>
      </c>
      <c r="AG117" s="43">
        <f>ዕቁብ!AH120/Sheet4!$C117</f>
        <v>1</v>
      </c>
      <c r="AH117" s="43">
        <f>ዕቁብ!AI120/Sheet4!$C117</f>
        <v>1</v>
      </c>
      <c r="AI117" s="43">
        <f>ዕቁብ!AJ120/Sheet4!$C117</f>
        <v>1</v>
      </c>
      <c r="AJ117" s="43">
        <f>ዕቁብ!AK120/Sheet4!$C117</f>
        <v>1</v>
      </c>
      <c r="AK117" s="43">
        <f>ዕቁብ!AL120/Sheet4!$C117</f>
        <v>1</v>
      </c>
      <c r="AL117" s="43">
        <f>ዕቁብ!AM120/Sheet4!$C117</f>
        <v>1</v>
      </c>
      <c r="AM117" s="43">
        <f>ዕቁብ!AN120/Sheet4!$C117</f>
        <v>1</v>
      </c>
      <c r="AN117" s="43">
        <f>ዕቁብ!AO120/Sheet4!$C117</f>
        <v>1</v>
      </c>
      <c r="AO117" s="43">
        <f>ዕቁብ!AP120/Sheet4!$C117</f>
        <v>1</v>
      </c>
      <c r="AP117" s="43">
        <f>ዕቁብ!AQ120/Sheet4!$C117</f>
        <v>1</v>
      </c>
      <c r="AQ117" s="43">
        <f>ዕቁብ!AR120/Sheet4!$C117</f>
        <v>1</v>
      </c>
      <c r="AR117" s="43">
        <f>ዕቁብ!AS120/Sheet4!$C117</f>
        <v>1</v>
      </c>
      <c r="AS117" s="43">
        <f>ዕቁብ!AT120/Sheet4!$C117</f>
        <v>1</v>
      </c>
      <c r="AT117" s="43">
        <f>ዕቁብ!AU120/Sheet4!$C117</f>
        <v>1</v>
      </c>
      <c r="AU117" s="43">
        <f>ዕቁብ!AV120/Sheet4!$C117</f>
        <v>1</v>
      </c>
      <c r="AV117" s="43">
        <f>ዕቁብ!AW120/Sheet4!$C117</f>
        <v>1</v>
      </c>
      <c r="AW117" s="43">
        <f>ዕቁብ!AX120/Sheet4!$C117</f>
        <v>1</v>
      </c>
      <c r="AX117" s="43">
        <f>ዕቁብ!AY120/Sheet4!$C117</f>
        <v>1</v>
      </c>
      <c r="AY117" s="43">
        <f>ዕቁብ!AZ120/Sheet4!$C117</f>
        <v>1</v>
      </c>
      <c r="AZ117" s="43">
        <f>ዕቁብ!BA120/Sheet4!$C117</f>
        <v>1</v>
      </c>
      <c r="BA117" s="43">
        <f>ዕቁብ!BB120/Sheet4!$C117</f>
        <v>1</v>
      </c>
      <c r="BB117" s="43">
        <f>ዕቁብ!BC120/Sheet4!$C117</f>
        <v>1</v>
      </c>
      <c r="BC117" s="43">
        <f>ዕቁብ!BD120/Sheet4!$C117</f>
        <v>1</v>
      </c>
      <c r="BD117" s="43">
        <f>ዕቁብ!BE120/Sheet4!$C117</f>
        <v>1</v>
      </c>
      <c r="BE117" s="43">
        <f>ዕቁብ!BF120/Sheet4!$C117</f>
        <v>1</v>
      </c>
      <c r="BF117" s="43">
        <f>ዕቁብ!BG120/Sheet4!$C117</f>
        <v>1</v>
      </c>
      <c r="BG117" s="43">
        <f>ዕቁብ!BH120/Sheet4!$C117</f>
        <v>1</v>
      </c>
      <c r="BH117" s="43">
        <f>ዕቁብ!BI120/Sheet4!$C117</f>
        <v>1</v>
      </c>
      <c r="BI117" s="43">
        <f>ዕቁብ!BJ120/Sheet4!$C117</f>
        <v>1</v>
      </c>
      <c r="BJ117" s="43">
        <f>ዕቁብ!BK120/Sheet4!$C117</f>
        <v>1</v>
      </c>
      <c r="BK117" s="43">
        <f>ዕቁብ!BL120/Sheet4!$C117</f>
        <v>1</v>
      </c>
      <c r="BL117" s="43">
        <f>ዕቁብ!BM120/Sheet4!$C117</f>
        <v>1</v>
      </c>
      <c r="BM117" s="43">
        <f>ዕቁብ!BN120/Sheet4!$C117</f>
        <v>1</v>
      </c>
      <c r="BN117" s="43">
        <f>ዕቁብ!BO120/Sheet4!$C117</f>
        <v>1</v>
      </c>
      <c r="BO117" s="43">
        <f>ዕቁብ!BP120/Sheet4!$C117</f>
        <v>0</v>
      </c>
      <c r="BP117" s="43">
        <f>ዕቁብ!BQ120/Sheet4!$C117</f>
        <v>1</v>
      </c>
      <c r="BQ117" s="43">
        <f>ዕቁብ!BR120/Sheet4!$C117</f>
        <v>1</v>
      </c>
      <c r="BR117" s="43">
        <f>ዕቁብ!BS120/Sheet4!$C117</f>
        <v>1</v>
      </c>
      <c r="BS117" s="43">
        <f>ዕቁብ!BT120/Sheet4!$C117</f>
        <v>1</v>
      </c>
      <c r="BT117" s="43">
        <f>ዕቁብ!BU120/Sheet4!$C117</f>
        <v>1</v>
      </c>
      <c r="BU117" s="43">
        <f>ዕቁብ!BV120/Sheet4!$C117</f>
        <v>1</v>
      </c>
      <c r="BV117" s="43">
        <f>ዕቁብ!BW120/Sheet4!$C117</f>
        <v>1</v>
      </c>
      <c r="BW117" s="43">
        <f>ዕቁብ!BX120/Sheet4!$C117</f>
        <v>1</v>
      </c>
      <c r="BX117" s="43">
        <f>ዕቁብ!BY120/Sheet4!$C117</f>
        <v>1</v>
      </c>
      <c r="BY117" s="43">
        <f>ዕቁብ!BZ120/Sheet4!$C117</f>
        <v>1</v>
      </c>
      <c r="BZ117" s="43">
        <f>ዕቁብ!CA120/Sheet4!$C117</f>
        <v>1</v>
      </c>
      <c r="CA117" s="43">
        <f>ዕቁብ!CB120/Sheet4!$C117</f>
        <v>1</v>
      </c>
      <c r="CB117" s="43">
        <f>ዕቁብ!CC120/Sheet4!$C117</f>
        <v>1</v>
      </c>
      <c r="CC117" s="43">
        <f>ዕቁብ!CD120/Sheet4!$C117</f>
        <v>1</v>
      </c>
      <c r="CD117" s="43">
        <f>ዕቁብ!CE120/Sheet4!$C117</f>
        <v>1</v>
      </c>
      <c r="CE117" s="43">
        <f>ዕቁብ!CF120/Sheet4!$C117</f>
        <v>1</v>
      </c>
      <c r="CF117" s="43">
        <f>ዕቁብ!CG120/Sheet4!$C117</f>
        <v>1</v>
      </c>
      <c r="CG117" s="43">
        <f>ዕቁብ!CH120/Sheet4!$C117</f>
        <v>1</v>
      </c>
      <c r="CH117" s="43">
        <f>ዕቁብ!CI120/Sheet4!$C117</f>
        <v>1</v>
      </c>
      <c r="CI117" s="43">
        <f>ዕቁብ!CJ120/Sheet4!$C117</f>
        <v>1</v>
      </c>
      <c r="CJ117" s="43">
        <f>ዕቁብ!CK120/Sheet4!$C117</f>
        <v>1</v>
      </c>
      <c r="CK117" s="43">
        <f>ዕቁብ!CL120/Sheet4!$C117</f>
        <v>1</v>
      </c>
      <c r="CL117" s="43">
        <f>ዕቁብ!CM120/Sheet4!$C117</f>
        <v>1</v>
      </c>
      <c r="CM117" s="43">
        <f>ዕቁብ!CN120/Sheet4!$C117</f>
        <v>1</v>
      </c>
      <c r="CN117" s="43">
        <f>ዕቁብ!CO120/Sheet4!$C117</f>
        <v>1</v>
      </c>
      <c r="CO117" s="43">
        <f>ዕቁብ!CP120/Sheet4!$C117</f>
        <v>1</v>
      </c>
      <c r="CP117" s="43">
        <f>ዕቁብ!CQ120/Sheet4!$C117</f>
        <v>1</v>
      </c>
      <c r="CQ117" s="43">
        <f>ዕቁብ!CR120/Sheet4!$C117</f>
        <v>1</v>
      </c>
      <c r="CR117" s="43">
        <f>ዕቁብ!CS120/Sheet4!$C117</f>
        <v>1</v>
      </c>
      <c r="CS117" s="43">
        <f>ዕቁብ!CT120/Sheet4!$C117</f>
        <v>1</v>
      </c>
      <c r="CT117" s="43">
        <f>ዕቁብ!CU120/Sheet4!$C117</f>
        <v>1</v>
      </c>
      <c r="CU117" s="43">
        <f>ዕቁብ!CV120/Sheet4!$C117</f>
        <v>1</v>
      </c>
      <c r="CV117" s="43">
        <f>ዕቁብ!CW120/Sheet4!$C117</f>
        <v>0</v>
      </c>
      <c r="CW117" s="43">
        <f>ዕቁብ!CX120/Sheet4!$C117</f>
        <v>2</v>
      </c>
      <c r="CX117" s="43">
        <f>ዕቁብ!CY120/Sheet4!$C117</f>
        <v>0</v>
      </c>
      <c r="CY117" s="43">
        <f>ዕቁብ!CZ120/Sheet4!$C117</f>
        <v>2</v>
      </c>
      <c r="CZ117" s="43">
        <f>ዕቁብ!DA120/Sheet4!$C117</f>
        <v>1</v>
      </c>
      <c r="DA117" s="43">
        <f>ዕቁብ!DB120/Sheet4!$C117</f>
        <v>1</v>
      </c>
      <c r="DB117" s="43">
        <f>ዕቁብ!DC120/Sheet4!$C117</f>
        <v>1</v>
      </c>
      <c r="DC117" s="43">
        <f>ዕቁብ!DD120/Sheet4!$C117</f>
        <v>1</v>
      </c>
      <c r="DD117" s="43">
        <f>ዕቁብ!DE120/Sheet4!$C117</f>
        <v>1</v>
      </c>
      <c r="DE117" s="43">
        <f>ዕቁብ!DF120/Sheet4!$C117</f>
        <v>1</v>
      </c>
      <c r="DF117" s="43">
        <f>ዕቁብ!DG120/Sheet4!$C117</f>
        <v>0</v>
      </c>
      <c r="DG117" s="43">
        <f>ዕቁብ!DH120/Sheet4!$C117</f>
        <v>2</v>
      </c>
      <c r="DH117" s="43">
        <f>ዕቁብ!DI120/Sheet4!$C117</f>
        <v>0</v>
      </c>
      <c r="DI117" s="43">
        <f>ዕቁብ!DJ120/Sheet4!$C117</f>
        <v>0</v>
      </c>
      <c r="DJ117" s="43">
        <f>ዕቁብ!DK120/Sheet4!$C117</f>
        <v>0</v>
      </c>
      <c r="DK117" s="43">
        <f>ዕቁብ!DL120/Sheet4!$C117</f>
        <v>0</v>
      </c>
      <c r="DL117" s="43">
        <f>ዕቁብ!DM120/Sheet4!$C117</f>
        <v>0</v>
      </c>
      <c r="DM117" s="43">
        <f>ዕቁብ!DN120/Sheet4!$C117</f>
        <v>0</v>
      </c>
      <c r="DN117" s="43">
        <f>ዕቁብ!DO120/Sheet4!$C117</f>
        <v>0</v>
      </c>
      <c r="DO117" s="43">
        <f>ዕቁብ!DP120/Sheet4!$C117</f>
        <v>0</v>
      </c>
      <c r="DP117" s="43">
        <f>ዕቁብ!DQ120/Sheet4!$C117</f>
        <v>0</v>
      </c>
      <c r="DQ117" s="43">
        <f>ዕቁብ!DR120/Sheet4!$C117</f>
        <v>0</v>
      </c>
    </row>
    <row r="118" spans="1:121" ht="15.75" customHeight="1" x14ac:dyDescent="0.3">
      <c r="A118" s="40">
        <f>ዕቁብ!A121</f>
        <v>105</v>
      </c>
      <c r="B118" s="40" t="str">
        <f>ዕቁብ!B121</f>
        <v>ደስታ ቶሎሳ</v>
      </c>
      <c r="C118" s="30">
        <f>ዕቁብ!C121</f>
        <v>10500</v>
      </c>
      <c r="D118" s="43">
        <f>ዕቁብ!E121/Sheet4!$C118</f>
        <v>1</v>
      </c>
      <c r="E118" s="43">
        <f>ዕቁብ!F121/Sheet4!$C118</f>
        <v>1</v>
      </c>
      <c r="F118" s="43">
        <f>ዕቁብ!G121/Sheet4!$C118</f>
        <v>1</v>
      </c>
      <c r="G118" s="43">
        <f>ዕቁብ!H121/Sheet4!$C118</f>
        <v>1</v>
      </c>
      <c r="H118" s="43">
        <f>ዕቁብ!I121/Sheet4!$C118</f>
        <v>1</v>
      </c>
      <c r="I118" s="43">
        <f>ዕቁብ!J121/Sheet4!$C118</f>
        <v>1</v>
      </c>
      <c r="J118" s="43">
        <f>ዕቁብ!K121/Sheet4!$C118</f>
        <v>1</v>
      </c>
      <c r="K118" s="43">
        <f>ዕቁብ!L121/Sheet4!$C118</f>
        <v>1</v>
      </c>
      <c r="L118" s="43">
        <f>ዕቁብ!M121/Sheet4!$C118</f>
        <v>1</v>
      </c>
      <c r="M118" s="43">
        <f>ዕቁብ!N121/Sheet4!$C118</f>
        <v>1</v>
      </c>
      <c r="N118" s="43">
        <f>ዕቁብ!O121/Sheet4!$C118</f>
        <v>1</v>
      </c>
      <c r="O118" s="43">
        <f>ዕቁብ!P121/Sheet4!$C118</f>
        <v>1</v>
      </c>
      <c r="P118" s="43">
        <f>ዕቁብ!Q121/Sheet4!$C118</f>
        <v>1</v>
      </c>
      <c r="Q118" s="43">
        <f>ዕቁብ!R121/Sheet4!$C118</f>
        <v>1</v>
      </c>
      <c r="R118" s="43">
        <f>ዕቁብ!S121/Sheet4!$C118</f>
        <v>1</v>
      </c>
      <c r="S118" s="43">
        <f>ዕቁብ!T121/Sheet4!$C118</f>
        <v>1</v>
      </c>
      <c r="T118" s="43">
        <f>ዕቁብ!U121/Sheet4!$C118</f>
        <v>1</v>
      </c>
      <c r="U118" s="43">
        <f>ዕቁብ!V121/Sheet4!$C118</f>
        <v>1</v>
      </c>
      <c r="V118" s="43">
        <f>ዕቁብ!W121/Sheet4!$C118</f>
        <v>1</v>
      </c>
      <c r="W118" s="43">
        <f>ዕቁብ!X121/Sheet4!$C118</f>
        <v>1</v>
      </c>
      <c r="X118" s="43">
        <f>ዕቁብ!Y121/Sheet4!$C118</f>
        <v>1</v>
      </c>
      <c r="Y118" s="43">
        <f>ዕቁብ!Z121/Sheet4!$C118</f>
        <v>1</v>
      </c>
      <c r="Z118" s="43">
        <f>ዕቁብ!AA121/Sheet4!$C118</f>
        <v>1</v>
      </c>
      <c r="AA118" s="43">
        <f>ዕቁብ!AB121/Sheet4!$C118</f>
        <v>1</v>
      </c>
      <c r="AB118" s="43">
        <f>ዕቁብ!AC121/Sheet4!$C118</f>
        <v>1</v>
      </c>
      <c r="AC118" s="43">
        <f>ዕቁብ!AD121/Sheet4!$C118</f>
        <v>1</v>
      </c>
      <c r="AD118" s="43">
        <f>ዕቁብ!AE121/Sheet4!$C118</f>
        <v>1</v>
      </c>
      <c r="AE118" s="43">
        <f>ዕቁብ!AF121/Sheet4!$C118</f>
        <v>1</v>
      </c>
      <c r="AF118" s="43">
        <f>ዕቁብ!AG121/Sheet4!$C118</f>
        <v>1</v>
      </c>
      <c r="AG118" s="43">
        <f>ዕቁብ!AH121/Sheet4!$C118</f>
        <v>1</v>
      </c>
      <c r="AH118" s="43">
        <f>ዕቁብ!AI121/Sheet4!$C118</f>
        <v>1</v>
      </c>
      <c r="AI118" s="43">
        <f>ዕቁብ!AJ121/Sheet4!$C118</f>
        <v>1</v>
      </c>
      <c r="AJ118" s="43">
        <f>ዕቁብ!AK121/Sheet4!$C118</f>
        <v>1</v>
      </c>
      <c r="AK118" s="43">
        <f>ዕቁብ!AL121/Sheet4!$C118</f>
        <v>1</v>
      </c>
      <c r="AL118" s="43">
        <f>ዕቁብ!AM121/Sheet4!$C118</f>
        <v>1</v>
      </c>
      <c r="AM118" s="43">
        <f>ዕቁብ!AN121/Sheet4!$C118</f>
        <v>1</v>
      </c>
      <c r="AN118" s="43">
        <f>ዕቁብ!AO121/Sheet4!$C118</f>
        <v>1</v>
      </c>
      <c r="AO118" s="43">
        <f>ዕቁብ!AP121/Sheet4!$C118</f>
        <v>1</v>
      </c>
      <c r="AP118" s="43">
        <f>ዕቁብ!AQ121/Sheet4!$C118</f>
        <v>1</v>
      </c>
      <c r="AQ118" s="43">
        <f>ዕቁብ!AR121/Sheet4!$C118</f>
        <v>1</v>
      </c>
      <c r="AR118" s="43">
        <f>ዕቁብ!AS121/Sheet4!$C118</f>
        <v>1</v>
      </c>
      <c r="AS118" s="43">
        <f>ዕቁብ!AT121/Sheet4!$C118</f>
        <v>1</v>
      </c>
      <c r="AT118" s="43">
        <f>ዕቁብ!AU121/Sheet4!$C118</f>
        <v>1</v>
      </c>
      <c r="AU118" s="43">
        <f>ዕቁብ!AV121/Sheet4!$C118</f>
        <v>1</v>
      </c>
      <c r="AV118" s="43">
        <f>ዕቁብ!AW121/Sheet4!$C118</f>
        <v>1</v>
      </c>
      <c r="AW118" s="43">
        <f>ዕቁብ!AX121/Sheet4!$C118</f>
        <v>1</v>
      </c>
      <c r="AX118" s="43">
        <f>ዕቁብ!AY121/Sheet4!$C118</f>
        <v>1</v>
      </c>
      <c r="AY118" s="43">
        <f>ዕቁብ!AZ121/Sheet4!$C118</f>
        <v>1</v>
      </c>
      <c r="AZ118" s="43">
        <f>ዕቁብ!BA121/Sheet4!$C118</f>
        <v>1</v>
      </c>
      <c r="BA118" s="43">
        <f>ዕቁብ!BB121/Sheet4!$C118</f>
        <v>1</v>
      </c>
      <c r="BB118" s="43">
        <f>ዕቁብ!BC121/Sheet4!$C118</f>
        <v>1</v>
      </c>
      <c r="BC118" s="43">
        <f>ዕቁብ!BD121/Sheet4!$C118</f>
        <v>1</v>
      </c>
      <c r="BD118" s="43">
        <f>ዕቁብ!BE121/Sheet4!$C118</f>
        <v>1</v>
      </c>
      <c r="BE118" s="43">
        <f>ዕቁብ!BF121/Sheet4!$C118</f>
        <v>1</v>
      </c>
      <c r="BF118" s="43">
        <f>ዕቁብ!BG121/Sheet4!$C118</f>
        <v>1</v>
      </c>
      <c r="BG118" s="43">
        <f>ዕቁብ!BH121/Sheet4!$C118</f>
        <v>1</v>
      </c>
      <c r="BH118" s="43">
        <f>ዕቁብ!BI121/Sheet4!$C118</f>
        <v>1</v>
      </c>
      <c r="BI118" s="43">
        <f>ዕቁብ!BJ121/Sheet4!$C118</f>
        <v>0</v>
      </c>
      <c r="BJ118" s="43">
        <f>ዕቁብ!BK121/Sheet4!$C118</f>
        <v>2</v>
      </c>
      <c r="BK118" s="43">
        <f>ዕቁብ!BL121/Sheet4!$C118</f>
        <v>0</v>
      </c>
      <c r="BL118" s="43">
        <f>ዕቁብ!BM121/Sheet4!$C118</f>
        <v>2</v>
      </c>
      <c r="BM118" s="43">
        <f>ዕቁብ!BN121/Sheet4!$C118</f>
        <v>0</v>
      </c>
      <c r="BN118" s="43">
        <f>ዕቁብ!BO121/Sheet4!$C118</f>
        <v>0</v>
      </c>
      <c r="BO118" s="43">
        <f>ዕቁብ!BP121/Sheet4!$C118</f>
        <v>1</v>
      </c>
      <c r="BP118" s="43">
        <f>ዕቁብ!BQ121/Sheet4!$C118</f>
        <v>1</v>
      </c>
      <c r="BQ118" s="43">
        <f>ዕቁብ!BR121/Sheet4!$C118</f>
        <v>1</v>
      </c>
      <c r="BR118" s="43">
        <f>ዕቁብ!BS121/Sheet4!$C118</f>
        <v>1</v>
      </c>
      <c r="BS118" s="43">
        <f>ዕቁብ!BT121/Sheet4!$C118</f>
        <v>1</v>
      </c>
      <c r="BT118" s="43">
        <f>ዕቁብ!BU121/Sheet4!$C118</f>
        <v>1</v>
      </c>
      <c r="BU118" s="43">
        <f>ዕቁብ!BV121/Sheet4!$C118</f>
        <v>1</v>
      </c>
      <c r="BV118" s="43">
        <f>ዕቁብ!BW121/Sheet4!$C118</f>
        <v>0</v>
      </c>
      <c r="BW118" s="43">
        <f>ዕቁብ!BX121/Sheet4!$C118</f>
        <v>2</v>
      </c>
      <c r="BX118" s="43">
        <f>ዕቁብ!BY121/Sheet4!$C118</f>
        <v>0</v>
      </c>
      <c r="BY118" s="43">
        <f>ዕቁብ!BZ121/Sheet4!$C118</f>
        <v>2</v>
      </c>
      <c r="BZ118" s="43">
        <f>ዕቁብ!CA121/Sheet4!$C118</f>
        <v>0</v>
      </c>
      <c r="CA118" s="43">
        <f>ዕቁብ!CB121/Sheet4!$C118</f>
        <v>2</v>
      </c>
      <c r="CB118" s="43">
        <f>ዕቁብ!CC121/Sheet4!$C118</f>
        <v>0</v>
      </c>
      <c r="CC118" s="43">
        <f>ዕቁብ!CD121/Sheet4!$C118</f>
        <v>2</v>
      </c>
      <c r="CD118" s="43">
        <f>ዕቁብ!CE121/Sheet4!$C118</f>
        <v>0</v>
      </c>
      <c r="CE118" s="43">
        <f>ዕቁብ!CF121/Sheet4!$C118</f>
        <v>2</v>
      </c>
      <c r="CF118" s="43">
        <f>ዕቁብ!CG121/Sheet4!$C118</f>
        <v>0</v>
      </c>
      <c r="CG118" s="43">
        <f>ዕቁብ!CH121/Sheet4!$C118</f>
        <v>2</v>
      </c>
      <c r="CH118" s="43">
        <f>ዕቁብ!CI121/Sheet4!$C118</f>
        <v>0</v>
      </c>
      <c r="CI118" s="43">
        <f>ዕቁብ!CJ121/Sheet4!$C118</f>
        <v>0</v>
      </c>
      <c r="CJ118" s="43">
        <f>ዕቁብ!CK121/Sheet4!$C118</f>
        <v>3</v>
      </c>
      <c r="CK118" s="43">
        <f>ዕቁብ!CL121/Sheet4!$C118</f>
        <v>0</v>
      </c>
      <c r="CL118" s="43">
        <f>ዕቁብ!CM121/Sheet4!$C118</f>
        <v>2</v>
      </c>
      <c r="CM118" s="43">
        <f>ዕቁብ!CN121/Sheet4!$C118</f>
        <v>0</v>
      </c>
      <c r="CN118" s="43">
        <f>ዕቁብ!CO121/Sheet4!$C118</f>
        <v>2</v>
      </c>
      <c r="CO118" s="43">
        <f>ዕቁብ!CP121/Sheet4!$C118</f>
        <v>0</v>
      </c>
      <c r="CP118" s="43">
        <f>ዕቁብ!CQ121/Sheet4!$C118</f>
        <v>2</v>
      </c>
      <c r="CQ118" s="43">
        <f>ዕቁብ!CR121/Sheet4!$C118</f>
        <v>0</v>
      </c>
      <c r="CR118" s="43">
        <f>ዕቁብ!CS121/Sheet4!$C118</f>
        <v>2</v>
      </c>
      <c r="CS118" s="43">
        <f>ዕቁብ!CT121/Sheet4!$C118</f>
        <v>0</v>
      </c>
      <c r="CT118" s="43">
        <f>ዕቁብ!CU121/Sheet4!$C118</f>
        <v>2</v>
      </c>
      <c r="CU118" s="43">
        <f>ዕቁብ!CV121/Sheet4!$C118</f>
        <v>0</v>
      </c>
      <c r="CV118" s="43">
        <f>ዕቁብ!CW121/Sheet4!$C118</f>
        <v>0</v>
      </c>
      <c r="CW118" s="43">
        <f>ዕቁብ!CX121/Sheet4!$C118</f>
        <v>2</v>
      </c>
      <c r="CX118" s="43">
        <f>ዕቁብ!CY121/Sheet4!$C118</f>
        <v>0</v>
      </c>
      <c r="CY118" s="43">
        <f>ዕቁብ!CZ121/Sheet4!$C118</f>
        <v>0</v>
      </c>
      <c r="CZ118" s="43">
        <f>ዕቁብ!DA121/Sheet4!$C118</f>
        <v>0</v>
      </c>
      <c r="DA118" s="43">
        <f>ዕቁብ!DB121/Sheet4!$C118</f>
        <v>2</v>
      </c>
      <c r="DB118" s="43">
        <f>ዕቁብ!DC121/Sheet4!$C118</f>
        <v>0</v>
      </c>
      <c r="DC118" s="43">
        <f>ዕቁብ!DD121/Sheet4!$C118</f>
        <v>2</v>
      </c>
      <c r="DD118" s="43">
        <f>ዕቁብ!DE121/Sheet4!$C118</f>
        <v>0</v>
      </c>
      <c r="DE118" s="43">
        <f>ዕቁብ!DF121/Sheet4!$C118</f>
        <v>0</v>
      </c>
      <c r="DF118" s="43">
        <f>ዕቁብ!DG121/Sheet4!$C118</f>
        <v>2</v>
      </c>
      <c r="DG118" s="43">
        <f>ዕቁብ!DH121/Sheet4!$C118</f>
        <v>0</v>
      </c>
      <c r="DH118" s="43">
        <f>ዕቁብ!DI121/Sheet4!$C118</f>
        <v>0</v>
      </c>
      <c r="DI118" s="43">
        <f>ዕቁብ!DJ121/Sheet4!$C118</f>
        <v>0</v>
      </c>
      <c r="DJ118" s="43">
        <f>ዕቁብ!DK121/Sheet4!$C118</f>
        <v>0</v>
      </c>
      <c r="DK118" s="43">
        <f>ዕቁብ!DL121/Sheet4!$C118</f>
        <v>0</v>
      </c>
      <c r="DL118" s="43">
        <f>ዕቁብ!DM121/Sheet4!$C118</f>
        <v>0</v>
      </c>
      <c r="DM118" s="43">
        <f>ዕቁብ!DN121/Sheet4!$C118</f>
        <v>0</v>
      </c>
      <c r="DN118" s="43">
        <f>ዕቁብ!DO121/Sheet4!$C118</f>
        <v>0</v>
      </c>
      <c r="DO118" s="43">
        <f>ዕቁብ!DP121/Sheet4!$C118</f>
        <v>0</v>
      </c>
      <c r="DP118" s="43">
        <f>ዕቁብ!DQ121/Sheet4!$C118</f>
        <v>0</v>
      </c>
      <c r="DQ118" s="43">
        <f>ዕቁብ!DR121/Sheet4!$C118</f>
        <v>0</v>
      </c>
    </row>
    <row r="119" spans="1:121" ht="15.75" customHeight="1" x14ac:dyDescent="0.3">
      <c r="A119" s="40">
        <f>ዕቁብ!A122</f>
        <v>105</v>
      </c>
      <c r="B119" s="40" t="str">
        <f>ዕቁብ!B122</f>
        <v>ኤልያስ አቢባ</v>
      </c>
      <c r="C119" s="30">
        <f>ዕቁብ!C122</f>
        <v>10500</v>
      </c>
      <c r="D119" s="43">
        <f>ዕቁብ!E122/Sheet4!$C119</f>
        <v>1</v>
      </c>
      <c r="E119" s="43">
        <f>ዕቁብ!F122/Sheet4!$C119</f>
        <v>1</v>
      </c>
      <c r="F119" s="43">
        <f>ዕቁብ!G122/Sheet4!$C119</f>
        <v>1</v>
      </c>
      <c r="G119" s="43">
        <f>ዕቁብ!H122/Sheet4!$C119</f>
        <v>1</v>
      </c>
      <c r="H119" s="43">
        <f>ዕቁብ!I122/Sheet4!$C119</f>
        <v>1</v>
      </c>
      <c r="I119" s="43">
        <f>ዕቁብ!J122/Sheet4!$C119</f>
        <v>1</v>
      </c>
      <c r="J119" s="43">
        <f>ዕቁብ!K122/Sheet4!$C119</f>
        <v>1</v>
      </c>
      <c r="K119" s="43">
        <f>ዕቁብ!L122/Sheet4!$C119</f>
        <v>1</v>
      </c>
      <c r="L119" s="43">
        <f>ዕቁብ!M122/Sheet4!$C119</f>
        <v>1</v>
      </c>
      <c r="M119" s="43">
        <f>ዕቁብ!N122/Sheet4!$C119</f>
        <v>1</v>
      </c>
      <c r="N119" s="43">
        <f>ዕቁብ!O122/Sheet4!$C119</f>
        <v>1</v>
      </c>
      <c r="O119" s="43">
        <f>ዕቁብ!P122/Sheet4!$C119</f>
        <v>1</v>
      </c>
      <c r="P119" s="43">
        <f>ዕቁብ!Q122/Sheet4!$C119</f>
        <v>1</v>
      </c>
      <c r="Q119" s="43">
        <f>ዕቁብ!R122/Sheet4!$C119</f>
        <v>1</v>
      </c>
      <c r="R119" s="43">
        <f>ዕቁብ!S122/Sheet4!$C119</f>
        <v>1</v>
      </c>
      <c r="S119" s="43">
        <f>ዕቁብ!T122/Sheet4!$C119</f>
        <v>1</v>
      </c>
      <c r="T119" s="43">
        <f>ዕቁብ!U122/Sheet4!$C119</f>
        <v>1</v>
      </c>
      <c r="U119" s="43">
        <f>ዕቁብ!V122/Sheet4!$C119</f>
        <v>1</v>
      </c>
      <c r="V119" s="43">
        <f>ዕቁብ!W122/Sheet4!$C119</f>
        <v>1</v>
      </c>
      <c r="W119" s="43">
        <f>ዕቁብ!X122/Sheet4!$C119</f>
        <v>1</v>
      </c>
      <c r="X119" s="43">
        <f>ዕቁብ!Y122/Sheet4!$C119</f>
        <v>1</v>
      </c>
      <c r="Y119" s="43">
        <f>ዕቁብ!Z122/Sheet4!$C119</f>
        <v>1</v>
      </c>
      <c r="Z119" s="43">
        <f>ዕቁብ!AA122/Sheet4!$C119</f>
        <v>1</v>
      </c>
      <c r="AA119" s="43">
        <f>ዕቁብ!AB122/Sheet4!$C119</f>
        <v>1</v>
      </c>
      <c r="AB119" s="43">
        <f>ዕቁብ!AC122/Sheet4!$C119</f>
        <v>1</v>
      </c>
      <c r="AC119" s="43">
        <f>ዕቁብ!AD122/Sheet4!$C119</f>
        <v>1</v>
      </c>
      <c r="AD119" s="43">
        <f>ዕቁብ!AE122/Sheet4!$C119</f>
        <v>1</v>
      </c>
      <c r="AE119" s="43">
        <f>ዕቁብ!AF122/Sheet4!$C119</f>
        <v>1</v>
      </c>
      <c r="AF119" s="43">
        <f>ዕቁብ!AG122/Sheet4!$C119</f>
        <v>1</v>
      </c>
      <c r="AG119" s="43">
        <f>ዕቁብ!AH122/Sheet4!$C119</f>
        <v>1</v>
      </c>
      <c r="AH119" s="43">
        <f>ዕቁብ!AI122/Sheet4!$C119</f>
        <v>1</v>
      </c>
      <c r="AI119" s="43">
        <f>ዕቁብ!AJ122/Sheet4!$C119</f>
        <v>1</v>
      </c>
      <c r="AJ119" s="43">
        <f>ዕቁብ!AK122/Sheet4!$C119</f>
        <v>1</v>
      </c>
      <c r="AK119" s="43">
        <f>ዕቁብ!AL122/Sheet4!$C119</f>
        <v>1</v>
      </c>
      <c r="AL119" s="43">
        <f>ዕቁብ!AM122/Sheet4!$C119</f>
        <v>1</v>
      </c>
      <c r="AM119" s="43">
        <f>ዕቁብ!AN122/Sheet4!$C119</f>
        <v>1</v>
      </c>
      <c r="AN119" s="43">
        <f>ዕቁብ!AO122/Sheet4!$C119</f>
        <v>1</v>
      </c>
      <c r="AO119" s="43">
        <f>ዕቁብ!AP122/Sheet4!$C119</f>
        <v>1</v>
      </c>
      <c r="AP119" s="43">
        <f>ዕቁብ!AQ122/Sheet4!$C119</f>
        <v>1</v>
      </c>
      <c r="AQ119" s="43">
        <f>ዕቁብ!AR122/Sheet4!$C119</f>
        <v>1</v>
      </c>
      <c r="AR119" s="43">
        <f>ዕቁብ!AS122/Sheet4!$C119</f>
        <v>1</v>
      </c>
      <c r="AS119" s="43">
        <f>ዕቁብ!AT122/Sheet4!$C119</f>
        <v>1</v>
      </c>
      <c r="AT119" s="43">
        <f>ዕቁብ!AU122/Sheet4!$C119</f>
        <v>1</v>
      </c>
      <c r="AU119" s="43">
        <f>ዕቁብ!AV122/Sheet4!$C119</f>
        <v>1</v>
      </c>
      <c r="AV119" s="43">
        <f>ዕቁብ!AW122/Sheet4!$C119</f>
        <v>1</v>
      </c>
      <c r="AW119" s="43">
        <f>ዕቁብ!AX122/Sheet4!$C119</f>
        <v>1</v>
      </c>
      <c r="AX119" s="43">
        <f>ዕቁብ!AY122/Sheet4!$C119</f>
        <v>1</v>
      </c>
      <c r="AY119" s="43">
        <f>ዕቁብ!AZ122/Sheet4!$C119</f>
        <v>1</v>
      </c>
      <c r="AZ119" s="43">
        <f>ዕቁብ!BA122/Sheet4!$C119</f>
        <v>1</v>
      </c>
      <c r="BA119" s="43">
        <f>ዕቁብ!BB122/Sheet4!$C119</f>
        <v>1</v>
      </c>
      <c r="BB119" s="43">
        <f>ዕቁብ!BC122/Sheet4!$C119</f>
        <v>1</v>
      </c>
      <c r="BC119" s="43">
        <f>ዕቁብ!BD122/Sheet4!$C119</f>
        <v>1</v>
      </c>
      <c r="BD119" s="43">
        <f>ዕቁብ!BE122/Sheet4!$C119</f>
        <v>1</v>
      </c>
      <c r="BE119" s="43">
        <f>ዕቁብ!BF122/Sheet4!$C119</f>
        <v>1</v>
      </c>
      <c r="BF119" s="43">
        <f>ዕቁብ!BG122/Sheet4!$C119</f>
        <v>1</v>
      </c>
      <c r="BG119" s="43">
        <f>ዕቁብ!BH122/Sheet4!$C119</f>
        <v>1</v>
      </c>
      <c r="BH119" s="43">
        <f>ዕቁብ!BI122/Sheet4!$C119</f>
        <v>1</v>
      </c>
      <c r="BI119" s="43">
        <f>ዕቁብ!BJ122/Sheet4!$C119</f>
        <v>0</v>
      </c>
      <c r="BJ119" s="43">
        <f>ዕቁብ!BK122/Sheet4!$C119</f>
        <v>2</v>
      </c>
      <c r="BK119" s="43">
        <f>ዕቁብ!BL122/Sheet4!$C119</f>
        <v>1</v>
      </c>
      <c r="BL119" s="43">
        <f>ዕቁብ!BM122/Sheet4!$C119</f>
        <v>1</v>
      </c>
      <c r="BM119" s="43">
        <f>ዕቁብ!BN122/Sheet4!$C119</f>
        <v>0</v>
      </c>
      <c r="BN119" s="43">
        <f>ዕቁብ!BO122/Sheet4!$C119</f>
        <v>2</v>
      </c>
      <c r="BO119" s="43">
        <f>ዕቁብ!BP122/Sheet4!$C119</f>
        <v>0</v>
      </c>
      <c r="BP119" s="43">
        <f>ዕቁብ!BQ122/Sheet4!$C119</f>
        <v>2</v>
      </c>
      <c r="BQ119" s="43">
        <f>ዕቁብ!BR122/Sheet4!$C119</f>
        <v>1</v>
      </c>
      <c r="BR119" s="43">
        <f>ዕቁብ!BS122/Sheet4!$C119</f>
        <v>1</v>
      </c>
      <c r="BS119" s="43">
        <f>ዕቁብ!BT122/Sheet4!$C119</f>
        <v>1</v>
      </c>
      <c r="BT119" s="43">
        <f>ዕቁብ!BU122/Sheet4!$C119</f>
        <v>1</v>
      </c>
      <c r="BU119" s="43">
        <f>ዕቁብ!BV122/Sheet4!$C119</f>
        <v>1</v>
      </c>
      <c r="BV119" s="43">
        <f>ዕቁብ!BW122/Sheet4!$C119</f>
        <v>1</v>
      </c>
      <c r="BW119" s="43">
        <f>ዕቁብ!BX122/Sheet4!$C119</f>
        <v>0</v>
      </c>
      <c r="BX119" s="43">
        <f>ዕቁብ!BY122/Sheet4!$C119</f>
        <v>2</v>
      </c>
      <c r="BY119" s="43">
        <f>ዕቁብ!BZ122/Sheet4!$C119</f>
        <v>1</v>
      </c>
      <c r="BZ119" s="43">
        <f>ዕቁብ!CA122/Sheet4!$C119</f>
        <v>1</v>
      </c>
      <c r="CA119" s="43">
        <f>ዕቁብ!CB122/Sheet4!$C119</f>
        <v>1</v>
      </c>
      <c r="CB119" s="43">
        <f>ዕቁብ!CC122/Sheet4!$C119</f>
        <v>1</v>
      </c>
      <c r="CC119" s="43">
        <f>ዕቁብ!CD122/Sheet4!$C119</f>
        <v>1</v>
      </c>
      <c r="CD119" s="43">
        <f>ዕቁብ!CE122/Sheet4!$C119</f>
        <v>0</v>
      </c>
      <c r="CE119" s="43">
        <f>ዕቁብ!CF122/Sheet4!$C119</f>
        <v>2</v>
      </c>
      <c r="CF119" s="43">
        <f>ዕቁብ!CG122/Sheet4!$C119</f>
        <v>1</v>
      </c>
      <c r="CG119" s="43">
        <f>ዕቁብ!CH122/Sheet4!$C119</f>
        <v>0</v>
      </c>
      <c r="CH119" s="43">
        <f>ዕቁብ!CI122/Sheet4!$C119</f>
        <v>1</v>
      </c>
      <c r="CI119" s="43">
        <f>ዕቁብ!CJ122/Sheet4!$C119</f>
        <v>0</v>
      </c>
      <c r="CJ119" s="43">
        <f>ዕቁብ!CK122/Sheet4!$C119</f>
        <v>2</v>
      </c>
      <c r="CK119" s="43">
        <f>ዕቁብ!CL122/Sheet4!$C119</f>
        <v>1</v>
      </c>
      <c r="CL119" s="43">
        <f>ዕቁብ!CM122/Sheet4!$C119</f>
        <v>1</v>
      </c>
      <c r="CM119" s="43">
        <f>ዕቁብ!CN122/Sheet4!$C119</f>
        <v>1</v>
      </c>
      <c r="CN119" s="43">
        <f>ዕቁብ!CO122/Sheet4!$C119</f>
        <v>2</v>
      </c>
      <c r="CO119" s="43">
        <f>ዕቁብ!CP122/Sheet4!$C119</f>
        <v>1</v>
      </c>
      <c r="CP119" s="43">
        <f>ዕቁብ!CQ122/Sheet4!$C119</f>
        <v>1</v>
      </c>
      <c r="CQ119" s="43">
        <f>ዕቁብ!CR122/Sheet4!$C119</f>
        <v>0</v>
      </c>
      <c r="CR119" s="43">
        <f>ዕቁብ!CS122/Sheet4!$C119</f>
        <v>2</v>
      </c>
      <c r="CS119" s="43">
        <f>ዕቁብ!CT122/Sheet4!$C119</f>
        <v>1</v>
      </c>
      <c r="CT119" s="43">
        <f>ዕቁብ!CU122/Sheet4!$C119</f>
        <v>0</v>
      </c>
      <c r="CU119" s="43">
        <f>ዕቁብ!CV122/Sheet4!$C119</f>
        <v>0</v>
      </c>
      <c r="CV119" s="43">
        <f>ዕቁብ!CW122/Sheet4!$C119</f>
        <v>1</v>
      </c>
      <c r="CW119" s="43">
        <f>ዕቁብ!CX122/Sheet4!$C119</f>
        <v>1</v>
      </c>
      <c r="CX119" s="43">
        <f>ዕቁብ!CY122/Sheet4!$C119</f>
        <v>2</v>
      </c>
      <c r="CY119" s="43">
        <f>ዕቁብ!CZ122/Sheet4!$C119</f>
        <v>1</v>
      </c>
      <c r="CZ119" s="43">
        <f>ዕቁብ!DA122/Sheet4!$C119</f>
        <v>0</v>
      </c>
      <c r="DA119" s="43">
        <f>ዕቁብ!DB122/Sheet4!$C119</f>
        <v>2</v>
      </c>
      <c r="DB119" s="43">
        <f>ዕቁብ!DC122/Sheet4!$C119</f>
        <v>1</v>
      </c>
      <c r="DC119" s="43">
        <f>ዕቁብ!DD122/Sheet4!$C119</f>
        <v>1</v>
      </c>
      <c r="DD119" s="43">
        <f>ዕቁብ!DE122/Sheet4!$C119</f>
        <v>1</v>
      </c>
      <c r="DE119" s="43">
        <f>ዕቁብ!DF122/Sheet4!$C119</f>
        <v>1</v>
      </c>
      <c r="DF119" s="43">
        <f>ዕቁብ!DG122/Sheet4!$C119</f>
        <v>1</v>
      </c>
      <c r="DG119" s="43">
        <f>ዕቁብ!DH122/Sheet4!$C119</f>
        <v>1</v>
      </c>
      <c r="DH119" s="43">
        <f>ዕቁብ!DI122/Sheet4!$C119</f>
        <v>0</v>
      </c>
      <c r="DI119" s="43">
        <f>ዕቁብ!DJ122/Sheet4!$C119</f>
        <v>0</v>
      </c>
      <c r="DJ119" s="43">
        <f>ዕቁብ!DK122/Sheet4!$C119</f>
        <v>0</v>
      </c>
      <c r="DK119" s="43">
        <f>ዕቁብ!DL122/Sheet4!$C119</f>
        <v>0</v>
      </c>
      <c r="DL119" s="43">
        <f>ዕቁብ!DM122/Sheet4!$C119</f>
        <v>0</v>
      </c>
      <c r="DM119" s="43">
        <f>ዕቁብ!DN122/Sheet4!$C119</f>
        <v>0</v>
      </c>
      <c r="DN119" s="43">
        <f>ዕቁብ!DO122/Sheet4!$C119</f>
        <v>0</v>
      </c>
      <c r="DO119" s="43">
        <f>ዕቁብ!DP122/Sheet4!$C119</f>
        <v>0</v>
      </c>
      <c r="DP119" s="43">
        <f>ዕቁብ!DQ122/Sheet4!$C119</f>
        <v>0</v>
      </c>
      <c r="DQ119" s="43">
        <f>ዕቁብ!DR122/Sheet4!$C119</f>
        <v>0</v>
      </c>
    </row>
    <row r="120" spans="1:121" ht="15.75" customHeight="1" x14ac:dyDescent="0.3">
      <c r="A120" s="40">
        <f>ዕቁብ!A123</f>
        <v>106</v>
      </c>
      <c r="B120" s="40" t="str">
        <f>ዕቁብ!B123</f>
        <v>ዮሴፍ ዮናስ</v>
      </c>
      <c r="C120" s="30">
        <f>ዕቁብ!C123</f>
        <v>10500</v>
      </c>
      <c r="D120" s="43">
        <f>ዕቁብ!E123/Sheet4!$C120</f>
        <v>1</v>
      </c>
      <c r="E120" s="43">
        <f>ዕቁብ!F123/Sheet4!$C120</f>
        <v>1</v>
      </c>
      <c r="F120" s="43">
        <f>ዕቁብ!G123/Sheet4!$C120</f>
        <v>1</v>
      </c>
      <c r="G120" s="43">
        <f>ዕቁብ!H123/Sheet4!$C120</f>
        <v>1</v>
      </c>
      <c r="H120" s="43">
        <f>ዕቁብ!I123/Sheet4!$C120</f>
        <v>1</v>
      </c>
      <c r="I120" s="43">
        <f>ዕቁብ!J123/Sheet4!$C120</f>
        <v>1</v>
      </c>
      <c r="J120" s="43">
        <f>ዕቁብ!K123/Sheet4!$C120</f>
        <v>1</v>
      </c>
      <c r="K120" s="43">
        <f>ዕቁብ!L123/Sheet4!$C120</f>
        <v>1</v>
      </c>
      <c r="L120" s="43">
        <f>ዕቁብ!M123/Sheet4!$C120</f>
        <v>1</v>
      </c>
      <c r="M120" s="43">
        <f>ዕቁብ!N123/Sheet4!$C120</f>
        <v>1</v>
      </c>
      <c r="N120" s="43">
        <f>ዕቁብ!O123/Sheet4!$C120</f>
        <v>1</v>
      </c>
      <c r="O120" s="43">
        <f>ዕቁብ!P123/Sheet4!$C120</f>
        <v>1</v>
      </c>
      <c r="P120" s="43">
        <f>ዕቁብ!Q123/Sheet4!$C120</f>
        <v>1</v>
      </c>
      <c r="Q120" s="43">
        <f>ዕቁብ!R123/Sheet4!$C120</f>
        <v>1</v>
      </c>
      <c r="R120" s="43">
        <f>ዕቁብ!S123/Sheet4!$C120</f>
        <v>1</v>
      </c>
      <c r="S120" s="43">
        <f>ዕቁብ!T123/Sheet4!$C120</f>
        <v>1</v>
      </c>
      <c r="T120" s="43">
        <f>ዕቁብ!U123/Sheet4!$C120</f>
        <v>1</v>
      </c>
      <c r="U120" s="43">
        <f>ዕቁብ!V123/Sheet4!$C120</f>
        <v>1</v>
      </c>
      <c r="V120" s="43">
        <f>ዕቁብ!W123/Sheet4!$C120</f>
        <v>1</v>
      </c>
      <c r="W120" s="43">
        <f>ዕቁብ!X123/Sheet4!$C120</f>
        <v>1</v>
      </c>
      <c r="X120" s="43">
        <f>ዕቁብ!Y123/Sheet4!$C120</f>
        <v>1</v>
      </c>
      <c r="Y120" s="43">
        <f>ዕቁብ!Z123/Sheet4!$C120</f>
        <v>1</v>
      </c>
      <c r="Z120" s="43">
        <f>ዕቁብ!AA123/Sheet4!$C120</f>
        <v>1</v>
      </c>
      <c r="AA120" s="43">
        <f>ዕቁብ!AB123/Sheet4!$C120</f>
        <v>1</v>
      </c>
      <c r="AB120" s="43">
        <f>ዕቁብ!AC123/Sheet4!$C120</f>
        <v>1</v>
      </c>
      <c r="AC120" s="43">
        <f>ዕቁብ!AD123/Sheet4!$C120</f>
        <v>1</v>
      </c>
      <c r="AD120" s="43">
        <f>ዕቁብ!AE123/Sheet4!$C120</f>
        <v>1</v>
      </c>
      <c r="AE120" s="43">
        <f>ዕቁብ!AF123/Sheet4!$C120</f>
        <v>0</v>
      </c>
      <c r="AF120" s="43">
        <f>ዕቁብ!AG123/Sheet4!$C120</f>
        <v>1</v>
      </c>
      <c r="AG120" s="43">
        <f>ዕቁብ!AH123/Sheet4!$C120</f>
        <v>0</v>
      </c>
      <c r="AH120" s="43">
        <f>ዕቁብ!AI123/Sheet4!$C120</f>
        <v>1</v>
      </c>
      <c r="AI120" s="43">
        <f>ዕቁብ!AJ123/Sheet4!$C120</f>
        <v>1</v>
      </c>
      <c r="AJ120" s="43">
        <f>ዕቁብ!AK123/Sheet4!$C120</f>
        <v>1</v>
      </c>
      <c r="AK120" s="43">
        <f>ዕቁብ!AL123/Sheet4!$C120</f>
        <v>1</v>
      </c>
      <c r="AL120" s="43">
        <f>ዕቁብ!AM123/Sheet4!$C120</f>
        <v>1</v>
      </c>
      <c r="AM120" s="43">
        <f>ዕቁብ!AN123/Sheet4!$C120</f>
        <v>0</v>
      </c>
      <c r="AN120" s="43">
        <f>ዕቁብ!AO123/Sheet4!$C120</f>
        <v>3</v>
      </c>
      <c r="AO120" s="43">
        <f>ዕቁብ!AP123/Sheet4!$C120</f>
        <v>1</v>
      </c>
      <c r="AP120" s="43">
        <f>ዕቁብ!AQ123/Sheet4!$C120</f>
        <v>0</v>
      </c>
      <c r="AQ120" s="43">
        <f>ዕቁብ!AR123/Sheet4!$C120</f>
        <v>2</v>
      </c>
      <c r="AR120" s="43">
        <f>ዕቁብ!AS123/Sheet4!$C120</f>
        <v>0</v>
      </c>
      <c r="AS120" s="43">
        <f>ዕቁብ!AT123/Sheet4!$C120</f>
        <v>2</v>
      </c>
      <c r="AT120" s="43">
        <f>ዕቁብ!AU123/Sheet4!$C120</f>
        <v>0</v>
      </c>
      <c r="AU120" s="43">
        <f>ዕቁብ!AV123/Sheet4!$C120</f>
        <v>2</v>
      </c>
      <c r="AV120" s="43">
        <f>ዕቁብ!AW123/Sheet4!$C120</f>
        <v>1</v>
      </c>
      <c r="AW120" s="43">
        <f>ዕቁብ!AX123/Sheet4!$C120</f>
        <v>0</v>
      </c>
      <c r="AX120" s="43">
        <f>ዕቁብ!AY123/Sheet4!$C120</f>
        <v>0</v>
      </c>
      <c r="AY120" s="43">
        <f>ዕቁብ!AZ123/Sheet4!$C120</f>
        <v>2</v>
      </c>
      <c r="AZ120" s="43">
        <f>ዕቁብ!BA123/Sheet4!$C120</f>
        <v>2</v>
      </c>
      <c r="BA120" s="43">
        <f>ዕቁብ!BB123/Sheet4!$C120</f>
        <v>0</v>
      </c>
      <c r="BB120" s="43">
        <f>ዕቁብ!BC123/Sheet4!$C120</f>
        <v>2</v>
      </c>
      <c r="BC120" s="43">
        <f>ዕቁብ!BD123/Sheet4!$C120</f>
        <v>1</v>
      </c>
      <c r="BD120" s="43">
        <f>ዕቁብ!BE123/Sheet4!$C120</f>
        <v>0</v>
      </c>
      <c r="BE120" s="43">
        <f>ዕቁብ!BF123/Sheet4!$C120</f>
        <v>1</v>
      </c>
      <c r="BF120" s="43">
        <f>ዕቁብ!BG123/Sheet4!$C120</f>
        <v>0</v>
      </c>
      <c r="BG120" s="43">
        <f>ዕቁብ!BH123/Sheet4!$C120</f>
        <v>0</v>
      </c>
      <c r="BH120" s="43">
        <f>ዕቁብ!BI123/Sheet4!$C120</f>
        <v>0</v>
      </c>
      <c r="BI120" s="43">
        <f>ዕቁብ!BJ123/Sheet4!$C120</f>
        <v>3</v>
      </c>
      <c r="BJ120" s="43">
        <f>ዕቁብ!BK123/Sheet4!$C120</f>
        <v>0</v>
      </c>
      <c r="BK120" s="43">
        <f>ዕቁብ!BL123/Sheet4!$C120</f>
        <v>0</v>
      </c>
      <c r="BL120" s="43">
        <f>ዕቁብ!BM123/Sheet4!$C120</f>
        <v>2</v>
      </c>
      <c r="BM120" s="43">
        <f>ዕቁብ!BN123/Sheet4!$C120</f>
        <v>0</v>
      </c>
      <c r="BN120" s="43">
        <f>ዕቁብ!BO123/Sheet4!$C120</f>
        <v>0</v>
      </c>
      <c r="BO120" s="43">
        <f>ዕቁብ!BP123/Sheet4!$C120</f>
        <v>0</v>
      </c>
      <c r="BP120" s="43">
        <f>ዕቁብ!BQ123/Sheet4!$C120</f>
        <v>0</v>
      </c>
      <c r="BQ120" s="43">
        <f>ዕቁብ!BR123/Sheet4!$C120</f>
        <v>3</v>
      </c>
      <c r="BR120" s="43">
        <f>ዕቁብ!BS123/Sheet4!$C120</f>
        <v>0</v>
      </c>
      <c r="BS120" s="43">
        <f>ዕቁብ!BT123/Sheet4!$C120</f>
        <v>0</v>
      </c>
      <c r="BT120" s="43">
        <f>ዕቁብ!BU123/Sheet4!$C120</f>
        <v>0</v>
      </c>
      <c r="BU120" s="43">
        <f>ዕቁብ!BV123/Sheet4!$C120</f>
        <v>0</v>
      </c>
      <c r="BV120" s="43">
        <f>ዕቁብ!BW123/Sheet4!$C120</f>
        <v>0</v>
      </c>
      <c r="BW120" s="43">
        <f>ዕቁብ!BX123/Sheet4!$C120</f>
        <v>0</v>
      </c>
      <c r="BX120" s="43">
        <f>ዕቁብ!BY123/Sheet4!$C120</f>
        <v>0</v>
      </c>
      <c r="BY120" s="43">
        <f>ዕቁብ!BZ123/Sheet4!$C120</f>
        <v>0</v>
      </c>
      <c r="BZ120" s="43">
        <f>ዕቁብ!CA123/Sheet4!$C120</f>
        <v>0</v>
      </c>
      <c r="CA120" s="43">
        <f>ዕቁብ!CB123/Sheet4!$C120</f>
        <v>0</v>
      </c>
      <c r="CB120" s="43">
        <f>ዕቁብ!CC123/Sheet4!$C120</f>
        <v>0</v>
      </c>
      <c r="CC120" s="43">
        <f>ዕቁብ!CD123/Sheet4!$C120</f>
        <v>0</v>
      </c>
      <c r="CD120" s="43">
        <f>ዕቁብ!CE123/Sheet4!$C120</f>
        <v>0</v>
      </c>
      <c r="CE120" s="43">
        <f>ዕቁብ!CF123/Sheet4!$C120</f>
        <v>0</v>
      </c>
      <c r="CF120" s="43">
        <f>ዕቁብ!CG123/Sheet4!$C120</f>
        <v>0</v>
      </c>
      <c r="CG120" s="43">
        <f>ዕቁብ!CH123/Sheet4!$C120</f>
        <v>0</v>
      </c>
      <c r="CH120" s="43">
        <f>ዕቁብ!CI123/Sheet4!$C120</f>
        <v>0</v>
      </c>
      <c r="CI120" s="43">
        <f>ዕቁብ!CJ123/Sheet4!$C120</f>
        <v>0</v>
      </c>
      <c r="CJ120" s="43">
        <f>ዕቁብ!CK123/Sheet4!$C120</f>
        <v>0</v>
      </c>
      <c r="CK120" s="43">
        <f>ዕቁብ!CL123/Sheet4!$C120</f>
        <v>0</v>
      </c>
      <c r="CL120" s="43">
        <f>ዕቁብ!CM123/Sheet4!$C120</f>
        <v>4</v>
      </c>
      <c r="CM120" s="43">
        <f>ዕቁብ!CN123/Sheet4!$C120</f>
        <v>0</v>
      </c>
      <c r="CN120" s="43">
        <f>ዕቁብ!CO123/Sheet4!$C120</f>
        <v>0</v>
      </c>
      <c r="CO120" s="43">
        <f>ዕቁብ!CP123/Sheet4!$C120</f>
        <v>10</v>
      </c>
      <c r="CP120" s="43">
        <f>ዕቁብ!CQ123/Sheet4!$C120</f>
        <v>0</v>
      </c>
      <c r="CQ120" s="43">
        <f>ዕቁብ!CR123/Sheet4!$C120</f>
        <v>0</v>
      </c>
      <c r="CR120" s="43">
        <f>ዕቁብ!CS123/Sheet4!$C120</f>
        <v>0</v>
      </c>
      <c r="CS120" s="43">
        <f>ዕቁብ!CT123/Sheet4!$C120</f>
        <v>3</v>
      </c>
      <c r="CT120" s="43">
        <f>ዕቁብ!CU123/Sheet4!$C120</f>
        <v>0</v>
      </c>
      <c r="CU120" s="43">
        <f>ዕቁብ!CV123/Sheet4!$C120</f>
        <v>0</v>
      </c>
      <c r="CV120" s="43">
        <f>ዕቁብ!CW123/Sheet4!$C120</f>
        <v>0</v>
      </c>
      <c r="CW120" s="43">
        <f>ዕቁብ!CX123/Sheet4!$C120</f>
        <v>0</v>
      </c>
      <c r="CX120" s="43">
        <f>ዕቁብ!CY123/Sheet4!$C120</f>
        <v>0</v>
      </c>
      <c r="CY120" s="43">
        <f>ዕቁብ!CZ123/Sheet4!$C120</f>
        <v>0</v>
      </c>
      <c r="CZ120" s="43">
        <f>ዕቁብ!DA123/Sheet4!$C120</f>
        <v>0</v>
      </c>
      <c r="DA120" s="43">
        <f>ዕቁብ!DB123/Sheet4!$C120</f>
        <v>0</v>
      </c>
      <c r="DB120" s="43">
        <f>ዕቁብ!DC123/Sheet4!$C120</f>
        <v>0</v>
      </c>
      <c r="DC120" s="43">
        <f>ዕቁብ!DD123/Sheet4!$C120</f>
        <v>0</v>
      </c>
      <c r="DD120" s="43">
        <f>ዕቁብ!DE123/Sheet4!$C120</f>
        <v>0</v>
      </c>
      <c r="DE120" s="43">
        <f>ዕቁብ!DF123/Sheet4!$C120</f>
        <v>0</v>
      </c>
      <c r="DF120" s="43">
        <f>ዕቁብ!DG123/Sheet4!$C120</f>
        <v>0</v>
      </c>
      <c r="DG120" s="43">
        <f>ዕቁብ!DH123/Sheet4!$C120</f>
        <v>0</v>
      </c>
      <c r="DH120" s="43">
        <f>ዕቁብ!DI123/Sheet4!$C120</f>
        <v>0</v>
      </c>
      <c r="DI120" s="43">
        <f>ዕቁብ!DJ123/Sheet4!$C120</f>
        <v>0</v>
      </c>
      <c r="DJ120" s="43">
        <f>ዕቁብ!DK123/Sheet4!$C120</f>
        <v>0</v>
      </c>
      <c r="DK120" s="43">
        <f>ዕቁብ!DL123/Sheet4!$C120</f>
        <v>0</v>
      </c>
      <c r="DL120" s="43">
        <f>ዕቁብ!DM123/Sheet4!$C120</f>
        <v>0</v>
      </c>
      <c r="DM120" s="43">
        <f>ዕቁብ!DN123/Sheet4!$C120</f>
        <v>0</v>
      </c>
      <c r="DN120" s="43">
        <f>ዕቁብ!DO123/Sheet4!$C120</f>
        <v>0</v>
      </c>
      <c r="DO120" s="43">
        <f>ዕቁብ!DP123/Sheet4!$C120</f>
        <v>0</v>
      </c>
      <c r="DP120" s="43">
        <f>ዕቁብ!DQ123/Sheet4!$C120</f>
        <v>0</v>
      </c>
      <c r="DQ120" s="43">
        <f>ዕቁብ!DR123/Sheet4!$C120</f>
        <v>0</v>
      </c>
    </row>
    <row r="121" spans="1:121" ht="15.75" customHeight="1" x14ac:dyDescent="0.3">
      <c r="A121" s="40">
        <f>ዕቁብ!A124</f>
        <v>106</v>
      </c>
      <c r="B121" s="40" t="str">
        <f>ዕቁብ!B124</f>
        <v>ሙሉ ቶማስ</v>
      </c>
      <c r="C121" s="30">
        <f>ዕቁብ!C124</f>
        <v>10500</v>
      </c>
      <c r="D121" s="43">
        <f>ዕቁብ!E124/Sheet4!$C121</f>
        <v>1</v>
      </c>
      <c r="E121" s="43">
        <f>ዕቁብ!F124/Sheet4!$C121</f>
        <v>1</v>
      </c>
      <c r="F121" s="43">
        <f>ዕቁብ!G124/Sheet4!$C121</f>
        <v>1</v>
      </c>
      <c r="G121" s="43">
        <f>ዕቁብ!H124/Sheet4!$C121</f>
        <v>1</v>
      </c>
      <c r="H121" s="43">
        <f>ዕቁብ!I124/Sheet4!$C121</f>
        <v>1</v>
      </c>
      <c r="I121" s="43">
        <f>ዕቁብ!J124/Sheet4!$C121</f>
        <v>1</v>
      </c>
      <c r="J121" s="43">
        <f>ዕቁብ!K124/Sheet4!$C121</f>
        <v>1</v>
      </c>
      <c r="K121" s="43">
        <f>ዕቁብ!L124/Sheet4!$C121</f>
        <v>1</v>
      </c>
      <c r="L121" s="43">
        <f>ዕቁብ!M124/Sheet4!$C121</f>
        <v>1</v>
      </c>
      <c r="M121" s="43">
        <f>ዕቁብ!N124/Sheet4!$C121</f>
        <v>1</v>
      </c>
      <c r="N121" s="43">
        <f>ዕቁብ!O124/Sheet4!$C121</f>
        <v>1</v>
      </c>
      <c r="O121" s="43">
        <f>ዕቁብ!P124/Sheet4!$C121</f>
        <v>1</v>
      </c>
      <c r="P121" s="43">
        <f>ዕቁብ!Q124/Sheet4!$C121</f>
        <v>1</v>
      </c>
      <c r="Q121" s="43">
        <f>ዕቁብ!R124/Sheet4!$C121</f>
        <v>1</v>
      </c>
      <c r="R121" s="43">
        <f>ዕቁብ!S124/Sheet4!$C121</f>
        <v>1</v>
      </c>
      <c r="S121" s="43">
        <f>ዕቁብ!T124/Sheet4!$C121</f>
        <v>1</v>
      </c>
      <c r="T121" s="43">
        <f>ዕቁብ!U124/Sheet4!$C121</f>
        <v>1</v>
      </c>
      <c r="U121" s="43">
        <f>ዕቁብ!V124/Sheet4!$C121</f>
        <v>1</v>
      </c>
      <c r="V121" s="43">
        <f>ዕቁብ!W124/Sheet4!$C121</f>
        <v>1</v>
      </c>
      <c r="W121" s="43">
        <f>ዕቁብ!X124/Sheet4!$C121</f>
        <v>1</v>
      </c>
      <c r="X121" s="43">
        <f>ዕቁብ!Y124/Sheet4!$C121</f>
        <v>1</v>
      </c>
      <c r="Y121" s="43">
        <f>ዕቁብ!Z124/Sheet4!$C121</f>
        <v>1</v>
      </c>
      <c r="Z121" s="43">
        <f>ዕቁብ!AA124/Sheet4!$C121</f>
        <v>1</v>
      </c>
      <c r="AA121" s="43">
        <f>ዕቁብ!AB124/Sheet4!$C121</f>
        <v>1</v>
      </c>
      <c r="AB121" s="43">
        <f>ዕቁብ!AC124/Sheet4!$C121</f>
        <v>1</v>
      </c>
      <c r="AC121" s="43">
        <f>ዕቁብ!AD124/Sheet4!$C121</f>
        <v>1</v>
      </c>
      <c r="AD121" s="43">
        <f>ዕቁብ!AE124/Sheet4!$C121</f>
        <v>1</v>
      </c>
      <c r="AE121" s="43">
        <f>ዕቁብ!AF124/Sheet4!$C121</f>
        <v>1</v>
      </c>
      <c r="AF121" s="43">
        <f>ዕቁብ!AG124/Sheet4!$C121</f>
        <v>1</v>
      </c>
      <c r="AG121" s="43">
        <f>ዕቁብ!AH124/Sheet4!$C121</f>
        <v>1</v>
      </c>
      <c r="AH121" s="43">
        <f>ዕቁብ!AI124/Sheet4!$C121</f>
        <v>1</v>
      </c>
      <c r="AI121" s="43">
        <f>ዕቁብ!AJ124/Sheet4!$C121</f>
        <v>1</v>
      </c>
      <c r="AJ121" s="43">
        <f>ዕቁብ!AK124/Sheet4!$C121</f>
        <v>1</v>
      </c>
      <c r="AK121" s="43">
        <f>ዕቁብ!AL124/Sheet4!$C121</f>
        <v>1</v>
      </c>
      <c r="AL121" s="43">
        <f>ዕቁብ!AM124/Sheet4!$C121</f>
        <v>1</v>
      </c>
      <c r="AM121" s="43">
        <f>ዕቁብ!AN124/Sheet4!$C121</f>
        <v>0</v>
      </c>
      <c r="AN121" s="43">
        <f>ዕቁብ!AO124/Sheet4!$C121</f>
        <v>1</v>
      </c>
      <c r="AO121" s="43">
        <f>ዕቁብ!AP124/Sheet4!$C121</f>
        <v>1</v>
      </c>
      <c r="AP121" s="43">
        <f>ዕቁብ!AQ124/Sheet4!$C121</f>
        <v>1</v>
      </c>
      <c r="AQ121" s="43">
        <f>ዕቁብ!AR124/Sheet4!$C121</f>
        <v>1</v>
      </c>
      <c r="AR121" s="43">
        <f>ዕቁብ!AS124/Sheet4!$C121</f>
        <v>1</v>
      </c>
      <c r="AS121" s="43">
        <f>ዕቁብ!AT124/Sheet4!$C121</f>
        <v>1</v>
      </c>
      <c r="AT121" s="43">
        <f>ዕቁብ!AU124/Sheet4!$C121</f>
        <v>1</v>
      </c>
      <c r="AU121" s="43">
        <f>ዕቁብ!AV124/Sheet4!$C121</f>
        <v>1</v>
      </c>
      <c r="AV121" s="43">
        <f>ዕቁብ!AW124/Sheet4!$C121</f>
        <v>1</v>
      </c>
      <c r="AW121" s="43">
        <f>ዕቁብ!AX124/Sheet4!$C121</f>
        <v>1</v>
      </c>
      <c r="AX121" s="43">
        <f>ዕቁብ!AY124/Sheet4!$C121</f>
        <v>1</v>
      </c>
      <c r="AY121" s="43">
        <f>ዕቁብ!AZ124/Sheet4!$C121</f>
        <v>1</v>
      </c>
      <c r="AZ121" s="43">
        <f>ዕቁብ!BA124/Sheet4!$C121</f>
        <v>1</v>
      </c>
      <c r="BA121" s="43">
        <f>ዕቁብ!BB124/Sheet4!$C121</f>
        <v>2</v>
      </c>
      <c r="BB121" s="43">
        <f>ዕቁብ!BC124/Sheet4!$C121</f>
        <v>1</v>
      </c>
      <c r="BC121" s="43">
        <f>ዕቁብ!BD124/Sheet4!$C121</f>
        <v>1</v>
      </c>
      <c r="BD121" s="43">
        <f>ዕቁብ!BE124/Sheet4!$C121</f>
        <v>1</v>
      </c>
      <c r="BE121" s="43">
        <f>ዕቁብ!BF124/Sheet4!$C121</f>
        <v>1</v>
      </c>
      <c r="BF121" s="43">
        <f>ዕቁብ!BG124/Sheet4!$C121</f>
        <v>1</v>
      </c>
      <c r="BG121" s="43">
        <f>ዕቁብ!BH124/Sheet4!$C121</f>
        <v>1</v>
      </c>
      <c r="BH121" s="43">
        <f>ዕቁብ!BI124/Sheet4!$C121</f>
        <v>1</v>
      </c>
      <c r="BI121" s="43">
        <f>ዕቁብ!BJ124/Sheet4!$C121</f>
        <v>0</v>
      </c>
      <c r="BJ121" s="43">
        <f>ዕቁብ!BK124/Sheet4!$C121</f>
        <v>2</v>
      </c>
      <c r="BK121" s="43">
        <f>ዕቁብ!BL124/Sheet4!$C121</f>
        <v>0</v>
      </c>
      <c r="BL121" s="43">
        <f>ዕቁብ!BM124/Sheet4!$C121</f>
        <v>2</v>
      </c>
      <c r="BM121" s="43">
        <f>ዕቁብ!BN124/Sheet4!$C121</f>
        <v>1</v>
      </c>
      <c r="BN121" s="43">
        <f>ዕቁብ!BO124/Sheet4!$C121</f>
        <v>1</v>
      </c>
      <c r="BO121" s="43">
        <f>ዕቁብ!BP124/Sheet4!$C121</f>
        <v>0</v>
      </c>
      <c r="BP121" s="43">
        <f>ዕቁብ!BQ124/Sheet4!$C121</f>
        <v>2</v>
      </c>
      <c r="BQ121" s="43">
        <f>ዕቁብ!BR124/Sheet4!$C121</f>
        <v>1</v>
      </c>
      <c r="BR121" s="43">
        <f>ዕቁብ!BS124/Sheet4!$C121</f>
        <v>1</v>
      </c>
      <c r="BS121" s="43">
        <f>ዕቁብ!BT124/Sheet4!$C121</f>
        <v>0</v>
      </c>
      <c r="BT121" s="43">
        <f>ዕቁብ!BU124/Sheet4!$C121</f>
        <v>1</v>
      </c>
      <c r="BU121" s="43">
        <f>ዕቁብ!BV124/Sheet4!$C121</f>
        <v>1</v>
      </c>
      <c r="BV121" s="43">
        <f>ዕቁብ!BW124/Sheet4!$C121</f>
        <v>1</v>
      </c>
      <c r="BW121" s="43">
        <f>ዕቁብ!BX124/Sheet4!$C121</f>
        <v>0</v>
      </c>
      <c r="BX121" s="43">
        <f>ዕቁብ!BY124/Sheet4!$C121</f>
        <v>2</v>
      </c>
      <c r="BY121" s="43">
        <f>ዕቁብ!BZ124/Sheet4!$C121</f>
        <v>1</v>
      </c>
      <c r="BZ121" s="43">
        <f>ዕቁብ!CA124/Sheet4!$C121</f>
        <v>0</v>
      </c>
      <c r="CA121" s="43">
        <f>ዕቁብ!CB124/Sheet4!$C121</f>
        <v>1</v>
      </c>
      <c r="CB121" s="43">
        <f>ዕቁብ!CC124/Sheet4!$C121</f>
        <v>1</v>
      </c>
      <c r="CC121" s="43">
        <f>ዕቁብ!CD124/Sheet4!$C121</f>
        <v>1</v>
      </c>
      <c r="CD121" s="43">
        <f>ዕቁብ!CE124/Sheet4!$C121</f>
        <v>0</v>
      </c>
      <c r="CE121" s="43">
        <f>ዕቁብ!CF124/Sheet4!$C121</f>
        <v>2</v>
      </c>
      <c r="CF121" s="43">
        <f>ዕቁብ!CG124/Sheet4!$C121</f>
        <v>1</v>
      </c>
      <c r="CG121" s="43">
        <f>ዕቁብ!CH124/Sheet4!$C121</f>
        <v>1</v>
      </c>
      <c r="CH121" s="43">
        <f>ዕቁብ!CI124/Sheet4!$C121</f>
        <v>1</v>
      </c>
      <c r="CI121" s="43">
        <f>ዕቁብ!CJ124/Sheet4!$C121</f>
        <v>0</v>
      </c>
      <c r="CJ121" s="43">
        <f>ዕቁብ!CK124/Sheet4!$C121</f>
        <v>2</v>
      </c>
      <c r="CK121" s="43">
        <f>ዕቁብ!CL124/Sheet4!$C121</f>
        <v>1</v>
      </c>
      <c r="CL121" s="43">
        <f>ዕቁብ!CM124/Sheet4!$C121</f>
        <v>1</v>
      </c>
      <c r="CM121" s="43">
        <f>ዕቁብ!CN124/Sheet4!$C121</f>
        <v>0</v>
      </c>
      <c r="CN121" s="43">
        <f>ዕቁብ!CO124/Sheet4!$C121</f>
        <v>2</v>
      </c>
      <c r="CO121" s="43">
        <f>ዕቁብ!CP124/Sheet4!$C121</f>
        <v>1</v>
      </c>
      <c r="CP121" s="43">
        <f>ዕቁብ!CQ124/Sheet4!$C121</f>
        <v>1</v>
      </c>
      <c r="CQ121" s="43">
        <f>ዕቁብ!CR124/Sheet4!$C121</f>
        <v>1</v>
      </c>
      <c r="CR121" s="43">
        <f>ዕቁብ!CS124/Sheet4!$C121</f>
        <v>0</v>
      </c>
      <c r="CS121" s="43">
        <f>ዕቁብ!CT124/Sheet4!$C121</f>
        <v>2</v>
      </c>
      <c r="CT121" s="43">
        <f>ዕቁብ!CU124/Sheet4!$C121</f>
        <v>0</v>
      </c>
      <c r="CU121" s="43">
        <f>ዕቁብ!CV124/Sheet4!$C121</f>
        <v>2</v>
      </c>
      <c r="CV121" s="43">
        <f>ዕቁብ!CW124/Sheet4!$C121</f>
        <v>1</v>
      </c>
      <c r="CW121" s="43">
        <f>ዕቁብ!CX124/Sheet4!$C121</f>
        <v>0</v>
      </c>
      <c r="CX121" s="43">
        <f>ዕቁብ!CY124/Sheet4!$C121</f>
        <v>2</v>
      </c>
      <c r="CY121" s="43">
        <f>ዕቁብ!CZ124/Sheet4!$C121</f>
        <v>1</v>
      </c>
      <c r="CZ121" s="43">
        <f>ዕቁብ!DA124/Sheet4!$C121</f>
        <v>0</v>
      </c>
      <c r="DA121" s="43">
        <f>ዕቁብ!DB124/Sheet4!$C121</f>
        <v>2</v>
      </c>
      <c r="DB121" s="43">
        <f>ዕቁብ!DC124/Sheet4!$C121</f>
        <v>0</v>
      </c>
      <c r="DC121" s="43">
        <f>ዕቁብ!DD124/Sheet4!$C121</f>
        <v>2</v>
      </c>
      <c r="DD121" s="43">
        <f>ዕቁብ!DE124/Sheet4!$C121</f>
        <v>0</v>
      </c>
      <c r="DE121" s="43">
        <f>ዕቁብ!DF124/Sheet4!$C121</f>
        <v>2</v>
      </c>
      <c r="DF121" s="43">
        <f>ዕቁብ!DG124/Sheet4!$C121</f>
        <v>0</v>
      </c>
      <c r="DG121" s="43">
        <f>ዕቁብ!DH124/Sheet4!$C121</f>
        <v>2</v>
      </c>
      <c r="DH121" s="43">
        <f>ዕቁብ!DI124/Sheet4!$C121</f>
        <v>0</v>
      </c>
      <c r="DI121" s="43">
        <f>ዕቁብ!DJ124/Sheet4!$C121</f>
        <v>0</v>
      </c>
      <c r="DJ121" s="43">
        <f>ዕቁብ!DK124/Sheet4!$C121</f>
        <v>0</v>
      </c>
      <c r="DK121" s="43">
        <f>ዕቁብ!DL124/Sheet4!$C121</f>
        <v>0</v>
      </c>
      <c r="DL121" s="43">
        <f>ዕቁብ!DM124/Sheet4!$C121</f>
        <v>0</v>
      </c>
      <c r="DM121" s="43">
        <f>ዕቁብ!DN124/Sheet4!$C121</f>
        <v>0</v>
      </c>
      <c r="DN121" s="43">
        <f>ዕቁብ!DO124/Sheet4!$C121</f>
        <v>0</v>
      </c>
      <c r="DO121" s="43">
        <f>ዕቁብ!DP124/Sheet4!$C121</f>
        <v>0</v>
      </c>
      <c r="DP121" s="43">
        <f>ዕቁብ!DQ124/Sheet4!$C121</f>
        <v>0</v>
      </c>
      <c r="DQ121" s="43">
        <f>ዕቁብ!DR124/Sheet4!$C121</f>
        <v>0</v>
      </c>
    </row>
    <row r="122" spans="1:121" ht="15.75" customHeight="1" x14ac:dyDescent="0.3">
      <c r="A122" s="40">
        <f>ዕቁብ!A125</f>
        <v>107</v>
      </c>
      <c r="B122" s="40" t="str">
        <f>ዕቁብ!B125</f>
        <v xml:space="preserve">ፀጋዩ ጀምበሬ </v>
      </c>
      <c r="C122" s="30">
        <f>ዕቁብ!C125</f>
        <v>10500</v>
      </c>
      <c r="D122" s="43">
        <f>ዕቁብ!E125/Sheet4!$C122</f>
        <v>1</v>
      </c>
      <c r="E122" s="43">
        <f>ዕቁብ!F125/Sheet4!$C122</f>
        <v>1</v>
      </c>
      <c r="F122" s="43">
        <f>ዕቁብ!G125/Sheet4!$C122</f>
        <v>1</v>
      </c>
      <c r="G122" s="43">
        <f>ዕቁብ!H125/Sheet4!$C122</f>
        <v>1</v>
      </c>
      <c r="H122" s="43">
        <f>ዕቁብ!I125/Sheet4!$C122</f>
        <v>1</v>
      </c>
      <c r="I122" s="43">
        <f>ዕቁብ!J125/Sheet4!$C122</f>
        <v>1</v>
      </c>
      <c r="J122" s="43">
        <f>ዕቁብ!K125/Sheet4!$C122</f>
        <v>1</v>
      </c>
      <c r="K122" s="43">
        <f>ዕቁብ!L125/Sheet4!$C122</f>
        <v>1</v>
      </c>
      <c r="L122" s="43">
        <f>ዕቁብ!M125/Sheet4!$C122</f>
        <v>1</v>
      </c>
      <c r="M122" s="43">
        <f>ዕቁብ!N125/Sheet4!$C122</f>
        <v>1</v>
      </c>
      <c r="N122" s="43">
        <f>ዕቁብ!O125/Sheet4!$C122</f>
        <v>1</v>
      </c>
      <c r="O122" s="43">
        <f>ዕቁብ!P125/Sheet4!$C122</f>
        <v>1</v>
      </c>
      <c r="P122" s="43">
        <f>ዕቁብ!Q125/Sheet4!$C122</f>
        <v>1</v>
      </c>
      <c r="Q122" s="43">
        <f>ዕቁብ!R125/Sheet4!$C122</f>
        <v>1</v>
      </c>
      <c r="R122" s="43">
        <f>ዕቁብ!S125/Sheet4!$C122</f>
        <v>1</v>
      </c>
      <c r="S122" s="43">
        <f>ዕቁብ!T125/Sheet4!$C122</f>
        <v>1</v>
      </c>
      <c r="T122" s="43">
        <f>ዕቁብ!U125/Sheet4!$C122</f>
        <v>1</v>
      </c>
      <c r="U122" s="43">
        <f>ዕቁብ!V125/Sheet4!$C122</f>
        <v>1</v>
      </c>
      <c r="V122" s="43">
        <f>ዕቁብ!W125/Sheet4!$C122</f>
        <v>1</v>
      </c>
      <c r="W122" s="43">
        <f>ዕቁብ!X125/Sheet4!$C122</f>
        <v>1</v>
      </c>
      <c r="X122" s="43">
        <f>ዕቁብ!Y125/Sheet4!$C122</f>
        <v>1</v>
      </c>
      <c r="Y122" s="43">
        <f>ዕቁብ!Z125/Sheet4!$C122</f>
        <v>1</v>
      </c>
      <c r="Z122" s="43">
        <f>ዕቁብ!AA125/Sheet4!$C122</f>
        <v>1</v>
      </c>
      <c r="AA122" s="43">
        <f>ዕቁብ!AB125/Sheet4!$C122</f>
        <v>1</v>
      </c>
      <c r="AB122" s="43">
        <f>ዕቁብ!AC125/Sheet4!$C122</f>
        <v>1</v>
      </c>
      <c r="AC122" s="43">
        <f>ዕቁብ!AD125/Sheet4!$C122</f>
        <v>1</v>
      </c>
      <c r="AD122" s="43">
        <f>ዕቁብ!AE125/Sheet4!$C122</f>
        <v>1</v>
      </c>
      <c r="AE122" s="43">
        <f>ዕቁብ!AF125/Sheet4!$C122</f>
        <v>1</v>
      </c>
      <c r="AF122" s="43">
        <f>ዕቁብ!AG125/Sheet4!$C122</f>
        <v>1</v>
      </c>
      <c r="AG122" s="43">
        <f>ዕቁብ!AH125/Sheet4!$C122</f>
        <v>1</v>
      </c>
      <c r="AH122" s="43">
        <f>ዕቁብ!AI125/Sheet4!$C122</f>
        <v>1</v>
      </c>
      <c r="AI122" s="43">
        <f>ዕቁብ!AJ125/Sheet4!$C122</f>
        <v>1</v>
      </c>
      <c r="AJ122" s="43">
        <f>ዕቁብ!AK125/Sheet4!$C122</f>
        <v>1</v>
      </c>
      <c r="AK122" s="43">
        <f>ዕቁብ!AL125/Sheet4!$C122</f>
        <v>1</v>
      </c>
      <c r="AL122" s="43">
        <f>ዕቁብ!AM125/Sheet4!$C122</f>
        <v>0</v>
      </c>
      <c r="AM122" s="43">
        <f>ዕቁብ!AN125/Sheet4!$C122</f>
        <v>2</v>
      </c>
      <c r="AN122" s="43">
        <f>ዕቁብ!AO125/Sheet4!$C122</f>
        <v>1</v>
      </c>
      <c r="AO122" s="43">
        <f>ዕቁብ!AP125/Sheet4!$C122</f>
        <v>1</v>
      </c>
      <c r="AP122" s="43">
        <f>ዕቁብ!AQ125/Sheet4!$C122</f>
        <v>1</v>
      </c>
      <c r="AQ122" s="43">
        <f>ዕቁብ!AR125/Sheet4!$C122</f>
        <v>1</v>
      </c>
      <c r="AR122" s="43">
        <f>ዕቁብ!AS125/Sheet4!$C122</f>
        <v>0</v>
      </c>
      <c r="AS122" s="43">
        <f>ዕቁብ!AT125/Sheet4!$C122</f>
        <v>2</v>
      </c>
      <c r="AT122" s="43">
        <f>ዕቁብ!AU125/Sheet4!$C122</f>
        <v>1</v>
      </c>
      <c r="AU122" s="43">
        <f>ዕቁብ!AV125/Sheet4!$C122</f>
        <v>1</v>
      </c>
      <c r="AV122" s="43">
        <f>ዕቁብ!AW125/Sheet4!$C122</f>
        <v>1</v>
      </c>
      <c r="AW122" s="43">
        <f>ዕቁብ!AX125/Sheet4!$C122</f>
        <v>1</v>
      </c>
      <c r="AX122" s="43">
        <f>ዕቁብ!AY125/Sheet4!$C122</f>
        <v>1</v>
      </c>
      <c r="AY122" s="43">
        <f>ዕቁብ!AZ125/Sheet4!$C122</f>
        <v>1</v>
      </c>
      <c r="AZ122" s="43">
        <f>ዕቁብ!BA125/Sheet4!$C122</f>
        <v>1</v>
      </c>
      <c r="BA122" s="43">
        <f>ዕቁብ!BB125/Sheet4!$C122</f>
        <v>1</v>
      </c>
      <c r="BB122" s="43">
        <f>ዕቁብ!BC125/Sheet4!$C122</f>
        <v>1</v>
      </c>
      <c r="BC122" s="43">
        <f>ዕቁብ!BD125/Sheet4!$C122</f>
        <v>1</v>
      </c>
      <c r="BD122" s="43">
        <f>ዕቁብ!BE125/Sheet4!$C122</f>
        <v>1</v>
      </c>
      <c r="BE122" s="43">
        <f>ዕቁብ!BF125/Sheet4!$C122</f>
        <v>1</v>
      </c>
      <c r="BF122" s="43">
        <f>ዕቁብ!BG125/Sheet4!$C122</f>
        <v>1</v>
      </c>
      <c r="BG122" s="43">
        <f>ዕቁብ!BH125/Sheet4!$C122</f>
        <v>1</v>
      </c>
      <c r="BH122" s="43">
        <f>ዕቁብ!BI125/Sheet4!$C122</f>
        <v>1</v>
      </c>
      <c r="BI122" s="43">
        <f>ዕቁብ!BJ125/Sheet4!$C122</f>
        <v>1</v>
      </c>
      <c r="BJ122" s="43">
        <f>ዕቁብ!BK125/Sheet4!$C122</f>
        <v>1</v>
      </c>
      <c r="BK122" s="43">
        <f>ዕቁብ!BL125/Sheet4!$C122</f>
        <v>1</v>
      </c>
      <c r="BL122" s="43">
        <f>ዕቁብ!BM125/Sheet4!$C122</f>
        <v>1</v>
      </c>
      <c r="BM122" s="43">
        <f>ዕቁብ!BN125/Sheet4!$C122</f>
        <v>1</v>
      </c>
      <c r="BN122" s="43">
        <f>ዕቁብ!BO125/Sheet4!$C122</f>
        <v>1</v>
      </c>
      <c r="BO122" s="43">
        <f>ዕቁብ!BP125/Sheet4!$C122</f>
        <v>1</v>
      </c>
      <c r="BP122" s="43">
        <f>ዕቁብ!BQ125/Sheet4!$C122</f>
        <v>1</v>
      </c>
      <c r="BQ122" s="43">
        <f>ዕቁብ!BR125/Sheet4!$C122</f>
        <v>1</v>
      </c>
      <c r="BR122" s="43">
        <f>ዕቁብ!BS125/Sheet4!$C122</f>
        <v>1</v>
      </c>
      <c r="BS122" s="43">
        <f>ዕቁብ!BT125/Sheet4!$C122</f>
        <v>0</v>
      </c>
      <c r="BT122" s="43">
        <f>ዕቁብ!BU125/Sheet4!$C122</f>
        <v>2</v>
      </c>
      <c r="BU122" s="43">
        <f>ዕቁብ!BV125/Sheet4!$C122</f>
        <v>1</v>
      </c>
      <c r="BV122" s="43">
        <f>ዕቁብ!BW125/Sheet4!$C122</f>
        <v>1</v>
      </c>
      <c r="BW122" s="43">
        <f>ዕቁብ!BX125/Sheet4!$C122</f>
        <v>1</v>
      </c>
      <c r="BX122" s="43">
        <f>ዕቁብ!BY125/Sheet4!$C122</f>
        <v>1</v>
      </c>
      <c r="BY122" s="43">
        <f>ዕቁብ!BZ125/Sheet4!$C122</f>
        <v>1</v>
      </c>
      <c r="BZ122" s="43">
        <f>ዕቁብ!CA125/Sheet4!$C122</f>
        <v>1</v>
      </c>
      <c r="CA122" s="43">
        <f>ዕቁብ!CB125/Sheet4!$C122</f>
        <v>1</v>
      </c>
      <c r="CB122" s="43">
        <f>ዕቁብ!CC125/Sheet4!$C122</f>
        <v>1</v>
      </c>
      <c r="CC122" s="43">
        <f>ዕቁብ!CD125/Sheet4!$C122</f>
        <v>1</v>
      </c>
      <c r="CD122" s="43">
        <f>ዕቁብ!CE125/Sheet4!$C122</f>
        <v>1</v>
      </c>
      <c r="CE122" s="43">
        <f>ዕቁብ!CF125/Sheet4!$C122</f>
        <v>1</v>
      </c>
      <c r="CF122" s="43">
        <f>ዕቁብ!CG125/Sheet4!$C122</f>
        <v>1</v>
      </c>
      <c r="CG122" s="43">
        <f>ዕቁብ!CH125/Sheet4!$C122</f>
        <v>1</v>
      </c>
      <c r="CH122" s="43">
        <f>ዕቁብ!CI125/Sheet4!$C122</f>
        <v>1</v>
      </c>
      <c r="CI122" s="43">
        <f>ዕቁብ!CJ125/Sheet4!$C122</f>
        <v>1</v>
      </c>
      <c r="CJ122" s="43">
        <f>ዕቁብ!CK125/Sheet4!$C122</f>
        <v>1</v>
      </c>
      <c r="CK122" s="43">
        <f>ዕቁብ!CL125/Sheet4!$C122</f>
        <v>1</v>
      </c>
      <c r="CL122" s="43">
        <f>ዕቁብ!CM125/Sheet4!$C122</f>
        <v>0</v>
      </c>
      <c r="CM122" s="43">
        <f>ዕቁብ!CN125/Sheet4!$C122</f>
        <v>2</v>
      </c>
      <c r="CN122" s="43">
        <f>ዕቁብ!CO125/Sheet4!$C122</f>
        <v>1</v>
      </c>
      <c r="CO122" s="43">
        <f>ዕቁብ!CP125/Sheet4!$C122</f>
        <v>1</v>
      </c>
      <c r="CP122" s="43">
        <f>ዕቁብ!CQ125/Sheet4!$C122</f>
        <v>1</v>
      </c>
      <c r="CQ122" s="43">
        <f>ዕቁብ!CR125/Sheet4!$C122</f>
        <v>0</v>
      </c>
      <c r="CR122" s="43">
        <f>ዕቁብ!CS125/Sheet4!$C122</f>
        <v>2</v>
      </c>
      <c r="CS122" s="43">
        <f>ዕቁብ!CT125/Sheet4!$C122</f>
        <v>1</v>
      </c>
      <c r="CT122" s="43">
        <f>ዕቁብ!CU125/Sheet4!$C122</f>
        <v>1</v>
      </c>
      <c r="CU122" s="43">
        <f>ዕቁብ!CV125/Sheet4!$C122</f>
        <v>1</v>
      </c>
      <c r="CV122" s="43">
        <f>ዕቁብ!CW125/Sheet4!$C122</f>
        <v>1</v>
      </c>
      <c r="CW122" s="43">
        <f>ዕቁብ!CX125/Sheet4!$C122</f>
        <v>1</v>
      </c>
      <c r="CX122" s="43">
        <f>ዕቁብ!CY125/Sheet4!$C122</f>
        <v>1</v>
      </c>
      <c r="CY122" s="43">
        <f>ዕቁብ!CZ125/Sheet4!$C122</f>
        <v>0</v>
      </c>
      <c r="CZ122" s="43">
        <f>ዕቁብ!DA125/Sheet4!$C122</f>
        <v>2</v>
      </c>
      <c r="DA122" s="43">
        <f>ዕቁብ!DB125/Sheet4!$C122</f>
        <v>1</v>
      </c>
      <c r="DB122" s="43">
        <f>ዕቁብ!DC125/Sheet4!$C122</f>
        <v>0</v>
      </c>
      <c r="DC122" s="43">
        <f>ዕቁብ!DD125/Sheet4!$C122</f>
        <v>0</v>
      </c>
      <c r="DD122" s="43">
        <f>ዕቁብ!DE125/Sheet4!$C122</f>
        <v>0</v>
      </c>
      <c r="DE122" s="43">
        <f>ዕቁብ!DF125/Sheet4!$C122</f>
        <v>0</v>
      </c>
      <c r="DF122" s="43">
        <f>ዕቁብ!DG125/Sheet4!$C122</f>
        <v>2</v>
      </c>
      <c r="DG122" s="43">
        <f>ዕቁብ!DH125/Sheet4!$C122</f>
        <v>0</v>
      </c>
      <c r="DH122" s="43">
        <f>ዕቁብ!DI125/Sheet4!$C122</f>
        <v>0</v>
      </c>
      <c r="DI122" s="43">
        <f>ዕቁብ!DJ125/Sheet4!$C122</f>
        <v>0</v>
      </c>
      <c r="DJ122" s="43">
        <f>ዕቁብ!DK125/Sheet4!$C122</f>
        <v>0</v>
      </c>
      <c r="DK122" s="43">
        <f>ዕቁብ!DL125/Sheet4!$C122</f>
        <v>0</v>
      </c>
      <c r="DL122" s="43">
        <f>ዕቁብ!DM125/Sheet4!$C122</f>
        <v>0</v>
      </c>
      <c r="DM122" s="43">
        <f>ዕቁብ!DN125/Sheet4!$C122</f>
        <v>0</v>
      </c>
      <c r="DN122" s="43">
        <f>ዕቁብ!DO125/Sheet4!$C122</f>
        <v>0</v>
      </c>
      <c r="DO122" s="43">
        <f>ዕቁብ!DP125/Sheet4!$C122</f>
        <v>0</v>
      </c>
      <c r="DP122" s="43">
        <f>ዕቁብ!DQ125/Sheet4!$C122</f>
        <v>0</v>
      </c>
      <c r="DQ122" s="43">
        <f>ዕቁብ!DR125/Sheet4!$C122</f>
        <v>0</v>
      </c>
    </row>
    <row r="123" spans="1:121" ht="15.75" customHeight="1" x14ac:dyDescent="0.3">
      <c r="A123" s="40">
        <f>ዕቁብ!A126</f>
        <v>107</v>
      </c>
      <c r="B123" s="40" t="str">
        <f>ዕቁብ!B126</f>
        <v>አለማየሁ ዳንኤል</v>
      </c>
      <c r="C123" s="30">
        <f>ዕቁብ!C126</f>
        <v>10500</v>
      </c>
      <c r="D123" s="43">
        <f>ዕቁብ!E126/Sheet4!$C123</f>
        <v>1</v>
      </c>
      <c r="E123" s="43">
        <f>ዕቁብ!F126/Sheet4!$C123</f>
        <v>1</v>
      </c>
      <c r="F123" s="43">
        <f>ዕቁብ!G126/Sheet4!$C123</f>
        <v>1</v>
      </c>
      <c r="G123" s="43">
        <f>ዕቁብ!H126/Sheet4!$C123</f>
        <v>1</v>
      </c>
      <c r="H123" s="43">
        <f>ዕቁብ!I126/Sheet4!$C123</f>
        <v>1</v>
      </c>
      <c r="I123" s="43">
        <f>ዕቁብ!J126/Sheet4!$C123</f>
        <v>1</v>
      </c>
      <c r="J123" s="43">
        <f>ዕቁብ!K126/Sheet4!$C123</f>
        <v>1</v>
      </c>
      <c r="K123" s="43">
        <f>ዕቁብ!L126/Sheet4!$C123</f>
        <v>1</v>
      </c>
      <c r="L123" s="43">
        <f>ዕቁብ!M126/Sheet4!$C123</f>
        <v>1</v>
      </c>
      <c r="M123" s="43">
        <f>ዕቁብ!N126/Sheet4!$C123</f>
        <v>1</v>
      </c>
      <c r="N123" s="43">
        <f>ዕቁብ!O126/Sheet4!$C123</f>
        <v>1</v>
      </c>
      <c r="O123" s="43">
        <f>ዕቁብ!P126/Sheet4!$C123</f>
        <v>1</v>
      </c>
      <c r="P123" s="43">
        <f>ዕቁብ!Q126/Sheet4!$C123</f>
        <v>1</v>
      </c>
      <c r="Q123" s="43">
        <f>ዕቁብ!R126/Sheet4!$C123</f>
        <v>1</v>
      </c>
      <c r="R123" s="43">
        <f>ዕቁብ!S126/Sheet4!$C123</f>
        <v>1</v>
      </c>
      <c r="S123" s="43">
        <f>ዕቁብ!T126/Sheet4!$C123</f>
        <v>1</v>
      </c>
      <c r="T123" s="43">
        <f>ዕቁብ!U126/Sheet4!$C123</f>
        <v>1</v>
      </c>
      <c r="U123" s="43">
        <f>ዕቁብ!V126/Sheet4!$C123</f>
        <v>1</v>
      </c>
      <c r="V123" s="43">
        <f>ዕቁብ!W126/Sheet4!$C123</f>
        <v>1</v>
      </c>
      <c r="W123" s="43">
        <f>ዕቁብ!X126/Sheet4!$C123</f>
        <v>1</v>
      </c>
      <c r="X123" s="43">
        <f>ዕቁብ!Y126/Sheet4!$C123</f>
        <v>1</v>
      </c>
      <c r="Y123" s="43">
        <f>ዕቁብ!Z126/Sheet4!$C123</f>
        <v>1</v>
      </c>
      <c r="Z123" s="43">
        <f>ዕቁብ!AA126/Sheet4!$C123</f>
        <v>1</v>
      </c>
      <c r="AA123" s="43">
        <f>ዕቁብ!AB126/Sheet4!$C123</f>
        <v>0</v>
      </c>
      <c r="AB123" s="43">
        <f>ዕቁብ!AC126/Sheet4!$C123</f>
        <v>2</v>
      </c>
      <c r="AC123" s="43">
        <f>ዕቁብ!AD126/Sheet4!$C123</f>
        <v>1</v>
      </c>
      <c r="AD123" s="43">
        <f>ዕቁብ!AE126/Sheet4!$C123</f>
        <v>1</v>
      </c>
      <c r="AE123" s="43">
        <f>ዕቁብ!AF126/Sheet4!$C123</f>
        <v>1</v>
      </c>
      <c r="AF123" s="43">
        <f>ዕቁብ!AG126/Sheet4!$C123</f>
        <v>1</v>
      </c>
      <c r="AG123" s="43">
        <f>ዕቁብ!AH126/Sheet4!$C123</f>
        <v>1</v>
      </c>
      <c r="AH123" s="43">
        <f>ዕቁብ!AI126/Sheet4!$C123</f>
        <v>1</v>
      </c>
      <c r="AI123" s="43">
        <f>ዕቁብ!AJ126/Sheet4!$C123</f>
        <v>0</v>
      </c>
      <c r="AJ123" s="43">
        <f>ዕቁብ!AK126/Sheet4!$C123</f>
        <v>2</v>
      </c>
      <c r="AK123" s="43">
        <f>ዕቁብ!AL126/Sheet4!$C123</f>
        <v>1</v>
      </c>
      <c r="AL123" s="43">
        <f>ዕቁብ!AM126/Sheet4!$C123</f>
        <v>1</v>
      </c>
      <c r="AM123" s="43">
        <f>ዕቁብ!AN126/Sheet4!$C123</f>
        <v>1</v>
      </c>
      <c r="AN123" s="43">
        <f>ዕቁብ!AO126/Sheet4!$C123</f>
        <v>1</v>
      </c>
      <c r="AO123" s="43">
        <f>ዕቁብ!AP126/Sheet4!$C123</f>
        <v>1</v>
      </c>
      <c r="AP123" s="43">
        <f>ዕቁብ!AQ126/Sheet4!$C123</f>
        <v>0</v>
      </c>
      <c r="AQ123" s="43">
        <f>ዕቁብ!AR126/Sheet4!$C123</f>
        <v>2</v>
      </c>
      <c r="AR123" s="43">
        <f>ዕቁብ!AS126/Sheet4!$C123</f>
        <v>1</v>
      </c>
      <c r="AS123" s="43">
        <f>ዕቁብ!AT126/Sheet4!$C123</f>
        <v>1</v>
      </c>
      <c r="AT123" s="43">
        <f>ዕቁብ!AU126/Sheet4!$C123</f>
        <v>1</v>
      </c>
      <c r="AU123" s="43">
        <f>ዕቁብ!AV126/Sheet4!$C123</f>
        <v>1</v>
      </c>
      <c r="AV123" s="43">
        <f>ዕቁብ!AW126/Sheet4!$C123</f>
        <v>1</v>
      </c>
      <c r="AW123" s="43">
        <f>ዕቁብ!AX126/Sheet4!$C123</f>
        <v>1</v>
      </c>
      <c r="AX123" s="43">
        <f>ዕቁብ!AY126/Sheet4!$C123</f>
        <v>0</v>
      </c>
      <c r="AY123" s="43">
        <f>ዕቁብ!AZ126/Sheet4!$C123</f>
        <v>2</v>
      </c>
      <c r="AZ123" s="43">
        <f>ዕቁብ!BA126/Sheet4!$C123</f>
        <v>1</v>
      </c>
      <c r="BA123" s="43">
        <f>ዕቁብ!BB126/Sheet4!$C123</f>
        <v>1</v>
      </c>
      <c r="BB123" s="43">
        <f>ዕቁብ!BC126/Sheet4!$C123</f>
        <v>1</v>
      </c>
      <c r="BC123" s="43">
        <f>ዕቁብ!BD126/Sheet4!$C123</f>
        <v>0</v>
      </c>
      <c r="BD123" s="43">
        <f>ዕቁብ!BE126/Sheet4!$C123</f>
        <v>2</v>
      </c>
      <c r="BE123" s="43">
        <f>ዕቁብ!BF126/Sheet4!$C123</f>
        <v>1</v>
      </c>
      <c r="BF123" s="43">
        <f>ዕቁብ!BG126/Sheet4!$C123</f>
        <v>1</v>
      </c>
      <c r="BG123" s="43">
        <f>ዕቁብ!BH126/Sheet4!$C123</f>
        <v>0</v>
      </c>
      <c r="BH123" s="43">
        <f>ዕቁብ!BI126/Sheet4!$C123</f>
        <v>2</v>
      </c>
      <c r="BI123" s="43">
        <f>ዕቁብ!BJ126/Sheet4!$C123</f>
        <v>1</v>
      </c>
      <c r="BJ123" s="43">
        <f>ዕቁብ!BK126/Sheet4!$C123</f>
        <v>1</v>
      </c>
      <c r="BK123" s="43">
        <f>ዕቁብ!BL126/Sheet4!$C123</f>
        <v>0</v>
      </c>
      <c r="BL123" s="43">
        <f>ዕቁብ!BM126/Sheet4!$C123</f>
        <v>2</v>
      </c>
      <c r="BM123" s="43">
        <f>ዕቁብ!BN126/Sheet4!$C123</f>
        <v>0</v>
      </c>
      <c r="BN123" s="43">
        <f>ዕቁብ!BO126/Sheet4!$C123</f>
        <v>2</v>
      </c>
      <c r="BO123" s="43">
        <f>ዕቁብ!BP126/Sheet4!$C123</f>
        <v>1</v>
      </c>
      <c r="BP123" s="43">
        <f>ዕቁብ!BQ126/Sheet4!$C123</f>
        <v>0</v>
      </c>
      <c r="BQ123" s="43">
        <f>ዕቁብ!BR126/Sheet4!$C123</f>
        <v>2</v>
      </c>
      <c r="BR123" s="43">
        <f>ዕቁብ!BS126/Sheet4!$C123</f>
        <v>1</v>
      </c>
      <c r="BS123" s="43">
        <f>ዕቁብ!BT126/Sheet4!$C123</f>
        <v>0</v>
      </c>
      <c r="BT123" s="43">
        <f>ዕቁብ!BU126/Sheet4!$C123</f>
        <v>2</v>
      </c>
      <c r="BU123" s="43">
        <f>ዕቁብ!BV126/Sheet4!$C123</f>
        <v>1</v>
      </c>
      <c r="BV123" s="43">
        <f>ዕቁብ!BW126/Sheet4!$C123</f>
        <v>1</v>
      </c>
      <c r="BW123" s="43">
        <f>ዕቁብ!BX126/Sheet4!$C123</f>
        <v>1</v>
      </c>
      <c r="BX123" s="43">
        <f>ዕቁብ!BY126/Sheet4!$C123</f>
        <v>0</v>
      </c>
      <c r="BY123" s="43">
        <f>ዕቁብ!BZ126/Sheet4!$C123</f>
        <v>2</v>
      </c>
      <c r="BZ123" s="43">
        <f>ዕቁብ!CA126/Sheet4!$C123</f>
        <v>1</v>
      </c>
      <c r="CA123" s="43">
        <f>ዕቁብ!CB126/Sheet4!$C123</f>
        <v>0</v>
      </c>
      <c r="CB123" s="43">
        <f>ዕቁብ!CC126/Sheet4!$C123</f>
        <v>2</v>
      </c>
      <c r="CC123" s="43">
        <f>ዕቁብ!CD126/Sheet4!$C123</f>
        <v>0</v>
      </c>
      <c r="CD123" s="43">
        <f>ዕቁብ!CE126/Sheet4!$C123</f>
        <v>0</v>
      </c>
      <c r="CE123" s="43">
        <f>ዕቁብ!CF126/Sheet4!$C123</f>
        <v>3</v>
      </c>
      <c r="CF123" s="43">
        <f>ዕቁብ!CG126/Sheet4!$C123</f>
        <v>0</v>
      </c>
      <c r="CG123" s="43">
        <f>ዕቁብ!CH126/Sheet4!$C123</f>
        <v>0</v>
      </c>
      <c r="CH123" s="43">
        <f>ዕቁብ!CI126/Sheet4!$C123</f>
        <v>3</v>
      </c>
      <c r="CI123" s="43">
        <f>ዕቁብ!CJ126/Sheet4!$C123</f>
        <v>0</v>
      </c>
      <c r="CJ123" s="43">
        <f>ዕቁብ!CK126/Sheet4!$C123</f>
        <v>2</v>
      </c>
      <c r="CK123" s="43">
        <f>ዕቁብ!CL126/Sheet4!$C123</f>
        <v>0</v>
      </c>
      <c r="CL123" s="43">
        <f>ዕቁብ!CM126/Sheet4!$C123</f>
        <v>0</v>
      </c>
      <c r="CM123" s="43">
        <f>ዕቁብ!CN126/Sheet4!$C123</f>
        <v>2</v>
      </c>
      <c r="CN123" s="43">
        <f>ዕቁብ!CO126/Sheet4!$C123</f>
        <v>1</v>
      </c>
      <c r="CO123" s="43">
        <f>ዕቁብ!CP126/Sheet4!$C123</f>
        <v>0</v>
      </c>
      <c r="CP123" s="43">
        <f>ዕቁብ!CQ126/Sheet4!$C123</f>
        <v>2</v>
      </c>
      <c r="CQ123" s="43">
        <f>ዕቁብ!CR126/Sheet4!$C123</f>
        <v>1</v>
      </c>
      <c r="CR123" s="43">
        <f>ዕቁብ!CS126/Sheet4!$C123</f>
        <v>0</v>
      </c>
      <c r="CS123" s="43">
        <f>ዕቁብ!CT126/Sheet4!$C123</f>
        <v>0</v>
      </c>
      <c r="CT123" s="43">
        <f>ዕቁብ!CU126/Sheet4!$C123</f>
        <v>2</v>
      </c>
      <c r="CU123" s="43">
        <f>ዕቁብ!CV126/Sheet4!$C123</f>
        <v>3</v>
      </c>
      <c r="CV123" s="43">
        <f>ዕቁብ!CW126/Sheet4!$C123</f>
        <v>0</v>
      </c>
      <c r="CW123" s="43">
        <f>ዕቁብ!CX126/Sheet4!$C123</f>
        <v>2</v>
      </c>
      <c r="CX123" s="43">
        <f>ዕቁብ!CY126/Sheet4!$C123</f>
        <v>1</v>
      </c>
      <c r="CY123" s="43">
        <f>ዕቁብ!CZ126/Sheet4!$C123</f>
        <v>0</v>
      </c>
      <c r="CZ123" s="43">
        <f>ዕቁብ!DA126/Sheet4!$C123</f>
        <v>2</v>
      </c>
      <c r="DA123" s="43">
        <f>ዕቁብ!DB126/Sheet4!$C123</f>
        <v>1</v>
      </c>
      <c r="DB123" s="43">
        <f>ዕቁብ!DC126/Sheet4!$C123</f>
        <v>1</v>
      </c>
      <c r="DC123" s="43">
        <f>ዕቁብ!DD126/Sheet4!$C123</f>
        <v>0</v>
      </c>
      <c r="DD123" s="43">
        <f>ዕቁብ!DE126/Sheet4!$C123</f>
        <v>0</v>
      </c>
      <c r="DE123" s="43">
        <f>ዕቁብ!DF126/Sheet4!$C123</f>
        <v>3</v>
      </c>
      <c r="DF123" s="43">
        <f>ዕቁብ!DG126/Sheet4!$C123</f>
        <v>1</v>
      </c>
      <c r="DG123" s="43">
        <f>ዕቁብ!DH126/Sheet4!$C123</f>
        <v>1</v>
      </c>
      <c r="DH123" s="43">
        <f>ዕቁብ!DI126/Sheet4!$C123</f>
        <v>0</v>
      </c>
      <c r="DI123" s="43">
        <f>ዕቁብ!DJ126/Sheet4!$C123</f>
        <v>0</v>
      </c>
      <c r="DJ123" s="43">
        <f>ዕቁብ!DK126/Sheet4!$C123</f>
        <v>0</v>
      </c>
      <c r="DK123" s="43">
        <f>ዕቁብ!DL126/Sheet4!$C123</f>
        <v>0</v>
      </c>
      <c r="DL123" s="43">
        <f>ዕቁብ!DM126/Sheet4!$C123</f>
        <v>0</v>
      </c>
      <c r="DM123" s="43">
        <f>ዕቁብ!DN126/Sheet4!$C123</f>
        <v>0</v>
      </c>
      <c r="DN123" s="43">
        <f>ዕቁብ!DO126/Sheet4!$C123</f>
        <v>0</v>
      </c>
      <c r="DO123" s="43">
        <f>ዕቁብ!DP126/Sheet4!$C123</f>
        <v>0</v>
      </c>
      <c r="DP123" s="43">
        <f>ዕቁብ!DQ126/Sheet4!$C123</f>
        <v>0</v>
      </c>
      <c r="DQ123" s="43">
        <f>ዕቁብ!DR126/Sheet4!$C123</f>
        <v>0</v>
      </c>
    </row>
    <row r="124" spans="1:121" ht="15.75" customHeight="1" x14ac:dyDescent="0.3">
      <c r="A124" s="40">
        <f>ዕቁብ!A127</f>
        <v>108</v>
      </c>
      <c r="B124" s="40" t="str">
        <f>ዕቁብ!B127</f>
        <v xml:space="preserve">ጀማል ኢብራይም </v>
      </c>
      <c r="C124" s="30">
        <f>ዕቁብ!C127</f>
        <v>10500</v>
      </c>
      <c r="D124" s="43">
        <f>ዕቁብ!E127/Sheet4!$C124</f>
        <v>1</v>
      </c>
      <c r="E124" s="43">
        <f>ዕቁብ!F127/Sheet4!$C124</f>
        <v>1</v>
      </c>
      <c r="F124" s="43">
        <f>ዕቁብ!G127/Sheet4!$C124</f>
        <v>1</v>
      </c>
      <c r="G124" s="43">
        <f>ዕቁብ!H127/Sheet4!$C124</f>
        <v>1</v>
      </c>
      <c r="H124" s="43">
        <f>ዕቁብ!I127/Sheet4!$C124</f>
        <v>1</v>
      </c>
      <c r="I124" s="43">
        <f>ዕቁብ!J127/Sheet4!$C124</f>
        <v>1</v>
      </c>
      <c r="J124" s="43">
        <f>ዕቁብ!K127/Sheet4!$C124</f>
        <v>1</v>
      </c>
      <c r="K124" s="43">
        <f>ዕቁብ!L127/Sheet4!$C124</f>
        <v>1</v>
      </c>
      <c r="L124" s="43">
        <f>ዕቁብ!M127/Sheet4!$C124</f>
        <v>1</v>
      </c>
      <c r="M124" s="43">
        <f>ዕቁብ!N127/Sheet4!$C124</f>
        <v>1</v>
      </c>
      <c r="N124" s="43">
        <f>ዕቁብ!O127/Sheet4!$C124</f>
        <v>1</v>
      </c>
      <c r="O124" s="43">
        <f>ዕቁብ!P127/Sheet4!$C124</f>
        <v>1</v>
      </c>
      <c r="P124" s="43">
        <f>ዕቁብ!Q127/Sheet4!$C124</f>
        <v>1</v>
      </c>
      <c r="Q124" s="43">
        <f>ዕቁብ!R127/Sheet4!$C124</f>
        <v>1</v>
      </c>
      <c r="R124" s="43">
        <f>ዕቁብ!S127/Sheet4!$C124</f>
        <v>1</v>
      </c>
      <c r="S124" s="43">
        <f>ዕቁብ!T127/Sheet4!$C124</f>
        <v>1</v>
      </c>
      <c r="T124" s="43">
        <f>ዕቁብ!U127/Sheet4!$C124</f>
        <v>1</v>
      </c>
      <c r="U124" s="43">
        <f>ዕቁብ!V127/Sheet4!$C124</f>
        <v>1</v>
      </c>
      <c r="V124" s="43">
        <f>ዕቁብ!W127/Sheet4!$C124</f>
        <v>1</v>
      </c>
      <c r="W124" s="43">
        <f>ዕቁብ!X127/Sheet4!$C124</f>
        <v>1</v>
      </c>
      <c r="X124" s="43">
        <f>ዕቁብ!Y127/Sheet4!$C124</f>
        <v>1</v>
      </c>
      <c r="Y124" s="43">
        <f>ዕቁብ!Z127/Sheet4!$C124</f>
        <v>1</v>
      </c>
      <c r="Z124" s="43">
        <f>ዕቁብ!AA127/Sheet4!$C124</f>
        <v>1</v>
      </c>
      <c r="AA124" s="43">
        <f>ዕቁብ!AB127/Sheet4!$C124</f>
        <v>1</v>
      </c>
      <c r="AB124" s="43">
        <f>ዕቁብ!AC127/Sheet4!$C124</f>
        <v>1</v>
      </c>
      <c r="AC124" s="43">
        <f>ዕቁብ!AD127/Sheet4!$C124</f>
        <v>1</v>
      </c>
      <c r="AD124" s="43">
        <f>ዕቁብ!AE127/Sheet4!$C124</f>
        <v>1</v>
      </c>
      <c r="AE124" s="43">
        <f>ዕቁብ!AF127/Sheet4!$C124</f>
        <v>0</v>
      </c>
      <c r="AF124" s="43">
        <f>ዕቁብ!AG127/Sheet4!$C124</f>
        <v>2</v>
      </c>
      <c r="AG124" s="43">
        <f>ዕቁብ!AH127/Sheet4!$C124</f>
        <v>1</v>
      </c>
      <c r="AH124" s="43">
        <f>ዕቁብ!AI127/Sheet4!$C124</f>
        <v>1</v>
      </c>
      <c r="AI124" s="43">
        <f>ዕቁብ!AJ127/Sheet4!$C124</f>
        <v>1</v>
      </c>
      <c r="AJ124" s="43">
        <f>ዕቁብ!AK127/Sheet4!$C124</f>
        <v>0</v>
      </c>
      <c r="AK124" s="43">
        <f>ዕቁብ!AL127/Sheet4!$C124</f>
        <v>1</v>
      </c>
      <c r="AL124" s="43">
        <f>ዕቁብ!AM127/Sheet4!$C124</f>
        <v>1</v>
      </c>
      <c r="AM124" s="43">
        <f>ዕቁብ!AN127/Sheet4!$C124</f>
        <v>1</v>
      </c>
      <c r="AN124" s="43">
        <f>ዕቁብ!AO127/Sheet4!$C124</f>
        <v>1</v>
      </c>
      <c r="AO124" s="43">
        <f>ዕቁብ!AP127/Sheet4!$C124</f>
        <v>1</v>
      </c>
      <c r="AP124" s="43">
        <f>ዕቁብ!AQ127/Sheet4!$C124</f>
        <v>1</v>
      </c>
      <c r="AQ124" s="43">
        <f>ዕቁብ!AR127/Sheet4!$C124</f>
        <v>0</v>
      </c>
      <c r="AR124" s="43">
        <f>ዕቁብ!AS127/Sheet4!$C124</f>
        <v>2</v>
      </c>
      <c r="AS124" s="43">
        <f>ዕቁብ!AT127/Sheet4!$C124</f>
        <v>1</v>
      </c>
      <c r="AT124" s="43">
        <f>ዕቁብ!AU127/Sheet4!$C124</f>
        <v>1</v>
      </c>
      <c r="AU124" s="43">
        <f>ዕቁብ!AV127/Sheet4!$C124</f>
        <v>1</v>
      </c>
      <c r="AV124" s="43">
        <f>ዕቁብ!AW127/Sheet4!$C124</f>
        <v>1</v>
      </c>
      <c r="AW124" s="43">
        <f>ዕቁብ!AX127/Sheet4!$C124</f>
        <v>1</v>
      </c>
      <c r="AX124" s="43">
        <f>ዕቁብ!AY127/Sheet4!$C124</f>
        <v>1</v>
      </c>
      <c r="AY124" s="43">
        <f>ዕቁብ!AZ127/Sheet4!$C124</f>
        <v>1</v>
      </c>
      <c r="AZ124" s="43">
        <f>ዕቁብ!BA127/Sheet4!$C124</f>
        <v>1</v>
      </c>
      <c r="BA124" s="43">
        <f>ዕቁብ!BB127/Sheet4!$C124</f>
        <v>1</v>
      </c>
      <c r="BB124" s="43">
        <f>ዕቁብ!BC127/Sheet4!$C124</f>
        <v>1</v>
      </c>
      <c r="BC124" s="43">
        <f>ዕቁብ!BD127/Sheet4!$C124</f>
        <v>1</v>
      </c>
      <c r="BD124" s="43">
        <f>ዕቁብ!BE127/Sheet4!$C124</f>
        <v>1</v>
      </c>
      <c r="BE124" s="43">
        <f>ዕቁብ!BF127/Sheet4!$C124</f>
        <v>1</v>
      </c>
      <c r="BF124" s="43">
        <f>ዕቁብ!BG127/Sheet4!$C124</f>
        <v>1</v>
      </c>
      <c r="BG124" s="43">
        <f>ዕቁብ!BH127/Sheet4!$C124</f>
        <v>0</v>
      </c>
      <c r="BH124" s="43">
        <f>ዕቁብ!BI127/Sheet4!$C124</f>
        <v>0</v>
      </c>
      <c r="BI124" s="43">
        <f>ዕቁብ!BJ127/Sheet4!$C124</f>
        <v>0</v>
      </c>
      <c r="BJ124" s="43">
        <f>ዕቁብ!BK127/Sheet4!$C124</f>
        <v>2</v>
      </c>
      <c r="BK124" s="43">
        <f>ዕቁብ!BL127/Sheet4!$C124</f>
        <v>1</v>
      </c>
      <c r="BL124" s="43">
        <f>ዕቁብ!BM127/Sheet4!$C124</f>
        <v>1</v>
      </c>
      <c r="BM124" s="43">
        <f>ዕቁብ!BN127/Sheet4!$C124</f>
        <v>1</v>
      </c>
      <c r="BN124" s="43">
        <f>ዕቁብ!BO127/Sheet4!$C124</f>
        <v>1</v>
      </c>
      <c r="BO124" s="43">
        <f>ዕቁብ!BP127/Sheet4!$C124</f>
        <v>0</v>
      </c>
      <c r="BP124" s="43">
        <f>ዕቁብ!BQ127/Sheet4!$C124</f>
        <v>2</v>
      </c>
      <c r="BQ124" s="43">
        <f>ዕቁብ!BR127/Sheet4!$C124</f>
        <v>1</v>
      </c>
      <c r="BR124" s="43">
        <f>ዕቁብ!BS127/Sheet4!$C124</f>
        <v>1</v>
      </c>
      <c r="BS124" s="43">
        <f>ዕቁብ!BT127/Sheet4!$C124</f>
        <v>1</v>
      </c>
      <c r="BT124" s="43">
        <f>ዕቁብ!BU127/Sheet4!$C124</f>
        <v>1</v>
      </c>
      <c r="BU124" s="43">
        <f>ዕቁብ!BV127/Sheet4!$C124</f>
        <v>1</v>
      </c>
      <c r="BV124" s="43">
        <f>ዕቁብ!BW127/Sheet4!$C124</f>
        <v>1</v>
      </c>
      <c r="BW124" s="43">
        <f>ዕቁብ!BX127/Sheet4!$C124</f>
        <v>0</v>
      </c>
      <c r="BX124" s="43">
        <f>ዕቁብ!BY127/Sheet4!$C124</f>
        <v>2</v>
      </c>
      <c r="BY124" s="43">
        <f>ዕቁብ!BZ127/Sheet4!$C124</f>
        <v>1</v>
      </c>
      <c r="BZ124" s="43">
        <f>ዕቁብ!CA127/Sheet4!$C124</f>
        <v>0</v>
      </c>
      <c r="CA124" s="43">
        <f>ዕቁብ!CB127/Sheet4!$C124</f>
        <v>2</v>
      </c>
      <c r="CB124" s="43">
        <f>ዕቁብ!CC127/Sheet4!$C124</f>
        <v>1</v>
      </c>
      <c r="CC124" s="43">
        <f>ዕቁብ!CD127/Sheet4!$C124</f>
        <v>1</v>
      </c>
      <c r="CD124" s="43">
        <f>ዕቁብ!CE127/Sheet4!$C124</f>
        <v>0</v>
      </c>
      <c r="CE124" s="43">
        <f>ዕቁብ!CF127/Sheet4!$C124</f>
        <v>2</v>
      </c>
      <c r="CF124" s="43">
        <f>ዕቁብ!CG127/Sheet4!$C124</f>
        <v>1</v>
      </c>
      <c r="CG124" s="43">
        <f>ዕቁብ!CH127/Sheet4!$C124</f>
        <v>1</v>
      </c>
      <c r="CH124" s="43">
        <f>ዕቁብ!CI127/Sheet4!$C124</f>
        <v>1</v>
      </c>
      <c r="CI124" s="43">
        <f>ዕቁብ!CJ127/Sheet4!$C124</f>
        <v>0</v>
      </c>
      <c r="CJ124" s="43">
        <f>ዕቁብ!CK127/Sheet4!$C124</f>
        <v>2</v>
      </c>
      <c r="CK124" s="43">
        <f>ዕቁብ!CL127/Sheet4!$C124</f>
        <v>1</v>
      </c>
      <c r="CL124" s="43">
        <f>ዕቁብ!CM127/Sheet4!$C124</f>
        <v>1</v>
      </c>
      <c r="CM124" s="43">
        <f>ዕቁብ!CN127/Sheet4!$C124</f>
        <v>1</v>
      </c>
      <c r="CN124" s="43">
        <f>ዕቁብ!CO127/Sheet4!$C124</f>
        <v>1</v>
      </c>
      <c r="CO124" s="43">
        <f>ዕቁብ!CP127/Sheet4!$C124</f>
        <v>1</v>
      </c>
      <c r="CP124" s="43">
        <f>ዕቁብ!CQ127/Sheet4!$C124</f>
        <v>1</v>
      </c>
      <c r="CQ124" s="43">
        <f>ዕቁብ!CR127/Sheet4!$C124</f>
        <v>1</v>
      </c>
      <c r="CR124" s="43">
        <f>ዕቁብ!CS127/Sheet4!$C124</f>
        <v>0</v>
      </c>
      <c r="CS124" s="43">
        <f>ዕቁብ!CT127/Sheet4!$C124</f>
        <v>2</v>
      </c>
      <c r="CT124" s="43">
        <f>ዕቁብ!CU127/Sheet4!$C124</f>
        <v>1</v>
      </c>
      <c r="CU124" s="43">
        <f>ዕቁብ!CV127/Sheet4!$C124</f>
        <v>1</v>
      </c>
      <c r="CV124" s="43">
        <f>ዕቁብ!CW127/Sheet4!$C124</f>
        <v>1</v>
      </c>
      <c r="CW124" s="43">
        <f>ዕቁብ!CX127/Sheet4!$C124</f>
        <v>0</v>
      </c>
      <c r="CX124" s="43">
        <f>ዕቁብ!CY127/Sheet4!$C124</f>
        <v>2</v>
      </c>
      <c r="CY124" s="43">
        <f>ዕቁብ!CZ127/Sheet4!$C124</f>
        <v>0</v>
      </c>
      <c r="CZ124" s="43">
        <f>ዕቁብ!DA127/Sheet4!$C124</f>
        <v>1</v>
      </c>
      <c r="DA124" s="43">
        <f>ዕቁብ!DB127/Sheet4!$C124</f>
        <v>0</v>
      </c>
      <c r="DB124" s="43">
        <f>ዕቁብ!DC127/Sheet4!$C124</f>
        <v>0</v>
      </c>
      <c r="DC124" s="43">
        <f>ዕቁብ!DD127/Sheet4!$C124</f>
        <v>3</v>
      </c>
      <c r="DD124" s="43">
        <f>ዕቁብ!DE127/Sheet4!$C124</f>
        <v>0</v>
      </c>
      <c r="DE124" s="43">
        <f>ዕቁብ!DF127/Sheet4!$C124</f>
        <v>2</v>
      </c>
      <c r="DF124" s="43">
        <f>ዕቁብ!DG127/Sheet4!$C124</f>
        <v>1</v>
      </c>
      <c r="DG124" s="43">
        <f>ዕቁብ!DH127/Sheet4!$C124</f>
        <v>0</v>
      </c>
      <c r="DH124" s="43">
        <f>ዕቁብ!DI127/Sheet4!$C124</f>
        <v>0</v>
      </c>
      <c r="DI124" s="43">
        <f>ዕቁብ!DJ127/Sheet4!$C124</f>
        <v>0</v>
      </c>
      <c r="DJ124" s="43">
        <f>ዕቁብ!DK127/Sheet4!$C124</f>
        <v>0</v>
      </c>
      <c r="DK124" s="43">
        <f>ዕቁብ!DL127/Sheet4!$C124</f>
        <v>0</v>
      </c>
      <c r="DL124" s="43">
        <f>ዕቁብ!DM127/Sheet4!$C124</f>
        <v>0</v>
      </c>
      <c r="DM124" s="43">
        <f>ዕቁብ!DN127/Sheet4!$C124</f>
        <v>0</v>
      </c>
      <c r="DN124" s="43">
        <f>ዕቁብ!DO127/Sheet4!$C124</f>
        <v>0</v>
      </c>
      <c r="DO124" s="43">
        <f>ዕቁብ!DP127/Sheet4!$C124</f>
        <v>0</v>
      </c>
      <c r="DP124" s="43">
        <f>ዕቁብ!DQ127/Sheet4!$C124</f>
        <v>0</v>
      </c>
      <c r="DQ124" s="43">
        <f>ዕቁብ!DR127/Sheet4!$C124</f>
        <v>0</v>
      </c>
    </row>
    <row r="125" spans="1:121" ht="15.75" customHeight="1" x14ac:dyDescent="0.3">
      <c r="A125" s="40">
        <f>ዕቁብ!A128</f>
        <v>108</v>
      </c>
      <c r="B125" s="40" t="str">
        <f>ዕቁብ!B128</f>
        <v>ተሻለ አሰፋ</v>
      </c>
      <c r="C125" s="30">
        <f>ዕቁብ!C128</f>
        <v>10500</v>
      </c>
      <c r="D125" s="43">
        <f>ዕቁብ!E128/Sheet4!$C125</f>
        <v>1</v>
      </c>
      <c r="E125" s="43">
        <f>ዕቁብ!F128/Sheet4!$C125</f>
        <v>1</v>
      </c>
      <c r="F125" s="43">
        <f>ዕቁብ!G128/Sheet4!$C125</f>
        <v>1</v>
      </c>
      <c r="G125" s="43">
        <f>ዕቁብ!H128/Sheet4!$C125</f>
        <v>1</v>
      </c>
      <c r="H125" s="43">
        <f>ዕቁብ!I128/Sheet4!$C125</f>
        <v>1</v>
      </c>
      <c r="I125" s="43">
        <f>ዕቁብ!J128/Sheet4!$C125</f>
        <v>1</v>
      </c>
      <c r="J125" s="43">
        <f>ዕቁብ!K128/Sheet4!$C125</f>
        <v>1</v>
      </c>
      <c r="K125" s="43">
        <f>ዕቁብ!L128/Sheet4!$C125</f>
        <v>1</v>
      </c>
      <c r="L125" s="43">
        <f>ዕቁብ!M128/Sheet4!$C125</f>
        <v>1</v>
      </c>
      <c r="M125" s="43">
        <f>ዕቁብ!N128/Sheet4!$C125</f>
        <v>1</v>
      </c>
      <c r="N125" s="43">
        <f>ዕቁብ!O128/Sheet4!$C125</f>
        <v>1</v>
      </c>
      <c r="O125" s="43">
        <f>ዕቁብ!P128/Sheet4!$C125</f>
        <v>1</v>
      </c>
      <c r="P125" s="43">
        <f>ዕቁብ!Q128/Sheet4!$C125</f>
        <v>1</v>
      </c>
      <c r="Q125" s="43">
        <f>ዕቁብ!R128/Sheet4!$C125</f>
        <v>1</v>
      </c>
      <c r="R125" s="43">
        <f>ዕቁብ!S128/Sheet4!$C125</f>
        <v>1</v>
      </c>
      <c r="S125" s="43">
        <f>ዕቁብ!T128/Sheet4!$C125</f>
        <v>1</v>
      </c>
      <c r="T125" s="43">
        <f>ዕቁብ!U128/Sheet4!$C125</f>
        <v>1</v>
      </c>
      <c r="U125" s="43">
        <f>ዕቁብ!V128/Sheet4!$C125</f>
        <v>1</v>
      </c>
      <c r="V125" s="43">
        <f>ዕቁብ!W128/Sheet4!$C125</f>
        <v>1</v>
      </c>
      <c r="W125" s="43">
        <f>ዕቁብ!X128/Sheet4!$C125</f>
        <v>1</v>
      </c>
      <c r="X125" s="43">
        <f>ዕቁብ!Y128/Sheet4!$C125</f>
        <v>1</v>
      </c>
      <c r="Y125" s="43">
        <f>ዕቁብ!Z128/Sheet4!$C125</f>
        <v>1</v>
      </c>
      <c r="Z125" s="43">
        <f>ዕቁብ!AA128/Sheet4!$C125</f>
        <v>1</v>
      </c>
      <c r="AA125" s="43">
        <f>ዕቁብ!AB128/Sheet4!$C125</f>
        <v>0</v>
      </c>
      <c r="AB125" s="43">
        <f>ዕቁብ!AC128/Sheet4!$C125</f>
        <v>2</v>
      </c>
      <c r="AC125" s="43">
        <f>ዕቁብ!AD128/Sheet4!$C125</f>
        <v>1</v>
      </c>
      <c r="AD125" s="43">
        <f>ዕቁብ!AE128/Sheet4!$C125</f>
        <v>1</v>
      </c>
      <c r="AE125" s="43">
        <f>ዕቁብ!AF128/Sheet4!$C125</f>
        <v>1</v>
      </c>
      <c r="AF125" s="43">
        <f>ዕቁብ!AG128/Sheet4!$C125</f>
        <v>1</v>
      </c>
      <c r="AG125" s="43">
        <f>ዕቁብ!AH128/Sheet4!$C125</f>
        <v>1</v>
      </c>
      <c r="AH125" s="43">
        <f>ዕቁብ!AI128/Sheet4!$C125</f>
        <v>1</v>
      </c>
      <c r="AI125" s="43">
        <f>ዕቁብ!AJ128/Sheet4!$C125</f>
        <v>1</v>
      </c>
      <c r="AJ125" s="43">
        <f>ዕቁብ!AK128/Sheet4!$C125</f>
        <v>0</v>
      </c>
      <c r="AK125" s="43">
        <f>ዕቁብ!AL128/Sheet4!$C125</f>
        <v>1</v>
      </c>
      <c r="AL125" s="43">
        <f>ዕቁብ!AM128/Sheet4!$C125</f>
        <v>1</v>
      </c>
      <c r="AM125" s="43">
        <f>ዕቁብ!AN128/Sheet4!$C125</f>
        <v>2</v>
      </c>
      <c r="AN125" s="43">
        <f>ዕቁብ!AO128/Sheet4!$C125</f>
        <v>1</v>
      </c>
      <c r="AO125" s="43">
        <f>ዕቁብ!AP128/Sheet4!$C125</f>
        <v>0</v>
      </c>
      <c r="AP125" s="43">
        <f>ዕቁብ!AQ128/Sheet4!$C125</f>
        <v>2</v>
      </c>
      <c r="AQ125" s="43">
        <f>ዕቁብ!AR128/Sheet4!$C125</f>
        <v>1</v>
      </c>
      <c r="AR125" s="43">
        <f>ዕቁብ!AS128/Sheet4!$C125</f>
        <v>1</v>
      </c>
      <c r="AS125" s="43">
        <f>ዕቁብ!AT128/Sheet4!$C125</f>
        <v>1</v>
      </c>
      <c r="AT125" s="43">
        <f>ዕቁብ!AU128/Sheet4!$C125</f>
        <v>1</v>
      </c>
      <c r="AU125" s="43">
        <f>ዕቁብ!AV128/Sheet4!$C125</f>
        <v>1</v>
      </c>
      <c r="AV125" s="43">
        <f>ዕቁብ!AW128/Sheet4!$C125</f>
        <v>1</v>
      </c>
      <c r="AW125" s="43">
        <f>ዕቁብ!AX128/Sheet4!$C125</f>
        <v>1</v>
      </c>
      <c r="AX125" s="43">
        <f>ዕቁብ!AY128/Sheet4!$C125</f>
        <v>1</v>
      </c>
      <c r="AY125" s="43">
        <f>ዕቁብ!AZ128/Sheet4!$C125</f>
        <v>1</v>
      </c>
      <c r="AZ125" s="43">
        <f>ዕቁብ!BA128/Sheet4!$C125</f>
        <v>1</v>
      </c>
      <c r="BA125" s="43">
        <f>ዕቁብ!BB128/Sheet4!$C125</f>
        <v>1</v>
      </c>
      <c r="BB125" s="43">
        <f>ዕቁብ!BC128/Sheet4!$C125</f>
        <v>1</v>
      </c>
      <c r="BC125" s="43">
        <f>ዕቁብ!BD128/Sheet4!$C125</f>
        <v>1</v>
      </c>
      <c r="BD125" s="43">
        <f>ዕቁብ!BE128/Sheet4!$C125</f>
        <v>1</v>
      </c>
      <c r="BE125" s="43">
        <f>ዕቁብ!BF128/Sheet4!$C125</f>
        <v>1</v>
      </c>
      <c r="BF125" s="43">
        <f>ዕቁብ!BG128/Sheet4!$C125</f>
        <v>1</v>
      </c>
      <c r="BG125" s="43">
        <f>ዕቁብ!BH128/Sheet4!$C125</f>
        <v>0</v>
      </c>
      <c r="BH125" s="43">
        <f>ዕቁብ!BI128/Sheet4!$C125</f>
        <v>2</v>
      </c>
      <c r="BI125" s="43">
        <f>ዕቁብ!BJ128/Sheet4!$C125</f>
        <v>0</v>
      </c>
      <c r="BJ125" s="43">
        <f>ዕቁብ!BK128/Sheet4!$C125</f>
        <v>2</v>
      </c>
      <c r="BK125" s="43">
        <f>ዕቁብ!BL128/Sheet4!$C125</f>
        <v>1</v>
      </c>
      <c r="BL125" s="43">
        <f>ዕቁብ!BM128/Sheet4!$C125</f>
        <v>1</v>
      </c>
      <c r="BM125" s="43">
        <f>ዕቁብ!BN128/Sheet4!$C125</f>
        <v>1</v>
      </c>
      <c r="BN125" s="43">
        <f>ዕቁብ!BO128/Sheet4!$C125</f>
        <v>1</v>
      </c>
      <c r="BO125" s="43">
        <f>ዕቁብ!BP128/Sheet4!$C125</f>
        <v>0</v>
      </c>
      <c r="BP125" s="43">
        <f>ዕቁብ!BQ128/Sheet4!$C125</f>
        <v>2</v>
      </c>
      <c r="BQ125" s="43">
        <f>ዕቁብ!BR128/Sheet4!$C125</f>
        <v>1</v>
      </c>
      <c r="BR125" s="43">
        <f>ዕቁብ!BS128/Sheet4!$C125</f>
        <v>1</v>
      </c>
      <c r="BS125" s="43">
        <f>ዕቁብ!BT128/Sheet4!$C125</f>
        <v>0</v>
      </c>
      <c r="BT125" s="43">
        <f>ዕቁብ!BU128/Sheet4!$C125</f>
        <v>2</v>
      </c>
      <c r="BU125" s="43">
        <f>ዕቁብ!BV128/Sheet4!$C125</f>
        <v>1</v>
      </c>
      <c r="BV125" s="43">
        <f>ዕቁብ!BW128/Sheet4!$C125</f>
        <v>1</v>
      </c>
      <c r="BW125" s="43">
        <f>ዕቁብ!BX128/Sheet4!$C125</f>
        <v>0</v>
      </c>
      <c r="BX125" s="43">
        <f>ዕቁብ!BY128/Sheet4!$C125</f>
        <v>2</v>
      </c>
      <c r="BY125" s="43">
        <f>ዕቁብ!BZ128/Sheet4!$C125</f>
        <v>1</v>
      </c>
      <c r="BZ125" s="43">
        <f>ዕቁብ!CA128/Sheet4!$C125</f>
        <v>0</v>
      </c>
      <c r="CA125" s="43">
        <f>ዕቁብ!CB128/Sheet4!$C125</f>
        <v>1</v>
      </c>
      <c r="CB125" s="43">
        <f>ዕቁብ!CC128/Sheet4!$C125</f>
        <v>1</v>
      </c>
      <c r="CC125" s="43">
        <f>ዕቁብ!CD128/Sheet4!$C125</f>
        <v>0</v>
      </c>
      <c r="CD125" s="43">
        <f>ዕቁብ!CE128/Sheet4!$C125</f>
        <v>0</v>
      </c>
      <c r="CE125" s="43">
        <f>ዕቁብ!CF128/Sheet4!$C125</f>
        <v>2</v>
      </c>
      <c r="CF125" s="43">
        <f>ዕቁብ!CG128/Sheet4!$C125</f>
        <v>1</v>
      </c>
      <c r="CG125" s="43">
        <f>ዕቁብ!CH128/Sheet4!$C125</f>
        <v>1</v>
      </c>
      <c r="CH125" s="43">
        <f>ዕቁብ!CI128/Sheet4!$C125</f>
        <v>1</v>
      </c>
      <c r="CI125" s="43">
        <f>ዕቁብ!CJ128/Sheet4!$C125</f>
        <v>0</v>
      </c>
      <c r="CJ125" s="43">
        <f>ዕቁብ!CK128/Sheet4!$C125</f>
        <v>1</v>
      </c>
      <c r="CK125" s="43">
        <f>ዕቁብ!CL128/Sheet4!$C125</f>
        <v>1</v>
      </c>
      <c r="CL125" s="43">
        <f>ዕቁብ!CM128/Sheet4!$C125</f>
        <v>1</v>
      </c>
      <c r="CM125" s="43">
        <f>ዕቁብ!CN128/Sheet4!$C125</f>
        <v>1</v>
      </c>
      <c r="CN125" s="43">
        <f>ዕቁብ!CO128/Sheet4!$C125</f>
        <v>1</v>
      </c>
      <c r="CO125" s="43">
        <f>ዕቁብ!CP128/Sheet4!$C125</f>
        <v>1</v>
      </c>
      <c r="CP125" s="43">
        <f>ዕቁብ!CQ128/Sheet4!$C125</f>
        <v>1</v>
      </c>
      <c r="CQ125" s="43">
        <f>ዕቁብ!CR128/Sheet4!$C125</f>
        <v>1</v>
      </c>
      <c r="CR125" s="43">
        <f>ዕቁብ!CS128/Sheet4!$C125</f>
        <v>0</v>
      </c>
      <c r="CS125" s="43">
        <f>ዕቁብ!CT128/Sheet4!$C125</f>
        <v>2</v>
      </c>
      <c r="CT125" s="43">
        <f>ዕቁብ!CU128/Sheet4!$C125</f>
        <v>1</v>
      </c>
      <c r="CU125" s="43">
        <f>ዕቁብ!CV128/Sheet4!$C125</f>
        <v>1</v>
      </c>
      <c r="CV125" s="43">
        <f>ዕቁብ!CW128/Sheet4!$C125</f>
        <v>0</v>
      </c>
      <c r="CW125" s="43">
        <f>ዕቁብ!CX128/Sheet4!$C125</f>
        <v>1</v>
      </c>
      <c r="CX125" s="43">
        <f>ዕቁብ!CY128/Sheet4!$C125</f>
        <v>1</v>
      </c>
      <c r="CY125" s="43">
        <f>ዕቁብ!CZ128/Sheet4!$C125</f>
        <v>1</v>
      </c>
      <c r="CZ125" s="43">
        <f>ዕቁብ!DA128/Sheet4!$C125</f>
        <v>1</v>
      </c>
      <c r="DA125" s="43">
        <f>ዕቁብ!DB128/Sheet4!$C125</f>
        <v>1</v>
      </c>
      <c r="DB125" s="43">
        <f>ዕቁብ!DC128/Sheet4!$C125</f>
        <v>0</v>
      </c>
      <c r="DC125" s="43">
        <f>ዕቁብ!DD128/Sheet4!$C125</f>
        <v>0</v>
      </c>
      <c r="DD125" s="43">
        <f>ዕቁብ!DE128/Sheet4!$C125</f>
        <v>2</v>
      </c>
      <c r="DE125" s="43">
        <f>ዕቁብ!DF128/Sheet4!$C125</f>
        <v>2</v>
      </c>
      <c r="DF125" s="43">
        <f>ዕቁብ!DG128/Sheet4!$C125</f>
        <v>0</v>
      </c>
      <c r="DG125" s="43">
        <f>ዕቁብ!DH128/Sheet4!$C125</f>
        <v>0</v>
      </c>
      <c r="DH125" s="43">
        <f>ዕቁብ!DI128/Sheet4!$C125</f>
        <v>0</v>
      </c>
      <c r="DI125" s="43">
        <f>ዕቁብ!DJ128/Sheet4!$C125</f>
        <v>0</v>
      </c>
      <c r="DJ125" s="43">
        <f>ዕቁብ!DK128/Sheet4!$C125</f>
        <v>0</v>
      </c>
      <c r="DK125" s="43">
        <f>ዕቁብ!DL128/Sheet4!$C125</f>
        <v>0</v>
      </c>
      <c r="DL125" s="43">
        <f>ዕቁብ!DM128/Sheet4!$C125</f>
        <v>0</v>
      </c>
      <c r="DM125" s="43">
        <f>ዕቁብ!DN128/Sheet4!$C125</f>
        <v>0</v>
      </c>
      <c r="DN125" s="43">
        <f>ዕቁብ!DO128/Sheet4!$C125</f>
        <v>0</v>
      </c>
      <c r="DO125" s="43">
        <f>ዕቁብ!DP128/Sheet4!$C125</f>
        <v>0</v>
      </c>
      <c r="DP125" s="43">
        <f>ዕቁብ!DQ128/Sheet4!$C125</f>
        <v>0</v>
      </c>
      <c r="DQ125" s="43">
        <f>ዕቁብ!DR128/Sheet4!$C125</f>
        <v>0</v>
      </c>
    </row>
    <row r="126" spans="1:121" ht="15.75" customHeight="1" x14ac:dyDescent="0.3">
      <c r="A126" s="40">
        <f>ዕቁብ!A129</f>
        <v>109</v>
      </c>
      <c r="B126" s="40" t="str">
        <f>ዕቁብ!B129</f>
        <v xml:space="preserve">ታደሰ ሪቂዋ </v>
      </c>
      <c r="C126" s="30">
        <f>ዕቁብ!C129</f>
        <v>10500</v>
      </c>
      <c r="D126" s="43">
        <f>ዕቁብ!E129/Sheet4!$C126</f>
        <v>1</v>
      </c>
      <c r="E126" s="43">
        <f>ዕቁብ!F129/Sheet4!$C126</f>
        <v>1</v>
      </c>
      <c r="F126" s="43">
        <f>ዕቁብ!G129/Sheet4!$C126</f>
        <v>1</v>
      </c>
      <c r="G126" s="43">
        <f>ዕቁብ!H129/Sheet4!$C126</f>
        <v>1</v>
      </c>
      <c r="H126" s="43">
        <f>ዕቁብ!I129/Sheet4!$C126</f>
        <v>1</v>
      </c>
      <c r="I126" s="43">
        <f>ዕቁብ!J129/Sheet4!$C126</f>
        <v>1</v>
      </c>
      <c r="J126" s="43">
        <f>ዕቁብ!K129/Sheet4!$C126</f>
        <v>1</v>
      </c>
      <c r="K126" s="43">
        <f>ዕቁብ!L129/Sheet4!$C126</f>
        <v>1</v>
      </c>
      <c r="L126" s="43">
        <f>ዕቁብ!M129/Sheet4!$C126</f>
        <v>1</v>
      </c>
      <c r="M126" s="43">
        <f>ዕቁብ!N129/Sheet4!$C126</f>
        <v>1</v>
      </c>
      <c r="N126" s="43">
        <f>ዕቁብ!O129/Sheet4!$C126</f>
        <v>1</v>
      </c>
      <c r="O126" s="43">
        <f>ዕቁብ!P129/Sheet4!$C126</f>
        <v>1</v>
      </c>
      <c r="P126" s="43">
        <f>ዕቁብ!Q129/Sheet4!$C126</f>
        <v>1</v>
      </c>
      <c r="Q126" s="43">
        <f>ዕቁብ!R129/Sheet4!$C126</f>
        <v>1</v>
      </c>
      <c r="R126" s="43">
        <f>ዕቁብ!S129/Sheet4!$C126</f>
        <v>1</v>
      </c>
      <c r="S126" s="43">
        <f>ዕቁብ!T129/Sheet4!$C126</f>
        <v>1</v>
      </c>
      <c r="T126" s="43">
        <f>ዕቁብ!U129/Sheet4!$C126</f>
        <v>1</v>
      </c>
      <c r="U126" s="43">
        <f>ዕቁብ!V129/Sheet4!$C126</f>
        <v>0</v>
      </c>
      <c r="V126" s="43">
        <f>ዕቁብ!W129/Sheet4!$C126</f>
        <v>0</v>
      </c>
      <c r="W126" s="43">
        <f>ዕቁብ!X129/Sheet4!$C126</f>
        <v>0</v>
      </c>
      <c r="X126" s="43">
        <f>ዕቁብ!Y129/Sheet4!$C126</f>
        <v>4</v>
      </c>
      <c r="Y126" s="43">
        <f>ዕቁብ!Z129/Sheet4!$C126</f>
        <v>1</v>
      </c>
      <c r="Z126" s="43">
        <f>ዕቁብ!AA129/Sheet4!$C126</f>
        <v>1</v>
      </c>
      <c r="AA126" s="43">
        <f>ዕቁብ!AB129/Sheet4!$C126</f>
        <v>1</v>
      </c>
      <c r="AB126" s="43">
        <f>ዕቁብ!AC129/Sheet4!$C126</f>
        <v>1</v>
      </c>
      <c r="AC126" s="43">
        <f>ዕቁብ!AD129/Sheet4!$C126</f>
        <v>1</v>
      </c>
      <c r="AD126" s="43">
        <f>ዕቁብ!AE129/Sheet4!$C126</f>
        <v>0</v>
      </c>
      <c r="AE126" s="43">
        <f>ዕቁብ!AF129/Sheet4!$C126</f>
        <v>2</v>
      </c>
      <c r="AF126" s="43">
        <f>ዕቁብ!AG129/Sheet4!$C126</f>
        <v>1</v>
      </c>
      <c r="AG126" s="43">
        <f>ዕቁብ!AH129/Sheet4!$C126</f>
        <v>0</v>
      </c>
      <c r="AH126" s="43">
        <f>ዕቁብ!AI129/Sheet4!$C126</f>
        <v>2</v>
      </c>
      <c r="AI126" s="43">
        <f>ዕቁብ!AJ129/Sheet4!$C126</f>
        <v>1</v>
      </c>
      <c r="AJ126" s="43">
        <f>ዕቁብ!AK129/Sheet4!$C126</f>
        <v>0</v>
      </c>
      <c r="AK126" s="43">
        <f>ዕቁብ!AL129/Sheet4!$C126</f>
        <v>1</v>
      </c>
      <c r="AL126" s="43">
        <f>ዕቁብ!AM129/Sheet4!$C126</f>
        <v>2</v>
      </c>
      <c r="AM126" s="43">
        <f>ዕቁብ!AN129/Sheet4!$C126</f>
        <v>1</v>
      </c>
      <c r="AN126" s="43">
        <f>ዕቁብ!AO129/Sheet4!$C126</f>
        <v>1</v>
      </c>
      <c r="AO126" s="43">
        <f>ዕቁብ!AP129/Sheet4!$C126</f>
        <v>1</v>
      </c>
      <c r="AP126" s="43">
        <f>ዕቁብ!AQ129/Sheet4!$C126</f>
        <v>1</v>
      </c>
      <c r="AQ126" s="43">
        <f>ዕቁብ!AR129/Sheet4!$C126</f>
        <v>1</v>
      </c>
      <c r="AR126" s="43">
        <f>ዕቁብ!AS129/Sheet4!$C126</f>
        <v>1</v>
      </c>
      <c r="AS126" s="43">
        <f>ዕቁብ!AT129/Sheet4!$C126</f>
        <v>0</v>
      </c>
      <c r="AT126" s="43">
        <f>ዕቁብ!AU129/Sheet4!$C126</f>
        <v>2</v>
      </c>
      <c r="AU126" s="43">
        <f>ዕቁብ!AV129/Sheet4!$C126</f>
        <v>1</v>
      </c>
      <c r="AV126" s="43">
        <f>ዕቁብ!AW129/Sheet4!$C126</f>
        <v>0</v>
      </c>
      <c r="AW126" s="43">
        <f>ዕቁብ!AX129/Sheet4!$C126</f>
        <v>2</v>
      </c>
      <c r="AX126" s="43">
        <f>ዕቁብ!AY129/Sheet4!$C126</f>
        <v>0</v>
      </c>
      <c r="AY126" s="43">
        <f>ዕቁብ!AZ129/Sheet4!$C126</f>
        <v>1</v>
      </c>
      <c r="AZ126" s="43">
        <f>ዕቁብ!BA129/Sheet4!$C126</f>
        <v>1</v>
      </c>
      <c r="BA126" s="43">
        <f>ዕቁብ!BB129/Sheet4!$C126</f>
        <v>0</v>
      </c>
      <c r="BB126" s="43">
        <f>ዕቁብ!BC129/Sheet4!$C126</f>
        <v>2</v>
      </c>
      <c r="BC126" s="43">
        <f>ዕቁብ!BD129/Sheet4!$C126</f>
        <v>0</v>
      </c>
      <c r="BD126" s="43">
        <f>ዕቁብ!BE129/Sheet4!$C126</f>
        <v>2</v>
      </c>
      <c r="BE126" s="43">
        <f>ዕቁብ!BF129/Sheet4!$C126</f>
        <v>0</v>
      </c>
      <c r="BF126" s="43">
        <f>ዕቁብ!BG129/Sheet4!$C126</f>
        <v>0</v>
      </c>
      <c r="BG126" s="43">
        <f>ዕቁብ!BH129/Sheet4!$C126</f>
        <v>0</v>
      </c>
      <c r="BH126" s="43">
        <f>ዕቁብ!BI129/Sheet4!$C126</f>
        <v>2</v>
      </c>
      <c r="BI126" s="43">
        <f>ዕቁብ!BJ129/Sheet4!$C126</f>
        <v>0</v>
      </c>
      <c r="BJ126" s="43">
        <f>ዕቁብ!BK129/Sheet4!$C126</f>
        <v>0</v>
      </c>
      <c r="BK126" s="43">
        <f>ዕቁብ!BL129/Sheet4!$C126</f>
        <v>0</v>
      </c>
      <c r="BL126" s="43">
        <f>ዕቁብ!BM129/Sheet4!$C126</f>
        <v>0</v>
      </c>
      <c r="BM126" s="43">
        <f>ዕቁብ!BN129/Sheet4!$C126</f>
        <v>0</v>
      </c>
      <c r="BN126" s="43">
        <f>ዕቁብ!BO129/Sheet4!$C126</f>
        <v>0</v>
      </c>
      <c r="BO126" s="43">
        <f>ዕቁብ!BP129/Sheet4!$C126</f>
        <v>0</v>
      </c>
      <c r="BP126" s="43">
        <f>ዕቁብ!BQ129/Sheet4!$C126</f>
        <v>0</v>
      </c>
      <c r="BQ126" s="43">
        <f>ዕቁብ!BR129/Sheet4!$C126</f>
        <v>0</v>
      </c>
      <c r="BR126" s="43">
        <f>ዕቁብ!BS129/Sheet4!$C126</f>
        <v>0</v>
      </c>
      <c r="BS126" s="43">
        <f>ዕቁብ!BT129/Sheet4!$C126</f>
        <v>0</v>
      </c>
      <c r="BT126" s="43">
        <f>ዕቁብ!BU129/Sheet4!$C126</f>
        <v>0</v>
      </c>
      <c r="BU126" s="43">
        <f>ዕቁብ!BV129/Sheet4!$C126</f>
        <v>0</v>
      </c>
      <c r="BV126" s="43">
        <f>ዕቁብ!BW129/Sheet4!$C126</f>
        <v>0</v>
      </c>
      <c r="BW126" s="43">
        <f>ዕቁብ!BX129/Sheet4!$C126</f>
        <v>0</v>
      </c>
      <c r="BX126" s="43">
        <f>ዕቁብ!BY129/Sheet4!$C126</f>
        <v>0</v>
      </c>
      <c r="BY126" s="43">
        <f>ዕቁብ!BZ129/Sheet4!$C126</f>
        <v>0</v>
      </c>
      <c r="BZ126" s="43">
        <f>ዕቁብ!CA129/Sheet4!$C126</f>
        <v>0</v>
      </c>
      <c r="CA126" s="43">
        <f>ዕቁብ!CB129/Sheet4!$C126</f>
        <v>0</v>
      </c>
      <c r="CB126" s="43">
        <f>ዕቁብ!CC129/Sheet4!$C126</f>
        <v>0</v>
      </c>
      <c r="CC126" s="43">
        <f>ዕቁብ!CD129/Sheet4!$C126</f>
        <v>0</v>
      </c>
      <c r="CD126" s="43">
        <f>ዕቁብ!CE129/Sheet4!$C126</f>
        <v>0</v>
      </c>
      <c r="CE126" s="43">
        <f>ዕቁብ!CF129/Sheet4!$C126</f>
        <v>0</v>
      </c>
      <c r="CF126" s="43">
        <f>ዕቁብ!CG129/Sheet4!$C126</f>
        <v>0</v>
      </c>
      <c r="CG126" s="43">
        <f>ዕቁብ!CH129/Sheet4!$C126</f>
        <v>0</v>
      </c>
      <c r="CH126" s="43">
        <f>ዕቁብ!CI129/Sheet4!$C126</f>
        <v>0</v>
      </c>
      <c r="CI126" s="43">
        <f>ዕቁብ!CJ129/Sheet4!$C126</f>
        <v>0</v>
      </c>
      <c r="CJ126" s="43">
        <f>ዕቁብ!CK129/Sheet4!$C126</f>
        <v>0</v>
      </c>
      <c r="CK126" s="43">
        <f>ዕቁብ!CL129/Sheet4!$C126</f>
        <v>0</v>
      </c>
      <c r="CL126" s="43">
        <f>ዕቁብ!CM129/Sheet4!$C126</f>
        <v>0</v>
      </c>
      <c r="CM126" s="43">
        <f>ዕቁብ!CN129/Sheet4!$C126</f>
        <v>0</v>
      </c>
      <c r="CN126" s="43">
        <f>ዕቁብ!CO129/Sheet4!$C126</f>
        <v>0</v>
      </c>
      <c r="CO126" s="43">
        <f>ዕቁብ!CP129/Sheet4!$C126</f>
        <v>0</v>
      </c>
      <c r="CP126" s="43">
        <f>ዕቁብ!CQ129/Sheet4!$C126</f>
        <v>0</v>
      </c>
      <c r="CQ126" s="43">
        <f>ዕቁብ!CR129/Sheet4!$C126</f>
        <v>0</v>
      </c>
      <c r="CR126" s="43">
        <f>ዕቁብ!CS129/Sheet4!$C126</f>
        <v>0</v>
      </c>
      <c r="CS126" s="43">
        <f>ዕቁብ!CT129/Sheet4!$C126</f>
        <v>0</v>
      </c>
      <c r="CT126" s="43">
        <f>ዕቁብ!CU129/Sheet4!$C126</f>
        <v>0</v>
      </c>
      <c r="CU126" s="43">
        <f>ዕቁብ!CV129/Sheet4!$C126</f>
        <v>0</v>
      </c>
      <c r="CV126" s="43">
        <f>ዕቁብ!CW129/Sheet4!$C126</f>
        <v>0</v>
      </c>
      <c r="CW126" s="43">
        <f>ዕቁብ!CX129/Sheet4!$C126</f>
        <v>0</v>
      </c>
      <c r="CX126" s="43">
        <f>ዕቁብ!CY129/Sheet4!$C126</f>
        <v>0</v>
      </c>
      <c r="CY126" s="43">
        <f>ዕቁብ!CZ129/Sheet4!$C126</f>
        <v>0</v>
      </c>
      <c r="CZ126" s="43">
        <f>ዕቁብ!DA129/Sheet4!$C126</f>
        <v>0</v>
      </c>
      <c r="DA126" s="43">
        <f>ዕቁብ!DB129/Sheet4!$C126</f>
        <v>0</v>
      </c>
      <c r="DB126" s="43">
        <f>ዕቁብ!DC129/Sheet4!$C126</f>
        <v>0</v>
      </c>
      <c r="DC126" s="43">
        <f>ዕቁብ!DD129/Sheet4!$C126</f>
        <v>0</v>
      </c>
      <c r="DD126" s="43">
        <f>ዕቁብ!DE129/Sheet4!$C126</f>
        <v>0</v>
      </c>
      <c r="DE126" s="43">
        <f>ዕቁብ!DF129/Sheet4!$C126</f>
        <v>0</v>
      </c>
      <c r="DF126" s="43">
        <f>ዕቁብ!DG129/Sheet4!$C126</f>
        <v>0</v>
      </c>
      <c r="DG126" s="43">
        <f>ዕቁብ!DH129/Sheet4!$C126</f>
        <v>0</v>
      </c>
      <c r="DH126" s="43">
        <f>ዕቁብ!DI129/Sheet4!$C126</f>
        <v>0</v>
      </c>
      <c r="DI126" s="43">
        <f>ዕቁብ!DJ129/Sheet4!$C126</f>
        <v>0</v>
      </c>
      <c r="DJ126" s="43">
        <f>ዕቁብ!DK129/Sheet4!$C126</f>
        <v>0</v>
      </c>
      <c r="DK126" s="43">
        <f>ዕቁብ!DL129/Sheet4!$C126</f>
        <v>0</v>
      </c>
      <c r="DL126" s="43">
        <f>ዕቁብ!DM129/Sheet4!$C126</f>
        <v>0</v>
      </c>
      <c r="DM126" s="43">
        <f>ዕቁብ!DN129/Sheet4!$C126</f>
        <v>0</v>
      </c>
      <c r="DN126" s="43">
        <f>ዕቁብ!DO129/Sheet4!$C126</f>
        <v>0</v>
      </c>
      <c r="DO126" s="43">
        <f>ዕቁብ!DP129/Sheet4!$C126</f>
        <v>0</v>
      </c>
      <c r="DP126" s="43">
        <f>ዕቁብ!DQ129/Sheet4!$C126</f>
        <v>0</v>
      </c>
      <c r="DQ126" s="43">
        <f>ዕቁብ!DR129/Sheet4!$C126</f>
        <v>0</v>
      </c>
    </row>
    <row r="127" spans="1:121" ht="15.75" customHeight="1" x14ac:dyDescent="0.3">
      <c r="A127" s="40">
        <f>ዕቁብ!A130</f>
        <v>109</v>
      </c>
      <c r="B127" s="40" t="str">
        <f>ዕቁብ!B130</f>
        <v>ዘይኑ ባጀግባ</v>
      </c>
      <c r="C127" s="30">
        <f>ዕቁብ!C130</f>
        <v>10500</v>
      </c>
      <c r="D127" s="43">
        <f>ዕቁብ!E130/Sheet4!$C127</f>
        <v>1</v>
      </c>
      <c r="E127" s="43">
        <f>ዕቁብ!F130/Sheet4!$C127</f>
        <v>1</v>
      </c>
      <c r="F127" s="43">
        <f>ዕቁብ!G130/Sheet4!$C127</f>
        <v>1</v>
      </c>
      <c r="G127" s="43">
        <f>ዕቁብ!H130/Sheet4!$C127</f>
        <v>1</v>
      </c>
      <c r="H127" s="43">
        <f>ዕቁብ!I130/Sheet4!$C127</f>
        <v>1</v>
      </c>
      <c r="I127" s="43">
        <f>ዕቁብ!J130/Sheet4!$C127</f>
        <v>1</v>
      </c>
      <c r="J127" s="43">
        <f>ዕቁብ!K130/Sheet4!$C127</f>
        <v>1</v>
      </c>
      <c r="K127" s="43">
        <f>ዕቁብ!L130/Sheet4!$C127</f>
        <v>1</v>
      </c>
      <c r="L127" s="43">
        <f>ዕቁብ!M130/Sheet4!$C127</f>
        <v>1</v>
      </c>
      <c r="M127" s="43">
        <f>ዕቁብ!N130/Sheet4!$C127</f>
        <v>1</v>
      </c>
      <c r="N127" s="43">
        <f>ዕቁብ!O130/Sheet4!$C127</f>
        <v>1</v>
      </c>
      <c r="O127" s="43">
        <f>ዕቁብ!P130/Sheet4!$C127</f>
        <v>1</v>
      </c>
      <c r="P127" s="43">
        <f>ዕቁብ!Q130/Sheet4!$C127</f>
        <v>1</v>
      </c>
      <c r="Q127" s="43">
        <f>ዕቁብ!R130/Sheet4!$C127</f>
        <v>1</v>
      </c>
      <c r="R127" s="43">
        <f>ዕቁብ!S130/Sheet4!$C127</f>
        <v>1</v>
      </c>
      <c r="S127" s="43">
        <f>ዕቁብ!T130/Sheet4!$C127</f>
        <v>1</v>
      </c>
      <c r="T127" s="43">
        <f>ዕቁብ!U130/Sheet4!$C127</f>
        <v>1</v>
      </c>
      <c r="U127" s="43">
        <f>ዕቁብ!V130/Sheet4!$C127</f>
        <v>1</v>
      </c>
      <c r="V127" s="43">
        <f>ዕቁብ!W130/Sheet4!$C127</f>
        <v>1</v>
      </c>
      <c r="W127" s="43">
        <f>ዕቁብ!X130/Sheet4!$C127</f>
        <v>1</v>
      </c>
      <c r="X127" s="43">
        <f>ዕቁብ!Y130/Sheet4!$C127</f>
        <v>1</v>
      </c>
      <c r="Y127" s="43">
        <f>ዕቁብ!Z130/Sheet4!$C127</f>
        <v>1</v>
      </c>
      <c r="Z127" s="43">
        <f>ዕቁብ!AA130/Sheet4!$C127</f>
        <v>1</v>
      </c>
      <c r="AA127" s="43">
        <f>ዕቁብ!AB130/Sheet4!$C127</f>
        <v>1</v>
      </c>
      <c r="AB127" s="43">
        <f>ዕቁብ!AC130/Sheet4!$C127</f>
        <v>1</v>
      </c>
      <c r="AC127" s="43">
        <f>ዕቁብ!AD130/Sheet4!$C127</f>
        <v>1</v>
      </c>
      <c r="AD127" s="43">
        <f>ዕቁብ!AE130/Sheet4!$C127</f>
        <v>1</v>
      </c>
      <c r="AE127" s="43">
        <f>ዕቁብ!AF130/Sheet4!$C127</f>
        <v>1</v>
      </c>
      <c r="AF127" s="43">
        <f>ዕቁብ!AG130/Sheet4!$C127</f>
        <v>1</v>
      </c>
      <c r="AG127" s="43">
        <f>ዕቁብ!AH130/Sheet4!$C127</f>
        <v>1</v>
      </c>
      <c r="AH127" s="43">
        <f>ዕቁብ!AI130/Sheet4!$C127</f>
        <v>1</v>
      </c>
      <c r="AI127" s="43">
        <f>ዕቁብ!AJ130/Sheet4!$C127</f>
        <v>1</v>
      </c>
      <c r="AJ127" s="43">
        <f>ዕቁብ!AK130/Sheet4!$C127</f>
        <v>1</v>
      </c>
      <c r="AK127" s="43">
        <f>ዕቁብ!AL130/Sheet4!$C127</f>
        <v>1</v>
      </c>
      <c r="AL127" s="43">
        <f>ዕቁብ!AM130/Sheet4!$C127</f>
        <v>1</v>
      </c>
      <c r="AM127" s="43">
        <f>ዕቁብ!AN130/Sheet4!$C127</f>
        <v>1</v>
      </c>
      <c r="AN127" s="43">
        <f>ዕቁብ!AO130/Sheet4!$C127</f>
        <v>1</v>
      </c>
      <c r="AO127" s="43">
        <f>ዕቁብ!AP130/Sheet4!$C127</f>
        <v>1</v>
      </c>
      <c r="AP127" s="43">
        <f>ዕቁብ!AQ130/Sheet4!$C127</f>
        <v>1</v>
      </c>
      <c r="AQ127" s="43">
        <f>ዕቁብ!AR130/Sheet4!$C127</f>
        <v>1</v>
      </c>
      <c r="AR127" s="43">
        <f>ዕቁብ!AS130/Sheet4!$C127</f>
        <v>1</v>
      </c>
      <c r="AS127" s="43">
        <f>ዕቁብ!AT130/Sheet4!$C127</f>
        <v>1</v>
      </c>
      <c r="AT127" s="43">
        <f>ዕቁብ!AU130/Sheet4!$C127</f>
        <v>1</v>
      </c>
      <c r="AU127" s="43">
        <f>ዕቁብ!AV130/Sheet4!$C127</f>
        <v>1</v>
      </c>
      <c r="AV127" s="43">
        <f>ዕቁብ!AW130/Sheet4!$C127</f>
        <v>1</v>
      </c>
      <c r="AW127" s="43">
        <f>ዕቁብ!AX130/Sheet4!$C127</f>
        <v>1</v>
      </c>
      <c r="AX127" s="43">
        <f>ዕቁብ!AY130/Sheet4!$C127</f>
        <v>1</v>
      </c>
      <c r="AY127" s="43">
        <f>ዕቁብ!AZ130/Sheet4!$C127</f>
        <v>1</v>
      </c>
      <c r="AZ127" s="43">
        <f>ዕቁብ!BA130/Sheet4!$C127</f>
        <v>1</v>
      </c>
      <c r="BA127" s="43">
        <f>ዕቁብ!BB130/Sheet4!$C127</f>
        <v>1</v>
      </c>
      <c r="BB127" s="43">
        <f>ዕቁብ!BC130/Sheet4!$C127</f>
        <v>1</v>
      </c>
      <c r="BC127" s="43">
        <f>ዕቁብ!BD130/Sheet4!$C127</f>
        <v>1</v>
      </c>
      <c r="BD127" s="43">
        <f>ዕቁብ!BE130/Sheet4!$C127</f>
        <v>1</v>
      </c>
      <c r="BE127" s="43">
        <f>ዕቁብ!BF130/Sheet4!$C127</f>
        <v>1</v>
      </c>
      <c r="BF127" s="43">
        <f>ዕቁብ!BG130/Sheet4!$C127</f>
        <v>1</v>
      </c>
      <c r="BG127" s="43">
        <f>ዕቁብ!BH130/Sheet4!$C127</f>
        <v>1</v>
      </c>
      <c r="BH127" s="43">
        <f>ዕቁብ!BI130/Sheet4!$C127</f>
        <v>1</v>
      </c>
      <c r="BI127" s="43">
        <f>ዕቁብ!BJ130/Sheet4!$C127</f>
        <v>1</v>
      </c>
      <c r="BJ127" s="43">
        <f>ዕቁብ!BK130/Sheet4!$C127</f>
        <v>1</v>
      </c>
      <c r="BK127" s="43">
        <f>ዕቁብ!BL130/Sheet4!$C127</f>
        <v>1</v>
      </c>
      <c r="BL127" s="43">
        <f>ዕቁብ!BM130/Sheet4!$C127</f>
        <v>1</v>
      </c>
      <c r="BM127" s="43">
        <f>ዕቁብ!BN130/Sheet4!$C127</f>
        <v>0</v>
      </c>
      <c r="BN127" s="43">
        <f>ዕቁብ!BO130/Sheet4!$C127</f>
        <v>2</v>
      </c>
      <c r="BO127" s="43">
        <f>ዕቁብ!BP130/Sheet4!$C127</f>
        <v>1</v>
      </c>
      <c r="BP127" s="43">
        <f>ዕቁብ!BQ130/Sheet4!$C127</f>
        <v>1</v>
      </c>
      <c r="BQ127" s="43">
        <f>ዕቁብ!BR130/Sheet4!$C127</f>
        <v>1</v>
      </c>
      <c r="BR127" s="43">
        <f>ዕቁብ!BS130/Sheet4!$C127</f>
        <v>1</v>
      </c>
      <c r="BS127" s="43">
        <f>ዕቁብ!BT130/Sheet4!$C127</f>
        <v>1</v>
      </c>
      <c r="BT127" s="43">
        <f>ዕቁብ!BU130/Sheet4!$C127</f>
        <v>1</v>
      </c>
      <c r="BU127" s="43">
        <f>ዕቁብ!BV130/Sheet4!$C127</f>
        <v>1</v>
      </c>
      <c r="BV127" s="43">
        <f>ዕቁብ!BW130/Sheet4!$C127</f>
        <v>1</v>
      </c>
      <c r="BW127" s="43">
        <f>ዕቁብ!BX130/Sheet4!$C127</f>
        <v>1</v>
      </c>
      <c r="BX127" s="43">
        <f>ዕቁብ!BY130/Sheet4!$C127</f>
        <v>1</v>
      </c>
      <c r="BY127" s="43">
        <f>ዕቁብ!BZ130/Sheet4!$C127</f>
        <v>1</v>
      </c>
      <c r="BZ127" s="43">
        <f>ዕቁብ!CA130/Sheet4!$C127</f>
        <v>1</v>
      </c>
      <c r="CA127" s="43">
        <f>ዕቁብ!CB130/Sheet4!$C127</f>
        <v>1</v>
      </c>
      <c r="CB127" s="43">
        <f>ዕቁብ!CC130/Sheet4!$C127</f>
        <v>1</v>
      </c>
      <c r="CC127" s="43">
        <f>ዕቁብ!CD130/Sheet4!$C127</f>
        <v>1</v>
      </c>
      <c r="CD127" s="43">
        <f>ዕቁብ!CE130/Sheet4!$C127</f>
        <v>1</v>
      </c>
      <c r="CE127" s="43">
        <f>ዕቁብ!CF130/Sheet4!$C127</f>
        <v>1</v>
      </c>
      <c r="CF127" s="43">
        <f>ዕቁብ!CG130/Sheet4!$C127</f>
        <v>1</v>
      </c>
      <c r="CG127" s="43">
        <f>ዕቁብ!CH130/Sheet4!$C127</f>
        <v>1</v>
      </c>
      <c r="CH127" s="43">
        <f>ዕቁብ!CI130/Sheet4!$C127</f>
        <v>1</v>
      </c>
      <c r="CI127" s="43">
        <f>ዕቁብ!CJ130/Sheet4!$C127</f>
        <v>1</v>
      </c>
      <c r="CJ127" s="43">
        <f>ዕቁብ!CK130/Sheet4!$C127</f>
        <v>1</v>
      </c>
      <c r="CK127" s="43">
        <f>ዕቁብ!CL130/Sheet4!$C127</f>
        <v>1</v>
      </c>
      <c r="CL127" s="43">
        <f>ዕቁብ!CM130/Sheet4!$C127</f>
        <v>0</v>
      </c>
      <c r="CM127" s="43">
        <f>ዕቁብ!CN130/Sheet4!$C127</f>
        <v>1</v>
      </c>
      <c r="CN127" s="43">
        <f>ዕቁብ!CO130/Sheet4!$C127</f>
        <v>1</v>
      </c>
      <c r="CO127" s="43">
        <f>ዕቁብ!CP130/Sheet4!$C127</f>
        <v>1</v>
      </c>
      <c r="CP127" s="43">
        <f>ዕቁብ!CQ130/Sheet4!$C127</f>
        <v>1</v>
      </c>
      <c r="CQ127" s="43">
        <f>ዕቁብ!CR130/Sheet4!$C127</f>
        <v>1</v>
      </c>
      <c r="CR127" s="43">
        <f>ዕቁብ!CS130/Sheet4!$C127</f>
        <v>1</v>
      </c>
      <c r="CS127" s="43">
        <f>ዕቁብ!CT130/Sheet4!$C127</f>
        <v>1</v>
      </c>
      <c r="CT127" s="43">
        <f>ዕቁብ!CU130/Sheet4!$C127</f>
        <v>1</v>
      </c>
      <c r="CU127" s="43">
        <f>ዕቁብ!CV130/Sheet4!$C127</f>
        <v>1</v>
      </c>
      <c r="CV127" s="43">
        <f>ዕቁብ!CW130/Sheet4!$C127</f>
        <v>1</v>
      </c>
      <c r="CW127" s="43">
        <f>ዕቁብ!CX130/Sheet4!$C127</f>
        <v>1</v>
      </c>
      <c r="CX127" s="43">
        <f>ዕቁብ!CY130/Sheet4!$C127</f>
        <v>1</v>
      </c>
      <c r="CY127" s="43">
        <f>ዕቁብ!CZ130/Sheet4!$C127</f>
        <v>1</v>
      </c>
      <c r="CZ127" s="43">
        <f>ዕቁብ!DA130/Sheet4!$C127</f>
        <v>1</v>
      </c>
      <c r="DA127" s="43">
        <f>ዕቁብ!DB130/Sheet4!$C127</f>
        <v>2</v>
      </c>
      <c r="DB127" s="43">
        <f>ዕቁብ!DC130/Sheet4!$C127</f>
        <v>1</v>
      </c>
      <c r="DC127" s="43">
        <f>ዕቁብ!DD130/Sheet4!$C127</f>
        <v>1</v>
      </c>
      <c r="DD127" s="43">
        <f>ዕቁብ!DE130/Sheet4!$C127</f>
        <v>1</v>
      </c>
      <c r="DE127" s="43">
        <f>ዕቁብ!DF130/Sheet4!$C127</f>
        <v>1</v>
      </c>
      <c r="DF127" s="43">
        <f>ዕቁብ!DG130/Sheet4!$C127</f>
        <v>1</v>
      </c>
      <c r="DG127" s="43">
        <f>ዕቁብ!DH130/Sheet4!$C127</f>
        <v>1</v>
      </c>
      <c r="DH127" s="43">
        <f>ዕቁብ!DI130/Sheet4!$C127</f>
        <v>0</v>
      </c>
      <c r="DI127" s="43">
        <f>ዕቁብ!DJ130/Sheet4!$C127</f>
        <v>0</v>
      </c>
      <c r="DJ127" s="43">
        <f>ዕቁብ!DK130/Sheet4!$C127</f>
        <v>0</v>
      </c>
      <c r="DK127" s="43">
        <f>ዕቁብ!DL130/Sheet4!$C127</f>
        <v>0</v>
      </c>
      <c r="DL127" s="43">
        <f>ዕቁብ!DM130/Sheet4!$C127</f>
        <v>0</v>
      </c>
      <c r="DM127" s="43">
        <f>ዕቁብ!DN130/Sheet4!$C127</f>
        <v>0</v>
      </c>
      <c r="DN127" s="43">
        <f>ዕቁብ!DO130/Sheet4!$C127</f>
        <v>0</v>
      </c>
      <c r="DO127" s="43">
        <f>ዕቁብ!DP130/Sheet4!$C127</f>
        <v>0</v>
      </c>
      <c r="DP127" s="43">
        <f>ዕቁብ!DQ130/Sheet4!$C127</f>
        <v>0</v>
      </c>
      <c r="DQ127" s="43">
        <f>ዕቁብ!DR130/Sheet4!$C127</f>
        <v>0</v>
      </c>
    </row>
    <row r="128" spans="1:121" ht="15.75" customHeight="1" x14ac:dyDescent="0.3">
      <c r="A128" s="40">
        <f>ዕቁብ!A131</f>
        <v>110</v>
      </c>
      <c r="B128" s="40" t="str">
        <f>ዕቁብ!B131</f>
        <v>ኤልያስ ኩኪሳ</v>
      </c>
      <c r="C128" s="30">
        <f>ዕቁብ!C131</f>
        <v>10500</v>
      </c>
      <c r="D128" s="43">
        <f>ዕቁብ!E131/Sheet4!$C128</f>
        <v>1</v>
      </c>
      <c r="E128" s="43">
        <f>ዕቁብ!F131/Sheet4!$C128</f>
        <v>1</v>
      </c>
      <c r="F128" s="43">
        <f>ዕቁብ!G131/Sheet4!$C128</f>
        <v>1</v>
      </c>
      <c r="G128" s="43">
        <f>ዕቁብ!H131/Sheet4!$C128</f>
        <v>1</v>
      </c>
      <c r="H128" s="43">
        <f>ዕቁብ!I131/Sheet4!$C128</f>
        <v>1</v>
      </c>
      <c r="I128" s="43">
        <f>ዕቁብ!J131/Sheet4!$C128</f>
        <v>1</v>
      </c>
      <c r="J128" s="43">
        <f>ዕቁብ!K131/Sheet4!$C128</f>
        <v>1</v>
      </c>
      <c r="K128" s="43">
        <f>ዕቁብ!L131/Sheet4!$C128</f>
        <v>1</v>
      </c>
      <c r="L128" s="43">
        <f>ዕቁብ!M131/Sheet4!$C128</f>
        <v>1</v>
      </c>
      <c r="M128" s="43">
        <f>ዕቁብ!N131/Sheet4!$C128</f>
        <v>1</v>
      </c>
      <c r="N128" s="43">
        <f>ዕቁብ!O131/Sheet4!$C128</f>
        <v>1</v>
      </c>
      <c r="O128" s="43">
        <f>ዕቁብ!P131/Sheet4!$C128</f>
        <v>1</v>
      </c>
      <c r="P128" s="43">
        <f>ዕቁብ!Q131/Sheet4!$C128</f>
        <v>1</v>
      </c>
      <c r="Q128" s="43">
        <f>ዕቁብ!R131/Sheet4!$C128</f>
        <v>1</v>
      </c>
      <c r="R128" s="43">
        <f>ዕቁብ!S131/Sheet4!$C128</f>
        <v>1</v>
      </c>
      <c r="S128" s="43">
        <f>ዕቁብ!T131/Sheet4!$C128</f>
        <v>1</v>
      </c>
      <c r="T128" s="43">
        <f>ዕቁብ!U131/Sheet4!$C128</f>
        <v>1</v>
      </c>
      <c r="U128" s="43">
        <f>ዕቁብ!V131/Sheet4!$C128</f>
        <v>1</v>
      </c>
      <c r="V128" s="43">
        <f>ዕቁብ!W131/Sheet4!$C128</f>
        <v>1</v>
      </c>
      <c r="W128" s="43">
        <f>ዕቁብ!X131/Sheet4!$C128</f>
        <v>1</v>
      </c>
      <c r="X128" s="43">
        <f>ዕቁብ!Y131/Sheet4!$C128</f>
        <v>1</v>
      </c>
      <c r="Y128" s="43">
        <f>ዕቁብ!Z131/Sheet4!$C128</f>
        <v>1</v>
      </c>
      <c r="Z128" s="43">
        <f>ዕቁብ!AA131/Sheet4!$C128</f>
        <v>1</v>
      </c>
      <c r="AA128" s="43">
        <f>ዕቁብ!AB131/Sheet4!$C128</f>
        <v>1</v>
      </c>
      <c r="AB128" s="43">
        <f>ዕቁብ!AC131/Sheet4!$C128</f>
        <v>1</v>
      </c>
      <c r="AC128" s="43">
        <f>ዕቁብ!AD131/Sheet4!$C128</f>
        <v>1</v>
      </c>
      <c r="AD128" s="43">
        <f>ዕቁብ!AE131/Sheet4!$C128</f>
        <v>1</v>
      </c>
      <c r="AE128" s="43">
        <f>ዕቁብ!AF131/Sheet4!$C128</f>
        <v>1</v>
      </c>
      <c r="AF128" s="43">
        <f>ዕቁብ!AG131/Sheet4!$C128</f>
        <v>1</v>
      </c>
      <c r="AG128" s="43">
        <f>ዕቁብ!AH131/Sheet4!$C128</f>
        <v>1</v>
      </c>
      <c r="AH128" s="43">
        <f>ዕቁብ!AI131/Sheet4!$C128</f>
        <v>1</v>
      </c>
      <c r="AI128" s="43">
        <f>ዕቁብ!AJ131/Sheet4!$C128</f>
        <v>1</v>
      </c>
      <c r="AJ128" s="43">
        <f>ዕቁብ!AK131/Sheet4!$C128</f>
        <v>1</v>
      </c>
      <c r="AK128" s="43">
        <f>ዕቁብ!AL131/Sheet4!$C128</f>
        <v>1</v>
      </c>
      <c r="AL128" s="43">
        <f>ዕቁብ!AM131/Sheet4!$C128</f>
        <v>1</v>
      </c>
      <c r="AM128" s="43">
        <f>ዕቁብ!AN131/Sheet4!$C128</f>
        <v>1</v>
      </c>
      <c r="AN128" s="43">
        <f>ዕቁብ!AO131/Sheet4!$C128</f>
        <v>1</v>
      </c>
      <c r="AO128" s="43">
        <f>ዕቁብ!AP131/Sheet4!$C128</f>
        <v>1</v>
      </c>
      <c r="AP128" s="43">
        <f>ዕቁብ!AQ131/Sheet4!$C128</f>
        <v>1</v>
      </c>
      <c r="AQ128" s="43">
        <f>ዕቁብ!AR131/Sheet4!$C128</f>
        <v>1</v>
      </c>
      <c r="AR128" s="43">
        <f>ዕቁብ!AS131/Sheet4!$C128</f>
        <v>1</v>
      </c>
      <c r="AS128" s="43">
        <f>ዕቁብ!AT131/Sheet4!$C128</f>
        <v>1</v>
      </c>
      <c r="AT128" s="43">
        <f>ዕቁብ!AU131/Sheet4!$C128</f>
        <v>1</v>
      </c>
      <c r="AU128" s="43">
        <f>ዕቁብ!AV131/Sheet4!$C128</f>
        <v>1</v>
      </c>
      <c r="AV128" s="43">
        <f>ዕቁብ!AW131/Sheet4!$C128</f>
        <v>1</v>
      </c>
      <c r="AW128" s="43">
        <f>ዕቁብ!AX131/Sheet4!$C128</f>
        <v>1</v>
      </c>
      <c r="AX128" s="43">
        <f>ዕቁብ!AY131/Sheet4!$C128</f>
        <v>1</v>
      </c>
      <c r="AY128" s="43">
        <f>ዕቁብ!AZ131/Sheet4!$C128</f>
        <v>1</v>
      </c>
      <c r="AZ128" s="43">
        <f>ዕቁብ!BA131/Sheet4!$C128</f>
        <v>1</v>
      </c>
      <c r="BA128" s="43">
        <f>ዕቁብ!BB131/Sheet4!$C128</f>
        <v>1</v>
      </c>
      <c r="BB128" s="43">
        <f>ዕቁብ!BC131/Sheet4!$C128</f>
        <v>1</v>
      </c>
      <c r="BC128" s="43">
        <f>ዕቁብ!BD131/Sheet4!$C128</f>
        <v>1</v>
      </c>
      <c r="BD128" s="43">
        <f>ዕቁብ!BE131/Sheet4!$C128</f>
        <v>1</v>
      </c>
      <c r="BE128" s="43">
        <f>ዕቁብ!BF131/Sheet4!$C128</f>
        <v>1</v>
      </c>
      <c r="BF128" s="43">
        <f>ዕቁብ!BG131/Sheet4!$C128</f>
        <v>1</v>
      </c>
      <c r="BG128" s="43">
        <f>ዕቁብ!BH131/Sheet4!$C128</f>
        <v>1</v>
      </c>
      <c r="BH128" s="43">
        <f>ዕቁብ!BI131/Sheet4!$C128</f>
        <v>1</v>
      </c>
      <c r="BI128" s="43">
        <f>ዕቁብ!BJ131/Sheet4!$C128</f>
        <v>1</v>
      </c>
      <c r="BJ128" s="43">
        <f>ዕቁብ!BK131/Sheet4!$C128</f>
        <v>1</v>
      </c>
      <c r="BK128" s="43">
        <f>ዕቁብ!BL131/Sheet4!$C128</f>
        <v>1</v>
      </c>
      <c r="BL128" s="43">
        <f>ዕቁብ!BM131/Sheet4!$C128</f>
        <v>1</v>
      </c>
      <c r="BM128" s="43">
        <f>ዕቁብ!BN131/Sheet4!$C128</f>
        <v>0</v>
      </c>
      <c r="BN128" s="43">
        <f>ዕቁብ!BO131/Sheet4!$C128</f>
        <v>2</v>
      </c>
      <c r="BO128" s="43">
        <f>ዕቁብ!BP131/Sheet4!$C128</f>
        <v>1</v>
      </c>
      <c r="BP128" s="43">
        <f>ዕቁብ!BQ131/Sheet4!$C128</f>
        <v>1</v>
      </c>
      <c r="BQ128" s="43">
        <f>ዕቁብ!BR131/Sheet4!$C128</f>
        <v>1</v>
      </c>
      <c r="BR128" s="43">
        <f>ዕቁብ!BS131/Sheet4!$C128</f>
        <v>1</v>
      </c>
      <c r="BS128" s="43">
        <f>ዕቁብ!BT131/Sheet4!$C128</f>
        <v>1</v>
      </c>
      <c r="BT128" s="43">
        <f>ዕቁብ!BU131/Sheet4!$C128</f>
        <v>1</v>
      </c>
      <c r="BU128" s="43">
        <f>ዕቁብ!BV131/Sheet4!$C128</f>
        <v>1</v>
      </c>
      <c r="BV128" s="43">
        <f>ዕቁብ!BW131/Sheet4!$C128</f>
        <v>1</v>
      </c>
      <c r="BW128" s="43">
        <f>ዕቁብ!BX131/Sheet4!$C128</f>
        <v>1</v>
      </c>
      <c r="BX128" s="43">
        <f>ዕቁብ!BY131/Sheet4!$C128</f>
        <v>1</v>
      </c>
      <c r="BY128" s="43">
        <f>ዕቁብ!BZ131/Sheet4!$C128</f>
        <v>1</v>
      </c>
      <c r="BZ128" s="43">
        <f>ዕቁብ!CA131/Sheet4!$C128</f>
        <v>1</v>
      </c>
      <c r="CA128" s="43">
        <f>ዕቁብ!CB131/Sheet4!$C128</f>
        <v>1</v>
      </c>
      <c r="CB128" s="43">
        <f>ዕቁብ!CC131/Sheet4!$C128</f>
        <v>1</v>
      </c>
      <c r="CC128" s="43">
        <f>ዕቁብ!CD131/Sheet4!$C128</f>
        <v>1</v>
      </c>
      <c r="CD128" s="43">
        <f>ዕቁብ!CE131/Sheet4!$C128</f>
        <v>1</v>
      </c>
      <c r="CE128" s="43">
        <f>ዕቁብ!CF131/Sheet4!$C128</f>
        <v>1</v>
      </c>
      <c r="CF128" s="43">
        <f>ዕቁብ!CG131/Sheet4!$C128</f>
        <v>1</v>
      </c>
      <c r="CG128" s="43">
        <f>ዕቁብ!CH131/Sheet4!$C128</f>
        <v>1</v>
      </c>
      <c r="CH128" s="43">
        <f>ዕቁብ!CI131/Sheet4!$C128</f>
        <v>1</v>
      </c>
      <c r="CI128" s="43">
        <f>ዕቁብ!CJ131/Sheet4!$C128</f>
        <v>1</v>
      </c>
      <c r="CJ128" s="43">
        <f>ዕቁብ!CK131/Sheet4!$C128</f>
        <v>1</v>
      </c>
      <c r="CK128" s="43">
        <f>ዕቁብ!CL131/Sheet4!$C128</f>
        <v>1</v>
      </c>
      <c r="CL128" s="43">
        <f>ዕቁብ!CM131/Sheet4!$C128</f>
        <v>1</v>
      </c>
      <c r="CM128" s="43">
        <f>ዕቁብ!CN131/Sheet4!$C128</f>
        <v>1</v>
      </c>
      <c r="CN128" s="43">
        <f>ዕቁብ!CO131/Sheet4!$C128</f>
        <v>1</v>
      </c>
      <c r="CO128" s="43">
        <f>ዕቁብ!CP131/Sheet4!$C128</f>
        <v>1</v>
      </c>
      <c r="CP128" s="43">
        <f>ዕቁብ!CQ131/Sheet4!$C128</f>
        <v>1</v>
      </c>
      <c r="CQ128" s="43">
        <f>ዕቁብ!CR131/Sheet4!$C128</f>
        <v>1</v>
      </c>
      <c r="CR128" s="43">
        <f>ዕቁብ!CS131/Sheet4!$C128</f>
        <v>0</v>
      </c>
      <c r="CS128" s="43">
        <f>ዕቁብ!CT131/Sheet4!$C128</f>
        <v>2</v>
      </c>
      <c r="CT128" s="43">
        <f>ዕቁብ!CU131/Sheet4!$C128</f>
        <v>1</v>
      </c>
      <c r="CU128" s="43">
        <f>ዕቁብ!CV131/Sheet4!$C128</f>
        <v>1</v>
      </c>
      <c r="CV128" s="43">
        <f>ዕቁብ!CW131/Sheet4!$C128</f>
        <v>1</v>
      </c>
      <c r="CW128" s="43">
        <f>ዕቁብ!CX131/Sheet4!$C128</f>
        <v>1</v>
      </c>
      <c r="CX128" s="43">
        <f>ዕቁብ!CY131/Sheet4!$C128</f>
        <v>0</v>
      </c>
      <c r="CY128" s="43">
        <f>ዕቁብ!CZ131/Sheet4!$C128</f>
        <v>2</v>
      </c>
      <c r="CZ128" s="43">
        <f>ዕቁብ!DA131/Sheet4!$C128</f>
        <v>1</v>
      </c>
      <c r="DA128" s="43">
        <f>ዕቁብ!DB131/Sheet4!$C128</f>
        <v>1</v>
      </c>
      <c r="DB128" s="43">
        <f>ዕቁብ!DC131/Sheet4!$C128</f>
        <v>1</v>
      </c>
      <c r="DC128" s="43">
        <f>ዕቁብ!DD131/Sheet4!$C128</f>
        <v>1</v>
      </c>
      <c r="DD128" s="43">
        <f>ዕቁብ!DE131/Sheet4!$C128</f>
        <v>1</v>
      </c>
      <c r="DE128" s="43">
        <f>ዕቁብ!DF131/Sheet4!$C128</f>
        <v>1</v>
      </c>
      <c r="DF128" s="43">
        <f>ዕቁብ!DG131/Sheet4!$C128</f>
        <v>1</v>
      </c>
      <c r="DG128" s="43">
        <f>ዕቁብ!DH131/Sheet4!$C128</f>
        <v>1</v>
      </c>
      <c r="DH128" s="43">
        <f>ዕቁብ!DI131/Sheet4!$C128</f>
        <v>0</v>
      </c>
      <c r="DI128" s="43">
        <f>ዕቁብ!DJ131/Sheet4!$C128</f>
        <v>0</v>
      </c>
      <c r="DJ128" s="43">
        <f>ዕቁብ!DK131/Sheet4!$C128</f>
        <v>0</v>
      </c>
      <c r="DK128" s="43">
        <f>ዕቁብ!DL131/Sheet4!$C128</f>
        <v>0</v>
      </c>
      <c r="DL128" s="43">
        <f>ዕቁብ!DM131/Sheet4!$C128</f>
        <v>0</v>
      </c>
      <c r="DM128" s="43">
        <f>ዕቁብ!DN131/Sheet4!$C128</f>
        <v>0</v>
      </c>
      <c r="DN128" s="43">
        <f>ዕቁብ!DO131/Sheet4!$C128</f>
        <v>0</v>
      </c>
      <c r="DO128" s="43">
        <f>ዕቁብ!DP131/Sheet4!$C128</f>
        <v>0</v>
      </c>
      <c r="DP128" s="43">
        <f>ዕቁብ!DQ131/Sheet4!$C128</f>
        <v>0</v>
      </c>
      <c r="DQ128" s="43">
        <f>ዕቁብ!DR131/Sheet4!$C128</f>
        <v>0</v>
      </c>
    </row>
    <row r="129" spans="1:121" ht="15.75" customHeight="1" x14ac:dyDescent="0.3">
      <c r="A129" s="40">
        <f>ዕቁብ!A132</f>
        <v>110</v>
      </c>
      <c r="B129" s="40" t="str">
        <f>ዕቁብ!B132</f>
        <v>በቀለ ዶሳ</v>
      </c>
      <c r="C129" s="30">
        <f>ዕቁብ!C132</f>
        <v>10500</v>
      </c>
      <c r="D129" s="43">
        <f>ዕቁብ!E132/Sheet4!$C129</f>
        <v>1</v>
      </c>
      <c r="E129" s="43">
        <f>ዕቁብ!F132/Sheet4!$C129</f>
        <v>1</v>
      </c>
      <c r="F129" s="43">
        <f>ዕቁብ!G132/Sheet4!$C129</f>
        <v>1</v>
      </c>
      <c r="G129" s="43">
        <f>ዕቁብ!H132/Sheet4!$C129</f>
        <v>1</v>
      </c>
      <c r="H129" s="43">
        <f>ዕቁብ!I132/Sheet4!$C129</f>
        <v>1</v>
      </c>
      <c r="I129" s="43">
        <f>ዕቁብ!J132/Sheet4!$C129</f>
        <v>1</v>
      </c>
      <c r="J129" s="43">
        <f>ዕቁብ!K132/Sheet4!$C129</f>
        <v>1</v>
      </c>
      <c r="K129" s="43">
        <f>ዕቁብ!L132/Sheet4!$C129</f>
        <v>1</v>
      </c>
      <c r="L129" s="43">
        <f>ዕቁብ!M132/Sheet4!$C129</f>
        <v>1</v>
      </c>
      <c r="M129" s="43">
        <f>ዕቁብ!N132/Sheet4!$C129</f>
        <v>1</v>
      </c>
      <c r="N129" s="43">
        <f>ዕቁብ!O132/Sheet4!$C129</f>
        <v>1</v>
      </c>
      <c r="O129" s="43">
        <f>ዕቁብ!P132/Sheet4!$C129</f>
        <v>1</v>
      </c>
      <c r="P129" s="43">
        <f>ዕቁብ!Q132/Sheet4!$C129</f>
        <v>1</v>
      </c>
      <c r="Q129" s="43">
        <f>ዕቁብ!R132/Sheet4!$C129</f>
        <v>1</v>
      </c>
      <c r="R129" s="43">
        <f>ዕቁብ!S132/Sheet4!$C129</f>
        <v>1</v>
      </c>
      <c r="S129" s="43">
        <f>ዕቁብ!T132/Sheet4!$C129</f>
        <v>1</v>
      </c>
      <c r="T129" s="43">
        <f>ዕቁብ!U132/Sheet4!$C129</f>
        <v>1</v>
      </c>
      <c r="U129" s="43">
        <f>ዕቁብ!V132/Sheet4!$C129</f>
        <v>0</v>
      </c>
      <c r="V129" s="43">
        <f>ዕቁብ!W132/Sheet4!$C129</f>
        <v>0</v>
      </c>
      <c r="W129" s="43">
        <f>ዕቁብ!X132/Sheet4!$C129</f>
        <v>0</v>
      </c>
      <c r="X129" s="43">
        <f>ዕቁብ!Y132/Sheet4!$C129</f>
        <v>2</v>
      </c>
      <c r="Y129" s="43">
        <f>ዕቁብ!Z132/Sheet4!$C129</f>
        <v>1</v>
      </c>
      <c r="Z129" s="43">
        <f>ዕቁብ!AA132/Sheet4!$C129</f>
        <v>2</v>
      </c>
      <c r="AA129" s="43">
        <f>ዕቁብ!AB132/Sheet4!$C129</f>
        <v>0</v>
      </c>
      <c r="AB129" s="43">
        <f>ዕቁብ!AC132/Sheet4!$C129</f>
        <v>2</v>
      </c>
      <c r="AC129" s="43">
        <f>ዕቁብ!AD132/Sheet4!$C129</f>
        <v>1</v>
      </c>
      <c r="AD129" s="43">
        <f>ዕቁብ!AE132/Sheet4!$C129</f>
        <v>1</v>
      </c>
      <c r="AE129" s="43">
        <f>ዕቁብ!AF132/Sheet4!$C129</f>
        <v>0</v>
      </c>
      <c r="AF129" s="43">
        <f>ዕቁብ!AG132/Sheet4!$C129</f>
        <v>2</v>
      </c>
      <c r="AG129" s="43">
        <f>ዕቁብ!AH132/Sheet4!$C129</f>
        <v>1</v>
      </c>
      <c r="AH129" s="43">
        <f>ዕቁብ!AI132/Sheet4!$C129</f>
        <v>1</v>
      </c>
      <c r="AI129" s="43">
        <f>ዕቁብ!AJ132/Sheet4!$C129</f>
        <v>1</v>
      </c>
      <c r="AJ129" s="43">
        <f>ዕቁብ!AK132/Sheet4!$C129</f>
        <v>1</v>
      </c>
      <c r="AK129" s="43">
        <f>ዕቁብ!AL132/Sheet4!$C129</f>
        <v>1</v>
      </c>
      <c r="AL129" s="43">
        <f>ዕቁብ!AM132/Sheet4!$C129</f>
        <v>1</v>
      </c>
      <c r="AM129" s="43">
        <f>ዕቁብ!AN132/Sheet4!$C129</f>
        <v>0</v>
      </c>
      <c r="AN129" s="43">
        <f>ዕቁብ!AO132/Sheet4!$C129</f>
        <v>1</v>
      </c>
      <c r="AO129" s="43">
        <f>ዕቁብ!AP132/Sheet4!$C129</f>
        <v>2</v>
      </c>
      <c r="AP129" s="43">
        <f>ዕቁብ!AQ132/Sheet4!$C129</f>
        <v>1</v>
      </c>
      <c r="AQ129" s="43">
        <f>ዕቁብ!AR132/Sheet4!$C129</f>
        <v>0</v>
      </c>
      <c r="AR129" s="43">
        <f>ዕቁብ!AS132/Sheet4!$C129</f>
        <v>0</v>
      </c>
      <c r="AS129" s="43">
        <f>ዕቁብ!AT132/Sheet4!$C129</f>
        <v>2</v>
      </c>
      <c r="AT129" s="43">
        <f>ዕቁብ!AU132/Sheet4!$C129</f>
        <v>2</v>
      </c>
      <c r="AU129" s="43">
        <f>ዕቁብ!AV132/Sheet4!$C129</f>
        <v>0</v>
      </c>
      <c r="AV129" s="43">
        <f>ዕቁብ!AW132/Sheet4!$C129</f>
        <v>2</v>
      </c>
      <c r="AW129" s="43">
        <f>ዕቁብ!AX132/Sheet4!$C129</f>
        <v>0</v>
      </c>
      <c r="AX129" s="43">
        <f>ዕቁብ!AY132/Sheet4!$C129</f>
        <v>2</v>
      </c>
      <c r="AY129" s="43">
        <f>ዕቁብ!AZ132/Sheet4!$C129</f>
        <v>0</v>
      </c>
      <c r="AZ129" s="43">
        <f>ዕቁብ!BA132/Sheet4!$C129</f>
        <v>0</v>
      </c>
      <c r="BA129" s="43">
        <f>ዕቁብ!BB132/Sheet4!$C129</f>
        <v>0</v>
      </c>
      <c r="BB129" s="43">
        <f>ዕቁብ!BC132/Sheet4!$C129</f>
        <v>4</v>
      </c>
      <c r="BC129" s="43">
        <f>ዕቁብ!BD132/Sheet4!$C129</f>
        <v>0</v>
      </c>
      <c r="BD129" s="43">
        <f>ዕቁብ!BE132/Sheet4!$C129</f>
        <v>0</v>
      </c>
      <c r="BE129" s="43">
        <f>ዕቁብ!BF132/Sheet4!$C129</f>
        <v>2</v>
      </c>
      <c r="BF129" s="43">
        <f>ዕቁብ!BG132/Sheet4!$C129</f>
        <v>1</v>
      </c>
      <c r="BG129" s="43">
        <f>ዕቁብ!BH132/Sheet4!$C129</f>
        <v>0</v>
      </c>
      <c r="BH129" s="43">
        <f>ዕቁብ!BI132/Sheet4!$C129</f>
        <v>0</v>
      </c>
      <c r="BI129" s="43">
        <f>ዕቁብ!BJ132/Sheet4!$C129</f>
        <v>4</v>
      </c>
      <c r="BJ129" s="43">
        <f>ዕቁብ!BK132/Sheet4!$C129</f>
        <v>0</v>
      </c>
      <c r="BK129" s="43">
        <f>ዕቁብ!BL132/Sheet4!$C129</f>
        <v>2</v>
      </c>
      <c r="BL129" s="43">
        <f>ዕቁብ!BM132/Sheet4!$C129</f>
        <v>0</v>
      </c>
      <c r="BM129" s="43">
        <f>ዕቁብ!BN132/Sheet4!$C129</f>
        <v>0</v>
      </c>
      <c r="BN129" s="43">
        <f>ዕቁብ!BO132/Sheet4!$C129</f>
        <v>3</v>
      </c>
      <c r="BO129" s="43">
        <f>ዕቁብ!BP132/Sheet4!$C129</f>
        <v>0</v>
      </c>
      <c r="BP129" s="43">
        <f>ዕቁብ!BQ132/Sheet4!$C129</f>
        <v>0</v>
      </c>
      <c r="BQ129" s="43">
        <f>ዕቁብ!BR132/Sheet4!$C129</f>
        <v>3</v>
      </c>
      <c r="BR129" s="43">
        <f>ዕቁብ!BS132/Sheet4!$C129</f>
        <v>0</v>
      </c>
      <c r="BS129" s="43">
        <f>ዕቁብ!BT132/Sheet4!$C129</f>
        <v>0</v>
      </c>
      <c r="BT129" s="43">
        <f>ዕቁብ!BU132/Sheet4!$C129</f>
        <v>2</v>
      </c>
      <c r="BU129" s="43">
        <f>ዕቁብ!BV132/Sheet4!$C129</f>
        <v>0</v>
      </c>
      <c r="BV129" s="43">
        <f>ዕቁብ!BW132/Sheet4!$C129</f>
        <v>3</v>
      </c>
      <c r="BW129" s="43">
        <f>ዕቁብ!BX132/Sheet4!$C129</f>
        <v>0</v>
      </c>
      <c r="BX129" s="43">
        <f>ዕቁብ!BY132/Sheet4!$C129</f>
        <v>2</v>
      </c>
      <c r="BY129" s="43">
        <f>ዕቁብ!BZ132/Sheet4!$C129</f>
        <v>0</v>
      </c>
      <c r="BZ129" s="43">
        <f>ዕቁብ!CA132/Sheet4!$C129</f>
        <v>0</v>
      </c>
      <c r="CA129" s="43">
        <f>ዕቁብ!CB132/Sheet4!$C129</f>
        <v>2</v>
      </c>
      <c r="CB129" s="43">
        <f>ዕቁብ!CC132/Sheet4!$C129</f>
        <v>2</v>
      </c>
      <c r="CC129" s="43">
        <f>ዕቁብ!CD132/Sheet4!$C129</f>
        <v>0</v>
      </c>
      <c r="CD129" s="43">
        <f>ዕቁብ!CE132/Sheet4!$C129</f>
        <v>0</v>
      </c>
      <c r="CE129" s="43">
        <f>ዕቁብ!CF132/Sheet4!$C129</f>
        <v>0</v>
      </c>
      <c r="CF129" s="43">
        <f>ዕቁብ!CG132/Sheet4!$C129</f>
        <v>2</v>
      </c>
      <c r="CG129" s="43">
        <f>ዕቁብ!CH132/Sheet4!$C129</f>
        <v>2</v>
      </c>
      <c r="CH129" s="43">
        <f>ዕቁብ!CI132/Sheet4!$C129</f>
        <v>0</v>
      </c>
      <c r="CI129" s="43">
        <f>ዕቁብ!CJ132/Sheet4!$C129</f>
        <v>2</v>
      </c>
      <c r="CJ129" s="43">
        <f>ዕቁብ!CK132/Sheet4!$C129</f>
        <v>0</v>
      </c>
      <c r="CK129" s="43">
        <f>ዕቁብ!CL132/Sheet4!$C129</f>
        <v>0</v>
      </c>
      <c r="CL129" s="43">
        <f>ዕቁብ!CM132/Sheet4!$C129</f>
        <v>6</v>
      </c>
      <c r="CM129" s="43">
        <f>ዕቁብ!CN132/Sheet4!$C129</f>
        <v>0</v>
      </c>
      <c r="CN129" s="43">
        <f>ዕቁብ!CO132/Sheet4!$C129</f>
        <v>0</v>
      </c>
      <c r="CO129" s="43">
        <f>ዕቁብ!CP132/Sheet4!$C129</f>
        <v>0</v>
      </c>
      <c r="CP129" s="43">
        <f>ዕቁብ!CQ132/Sheet4!$C129</f>
        <v>0</v>
      </c>
      <c r="CQ129" s="43">
        <f>ዕቁብ!CR132/Sheet4!$C129</f>
        <v>0</v>
      </c>
      <c r="CR129" s="43">
        <f>ዕቁብ!CS132/Sheet4!$C129</f>
        <v>0</v>
      </c>
      <c r="CS129" s="43">
        <f>ዕቁብ!CT132/Sheet4!$C129</f>
        <v>0</v>
      </c>
      <c r="CT129" s="43">
        <f>ዕቁብ!CU132/Sheet4!$C129</f>
        <v>1</v>
      </c>
      <c r="CU129" s="43">
        <f>ዕቁብ!CV132/Sheet4!$C129</f>
        <v>0</v>
      </c>
      <c r="CV129" s="43">
        <f>ዕቁብ!CW132/Sheet4!$C129</f>
        <v>0</v>
      </c>
      <c r="CW129" s="43">
        <f>ዕቁብ!CX132/Sheet4!$C129</f>
        <v>0</v>
      </c>
      <c r="CX129" s="43">
        <f>ዕቁብ!CY132/Sheet4!$C129</f>
        <v>3</v>
      </c>
      <c r="CY129" s="43">
        <f>ዕቁብ!CZ132/Sheet4!$C129</f>
        <v>4</v>
      </c>
      <c r="CZ129" s="43">
        <f>ዕቁብ!DA132/Sheet4!$C129</f>
        <v>0</v>
      </c>
      <c r="DA129" s="43">
        <f>ዕቁብ!DB132/Sheet4!$C129</f>
        <v>2</v>
      </c>
      <c r="DB129" s="43">
        <f>ዕቁብ!DC132/Sheet4!$C129</f>
        <v>0</v>
      </c>
      <c r="DC129" s="43">
        <f>ዕቁብ!DD132/Sheet4!$C129</f>
        <v>0</v>
      </c>
      <c r="DD129" s="43">
        <f>ዕቁብ!DE132/Sheet4!$C129</f>
        <v>3</v>
      </c>
      <c r="DE129" s="43">
        <f>ዕቁብ!DF132/Sheet4!$C129</f>
        <v>0</v>
      </c>
      <c r="DF129" s="43">
        <f>ዕቁብ!DG132/Sheet4!$C129</f>
        <v>2</v>
      </c>
      <c r="DG129" s="43">
        <f>ዕቁብ!DH132/Sheet4!$C129</f>
        <v>0</v>
      </c>
      <c r="DH129" s="43">
        <f>ዕቁብ!DI132/Sheet4!$C129</f>
        <v>0</v>
      </c>
      <c r="DI129" s="43">
        <f>ዕቁብ!DJ132/Sheet4!$C129</f>
        <v>0</v>
      </c>
      <c r="DJ129" s="43">
        <f>ዕቁብ!DK132/Sheet4!$C129</f>
        <v>0</v>
      </c>
      <c r="DK129" s="43">
        <f>ዕቁብ!DL132/Sheet4!$C129</f>
        <v>0</v>
      </c>
      <c r="DL129" s="43">
        <f>ዕቁብ!DM132/Sheet4!$C129</f>
        <v>0</v>
      </c>
      <c r="DM129" s="43">
        <f>ዕቁብ!DN132/Sheet4!$C129</f>
        <v>0</v>
      </c>
      <c r="DN129" s="43">
        <f>ዕቁብ!DO132/Sheet4!$C129</f>
        <v>0</v>
      </c>
      <c r="DO129" s="43">
        <f>ዕቁብ!DP132/Sheet4!$C129</f>
        <v>0</v>
      </c>
      <c r="DP129" s="43">
        <f>ዕቁብ!DQ132/Sheet4!$C129</f>
        <v>0</v>
      </c>
      <c r="DQ129" s="43">
        <f>ዕቁብ!DR132/Sheet4!$C129</f>
        <v>0</v>
      </c>
    </row>
    <row r="130" spans="1:121" ht="15.75" customHeight="1" x14ac:dyDescent="0.3">
      <c r="A130" s="40">
        <f>ዕቁብ!A133</f>
        <v>111</v>
      </c>
      <c r="B130" s="40" t="str">
        <f>ዕቁብ!B133</f>
        <v>አበጀ አላሮ</v>
      </c>
      <c r="C130" s="30">
        <f>ዕቁብ!C133</f>
        <v>10500</v>
      </c>
      <c r="D130" s="43">
        <f>ዕቁብ!E133/Sheet4!$C130</f>
        <v>1</v>
      </c>
      <c r="E130" s="43">
        <f>ዕቁብ!F133/Sheet4!$C130</f>
        <v>1</v>
      </c>
      <c r="F130" s="43">
        <f>ዕቁብ!G133/Sheet4!$C130</f>
        <v>1</v>
      </c>
      <c r="G130" s="43">
        <f>ዕቁብ!H133/Sheet4!$C130</f>
        <v>1</v>
      </c>
      <c r="H130" s="43">
        <f>ዕቁብ!I133/Sheet4!$C130</f>
        <v>1</v>
      </c>
      <c r="I130" s="43">
        <f>ዕቁብ!J133/Sheet4!$C130</f>
        <v>1</v>
      </c>
      <c r="J130" s="43">
        <f>ዕቁብ!K133/Sheet4!$C130</f>
        <v>1</v>
      </c>
      <c r="K130" s="43">
        <f>ዕቁብ!L133/Sheet4!$C130</f>
        <v>1</v>
      </c>
      <c r="L130" s="43">
        <f>ዕቁብ!M133/Sheet4!$C130</f>
        <v>1</v>
      </c>
      <c r="M130" s="43">
        <f>ዕቁብ!N133/Sheet4!$C130</f>
        <v>1</v>
      </c>
      <c r="N130" s="43">
        <f>ዕቁብ!O133/Sheet4!$C130</f>
        <v>1</v>
      </c>
      <c r="O130" s="43">
        <f>ዕቁብ!P133/Sheet4!$C130</f>
        <v>1</v>
      </c>
      <c r="P130" s="43">
        <f>ዕቁብ!Q133/Sheet4!$C130</f>
        <v>1</v>
      </c>
      <c r="Q130" s="43">
        <f>ዕቁብ!R133/Sheet4!$C130</f>
        <v>1</v>
      </c>
      <c r="R130" s="43">
        <f>ዕቁብ!S133/Sheet4!$C130</f>
        <v>1</v>
      </c>
      <c r="S130" s="43">
        <f>ዕቁብ!T133/Sheet4!$C130</f>
        <v>1</v>
      </c>
      <c r="T130" s="43">
        <f>ዕቁብ!U133/Sheet4!$C130</f>
        <v>1</v>
      </c>
      <c r="U130" s="43">
        <f>ዕቁብ!V133/Sheet4!$C130</f>
        <v>1</v>
      </c>
      <c r="V130" s="43">
        <f>ዕቁብ!W133/Sheet4!$C130</f>
        <v>1</v>
      </c>
      <c r="W130" s="43">
        <f>ዕቁብ!X133/Sheet4!$C130</f>
        <v>1</v>
      </c>
      <c r="X130" s="43">
        <f>ዕቁብ!Y133/Sheet4!$C130</f>
        <v>1</v>
      </c>
      <c r="Y130" s="43">
        <f>ዕቁብ!Z133/Sheet4!$C130</f>
        <v>1</v>
      </c>
      <c r="Z130" s="43">
        <f>ዕቁብ!AA133/Sheet4!$C130</f>
        <v>1</v>
      </c>
      <c r="AA130" s="43">
        <f>ዕቁብ!AB133/Sheet4!$C130</f>
        <v>0</v>
      </c>
      <c r="AB130" s="43">
        <f>ዕቁብ!AC133/Sheet4!$C130</f>
        <v>2</v>
      </c>
      <c r="AC130" s="43">
        <f>ዕቁብ!AD133/Sheet4!$C130</f>
        <v>1</v>
      </c>
      <c r="AD130" s="43">
        <f>ዕቁብ!AE133/Sheet4!$C130</f>
        <v>1</v>
      </c>
      <c r="AE130" s="43">
        <f>ዕቁብ!AF133/Sheet4!$C130</f>
        <v>0</v>
      </c>
      <c r="AF130" s="43">
        <f>ዕቁብ!AG133/Sheet4!$C130</f>
        <v>2</v>
      </c>
      <c r="AG130" s="43">
        <f>ዕቁብ!AH133/Sheet4!$C130</f>
        <v>1</v>
      </c>
      <c r="AH130" s="43">
        <f>ዕቁብ!AI133/Sheet4!$C130</f>
        <v>1</v>
      </c>
      <c r="AI130" s="43">
        <f>ዕቁብ!AJ133/Sheet4!$C130</f>
        <v>1</v>
      </c>
      <c r="AJ130" s="43">
        <f>ዕቁብ!AK133/Sheet4!$C130</f>
        <v>1</v>
      </c>
      <c r="AK130" s="43">
        <f>ዕቁብ!AL133/Sheet4!$C130</f>
        <v>1</v>
      </c>
      <c r="AL130" s="43">
        <f>ዕቁብ!AM133/Sheet4!$C130</f>
        <v>1</v>
      </c>
      <c r="AM130" s="43">
        <f>ዕቁብ!AN133/Sheet4!$C130</f>
        <v>1</v>
      </c>
      <c r="AN130" s="43">
        <f>ዕቁብ!AO133/Sheet4!$C130</f>
        <v>1</v>
      </c>
      <c r="AO130" s="43">
        <f>ዕቁብ!AP133/Sheet4!$C130</f>
        <v>1</v>
      </c>
      <c r="AP130" s="43">
        <f>ዕቁብ!AQ133/Sheet4!$C130</f>
        <v>1</v>
      </c>
      <c r="AQ130" s="43">
        <f>ዕቁብ!AR133/Sheet4!$C130</f>
        <v>1</v>
      </c>
      <c r="AR130" s="43">
        <f>ዕቁብ!AS133/Sheet4!$C130</f>
        <v>1</v>
      </c>
      <c r="AS130" s="43">
        <f>ዕቁብ!AT133/Sheet4!$C130</f>
        <v>1</v>
      </c>
      <c r="AT130" s="43">
        <f>ዕቁብ!AU133/Sheet4!$C130</f>
        <v>1</v>
      </c>
      <c r="AU130" s="43">
        <f>ዕቁብ!AV133/Sheet4!$C130</f>
        <v>1</v>
      </c>
      <c r="AV130" s="43">
        <f>ዕቁብ!AW133/Sheet4!$C130</f>
        <v>1</v>
      </c>
      <c r="AW130" s="43">
        <f>ዕቁብ!AX133/Sheet4!$C130</f>
        <v>1</v>
      </c>
      <c r="AX130" s="43">
        <f>ዕቁብ!AY133/Sheet4!$C130</f>
        <v>1</v>
      </c>
      <c r="AY130" s="43">
        <f>ዕቁብ!AZ133/Sheet4!$C130</f>
        <v>0</v>
      </c>
      <c r="AZ130" s="43">
        <f>ዕቁብ!BA133/Sheet4!$C130</f>
        <v>2</v>
      </c>
      <c r="BA130" s="43">
        <f>ዕቁብ!BB133/Sheet4!$C130</f>
        <v>0</v>
      </c>
      <c r="BB130" s="43">
        <f>ዕቁብ!BC133/Sheet4!$C130</f>
        <v>2</v>
      </c>
      <c r="BC130" s="43">
        <f>ዕቁብ!BD133/Sheet4!$C130</f>
        <v>1</v>
      </c>
      <c r="BD130" s="43">
        <f>ዕቁብ!BE133/Sheet4!$C130</f>
        <v>1</v>
      </c>
      <c r="BE130" s="43">
        <f>ዕቁብ!BF133/Sheet4!$C130</f>
        <v>0</v>
      </c>
      <c r="BF130" s="43">
        <f>ዕቁብ!BG133/Sheet4!$C130</f>
        <v>2</v>
      </c>
      <c r="BG130" s="43">
        <f>ዕቁብ!BH133/Sheet4!$C130</f>
        <v>0</v>
      </c>
      <c r="BH130" s="43">
        <f>ዕቁብ!BI133/Sheet4!$C130</f>
        <v>2</v>
      </c>
      <c r="BI130" s="43">
        <f>ዕቁብ!BJ133/Sheet4!$C130</f>
        <v>0</v>
      </c>
      <c r="BJ130" s="43">
        <f>ዕቁብ!BK133/Sheet4!$C130</f>
        <v>2</v>
      </c>
      <c r="BK130" s="43">
        <f>ዕቁብ!BL133/Sheet4!$C130</f>
        <v>0</v>
      </c>
      <c r="BL130" s="43">
        <f>ዕቁብ!BM133/Sheet4!$C130</f>
        <v>0</v>
      </c>
      <c r="BM130" s="43">
        <f>ዕቁብ!BN133/Sheet4!$C130</f>
        <v>2</v>
      </c>
      <c r="BN130" s="43">
        <f>ዕቁብ!BO133/Sheet4!$C130</f>
        <v>1</v>
      </c>
      <c r="BO130" s="43">
        <f>ዕቁብ!BP133/Sheet4!$C130</f>
        <v>2</v>
      </c>
      <c r="BP130" s="43">
        <f>ዕቁብ!BQ133/Sheet4!$C130</f>
        <v>0</v>
      </c>
      <c r="BQ130" s="43">
        <f>ዕቁብ!BR133/Sheet4!$C130</f>
        <v>0</v>
      </c>
      <c r="BR130" s="43">
        <f>ዕቁብ!BS133/Sheet4!$C130</f>
        <v>2</v>
      </c>
      <c r="BS130" s="43">
        <f>ዕቁብ!BT133/Sheet4!$C130</f>
        <v>0</v>
      </c>
      <c r="BT130" s="43">
        <f>ዕቁብ!BU133/Sheet4!$C130</f>
        <v>0</v>
      </c>
      <c r="BU130" s="43">
        <f>ዕቁብ!BV133/Sheet4!$C130</f>
        <v>2</v>
      </c>
      <c r="BV130" s="43">
        <f>ዕቁብ!BW133/Sheet4!$C130</f>
        <v>0</v>
      </c>
      <c r="BW130" s="43">
        <f>ዕቁብ!BX133/Sheet4!$C130</f>
        <v>2</v>
      </c>
      <c r="BX130" s="43">
        <f>ዕቁብ!BY133/Sheet4!$C130</f>
        <v>0</v>
      </c>
      <c r="BY130" s="43">
        <f>ዕቁብ!BZ133/Sheet4!$C130</f>
        <v>2</v>
      </c>
      <c r="BZ130" s="43">
        <f>ዕቁብ!CA133/Sheet4!$C130</f>
        <v>0</v>
      </c>
      <c r="CA130" s="43">
        <f>ዕቁብ!CB133/Sheet4!$C130</f>
        <v>0</v>
      </c>
      <c r="CB130" s="43">
        <f>ዕቁብ!CC133/Sheet4!$C130</f>
        <v>2</v>
      </c>
      <c r="CC130" s="43">
        <f>ዕቁብ!CD133/Sheet4!$C130</f>
        <v>0</v>
      </c>
      <c r="CD130" s="43">
        <f>ዕቁብ!CE133/Sheet4!$C130</f>
        <v>2</v>
      </c>
      <c r="CE130" s="43">
        <f>ዕቁብ!CF133/Sheet4!$C130</f>
        <v>0</v>
      </c>
      <c r="CF130" s="43">
        <f>ዕቁብ!CG133/Sheet4!$C130</f>
        <v>2</v>
      </c>
      <c r="CG130" s="43">
        <f>ዕቁብ!CH133/Sheet4!$C130</f>
        <v>0</v>
      </c>
      <c r="CH130" s="43">
        <f>ዕቁብ!CI133/Sheet4!$C130</f>
        <v>2</v>
      </c>
      <c r="CI130" s="43">
        <f>ዕቁብ!CJ133/Sheet4!$C130</f>
        <v>1</v>
      </c>
      <c r="CJ130" s="43">
        <f>ዕቁብ!CK133/Sheet4!$C130</f>
        <v>0</v>
      </c>
      <c r="CK130" s="43">
        <f>ዕቁብ!CL133/Sheet4!$C130</f>
        <v>2</v>
      </c>
      <c r="CL130" s="43">
        <f>ዕቁብ!CM133/Sheet4!$C130</f>
        <v>0</v>
      </c>
      <c r="CM130" s="43">
        <f>ዕቁብ!CN133/Sheet4!$C130</f>
        <v>2</v>
      </c>
      <c r="CN130" s="43">
        <f>ዕቁብ!CO133/Sheet4!$C130</f>
        <v>0</v>
      </c>
      <c r="CO130" s="43">
        <f>ዕቁብ!CP133/Sheet4!$C130</f>
        <v>2</v>
      </c>
      <c r="CP130" s="43">
        <f>ዕቁብ!CQ133/Sheet4!$C130</f>
        <v>0</v>
      </c>
      <c r="CQ130" s="43">
        <f>ዕቁብ!CR133/Sheet4!$C130</f>
        <v>2</v>
      </c>
      <c r="CR130" s="43">
        <f>ዕቁብ!CS133/Sheet4!$C130</f>
        <v>0</v>
      </c>
      <c r="CS130" s="43">
        <f>ዕቁብ!CT133/Sheet4!$C130</f>
        <v>2</v>
      </c>
      <c r="CT130" s="43">
        <f>ዕቁብ!CU133/Sheet4!$C130</f>
        <v>0</v>
      </c>
      <c r="CU130" s="43">
        <f>ዕቁብ!CV133/Sheet4!$C130</f>
        <v>3</v>
      </c>
      <c r="CV130" s="43">
        <f>ዕቁብ!CW133/Sheet4!$C130</f>
        <v>0</v>
      </c>
      <c r="CW130" s="43">
        <f>ዕቁብ!CX133/Sheet4!$C130</f>
        <v>0</v>
      </c>
      <c r="CX130" s="43">
        <f>ዕቁብ!CY133/Sheet4!$C130</f>
        <v>2</v>
      </c>
      <c r="CY130" s="43">
        <f>ዕቁብ!CZ133/Sheet4!$C130</f>
        <v>0</v>
      </c>
      <c r="CZ130" s="43">
        <f>ዕቁብ!DA133/Sheet4!$C130</f>
        <v>2</v>
      </c>
      <c r="DA130" s="43">
        <f>ዕቁብ!DB133/Sheet4!$C130</f>
        <v>0</v>
      </c>
      <c r="DB130" s="43">
        <f>ዕቁብ!DC133/Sheet4!$C130</f>
        <v>0</v>
      </c>
      <c r="DC130" s="43">
        <f>ዕቁብ!DD133/Sheet4!$C130</f>
        <v>2</v>
      </c>
      <c r="DD130" s="43">
        <f>ዕቁብ!DE133/Sheet4!$C130</f>
        <v>0</v>
      </c>
      <c r="DE130" s="43">
        <f>ዕቁብ!DF133/Sheet4!$C130</f>
        <v>0</v>
      </c>
      <c r="DF130" s="43">
        <f>ዕቁብ!DG133/Sheet4!$C130</f>
        <v>2</v>
      </c>
      <c r="DG130" s="43">
        <f>ዕቁብ!DH133/Sheet4!$C130</f>
        <v>0</v>
      </c>
      <c r="DH130" s="43">
        <f>ዕቁብ!DI133/Sheet4!$C130</f>
        <v>0</v>
      </c>
      <c r="DI130" s="43">
        <f>ዕቁብ!DJ133/Sheet4!$C130</f>
        <v>0</v>
      </c>
      <c r="DJ130" s="43">
        <f>ዕቁብ!DK133/Sheet4!$C130</f>
        <v>0</v>
      </c>
      <c r="DK130" s="43">
        <f>ዕቁብ!DL133/Sheet4!$C130</f>
        <v>0</v>
      </c>
      <c r="DL130" s="43">
        <f>ዕቁብ!DM133/Sheet4!$C130</f>
        <v>0</v>
      </c>
      <c r="DM130" s="43">
        <f>ዕቁብ!DN133/Sheet4!$C130</f>
        <v>0</v>
      </c>
      <c r="DN130" s="43">
        <f>ዕቁብ!DO133/Sheet4!$C130</f>
        <v>0</v>
      </c>
      <c r="DO130" s="43">
        <f>ዕቁብ!DP133/Sheet4!$C130</f>
        <v>0</v>
      </c>
      <c r="DP130" s="43">
        <f>ዕቁብ!DQ133/Sheet4!$C130</f>
        <v>0</v>
      </c>
      <c r="DQ130" s="43">
        <f>ዕቁብ!DR133/Sheet4!$C130</f>
        <v>0</v>
      </c>
    </row>
    <row r="131" spans="1:121" ht="15.75" customHeight="1" x14ac:dyDescent="0.3">
      <c r="A131" s="40">
        <f>ዕቁብ!A134</f>
        <v>111</v>
      </c>
      <c r="B131" s="40" t="str">
        <f>ዕቁብ!B134</f>
        <v>ሰለሞን ሰጋሮ</v>
      </c>
      <c r="C131" s="30">
        <f>ዕቁብ!C134</f>
        <v>10500</v>
      </c>
      <c r="D131" s="43">
        <f>ዕቁብ!E134/Sheet4!$C131</f>
        <v>1</v>
      </c>
      <c r="E131" s="43">
        <f>ዕቁብ!F134/Sheet4!$C131</f>
        <v>1</v>
      </c>
      <c r="F131" s="43">
        <f>ዕቁብ!G134/Sheet4!$C131</f>
        <v>1</v>
      </c>
      <c r="G131" s="43">
        <f>ዕቁብ!H134/Sheet4!$C131</f>
        <v>1</v>
      </c>
      <c r="H131" s="43">
        <f>ዕቁብ!I134/Sheet4!$C131</f>
        <v>1</v>
      </c>
      <c r="I131" s="43">
        <f>ዕቁብ!J134/Sheet4!$C131</f>
        <v>1</v>
      </c>
      <c r="J131" s="43">
        <f>ዕቁብ!K134/Sheet4!$C131</f>
        <v>1</v>
      </c>
      <c r="K131" s="43">
        <f>ዕቁብ!L134/Sheet4!$C131</f>
        <v>1</v>
      </c>
      <c r="L131" s="43">
        <f>ዕቁብ!M134/Sheet4!$C131</f>
        <v>1</v>
      </c>
      <c r="M131" s="43">
        <f>ዕቁብ!N134/Sheet4!$C131</f>
        <v>1</v>
      </c>
      <c r="N131" s="43">
        <f>ዕቁብ!O134/Sheet4!$C131</f>
        <v>1</v>
      </c>
      <c r="O131" s="43">
        <f>ዕቁብ!P134/Sheet4!$C131</f>
        <v>1</v>
      </c>
      <c r="P131" s="43">
        <f>ዕቁብ!Q134/Sheet4!$C131</f>
        <v>1</v>
      </c>
      <c r="Q131" s="43">
        <f>ዕቁብ!R134/Sheet4!$C131</f>
        <v>1</v>
      </c>
      <c r="R131" s="43">
        <f>ዕቁብ!S134/Sheet4!$C131</f>
        <v>1</v>
      </c>
      <c r="S131" s="43">
        <f>ዕቁብ!T134/Sheet4!$C131</f>
        <v>1</v>
      </c>
      <c r="T131" s="43">
        <f>ዕቁብ!U134/Sheet4!$C131</f>
        <v>1</v>
      </c>
      <c r="U131" s="43">
        <f>ዕቁብ!V134/Sheet4!$C131</f>
        <v>1</v>
      </c>
      <c r="V131" s="43">
        <f>ዕቁብ!W134/Sheet4!$C131</f>
        <v>1</v>
      </c>
      <c r="W131" s="43">
        <f>ዕቁብ!X134/Sheet4!$C131</f>
        <v>1</v>
      </c>
      <c r="X131" s="43">
        <f>ዕቁብ!Y134/Sheet4!$C131</f>
        <v>1</v>
      </c>
      <c r="Y131" s="43">
        <f>ዕቁብ!Z134/Sheet4!$C131</f>
        <v>1</v>
      </c>
      <c r="Z131" s="43">
        <f>ዕቁብ!AA134/Sheet4!$C131</f>
        <v>1</v>
      </c>
      <c r="AA131" s="43">
        <f>ዕቁብ!AB134/Sheet4!$C131</f>
        <v>0</v>
      </c>
      <c r="AB131" s="43">
        <f>ዕቁብ!AC134/Sheet4!$C131</f>
        <v>2</v>
      </c>
      <c r="AC131" s="43">
        <f>ዕቁብ!AD134/Sheet4!$C131</f>
        <v>1</v>
      </c>
      <c r="AD131" s="43">
        <f>ዕቁብ!AE134/Sheet4!$C131</f>
        <v>1</v>
      </c>
      <c r="AE131" s="43">
        <f>ዕቁብ!AF134/Sheet4!$C131</f>
        <v>1</v>
      </c>
      <c r="AF131" s="43">
        <f>ዕቁብ!AG134/Sheet4!$C131</f>
        <v>1</v>
      </c>
      <c r="AG131" s="43">
        <f>ዕቁብ!AH134/Sheet4!$C131</f>
        <v>1</v>
      </c>
      <c r="AH131" s="43">
        <f>ዕቁብ!AI134/Sheet4!$C131</f>
        <v>1</v>
      </c>
      <c r="AI131" s="43">
        <f>ዕቁብ!AJ134/Sheet4!$C131</f>
        <v>1</v>
      </c>
      <c r="AJ131" s="43">
        <f>ዕቁብ!AK134/Sheet4!$C131</f>
        <v>1</v>
      </c>
      <c r="AK131" s="43">
        <f>ዕቁብ!AL134/Sheet4!$C131</f>
        <v>1</v>
      </c>
      <c r="AL131" s="43">
        <f>ዕቁብ!AM134/Sheet4!$C131</f>
        <v>1</v>
      </c>
      <c r="AM131" s="43">
        <f>ዕቁብ!AN134/Sheet4!$C131</f>
        <v>1</v>
      </c>
      <c r="AN131" s="43">
        <f>ዕቁብ!AO134/Sheet4!$C131</f>
        <v>1</v>
      </c>
      <c r="AO131" s="43">
        <f>ዕቁብ!AP134/Sheet4!$C131</f>
        <v>1</v>
      </c>
      <c r="AP131" s="43">
        <f>ዕቁብ!AQ134/Sheet4!$C131</f>
        <v>1</v>
      </c>
      <c r="AQ131" s="43">
        <f>ዕቁብ!AR134/Sheet4!$C131</f>
        <v>1</v>
      </c>
      <c r="AR131" s="43">
        <f>ዕቁብ!AS134/Sheet4!$C131</f>
        <v>1</v>
      </c>
      <c r="AS131" s="43">
        <f>ዕቁብ!AT134/Sheet4!$C131</f>
        <v>1</v>
      </c>
      <c r="AT131" s="43">
        <f>ዕቁብ!AU134/Sheet4!$C131</f>
        <v>0</v>
      </c>
      <c r="AU131" s="43">
        <f>ዕቁብ!AV134/Sheet4!$C131</f>
        <v>1</v>
      </c>
      <c r="AV131" s="43">
        <f>ዕቁብ!AW134/Sheet4!$C131</f>
        <v>1</v>
      </c>
      <c r="AW131" s="43">
        <f>ዕቁብ!AX134/Sheet4!$C131</f>
        <v>1</v>
      </c>
      <c r="AX131" s="43">
        <f>ዕቁብ!AY134/Sheet4!$C131</f>
        <v>1</v>
      </c>
      <c r="AY131" s="43">
        <f>ዕቁብ!AZ134/Sheet4!$C131</f>
        <v>1</v>
      </c>
      <c r="AZ131" s="43">
        <f>ዕቁብ!BA134/Sheet4!$C131</f>
        <v>0</v>
      </c>
      <c r="BA131" s="43">
        <f>ዕቁብ!BB134/Sheet4!$C131</f>
        <v>2</v>
      </c>
      <c r="BB131" s="43">
        <f>ዕቁብ!BC134/Sheet4!$C131</f>
        <v>0</v>
      </c>
      <c r="BC131" s="43">
        <f>ዕቁብ!BD134/Sheet4!$C131</f>
        <v>2</v>
      </c>
      <c r="BD131" s="43">
        <f>ዕቁብ!BE134/Sheet4!$C131</f>
        <v>1</v>
      </c>
      <c r="BE131" s="43">
        <f>ዕቁብ!BF134/Sheet4!$C131</f>
        <v>1</v>
      </c>
      <c r="BF131" s="43">
        <f>ዕቁብ!BG134/Sheet4!$C131</f>
        <v>1</v>
      </c>
      <c r="BG131" s="43">
        <f>ዕቁብ!BH134/Sheet4!$C131</f>
        <v>1</v>
      </c>
      <c r="BH131" s="43">
        <f>ዕቁብ!BI134/Sheet4!$C131</f>
        <v>1</v>
      </c>
      <c r="BI131" s="43">
        <f>ዕቁብ!BJ134/Sheet4!$C131</f>
        <v>1</v>
      </c>
      <c r="BJ131" s="43">
        <f>ዕቁብ!BK134/Sheet4!$C131</f>
        <v>1</v>
      </c>
      <c r="BK131" s="43">
        <f>ዕቁብ!BL134/Sheet4!$C131</f>
        <v>1</v>
      </c>
      <c r="BL131" s="43">
        <f>ዕቁብ!BM134/Sheet4!$C131</f>
        <v>0</v>
      </c>
      <c r="BM131" s="43">
        <f>ዕቁብ!BN134/Sheet4!$C131</f>
        <v>0</v>
      </c>
      <c r="BN131" s="43">
        <f>ዕቁብ!BO134/Sheet4!$C131</f>
        <v>3</v>
      </c>
      <c r="BO131" s="43">
        <f>ዕቁብ!BP134/Sheet4!$C131</f>
        <v>1</v>
      </c>
      <c r="BP131" s="43">
        <f>ዕቁብ!BQ134/Sheet4!$C131</f>
        <v>2</v>
      </c>
      <c r="BQ131" s="43">
        <f>ዕቁብ!BR134/Sheet4!$C131</f>
        <v>1</v>
      </c>
      <c r="BR131" s="43">
        <f>ዕቁብ!BS134/Sheet4!$C131</f>
        <v>1</v>
      </c>
      <c r="BS131" s="43">
        <f>ዕቁብ!BT134/Sheet4!$C131</f>
        <v>0</v>
      </c>
      <c r="BT131" s="43">
        <f>ዕቁብ!BU134/Sheet4!$C131</f>
        <v>0</v>
      </c>
      <c r="BU131" s="43">
        <f>ዕቁብ!BV134/Sheet4!$C131</f>
        <v>2</v>
      </c>
      <c r="BV131" s="43">
        <f>ዕቁብ!BW134/Sheet4!$C131</f>
        <v>1</v>
      </c>
      <c r="BW131" s="43">
        <f>ዕቁብ!BX134/Sheet4!$C131</f>
        <v>1</v>
      </c>
      <c r="BX131" s="43">
        <f>ዕቁብ!BY134/Sheet4!$C131</f>
        <v>1</v>
      </c>
      <c r="BY131" s="43">
        <f>ዕቁብ!BZ134/Sheet4!$C131</f>
        <v>1</v>
      </c>
      <c r="BZ131" s="43">
        <f>ዕቁብ!CA134/Sheet4!$C131</f>
        <v>1</v>
      </c>
      <c r="CA131" s="43">
        <f>ዕቁብ!CB134/Sheet4!$C131</f>
        <v>0</v>
      </c>
      <c r="CB131" s="43">
        <f>ዕቁብ!CC134/Sheet4!$C131</f>
        <v>1</v>
      </c>
      <c r="CC131" s="43">
        <f>ዕቁብ!CD134/Sheet4!$C131</f>
        <v>1</v>
      </c>
      <c r="CD131" s="43">
        <f>ዕቁብ!CE134/Sheet4!$C131</f>
        <v>0</v>
      </c>
      <c r="CE131" s="43">
        <f>ዕቁብ!CF134/Sheet4!$C131</f>
        <v>2</v>
      </c>
      <c r="CF131" s="43">
        <f>ዕቁብ!CG134/Sheet4!$C131</f>
        <v>0</v>
      </c>
      <c r="CG131" s="43">
        <f>ዕቁብ!CH134/Sheet4!$C131</f>
        <v>2</v>
      </c>
      <c r="CH131" s="43">
        <f>ዕቁብ!CI134/Sheet4!$C131</f>
        <v>0</v>
      </c>
      <c r="CI131" s="43">
        <f>ዕቁብ!CJ134/Sheet4!$C131</f>
        <v>2</v>
      </c>
      <c r="CJ131" s="43">
        <f>ዕቁብ!CK134/Sheet4!$C131</f>
        <v>0</v>
      </c>
      <c r="CK131" s="43">
        <f>ዕቁብ!CL134/Sheet4!$C131</f>
        <v>2</v>
      </c>
      <c r="CL131" s="43">
        <f>ዕቁብ!CM134/Sheet4!$C131</f>
        <v>0</v>
      </c>
      <c r="CM131" s="43">
        <f>ዕቁብ!CN134/Sheet4!$C131</f>
        <v>2</v>
      </c>
      <c r="CN131" s="43">
        <f>ዕቁብ!CO134/Sheet4!$C131</f>
        <v>0</v>
      </c>
      <c r="CO131" s="43">
        <f>ዕቁብ!CP134/Sheet4!$C131</f>
        <v>2</v>
      </c>
      <c r="CP131" s="43">
        <f>ዕቁብ!CQ134/Sheet4!$C131</f>
        <v>0</v>
      </c>
      <c r="CQ131" s="43">
        <f>ዕቁብ!CR134/Sheet4!$C131</f>
        <v>2</v>
      </c>
      <c r="CR131" s="43">
        <f>ዕቁብ!CS134/Sheet4!$C131</f>
        <v>0</v>
      </c>
      <c r="CS131" s="43">
        <f>ዕቁብ!CT134/Sheet4!$C131</f>
        <v>1</v>
      </c>
      <c r="CT131" s="43">
        <f>ዕቁብ!CU134/Sheet4!$C131</f>
        <v>0</v>
      </c>
      <c r="CU131" s="43">
        <f>ዕቁብ!CV134/Sheet4!$C131</f>
        <v>1</v>
      </c>
      <c r="CV131" s="43">
        <f>ዕቁብ!CW134/Sheet4!$C131</f>
        <v>1</v>
      </c>
      <c r="CW131" s="43">
        <f>ዕቁብ!CX134/Sheet4!$C131</f>
        <v>1</v>
      </c>
      <c r="CX131" s="43">
        <f>ዕቁብ!CY134/Sheet4!$C131</f>
        <v>1</v>
      </c>
      <c r="CY131" s="43">
        <f>ዕቁብ!CZ134/Sheet4!$C131</f>
        <v>0</v>
      </c>
      <c r="CZ131" s="43">
        <f>ዕቁብ!DA134/Sheet4!$C131</f>
        <v>2</v>
      </c>
      <c r="DA131" s="43">
        <f>ዕቁብ!DB134/Sheet4!$C131</f>
        <v>0</v>
      </c>
      <c r="DB131" s="43">
        <f>ዕቁብ!DC134/Sheet4!$C131</f>
        <v>0</v>
      </c>
      <c r="DC131" s="43">
        <f>ዕቁብ!DD134/Sheet4!$C131</f>
        <v>2</v>
      </c>
      <c r="DD131" s="43">
        <f>ዕቁብ!DE134/Sheet4!$C131</f>
        <v>0</v>
      </c>
      <c r="DE131" s="43">
        <f>ዕቁብ!DF134/Sheet4!$C131</f>
        <v>2</v>
      </c>
      <c r="DF131" s="43">
        <f>ዕቁብ!DG134/Sheet4!$C131</f>
        <v>0</v>
      </c>
      <c r="DG131" s="43">
        <f>ዕቁብ!DH134/Sheet4!$C131</f>
        <v>0</v>
      </c>
      <c r="DH131" s="43">
        <f>ዕቁብ!DI134/Sheet4!$C131</f>
        <v>0</v>
      </c>
      <c r="DI131" s="43">
        <f>ዕቁብ!DJ134/Sheet4!$C131</f>
        <v>0</v>
      </c>
      <c r="DJ131" s="43">
        <f>ዕቁብ!DK134/Sheet4!$C131</f>
        <v>0</v>
      </c>
      <c r="DK131" s="43">
        <f>ዕቁብ!DL134/Sheet4!$C131</f>
        <v>0</v>
      </c>
      <c r="DL131" s="43">
        <f>ዕቁብ!DM134/Sheet4!$C131</f>
        <v>0</v>
      </c>
      <c r="DM131" s="43">
        <f>ዕቁብ!DN134/Sheet4!$C131</f>
        <v>0</v>
      </c>
      <c r="DN131" s="43">
        <f>ዕቁብ!DO134/Sheet4!$C131</f>
        <v>0</v>
      </c>
      <c r="DO131" s="43">
        <f>ዕቁብ!DP134/Sheet4!$C131</f>
        <v>0</v>
      </c>
      <c r="DP131" s="43">
        <f>ዕቁብ!DQ134/Sheet4!$C131</f>
        <v>0</v>
      </c>
      <c r="DQ131" s="43">
        <f>ዕቁብ!DR134/Sheet4!$C131</f>
        <v>0</v>
      </c>
    </row>
    <row r="132" spans="1:121" ht="15.75" customHeight="1" x14ac:dyDescent="0.3">
      <c r="A132" s="40">
        <f>ዕቁብ!A135</f>
        <v>112</v>
      </c>
      <c r="B132" s="40" t="str">
        <f>ዕቁብ!B135</f>
        <v>ማተጎ አመኖ</v>
      </c>
      <c r="C132" s="30">
        <f>ዕቁብ!C135</f>
        <v>10500</v>
      </c>
      <c r="D132" s="43">
        <f>ዕቁብ!E135/Sheet4!$C132</f>
        <v>1</v>
      </c>
      <c r="E132" s="43">
        <f>ዕቁብ!F135/Sheet4!$C132</f>
        <v>1</v>
      </c>
      <c r="F132" s="43">
        <f>ዕቁብ!G135/Sheet4!$C132</f>
        <v>1</v>
      </c>
      <c r="G132" s="43">
        <f>ዕቁብ!H135/Sheet4!$C132</f>
        <v>1</v>
      </c>
      <c r="H132" s="43">
        <f>ዕቁብ!I135/Sheet4!$C132</f>
        <v>1</v>
      </c>
      <c r="I132" s="43">
        <f>ዕቁብ!J135/Sheet4!$C132</f>
        <v>1</v>
      </c>
      <c r="J132" s="43">
        <f>ዕቁብ!K135/Sheet4!$C132</f>
        <v>1</v>
      </c>
      <c r="K132" s="43">
        <f>ዕቁብ!L135/Sheet4!$C132</f>
        <v>1</v>
      </c>
      <c r="L132" s="43">
        <f>ዕቁብ!M135/Sheet4!$C132</f>
        <v>1</v>
      </c>
      <c r="M132" s="43">
        <f>ዕቁብ!N135/Sheet4!$C132</f>
        <v>1</v>
      </c>
      <c r="N132" s="43">
        <f>ዕቁብ!O135/Sheet4!$C132</f>
        <v>1</v>
      </c>
      <c r="O132" s="43">
        <f>ዕቁብ!P135/Sheet4!$C132</f>
        <v>1</v>
      </c>
      <c r="P132" s="43">
        <f>ዕቁብ!Q135/Sheet4!$C132</f>
        <v>1</v>
      </c>
      <c r="Q132" s="43">
        <f>ዕቁብ!R135/Sheet4!$C132</f>
        <v>1</v>
      </c>
      <c r="R132" s="43">
        <f>ዕቁብ!S135/Sheet4!$C132</f>
        <v>1</v>
      </c>
      <c r="S132" s="43">
        <f>ዕቁብ!T135/Sheet4!$C132</f>
        <v>1</v>
      </c>
      <c r="T132" s="43">
        <f>ዕቁብ!U135/Sheet4!$C132</f>
        <v>1</v>
      </c>
      <c r="U132" s="43">
        <f>ዕቁብ!V135/Sheet4!$C132</f>
        <v>1</v>
      </c>
      <c r="V132" s="43">
        <f>ዕቁብ!W135/Sheet4!$C132</f>
        <v>1</v>
      </c>
      <c r="W132" s="43">
        <f>ዕቁብ!X135/Sheet4!$C132</f>
        <v>1</v>
      </c>
      <c r="X132" s="43">
        <f>ዕቁብ!Y135/Sheet4!$C132</f>
        <v>1</v>
      </c>
      <c r="Y132" s="43">
        <f>ዕቁብ!Z135/Sheet4!$C132</f>
        <v>1</v>
      </c>
      <c r="Z132" s="43">
        <f>ዕቁብ!AA135/Sheet4!$C132</f>
        <v>1</v>
      </c>
      <c r="AA132" s="43">
        <f>ዕቁብ!AB135/Sheet4!$C132</f>
        <v>0</v>
      </c>
      <c r="AB132" s="43">
        <f>ዕቁብ!AC135/Sheet4!$C132</f>
        <v>2</v>
      </c>
      <c r="AC132" s="43">
        <f>ዕቁብ!AD135/Sheet4!$C132</f>
        <v>1</v>
      </c>
      <c r="AD132" s="43">
        <f>ዕቁብ!AE135/Sheet4!$C132</f>
        <v>1</v>
      </c>
      <c r="AE132" s="43">
        <f>ዕቁብ!AF135/Sheet4!$C132</f>
        <v>0</v>
      </c>
      <c r="AF132" s="43">
        <f>ዕቁብ!AG135/Sheet4!$C132</f>
        <v>2</v>
      </c>
      <c r="AG132" s="43">
        <f>ዕቁብ!AH135/Sheet4!$C132</f>
        <v>0</v>
      </c>
      <c r="AH132" s="43">
        <f>ዕቁብ!AI135/Sheet4!$C132</f>
        <v>2</v>
      </c>
      <c r="AI132" s="43">
        <f>ዕቁብ!AJ135/Sheet4!$C132</f>
        <v>0</v>
      </c>
      <c r="AJ132" s="43">
        <f>ዕቁብ!AK135/Sheet4!$C132</f>
        <v>2</v>
      </c>
      <c r="AK132" s="43">
        <f>ዕቁብ!AL135/Sheet4!$C132</f>
        <v>1</v>
      </c>
      <c r="AL132" s="43">
        <f>ዕቁብ!AM135/Sheet4!$C132</f>
        <v>1</v>
      </c>
      <c r="AM132" s="43">
        <f>ዕቁብ!AN135/Sheet4!$C132</f>
        <v>1</v>
      </c>
      <c r="AN132" s="43">
        <f>ዕቁብ!AO135/Sheet4!$C132</f>
        <v>1</v>
      </c>
      <c r="AO132" s="43">
        <f>ዕቁብ!AP135/Sheet4!$C132</f>
        <v>1</v>
      </c>
      <c r="AP132" s="43">
        <f>ዕቁብ!AQ135/Sheet4!$C132</f>
        <v>1</v>
      </c>
      <c r="AQ132" s="43">
        <f>ዕቁብ!AR135/Sheet4!$C132</f>
        <v>1</v>
      </c>
      <c r="AR132" s="43">
        <f>ዕቁብ!AS135/Sheet4!$C132</f>
        <v>1</v>
      </c>
      <c r="AS132" s="43">
        <f>ዕቁብ!AT135/Sheet4!$C132</f>
        <v>1</v>
      </c>
      <c r="AT132" s="43">
        <f>ዕቁብ!AU135/Sheet4!$C132</f>
        <v>1</v>
      </c>
      <c r="AU132" s="43">
        <f>ዕቁብ!AV135/Sheet4!$C132</f>
        <v>1</v>
      </c>
      <c r="AV132" s="43">
        <f>ዕቁብ!AW135/Sheet4!$C132</f>
        <v>1</v>
      </c>
      <c r="AW132" s="43">
        <f>ዕቁብ!AX135/Sheet4!$C132</f>
        <v>1</v>
      </c>
      <c r="AX132" s="43">
        <f>ዕቁብ!AY135/Sheet4!$C132</f>
        <v>1</v>
      </c>
      <c r="AY132" s="43">
        <f>ዕቁብ!AZ135/Sheet4!$C132</f>
        <v>0</v>
      </c>
      <c r="AZ132" s="43">
        <f>ዕቁብ!BA135/Sheet4!$C132</f>
        <v>2</v>
      </c>
      <c r="BA132" s="43">
        <f>ዕቁብ!BB135/Sheet4!$C132</f>
        <v>1</v>
      </c>
      <c r="BB132" s="43">
        <f>ዕቁብ!BC135/Sheet4!$C132</f>
        <v>1</v>
      </c>
      <c r="BC132" s="43">
        <f>ዕቁብ!BD135/Sheet4!$C132</f>
        <v>0</v>
      </c>
      <c r="BD132" s="43">
        <f>ዕቁብ!BE135/Sheet4!$C132</f>
        <v>2</v>
      </c>
      <c r="BE132" s="43">
        <f>ዕቁብ!BF135/Sheet4!$C132</f>
        <v>1</v>
      </c>
      <c r="BF132" s="43">
        <f>ዕቁብ!BG135/Sheet4!$C132</f>
        <v>1</v>
      </c>
      <c r="BG132" s="43">
        <f>ዕቁብ!BH135/Sheet4!$C132</f>
        <v>0</v>
      </c>
      <c r="BH132" s="43">
        <f>ዕቁብ!BI135/Sheet4!$C132</f>
        <v>2</v>
      </c>
      <c r="BI132" s="43">
        <f>ዕቁብ!BJ135/Sheet4!$C132</f>
        <v>1</v>
      </c>
      <c r="BJ132" s="43">
        <f>ዕቁብ!BK135/Sheet4!$C132</f>
        <v>1</v>
      </c>
      <c r="BK132" s="43">
        <f>ዕቁብ!BL135/Sheet4!$C132</f>
        <v>0</v>
      </c>
      <c r="BL132" s="43">
        <f>ዕቁብ!BM135/Sheet4!$C132</f>
        <v>2</v>
      </c>
      <c r="BM132" s="43">
        <f>ዕቁብ!BN135/Sheet4!$C132</f>
        <v>1</v>
      </c>
      <c r="BN132" s="43">
        <f>ዕቁብ!BO135/Sheet4!$C132</f>
        <v>1</v>
      </c>
      <c r="BO132" s="43">
        <f>ዕቁብ!BP135/Sheet4!$C132</f>
        <v>0</v>
      </c>
      <c r="BP132" s="43">
        <f>ዕቁብ!BQ135/Sheet4!$C132</f>
        <v>2</v>
      </c>
      <c r="BQ132" s="43">
        <f>ዕቁብ!BR135/Sheet4!$C132</f>
        <v>1</v>
      </c>
      <c r="BR132" s="43">
        <f>ዕቁብ!BS135/Sheet4!$C132</f>
        <v>1</v>
      </c>
      <c r="BS132" s="43">
        <f>ዕቁብ!BT135/Sheet4!$C132</f>
        <v>0</v>
      </c>
      <c r="BT132" s="43">
        <f>ዕቁብ!BU135/Sheet4!$C132</f>
        <v>1</v>
      </c>
      <c r="BU132" s="43">
        <f>ዕቁብ!BV135/Sheet4!$C132</f>
        <v>1</v>
      </c>
      <c r="BV132" s="43">
        <f>ዕቁብ!BW135/Sheet4!$C132</f>
        <v>2</v>
      </c>
      <c r="BW132" s="43">
        <f>ዕቁብ!BX135/Sheet4!$C132</f>
        <v>1</v>
      </c>
      <c r="BX132" s="43">
        <f>ዕቁብ!BY135/Sheet4!$C132</f>
        <v>1</v>
      </c>
      <c r="BY132" s="43">
        <f>ዕቁብ!BZ135/Sheet4!$C132</f>
        <v>1</v>
      </c>
      <c r="BZ132" s="43">
        <f>ዕቁብ!CA135/Sheet4!$C132</f>
        <v>1</v>
      </c>
      <c r="CA132" s="43">
        <f>ዕቁብ!CB135/Sheet4!$C132</f>
        <v>1</v>
      </c>
      <c r="CB132" s="43">
        <f>ዕቁብ!CC135/Sheet4!$C132</f>
        <v>1</v>
      </c>
      <c r="CC132" s="43">
        <f>ዕቁብ!CD135/Sheet4!$C132</f>
        <v>1</v>
      </c>
      <c r="CD132" s="43">
        <f>ዕቁብ!CE135/Sheet4!$C132</f>
        <v>0</v>
      </c>
      <c r="CE132" s="43">
        <f>ዕቁብ!CF135/Sheet4!$C132</f>
        <v>1</v>
      </c>
      <c r="CF132" s="43">
        <f>ዕቁብ!CG135/Sheet4!$C132</f>
        <v>1</v>
      </c>
      <c r="CG132" s="43">
        <f>ዕቁብ!CH135/Sheet4!$C132</f>
        <v>1</v>
      </c>
      <c r="CH132" s="43">
        <f>ዕቁብ!CI135/Sheet4!$C132</f>
        <v>1</v>
      </c>
      <c r="CI132" s="43">
        <f>ዕቁብ!CJ135/Sheet4!$C132</f>
        <v>1</v>
      </c>
      <c r="CJ132" s="43">
        <f>ዕቁብ!CK135/Sheet4!$C132</f>
        <v>1</v>
      </c>
      <c r="CK132" s="43">
        <f>ዕቁብ!CL135/Sheet4!$C132</f>
        <v>1</v>
      </c>
      <c r="CL132" s="43">
        <f>ዕቁብ!CM135/Sheet4!$C132</f>
        <v>1</v>
      </c>
      <c r="CM132" s="43">
        <f>ዕቁብ!CN135/Sheet4!$C132</f>
        <v>1</v>
      </c>
      <c r="CN132" s="43">
        <f>ዕቁብ!CO135/Sheet4!$C132</f>
        <v>1</v>
      </c>
      <c r="CO132" s="43">
        <f>ዕቁብ!CP135/Sheet4!$C132</f>
        <v>1</v>
      </c>
      <c r="CP132" s="43">
        <f>ዕቁብ!CQ135/Sheet4!$C132</f>
        <v>2</v>
      </c>
      <c r="CQ132" s="43">
        <f>ዕቁብ!CR135/Sheet4!$C132</f>
        <v>0</v>
      </c>
      <c r="CR132" s="43">
        <f>ዕቁብ!CS135/Sheet4!$C132</f>
        <v>1</v>
      </c>
      <c r="CS132" s="43">
        <f>ዕቁብ!CT135/Sheet4!$C132</f>
        <v>1</v>
      </c>
      <c r="CT132" s="43">
        <f>ዕቁብ!CU135/Sheet4!$C132</f>
        <v>1</v>
      </c>
      <c r="CU132" s="43">
        <f>ዕቁብ!CV135/Sheet4!$C132</f>
        <v>1</v>
      </c>
      <c r="CV132" s="43">
        <f>ዕቁብ!CW135/Sheet4!$C132</f>
        <v>1</v>
      </c>
      <c r="CW132" s="43">
        <f>ዕቁብ!CX135/Sheet4!$C132</f>
        <v>1</v>
      </c>
      <c r="CX132" s="43">
        <f>ዕቁብ!CY135/Sheet4!$C132</f>
        <v>1</v>
      </c>
      <c r="CY132" s="43">
        <f>ዕቁብ!CZ135/Sheet4!$C132</f>
        <v>0</v>
      </c>
      <c r="CZ132" s="43">
        <f>ዕቁብ!DA135/Sheet4!$C132</f>
        <v>1</v>
      </c>
      <c r="DA132" s="43">
        <f>ዕቁብ!DB135/Sheet4!$C132</f>
        <v>1</v>
      </c>
      <c r="DB132" s="43">
        <f>ዕቁብ!DC135/Sheet4!$C132</f>
        <v>1</v>
      </c>
      <c r="DC132" s="43">
        <f>ዕቁብ!DD135/Sheet4!$C132</f>
        <v>0</v>
      </c>
      <c r="DD132" s="43">
        <f>ዕቁብ!DE135/Sheet4!$C132</f>
        <v>2</v>
      </c>
      <c r="DE132" s="43">
        <f>ዕቁብ!DF135/Sheet4!$C132</f>
        <v>1</v>
      </c>
      <c r="DF132" s="43">
        <f>ዕቁብ!DG135/Sheet4!$C132</f>
        <v>1</v>
      </c>
      <c r="DG132" s="43">
        <f>ዕቁብ!DH135/Sheet4!$C132</f>
        <v>1</v>
      </c>
      <c r="DH132" s="43">
        <f>ዕቁብ!DI135/Sheet4!$C132</f>
        <v>0</v>
      </c>
      <c r="DI132" s="43">
        <f>ዕቁብ!DJ135/Sheet4!$C132</f>
        <v>0</v>
      </c>
      <c r="DJ132" s="43">
        <f>ዕቁብ!DK135/Sheet4!$C132</f>
        <v>0</v>
      </c>
      <c r="DK132" s="43">
        <f>ዕቁብ!DL135/Sheet4!$C132</f>
        <v>0</v>
      </c>
      <c r="DL132" s="43">
        <f>ዕቁብ!DM135/Sheet4!$C132</f>
        <v>0</v>
      </c>
      <c r="DM132" s="43">
        <f>ዕቁብ!DN135/Sheet4!$C132</f>
        <v>0</v>
      </c>
      <c r="DN132" s="43">
        <f>ዕቁብ!DO135/Sheet4!$C132</f>
        <v>0</v>
      </c>
      <c r="DO132" s="43">
        <f>ዕቁብ!DP135/Sheet4!$C132</f>
        <v>0</v>
      </c>
      <c r="DP132" s="43">
        <f>ዕቁብ!DQ135/Sheet4!$C132</f>
        <v>0</v>
      </c>
      <c r="DQ132" s="43">
        <f>ዕቁብ!DR135/Sheet4!$C132</f>
        <v>0</v>
      </c>
    </row>
    <row r="133" spans="1:121" ht="15.75" customHeight="1" x14ac:dyDescent="0.3">
      <c r="A133" s="40">
        <f>ዕቁብ!A136</f>
        <v>112</v>
      </c>
      <c r="B133" s="40" t="str">
        <f>ዕቁብ!B136</f>
        <v>አማኑኤል አየለ</v>
      </c>
      <c r="C133" s="30">
        <f>ዕቁብ!C136</f>
        <v>10500</v>
      </c>
      <c r="D133" s="43">
        <f>ዕቁብ!E136/Sheet4!$C133</f>
        <v>1</v>
      </c>
      <c r="E133" s="43">
        <f>ዕቁብ!F136/Sheet4!$C133</f>
        <v>1</v>
      </c>
      <c r="F133" s="43">
        <f>ዕቁብ!G136/Sheet4!$C133</f>
        <v>1</v>
      </c>
      <c r="G133" s="43">
        <f>ዕቁብ!H136/Sheet4!$C133</f>
        <v>1</v>
      </c>
      <c r="H133" s="43">
        <f>ዕቁብ!I136/Sheet4!$C133</f>
        <v>1</v>
      </c>
      <c r="I133" s="43">
        <f>ዕቁብ!J136/Sheet4!$C133</f>
        <v>1</v>
      </c>
      <c r="J133" s="43">
        <f>ዕቁብ!K136/Sheet4!$C133</f>
        <v>1</v>
      </c>
      <c r="K133" s="43">
        <f>ዕቁብ!L136/Sheet4!$C133</f>
        <v>1</v>
      </c>
      <c r="L133" s="43">
        <f>ዕቁብ!M136/Sheet4!$C133</f>
        <v>1</v>
      </c>
      <c r="M133" s="43">
        <f>ዕቁብ!N136/Sheet4!$C133</f>
        <v>1</v>
      </c>
      <c r="N133" s="43">
        <f>ዕቁብ!O136/Sheet4!$C133</f>
        <v>1</v>
      </c>
      <c r="O133" s="43">
        <f>ዕቁብ!P136/Sheet4!$C133</f>
        <v>1</v>
      </c>
      <c r="P133" s="43">
        <f>ዕቁብ!Q136/Sheet4!$C133</f>
        <v>1</v>
      </c>
      <c r="Q133" s="43">
        <f>ዕቁብ!R136/Sheet4!$C133</f>
        <v>1</v>
      </c>
      <c r="R133" s="43">
        <f>ዕቁብ!S136/Sheet4!$C133</f>
        <v>1</v>
      </c>
      <c r="S133" s="43">
        <f>ዕቁብ!T136/Sheet4!$C133</f>
        <v>1</v>
      </c>
      <c r="T133" s="43">
        <f>ዕቁብ!U136/Sheet4!$C133</f>
        <v>1</v>
      </c>
      <c r="U133" s="43">
        <f>ዕቁብ!V136/Sheet4!$C133</f>
        <v>1</v>
      </c>
      <c r="V133" s="43">
        <f>ዕቁብ!W136/Sheet4!$C133</f>
        <v>1</v>
      </c>
      <c r="W133" s="43">
        <f>ዕቁብ!X136/Sheet4!$C133</f>
        <v>1</v>
      </c>
      <c r="X133" s="43">
        <f>ዕቁብ!Y136/Sheet4!$C133</f>
        <v>1</v>
      </c>
      <c r="Y133" s="43">
        <f>ዕቁብ!Z136/Sheet4!$C133</f>
        <v>1</v>
      </c>
      <c r="Z133" s="43">
        <f>ዕቁብ!AA136/Sheet4!$C133</f>
        <v>1</v>
      </c>
      <c r="AA133" s="43">
        <f>ዕቁብ!AB136/Sheet4!$C133</f>
        <v>0</v>
      </c>
      <c r="AB133" s="43">
        <f>ዕቁብ!AC136/Sheet4!$C133</f>
        <v>2</v>
      </c>
      <c r="AC133" s="43">
        <f>ዕቁብ!AD136/Sheet4!$C133</f>
        <v>1</v>
      </c>
      <c r="AD133" s="43">
        <f>ዕቁብ!AE136/Sheet4!$C133</f>
        <v>1</v>
      </c>
      <c r="AE133" s="43">
        <f>ዕቁብ!AF136/Sheet4!$C133</f>
        <v>0</v>
      </c>
      <c r="AF133" s="43">
        <f>ዕቁብ!AG136/Sheet4!$C133</f>
        <v>2</v>
      </c>
      <c r="AG133" s="43">
        <f>ዕቁብ!AH136/Sheet4!$C133</f>
        <v>1</v>
      </c>
      <c r="AH133" s="43">
        <f>ዕቁብ!AI136/Sheet4!$C133</f>
        <v>1</v>
      </c>
      <c r="AI133" s="43">
        <f>ዕቁብ!AJ136/Sheet4!$C133</f>
        <v>0</v>
      </c>
      <c r="AJ133" s="43">
        <f>ዕቁብ!AK136/Sheet4!$C133</f>
        <v>2</v>
      </c>
      <c r="AK133" s="43">
        <f>ዕቁብ!AL136/Sheet4!$C133</f>
        <v>1</v>
      </c>
      <c r="AL133" s="43">
        <f>ዕቁብ!AM136/Sheet4!$C133</f>
        <v>1</v>
      </c>
      <c r="AM133" s="43">
        <f>ዕቁብ!AN136/Sheet4!$C133</f>
        <v>1</v>
      </c>
      <c r="AN133" s="43">
        <f>ዕቁብ!AO136/Sheet4!$C133</f>
        <v>1</v>
      </c>
      <c r="AO133" s="43">
        <f>ዕቁብ!AP136/Sheet4!$C133</f>
        <v>1</v>
      </c>
      <c r="AP133" s="43">
        <f>ዕቁብ!AQ136/Sheet4!$C133</f>
        <v>1</v>
      </c>
      <c r="AQ133" s="43">
        <f>ዕቁብ!AR136/Sheet4!$C133</f>
        <v>1</v>
      </c>
      <c r="AR133" s="43">
        <f>ዕቁብ!AS136/Sheet4!$C133</f>
        <v>1</v>
      </c>
      <c r="AS133" s="43">
        <f>ዕቁብ!AT136/Sheet4!$C133</f>
        <v>1</v>
      </c>
      <c r="AT133" s="43">
        <f>ዕቁብ!AU136/Sheet4!$C133</f>
        <v>1</v>
      </c>
      <c r="AU133" s="43">
        <f>ዕቁብ!AV136/Sheet4!$C133</f>
        <v>1</v>
      </c>
      <c r="AV133" s="43">
        <f>ዕቁብ!AW136/Sheet4!$C133</f>
        <v>1</v>
      </c>
      <c r="AW133" s="43">
        <f>ዕቁብ!AX136/Sheet4!$C133</f>
        <v>1</v>
      </c>
      <c r="AX133" s="43">
        <f>ዕቁብ!AY136/Sheet4!$C133</f>
        <v>1</v>
      </c>
      <c r="AY133" s="43">
        <f>ዕቁብ!AZ136/Sheet4!$C133</f>
        <v>0</v>
      </c>
      <c r="AZ133" s="43">
        <f>ዕቁብ!BA136/Sheet4!$C133</f>
        <v>2</v>
      </c>
      <c r="BA133" s="43">
        <f>ዕቁብ!BB136/Sheet4!$C133</f>
        <v>1</v>
      </c>
      <c r="BB133" s="43">
        <f>ዕቁብ!BC136/Sheet4!$C133</f>
        <v>1</v>
      </c>
      <c r="BC133" s="43">
        <f>ዕቁብ!BD136/Sheet4!$C133</f>
        <v>0</v>
      </c>
      <c r="BD133" s="43">
        <f>ዕቁብ!BE136/Sheet4!$C133</f>
        <v>2</v>
      </c>
      <c r="BE133" s="43">
        <f>ዕቁብ!BF136/Sheet4!$C133</f>
        <v>1</v>
      </c>
      <c r="BF133" s="43">
        <f>ዕቁብ!BG136/Sheet4!$C133</f>
        <v>1</v>
      </c>
      <c r="BG133" s="43">
        <f>ዕቁብ!BH136/Sheet4!$C133</f>
        <v>0</v>
      </c>
      <c r="BH133" s="43">
        <f>ዕቁብ!BI136/Sheet4!$C133</f>
        <v>2</v>
      </c>
      <c r="BI133" s="43">
        <f>ዕቁብ!BJ136/Sheet4!$C133</f>
        <v>1</v>
      </c>
      <c r="BJ133" s="43">
        <f>ዕቁብ!BK136/Sheet4!$C133</f>
        <v>1</v>
      </c>
      <c r="BK133" s="43">
        <f>ዕቁብ!BL136/Sheet4!$C133</f>
        <v>0</v>
      </c>
      <c r="BL133" s="43">
        <f>ዕቁብ!BM136/Sheet4!$C133</f>
        <v>2</v>
      </c>
      <c r="BM133" s="43">
        <f>ዕቁብ!BN136/Sheet4!$C133</f>
        <v>1</v>
      </c>
      <c r="BN133" s="43">
        <f>ዕቁብ!BO136/Sheet4!$C133</f>
        <v>1</v>
      </c>
      <c r="BO133" s="43">
        <f>ዕቁብ!BP136/Sheet4!$C133</f>
        <v>0</v>
      </c>
      <c r="BP133" s="43">
        <f>ዕቁብ!BQ136/Sheet4!$C133</f>
        <v>0</v>
      </c>
      <c r="BQ133" s="43">
        <f>ዕቁብ!BR136/Sheet4!$C133</f>
        <v>3</v>
      </c>
      <c r="BR133" s="43">
        <f>ዕቁብ!BS136/Sheet4!$C133</f>
        <v>1</v>
      </c>
      <c r="BS133" s="43">
        <f>ዕቁብ!BT136/Sheet4!$C133</f>
        <v>0</v>
      </c>
      <c r="BT133" s="43">
        <f>ዕቁብ!BU136/Sheet4!$C133</f>
        <v>1</v>
      </c>
      <c r="BU133" s="43">
        <f>ዕቁብ!BV136/Sheet4!$C133</f>
        <v>1</v>
      </c>
      <c r="BV133" s="43">
        <f>ዕቁብ!BW136/Sheet4!$C133</f>
        <v>2</v>
      </c>
      <c r="BW133" s="43">
        <f>ዕቁብ!BX136/Sheet4!$C133</f>
        <v>1</v>
      </c>
      <c r="BX133" s="43">
        <f>ዕቁብ!BY136/Sheet4!$C133</f>
        <v>1</v>
      </c>
      <c r="BY133" s="43">
        <f>ዕቁብ!BZ136/Sheet4!$C133</f>
        <v>1</v>
      </c>
      <c r="BZ133" s="43">
        <f>ዕቁብ!CA136/Sheet4!$C133</f>
        <v>1</v>
      </c>
      <c r="CA133" s="43">
        <f>ዕቁብ!CB136/Sheet4!$C133</f>
        <v>1</v>
      </c>
      <c r="CB133" s="43">
        <f>ዕቁብ!CC136/Sheet4!$C133</f>
        <v>1</v>
      </c>
      <c r="CC133" s="43">
        <f>ዕቁብ!CD136/Sheet4!$C133</f>
        <v>1</v>
      </c>
      <c r="CD133" s="43">
        <f>ዕቁብ!CE136/Sheet4!$C133</f>
        <v>0</v>
      </c>
      <c r="CE133" s="43">
        <f>ዕቁብ!CF136/Sheet4!$C133</f>
        <v>2</v>
      </c>
      <c r="CF133" s="43">
        <f>ዕቁብ!CG136/Sheet4!$C133</f>
        <v>1</v>
      </c>
      <c r="CG133" s="43">
        <f>ዕቁብ!CH136/Sheet4!$C133</f>
        <v>1</v>
      </c>
      <c r="CH133" s="43">
        <f>ዕቁብ!CI136/Sheet4!$C133</f>
        <v>1</v>
      </c>
      <c r="CI133" s="43">
        <f>ዕቁብ!CJ136/Sheet4!$C133</f>
        <v>1</v>
      </c>
      <c r="CJ133" s="43">
        <f>ዕቁብ!CK136/Sheet4!$C133</f>
        <v>1</v>
      </c>
      <c r="CK133" s="43">
        <f>ዕቁብ!CL136/Sheet4!$C133</f>
        <v>1</v>
      </c>
      <c r="CL133" s="43">
        <f>ዕቁብ!CM136/Sheet4!$C133</f>
        <v>1</v>
      </c>
      <c r="CM133" s="43">
        <f>ዕቁብ!CN136/Sheet4!$C133</f>
        <v>1</v>
      </c>
      <c r="CN133" s="43">
        <f>ዕቁብ!CO136/Sheet4!$C133</f>
        <v>0</v>
      </c>
      <c r="CO133" s="43">
        <f>ዕቁብ!CP136/Sheet4!$C133</f>
        <v>1</v>
      </c>
      <c r="CP133" s="43">
        <f>ዕቁብ!CQ136/Sheet4!$C133</f>
        <v>1</v>
      </c>
      <c r="CQ133" s="43">
        <f>ዕቁብ!CR136/Sheet4!$C133</f>
        <v>0</v>
      </c>
      <c r="CR133" s="43">
        <f>ዕቁብ!CS136/Sheet4!$C133</f>
        <v>2</v>
      </c>
      <c r="CS133" s="43">
        <f>ዕቁብ!CT136/Sheet4!$C133</f>
        <v>1</v>
      </c>
      <c r="CT133" s="43">
        <f>ዕቁብ!CU136/Sheet4!$C133</f>
        <v>0</v>
      </c>
      <c r="CU133" s="43">
        <f>ዕቁብ!CV136/Sheet4!$C133</f>
        <v>2</v>
      </c>
      <c r="CV133" s="43">
        <f>ዕቁብ!CW136/Sheet4!$C133</f>
        <v>1</v>
      </c>
      <c r="CW133" s="43">
        <f>ዕቁብ!CX136/Sheet4!$C133</f>
        <v>1</v>
      </c>
      <c r="CX133" s="43">
        <f>ዕቁብ!CY136/Sheet4!$C133</f>
        <v>1</v>
      </c>
      <c r="CY133" s="43">
        <f>ዕቁብ!CZ136/Sheet4!$C133</f>
        <v>0</v>
      </c>
      <c r="CZ133" s="43">
        <f>ዕቁብ!DA136/Sheet4!$C133</f>
        <v>1</v>
      </c>
      <c r="DA133" s="43">
        <f>ዕቁብ!DB136/Sheet4!$C133</f>
        <v>1</v>
      </c>
      <c r="DB133" s="43">
        <f>ዕቁብ!DC136/Sheet4!$C133</f>
        <v>1</v>
      </c>
      <c r="DC133" s="43">
        <f>ዕቁብ!DD136/Sheet4!$C133</f>
        <v>0</v>
      </c>
      <c r="DD133" s="43">
        <f>ዕቁብ!DE136/Sheet4!$C133</f>
        <v>0</v>
      </c>
      <c r="DE133" s="43">
        <f>ዕቁብ!DF136/Sheet4!$C133</f>
        <v>1</v>
      </c>
      <c r="DF133" s="43">
        <f>ዕቁብ!DG136/Sheet4!$C133</f>
        <v>1</v>
      </c>
      <c r="DG133" s="43">
        <f>ዕቁብ!DH136/Sheet4!$C133</f>
        <v>1</v>
      </c>
      <c r="DH133" s="43">
        <f>ዕቁብ!DI136/Sheet4!$C133</f>
        <v>0</v>
      </c>
      <c r="DI133" s="43">
        <f>ዕቁብ!DJ136/Sheet4!$C133</f>
        <v>0</v>
      </c>
      <c r="DJ133" s="43">
        <f>ዕቁብ!DK136/Sheet4!$C133</f>
        <v>0</v>
      </c>
      <c r="DK133" s="43">
        <f>ዕቁብ!DL136/Sheet4!$C133</f>
        <v>0</v>
      </c>
      <c r="DL133" s="43">
        <f>ዕቁብ!DM136/Sheet4!$C133</f>
        <v>0</v>
      </c>
      <c r="DM133" s="43">
        <f>ዕቁብ!DN136/Sheet4!$C133</f>
        <v>0</v>
      </c>
      <c r="DN133" s="43">
        <f>ዕቁብ!DO136/Sheet4!$C133</f>
        <v>0</v>
      </c>
      <c r="DO133" s="43">
        <f>ዕቁብ!DP136/Sheet4!$C133</f>
        <v>0</v>
      </c>
      <c r="DP133" s="43">
        <f>ዕቁብ!DQ136/Sheet4!$C133</f>
        <v>0</v>
      </c>
      <c r="DQ133" s="43">
        <f>ዕቁብ!DR136/Sheet4!$C133</f>
        <v>0</v>
      </c>
    </row>
    <row r="134" spans="1:121" ht="15.75" customHeight="1" x14ac:dyDescent="0.3">
      <c r="A134" s="40">
        <f>ዕቁብ!A137</f>
        <v>113</v>
      </c>
      <c r="B134" s="40" t="str">
        <f>ዕቁብ!B137</f>
        <v>ጋሻቸዉ ሀብቱ</v>
      </c>
      <c r="C134" s="30">
        <f>ዕቁብ!C137</f>
        <v>10500</v>
      </c>
      <c r="D134" s="43">
        <f>ዕቁብ!E137/Sheet4!$C134</f>
        <v>1</v>
      </c>
      <c r="E134" s="43">
        <f>ዕቁብ!F137/Sheet4!$C134</f>
        <v>1</v>
      </c>
      <c r="F134" s="43">
        <f>ዕቁብ!G137/Sheet4!$C134</f>
        <v>1</v>
      </c>
      <c r="G134" s="43">
        <f>ዕቁብ!H137/Sheet4!$C134</f>
        <v>1</v>
      </c>
      <c r="H134" s="43">
        <f>ዕቁብ!I137/Sheet4!$C134</f>
        <v>1</v>
      </c>
      <c r="I134" s="43">
        <f>ዕቁብ!J137/Sheet4!$C134</f>
        <v>1</v>
      </c>
      <c r="J134" s="43">
        <f>ዕቁብ!K137/Sheet4!$C134</f>
        <v>1</v>
      </c>
      <c r="K134" s="43">
        <f>ዕቁብ!L137/Sheet4!$C134</f>
        <v>1</v>
      </c>
      <c r="L134" s="43">
        <f>ዕቁብ!M137/Sheet4!$C134</f>
        <v>1</v>
      </c>
      <c r="M134" s="43">
        <f>ዕቁብ!N137/Sheet4!$C134</f>
        <v>1</v>
      </c>
      <c r="N134" s="43">
        <f>ዕቁብ!O137/Sheet4!$C134</f>
        <v>1</v>
      </c>
      <c r="O134" s="43">
        <f>ዕቁብ!P137/Sheet4!$C134</f>
        <v>1</v>
      </c>
      <c r="P134" s="43">
        <f>ዕቁብ!Q137/Sheet4!$C134</f>
        <v>1</v>
      </c>
      <c r="Q134" s="43">
        <f>ዕቁብ!R137/Sheet4!$C134</f>
        <v>1</v>
      </c>
      <c r="R134" s="43">
        <f>ዕቁብ!S137/Sheet4!$C134</f>
        <v>1</v>
      </c>
      <c r="S134" s="43">
        <f>ዕቁብ!T137/Sheet4!$C134</f>
        <v>1</v>
      </c>
      <c r="T134" s="43">
        <f>ዕቁብ!U137/Sheet4!$C134</f>
        <v>1</v>
      </c>
      <c r="U134" s="43">
        <f>ዕቁብ!V137/Sheet4!$C134</f>
        <v>1</v>
      </c>
      <c r="V134" s="43">
        <f>ዕቁብ!W137/Sheet4!$C134</f>
        <v>1</v>
      </c>
      <c r="W134" s="43">
        <f>ዕቁብ!X137/Sheet4!$C134</f>
        <v>1</v>
      </c>
      <c r="X134" s="43">
        <f>ዕቁብ!Y137/Sheet4!$C134</f>
        <v>1</v>
      </c>
      <c r="Y134" s="43">
        <f>ዕቁብ!Z137/Sheet4!$C134</f>
        <v>1</v>
      </c>
      <c r="Z134" s="43">
        <f>ዕቁብ!AA137/Sheet4!$C134</f>
        <v>1</v>
      </c>
      <c r="AA134" s="43">
        <f>ዕቁብ!AB137/Sheet4!$C134</f>
        <v>1</v>
      </c>
      <c r="AB134" s="43">
        <f>ዕቁብ!AC137/Sheet4!$C134</f>
        <v>1</v>
      </c>
      <c r="AC134" s="43">
        <f>ዕቁብ!AD137/Sheet4!$C134</f>
        <v>1</v>
      </c>
      <c r="AD134" s="43">
        <f>ዕቁብ!AE137/Sheet4!$C134</f>
        <v>1</v>
      </c>
      <c r="AE134" s="43">
        <f>ዕቁብ!AF137/Sheet4!$C134</f>
        <v>1</v>
      </c>
      <c r="AF134" s="43">
        <f>ዕቁብ!AG137/Sheet4!$C134</f>
        <v>1</v>
      </c>
      <c r="AG134" s="43">
        <f>ዕቁብ!AH137/Sheet4!$C134</f>
        <v>1</v>
      </c>
      <c r="AH134" s="43">
        <f>ዕቁብ!AI137/Sheet4!$C134</f>
        <v>1</v>
      </c>
      <c r="AI134" s="43">
        <f>ዕቁብ!AJ137/Sheet4!$C134</f>
        <v>1</v>
      </c>
      <c r="AJ134" s="43">
        <f>ዕቁብ!AK137/Sheet4!$C134</f>
        <v>1</v>
      </c>
      <c r="AK134" s="43">
        <f>ዕቁብ!AL137/Sheet4!$C134</f>
        <v>1</v>
      </c>
      <c r="AL134" s="43">
        <f>ዕቁብ!AM137/Sheet4!$C134</f>
        <v>1</v>
      </c>
      <c r="AM134" s="43">
        <f>ዕቁብ!AN137/Sheet4!$C134</f>
        <v>1</v>
      </c>
      <c r="AN134" s="43">
        <f>ዕቁብ!AO137/Sheet4!$C134</f>
        <v>1</v>
      </c>
      <c r="AO134" s="43">
        <f>ዕቁብ!AP137/Sheet4!$C134</f>
        <v>1</v>
      </c>
      <c r="AP134" s="43">
        <f>ዕቁብ!AQ137/Sheet4!$C134</f>
        <v>0</v>
      </c>
      <c r="AQ134" s="43">
        <f>ዕቁብ!AR137/Sheet4!$C134</f>
        <v>2</v>
      </c>
      <c r="AR134" s="43">
        <f>ዕቁብ!AS137/Sheet4!$C134</f>
        <v>1</v>
      </c>
      <c r="AS134" s="43">
        <f>ዕቁብ!AT137/Sheet4!$C134</f>
        <v>1</v>
      </c>
      <c r="AT134" s="43">
        <f>ዕቁብ!AU137/Sheet4!$C134</f>
        <v>1</v>
      </c>
      <c r="AU134" s="43">
        <f>ዕቁብ!AV137/Sheet4!$C134</f>
        <v>0</v>
      </c>
      <c r="AV134" s="43">
        <f>ዕቁብ!AW137/Sheet4!$C134</f>
        <v>1</v>
      </c>
      <c r="AW134" s="43">
        <f>ዕቁብ!AX137/Sheet4!$C134</f>
        <v>1</v>
      </c>
      <c r="AX134" s="43">
        <f>ዕቁብ!AY137/Sheet4!$C134</f>
        <v>1</v>
      </c>
      <c r="AY134" s="43">
        <f>ዕቁብ!AZ137/Sheet4!$C134</f>
        <v>1</v>
      </c>
      <c r="AZ134" s="43">
        <f>ዕቁብ!BA137/Sheet4!$C134</f>
        <v>1</v>
      </c>
      <c r="BA134" s="43">
        <f>ዕቁብ!BB137/Sheet4!$C134</f>
        <v>1</v>
      </c>
      <c r="BB134" s="43">
        <f>ዕቁብ!BC137/Sheet4!$C134</f>
        <v>1</v>
      </c>
      <c r="BC134" s="43">
        <f>ዕቁብ!BD137/Sheet4!$C134</f>
        <v>1</v>
      </c>
      <c r="BD134" s="43">
        <f>ዕቁብ!BE137/Sheet4!$C134</f>
        <v>1</v>
      </c>
      <c r="BE134" s="43">
        <f>ዕቁብ!BF137/Sheet4!$C134</f>
        <v>1</v>
      </c>
      <c r="BF134" s="43">
        <f>ዕቁብ!BG137/Sheet4!$C134</f>
        <v>1</v>
      </c>
      <c r="BG134" s="43">
        <f>ዕቁብ!BH137/Sheet4!$C134</f>
        <v>1</v>
      </c>
      <c r="BH134" s="43">
        <f>ዕቁብ!BI137/Sheet4!$C134</f>
        <v>1</v>
      </c>
      <c r="BI134" s="43">
        <f>ዕቁብ!BJ137/Sheet4!$C134</f>
        <v>1</v>
      </c>
      <c r="BJ134" s="43">
        <f>ዕቁብ!BK137/Sheet4!$C134</f>
        <v>1</v>
      </c>
      <c r="BK134" s="43">
        <f>ዕቁብ!BL137/Sheet4!$C134</f>
        <v>1</v>
      </c>
      <c r="BL134" s="43">
        <f>ዕቁብ!BM137/Sheet4!$C134</f>
        <v>1</v>
      </c>
      <c r="BM134" s="43">
        <f>ዕቁብ!BN137/Sheet4!$C134</f>
        <v>1</v>
      </c>
      <c r="BN134" s="43">
        <f>ዕቁብ!BO137/Sheet4!$C134</f>
        <v>1</v>
      </c>
      <c r="BO134" s="43">
        <f>ዕቁብ!BP137/Sheet4!$C134</f>
        <v>2</v>
      </c>
      <c r="BP134" s="43">
        <f>ዕቁብ!BQ137/Sheet4!$C134</f>
        <v>1</v>
      </c>
      <c r="BQ134" s="43">
        <f>ዕቁብ!BR137/Sheet4!$C134</f>
        <v>1</v>
      </c>
      <c r="BR134" s="43">
        <f>ዕቁብ!BS137/Sheet4!$C134</f>
        <v>1</v>
      </c>
      <c r="BS134" s="43">
        <f>ዕቁብ!BT137/Sheet4!$C134</f>
        <v>1</v>
      </c>
      <c r="BT134" s="43">
        <f>ዕቁብ!BU137/Sheet4!$C134</f>
        <v>1</v>
      </c>
      <c r="BU134" s="43">
        <f>ዕቁብ!BV137/Sheet4!$C134</f>
        <v>1</v>
      </c>
      <c r="BV134" s="43">
        <f>ዕቁብ!BW137/Sheet4!$C134</f>
        <v>1</v>
      </c>
      <c r="BW134" s="43">
        <f>ዕቁብ!BX137/Sheet4!$C134</f>
        <v>1</v>
      </c>
      <c r="BX134" s="43">
        <f>ዕቁብ!BY137/Sheet4!$C134</f>
        <v>1</v>
      </c>
      <c r="BY134" s="43">
        <f>ዕቁብ!BZ137/Sheet4!$C134</f>
        <v>1</v>
      </c>
      <c r="BZ134" s="43">
        <f>ዕቁብ!CA137/Sheet4!$C134</f>
        <v>1</v>
      </c>
      <c r="CA134" s="43">
        <f>ዕቁብ!CB137/Sheet4!$C134</f>
        <v>1</v>
      </c>
      <c r="CB134" s="43">
        <f>ዕቁብ!CC137/Sheet4!$C134</f>
        <v>1</v>
      </c>
      <c r="CC134" s="43">
        <f>ዕቁብ!CD137/Sheet4!$C134</f>
        <v>1</v>
      </c>
      <c r="CD134" s="43">
        <f>ዕቁብ!CE137/Sheet4!$C134</f>
        <v>1</v>
      </c>
      <c r="CE134" s="43">
        <f>ዕቁብ!CF137/Sheet4!$C134</f>
        <v>1</v>
      </c>
      <c r="CF134" s="43">
        <f>ዕቁብ!CG137/Sheet4!$C134</f>
        <v>1</v>
      </c>
      <c r="CG134" s="43">
        <f>ዕቁብ!CH137/Sheet4!$C134</f>
        <v>1</v>
      </c>
      <c r="CH134" s="43">
        <f>ዕቁብ!CI137/Sheet4!$C134</f>
        <v>1</v>
      </c>
      <c r="CI134" s="43">
        <f>ዕቁብ!CJ137/Sheet4!$C134</f>
        <v>1</v>
      </c>
      <c r="CJ134" s="43">
        <f>ዕቁብ!CK137/Sheet4!$C134</f>
        <v>1</v>
      </c>
      <c r="CK134" s="43">
        <f>ዕቁብ!CL137/Sheet4!$C134</f>
        <v>1</v>
      </c>
      <c r="CL134" s="43">
        <f>ዕቁብ!CM137/Sheet4!$C134</f>
        <v>0</v>
      </c>
      <c r="CM134" s="43">
        <f>ዕቁብ!CN137/Sheet4!$C134</f>
        <v>2</v>
      </c>
      <c r="CN134" s="43">
        <f>ዕቁብ!CO137/Sheet4!$C134</f>
        <v>1</v>
      </c>
      <c r="CO134" s="43">
        <f>ዕቁብ!CP137/Sheet4!$C134</f>
        <v>1</v>
      </c>
      <c r="CP134" s="43">
        <f>ዕቁብ!CQ137/Sheet4!$C134</f>
        <v>1</v>
      </c>
      <c r="CQ134" s="43">
        <f>ዕቁብ!CR137/Sheet4!$C134</f>
        <v>1</v>
      </c>
      <c r="CR134" s="43">
        <f>ዕቁብ!CS137/Sheet4!$C134</f>
        <v>1</v>
      </c>
      <c r="CS134" s="43">
        <f>ዕቁብ!CT137/Sheet4!$C134</f>
        <v>1</v>
      </c>
      <c r="CT134" s="43">
        <f>ዕቁብ!CU137/Sheet4!$C134</f>
        <v>1</v>
      </c>
      <c r="CU134" s="43">
        <f>ዕቁብ!CV137/Sheet4!$C134</f>
        <v>1</v>
      </c>
      <c r="CV134" s="43">
        <f>ዕቁብ!CW137/Sheet4!$C134</f>
        <v>1</v>
      </c>
      <c r="CW134" s="43">
        <f>ዕቁብ!CX137/Sheet4!$C134</f>
        <v>1</v>
      </c>
      <c r="CX134" s="43">
        <f>ዕቁብ!CY137/Sheet4!$C134</f>
        <v>1</v>
      </c>
      <c r="CY134" s="43">
        <f>ዕቁብ!CZ137/Sheet4!$C134</f>
        <v>1</v>
      </c>
      <c r="CZ134" s="43">
        <f>ዕቁብ!DA137/Sheet4!$C134</f>
        <v>1</v>
      </c>
      <c r="DA134" s="43">
        <f>ዕቁብ!DB137/Sheet4!$C134</f>
        <v>1</v>
      </c>
      <c r="DB134" s="43">
        <f>ዕቁብ!DC137/Sheet4!$C134</f>
        <v>1</v>
      </c>
      <c r="DC134" s="43">
        <f>ዕቁብ!DD137/Sheet4!$C134</f>
        <v>1</v>
      </c>
      <c r="DD134" s="43">
        <f>ዕቁብ!DE137/Sheet4!$C134</f>
        <v>1</v>
      </c>
      <c r="DE134" s="43">
        <f>ዕቁብ!DF137/Sheet4!$C134</f>
        <v>1</v>
      </c>
      <c r="DF134" s="43">
        <f>ዕቁብ!DG137/Sheet4!$C134</f>
        <v>1</v>
      </c>
      <c r="DG134" s="43">
        <f>ዕቁብ!DH137/Sheet4!$C134</f>
        <v>1</v>
      </c>
      <c r="DH134" s="43">
        <f>ዕቁብ!DI137/Sheet4!$C134</f>
        <v>0</v>
      </c>
      <c r="DI134" s="43">
        <f>ዕቁብ!DJ137/Sheet4!$C134</f>
        <v>0</v>
      </c>
      <c r="DJ134" s="43">
        <f>ዕቁብ!DK137/Sheet4!$C134</f>
        <v>0</v>
      </c>
      <c r="DK134" s="43">
        <f>ዕቁብ!DL137/Sheet4!$C134</f>
        <v>0</v>
      </c>
      <c r="DL134" s="43">
        <f>ዕቁብ!DM137/Sheet4!$C134</f>
        <v>0</v>
      </c>
      <c r="DM134" s="43">
        <f>ዕቁብ!DN137/Sheet4!$C134</f>
        <v>0</v>
      </c>
      <c r="DN134" s="43">
        <f>ዕቁብ!DO137/Sheet4!$C134</f>
        <v>0</v>
      </c>
      <c r="DO134" s="43">
        <f>ዕቁብ!DP137/Sheet4!$C134</f>
        <v>0</v>
      </c>
      <c r="DP134" s="43">
        <f>ዕቁብ!DQ137/Sheet4!$C134</f>
        <v>0</v>
      </c>
      <c r="DQ134" s="43">
        <f>ዕቁብ!DR137/Sheet4!$C134</f>
        <v>0</v>
      </c>
    </row>
    <row r="135" spans="1:121" ht="15.75" customHeight="1" x14ac:dyDescent="0.3">
      <c r="A135" s="40">
        <f>ዕቁብ!A138</f>
        <v>113</v>
      </c>
      <c r="B135" s="40" t="str">
        <f>ዕቁብ!B138</f>
        <v>ሚልክያስ እዩኤል</v>
      </c>
      <c r="C135" s="30">
        <f>ዕቁብ!C138</f>
        <v>10500</v>
      </c>
      <c r="D135" s="43">
        <f>ዕቁብ!E138/Sheet4!$C135</f>
        <v>1</v>
      </c>
      <c r="E135" s="43">
        <f>ዕቁብ!F138/Sheet4!$C135</f>
        <v>1</v>
      </c>
      <c r="F135" s="43">
        <f>ዕቁብ!G138/Sheet4!$C135</f>
        <v>1</v>
      </c>
      <c r="G135" s="43">
        <f>ዕቁብ!H138/Sheet4!$C135</f>
        <v>1</v>
      </c>
      <c r="H135" s="43">
        <f>ዕቁብ!I138/Sheet4!$C135</f>
        <v>1</v>
      </c>
      <c r="I135" s="43">
        <f>ዕቁብ!J138/Sheet4!$C135</f>
        <v>1</v>
      </c>
      <c r="J135" s="43">
        <f>ዕቁብ!K138/Sheet4!$C135</f>
        <v>1</v>
      </c>
      <c r="K135" s="43">
        <f>ዕቁብ!L138/Sheet4!$C135</f>
        <v>1</v>
      </c>
      <c r="L135" s="43">
        <f>ዕቁብ!M138/Sheet4!$C135</f>
        <v>1</v>
      </c>
      <c r="M135" s="43">
        <f>ዕቁብ!N138/Sheet4!$C135</f>
        <v>1</v>
      </c>
      <c r="N135" s="43">
        <f>ዕቁብ!O138/Sheet4!$C135</f>
        <v>1</v>
      </c>
      <c r="O135" s="43">
        <f>ዕቁብ!P138/Sheet4!$C135</f>
        <v>1</v>
      </c>
      <c r="P135" s="43">
        <f>ዕቁብ!Q138/Sheet4!$C135</f>
        <v>1</v>
      </c>
      <c r="Q135" s="43">
        <f>ዕቁብ!R138/Sheet4!$C135</f>
        <v>1</v>
      </c>
      <c r="R135" s="43">
        <f>ዕቁብ!S138/Sheet4!$C135</f>
        <v>1</v>
      </c>
      <c r="S135" s="43">
        <f>ዕቁብ!T138/Sheet4!$C135</f>
        <v>1</v>
      </c>
      <c r="T135" s="43">
        <f>ዕቁብ!U138/Sheet4!$C135</f>
        <v>1</v>
      </c>
      <c r="U135" s="43">
        <f>ዕቁብ!V138/Sheet4!$C135</f>
        <v>1</v>
      </c>
      <c r="V135" s="43">
        <f>ዕቁብ!W138/Sheet4!$C135</f>
        <v>1</v>
      </c>
      <c r="W135" s="43">
        <f>ዕቁብ!X138/Sheet4!$C135</f>
        <v>1</v>
      </c>
      <c r="X135" s="43">
        <f>ዕቁብ!Y138/Sheet4!$C135</f>
        <v>1</v>
      </c>
      <c r="Y135" s="43">
        <f>ዕቁብ!Z138/Sheet4!$C135</f>
        <v>1</v>
      </c>
      <c r="Z135" s="43">
        <f>ዕቁብ!AA138/Sheet4!$C135</f>
        <v>1</v>
      </c>
      <c r="AA135" s="43">
        <f>ዕቁብ!AB138/Sheet4!$C135</f>
        <v>0</v>
      </c>
      <c r="AB135" s="43">
        <f>ዕቁብ!AC138/Sheet4!$C135</f>
        <v>2</v>
      </c>
      <c r="AC135" s="43">
        <f>ዕቁብ!AD138/Sheet4!$C135</f>
        <v>1</v>
      </c>
      <c r="AD135" s="43">
        <f>ዕቁብ!AE138/Sheet4!$C135</f>
        <v>1</v>
      </c>
      <c r="AE135" s="43">
        <f>ዕቁብ!AF138/Sheet4!$C135</f>
        <v>1</v>
      </c>
      <c r="AF135" s="43">
        <f>ዕቁብ!AG138/Sheet4!$C135</f>
        <v>0</v>
      </c>
      <c r="AG135" s="43">
        <f>ዕቁብ!AH138/Sheet4!$C135</f>
        <v>2</v>
      </c>
      <c r="AH135" s="43">
        <f>ዕቁብ!AI138/Sheet4!$C135</f>
        <v>1</v>
      </c>
      <c r="AI135" s="43">
        <f>ዕቁብ!AJ138/Sheet4!$C135</f>
        <v>1</v>
      </c>
      <c r="AJ135" s="43">
        <f>ዕቁብ!AK138/Sheet4!$C135</f>
        <v>1</v>
      </c>
      <c r="AK135" s="43">
        <f>ዕቁብ!AL138/Sheet4!$C135</f>
        <v>0</v>
      </c>
      <c r="AL135" s="43">
        <f>ዕቁብ!AM138/Sheet4!$C135</f>
        <v>2</v>
      </c>
      <c r="AM135" s="43">
        <f>ዕቁብ!AN138/Sheet4!$C135</f>
        <v>1</v>
      </c>
      <c r="AN135" s="43">
        <f>ዕቁብ!AO138/Sheet4!$C135</f>
        <v>0</v>
      </c>
      <c r="AO135" s="43">
        <f>ዕቁብ!AP138/Sheet4!$C135</f>
        <v>0</v>
      </c>
      <c r="AP135" s="43">
        <f>ዕቁብ!AQ138/Sheet4!$C135</f>
        <v>2</v>
      </c>
      <c r="AQ135" s="43">
        <f>ዕቁብ!AR138/Sheet4!$C135</f>
        <v>0</v>
      </c>
      <c r="AR135" s="43">
        <f>ዕቁብ!AS138/Sheet4!$C135</f>
        <v>2</v>
      </c>
      <c r="AS135" s="43">
        <f>ዕቁብ!AT138/Sheet4!$C135</f>
        <v>1</v>
      </c>
      <c r="AT135" s="43">
        <f>ዕቁብ!AU138/Sheet4!$C135</f>
        <v>0</v>
      </c>
      <c r="AU135" s="43">
        <f>ዕቁብ!AV138/Sheet4!$C135</f>
        <v>2</v>
      </c>
      <c r="AV135" s="43">
        <f>ዕቁብ!AW138/Sheet4!$C135</f>
        <v>1</v>
      </c>
      <c r="AW135" s="43">
        <f>ዕቁብ!AX138/Sheet4!$C135</f>
        <v>1</v>
      </c>
      <c r="AX135" s="43">
        <f>ዕቁብ!AY138/Sheet4!$C135</f>
        <v>0</v>
      </c>
      <c r="AY135" s="43">
        <f>ዕቁብ!AZ138/Sheet4!$C135</f>
        <v>1</v>
      </c>
      <c r="AZ135" s="43">
        <f>ዕቁብ!BA138/Sheet4!$C135</f>
        <v>1</v>
      </c>
      <c r="BA135" s="43">
        <f>ዕቁብ!BB138/Sheet4!$C135</f>
        <v>0</v>
      </c>
      <c r="BB135" s="43">
        <f>ዕቁብ!BC138/Sheet4!$C135</f>
        <v>2</v>
      </c>
      <c r="BC135" s="43">
        <f>ዕቁብ!BD138/Sheet4!$C135</f>
        <v>1</v>
      </c>
      <c r="BD135" s="43">
        <f>ዕቁብ!BE138/Sheet4!$C135</f>
        <v>1</v>
      </c>
      <c r="BE135" s="43">
        <f>ዕቁብ!BF138/Sheet4!$C135</f>
        <v>0</v>
      </c>
      <c r="BF135" s="43">
        <f>ዕቁብ!BG138/Sheet4!$C135</f>
        <v>2</v>
      </c>
      <c r="BG135" s="43">
        <f>ዕቁብ!BH138/Sheet4!$C135</f>
        <v>0</v>
      </c>
      <c r="BH135" s="43">
        <f>ዕቁብ!BI138/Sheet4!$C135</f>
        <v>2</v>
      </c>
      <c r="BI135" s="43">
        <f>ዕቁብ!BJ138/Sheet4!$C135</f>
        <v>0</v>
      </c>
      <c r="BJ135" s="43">
        <f>ዕቁብ!BK138/Sheet4!$C135</f>
        <v>2</v>
      </c>
      <c r="BK135" s="43">
        <f>ዕቁብ!BL138/Sheet4!$C135</f>
        <v>0</v>
      </c>
      <c r="BL135" s="43">
        <f>ዕቁብ!BM138/Sheet4!$C135</f>
        <v>2</v>
      </c>
      <c r="BM135" s="43">
        <f>ዕቁብ!BN138/Sheet4!$C135</f>
        <v>1</v>
      </c>
      <c r="BN135" s="43">
        <f>ዕቁብ!BO138/Sheet4!$C135</f>
        <v>0</v>
      </c>
      <c r="BO135" s="43">
        <f>ዕቁብ!BP138/Sheet4!$C135</f>
        <v>2</v>
      </c>
      <c r="BP135" s="43">
        <f>ዕቁብ!BQ138/Sheet4!$C135</f>
        <v>0</v>
      </c>
      <c r="BQ135" s="43">
        <f>ዕቁብ!BR138/Sheet4!$C135</f>
        <v>2</v>
      </c>
      <c r="BR135" s="43">
        <f>ዕቁብ!BS138/Sheet4!$C135</f>
        <v>0</v>
      </c>
      <c r="BS135" s="43">
        <f>ዕቁብ!BT138/Sheet4!$C135</f>
        <v>0</v>
      </c>
      <c r="BT135" s="43">
        <f>ዕቁብ!BU138/Sheet4!$C135</f>
        <v>3</v>
      </c>
      <c r="BU135" s="43">
        <f>ዕቁብ!BV138/Sheet4!$C135</f>
        <v>0</v>
      </c>
      <c r="BV135" s="43">
        <f>ዕቁብ!BW138/Sheet4!$C135</f>
        <v>0</v>
      </c>
      <c r="BW135" s="43">
        <f>ዕቁብ!BX138/Sheet4!$C135</f>
        <v>0</v>
      </c>
      <c r="BX135" s="43">
        <f>ዕቁብ!BY138/Sheet4!$C135</f>
        <v>4</v>
      </c>
      <c r="BY135" s="43">
        <f>ዕቁብ!BZ138/Sheet4!$C135</f>
        <v>0</v>
      </c>
      <c r="BZ135" s="43">
        <f>ዕቁብ!CA138/Sheet4!$C135</f>
        <v>2</v>
      </c>
      <c r="CA135" s="43">
        <f>ዕቁብ!CB138/Sheet4!$C135</f>
        <v>0</v>
      </c>
      <c r="CB135" s="43">
        <f>ዕቁብ!CC138/Sheet4!$C135</f>
        <v>2</v>
      </c>
      <c r="CC135" s="43">
        <f>ዕቁብ!CD138/Sheet4!$C135</f>
        <v>0</v>
      </c>
      <c r="CD135" s="43">
        <f>ዕቁብ!CE138/Sheet4!$C135</f>
        <v>2</v>
      </c>
      <c r="CE135" s="43">
        <f>ዕቁብ!CF138/Sheet4!$C135</f>
        <v>0</v>
      </c>
      <c r="CF135" s="43">
        <f>ዕቁብ!CG138/Sheet4!$C135</f>
        <v>2</v>
      </c>
      <c r="CG135" s="43">
        <f>ዕቁብ!CH138/Sheet4!$C135</f>
        <v>0</v>
      </c>
      <c r="CH135" s="43">
        <f>ዕቁብ!CI138/Sheet4!$C135</f>
        <v>0</v>
      </c>
      <c r="CI135" s="43">
        <f>ዕቁብ!CJ138/Sheet4!$C135</f>
        <v>0</v>
      </c>
      <c r="CJ135" s="43">
        <f>ዕቁብ!CK138/Sheet4!$C135</f>
        <v>2</v>
      </c>
      <c r="CK135" s="43">
        <f>ዕቁብ!CL138/Sheet4!$C135</f>
        <v>0</v>
      </c>
      <c r="CL135" s="43">
        <f>ዕቁብ!CM138/Sheet4!$C135</f>
        <v>0</v>
      </c>
      <c r="CM135" s="43">
        <f>ዕቁብ!CN138/Sheet4!$C135</f>
        <v>2</v>
      </c>
      <c r="CN135" s="43">
        <f>ዕቁብ!CO138/Sheet4!$C135</f>
        <v>0</v>
      </c>
      <c r="CO135" s="43">
        <f>ዕቁብ!CP138/Sheet4!$C135</f>
        <v>0</v>
      </c>
      <c r="CP135" s="43">
        <f>ዕቁብ!CQ138/Sheet4!$C135</f>
        <v>2</v>
      </c>
      <c r="CQ135" s="43">
        <f>ዕቁብ!CR138/Sheet4!$C135</f>
        <v>0</v>
      </c>
      <c r="CR135" s="43">
        <f>ዕቁብ!CS138/Sheet4!$C135</f>
        <v>0</v>
      </c>
      <c r="CS135" s="43">
        <f>ዕቁብ!CT138/Sheet4!$C135</f>
        <v>3</v>
      </c>
      <c r="CT135" s="43">
        <f>ዕቁብ!CU138/Sheet4!$C135</f>
        <v>0</v>
      </c>
      <c r="CU135" s="43">
        <f>ዕቁብ!CV138/Sheet4!$C135</f>
        <v>0</v>
      </c>
      <c r="CV135" s="43">
        <f>ዕቁብ!CW138/Sheet4!$C135</f>
        <v>0</v>
      </c>
      <c r="CW135" s="43">
        <f>ዕቁብ!CX138/Sheet4!$C135</f>
        <v>0</v>
      </c>
      <c r="CX135" s="43">
        <f>ዕቁብ!CY138/Sheet4!$C135</f>
        <v>0</v>
      </c>
      <c r="CY135" s="43">
        <f>ዕቁብ!CZ138/Sheet4!$C135</f>
        <v>0</v>
      </c>
      <c r="CZ135" s="43">
        <f>ዕቁብ!DA138/Sheet4!$C135</f>
        <v>6</v>
      </c>
      <c r="DA135" s="43">
        <f>ዕቁብ!DB138/Sheet4!$C135</f>
        <v>0</v>
      </c>
      <c r="DB135" s="43">
        <f>ዕቁብ!DC138/Sheet4!$C135</f>
        <v>0</v>
      </c>
      <c r="DC135" s="43">
        <f>ዕቁብ!DD138/Sheet4!$C135</f>
        <v>0</v>
      </c>
      <c r="DD135" s="43">
        <f>ዕቁብ!DE138/Sheet4!$C135</f>
        <v>2</v>
      </c>
      <c r="DE135" s="43">
        <f>ዕቁብ!DF138/Sheet4!$C135</f>
        <v>0</v>
      </c>
      <c r="DF135" s="43">
        <f>ዕቁብ!DG138/Sheet4!$C135</f>
        <v>0</v>
      </c>
      <c r="DG135" s="43">
        <f>ዕቁብ!DH138/Sheet4!$C135</f>
        <v>0</v>
      </c>
      <c r="DH135" s="43">
        <f>ዕቁብ!DI138/Sheet4!$C135</f>
        <v>0</v>
      </c>
      <c r="DI135" s="43">
        <f>ዕቁብ!DJ138/Sheet4!$C135</f>
        <v>0</v>
      </c>
      <c r="DJ135" s="43">
        <f>ዕቁብ!DK138/Sheet4!$C135</f>
        <v>0</v>
      </c>
      <c r="DK135" s="43">
        <f>ዕቁብ!DL138/Sheet4!$C135</f>
        <v>0</v>
      </c>
      <c r="DL135" s="43">
        <f>ዕቁብ!DM138/Sheet4!$C135</f>
        <v>0</v>
      </c>
      <c r="DM135" s="43">
        <f>ዕቁብ!DN138/Sheet4!$C135</f>
        <v>0</v>
      </c>
      <c r="DN135" s="43">
        <f>ዕቁብ!DO138/Sheet4!$C135</f>
        <v>0</v>
      </c>
      <c r="DO135" s="43">
        <f>ዕቁብ!DP138/Sheet4!$C135</f>
        <v>0</v>
      </c>
      <c r="DP135" s="43">
        <f>ዕቁብ!DQ138/Sheet4!$C135</f>
        <v>0</v>
      </c>
      <c r="DQ135" s="43">
        <f>ዕቁብ!DR138/Sheet4!$C135</f>
        <v>0</v>
      </c>
    </row>
    <row r="136" spans="1:121" ht="15.75" customHeight="1" x14ac:dyDescent="0.3"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3"/>
      <c r="BK136" s="43"/>
      <c r="BL136" s="43"/>
      <c r="BM136" s="43"/>
      <c r="BN136" s="43"/>
      <c r="BO136" s="43"/>
      <c r="BP136" s="43"/>
      <c r="BQ136" s="43"/>
      <c r="BR136" s="43"/>
      <c r="BS136" s="43"/>
      <c r="BT136" s="43"/>
      <c r="BU136" s="43"/>
      <c r="BV136" s="43"/>
      <c r="BW136" s="43"/>
      <c r="BX136" s="43"/>
      <c r="BY136" s="43"/>
      <c r="BZ136" s="43"/>
      <c r="CA136" s="43"/>
      <c r="CB136" s="43"/>
      <c r="CC136" s="43"/>
      <c r="CD136" s="43"/>
      <c r="CE136" s="43"/>
      <c r="CF136" s="43"/>
      <c r="CG136" s="43"/>
      <c r="CH136" s="43"/>
      <c r="CI136" s="43"/>
      <c r="CJ136" s="43"/>
      <c r="CK136" s="43"/>
      <c r="CL136" s="43"/>
      <c r="CM136" s="43"/>
      <c r="CN136" s="43"/>
      <c r="CO136" s="43"/>
      <c r="CP136" s="43"/>
      <c r="CQ136" s="43"/>
      <c r="CR136" s="43"/>
      <c r="CS136" s="43"/>
      <c r="CT136" s="43"/>
      <c r="CU136" s="43"/>
      <c r="CV136" s="43"/>
      <c r="CW136" s="43"/>
      <c r="CX136" s="43"/>
      <c r="CY136" s="43"/>
      <c r="CZ136" s="43"/>
      <c r="DA136" s="43"/>
      <c r="DB136" s="43"/>
      <c r="DC136" s="43"/>
      <c r="DD136" s="43"/>
      <c r="DE136" s="43"/>
      <c r="DF136" s="43"/>
      <c r="DG136" s="43"/>
      <c r="DH136" s="43"/>
      <c r="DI136" s="43"/>
      <c r="DJ136" s="43"/>
      <c r="DK136" s="43"/>
      <c r="DL136" s="43"/>
      <c r="DM136" s="43"/>
      <c r="DN136" s="43"/>
      <c r="DO136" s="43"/>
      <c r="DP136" s="43"/>
      <c r="DQ136" s="43"/>
    </row>
    <row r="137" spans="1:121" ht="15.75" customHeight="1" x14ac:dyDescent="0.3"/>
    <row r="138" spans="1:121" ht="15.75" customHeight="1" x14ac:dyDescent="0.3"/>
    <row r="139" spans="1:121" ht="15.75" customHeight="1" x14ac:dyDescent="0.3"/>
    <row r="140" spans="1:121" ht="15.75" customHeight="1" x14ac:dyDescent="0.3"/>
    <row r="141" spans="1:121" ht="15.75" customHeight="1" x14ac:dyDescent="0.3"/>
    <row r="142" spans="1:121" ht="15.75" customHeight="1" x14ac:dyDescent="0.3"/>
    <row r="143" spans="1:121" ht="15.75" customHeight="1" x14ac:dyDescent="0.3"/>
    <row r="144" spans="1:121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A2"/>
    <mergeCell ref="B1:B2"/>
  </mergeCells>
  <conditionalFormatting sqref="D3:DQ135">
    <cfRule type="cellIs" dxfId="2" priority="1" operator="equal">
      <formula>0</formula>
    </cfRule>
  </conditionalFormatting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4140625" defaultRowHeight="15" customHeight="1" x14ac:dyDescent="0.3"/>
  <cols>
    <col min="1" max="1" width="7.88671875" customWidth="1"/>
    <col min="2" max="2" width="17.33203125" customWidth="1"/>
    <col min="3" max="3" width="9.109375" customWidth="1"/>
    <col min="4" max="4" width="27.109375" customWidth="1"/>
    <col min="5" max="5" width="24.6640625" customWidth="1"/>
    <col min="6" max="6" width="18.109375" customWidth="1"/>
    <col min="7" max="7" width="23.44140625" customWidth="1"/>
    <col min="8" max="8" width="22.44140625" customWidth="1"/>
    <col min="9" max="11" width="17.88671875" customWidth="1"/>
    <col min="12" max="13" width="14.33203125" customWidth="1"/>
    <col min="14" max="16" width="15.33203125" customWidth="1"/>
    <col min="17" max="17" width="15.44140625" customWidth="1"/>
    <col min="18" max="20" width="16.44140625" customWidth="1"/>
    <col min="21" max="21" width="12.88671875" customWidth="1"/>
    <col min="22" max="24" width="14" customWidth="1"/>
    <col min="25" max="26" width="11.6640625" customWidth="1"/>
  </cols>
  <sheetData>
    <row r="1" spans="1:26" ht="14.4" x14ac:dyDescent="0.3">
      <c r="A1" s="4" t="str">
        <f>ዕቁብ!A1</f>
        <v>ዕጣ ቁጥር</v>
      </c>
      <c r="B1" s="4" t="str">
        <f>ዕቁብ!B1</f>
        <v>ስም</v>
      </c>
      <c r="C1" s="43">
        <f ca="1">(((D1-E1)/7)+1)</f>
        <v>182.71428571428572</v>
      </c>
      <c r="D1" s="44">
        <f ca="1">TODAY()</f>
        <v>46143</v>
      </c>
      <c r="E1" s="44">
        <f>Sheet4!D2</f>
        <v>44871</v>
      </c>
      <c r="F1" s="45">
        <f ca="1">C1-1</f>
        <v>181.71428571428572</v>
      </c>
      <c r="G1" s="44"/>
      <c r="H1" s="44"/>
      <c r="I1" s="46"/>
      <c r="J1" s="46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4.4" x14ac:dyDescent="0.3">
      <c r="A2" s="33">
        <f>ዕቁብ!A6</f>
        <v>1</v>
      </c>
      <c r="B2" s="33" t="str">
        <f>ዕቁብ!B6</f>
        <v>መስፍን ሀ/ማሪያም</v>
      </c>
      <c r="C2" s="48">
        <f>SUM(Sheet4!D3:DQ3)</f>
        <v>103</v>
      </c>
      <c r="D2" s="46"/>
    </row>
    <row r="3" spans="1:26" ht="14.4" x14ac:dyDescent="0.3">
      <c r="A3" s="33">
        <f>ዕቁብ!A7</f>
        <v>2</v>
      </c>
      <c r="B3" s="33" t="str">
        <f>ዕቁብ!B7</f>
        <v>ዓማኑኤል አላሮ</v>
      </c>
      <c r="C3" s="48">
        <f>SUM(Sheet4!D4:DQ4)</f>
        <v>108</v>
      </c>
    </row>
    <row r="4" spans="1:26" ht="14.4" x14ac:dyDescent="0.3">
      <c r="A4" s="33">
        <f>ዕቁብ!A8</f>
        <v>3</v>
      </c>
      <c r="B4" s="33" t="str">
        <f>ዕቁብ!B8</f>
        <v>ብርሃኑ ማሩ</v>
      </c>
      <c r="C4" s="48">
        <f>SUM(Sheet4!D5:DQ5)</f>
        <v>107</v>
      </c>
    </row>
    <row r="5" spans="1:26" ht="14.4" x14ac:dyDescent="0.3">
      <c r="A5" s="33">
        <f>ዕቁብ!A9</f>
        <v>4</v>
      </c>
      <c r="B5" s="33" t="str">
        <f>ዕቁብ!B9</f>
        <v>ከፈለኝ ፃዲቁ</v>
      </c>
      <c r="C5" s="48">
        <f>SUM(Sheet4!D6:DQ6)</f>
        <v>0</v>
      </c>
    </row>
    <row r="6" spans="1:26" ht="14.4" x14ac:dyDescent="0.3">
      <c r="A6" s="33">
        <f>ዕቁብ!A10</f>
        <v>5</v>
      </c>
      <c r="B6" s="33" t="str">
        <f>ዕቁብ!B10</f>
        <v>አስፈው ወርጂ</v>
      </c>
      <c r="C6" s="48">
        <f>SUM(Sheet4!D7:DQ7)</f>
        <v>108</v>
      </c>
    </row>
    <row r="7" spans="1:26" ht="14.4" x14ac:dyDescent="0.3">
      <c r="A7" s="33">
        <f>ዕቁብ!A11</f>
        <v>6</v>
      </c>
      <c r="B7" s="33" t="str">
        <f>ዕቁብ!B11</f>
        <v>ከተማ ለማ</v>
      </c>
      <c r="C7" s="48">
        <f>SUM(Sheet4!D8:DQ8)</f>
        <v>107</v>
      </c>
    </row>
    <row r="8" spans="1:26" ht="14.4" x14ac:dyDescent="0.3">
      <c r="A8" s="33">
        <f>ዕቁብ!A12</f>
        <v>7</v>
      </c>
      <c r="B8" s="33" t="str">
        <f>ዕቁብ!B12</f>
        <v>ጥላነሽ ከበደ</v>
      </c>
      <c r="C8" s="48">
        <f>SUM(Sheet4!D9:DQ9)</f>
        <v>108</v>
      </c>
    </row>
    <row r="9" spans="1:26" ht="14.4" x14ac:dyDescent="0.3">
      <c r="A9" s="33">
        <f>ዕቁብ!A13</f>
        <v>8</v>
      </c>
      <c r="B9" s="33" t="str">
        <f>ዕቁብ!B13</f>
        <v>ሲሳይ ባህሩ</v>
      </c>
      <c r="C9" s="48">
        <f>SUM(Sheet4!D10:DQ10)</f>
        <v>108</v>
      </c>
    </row>
    <row r="10" spans="1:26" ht="14.4" x14ac:dyDescent="0.3">
      <c r="A10" s="33">
        <f>ዕቁብ!A14</f>
        <v>9</v>
      </c>
      <c r="B10" s="33" t="str">
        <f>ዕቁብ!B14</f>
        <v>ሲንታየሁ ካሳ</v>
      </c>
      <c r="C10" s="48">
        <f>SUM(Sheet4!D11:DQ11)</f>
        <v>108</v>
      </c>
    </row>
    <row r="11" spans="1:26" ht="14.4" x14ac:dyDescent="0.3">
      <c r="A11" s="33">
        <f>ዕቁብ!A15</f>
        <v>10</v>
      </c>
      <c r="B11" s="33" t="str">
        <f>ዕቁብ!B15</f>
        <v>ጥላነሽ ከበደ</v>
      </c>
      <c r="C11" s="48">
        <f>SUM(Sheet4!D12:DQ12)</f>
        <v>108</v>
      </c>
    </row>
    <row r="12" spans="1:26" ht="14.4" x14ac:dyDescent="0.3">
      <c r="A12" s="33">
        <f>ዕቁብ!A16</f>
        <v>11</v>
      </c>
      <c r="B12" s="33" t="str">
        <f>ዕቁብ!B16</f>
        <v>ሄኖክ በቀለ</v>
      </c>
      <c r="C12" s="48">
        <f>SUM(Sheet4!D13:DQ13)</f>
        <v>101</v>
      </c>
    </row>
    <row r="13" spans="1:26" ht="14.4" x14ac:dyDescent="0.3">
      <c r="A13" s="33">
        <f>ዕቁብ!A17</f>
        <v>12</v>
      </c>
      <c r="B13" s="33" t="str">
        <f>ዕቁብ!B17</f>
        <v>ሀብታሙ ፃዲቁ</v>
      </c>
      <c r="C13" s="48">
        <f>SUM(Sheet4!D14:DQ14)</f>
        <v>0</v>
      </c>
    </row>
    <row r="14" spans="1:26" ht="14.4" x14ac:dyDescent="0.3">
      <c r="A14" s="33">
        <f>ዕቁብ!A18</f>
        <v>13</v>
      </c>
      <c r="B14" s="33" t="str">
        <f>ዕቁብ!B18</f>
        <v>ፍሬው ኢትዮጲያ</v>
      </c>
      <c r="C14" s="48">
        <f>SUM(Sheet4!D15:DQ15)</f>
        <v>108</v>
      </c>
    </row>
    <row r="15" spans="1:26" ht="14.4" x14ac:dyDescent="0.3">
      <c r="A15" s="33">
        <f>ዕቁብ!A19</f>
        <v>14</v>
      </c>
      <c r="B15" s="33" t="str">
        <f>ዕቁብ!B19</f>
        <v>አስራት ኩሳ</v>
      </c>
      <c r="C15" s="48">
        <f>SUM(Sheet4!D16:DQ16)</f>
        <v>106</v>
      </c>
    </row>
    <row r="16" spans="1:26" ht="14.4" x14ac:dyDescent="0.3">
      <c r="A16" s="33">
        <f>ዕቁብ!A20</f>
        <v>15</v>
      </c>
      <c r="B16" s="33" t="str">
        <f>ዕቁብ!B20</f>
        <v xml:space="preserve">አበራ ዩሐንስ </v>
      </c>
      <c r="C16" s="48">
        <f>SUM(Sheet4!D17:DQ17)</f>
        <v>88</v>
      </c>
    </row>
    <row r="17" spans="1:3" ht="14.4" x14ac:dyDescent="0.3">
      <c r="A17" s="33">
        <f>ዕቁብ!A21</f>
        <v>16</v>
      </c>
      <c r="B17" s="33" t="str">
        <f>ዕቁብ!B21</f>
        <v>አለማየሁ ገዛህኝ</v>
      </c>
      <c r="C17" s="48">
        <f>SUM(Sheet4!D18:DQ18)</f>
        <v>108</v>
      </c>
    </row>
    <row r="18" spans="1:3" ht="14.4" x14ac:dyDescent="0.3">
      <c r="A18" s="33">
        <f>ዕቁብ!A22</f>
        <v>17</v>
      </c>
      <c r="B18" s="33" t="str">
        <f>ዕቁብ!B22</f>
        <v>እንግዳ ካሳዬ</v>
      </c>
      <c r="C18" s="48">
        <f>SUM(Sheet4!D19:DQ19)</f>
        <v>100</v>
      </c>
    </row>
    <row r="19" spans="1:3" ht="14.4" x14ac:dyDescent="0.3">
      <c r="A19" s="33">
        <f>ዕቁብ!A23</f>
        <v>18</v>
      </c>
      <c r="B19" s="33" t="str">
        <f>ዕቁብ!B23</f>
        <v>ህዝቄል ጴጥሮስ</v>
      </c>
      <c r="C19" s="48">
        <f>SUM(Sheet4!D20:DQ20)</f>
        <v>106</v>
      </c>
    </row>
    <row r="20" spans="1:3" ht="14.4" x14ac:dyDescent="0.3">
      <c r="A20" s="33">
        <f>ዕቁብ!A24</f>
        <v>19</v>
      </c>
      <c r="B20" s="33" t="str">
        <f>ዕቁብ!B24</f>
        <v xml:space="preserve">አንተነህ ግዛዉ </v>
      </c>
      <c r="C20" s="48">
        <f>SUM(Sheet4!D21:DQ21)</f>
        <v>105</v>
      </c>
    </row>
    <row r="21" spans="1:3" ht="15.75" customHeight="1" x14ac:dyDescent="0.3">
      <c r="A21" s="33">
        <f>ዕቁብ!A25</f>
        <v>19</v>
      </c>
      <c r="B21" s="33" t="str">
        <f>ዕቁብ!B25</f>
        <v>አለማየሁ ገዛህኝ</v>
      </c>
      <c r="C21" s="48">
        <f>SUM(Sheet4!D22:DQ22)</f>
        <v>108</v>
      </c>
    </row>
    <row r="22" spans="1:3" ht="15.75" customHeight="1" x14ac:dyDescent="0.3">
      <c r="A22" s="33">
        <f>ዕቁብ!A26</f>
        <v>20</v>
      </c>
      <c r="B22" s="33" t="str">
        <f>ዕቁብ!B26</f>
        <v>ሻምበል ቦንጃ</v>
      </c>
      <c r="C22" s="48">
        <f>SUM(Sheet4!D23:DQ23)</f>
        <v>106</v>
      </c>
    </row>
    <row r="23" spans="1:3" ht="15.75" customHeight="1" x14ac:dyDescent="0.3">
      <c r="A23" s="33">
        <f>ዕቁብ!A27</f>
        <v>21</v>
      </c>
      <c r="B23" s="33" t="str">
        <f>ዕቁብ!B27</f>
        <v>ማተጎ አመኖ</v>
      </c>
      <c r="C23" s="48">
        <f>SUM(Sheet4!D24:DQ24)</f>
        <v>106</v>
      </c>
    </row>
    <row r="24" spans="1:3" ht="15.75" customHeight="1" x14ac:dyDescent="0.3">
      <c r="A24" s="33">
        <f>ዕቁብ!A28</f>
        <v>22</v>
      </c>
      <c r="B24" s="33" t="str">
        <f>ዕቁብ!B28</f>
        <v>ማሩ እርቅይሁን</v>
      </c>
      <c r="C24" s="48">
        <f>SUM(Sheet4!D25:DQ25)</f>
        <v>108</v>
      </c>
    </row>
    <row r="25" spans="1:3" ht="15.75" customHeight="1" x14ac:dyDescent="0.3">
      <c r="A25" s="33">
        <f>ዕቁብ!A29</f>
        <v>23</v>
      </c>
      <c r="B25" s="33" t="str">
        <f>ዕቁብ!B29</f>
        <v>ደረጀ ታደግ</v>
      </c>
      <c r="C25" s="48">
        <f>SUM(Sheet4!D26:DQ26)</f>
        <v>103</v>
      </c>
    </row>
    <row r="26" spans="1:3" ht="15.75" customHeight="1" x14ac:dyDescent="0.3">
      <c r="A26" s="33">
        <f>ዕቁብ!A30</f>
        <v>24</v>
      </c>
      <c r="B26" s="33" t="str">
        <f>ዕቁብ!B30</f>
        <v>ስንቅነሽ ጃራ</v>
      </c>
      <c r="C26" s="48">
        <f>SUM(Sheet4!D27:DQ27)</f>
        <v>108</v>
      </c>
    </row>
    <row r="27" spans="1:3" ht="15.75" customHeight="1" x14ac:dyDescent="0.3">
      <c r="A27" s="33">
        <f>ዕቁብ!A31</f>
        <v>25</v>
      </c>
      <c r="B27" s="33" t="str">
        <f>ዕቁብ!B31</f>
        <v>ይድነቃቸው ወ/መስቀል</v>
      </c>
      <c r="C27" s="48">
        <f>SUM(Sheet4!D28:DQ28)</f>
        <v>108</v>
      </c>
    </row>
    <row r="28" spans="1:3" ht="15.75" customHeight="1" x14ac:dyDescent="0.3">
      <c r="A28" s="33">
        <f>ዕቁብ!A32</f>
        <v>26</v>
      </c>
      <c r="B28" s="33" t="str">
        <f>ዕቁብ!B32</f>
        <v>ፈትለወርቅ ታደሰ</v>
      </c>
      <c r="C28" s="48">
        <f>SUM(Sheet4!D29:DQ29)</f>
        <v>108</v>
      </c>
    </row>
    <row r="29" spans="1:3" ht="15.75" customHeight="1" x14ac:dyDescent="0.3">
      <c r="A29" s="33">
        <f>ዕቁብ!A33</f>
        <v>27</v>
      </c>
      <c r="B29" s="33" t="str">
        <f>ዕቁብ!B33</f>
        <v>አንተነህ ግዛዉ</v>
      </c>
      <c r="C29" s="48">
        <f>SUM(Sheet4!D30:DQ30)</f>
        <v>105</v>
      </c>
    </row>
    <row r="30" spans="1:3" ht="15.75" customHeight="1" x14ac:dyDescent="0.3">
      <c r="A30" s="33">
        <f>ዕቁብ!A34</f>
        <v>28</v>
      </c>
      <c r="B30" s="33" t="str">
        <f>ዕቁብ!B34</f>
        <v>ግርማ አበበ</v>
      </c>
      <c r="C30" s="48">
        <f>SUM(Sheet4!D31:DQ31)</f>
        <v>0</v>
      </c>
    </row>
    <row r="31" spans="1:3" ht="15.75" customHeight="1" x14ac:dyDescent="0.3">
      <c r="A31" s="33">
        <f>ዕቁብ!A35</f>
        <v>29</v>
      </c>
      <c r="B31" s="33" t="str">
        <f>ዕቁብ!B35</f>
        <v>መስፍን መንግስቱ</v>
      </c>
      <c r="C31" s="48">
        <f>SUM(Sheet4!D32:DQ32)</f>
        <v>104</v>
      </c>
    </row>
    <row r="32" spans="1:3" ht="15.75" customHeight="1" x14ac:dyDescent="0.3">
      <c r="A32" s="33">
        <f>ዕቁብ!A36</f>
        <v>30</v>
      </c>
      <c r="B32" s="33" t="str">
        <f>ዕቁብ!B36</f>
        <v>እሱባለው ስለሺ</v>
      </c>
      <c r="C32" s="48">
        <f>SUM(Sheet4!D33:DQ33)</f>
        <v>92</v>
      </c>
    </row>
    <row r="33" spans="1:3" ht="15.75" customHeight="1" x14ac:dyDescent="0.3">
      <c r="A33" s="33">
        <f>ዕቁብ!A37</f>
        <v>31</v>
      </c>
      <c r="B33" s="33" t="str">
        <f>ዕቁብ!B37</f>
        <v>ከፈለኝ ፃዲቁ</v>
      </c>
      <c r="C33" s="48">
        <f>SUM(Sheet4!D34:DQ34)</f>
        <v>0</v>
      </c>
    </row>
    <row r="34" spans="1:3" ht="15.75" customHeight="1" x14ac:dyDescent="0.3">
      <c r="A34" s="33">
        <f>ዕቁብ!A38</f>
        <v>32</v>
      </c>
      <c r="B34" s="33" t="str">
        <f>ዕቁብ!B38</f>
        <v>ዳንኤል ጎሌ</v>
      </c>
      <c r="C34" s="48">
        <f>SUM(Sheet4!D35:DQ35)</f>
        <v>108</v>
      </c>
    </row>
    <row r="35" spans="1:3" ht="15.75" customHeight="1" x14ac:dyDescent="0.3">
      <c r="A35" s="33">
        <f>ዕቁብ!A39</f>
        <v>33</v>
      </c>
      <c r="B35" s="33" t="str">
        <f>ዕቁብ!B39</f>
        <v>አየነዉ ፀጋዩ</v>
      </c>
      <c r="C35" s="48">
        <f>SUM(Sheet4!D36:DQ36)</f>
        <v>105</v>
      </c>
    </row>
    <row r="36" spans="1:3" ht="15.75" customHeight="1" x14ac:dyDescent="0.3">
      <c r="A36" s="33">
        <f>ዕቁብ!A40</f>
        <v>34</v>
      </c>
      <c r="B36" s="33" t="str">
        <f>ዕቁብ!B40</f>
        <v>ደሊል ፍሬው</v>
      </c>
      <c r="C36" s="48">
        <f>SUM(Sheet4!D37:DQ37)</f>
        <v>108</v>
      </c>
    </row>
    <row r="37" spans="1:3" ht="15.75" customHeight="1" x14ac:dyDescent="0.3">
      <c r="A37" s="33">
        <f>ዕቁብ!A41</f>
        <v>35</v>
      </c>
      <c r="B37" s="33" t="str">
        <f>ዕቁብ!B41</f>
        <v>ኤርሚያስ ሲራ</v>
      </c>
      <c r="C37" s="48">
        <f>SUM(Sheet4!D38:DQ38)</f>
        <v>101</v>
      </c>
    </row>
    <row r="38" spans="1:3" ht="15.75" customHeight="1" x14ac:dyDescent="0.3">
      <c r="A38" s="33">
        <f>ዕቁብ!A42</f>
        <v>36</v>
      </c>
      <c r="B38" s="33" t="str">
        <f>ዕቁብ!B42</f>
        <v>ቢልቢሎ ቢንቤ</v>
      </c>
      <c r="C38" s="48">
        <f>SUM(Sheet4!D39:DQ39)</f>
        <v>107</v>
      </c>
    </row>
    <row r="39" spans="1:3" ht="15.75" customHeight="1" x14ac:dyDescent="0.3">
      <c r="A39" s="33">
        <f>ዕቁብ!A43</f>
        <v>37</v>
      </c>
      <c r="B39" s="33" t="str">
        <f>ዕቁብ!B43</f>
        <v>ስንቅነሽ ጃራ</v>
      </c>
      <c r="C39" s="48">
        <f>SUM(Sheet4!D40:DQ40)</f>
        <v>107</v>
      </c>
    </row>
    <row r="40" spans="1:3" ht="15.75" customHeight="1" x14ac:dyDescent="0.3">
      <c r="A40" s="33">
        <f>ዕቁብ!A44</f>
        <v>38</v>
      </c>
      <c r="B40" s="33" t="str">
        <f>ዕቁብ!B44</f>
        <v>ሰለሞን ብርቄ</v>
      </c>
      <c r="C40" s="48">
        <f>SUM(Sheet4!D41:DQ41)</f>
        <v>104</v>
      </c>
    </row>
    <row r="41" spans="1:3" ht="15.75" customHeight="1" x14ac:dyDescent="0.3">
      <c r="A41" s="33">
        <f>ዕቁብ!A45</f>
        <v>39</v>
      </c>
      <c r="B41" s="33" t="str">
        <f>ዕቁብ!B45</f>
        <v>ሲሳይ ባህሩ</v>
      </c>
      <c r="C41" s="48">
        <f>SUM(Sheet4!D42:DQ42)</f>
        <v>108</v>
      </c>
    </row>
    <row r="42" spans="1:3" ht="15.75" customHeight="1" x14ac:dyDescent="0.3">
      <c r="A42" s="33">
        <f>ዕቁብ!A46</f>
        <v>40</v>
      </c>
      <c r="B42" s="33" t="str">
        <f>ዕቁብ!B46</f>
        <v xml:space="preserve">ሽታዬ ቦንጌ </v>
      </c>
      <c r="C42" s="48">
        <f>SUM(Sheet4!D43:DQ43)</f>
        <v>105</v>
      </c>
    </row>
    <row r="43" spans="1:3" ht="15.75" customHeight="1" x14ac:dyDescent="0.3">
      <c r="A43" s="33">
        <f>ዕቁብ!A47</f>
        <v>41</v>
      </c>
      <c r="B43" s="33" t="str">
        <f>ዕቁብ!B47</f>
        <v>ኡሬሳ ኡርሳ</v>
      </c>
      <c r="C43" s="48">
        <f>SUM(Sheet4!D44:DQ44)</f>
        <v>106</v>
      </c>
    </row>
    <row r="44" spans="1:3" ht="15.75" customHeight="1" x14ac:dyDescent="0.3">
      <c r="A44" s="33">
        <f>ዕቁብ!A48</f>
        <v>42</v>
      </c>
      <c r="B44" s="33" t="str">
        <f>ዕቁብ!B48</f>
        <v>አሸናፊ ጨመረ</v>
      </c>
      <c r="C44" s="48">
        <f>SUM(Sheet4!D45:DQ45)</f>
        <v>104</v>
      </c>
    </row>
    <row r="45" spans="1:3" ht="15.75" customHeight="1" x14ac:dyDescent="0.3">
      <c r="A45" s="33">
        <f>ዕቁብ!A49</f>
        <v>43</v>
      </c>
      <c r="B45" s="33" t="str">
        <f>ዕቁብ!B49</f>
        <v>አሸናፊ ጨመረ</v>
      </c>
      <c r="C45" s="48">
        <f>SUM(Sheet4!D46:DQ46)</f>
        <v>104</v>
      </c>
    </row>
    <row r="46" spans="1:3" ht="15.75" customHeight="1" x14ac:dyDescent="0.3">
      <c r="A46" s="33">
        <f>ዕቁብ!A50</f>
        <v>44</v>
      </c>
      <c r="B46" s="33" t="str">
        <f>ዕቁብ!B50</f>
        <v>አሸናፊ ጨመረ</v>
      </c>
      <c r="C46" s="48">
        <f>SUM(Sheet4!D47:DQ47)</f>
        <v>104</v>
      </c>
    </row>
    <row r="47" spans="1:3" ht="15.75" customHeight="1" x14ac:dyDescent="0.3">
      <c r="A47" s="33">
        <f>ዕቁብ!A51</f>
        <v>45</v>
      </c>
      <c r="B47" s="33" t="str">
        <f>ዕቁብ!B51</f>
        <v>አሸናፊ ጨመረ</v>
      </c>
      <c r="C47" s="48">
        <f>SUM(Sheet4!D48:DQ48)</f>
        <v>104</v>
      </c>
    </row>
    <row r="48" spans="1:3" ht="15.75" customHeight="1" x14ac:dyDescent="0.3">
      <c r="A48" s="33">
        <f>ዕቁብ!A52</f>
        <v>46</v>
      </c>
      <c r="B48" s="33" t="str">
        <f>ዕቁብ!B52</f>
        <v>ማሩ ዱቤ</v>
      </c>
      <c r="C48" s="48">
        <f>SUM(Sheet4!D49:DQ49)</f>
        <v>108</v>
      </c>
    </row>
    <row r="49" spans="1:3" ht="15.75" customHeight="1" x14ac:dyDescent="0.3">
      <c r="A49" s="33">
        <f>ዕቁብ!A53</f>
        <v>47</v>
      </c>
      <c r="B49" s="33" t="str">
        <f>ዕቁብ!B53</f>
        <v xml:space="preserve">ሞገስ ግርማ </v>
      </c>
      <c r="C49" s="48">
        <f>SUM(Sheet4!D50:DQ50)</f>
        <v>107</v>
      </c>
    </row>
    <row r="50" spans="1:3" ht="15.75" customHeight="1" x14ac:dyDescent="0.3">
      <c r="A50" s="33">
        <f>ዕቁብ!A54</f>
        <v>48</v>
      </c>
      <c r="B50" s="33" t="str">
        <f>ዕቁብ!B54</f>
        <v>ደርጋሶ ደንዴ</v>
      </c>
      <c r="C50" s="48">
        <f>SUM(Sheet4!D51:DQ51)</f>
        <v>104</v>
      </c>
    </row>
    <row r="51" spans="1:3" ht="15.75" customHeight="1" x14ac:dyDescent="0.3">
      <c r="A51" s="33">
        <f>ዕቁብ!A55</f>
        <v>49</v>
      </c>
      <c r="B51" s="33" t="str">
        <f>ዕቁብ!B55</f>
        <v>ተረፈ ዓለሙ</v>
      </c>
      <c r="C51" s="48">
        <f>SUM(Sheet4!D52:DQ52)</f>
        <v>108</v>
      </c>
    </row>
    <row r="52" spans="1:3" ht="15.75" customHeight="1" x14ac:dyDescent="0.3">
      <c r="A52" s="33">
        <f>ዕቁብ!A56</f>
        <v>50</v>
      </c>
      <c r="B52" s="33" t="str">
        <f>ዕቁብ!B56</f>
        <v>ሀብታሙ አበራ</v>
      </c>
      <c r="C52" s="48">
        <f>SUM(Sheet4!D53:DQ53)</f>
        <v>104</v>
      </c>
    </row>
    <row r="53" spans="1:3" ht="15.75" customHeight="1" x14ac:dyDescent="0.3">
      <c r="A53" s="33">
        <f>ዕቁብ!A57</f>
        <v>51</v>
      </c>
      <c r="B53" s="33" t="str">
        <f>ዕቁብ!B57</f>
        <v>ሳምሶን ጀማል</v>
      </c>
      <c r="C53" s="48">
        <f>SUM(Sheet4!D54:DQ54)</f>
        <v>107</v>
      </c>
    </row>
    <row r="54" spans="1:3" ht="15.75" customHeight="1" x14ac:dyDescent="0.3">
      <c r="A54" s="33">
        <f>ዕቁብ!A58</f>
        <v>52</v>
      </c>
      <c r="B54" s="33" t="str">
        <f>ዕቁብ!B58</f>
        <v>ኤርሚያስ ፊሎ</v>
      </c>
      <c r="C54" s="48">
        <f>SUM(Sheet4!D55:DQ55)</f>
        <v>106</v>
      </c>
    </row>
    <row r="55" spans="1:3" ht="15.75" customHeight="1" x14ac:dyDescent="0.3">
      <c r="A55" s="33">
        <f>ዕቁብ!A59</f>
        <v>53</v>
      </c>
      <c r="B55" s="33" t="str">
        <f>ዕቁብ!B59</f>
        <v>ሙሴ ዳንኤል</v>
      </c>
      <c r="C55" s="48">
        <f>SUM(Sheet4!D56:DQ56)</f>
        <v>107</v>
      </c>
    </row>
    <row r="56" spans="1:3" ht="15.75" customHeight="1" x14ac:dyDescent="0.3">
      <c r="A56" s="33">
        <f>ዕቁብ!A60</f>
        <v>54</v>
      </c>
      <c r="B56" s="33" t="str">
        <f>ዕቁብ!B60</f>
        <v>ሽመልስ ሽብሩ</v>
      </c>
      <c r="C56" s="48">
        <f>SUM(Sheet4!D57:DQ57)</f>
        <v>99</v>
      </c>
    </row>
    <row r="57" spans="1:3" ht="15.75" customHeight="1" x14ac:dyDescent="0.3">
      <c r="A57" s="33">
        <f>ዕቁብ!A61</f>
        <v>55</v>
      </c>
      <c r="B57" s="33" t="str">
        <f>ዕቁብ!B61</f>
        <v>ጌታቸው በቀለ</v>
      </c>
      <c r="C57" s="48">
        <f>SUM(Sheet4!D58:DQ58)</f>
        <v>106</v>
      </c>
    </row>
    <row r="58" spans="1:3" ht="15.75" customHeight="1" x14ac:dyDescent="0.3">
      <c r="A58" s="33">
        <f>ዕቁብ!A62</f>
        <v>56</v>
      </c>
      <c r="B58" s="33" t="str">
        <f>ዕቁብ!B62</f>
        <v>ከፈለኝ ፃዲቁ</v>
      </c>
      <c r="C58" s="48">
        <f>SUM(Sheet4!D59:DQ59)</f>
        <v>0</v>
      </c>
    </row>
    <row r="59" spans="1:3" ht="15.75" customHeight="1" x14ac:dyDescent="0.3">
      <c r="A59" s="33">
        <f>ዕቁብ!A63</f>
        <v>57</v>
      </c>
      <c r="B59" s="33" t="str">
        <f>ዕቁብ!B63</f>
        <v>ተዘራ ታመነ</v>
      </c>
      <c r="C59" s="48">
        <f>SUM(Sheet4!D60:DQ60)</f>
        <v>99</v>
      </c>
    </row>
    <row r="60" spans="1:3" ht="15.75" customHeight="1" x14ac:dyDescent="0.3">
      <c r="A60" s="33">
        <f>ዕቁብ!A64</f>
        <v>58</v>
      </c>
      <c r="B60" s="33" t="str">
        <f>ዕቁብ!B64</f>
        <v>ሙሉስው ዘገየ</v>
      </c>
      <c r="C60" s="48">
        <f>SUM(Sheet4!D61:DQ61)</f>
        <v>106</v>
      </c>
    </row>
    <row r="61" spans="1:3" ht="15.75" customHeight="1" x14ac:dyDescent="0.3">
      <c r="A61" s="33">
        <f>ዕቁብ!A65</f>
        <v>59</v>
      </c>
      <c r="B61" s="33" t="str">
        <f>ዕቁብ!B65</f>
        <v>ገነት ገ /ፃዲቅ</v>
      </c>
      <c r="C61" s="48">
        <f>SUM(Sheet4!D62:DQ62)</f>
        <v>108</v>
      </c>
    </row>
    <row r="62" spans="1:3" ht="15.75" customHeight="1" x14ac:dyDescent="0.3">
      <c r="A62" s="33">
        <f>ዕቁብ!A66</f>
        <v>60</v>
      </c>
      <c r="B62" s="33" t="str">
        <f>ዕቁብ!B66</f>
        <v>አለሙ ሽመልስ</v>
      </c>
      <c r="C62" s="48">
        <f>SUM(Sheet4!D63:DQ63)</f>
        <v>108</v>
      </c>
    </row>
    <row r="63" spans="1:3" ht="15.75" customHeight="1" x14ac:dyDescent="0.3">
      <c r="A63" s="33">
        <f>ዕቁብ!A67</f>
        <v>61</v>
      </c>
      <c r="B63" s="33" t="str">
        <f>ዕቁብ!B67</f>
        <v>አልማዝ ደምሴ</v>
      </c>
      <c r="C63" s="48">
        <f>SUM(Sheet4!D64:DQ64)</f>
        <v>103</v>
      </c>
    </row>
    <row r="64" spans="1:3" ht="15.75" customHeight="1" x14ac:dyDescent="0.3">
      <c r="A64" s="33">
        <f>ዕቁብ!A68</f>
        <v>62</v>
      </c>
      <c r="B64" s="33" t="str">
        <f>ዕቁብ!B68</f>
        <v>ዳንኤል ጎሌ</v>
      </c>
      <c r="C64" s="48">
        <f>SUM(Sheet4!D65:DQ65)</f>
        <v>108</v>
      </c>
    </row>
    <row r="65" spans="1:3" ht="15.75" customHeight="1" x14ac:dyDescent="0.3">
      <c r="A65" s="33">
        <f>ዕቁብ!A69</f>
        <v>63</v>
      </c>
      <c r="B65" s="33" t="str">
        <f>ዕቁብ!B69</f>
        <v>ፍቅሩ ሰጋሮ</v>
      </c>
      <c r="C65" s="48">
        <f>SUM(Sheet4!D66:DQ66)</f>
        <v>102</v>
      </c>
    </row>
    <row r="66" spans="1:3" ht="15.75" customHeight="1" x14ac:dyDescent="0.3">
      <c r="A66" s="33">
        <f>ዕቁብ!A70</f>
        <v>64</v>
      </c>
      <c r="B66" s="33" t="str">
        <f>ዕቁብ!B70</f>
        <v xml:space="preserve">ቴዎድሮስ ጌታቸው </v>
      </c>
      <c r="C66" s="48">
        <f>SUM(Sheet4!D67:DQ67)</f>
        <v>108</v>
      </c>
    </row>
    <row r="67" spans="1:3" ht="15.75" customHeight="1" x14ac:dyDescent="0.3">
      <c r="A67" s="33">
        <f>ዕቁብ!A71</f>
        <v>65</v>
      </c>
      <c r="B67" s="33" t="str">
        <f>ዕቁብ!B71</f>
        <v>ሀጊርሶ ጤሴጎ</v>
      </c>
      <c r="C67" s="48">
        <f>SUM(Sheet4!D68:DQ68)</f>
        <v>103</v>
      </c>
    </row>
    <row r="68" spans="1:3" ht="15.75" customHeight="1" x14ac:dyDescent="0.3">
      <c r="A68" s="33">
        <f>ዕቁብ!A72</f>
        <v>66</v>
      </c>
      <c r="B68" s="33" t="str">
        <f>ዕቁብ!B72</f>
        <v>ለገሰ አሸናፊ</v>
      </c>
      <c r="C68" s="48">
        <f>SUM(Sheet4!D69:DQ69)</f>
        <v>53</v>
      </c>
    </row>
    <row r="69" spans="1:3" ht="15.75" customHeight="1" x14ac:dyDescent="0.3">
      <c r="A69" s="33">
        <f>ዕቁብ!A73</f>
        <v>67</v>
      </c>
      <c r="B69" s="33" t="str">
        <f>ዕቁብ!B73</f>
        <v>ሽፈራው ወርቁ</v>
      </c>
      <c r="C69" s="48">
        <f>SUM(Sheet4!D70:DQ70)</f>
        <v>108</v>
      </c>
    </row>
    <row r="70" spans="1:3" ht="15.75" customHeight="1" x14ac:dyDescent="0.3">
      <c r="A70" s="33">
        <f>ዕቁብ!A74</f>
        <v>68</v>
      </c>
      <c r="B70" s="33" t="str">
        <f>ዕቁብ!B74</f>
        <v>አማረ ወርቁ</v>
      </c>
      <c r="C70" s="48">
        <f>SUM(Sheet4!D71:DQ71)</f>
        <v>91</v>
      </c>
    </row>
    <row r="71" spans="1:3" ht="15.75" customHeight="1" x14ac:dyDescent="0.3">
      <c r="A71" s="33">
        <f>ዕቁብ!A75</f>
        <v>69</v>
      </c>
      <c r="B71" s="33" t="str">
        <f>ዕቁብ!B75</f>
        <v>ሄኖክ በቀለ</v>
      </c>
      <c r="C71" s="48">
        <f>SUM(Sheet4!D72:DQ72)</f>
        <v>101</v>
      </c>
    </row>
    <row r="72" spans="1:3" ht="15.75" customHeight="1" x14ac:dyDescent="0.3">
      <c r="A72" s="33">
        <f>ዕቁብ!A76</f>
        <v>70</v>
      </c>
      <c r="B72" s="33" t="str">
        <f>ዕቁብ!B76</f>
        <v>ጥሩወርቅ አንዳርጌ</v>
      </c>
      <c r="C72" s="48">
        <f>SUM(Sheet4!D73:DQ73)</f>
        <v>102</v>
      </c>
    </row>
    <row r="73" spans="1:3" ht="15.75" customHeight="1" x14ac:dyDescent="0.3">
      <c r="A73" s="33">
        <f>ዕቁብ!A77</f>
        <v>71</v>
      </c>
      <c r="B73" s="33" t="str">
        <f>ዕቁብ!B77</f>
        <v>እስራኤል ዩናስ</v>
      </c>
      <c r="C73" s="48">
        <f>SUM(Sheet4!D74:DQ74)</f>
        <v>101</v>
      </c>
    </row>
    <row r="74" spans="1:3" ht="15.75" customHeight="1" x14ac:dyDescent="0.3">
      <c r="A74" s="33">
        <f>ዕቁብ!A78</f>
        <v>72</v>
      </c>
      <c r="B74" s="33" t="str">
        <f>ዕቁብ!B78</f>
        <v>እንግዳ ካሳዬ</v>
      </c>
      <c r="C74" s="48">
        <f>SUM(Sheet4!D75:DQ75)</f>
        <v>99</v>
      </c>
    </row>
    <row r="75" spans="1:3" ht="15.75" customHeight="1" x14ac:dyDescent="0.3">
      <c r="A75" s="33">
        <f>ዕቁብ!A79</f>
        <v>73</v>
      </c>
      <c r="B75" s="33" t="str">
        <f>ዕቁብ!B79</f>
        <v>ሲሳይ ይልማ</v>
      </c>
      <c r="C75" s="48">
        <f>SUM(Sheet4!D76:DQ76)</f>
        <v>108</v>
      </c>
    </row>
    <row r="76" spans="1:3" ht="15.75" customHeight="1" x14ac:dyDescent="0.3">
      <c r="A76" s="33">
        <f>ዕቁብ!A80</f>
        <v>74</v>
      </c>
      <c r="B76" s="33" t="str">
        <f>ዕቁብ!B80</f>
        <v>ይርዳቸዉ ኤርሚያስ</v>
      </c>
      <c r="C76" s="48">
        <f>SUM(Sheet4!D77:DQ77)</f>
        <v>91</v>
      </c>
    </row>
    <row r="77" spans="1:3" ht="15.75" customHeight="1" x14ac:dyDescent="0.3">
      <c r="A77" s="33">
        <f>ዕቁብ!A81</f>
        <v>75</v>
      </c>
      <c r="B77" s="33" t="str">
        <f>ዕቁብ!B81</f>
        <v>ጌቱ በቀለ</v>
      </c>
      <c r="C77" s="48">
        <f>SUM(Sheet4!D78:DQ78)</f>
        <v>101</v>
      </c>
    </row>
    <row r="78" spans="1:3" ht="15.75" customHeight="1" x14ac:dyDescent="0.3">
      <c r="A78" s="33">
        <f>ዕቁብ!A82</f>
        <v>76</v>
      </c>
      <c r="B78" s="33" t="str">
        <f>ዕቁብ!B82</f>
        <v>ሽፈራዉ ከበደ</v>
      </c>
      <c r="C78" s="48">
        <f>SUM(Sheet4!D79:DQ79)</f>
        <v>107</v>
      </c>
    </row>
    <row r="79" spans="1:3" ht="15.75" customHeight="1" x14ac:dyDescent="0.3">
      <c r="A79" s="33">
        <f>ዕቁብ!A83</f>
        <v>77</v>
      </c>
      <c r="B79" s="33" t="str">
        <f>ዕቁብ!B83</f>
        <v>አስቴር ገ/ፃዲቅ</v>
      </c>
      <c r="C79" s="48">
        <f>SUM(Sheet4!D80:DQ80)</f>
        <v>108</v>
      </c>
    </row>
    <row r="80" spans="1:3" ht="15.75" customHeight="1" x14ac:dyDescent="0.3">
      <c r="A80" s="33">
        <f>ዕቁብ!A84</f>
        <v>78</v>
      </c>
      <c r="B80" s="33" t="str">
        <f>ዕቁብ!B84</f>
        <v>መለሰ ከለቻ</v>
      </c>
      <c r="C80" s="48">
        <f>SUM(Sheet4!D81:DQ81)</f>
        <v>107</v>
      </c>
    </row>
    <row r="81" spans="1:3" ht="15.75" customHeight="1" x14ac:dyDescent="0.3">
      <c r="A81" s="33">
        <f>ዕቁብ!A85</f>
        <v>79</v>
      </c>
      <c r="B81" s="33" t="str">
        <f>ዕቁብ!B85</f>
        <v>ሻምበል ሚልክያስ</v>
      </c>
      <c r="C81" s="48">
        <f>SUM(Sheet4!D82:DQ82)</f>
        <v>106</v>
      </c>
    </row>
    <row r="82" spans="1:3" ht="15.75" customHeight="1" x14ac:dyDescent="0.3">
      <c r="A82" s="33">
        <f>ዕቁብ!A86</f>
        <v>80</v>
      </c>
      <c r="B82" s="33" t="str">
        <f>ዕቁብ!B86</f>
        <v>አክሊሉ አጥናፉ</v>
      </c>
      <c r="C82" s="48">
        <f>SUM(Sheet4!D83:DQ83)</f>
        <v>94</v>
      </c>
    </row>
    <row r="83" spans="1:3" ht="15.75" customHeight="1" x14ac:dyDescent="0.3">
      <c r="A83" s="33">
        <f>ዕቁብ!A87</f>
        <v>81</v>
      </c>
      <c r="B83" s="33" t="str">
        <f>ዕቁብ!B87</f>
        <v>ታምራት ወርቁ</v>
      </c>
      <c r="C83" s="48">
        <f>SUM(Sheet4!D84:DQ84)</f>
        <v>85</v>
      </c>
    </row>
    <row r="84" spans="1:3" ht="15.75" customHeight="1" x14ac:dyDescent="0.3">
      <c r="A84" s="33">
        <f>ዕቁብ!A88</f>
        <v>82</v>
      </c>
      <c r="B84" s="33" t="str">
        <f>ዕቁብ!B88</f>
        <v>አዲሱ ግሼ</v>
      </c>
      <c r="C84" s="48">
        <f>SUM(Sheet4!D85:DQ85)</f>
        <v>106</v>
      </c>
    </row>
    <row r="85" spans="1:3" ht="15.75" customHeight="1" x14ac:dyDescent="0.3">
      <c r="A85" s="33">
        <f>ዕቁብ!A89</f>
        <v>83</v>
      </c>
      <c r="B85" s="33" t="str">
        <f>ዕቁብ!B89</f>
        <v>ዘለቀ አከ</v>
      </c>
      <c r="C85" s="48">
        <f>SUM(Sheet4!D86:DQ86)</f>
        <v>104</v>
      </c>
    </row>
    <row r="86" spans="1:3" ht="15.75" customHeight="1" x14ac:dyDescent="0.3">
      <c r="A86" s="33">
        <f>ዕቁብ!A90</f>
        <v>84</v>
      </c>
      <c r="B86" s="33" t="str">
        <f>ዕቁብ!B90</f>
        <v>ከፈለኝ ፃዲቁ</v>
      </c>
      <c r="C86" s="48">
        <f>SUM(Sheet4!D87:DQ87)</f>
        <v>0</v>
      </c>
    </row>
    <row r="87" spans="1:3" ht="15.75" customHeight="1" x14ac:dyDescent="0.3">
      <c r="A87" s="33">
        <f>ዕቁብ!A91</f>
        <v>85</v>
      </c>
      <c r="B87" s="33" t="str">
        <f>ዕቁብ!B91</f>
        <v>ጋቶ ጋሌ</v>
      </c>
      <c r="C87" s="48">
        <f>SUM(Sheet4!D88:DQ88)</f>
        <v>107</v>
      </c>
    </row>
    <row r="88" spans="1:3" ht="15.75" customHeight="1" x14ac:dyDescent="0.3">
      <c r="A88" s="33">
        <f>ዕቁብ!A92</f>
        <v>86</v>
      </c>
      <c r="B88" s="33" t="str">
        <f>ዕቁብ!B92</f>
        <v xml:space="preserve">ቀሬ ቀማቾ </v>
      </c>
      <c r="C88" s="48">
        <f>SUM(Sheet4!D89:DQ89)</f>
        <v>101</v>
      </c>
    </row>
    <row r="89" spans="1:3" ht="15.75" customHeight="1" x14ac:dyDescent="0.3">
      <c r="A89" s="33">
        <f>ዕቁብ!A93</f>
        <v>87</v>
      </c>
      <c r="B89" s="33" t="str">
        <f>ዕቁብ!B93</f>
        <v>ሀብታሙ ቀሬ</v>
      </c>
      <c r="C89" s="48">
        <f>SUM(Sheet4!D90:DQ90)</f>
        <v>101</v>
      </c>
    </row>
    <row r="90" spans="1:3" ht="15.75" customHeight="1" x14ac:dyDescent="0.3">
      <c r="A90" s="33">
        <f>ዕቁብ!A94</f>
        <v>88</v>
      </c>
      <c r="B90" s="33" t="str">
        <f>ዕቁብ!B94</f>
        <v xml:space="preserve">ኢዮብ ዋኬኖ </v>
      </c>
      <c r="C90" s="48">
        <f>SUM(Sheet4!D91:DQ91)</f>
        <v>103</v>
      </c>
    </row>
    <row r="91" spans="1:3" ht="15.75" customHeight="1" x14ac:dyDescent="0.3">
      <c r="A91" s="33">
        <f>ዕቁብ!A95</f>
        <v>89</v>
      </c>
      <c r="B91" s="33" t="str">
        <f>ዕቁብ!B95</f>
        <v xml:space="preserve">ስለሺ ግርማ </v>
      </c>
      <c r="C91" s="48">
        <f>SUM(Sheet4!D92:DQ92)</f>
        <v>108</v>
      </c>
    </row>
    <row r="92" spans="1:3" ht="15.75" customHeight="1" x14ac:dyDescent="0.3">
      <c r="A92" s="33">
        <f>ዕቁብ!A96</f>
        <v>90</v>
      </c>
      <c r="B92" s="33" t="str">
        <f>ዕቁብ!B96</f>
        <v>ሰለሞን ግርማ</v>
      </c>
      <c r="C92" s="48">
        <f>SUM(Sheet4!D93:DQ93)</f>
        <v>104</v>
      </c>
    </row>
    <row r="93" spans="1:3" ht="15.75" customHeight="1" x14ac:dyDescent="0.3">
      <c r="A93" s="33">
        <f>ዕቁብ!A97</f>
        <v>91</v>
      </c>
      <c r="B93" s="33" t="str">
        <f>ዕቁብ!B97</f>
        <v xml:space="preserve">ሄኖክ ቶሎሳ </v>
      </c>
      <c r="C93" s="48">
        <f>SUM(Sheet4!D94:DQ94)</f>
        <v>104</v>
      </c>
    </row>
    <row r="94" spans="1:3" ht="15.75" customHeight="1" x14ac:dyDescent="0.3">
      <c r="A94" s="33">
        <f>ዕቁብ!A98</f>
        <v>92</v>
      </c>
      <c r="B94" s="33" t="str">
        <f>ዕቁብ!B98</f>
        <v>ያዕቆብ ይቱራ</v>
      </c>
      <c r="C94" s="48">
        <f>SUM(Sheet4!D95:DQ95)</f>
        <v>102</v>
      </c>
    </row>
    <row r="95" spans="1:3" ht="15.75" customHeight="1" x14ac:dyDescent="0.3">
      <c r="A95" s="33">
        <f>ዕቁብ!A99</f>
        <v>93</v>
      </c>
      <c r="B95" s="33" t="str">
        <f>ዕቁብ!B99</f>
        <v>እንግዳ ካሳዬ</v>
      </c>
      <c r="C95" s="48">
        <f>SUM(Sheet4!D96:DQ96)</f>
        <v>99</v>
      </c>
    </row>
    <row r="96" spans="1:3" ht="15.75" customHeight="1" x14ac:dyDescent="0.3">
      <c r="A96" s="33">
        <f>ዕቁብ!A100</f>
        <v>94</v>
      </c>
      <c r="B96" s="33" t="str">
        <f>ዕቁብ!B100</f>
        <v xml:space="preserve">ዬሐንስ ከበደ </v>
      </c>
      <c r="C96" s="48">
        <f>SUM(Sheet4!D97:DQ97)</f>
        <v>107</v>
      </c>
    </row>
    <row r="97" spans="1:3" ht="15.75" customHeight="1" x14ac:dyDescent="0.3">
      <c r="A97" s="33">
        <f>ዕቁብ!A101</f>
        <v>94</v>
      </c>
      <c r="B97" s="33" t="str">
        <f>ዕቁብ!B101</f>
        <v>እያሱ ዎታንጎ</v>
      </c>
      <c r="C97" s="48">
        <f>SUM(Sheet4!D98:DQ98)</f>
        <v>103</v>
      </c>
    </row>
    <row r="98" spans="1:3" ht="15.75" customHeight="1" x14ac:dyDescent="0.3">
      <c r="A98" s="33">
        <f>ዕቁብ!A102</f>
        <v>95</v>
      </c>
      <c r="B98" s="33" t="str">
        <f>ዕቁብ!B102</f>
        <v xml:space="preserve">ዳናዋ ደምሴ </v>
      </c>
      <c r="C98" s="48">
        <f>SUM(Sheet4!D99:DQ99)</f>
        <v>77</v>
      </c>
    </row>
    <row r="99" spans="1:3" ht="15.75" customHeight="1" x14ac:dyDescent="0.3">
      <c r="A99" s="33">
        <f>ዕቁብ!A103</f>
        <v>95</v>
      </c>
      <c r="B99" s="33" t="str">
        <f>ዕቁብ!B103</f>
        <v>ዶክተር ጠቃ</v>
      </c>
      <c r="C99" s="48">
        <f>SUM(Sheet4!D100:DQ100)</f>
        <v>98</v>
      </c>
    </row>
    <row r="100" spans="1:3" ht="15.75" customHeight="1" x14ac:dyDescent="0.3">
      <c r="A100" s="33">
        <f>ዕቁብ!A104</f>
        <v>96</v>
      </c>
      <c r="B100" s="33" t="str">
        <f>ዕቁብ!B104</f>
        <v xml:space="preserve">ታሪኩ ካርሎስ </v>
      </c>
      <c r="C100" s="48">
        <f>SUM(Sheet4!D101:DQ101)</f>
        <v>106</v>
      </c>
    </row>
    <row r="101" spans="1:3" ht="15.75" customHeight="1" x14ac:dyDescent="0.3">
      <c r="A101" s="33">
        <f>ዕቁብ!A105</f>
        <v>96</v>
      </c>
      <c r="B101" s="33" t="str">
        <f>ዕቁብ!B105</f>
        <v>እንግዳ ካሳዬ</v>
      </c>
      <c r="C101" s="48">
        <f>SUM(Sheet4!D102:DQ102)</f>
        <v>97</v>
      </c>
    </row>
    <row r="102" spans="1:3" ht="15.75" customHeight="1" x14ac:dyDescent="0.3">
      <c r="A102" s="33">
        <f>ዕቁብ!A106</f>
        <v>97</v>
      </c>
      <c r="B102" s="33" t="str">
        <f>ዕቁብ!B106</f>
        <v xml:space="preserve">ሙሄድን አህመድ </v>
      </c>
      <c r="C102" s="48">
        <f>SUM(Sheet4!D103:DQ103)</f>
        <v>91</v>
      </c>
    </row>
    <row r="103" spans="1:3" ht="15.75" customHeight="1" x14ac:dyDescent="0.3">
      <c r="A103" s="33">
        <f>ዕቁብ!A107</f>
        <v>97</v>
      </c>
      <c r="B103" s="33" t="str">
        <f>ዕቁብ!B107</f>
        <v xml:space="preserve">እዮብ ደርቤ </v>
      </c>
      <c r="C103" s="48">
        <f>SUM(Sheet4!D104:DQ104)</f>
        <v>89</v>
      </c>
    </row>
    <row r="104" spans="1:3" ht="15.75" customHeight="1" x14ac:dyDescent="0.3">
      <c r="A104" s="33">
        <f>ዕቁብ!A108</f>
        <v>98</v>
      </c>
      <c r="B104" s="33" t="str">
        <f>ዕቁብ!B108</f>
        <v>ኢትዮጽያ አንዳርጌ</v>
      </c>
      <c r="C104" s="48">
        <f>SUM(Sheet4!D105:DQ105)</f>
        <v>102</v>
      </c>
    </row>
    <row r="105" spans="1:3" ht="15.75" customHeight="1" x14ac:dyDescent="0.3">
      <c r="A105" s="33">
        <f>ዕቁብ!A109</f>
        <v>98</v>
      </c>
      <c r="B105" s="33" t="str">
        <f>ዕቁብ!B109</f>
        <v xml:space="preserve">ፀጋዬ ቡጤ </v>
      </c>
      <c r="C105" s="48">
        <f>SUM(Sheet4!D106:DQ106)</f>
        <v>105</v>
      </c>
    </row>
    <row r="106" spans="1:3" ht="15.75" customHeight="1" x14ac:dyDescent="0.3">
      <c r="A106" s="33">
        <f>ዕቁብ!A110</f>
        <v>99</v>
      </c>
      <c r="B106" s="33" t="str">
        <f>ዕቁብ!B110</f>
        <v>መኮንን ሰኬሎ</v>
      </c>
      <c r="C106" s="48">
        <f>SUM(Sheet4!D107:DQ107)</f>
        <v>104</v>
      </c>
    </row>
    <row r="107" spans="1:3" ht="15.75" customHeight="1" x14ac:dyDescent="0.3">
      <c r="A107" s="33">
        <f>ዕቁብ!A111</f>
        <v>99</v>
      </c>
      <c r="B107" s="33" t="str">
        <f>ዕቁብ!B111</f>
        <v xml:space="preserve">ፍቃዱ ባልቻ </v>
      </c>
      <c r="C107" s="48">
        <f>SUM(Sheet4!D108:DQ108)</f>
        <v>7</v>
      </c>
    </row>
    <row r="108" spans="1:3" ht="15.75" customHeight="1" x14ac:dyDescent="0.3">
      <c r="A108" s="33">
        <f>ዕቁብ!A112</f>
        <v>100</v>
      </c>
      <c r="B108" s="33" t="str">
        <f>ዕቁብ!B112</f>
        <v>ሮዛ ተስፋማርያም</v>
      </c>
      <c r="C108" s="48">
        <f>SUM(Sheet4!D109:DQ109)</f>
        <v>66</v>
      </c>
    </row>
    <row r="109" spans="1:3" ht="15.75" customHeight="1" x14ac:dyDescent="0.3">
      <c r="A109" s="33">
        <f>ዕቁብ!A113</f>
        <v>100</v>
      </c>
      <c r="B109" s="33" t="str">
        <f>ዕቁብ!B113</f>
        <v xml:space="preserve">ዘመዱ ሸኖ </v>
      </c>
      <c r="C109" s="48">
        <f>SUM(Sheet4!D110:DQ110)</f>
        <v>107</v>
      </c>
    </row>
    <row r="110" spans="1:3" ht="15.75" customHeight="1" x14ac:dyDescent="0.3">
      <c r="A110" s="33">
        <f>ዕቁብ!A114</f>
        <v>101</v>
      </c>
      <c r="B110" s="33" t="str">
        <f>ዕቁብ!B114</f>
        <v>ሰጋሮ ገለሶ</v>
      </c>
      <c r="C110" s="48">
        <f>SUM(Sheet4!D111:DQ111)</f>
        <v>102</v>
      </c>
    </row>
    <row r="111" spans="1:3" ht="15.75" customHeight="1" x14ac:dyDescent="0.3">
      <c r="A111" s="33">
        <f>ዕቁብ!A115</f>
        <v>101</v>
      </c>
      <c r="B111" s="33" t="str">
        <f>ዕቁብ!B115</f>
        <v xml:space="preserve">ስካሬ ደጋጋ </v>
      </c>
      <c r="C111" s="48">
        <f>SUM(Sheet4!D112:DQ112)</f>
        <v>108</v>
      </c>
    </row>
    <row r="112" spans="1:3" ht="15.75" customHeight="1" x14ac:dyDescent="0.3">
      <c r="A112" s="33">
        <f>ዕቁብ!A116</f>
        <v>102</v>
      </c>
      <c r="B112" s="33" t="str">
        <f>ዕቁብ!B116</f>
        <v>ዳንኤል ጎሌ</v>
      </c>
      <c r="C112" s="48">
        <f>SUM(Sheet4!D113:DQ113)</f>
        <v>107</v>
      </c>
    </row>
    <row r="113" spans="1:3" ht="15.75" customHeight="1" x14ac:dyDescent="0.3">
      <c r="A113" s="33">
        <f>ዕቁብ!A117</f>
        <v>103</v>
      </c>
      <c r="B113" s="33" t="str">
        <f>ዕቁብ!B117</f>
        <v>ወንድሙ ስንታየሁ</v>
      </c>
      <c r="C113" s="48">
        <f>SUM(Sheet4!D114:DQ114)</f>
        <v>99</v>
      </c>
    </row>
    <row r="114" spans="1:3" ht="15.75" customHeight="1" x14ac:dyDescent="0.3">
      <c r="A114" s="33">
        <f>ዕቁብ!A118</f>
        <v>103</v>
      </c>
      <c r="B114" s="33" t="str">
        <f>ዕቁብ!B118</f>
        <v>አንበሴ ማናዩ</v>
      </c>
      <c r="C114" s="48">
        <f>SUM(Sheet4!D115:DQ115)</f>
        <v>93</v>
      </c>
    </row>
    <row r="115" spans="1:3" ht="15.75" customHeight="1" x14ac:dyDescent="0.3">
      <c r="A115" s="33">
        <f>ዕቁብ!A119</f>
        <v>104</v>
      </c>
      <c r="B115" s="33" t="str">
        <f>ዕቁብ!B119</f>
        <v xml:space="preserve">ሴም ገብራይ </v>
      </c>
      <c r="C115" s="48">
        <f>SUM(Sheet4!D116:DQ116)</f>
        <v>108</v>
      </c>
    </row>
    <row r="116" spans="1:3" ht="15.75" customHeight="1" x14ac:dyDescent="0.3">
      <c r="A116" s="33">
        <f>ዕቁብ!A120</f>
        <v>104</v>
      </c>
      <c r="B116" s="33" t="str">
        <f>ዕቁብ!B120</f>
        <v>ሙሉአባይ መለሰ</v>
      </c>
      <c r="C116" s="48">
        <f>SUM(Sheet4!D117:DQ117)</f>
        <v>107</v>
      </c>
    </row>
    <row r="117" spans="1:3" ht="15.75" customHeight="1" x14ac:dyDescent="0.3">
      <c r="A117" s="33">
        <f>ዕቁብ!A121</f>
        <v>105</v>
      </c>
      <c r="B117" s="33" t="str">
        <f>ዕቁብ!B121</f>
        <v>ደስታ ቶሎሳ</v>
      </c>
      <c r="C117" s="48">
        <f>SUM(Sheet4!D118:DQ118)</f>
        <v>101</v>
      </c>
    </row>
    <row r="118" spans="1:3" ht="15.75" customHeight="1" x14ac:dyDescent="0.3">
      <c r="A118" s="33">
        <f>ዕቁብ!A122</f>
        <v>105</v>
      </c>
      <c r="B118" s="33" t="str">
        <f>ዕቁብ!B122</f>
        <v>ኤልያስ አቢባ</v>
      </c>
      <c r="C118" s="48">
        <f>SUM(Sheet4!D119:DQ119)</f>
        <v>107</v>
      </c>
    </row>
    <row r="119" spans="1:3" ht="15.75" customHeight="1" x14ac:dyDescent="0.3">
      <c r="A119" s="33">
        <f>ዕቁብ!A123</f>
        <v>106</v>
      </c>
      <c r="B119" s="33" t="str">
        <f>ዕቁብ!B123</f>
        <v>ዮሴፍ ዮናስ</v>
      </c>
      <c r="C119" s="48">
        <f>SUM(Sheet4!D120:DQ120)</f>
        <v>77</v>
      </c>
    </row>
    <row r="120" spans="1:3" ht="15.75" customHeight="1" x14ac:dyDescent="0.3">
      <c r="A120" s="33">
        <f>ዕቁብ!A124</f>
        <v>106</v>
      </c>
      <c r="B120" s="33" t="str">
        <f>ዕቁብ!B124</f>
        <v>ሙሉ ቶማስ</v>
      </c>
      <c r="C120" s="48">
        <f>SUM(Sheet4!D121:DQ121)</f>
        <v>106</v>
      </c>
    </row>
    <row r="121" spans="1:3" ht="15.75" customHeight="1" x14ac:dyDescent="0.3">
      <c r="A121" s="33">
        <f>ዕቁብ!A125</f>
        <v>107</v>
      </c>
      <c r="B121" s="33" t="str">
        <f>ዕቁብ!B125</f>
        <v xml:space="preserve">ፀጋዩ ጀምበሬ </v>
      </c>
      <c r="C121" s="48">
        <f>SUM(Sheet4!D122:DQ122)</f>
        <v>104</v>
      </c>
    </row>
    <row r="122" spans="1:3" ht="15.75" customHeight="1" x14ac:dyDescent="0.3">
      <c r="A122" s="33">
        <f>ዕቁብ!A126</f>
        <v>107</v>
      </c>
      <c r="B122" s="33" t="str">
        <f>ዕቁብ!B126</f>
        <v>አለማየሁ ዳንኤል</v>
      </c>
      <c r="C122" s="48">
        <f>SUM(Sheet4!D123:DQ123)</f>
        <v>108</v>
      </c>
    </row>
    <row r="123" spans="1:3" ht="15.75" customHeight="1" x14ac:dyDescent="0.3">
      <c r="A123" s="33">
        <f>ዕቁብ!A127</f>
        <v>108</v>
      </c>
      <c r="B123" s="33" t="str">
        <f>ዕቁብ!B127</f>
        <v xml:space="preserve">ጀማል ኢብራይም </v>
      </c>
      <c r="C123" s="48">
        <f>SUM(Sheet4!D124:DQ124)</f>
        <v>103</v>
      </c>
    </row>
    <row r="124" spans="1:3" ht="15.75" customHeight="1" x14ac:dyDescent="0.3">
      <c r="A124" s="33">
        <f>ዕቁብ!A128</f>
        <v>108</v>
      </c>
      <c r="B124" s="33" t="str">
        <f>ዕቁብ!B128</f>
        <v>ተሻለ አሰፋ</v>
      </c>
      <c r="C124" s="48">
        <f>SUM(Sheet4!D125:DQ125)</f>
        <v>102</v>
      </c>
    </row>
    <row r="125" spans="1:3" ht="15.75" customHeight="1" x14ac:dyDescent="0.3">
      <c r="A125" s="33">
        <f>ዕቁብ!A129</f>
        <v>109</v>
      </c>
      <c r="B125" s="33" t="str">
        <f>ዕቁብ!B129</f>
        <v xml:space="preserve">ታደሰ ሪቂዋ </v>
      </c>
      <c r="C125" s="48">
        <f>SUM(Sheet4!D126:DQ126)</f>
        <v>54</v>
      </c>
    </row>
    <row r="126" spans="1:3" ht="15.75" customHeight="1" x14ac:dyDescent="0.3">
      <c r="A126" s="33">
        <f>ዕቁብ!A130</f>
        <v>109</v>
      </c>
      <c r="B126" s="33" t="str">
        <f>ዕቁብ!B130</f>
        <v>ዘይኑ ባጀግባ</v>
      </c>
      <c r="C126" s="48">
        <f>SUM(Sheet4!D127:DQ127)</f>
        <v>108</v>
      </c>
    </row>
    <row r="127" spans="1:3" ht="15.75" customHeight="1" x14ac:dyDescent="0.3">
      <c r="A127" s="33">
        <f>ዕቁብ!A131</f>
        <v>110</v>
      </c>
      <c r="B127" s="33" t="str">
        <f>ዕቁብ!B131</f>
        <v>ኤልያስ ኩኪሳ</v>
      </c>
      <c r="C127" s="48">
        <f>SUM(Sheet4!D128:DQ128)</f>
        <v>108</v>
      </c>
    </row>
    <row r="128" spans="1:3" ht="15.75" customHeight="1" x14ac:dyDescent="0.3">
      <c r="A128" s="33">
        <f>ዕቁብ!A132</f>
        <v>110</v>
      </c>
      <c r="B128" s="33" t="str">
        <f>ዕቁብ!B132</f>
        <v>በቀለ ዶሳ</v>
      </c>
      <c r="C128" s="48">
        <f>SUM(Sheet4!D129:DQ129)</f>
        <v>103</v>
      </c>
    </row>
    <row r="129" spans="1:3" ht="15.75" customHeight="1" x14ac:dyDescent="0.3">
      <c r="A129" s="33">
        <f>ዕቁብ!A133</f>
        <v>111</v>
      </c>
      <c r="B129" s="33" t="str">
        <f>ዕቁብ!B133</f>
        <v>አበጀ አላሮ</v>
      </c>
      <c r="C129" s="48">
        <f>SUM(Sheet4!D130:DQ130)</f>
        <v>102</v>
      </c>
    </row>
    <row r="130" spans="1:3" ht="15.75" customHeight="1" x14ac:dyDescent="0.3">
      <c r="A130" s="33">
        <f>ዕቁብ!A134</f>
        <v>111</v>
      </c>
      <c r="B130" s="33" t="str">
        <f>ዕቁብ!B134</f>
        <v>ሰለሞን ሰጋሮ</v>
      </c>
      <c r="C130" s="48">
        <f>SUM(Sheet4!D131:DQ131)</f>
        <v>101</v>
      </c>
    </row>
    <row r="131" spans="1:3" ht="15.75" customHeight="1" x14ac:dyDescent="0.3">
      <c r="A131" s="33">
        <f>ዕቁብ!A135</f>
        <v>112</v>
      </c>
      <c r="B131" s="33" t="str">
        <f>ዕቁብ!B135</f>
        <v>ማተጎ አመኖ</v>
      </c>
      <c r="C131" s="48">
        <f>SUM(Sheet4!D132:DQ132)</f>
        <v>106</v>
      </c>
    </row>
    <row r="132" spans="1:3" ht="15.75" customHeight="1" x14ac:dyDescent="0.3">
      <c r="A132" s="33">
        <f>ዕቁብ!A136</f>
        <v>112</v>
      </c>
      <c r="B132" s="33" t="str">
        <f>ዕቁብ!B136</f>
        <v>አማኑኤል አየለ</v>
      </c>
      <c r="C132" s="48">
        <f>SUM(Sheet4!D133:DQ133)</f>
        <v>104</v>
      </c>
    </row>
    <row r="133" spans="1:3" ht="15.75" customHeight="1" x14ac:dyDescent="0.3">
      <c r="A133" s="33">
        <f>ዕቁብ!A137</f>
        <v>113</v>
      </c>
      <c r="B133" s="33" t="str">
        <f>ዕቁብ!B137</f>
        <v>ጋሻቸዉ ሀብቱ</v>
      </c>
      <c r="C133" s="48">
        <f>SUM(Sheet4!D134:DQ134)</f>
        <v>108</v>
      </c>
    </row>
    <row r="134" spans="1:3" ht="15.75" customHeight="1" x14ac:dyDescent="0.3">
      <c r="A134" s="33">
        <f>ዕቁብ!A138</f>
        <v>113</v>
      </c>
      <c r="B134" s="33" t="str">
        <f>ዕቁብ!B138</f>
        <v>ሚልክያስ እዩኤል</v>
      </c>
      <c r="C134" s="48">
        <f>SUM(Sheet4!D135:DQ135)</f>
        <v>96</v>
      </c>
    </row>
    <row r="135" spans="1:3" ht="15.75" customHeight="1" x14ac:dyDescent="0.3">
      <c r="C135" s="43"/>
    </row>
    <row r="136" spans="1:3" ht="15.75" customHeight="1" x14ac:dyDescent="0.3">
      <c r="C136" s="43"/>
    </row>
    <row r="137" spans="1:3" ht="15.75" customHeight="1" x14ac:dyDescent="0.3">
      <c r="C137" s="43"/>
    </row>
    <row r="138" spans="1:3" ht="15.75" customHeight="1" x14ac:dyDescent="0.3">
      <c r="C138" s="43"/>
    </row>
    <row r="139" spans="1:3" ht="15.75" customHeight="1" x14ac:dyDescent="0.3">
      <c r="C139" s="43"/>
    </row>
    <row r="140" spans="1:3" ht="15.75" customHeight="1" x14ac:dyDescent="0.3">
      <c r="C140" s="43"/>
    </row>
    <row r="141" spans="1:3" ht="15.75" customHeight="1" x14ac:dyDescent="0.3">
      <c r="C141" s="43"/>
    </row>
    <row r="142" spans="1:3" ht="15.75" customHeight="1" x14ac:dyDescent="0.3">
      <c r="C142" s="43"/>
    </row>
    <row r="143" spans="1:3" ht="15.75" customHeight="1" x14ac:dyDescent="0.3">
      <c r="C143" s="43"/>
    </row>
    <row r="144" spans="1:3" ht="15.75" customHeight="1" x14ac:dyDescent="0.3">
      <c r="C144" s="43"/>
    </row>
    <row r="145" spans="3:3" ht="15.75" customHeight="1" x14ac:dyDescent="0.3">
      <c r="C145" s="43"/>
    </row>
    <row r="146" spans="3:3" ht="15.75" customHeight="1" x14ac:dyDescent="0.3">
      <c r="C146" s="43"/>
    </row>
    <row r="147" spans="3:3" ht="15.75" customHeight="1" x14ac:dyDescent="0.3">
      <c r="C147" s="43"/>
    </row>
    <row r="148" spans="3:3" ht="15.75" customHeight="1" x14ac:dyDescent="0.3">
      <c r="C148" s="43"/>
    </row>
    <row r="149" spans="3:3" ht="15.75" customHeight="1" x14ac:dyDescent="0.3">
      <c r="C149" s="43"/>
    </row>
    <row r="150" spans="3:3" ht="15.75" customHeight="1" x14ac:dyDescent="0.3">
      <c r="C150" s="43"/>
    </row>
    <row r="151" spans="3:3" ht="15.75" customHeight="1" x14ac:dyDescent="0.3">
      <c r="C151" s="43"/>
    </row>
    <row r="152" spans="3:3" ht="15.75" customHeight="1" x14ac:dyDescent="0.3">
      <c r="C152" s="43"/>
    </row>
    <row r="153" spans="3:3" ht="15.75" customHeight="1" x14ac:dyDescent="0.3">
      <c r="C153" s="43"/>
    </row>
    <row r="154" spans="3:3" ht="15.75" customHeight="1" x14ac:dyDescent="0.3">
      <c r="C154" s="43"/>
    </row>
    <row r="155" spans="3:3" ht="15.75" customHeight="1" x14ac:dyDescent="0.3">
      <c r="C155" s="43"/>
    </row>
    <row r="156" spans="3:3" ht="15.75" customHeight="1" x14ac:dyDescent="0.3">
      <c r="C156" s="43"/>
    </row>
    <row r="157" spans="3:3" ht="15.75" customHeight="1" x14ac:dyDescent="0.3">
      <c r="C157" s="43"/>
    </row>
    <row r="158" spans="3:3" ht="15.75" customHeight="1" x14ac:dyDescent="0.3">
      <c r="C158" s="43"/>
    </row>
    <row r="159" spans="3:3" ht="15.75" customHeight="1" x14ac:dyDescent="0.3">
      <c r="C159" s="43"/>
    </row>
    <row r="160" spans="3:3" ht="15.75" customHeight="1" x14ac:dyDescent="0.3">
      <c r="C160" s="43"/>
    </row>
    <row r="161" spans="3:3" ht="15.75" customHeight="1" x14ac:dyDescent="0.3">
      <c r="C161" s="43"/>
    </row>
    <row r="162" spans="3:3" ht="15.75" customHeight="1" x14ac:dyDescent="0.3">
      <c r="C162" s="43"/>
    </row>
    <row r="163" spans="3:3" ht="15.75" customHeight="1" x14ac:dyDescent="0.3">
      <c r="C163" s="43"/>
    </row>
    <row r="164" spans="3:3" ht="15.75" customHeight="1" x14ac:dyDescent="0.3">
      <c r="C164" s="43"/>
    </row>
    <row r="165" spans="3:3" ht="15.75" customHeight="1" x14ac:dyDescent="0.3">
      <c r="C165" s="43"/>
    </row>
    <row r="166" spans="3:3" ht="15.75" customHeight="1" x14ac:dyDescent="0.3">
      <c r="C166" s="43"/>
    </row>
    <row r="167" spans="3:3" ht="15.75" customHeight="1" x14ac:dyDescent="0.3">
      <c r="C167" s="43"/>
    </row>
    <row r="168" spans="3:3" ht="15.75" customHeight="1" x14ac:dyDescent="0.3">
      <c r="C168" s="43"/>
    </row>
    <row r="169" spans="3:3" ht="15.75" customHeight="1" x14ac:dyDescent="0.3">
      <c r="C169" s="43"/>
    </row>
    <row r="170" spans="3:3" ht="15.75" customHeight="1" x14ac:dyDescent="0.3">
      <c r="C170" s="43"/>
    </row>
    <row r="171" spans="3:3" ht="15.75" customHeight="1" x14ac:dyDescent="0.3">
      <c r="C171" s="43"/>
    </row>
    <row r="172" spans="3:3" ht="15.75" customHeight="1" x14ac:dyDescent="0.3">
      <c r="C172" s="43"/>
    </row>
    <row r="173" spans="3:3" ht="15.75" customHeight="1" x14ac:dyDescent="0.3">
      <c r="C173" s="43"/>
    </row>
    <row r="174" spans="3:3" ht="15.75" customHeight="1" x14ac:dyDescent="0.3">
      <c r="C174" s="43"/>
    </row>
    <row r="175" spans="3:3" ht="15.75" customHeight="1" x14ac:dyDescent="0.3">
      <c r="C175" s="43"/>
    </row>
    <row r="176" spans="3:3" ht="15.75" customHeight="1" x14ac:dyDescent="0.3">
      <c r="C176" s="43"/>
    </row>
    <row r="177" spans="3:3" ht="15.75" customHeight="1" x14ac:dyDescent="0.3">
      <c r="C177" s="43"/>
    </row>
    <row r="178" spans="3:3" ht="15.75" customHeight="1" x14ac:dyDescent="0.3">
      <c r="C178" s="43"/>
    </row>
    <row r="179" spans="3:3" ht="15.75" customHeight="1" x14ac:dyDescent="0.3">
      <c r="C179" s="43"/>
    </row>
    <row r="180" spans="3:3" ht="15.75" customHeight="1" x14ac:dyDescent="0.3">
      <c r="C180" s="43"/>
    </row>
    <row r="181" spans="3:3" ht="15.75" customHeight="1" x14ac:dyDescent="0.3">
      <c r="C181" s="43"/>
    </row>
    <row r="182" spans="3:3" ht="15.75" customHeight="1" x14ac:dyDescent="0.3">
      <c r="C182" s="43"/>
    </row>
    <row r="183" spans="3:3" ht="15.75" customHeight="1" x14ac:dyDescent="0.3">
      <c r="C183" s="43"/>
    </row>
    <row r="184" spans="3:3" ht="15.75" customHeight="1" x14ac:dyDescent="0.3">
      <c r="C184" s="43"/>
    </row>
    <row r="185" spans="3:3" ht="15.75" customHeight="1" x14ac:dyDescent="0.3">
      <c r="C185" s="43"/>
    </row>
    <row r="186" spans="3:3" ht="15.75" customHeight="1" x14ac:dyDescent="0.3">
      <c r="C186" s="43"/>
    </row>
    <row r="187" spans="3:3" ht="15.75" customHeight="1" x14ac:dyDescent="0.3">
      <c r="C187" s="43"/>
    </row>
    <row r="188" spans="3:3" ht="15.75" customHeight="1" x14ac:dyDescent="0.3">
      <c r="C188" s="43"/>
    </row>
    <row r="189" spans="3:3" ht="15.75" customHeight="1" x14ac:dyDescent="0.3">
      <c r="C189" s="43"/>
    </row>
    <row r="190" spans="3:3" ht="15.75" customHeight="1" x14ac:dyDescent="0.3">
      <c r="C190" s="43"/>
    </row>
    <row r="191" spans="3:3" ht="15.75" customHeight="1" x14ac:dyDescent="0.3">
      <c r="C191" s="43"/>
    </row>
    <row r="192" spans="3:3" ht="15.75" customHeight="1" x14ac:dyDescent="0.3">
      <c r="C192" s="43"/>
    </row>
    <row r="193" spans="3:3" ht="15.75" customHeight="1" x14ac:dyDescent="0.3">
      <c r="C193" s="43"/>
    </row>
    <row r="194" spans="3:3" ht="15.75" customHeight="1" x14ac:dyDescent="0.3">
      <c r="C194" s="43"/>
    </row>
    <row r="195" spans="3:3" ht="15.75" customHeight="1" x14ac:dyDescent="0.3">
      <c r="C195" s="43"/>
    </row>
    <row r="196" spans="3:3" ht="15.75" customHeight="1" x14ac:dyDescent="0.3">
      <c r="C196" s="43"/>
    </row>
    <row r="197" spans="3:3" ht="15.75" customHeight="1" x14ac:dyDescent="0.3">
      <c r="C197" s="43"/>
    </row>
    <row r="198" spans="3:3" ht="15.75" customHeight="1" x14ac:dyDescent="0.3">
      <c r="C198" s="43"/>
    </row>
    <row r="199" spans="3:3" ht="15.75" customHeight="1" x14ac:dyDescent="0.3">
      <c r="C199" s="43"/>
    </row>
    <row r="200" spans="3:3" ht="15.75" customHeight="1" x14ac:dyDescent="0.3">
      <c r="C200" s="43"/>
    </row>
    <row r="201" spans="3:3" ht="15.75" customHeight="1" x14ac:dyDescent="0.3">
      <c r="C201" s="43"/>
    </row>
    <row r="202" spans="3:3" ht="15.75" customHeight="1" x14ac:dyDescent="0.3">
      <c r="C202" s="43"/>
    </row>
    <row r="203" spans="3:3" ht="15.75" customHeight="1" x14ac:dyDescent="0.3">
      <c r="C203" s="43"/>
    </row>
    <row r="204" spans="3:3" ht="15.75" customHeight="1" x14ac:dyDescent="0.3">
      <c r="C204" s="43"/>
    </row>
    <row r="205" spans="3:3" ht="15.75" customHeight="1" x14ac:dyDescent="0.3">
      <c r="C205" s="43"/>
    </row>
    <row r="206" spans="3:3" ht="15.75" customHeight="1" x14ac:dyDescent="0.3">
      <c r="C206" s="43"/>
    </row>
    <row r="207" spans="3:3" ht="15.75" customHeight="1" x14ac:dyDescent="0.3">
      <c r="C207" s="43"/>
    </row>
    <row r="208" spans="3:3" ht="15.75" customHeight="1" x14ac:dyDescent="0.3">
      <c r="C208" s="43"/>
    </row>
    <row r="209" spans="3:3" ht="15.75" customHeight="1" x14ac:dyDescent="0.3">
      <c r="C209" s="43"/>
    </row>
    <row r="210" spans="3:3" ht="15.75" customHeight="1" x14ac:dyDescent="0.3">
      <c r="C210" s="43"/>
    </row>
    <row r="211" spans="3:3" ht="15.75" customHeight="1" x14ac:dyDescent="0.3">
      <c r="C211" s="43"/>
    </row>
    <row r="212" spans="3:3" ht="15.75" customHeight="1" x14ac:dyDescent="0.3">
      <c r="C212" s="43"/>
    </row>
    <row r="213" spans="3:3" ht="15.75" customHeight="1" x14ac:dyDescent="0.3">
      <c r="C213" s="43"/>
    </row>
    <row r="214" spans="3:3" ht="15.75" customHeight="1" x14ac:dyDescent="0.3">
      <c r="C214" s="43"/>
    </row>
    <row r="215" spans="3:3" ht="15.75" customHeight="1" x14ac:dyDescent="0.3">
      <c r="C215" s="43"/>
    </row>
    <row r="216" spans="3:3" ht="15.75" customHeight="1" x14ac:dyDescent="0.3">
      <c r="C216" s="43"/>
    </row>
    <row r="217" spans="3:3" ht="15.75" customHeight="1" x14ac:dyDescent="0.3">
      <c r="C217" s="43"/>
    </row>
    <row r="218" spans="3:3" ht="15.75" customHeight="1" x14ac:dyDescent="0.3">
      <c r="C218" s="43"/>
    </row>
    <row r="219" spans="3:3" ht="15.75" customHeight="1" x14ac:dyDescent="0.3">
      <c r="C219" s="43"/>
    </row>
    <row r="220" spans="3:3" ht="15.75" customHeight="1" x14ac:dyDescent="0.3">
      <c r="C220" s="43"/>
    </row>
    <row r="221" spans="3:3" ht="15.75" customHeight="1" x14ac:dyDescent="0.3">
      <c r="C221" s="43"/>
    </row>
    <row r="222" spans="3:3" ht="15.75" customHeight="1" x14ac:dyDescent="0.3">
      <c r="C222" s="43"/>
    </row>
    <row r="223" spans="3:3" ht="15.75" customHeight="1" x14ac:dyDescent="0.3">
      <c r="C223" s="43"/>
    </row>
    <row r="224" spans="3:3" ht="15.75" customHeight="1" x14ac:dyDescent="0.3">
      <c r="C224" s="43"/>
    </row>
    <row r="225" spans="3:3" ht="15.75" customHeight="1" x14ac:dyDescent="0.3">
      <c r="C225" s="43"/>
    </row>
    <row r="226" spans="3:3" ht="15.75" customHeight="1" x14ac:dyDescent="0.3">
      <c r="C226" s="43"/>
    </row>
    <row r="227" spans="3:3" ht="15.75" customHeight="1" x14ac:dyDescent="0.3">
      <c r="C227" s="43"/>
    </row>
    <row r="228" spans="3:3" ht="15.75" customHeight="1" x14ac:dyDescent="0.3">
      <c r="C228" s="43"/>
    </row>
    <row r="229" spans="3:3" ht="15.75" customHeight="1" x14ac:dyDescent="0.3">
      <c r="C229" s="43"/>
    </row>
    <row r="230" spans="3:3" ht="15.75" customHeight="1" x14ac:dyDescent="0.3">
      <c r="C230" s="43"/>
    </row>
    <row r="231" spans="3:3" ht="15.75" customHeight="1" x14ac:dyDescent="0.3">
      <c r="C231" s="43"/>
    </row>
    <row r="232" spans="3:3" ht="15.75" customHeight="1" x14ac:dyDescent="0.3">
      <c r="C232" s="43"/>
    </row>
    <row r="233" spans="3:3" ht="15.75" customHeight="1" x14ac:dyDescent="0.3">
      <c r="C233" s="43"/>
    </row>
    <row r="234" spans="3:3" ht="15.75" customHeight="1" x14ac:dyDescent="0.3">
      <c r="C234" s="43"/>
    </row>
    <row r="235" spans="3:3" ht="15.75" customHeight="1" x14ac:dyDescent="0.3">
      <c r="C235" s="43"/>
    </row>
    <row r="236" spans="3:3" ht="15.75" customHeight="1" x14ac:dyDescent="0.3">
      <c r="C236" s="43"/>
    </row>
    <row r="237" spans="3:3" ht="15.75" customHeight="1" x14ac:dyDescent="0.3">
      <c r="C237" s="43"/>
    </row>
    <row r="238" spans="3:3" ht="15.75" customHeight="1" x14ac:dyDescent="0.3">
      <c r="C238" s="43"/>
    </row>
    <row r="239" spans="3:3" ht="15.75" customHeight="1" x14ac:dyDescent="0.3">
      <c r="C239" s="43"/>
    </row>
    <row r="240" spans="3:3" ht="15.75" customHeight="1" x14ac:dyDescent="0.3">
      <c r="C240" s="43"/>
    </row>
    <row r="241" spans="3:3" ht="15.75" customHeight="1" x14ac:dyDescent="0.3">
      <c r="C241" s="43"/>
    </row>
    <row r="242" spans="3:3" ht="15.75" customHeight="1" x14ac:dyDescent="0.3">
      <c r="C242" s="43"/>
    </row>
    <row r="243" spans="3:3" ht="15.75" customHeight="1" x14ac:dyDescent="0.3">
      <c r="C243" s="43"/>
    </row>
    <row r="244" spans="3:3" ht="15.75" customHeight="1" x14ac:dyDescent="0.3">
      <c r="C244" s="43"/>
    </row>
    <row r="245" spans="3:3" ht="15.75" customHeight="1" x14ac:dyDescent="0.3">
      <c r="C245" s="43"/>
    </row>
    <row r="246" spans="3:3" ht="15.75" customHeight="1" x14ac:dyDescent="0.3">
      <c r="C246" s="43"/>
    </row>
    <row r="247" spans="3:3" ht="15.75" customHeight="1" x14ac:dyDescent="0.3">
      <c r="C247" s="43"/>
    </row>
    <row r="248" spans="3:3" ht="15.75" customHeight="1" x14ac:dyDescent="0.3">
      <c r="C248" s="43"/>
    </row>
    <row r="249" spans="3:3" ht="15.75" customHeight="1" x14ac:dyDescent="0.3">
      <c r="C249" s="43"/>
    </row>
    <row r="250" spans="3:3" ht="15.75" customHeight="1" x14ac:dyDescent="0.3">
      <c r="C250" s="43"/>
    </row>
    <row r="251" spans="3:3" ht="15.75" customHeight="1" x14ac:dyDescent="0.3">
      <c r="C251" s="43"/>
    </row>
    <row r="252" spans="3:3" ht="15.75" customHeight="1" x14ac:dyDescent="0.3">
      <c r="C252" s="43"/>
    </row>
    <row r="253" spans="3:3" ht="15.75" customHeight="1" x14ac:dyDescent="0.3">
      <c r="C253" s="43"/>
    </row>
    <row r="254" spans="3:3" ht="15.75" customHeight="1" x14ac:dyDescent="0.3">
      <c r="C254" s="43"/>
    </row>
    <row r="255" spans="3:3" ht="15.75" customHeight="1" x14ac:dyDescent="0.3">
      <c r="C255" s="43"/>
    </row>
    <row r="256" spans="3:3" ht="15.75" customHeight="1" x14ac:dyDescent="0.3">
      <c r="C256" s="43"/>
    </row>
    <row r="257" spans="3:3" ht="15.75" customHeight="1" x14ac:dyDescent="0.3">
      <c r="C257" s="43"/>
    </row>
    <row r="258" spans="3:3" ht="15.75" customHeight="1" x14ac:dyDescent="0.3">
      <c r="C258" s="43"/>
    </row>
    <row r="259" spans="3:3" ht="15.75" customHeight="1" x14ac:dyDescent="0.3">
      <c r="C259" s="43"/>
    </row>
    <row r="260" spans="3:3" ht="15.75" customHeight="1" x14ac:dyDescent="0.3">
      <c r="C260" s="43"/>
    </row>
    <row r="261" spans="3:3" ht="15.75" customHeight="1" x14ac:dyDescent="0.3">
      <c r="C261" s="43"/>
    </row>
    <row r="262" spans="3:3" ht="15.75" customHeight="1" x14ac:dyDescent="0.3">
      <c r="C262" s="43"/>
    </row>
    <row r="263" spans="3:3" ht="15.75" customHeight="1" x14ac:dyDescent="0.3">
      <c r="C263" s="43"/>
    </row>
    <row r="264" spans="3:3" ht="15.75" customHeight="1" x14ac:dyDescent="0.3">
      <c r="C264" s="43"/>
    </row>
    <row r="265" spans="3:3" ht="15.75" customHeight="1" x14ac:dyDescent="0.3">
      <c r="C265" s="43"/>
    </row>
    <row r="266" spans="3:3" ht="15.75" customHeight="1" x14ac:dyDescent="0.3">
      <c r="C266" s="43"/>
    </row>
    <row r="267" spans="3:3" ht="15.75" customHeight="1" x14ac:dyDescent="0.3">
      <c r="C267" s="43"/>
    </row>
    <row r="268" spans="3:3" ht="15.75" customHeight="1" x14ac:dyDescent="0.3">
      <c r="C268" s="43"/>
    </row>
    <row r="269" spans="3:3" ht="15.75" customHeight="1" x14ac:dyDescent="0.3">
      <c r="C269" s="43"/>
    </row>
    <row r="270" spans="3:3" ht="15.75" customHeight="1" x14ac:dyDescent="0.3">
      <c r="C270" s="43"/>
    </row>
    <row r="271" spans="3:3" ht="15.75" customHeight="1" x14ac:dyDescent="0.3">
      <c r="C271" s="43"/>
    </row>
    <row r="272" spans="3:3" ht="15.75" customHeight="1" x14ac:dyDescent="0.3">
      <c r="C272" s="43"/>
    </row>
    <row r="273" spans="3:3" ht="15.75" customHeight="1" x14ac:dyDescent="0.3">
      <c r="C273" s="43"/>
    </row>
    <row r="274" spans="3:3" ht="15.75" customHeight="1" x14ac:dyDescent="0.3">
      <c r="C274" s="43"/>
    </row>
    <row r="275" spans="3:3" ht="15.75" customHeight="1" x14ac:dyDescent="0.3">
      <c r="C275" s="43"/>
    </row>
    <row r="276" spans="3:3" ht="15.75" customHeight="1" x14ac:dyDescent="0.3">
      <c r="C276" s="43"/>
    </row>
    <row r="277" spans="3:3" ht="15.75" customHeight="1" x14ac:dyDescent="0.3">
      <c r="C277" s="43"/>
    </row>
    <row r="278" spans="3:3" ht="15.75" customHeight="1" x14ac:dyDescent="0.3">
      <c r="C278" s="43"/>
    </row>
    <row r="279" spans="3:3" ht="15.75" customHeight="1" x14ac:dyDescent="0.3">
      <c r="C279" s="43"/>
    </row>
    <row r="280" spans="3:3" ht="15.75" customHeight="1" x14ac:dyDescent="0.3">
      <c r="C280" s="43"/>
    </row>
    <row r="281" spans="3:3" ht="15.75" customHeight="1" x14ac:dyDescent="0.3">
      <c r="C281" s="43"/>
    </row>
    <row r="282" spans="3:3" ht="15.75" customHeight="1" x14ac:dyDescent="0.3">
      <c r="C282" s="43"/>
    </row>
    <row r="283" spans="3:3" ht="15.75" customHeight="1" x14ac:dyDescent="0.3">
      <c r="C283" s="43"/>
    </row>
    <row r="284" spans="3:3" ht="15.75" customHeight="1" x14ac:dyDescent="0.3">
      <c r="C284" s="43"/>
    </row>
    <row r="285" spans="3:3" ht="15.75" customHeight="1" x14ac:dyDescent="0.3">
      <c r="C285" s="43"/>
    </row>
    <row r="286" spans="3:3" ht="15.75" customHeight="1" x14ac:dyDescent="0.3">
      <c r="C286" s="43"/>
    </row>
    <row r="287" spans="3:3" ht="15.75" customHeight="1" x14ac:dyDescent="0.3">
      <c r="C287" s="43"/>
    </row>
    <row r="288" spans="3:3" ht="15.75" customHeight="1" x14ac:dyDescent="0.3">
      <c r="C288" s="43"/>
    </row>
    <row r="289" spans="3:3" ht="15.75" customHeight="1" x14ac:dyDescent="0.3">
      <c r="C289" s="43"/>
    </row>
    <row r="290" spans="3:3" ht="15.75" customHeight="1" x14ac:dyDescent="0.3">
      <c r="C290" s="43"/>
    </row>
    <row r="291" spans="3:3" ht="15.75" customHeight="1" x14ac:dyDescent="0.3">
      <c r="C291" s="43"/>
    </row>
    <row r="292" spans="3:3" ht="15.75" customHeight="1" x14ac:dyDescent="0.3">
      <c r="C292" s="43"/>
    </row>
    <row r="293" spans="3:3" ht="15.75" customHeight="1" x14ac:dyDescent="0.3">
      <c r="C293" s="43"/>
    </row>
    <row r="294" spans="3:3" ht="15.75" customHeight="1" x14ac:dyDescent="0.3">
      <c r="C294" s="43"/>
    </row>
    <row r="295" spans="3:3" ht="15.75" customHeight="1" x14ac:dyDescent="0.3">
      <c r="C295" s="43"/>
    </row>
    <row r="296" spans="3:3" ht="15.75" customHeight="1" x14ac:dyDescent="0.3">
      <c r="C296" s="43"/>
    </row>
    <row r="297" spans="3:3" ht="15.75" customHeight="1" x14ac:dyDescent="0.3">
      <c r="C297" s="43"/>
    </row>
    <row r="298" spans="3:3" ht="15.75" customHeight="1" x14ac:dyDescent="0.3">
      <c r="C298" s="43"/>
    </row>
    <row r="299" spans="3:3" ht="15.75" customHeight="1" x14ac:dyDescent="0.3">
      <c r="C299" s="43"/>
    </row>
    <row r="300" spans="3:3" ht="15.75" customHeight="1" x14ac:dyDescent="0.3">
      <c r="C300" s="43"/>
    </row>
    <row r="301" spans="3:3" ht="15.75" customHeight="1" x14ac:dyDescent="0.3">
      <c r="C301" s="43"/>
    </row>
    <row r="302" spans="3:3" ht="15.75" customHeight="1" x14ac:dyDescent="0.3">
      <c r="C302" s="43"/>
    </row>
    <row r="303" spans="3:3" ht="15.75" customHeight="1" x14ac:dyDescent="0.3">
      <c r="C303" s="43"/>
    </row>
    <row r="304" spans="3:3" ht="15.75" customHeight="1" x14ac:dyDescent="0.3">
      <c r="C304" s="43"/>
    </row>
    <row r="305" spans="3:3" ht="15.75" customHeight="1" x14ac:dyDescent="0.3">
      <c r="C305" s="43"/>
    </row>
    <row r="306" spans="3:3" ht="15.75" customHeight="1" x14ac:dyDescent="0.3">
      <c r="C306" s="43"/>
    </row>
    <row r="307" spans="3:3" ht="15.75" customHeight="1" x14ac:dyDescent="0.3">
      <c r="C307" s="43"/>
    </row>
    <row r="308" spans="3:3" ht="15.75" customHeight="1" x14ac:dyDescent="0.3">
      <c r="C308" s="43"/>
    </row>
    <row r="309" spans="3:3" ht="15.75" customHeight="1" x14ac:dyDescent="0.3">
      <c r="C309" s="43"/>
    </row>
    <row r="310" spans="3:3" ht="15.75" customHeight="1" x14ac:dyDescent="0.3">
      <c r="C310" s="43"/>
    </row>
    <row r="311" spans="3:3" ht="15.75" customHeight="1" x14ac:dyDescent="0.3">
      <c r="C311" s="43"/>
    </row>
    <row r="312" spans="3:3" ht="15.75" customHeight="1" x14ac:dyDescent="0.3">
      <c r="C312" s="43"/>
    </row>
    <row r="313" spans="3:3" ht="15.75" customHeight="1" x14ac:dyDescent="0.3">
      <c r="C313" s="43"/>
    </row>
    <row r="314" spans="3:3" ht="15.75" customHeight="1" x14ac:dyDescent="0.3">
      <c r="C314" s="43"/>
    </row>
    <row r="315" spans="3:3" ht="15.75" customHeight="1" x14ac:dyDescent="0.3">
      <c r="C315" s="43"/>
    </row>
    <row r="316" spans="3:3" ht="15.75" customHeight="1" x14ac:dyDescent="0.3">
      <c r="C316" s="43"/>
    </row>
    <row r="317" spans="3:3" ht="15.75" customHeight="1" x14ac:dyDescent="0.3">
      <c r="C317" s="43"/>
    </row>
    <row r="318" spans="3:3" ht="15.75" customHeight="1" x14ac:dyDescent="0.3">
      <c r="C318" s="43"/>
    </row>
    <row r="319" spans="3:3" ht="15.75" customHeight="1" x14ac:dyDescent="0.3">
      <c r="C319" s="43"/>
    </row>
    <row r="320" spans="3:3" ht="15.75" customHeight="1" x14ac:dyDescent="0.3">
      <c r="C320" s="43"/>
    </row>
    <row r="321" spans="3:3" ht="15.75" customHeight="1" x14ac:dyDescent="0.3">
      <c r="C321" s="43"/>
    </row>
    <row r="322" spans="3:3" ht="15.75" customHeight="1" x14ac:dyDescent="0.3">
      <c r="C322" s="43"/>
    </row>
    <row r="323" spans="3:3" ht="15.75" customHeight="1" x14ac:dyDescent="0.3">
      <c r="C323" s="43"/>
    </row>
    <row r="324" spans="3:3" ht="15.75" customHeight="1" x14ac:dyDescent="0.3">
      <c r="C324" s="43"/>
    </row>
    <row r="325" spans="3:3" ht="15.75" customHeight="1" x14ac:dyDescent="0.3">
      <c r="C325" s="43"/>
    </row>
    <row r="326" spans="3:3" ht="15.75" customHeight="1" x14ac:dyDescent="0.3">
      <c r="C326" s="43"/>
    </row>
    <row r="327" spans="3:3" ht="15.75" customHeight="1" x14ac:dyDescent="0.3">
      <c r="C327" s="43"/>
    </row>
    <row r="328" spans="3:3" ht="15.75" customHeight="1" x14ac:dyDescent="0.3">
      <c r="C328" s="43"/>
    </row>
    <row r="329" spans="3:3" ht="15.75" customHeight="1" x14ac:dyDescent="0.3">
      <c r="C329" s="43"/>
    </row>
    <row r="330" spans="3:3" ht="15.75" customHeight="1" x14ac:dyDescent="0.3">
      <c r="C330" s="43"/>
    </row>
    <row r="331" spans="3:3" ht="15.75" customHeight="1" x14ac:dyDescent="0.3">
      <c r="C331" s="43"/>
    </row>
    <row r="332" spans="3:3" ht="15.75" customHeight="1" x14ac:dyDescent="0.3">
      <c r="C332" s="43"/>
    </row>
    <row r="333" spans="3:3" ht="15.75" customHeight="1" x14ac:dyDescent="0.3">
      <c r="C333" s="43"/>
    </row>
    <row r="334" spans="3:3" ht="15.75" customHeight="1" x14ac:dyDescent="0.3">
      <c r="C334" s="43"/>
    </row>
    <row r="335" spans="3:3" ht="15.75" customHeight="1" x14ac:dyDescent="0.3">
      <c r="C335" s="43"/>
    </row>
    <row r="336" spans="3:3" ht="15.75" customHeight="1" x14ac:dyDescent="0.3">
      <c r="C336" s="43"/>
    </row>
    <row r="337" spans="3:3" ht="15.75" customHeight="1" x14ac:dyDescent="0.3">
      <c r="C337" s="43"/>
    </row>
    <row r="338" spans="3:3" ht="15.75" customHeight="1" x14ac:dyDescent="0.3">
      <c r="C338" s="43"/>
    </row>
    <row r="339" spans="3:3" ht="15.75" customHeight="1" x14ac:dyDescent="0.3">
      <c r="C339" s="43"/>
    </row>
    <row r="340" spans="3:3" ht="15.75" customHeight="1" x14ac:dyDescent="0.3">
      <c r="C340" s="43"/>
    </row>
    <row r="341" spans="3:3" ht="15.75" customHeight="1" x14ac:dyDescent="0.3">
      <c r="C341" s="43"/>
    </row>
    <row r="342" spans="3:3" ht="15.75" customHeight="1" x14ac:dyDescent="0.3">
      <c r="C342" s="43"/>
    </row>
    <row r="343" spans="3:3" ht="15.75" customHeight="1" x14ac:dyDescent="0.3">
      <c r="C343" s="43"/>
    </row>
    <row r="344" spans="3:3" ht="15.75" customHeight="1" x14ac:dyDescent="0.3">
      <c r="C344" s="43"/>
    </row>
    <row r="345" spans="3:3" ht="15.75" customHeight="1" x14ac:dyDescent="0.3">
      <c r="C345" s="43"/>
    </row>
    <row r="346" spans="3:3" ht="15.75" customHeight="1" x14ac:dyDescent="0.3">
      <c r="C346" s="43"/>
    </row>
    <row r="347" spans="3:3" ht="15.75" customHeight="1" x14ac:dyDescent="0.3">
      <c r="C347" s="43"/>
    </row>
    <row r="348" spans="3:3" ht="15.75" customHeight="1" x14ac:dyDescent="0.3">
      <c r="C348" s="43"/>
    </row>
    <row r="349" spans="3:3" ht="15.75" customHeight="1" x14ac:dyDescent="0.3">
      <c r="C349" s="43"/>
    </row>
    <row r="350" spans="3:3" ht="15.75" customHeight="1" x14ac:dyDescent="0.3">
      <c r="C350" s="43"/>
    </row>
    <row r="351" spans="3:3" ht="15.75" customHeight="1" x14ac:dyDescent="0.3">
      <c r="C351" s="43"/>
    </row>
    <row r="352" spans="3:3" ht="15.75" customHeight="1" x14ac:dyDescent="0.3">
      <c r="C352" s="43"/>
    </row>
    <row r="353" spans="3:3" ht="15.75" customHeight="1" x14ac:dyDescent="0.3">
      <c r="C353" s="43"/>
    </row>
    <row r="354" spans="3:3" ht="15.75" customHeight="1" x14ac:dyDescent="0.3">
      <c r="C354" s="43"/>
    </row>
    <row r="355" spans="3:3" ht="15.75" customHeight="1" x14ac:dyDescent="0.3">
      <c r="C355" s="43"/>
    </row>
    <row r="356" spans="3:3" ht="15.75" customHeight="1" x14ac:dyDescent="0.3">
      <c r="C356" s="43"/>
    </row>
    <row r="357" spans="3:3" ht="15.75" customHeight="1" x14ac:dyDescent="0.3">
      <c r="C357" s="43"/>
    </row>
    <row r="358" spans="3:3" ht="15.75" customHeight="1" x14ac:dyDescent="0.3">
      <c r="C358" s="43"/>
    </row>
    <row r="359" spans="3:3" ht="15.75" customHeight="1" x14ac:dyDescent="0.3">
      <c r="C359" s="43"/>
    </row>
    <row r="360" spans="3:3" ht="15.75" customHeight="1" x14ac:dyDescent="0.3">
      <c r="C360" s="43"/>
    </row>
    <row r="361" spans="3:3" ht="15.75" customHeight="1" x14ac:dyDescent="0.3">
      <c r="C361" s="43"/>
    </row>
    <row r="362" spans="3:3" ht="15.75" customHeight="1" x14ac:dyDescent="0.3">
      <c r="C362" s="43"/>
    </row>
    <row r="363" spans="3:3" ht="15.75" customHeight="1" x14ac:dyDescent="0.3">
      <c r="C363" s="43"/>
    </row>
    <row r="364" spans="3:3" ht="15.75" customHeight="1" x14ac:dyDescent="0.3">
      <c r="C364" s="43"/>
    </row>
    <row r="365" spans="3:3" ht="15.75" customHeight="1" x14ac:dyDescent="0.3">
      <c r="C365" s="43"/>
    </row>
    <row r="366" spans="3:3" ht="15.75" customHeight="1" x14ac:dyDescent="0.3">
      <c r="C366" s="43"/>
    </row>
    <row r="367" spans="3:3" ht="15.75" customHeight="1" x14ac:dyDescent="0.3">
      <c r="C367" s="43"/>
    </row>
    <row r="368" spans="3:3" ht="15.75" customHeight="1" x14ac:dyDescent="0.3">
      <c r="C368" s="43"/>
    </row>
    <row r="369" spans="3:3" ht="15.75" customHeight="1" x14ac:dyDescent="0.3">
      <c r="C369" s="43"/>
    </row>
    <row r="370" spans="3:3" ht="15.75" customHeight="1" x14ac:dyDescent="0.3">
      <c r="C370" s="43"/>
    </row>
    <row r="371" spans="3:3" ht="15.75" customHeight="1" x14ac:dyDescent="0.3">
      <c r="C371" s="43"/>
    </row>
    <row r="372" spans="3:3" ht="15.75" customHeight="1" x14ac:dyDescent="0.3">
      <c r="C372" s="43"/>
    </row>
    <row r="373" spans="3:3" ht="15.75" customHeight="1" x14ac:dyDescent="0.3">
      <c r="C373" s="43"/>
    </row>
    <row r="374" spans="3:3" ht="15.75" customHeight="1" x14ac:dyDescent="0.3">
      <c r="C374" s="43"/>
    </row>
    <row r="375" spans="3:3" ht="15.75" customHeight="1" x14ac:dyDescent="0.3">
      <c r="C375" s="43"/>
    </row>
    <row r="376" spans="3:3" ht="15.75" customHeight="1" x14ac:dyDescent="0.3">
      <c r="C376" s="43"/>
    </row>
    <row r="377" spans="3:3" ht="15.75" customHeight="1" x14ac:dyDescent="0.3">
      <c r="C377" s="43"/>
    </row>
    <row r="378" spans="3:3" ht="15.75" customHeight="1" x14ac:dyDescent="0.3">
      <c r="C378" s="43"/>
    </row>
    <row r="379" spans="3:3" ht="15.75" customHeight="1" x14ac:dyDescent="0.3">
      <c r="C379" s="43"/>
    </row>
    <row r="380" spans="3:3" ht="15.75" customHeight="1" x14ac:dyDescent="0.3">
      <c r="C380" s="43"/>
    </row>
    <row r="381" spans="3:3" ht="15.75" customHeight="1" x14ac:dyDescent="0.3">
      <c r="C381" s="43"/>
    </row>
    <row r="382" spans="3:3" ht="15.75" customHeight="1" x14ac:dyDescent="0.3">
      <c r="C382" s="43"/>
    </row>
    <row r="383" spans="3:3" ht="15.75" customHeight="1" x14ac:dyDescent="0.3">
      <c r="C383" s="43"/>
    </row>
    <row r="384" spans="3:3" ht="15.75" customHeight="1" x14ac:dyDescent="0.3">
      <c r="C384" s="43"/>
    </row>
    <row r="385" spans="3:3" ht="15.75" customHeight="1" x14ac:dyDescent="0.3">
      <c r="C385" s="43"/>
    </row>
    <row r="386" spans="3:3" ht="15.75" customHeight="1" x14ac:dyDescent="0.3">
      <c r="C386" s="43"/>
    </row>
    <row r="387" spans="3:3" ht="15.75" customHeight="1" x14ac:dyDescent="0.3">
      <c r="C387" s="43"/>
    </row>
    <row r="388" spans="3:3" ht="15.75" customHeight="1" x14ac:dyDescent="0.3">
      <c r="C388" s="43"/>
    </row>
    <row r="389" spans="3:3" ht="15.75" customHeight="1" x14ac:dyDescent="0.3">
      <c r="C389" s="43"/>
    </row>
    <row r="390" spans="3:3" ht="15.75" customHeight="1" x14ac:dyDescent="0.3">
      <c r="C390" s="43"/>
    </row>
    <row r="391" spans="3:3" ht="15.75" customHeight="1" x14ac:dyDescent="0.3">
      <c r="C391" s="43"/>
    </row>
    <row r="392" spans="3:3" ht="15.75" customHeight="1" x14ac:dyDescent="0.3">
      <c r="C392" s="43"/>
    </row>
    <row r="393" spans="3:3" ht="15.75" customHeight="1" x14ac:dyDescent="0.3">
      <c r="C393" s="43"/>
    </row>
    <row r="394" spans="3:3" ht="15.75" customHeight="1" x14ac:dyDescent="0.3">
      <c r="C394" s="43"/>
    </row>
    <row r="395" spans="3:3" ht="15.75" customHeight="1" x14ac:dyDescent="0.3">
      <c r="C395" s="43"/>
    </row>
    <row r="396" spans="3:3" ht="15.75" customHeight="1" x14ac:dyDescent="0.3">
      <c r="C396" s="43"/>
    </row>
    <row r="397" spans="3:3" ht="15.75" customHeight="1" x14ac:dyDescent="0.3">
      <c r="C397" s="43"/>
    </row>
    <row r="398" spans="3:3" ht="15.75" customHeight="1" x14ac:dyDescent="0.3">
      <c r="C398" s="43"/>
    </row>
    <row r="399" spans="3:3" ht="15.75" customHeight="1" x14ac:dyDescent="0.3">
      <c r="C399" s="43"/>
    </row>
    <row r="400" spans="3:3" ht="15.75" customHeight="1" x14ac:dyDescent="0.3">
      <c r="C400" s="43"/>
    </row>
    <row r="401" spans="3:3" ht="15.75" customHeight="1" x14ac:dyDescent="0.3">
      <c r="C401" s="43"/>
    </row>
    <row r="402" spans="3:3" ht="15.75" customHeight="1" x14ac:dyDescent="0.3">
      <c r="C402" s="43"/>
    </row>
    <row r="403" spans="3:3" ht="15.75" customHeight="1" x14ac:dyDescent="0.3">
      <c r="C403" s="43"/>
    </row>
    <row r="404" spans="3:3" ht="15.75" customHeight="1" x14ac:dyDescent="0.3">
      <c r="C404" s="43"/>
    </row>
    <row r="405" spans="3:3" ht="15.75" customHeight="1" x14ac:dyDescent="0.3">
      <c r="C405" s="43"/>
    </row>
    <row r="406" spans="3:3" ht="15.75" customHeight="1" x14ac:dyDescent="0.3">
      <c r="C406" s="43"/>
    </row>
    <row r="407" spans="3:3" ht="15.75" customHeight="1" x14ac:dyDescent="0.3">
      <c r="C407" s="43"/>
    </row>
    <row r="408" spans="3:3" ht="15.75" customHeight="1" x14ac:dyDescent="0.3">
      <c r="C408" s="43"/>
    </row>
    <row r="409" spans="3:3" ht="15.75" customHeight="1" x14ac:dyDescent="0.3">
      <c r="C409" s="43"/>
    </row>
    <row r="410" spans="3:3" ht="15.75" customHeight="1" x14ac:dyDescent="0.3">
      <c r="C410" s="43"/>
    </row>
    <row r="411" spans="3:3" ht="15.75" customHeight="1" x14ac:dyDescent="0.3">
      <c r="C411" s="43"/>
    </row>
    <row r="412" spans="3:3" ht="15.75" customHeight="1" x14ac:dyDescent="0.3">
      <c r="C412" s="43"/>
    </row>
    <row r="413" spans="3:3" ht="15.75" customHeight="1" x14ac:dyDescent="0.3">
      <c r="C413" s="43"/>
    </row>
    <row r="414" spans="3:3" ht="15.75" customHeight="1" x14ac:dyDescent="0.3">
      <c r="C414" s="43"/>
    </row>
    <row r="415" spans="3:3" ht="15.75" customHeight="1" x14ac:dyDescent="0.3">
      <c r="C415" s="43"/>
    </row>
    <row r="416" spans="3:3" ht="15.75" customHeight="1" x14ac:dyDescent="0.3">
      <c r="C416" s="43"/>
    </row>
    <row r="417" spans="3:3" ht="15.75" customHeight="1" x14ac:dyDescent="0.3">
      <c r="C417" s="43"/>
    </row>
    <row r="418" spans="3:3" ht="15.75" customHeight="1" x14ac:dyDescent="0.3">
      <c r="C418" s="43"/>
    </row>
    <row r="419" spans="3:3" ht="15.75" customHeight="1" x14ac:dyDescent="0.3">
      <c r="C419" s="43"/>
    </row>
    <row r="420" spans="3:3" ht="15.75" customHeight="1" x14ac:dyDescent="0.3">
      <c r="C420" s="43"/>
    </row>
    <row r="421" spans="3:3" ht="15.75" customHeight="1" x14ac:dyDescent="0.3">
      <c r="C421" s="43"/>
    </row>
    <row r="422" spans="3:3" ht="15.75" customHeight="1" x14ac:dyDescent="0.3">
      <c r="C422" s="43"/>
    </row>
    <row r="423" spans="3:3" ht="15.75" customHeight="1" x14ac:dyDescent="0.3">
      <c r="C423" s="43"/>
    </row>
    <row r="424" spans="3:3" ht="15.75" customHeight="1" x14ac:dyDescent="0.3">
      <c r="C424" s="43"/>
    </row>
    <row r="425" spans="3:3" ht="15.75" customHeight="1" x14ac:dyDescent="0.3">
      <c r="C425" s="43"/>
    </row>
    <row r="426" spans="3:3" ht="15.75" customHeight="1" x14ac:dyDescent="0.3">
      <c r="C426" s="43"/>
    </row>
    <row r="427" spans="3:3" ht="15.75" customHeight="1" x14ac:dyDescent="0.3">
      <c r="C427" s="43"/>
    </row>
    <row r="428" spans="3:3" ht="15.75" customHeight="1" x14ac:dyDescent="0.3">
      <c r="C428" s="43"/>
    </row>
    <row r="429" spans="3:3" ht="15.75" customHeight="1" x14ac:dyDescent="0.3">
      <c r="C429" s="43"/>
    </row>
    <row r="430" spans="3:3" ht="15.75" customHeight="1" x14ac:dyDescent="0.3">
      <c r="C430" s="43"/>
    </row>
    <row r="431" spans="3:3" ht="15.75" customHeight="1" x14ac:dyDescent="0.3">
      <c r="C431" s="43"/>
    </row>
    <row r="432" spans="3:3" ht="15.75" customHeight="1" x14ac:dyDescent="0.3">
      <c r="C432" s="43"/>
    </row>
    <row r="433" spans="3:3" ht="15.75" customHeight="1" x14ac:dyDescent="0.3">
      <c r="C433" s="43"/>
    </row>
    <row r="434" spans="3:3" ht="15.75" customHeight="1" x14ac:dyDescent="0.3">
      <c r="C434" s="43"/>
    </row>
    <row r="435" spans="3:3" ht="15.75" customHeight="1" x14ac:dyDescent="0.3">
      <c r="C435" s="43"/>
    </row>
    <row r="436" spans="3:3" ht="15.75" customHeight="1" x14ac:dyDescent="0.3">
      <c r="C436" s="43"/>
    </row>
    <row r="437" spans="3:3" ht="15.75" customHeight="1" x14ac:dyDescent="0.3">
      <c r="C437" s="43"/>
    </row>
    <row r="438" spans="3:3" ht="15.75" customHeight="1" x14ac:dyDescent="0.3">
      <c r="C438" s="43"/>
    </row>
    <row r="439" spans="3:3" ht="15.75" customHeight="1" x14ac:dyDescent="0.3">
      <c r="C439" s="43"/>
    </row>
    <row r="440" spans="3:3" ht="15.75" customHeight="1" x14ac:dyDescent="0.3">
      <c r="C440" s="43"/>
    </row>
    <row r="441" spans="3:3" ht="15.75" customHeight="1" x14ac:dyDescent="0.3">
      <c r="C441" s="43"/>
    </row>
    <row r="442" spans="3:3" ht="15.75" customHeight="1" x14ac:dyDescent="0.3">
      <c r="C442" s="43"/>
    </row>
    <row r="443" spans="3:3" ht="15.75" customHeight="1" x14ac:dyDescent="0.3">
      <c r="C443" s="43"/>
    </row>
    <row r="444" spans="3:3" ht="15.75" customHeight="1" x14ac:dyDescent="0.3">
      <c r="C444" s="43"/>
    </row>
    <row r="445" spans="3:3" ht="15.75" customHeight="1" x14ac:dyDescent="0.3">
      <c r="C445" s="43"/>
    </row>
    <row r="446" spans="3:3" ht="15.75" customHeight="1" x14ac:dyDescent="0.3">
      <c r="C446" s="43"/>
    </row>
    <row r="447" spans="3:3" ht="15.75" customHeight="1" x14ac:dyDescent="0.3">
      <c r="C447" s="43"/>
    </row>
    <row r="448" spans="3:3" ht="15.75" customHeight="1" x14ac:dyDescent="0.3">
      <c r="C448" s="43"/>
    </row>
    <row r="449" spans="3:3" ht="15.75" customHeight="1" x14ac:dyDescent="0.3">
      <c r="C449" s="43"/>
    </row>
    <row r="450" spans="3:3" ht="15.75" customHeight="1" x14ac:dyDescent="0.3">
      <c r="C450" s="43"/>
    </row>
    <row r="451" spans="3:3" ht="15.75" customHeight="1" x14ac:dyDescent="0.3">
      <c r="C451" s="43"/>
    </row>
    <row r="452" spans="3:3" ht="15.75" customHeight="1" x14ac:dyDescent="0.3">
      <c r="C452" s="43"/>
    </row>
    <row r="453" spans="3:3" ht="15.75" customHeight="1" x14ac:dyDescent="0.3">
      <c r="C453" s="43"/>
    </row>
    <row r="454" spans="3:3" ht="15.75" customHeight="1" x14ac:dyDescent="0.3">
      <c r="C454" s="43"/>
    </row>
    <row r="455" spans="3:3" ht="15.75" customHeight="1" x14ac:dyDescent="0.3">
      <c r="C455" s="43"/>
    </row>
    <row r="456" spans="3:3" ht="15.75" customHeight="1" x14ac:dyDescent="0.3">
      <c r="C456" s="43"/>
    </row>
    <row r="457" spans="3:3" ht="15.75" customHeight="1" x14ac:dyDescent="0.3">
      <c r="C457" s="43"/>
    </row>
    <row r="458" spans="3:3" ht="15.75" customHeight="1" x14ac:dyDescent="0.3">
      <c r="C458" s="43"/>
    </row>
    <row r="459" spans="3:3" ht="15.75" customHeight="1" x14ac:dyDescent="0.3">
      <c r="C459" s="43"/>
    </row>
    <row r="460" spans="3:3" ht="15.75" customHeight="1" x14ac:dyDescent="0.3">
      <c r="C460" s="43"/>
    </row>
    <row r="461" spans="3:3" ht="15.75" customHeight="1" x14ac:dyDescent="0.3">
      <c r="C461" s="43"/>
    </row>
    <row r="462" spans="3:3" ht="15.75" customHeight="1" x14ac:dyDescent="0.3">
      <c r="C462" s="43"/>
    </row>
    <row r="463" spans="3:3" ht="15.75" customHeight="1" x14ac:dyDescent="0.3">
      <c r="C463" s="43"/>
    </row>
    <row r="464" spans="3:3" ht="15.75" customHeight="1" x14ac:dyDescent="0.3">
      <c r="C464" s="43"/>
    </row>
    <row r="465" spans="3:3" ht="15.75" customHeight="1" x14ac:dyDescent="0.3">
      <c r="C465" s="43"/>
    </row>
    <row r="466" spans="3:3" ht="15.75" customHeight="1" x14ac:dyDescent="0.3">
      <c r="C466" s="43"/>
    </row>
    <row r="467" spans="3:3" ht="15.75" customHeight="1" x14ac:dyDescent="0.3">
      <c r="C467" s="43"/>
    </row>
    <row r="468" spans="3:3" ht="15.75" customHeight="1" x14ac:dyDescent="0.3">
      <c r="C468" s="43"/>
    </row>
    <row r="469" spans="3:3" ht="15.75" customHeight="1" x14ac:dyDescent="0.3">
      <c r="C469" s="43"/>
    </row>
    <row r="470" spans="3:3" ht="15.75" customHeight="1" x14ac:dyDescent="0.3">
      <c r="C470" s="43"/>
    </row>
    <row r="471" spans="3:3" ht="15.75" customHeight="1" x14ac:dyDescent="0.3">
      <c r="C471" s="43"/>
    </row>
    <row r="472" spans="3:3" ht="15.75" customHeight="1" x14ac:dyDescent="0.3">
      <c r="C472" s="43"/>
    </row>
    <row r="473" spans="3:3" ht="15.75" customHeight="1" x14ac:dyDescent="0.3">
      <c r="C473" s="43"/>
    </row>
    <row r="474" spans="3:3" ht="15.75" customHeight="1" x14ac:dyDescent="0.3">
      <c r="C474" s="43"/>
    </row>
    <row r="475" spans="3:3" ht="15.75" customHeight="1" x14ac:dyDescent="0.3">
      <c r="C475" s="43"/>
    </row>
    <row r="476" spans="3:3" ht="15.75" customHeight="1" x14ac:dyDescent="0.3">
      <c r="C476" s="43"/>
    </row>
    <row r="477" spans="3:3" ht="15.75" customHeight="1" x14ac:dyDescent="0.3">
      <c r="C477" s="43"/>
    </row>
    <row r="478" spans="3:3" ht="15.75" customHeight="1" x14ac:dyDescent="0.3">
      <c r="C478" s="43"/>
    </row>
    <row r="479" spans="3:3" ht="15.75" customHeight="1" x14ac:dyDescent="0.3">
      <c r="C479" s="43"/>
    </row>
    <row r="480" spans="3:3" ht="15.75" customHeight="1" x14ac:dyDescent="0.3">
      <c r="C480" s="43"/>
    </row>
    <row r="481" spans="3:3" ht="15.75" customHeight="1" x14ac:dyDescent="0.3">
      <c r="C481" s="43"/>
    </row>
    <row r="482" spans="3:3" ht="15.75" customHeight="1" x14ac:dyDescent="0.3">
      <c r="C482" s="43"/>
    </row>
    <row r="483" spans="3:3" ht="15.75" customHeight="1" x14ac:dyDescent="0.3">
      <c r="C483" s="43"/>
    </row>
    <row r="484" spans="3:3" ht="15.75" customHeight="1" x14ac:dyDescent="0.3">
      <c r="C484" s="43"/>
    </row>
    <row r="485" spans="3:3" ht="15.75" customHeight="1" x14ac:dyDescent="0.3">
      <c r="C485" s="43"/>
    </row>
    <row r="486" spans="3:3" ht="15.75" customHeight="1" x14ac:dyDescent="0.3">
      <c r="C486" s="43"/>
    </row>
    <row r="487" spans="3:3" ht="15.75" customHeight="1" x14ac:dyDescent="0.3">
      <c r="C487" s="43"/>
    </row>
    <row r="488" spans="3:3" ht="15.75" customHeight="1" x14ac:dyDescent="0.3">
      <c r="C488" s="43"/>
    </row>
    <row r="489" spans="3:3" ht="15.75" customHeight="1" x14ac:dyDescent="0.3">
      <c r="C489" s="43"/>
    </row>
    <row r="490" spans="3:3" ht="15.75" customHeight="1" x14ac:dyDescent="0.3">
      <c r="C490" s="43"/>
    </row>
    <row r="491" spans="3:3" ht="15.75" customHeight="1" x14ac:dyDescent="0.3">
      <c r="C491" s="43"/>
    </row>
    <row r="492" spans="3:3" ht="15.75" customHeight="1" x14ac:dyDescent="0.3">
      <c r="C492" s="43"/>
    </row>
    <row r="493" spans="3:3" ht="15.75" customHeight="1" x14ac:dyDescent="0.3">
      <c r="C493" s="43"/>
    </row>
    <row r="494" spans="3:3" ht="15.75" customHeight="1" x14ac:dyDescent="0.3">
      <c r="C494" s="43"/>
    </row>
    <row r="495" spans="3:3" ht="15.75" customHeight="1" x14ac:dyDescent="0.3">
      <c r="C495" s="43"/>
    </row>
    <row r="496" spans="3:3" ht="15.75" customHeight="1" x14ac:dyDescent="0.3">
      <c r="C496" s="43"/>
    </row>
    <row r="497" spans="3:3" ht="15.75" customHeight="1" x14ac:dyDescent="0.3">
      <c r="C497" s="43"/>
    </row>
    <row r="498" spans="3:3" ht="15.75" customHeight="1" x14ac:dyDescent="0.3">
      <c r="C498" s="43"/>
    </row>
    <row r="499" spans="3:3" ht="15.75" customHeight="1" x14ac:dyDescent="0.3">
      <c r="C499" s="43"/>
    </row>
    <row r="500" spans="3:3" ht="15.75" customHeight="1" x14ac:dyDescent="0.3">
      <c r="C500" s="43"/>
    </row>
    <row r="501" spans="3:3" ht="15.75" customHeight="1" x14ac:dyDescent="0.3">
      <c r="C501" s="43"/>
    </row>
    <row r="502" spans="3:3" ht="15.75" customHeight="1" x14ac:dyDescent="0.3">
      <c r="C502" s="43"/>
    </row>
    <row r="503" spans="3:3" ht="15.75" customHeight="1" x14ac:dyDescent="0.3">
      <c r="C503" s="43"/>
    </row>
    <row r="504" spans="3:3" ht="15.75" customHeight="1" x14ac:dyDescent="0.3">
      <c r="C504" s="43"/>
    </row>
    <row r="505" spans="3:3" ht="15.75" customHeight="1" x14ac:dyDescent="0.3">
      <c r="C505" s="43"/>
    </row>
    <row r="506" spans="3:3" ht="15.75" customHeight="1" x14ac:dyDescent="0.3">
      <c r="C506" s="43"/>
    </row>
    <row r="507" spans="3:3" ht="15.75" customHeight="1" x14ac:dyDescent="0.3">
      <c r="C507" s="43"/>
    </row>
    <row r="508" spans="3:3" ht="15.75" customHeight="1" x14ac:dyDescent="0.3">
      <c r="C508" s="43"/>
    </row>
    <row r="509" spans="3:3" ht="15.75" customHeight="1" x14ac:dyDescent="0.3">
      <c r="C509" s="43"/>
    </row>
    <row r="510" spans="3:3" ht="15.75" customHeight="1" x14ac:dyDescent="0.3">
      <c r="C510" s="43"/>
    </row>
    <row r="511" spans="3:3" ht="15.75" customHeight="1" x14ac:dyDescent="0.3">
      <c r="C511" s="43"/>
    </row>
    <row r="512" spans="3:3" ht="15.75" customHeight="1" x14ac:dyDescent="0.3">
      <c r="C512" s="43"/>
    </row>
    <row r="513" spans="3:3" ht="15.75" customHeight="1" x14ac:dyDescent="0.3">
      <c r="C513" s="43"/>
    </row>
    <row r="514" spans="3:3" ht="15.75" customHeight="1" x14ac:dyDescent="0.3">
      <c r="C514" s="43"/>
    </row>
    <row r="515" spans="3:3" ht="15.75" customHeight="1" x14ac:dyDescent="0.3">
      <c r="C515" s="43"/>
    </row>
    <row r="516" spans="3:3" ht="15.75" customHeight="1" x14ac:dyDescent="0.3">
      <c r="C516" s="43"/>
    </row>
    <row r="517" spans="3:3" ht="15.75" customHeight="1" x14ac:dyDescent="0.3">
      <c r="C517" s="43"/>
    </row>
    <row r="518" spans="3:3" ht="15.75" customHeight="1" x14ac:dyDescent="0.3">
      <c r="C518" s="43"/>
    </row>
    <row r="519" spans="3:3" ht="15.75" customHeight="1" x14ac:dyDescent="0.3">
      <c r="C519" s="43"/>
    </row>
    <row r="520" spans="3:3" ht="15.75" customHeight="1" x14ac:dyDescent="0.3">
      <c r="C520" s="43"/>
    </row>
    <row r="521" spans="3:3" ht="15.75" customHeight="1" x14ac:dyDescent="0.3">
      <c r="C521" s="43"/>
    </row>
    <row r="522" spans="3:3" ht="15.75" customHeight="1" x14ac:dyDescent="0.3">
      <c r="C522" s="43"/>
    </row>
    <row r="523" spans="3:3" ht="15.75" customHeight="1" x14ac:dyDescent="0.3">
      <c r="C523" s="43"/>
    </row>
    <row r="524" spans="3:3" ht="15.75" customHeight="1" x14ac:dyDescent="0.3">
      <c r="C524" s="43"/>
    </row>
    <row r="525" spans="3:3" ht="15.75" customHeight="1" x14ac:dyDescent="0.3">
      <c r="C525" s="43"/>
    </row>
    <row r="526" spans="3:3" ht="15.75" customHeight="1" x14ac:dyDescent="0.3">
      <c r="C526" s="43"/>
    </row>
    <row r="527" spans="3:3" ht="15.75" customHeight="1" x14ac:dyDescent="0.3">
      <c r="C527" s="43"/>
    </row>
    <row r="528" spans="3:3" ht="15.75" customHeight="1" x14ac:dyDescent="0.3">
      <c r="C528" s="43"/>
    </row>
    <row r="529" spans="3:3" ht="15.75" customHeight="1" x14ac:dyDescent="0.3">
      <c r="C529" s="43"/>
    </row>
    <row r="530" spans="3:3" ht="15.75" customHeight="1" x14ac:dyDescent="0.3">
      <c r="C530" s="43"/>
    </row>
    <row r="531" spans="3:3" ht="15.75" customHeight="1" x14ac:dyDescent="0.3">
      <c r="C531" s="43"/>
    </row>
    <row r="532" spans="3:3" ht="15.75" customHeight="1" x14ac:dyDescent="0.3">
      <c r="C532" s="43"/>
    </row>
    <row r="533" spans="3:3" ht="15.75" customHeight="1" x14ac:dyDescent="0.3">
      <c r="C533" s="43"/>
    </row>
    <row r="534" spans="3:3" ht="15.75" customHeight="1" x14ac:dyDescent="0.3">
      <c r="C534" s="43"/>
    </row>
    <row r="535" spans="3:3" ht="15.75" customHeight="1" x14ac:dyDescent="0.3">
      <c r="C535" s="43"/>
    </row>
    <row r="536" spans="3:3" ht="15.75" customHeight="1" x14ac:dyDescent="0.3">
      <c r="C536" s="43"/>
    </row>
    <row r="537" spans="3:3" ht="15.75" customHeight="1" x14ac:dyDescent="0.3">
      <c r="C537" s="43"/>
    </row>
    <row r="538" spans="3:3" ht="15.75" customHeight="1" x14ac:dyDescent="0.3">
      <c r="C538" s="43"/>
    </row>
    <row r="539" spans="3:3" ht="15.75" customHeight="1" x14ac:dyDescent="0.3">
      <c r="C539" s="43"/>
    </row>
    <row r="540" spans="3:3" ht="15.75" customHeight="1" x14ac:dyDescent="0.3">
      <c r="C540" s="43"/>
    </row>
    <row r="541" spans="3:3" ht="15.75" customHeight="1" x14ac:dyDescent="0.3">
      <c r="C541" s="43"/>
    </row>
    <row r="542" spans="3:3" ht="15.75" customHeight="1" x14ac:dyDescent="0.3">
      <c r="C542" s="43"/>
    </row>
    <row r="543" spans="3:3" ht="15.75" customHeight="1" x14ac:dyDescent="0.3">
      <c r="C543" s="43"/>
    </row>
    <row r="544" spans="3:3" ht="15.75" customHeight="1" x14ac:dyDescent="0.3">
      <c r="C544" s="43"/>
    </row>
    <row r="545" spans="3:3" ht="15.75" customHeight="1" x14ac:dyDescent="0.3">
      <c r="C545" s="43"/>
    </row>
    <row r="546" spans="3:3" ht="15.75" customHeight="1" x14ac:dyDescent="0.3">
      <c r="C546" s="43"/>
    </row>
    <row r="547" spans="3:3" ht="15.75" customHeight="1" x14ac:dyDescent="0.3">
      <c r="C547" s="43"/>
    </row>
    <row r="548" spans="3:3" ht="15.75" customHeight="1" x14ac:dyDescent="0.3">
      <c r="C548" s="43"/>
    </row>
    <row r="549" spans="3:3" ht="15.75" customHeight="1" x14ac:dyDescent="0.3">
      <c r="C549" s="43"/>
    </row>
    <row r="550" spans="3:3" ht="15.75" customHeight="1" x14ac:dyDescent="0.3">
      <c r="C550" s="43"/>
    </row>
    <row r="551" spans="3:3" ht="15.75" customHeight="1" x14ac:dyDescent="0.3">
      <c r="C551" s="43"/>
    </row>
    <row r="552" spans="3:3" ht="15.75" customHeight="1" x14ac:dyDescent="0.3">
      <c r="C552" s="43"/>
    </row>
    <row r="553" spans="3:3" ht="15.75" customHeight="1" x14ac:dyDescent="0.3">
      <c r="C553" s="43"/>
    </row>
    <row r="554" spans="3:3" ht="15.75" customHeight="1" x14ac:dyDescent="0.3">
      <c r="C554" s="43"/>
    </row>
    <row r="555" spans="3:3" ht="15.75" customHeight="1" x14ac:dyDescent="0.3">
      <c r="C555" s="43"/>
    </row>
    <row r="556" spans="3:3" ht="15.75" customHeight="1" x14ac:dyDescent="0.3">
      <c r="C556" s="43"/>
    </row>
    <row r="557" spans="3:3" ht="15.75" customHeight="1" x14ac:dyDescent="0.3">
      <c r="C557" s="43"/>
    </row>
    <row r="558" spans="3:3" ht="15.75" customHeight="1" x14ac:dyDescent="0.3">
      <c r="C558" s="43"/>
    </row>
    <row r="559" spans="3:3" ht="15.75" customHeight="1" x14ac:dyDescent="0.3">
      <c r="C559" s="43"/>
    </row>
    <row r="560" spans="3:3" ht="15.75" customHeight="1" x14ac:dyDescent="0.3">
      <c r="C560" s="43"/>
    </row>
    <row r="561" spans="3:3" ht="15.75" customHeight="1" x14ac:dyDescent="0.3">
      <c r="C561" s="43"/>
    </row>
    <row r="562" spans="3:3" ht="15.75" customHeight="1" x14ac:dyDescent="0.3">
      <c r="C562" s="43"/>
    </row>
    <row r="563" spans="3:3" ht="15.75" customHeight="1" x14ac:dyDescent="0.3">
      <c r="C563" s="43"/>
    </row>
    <row r="564" spans="3:3" ht="15.75" customHeight="1" x14ac:dyDescent="0.3">
      <c r="C564" s="43"/>
    </row>
    <row r="565" spans="3:3" ht="15.75" customHeight="1" x14ac:dyDescent="0.3">
      <c r="C565" s="43"/>
    </row>
    <row r="566" spans="3:3" ht="15.75" customHeight="1" x14ac:dyDescent="0.3">
      <c r="C566" s="43"/>
    </row>
    <row r="567" spans="3:3" ht="15.75" customHeight="1" x14ac:dyDescent="0.3">
      <c r="C567" s="43"/>
    </row>
    <row r="568" spans="3:3" ht="15.75" customHeight="1" x14ac:dyDescent="0.3">
      <c r="C568" s="43"/>
    </row>
    <row r="569" spans="3:3" ht="15.75" customHeight="1" x14ac:dyDescent="0.3">
      <c r="C569" s="43"/>
    </row>
    <row r="570" spans="3:3" ht="15.75" customHeight="1" x14ac:dyDescent="0.3">
      <c r="C570" s="43"/>
    </row>
    <row r="571" spans="3:3" ht="15.75" customHeight="1" x14ac:dyDescent="0.3">
      <c r="C571" s="43"/>
    </row>
    <row r="572" spans="3:3" ht="15.75" customHeight="1" x14ac:dyDescent="0.3">
      <c r="C572" s="43"/>
    </row>
    <row r="573" spans="3:3" ht="15.75" customHeight="1" x14ac:dyDescent="0.3">
      <c r="C573" s="43"/>
    </row>
    <row r="574" spans="3:3" ht="15.75" customHeight="1" x14ac:dyDescent="0.3">
      <c r="C574" s="43"/>
    </row>
    <row r="575" spans="3:3" ht="15.75" customHeight="1" x14ac:dyDescent="0.3">
      <c r="C575" s="43"/>
    </row>
    <row r="576" spans="3:3" ht="15.75" customHeight="1" x14ac:dyDescent="0.3">
      <c r="C576" s="43"/>
    </row>
    <row r="577" spans="3:3" ht="15.75" customHeight="1" x14ac:dyDescent="0.3">
      <c r="C577" s="43"/>
    </row>
    <row r="578" spans="3:3" ht="15.75" customHeight="1" x14ac:dyDescent="0.3">
      <c r="C578" s="43"/>
    </row>
    <row r="579" spans="3:3" ht="15.75" customHeight="1" x14ac:dyDescent="0.3">
      <c r="C579" s="43"/>
    </row>
    <row r="580" spans="3:3" ht="15.75" customHeight="1" x14ac:dyDescent="0.3">
      <c r="C580" s="43"/>
    </row>
    <row r="581" spans="3:3" ht="15.75" customHeight="1" x14ac:dyDescent="0.3">
      <c r="C581" s="43"/>
    </row>
    <row r="582" spans="3:3" ht="15.75" customHeight="1" x14ac:dyDescent="0.3">
      <c r="C582" s="43"/>
    </row>
    <row r="583" spans="3:3" ht="15.75" customHeight="1" x14ac:dyDescent="0.3">
      <c r="C583" s="43"/>
    </row>
    <row r="584" spans="3:3" ht="15.75" customHeight="1" x14ac:dyDescent="0.3">
      <c r="C584" s="43"/>
    </row>
    <row r="585" spans="3:3" ht="15.75" customHeight="1" x14ac:dyDescent="0.3">
      <c r="C585" s="43"/>
    </row>
    <row r="586" spans="3:3" ht="15.75" customHeight="1" x14ac:dyDescent="0.3">
      <c r="C586" s="43"/>
    </row>
    <row r="587" spans="3:3" ht="15.75" customHeight="1" x14ac:dyDescent="0.3">
      <c r="C587" s="43"/>
    </row>
    <row r="588" spans="3:3" ht="15.75" customHeight="1" x14ac:dyDescent="0.3">
      <c r="C588" s="43"/>
    </row>
    <row r="589" spans="3:3" ht="15.75" customHeight="1" x14ac:dyDescent="0.3">
      <c r="C589" s="43"/>
    </row>
    <row r="590" spans="3:3" ht="15.75" customHeight="1" x14ac:dyDescent="0.3">
      <c r="C590" s="43"/>
    </row>
    <row r="591" spans="3:3" ht="15.75" customHeight="1" x14ac:dyDescent="0.3">
      <c r="C591" s="43"/>
    </row>
    <row r="592" spans="3:3" ht="15.75" customHeight="1" x14ac:dyDescent="0.3">
      <c r="C592" s="43"/>
    </row>
    <row r="593" spans="3:3" ht="15.75" customHeight="1" x14ac:dyDescent="0.3">
      <c r="C593" s="43"/>
    </row>
    <row r="594" spans="3:3" ht="15.75" customHeight="1" x14ac:dyDescent="0.3">
      <c r="C594" s="43"/>
    </row>
    <row r="595" spans="3:3" ht="15.75" customHeight="1" x14ac:dyDescent="0.3">
      <c r="C595" s="43"/>
    </row>
    <row r="596" spans="3:3" ht="15.75" customHeight="1" x14ac:dyDescent="0.3">
      <c r="C596" s="43"/>
    </row>
    <row r="597" spans="3:3" ht="15.75" customHeight="1" x14ac:dyDescent="0.3">
      <c r="C597" s="43"/>
    </row>
    <row r="598" spans="3:3" ht="15.75" customHeight="1" x14ac:dyDescent="0.3">
      <c r="C598" s="43"/>
    </row>
    <row r="599" spans="3:3" ht="15.75" customHeight="1" x14ac:dyDescent="0.3">
      <c r="C599" s="43"/>
    </row>
    <row r="600" spans="3:3" ht="15.75" customHeight="1" x14ac:dyDescent="0.3">
      <c r="C600" s="43"/>
    </row>
    <row r="601" spans="3:3" ht="15.75" customHeight="1" x14ac:dyDescent="0.3">
      <c r="C601" s="43"/>
    </row>
    <row r="602" spans="3:3" ht="15.75" customHeight="1" x14ac:dyDescent="0.3">
      <c r="C602" s="43"/>
    </row>
    <row r="603" spans="3:3" ht="15.75" customHeight="1" x14ac:dyDescent="0.3">
      <c r="C603" s="43"/>
    </row>
    <row r="604" spans="3:3" ht="15.75" customHeight="1" x14ac:dyDescent="0.3">
      <c r="C604" s="43"/>
    </row>
    <row r="605" spans="3:3" ht="15.75" customHeight="1" x14ac:dyDescent="0.3">
      <c r="C605" s="43"/>
    </row>
    <row r="606" spans="3:3" ht="15.75" customHeight="1" x14ac:dyDescent="0.3">
      <c r="C606" s="43"/>
    </row>
    <row r="607" spans="3:3" ht="15.75" customHeight="1" x14ac:dyDescent="0.3">
      <c r="C607" s="43"/>
    </row>
    <row r="608" spans="3:3" ht="15.75" customHeight="1" x14ac:dyDescent="0.3">
      <c r="C608" s="43"/>
    </row>
    <row r="609" spans="3:3" ht="15.75" customHeight="1" x14ac:dyDescent="0.3">
      <c r="C609" s="43"/>
    </row>
    <row r="610" spans="3:3" ht="15.75" customHeight="1" x14ac:dyDescent="0.3">
      <c r="C610" s="43"/>
    </row>
    <row r="611" spans="3:3" ht="15.75" customHeight="1" x14ac:dyDescent="0.3">
      <c r="C611" s="43"/>
    </row>
    <row r="612" spans="3:3" ht="15.75" customHeight="1" x14ac:dyDescent="0.3">
      <c r="C612" s="43"/>
    </row>
    <row r="613" spans="3:3" ht="15.75" customHeight="1" x14ac:dyDescent="0.3">
      <c r="C613" s="43"/>
    </row>
    <row r="614" spans="3:3" ht="15.75" customHeight="1" x14ac:dyDescent="0.3">
      <c r="C614" s="43"/>
    </row>
    <row r="615" spans="3:3" ht="15.75" customHeight="1" x14ac:dyDescent="0.3">
      <c r="C615" s="43"/>
    </row>
    <row r="616" spans="3:3" ht="15.75" customHeight="1" x14ac:dyDescent="0.3">
      <c r="C616" s="43"/>
    </row>
    <row r="617" spans="3:3" ht="15.75" customHeight="1" x14ac:dyDescent="0.3">
      <c r="C617" s="43"/>
    </row>
    <row r="618" spans="3:3" ht="15.75" customHeight="1" x14ac:dyDescent="0.3">
      <c r="C618" s="43"/>
    </row>
    <row r="619" spans="3:3" ht="15.75" customHeight="1" x14ac:dyDescent="0.3">
      <c r="C619" s="43"/>
    </row>
    <row r="620" spans="3:3" ht="15.75" customHeight="1" x14ac:dyDescent="0.3">
      <c r="C620" s="43"/>
    </row>
    <row r="621" spans="3:3" ht="15.75" customHeight="1" x14ac:dyDescent="0.3">
      <c r="C621" s="43"/>
    </row>
    <row r="622" spans="3:3" ht="15.75" customHeight="1" x14ac:dyDescent="0.3">
      <c r="C622" s="43"/>
    </row>
    <row r="623" spans="3:3" ht="15.75" customHeight="1" x14ac:dyDescent="0.3">
      <c r="C623" s="43"/>
    </row>
    <row r="624" spans="3:3" ht="15.75" customHeight="1" x14ac:dyDescent="0.3">
      <c r="C624" s="43"/>
    </row>
    <row r="625" spans="3:3" ht="15.75" customHeight="1" x14ac:dyDescent="0.3">
      <c r="C625" s="43"/>
    </row>
    <row r="626" spans="3:3" ht="15.75" customHeight="1" x14ac:dyDescent="0.3">
      <c r="C626" s="43"/>
    </row>
    <row r="627" spans="3:3" ht="15.75" customHeight="1" x14ac:dyDescent="0.3">
      <c r="C627" s="43"/>
    </row>
    <row r="628" spans="3:3" ht="15.75" customHeight="1" x14ac:dyDescent="0.3">
      <c r="C628" s="43"/>
    </row>
    <row r="629" spans="3:3" ht="15.75" customHeight="1" x14ac:dyDescent="0.3">
      <c r="C629" s="43"/>
    </row>
    <row r="630" spans="3:3" ht="15.75" customHeight="1" x14ac:dyDescent="0.3">
      <c r="C630" s="43"/>
    </row>
    <row r="631" spans="3:3" ht="15.75" customHeight="1" x14ac:dyDescent="0.3">
      <c r="C631" s="43"/>
    </row>
    <row r="632" spans="3:3" ht="15.75" customHeight="1" x14ac:dyDescent="0.3">
      <c r="C632" s="43"/>
    </row>
    <row r="633" spans="3:3" ht="15.75" customHeight="1" x14ac:dyDescent="0.3">
      <c r="C633" s="43"/>
    </row>
    <row r="634" spans="3:3" ht="15.75" customHeight="1" x14ac:dyDescent="0.3">
      <c r="C634" s="43"/>
    </row>
    <row r="635" spans="3:3" ht="15.75" customHeight="1" x14ac:dyDescent="0.3">
      <c r="C635" s="43"/>
    </row>
    <row r="636" spans="3:3" ht="15.75" customHeight="1" x14ac:dyDescent="0.3">
      <c r="C636" s="43"/>
    </row>
    <row r="637" spans="3:3" ht="15.75" customHeight="1" x14ac:dyDescent="0.3">
      <c r="C637" s="43"/>
    </row>
    <row r="638" spans="3:3" ht="15.75" customHeight="1" x14ac:dyDescent="0.3">
      <c r="C638" s="43"/>
    </row>
    <row r="639" spans="3:3" ht="15.75" customHeight="1" x14ac:dyDescent="0.3">
      <c r="C639" s="43"/>
    </row>
    <row r="640" spans="3:3" ht="15.75" customHeight="1" x14ac:dyDescent="0.3">
      <c r="C640" s="43"/>
    </row>
    <row r="641" spans="3:3" ht="15.75" customHeight="1" x14ac:dyDescent="0.3">
      <c r="C641" s="43"/>
    </row>
    <row r="642" spans="3:3" ht="15.75" customHeight="1" x14ac:dyDescent="0.3">
      <c r="C642" s="43"/>
    </row>
    <row r="643" spans="3:3" ht="15.75" customHeight="1" x14ac:dyDescent="0.3">
      <c r="C643" s="43"/>
    </row>
    <row r="644" spans="3:3" ht="15.75" customHeight="1" x14ac:dyDescent="0.3">
      <c r="C644" s="43"/>
    </row>
    <row r="645" spans="3:3" ht="15.75" customHeight="1" x14ac:dyDescent="0.3">
      <c r="C645" s="43"/>
    </row>
    <row r="646" spans="3:3" ht="15.75" customHeight="1" x14ac:dyDescent="0.3">
      <c r="C646" s="43"/>
    </row>
    <row r="647" spans="3:3" ht="15.75" customHeight="1" x14ac:dyDescent="0.3">
      <c r="C647" s="43"/>
    </row>
    <row r="648" spans="3:3" ht="15.75" customHeight="1" x14ac:dyDescent="0.3">
      <c r="C648" s="43"/>
    </row>
    <row r="649" spans="3:3" ht="15.75" customHeight="1" x14ac:dyDescent="0.3">
      <c r="C649" s="43"/>
    </row>
    <row r="650" spans="3:3" ht="15.75" customHeight="1" x14ac:dyDescent="0.3">
      <c r="C650" s="43"/>
    </row>
    <row r="651" spans="3:3" ht="15.75" customHeight="1" x14ac:dyDescent="0.3">
      <c r="C651" s="43"/>
    </row>
    <row r="652" spans="3:3" ht="15.75" customHeight="1" x14ac:dyDescent="0.3">
      <c r="C652" s="43"/>
    </row>
    <row r="653" spans="3:3" ht="15.75" customHeight="1" x14ac:dyDescent="0.3">
      <c r="C653" s="43"/>
    </row>
    <row r="654" spans="3:3" ht="15.75" customHeight="1" x14ac:dyDescent="0.3">
      <c r="C654" s="43"/>
    </row>
    <row r="655" spans="3:3" ht="15.75" customHeight="1" x14ac:dyDescent="0.3">
      <c r="C655" s="43"/>
    </row>
    <row r="656" spans="3:3" ht="15.75" customHeight="1" x14ac:dyDescent="0.3">
      <c r="C656" s="43"/>
    </row>
    <row r="657" spans="3:3" ht="15.75" customHeight="1" x14ac:dyDescent="0.3">
      <c r="C657" s="43"/>
    </row>
    <row r="658" spans="3:3" ht="15.75" customHeight="1" x14ac:dyDescent="0.3">
      <c r="C658" s="43"/>
    </row>
    <row r="659" spans="3:3" ht="15.75" customHeight="1" x14ac:dyDescent="0.3">
      <c r="C659" s="43"/>
    </row>
    <row r="660" spans="3:3" ht="15.75" customHeight="1" x14ac:dyDescent="0.3">
      <c r="C660" s="43"/>
    </row>
    <row r="661" spans="3:3" ht="15.75" customHeight="1" x14ac:dyDescent="0.3">
      <c r="C661" s="43"/>
    </row>
    <row r="662" spans="3:3" ht="15.75" customHeight="1" x14ac:dyDescent="0.3">
      <c r="C662" s="43"/>
    </row>
    <row r="663" spans="3:3" ht="15.75" customHeight="1" x14ac:dyDescent="0.3">
      <c r="C663" s="43"/>
    </row>
    <row r="664" spans="3:3" ht="15.75" customHeight="1" x14ac:dyDescent="0.3">
      <c r="C664" s="43"/>
    </row>
    <row r="665" spans="3:3" ht="15.75" customHeight="1" x14ac:dyDescent="0.3">
      <c r="C665" s="43"/>
    </row>
    <row r="666" spans="3:3" ht="15.75" customHeight="1" x14ac:dyDescent="0.3">
      <c r="C666" s="43"/>
    </row>
    <row r="667" spans="3:3" ht="15.75" customHeight="1" x14ac:dyDescent="0.3">
      <c r="C667" s="43"/>
    </row>
    <row r="668" spans="3:3" ht="15.75" customHeight="1" x14ac:dyDescent="0.3">
      <c r="C668" s="43"/>
    </row>
    <row r="669" spans="3:3" ht="15.75" customHeight="1" x14ac:dyDescent="0.3">
      <c r="C669" s="43"/>
    </row>
    <row r="670" spans="3:3" ht="15.75" customHeight="1" x14ac:dyDescent="0.3">
      <c r="C670" s="43"/>
    </row>
    <row r="671" spans="3:3" ht="15.75" customHeight="1" x14ac:dyDescent="0.3">
      <c r="C671" s="43"/>
    </row>
    <row r="672" spans="3:3" ht="15.75" customHeight="1" x14ac:dyDescent="0.3">
      <c r="C672" s="43"/>
    </row>
    <row r="673" spans="3:3" ht="15.75" customHeight="1" x14ac:dyDescent="0.3">
      <c r="C673" s="43"/>
    </row>
    <row r="674" spans="3:3" ht="15.75" customHeight="1" x14ac:dyDescent="0.3">
      <c r="C674" s="43"/>
    </row>
    <row r="675" spans="3:3" ht="15.75" customHeight="1" x14ac:dyDescent="0.3">
      <c r="C675" s="43"/>
    </row>
    <row r="676" spans="3:3" ht="15.75" customHeight="1" x14ac:dyDescent="0.3">
      <c r="C676" s="43"/>
    </row>
    <row r="677" spans="3:3" ht="15.75" customHeight="1" x14ac:dyDescent="0.3">
      <c r="C677" s="43"/>
    </row>
    <row r="678" spans="3:3" ht="15.75" customHeight="1" x14ac:dyDescent="0.3">
      <c r="C678" s="43"/>
    </row>
    <row r="679" spans="3:3" ht="15.75" customHeight="1" x14ac:dyDescent="0.3">
      <c r="C679" s="43"/>
    </row>
    <row r="680" spans="3:3" ht="15.75" customHeight="1" x14ac:dyDescent="0.3">
      <c r="C680" s="43"/>
    </row>
    <row r="681" spans="3:3" ht="15.75" customHeight="1" x14ac:dyDescent="0.3">
      <c r="C681" s="43"/>
    </row>
    <row r="682" spans="3:3" ht="15.75" customHeight="1" x14ac:dyDescent="0.3">
      <c r="C682" s="43"/>
    </row>
    <row r="683" spans="3:3" ht="15.75" customHeight="1" x14ac:dyDescent="0.3">
      <c r="C683" s="43"/>
    </row>
    <row r="684" spans="3:3" ht="15.75" customHeight="1" x14ac:dyDescent="0.3">
      <c r="C684" s="43"/>
    </row>
    <row r="685" spans="3:3" ht="15.75" customHeight="1" x14ac:dyDescent="0.3">
      <c r="C685" s="43"/>
    </row>
    <row r="686" spans="3:3" ht="15.75" customHeight="1" x14ac:dyDescent="0.3">
      <c r="C686" s="43"/>
    </row>
    <row r="687" spans="3:3" ht="15.75" customHeight="1" x14ac:dyDescent="0.3">
      <c r="C687" s="43"/>
    </row>
    <row r="688" spans="3:3" ht="15.75" customHeight="1" x14ac:dyDescent="0.3">
      <c r="C688" s="43"/>
    </row>
    <row r="689" spans="3:3" ht="15.75" customHeight="1" x14ac:dyDescent="0.3">
      <c r="C689" s="43"/>
    </row>
    <row r="690" spans="3:3" ht="15.75" customHeight="1" x14ac:dyDescent="0.3">
      <c r="C690" s="43"/>
    </row>
    <row r="691" spans="3:3" ht="15.75" customHeight="1" x14ac:dyDescent="0.3">
      <c r="C691" s="43"/>
    </row>
    <row r="692" spans="3:3" ht="15.75" customHeight="1" x14ac:dyDescent="0.3">
      <c r="C692" s="43"/>
    </row>
    <row r="693" spans="3:3" ht="15.75" customHeight="1" x14ac:dyDescent="0.3">
      <c r="C693" s="43"/>
    </row>
    <row r="694" spans="3:3" ht="15.75" customHeight="1" x14ac:dyDescent="0.3">
      <c r="C694" s="43"/>
    </row>
    <row r="695" spans="3:3" ht="15.75" customHeight="1" x14ac:dyDescent="0.3">
      <c r="C695" s="43"/>
    </row>
    <row r="696" spans="3:3" ht="15.75" customHeight="1" x14ac:dyDescent="0.3">
      <c r="C696" s="43"/>
    </row>
    <row r="697" spans="3:3" ht="15.75" customHeight="1" x14ac:dyDescent="0.3">
      <c r="C697" s="43"/>
    </row>
    <row r="698" spans="3:3" ht="15.75" customHeight="1" x14ac:dyDescent="0.3">
      <c r="C698" s="43"/>
    </row>
    <row r="699" spans="3:3" ht="15.75" customHeight="1" x14ac:dyDescent="0.3">
      <c r="C699" s="43"/>
    </row>
    <row r="700" spans="3:3" ht="15.75" customHeight="1" x14ac:dyDescent="0.3">
      <c r="C700" s="43"/>
    </row>
    <row r="701" spans="3:3" ht="15.75" customHeight="1" x14ac:dyDescent="0.3">
      <c r="C701" s="43"/>
    </row>
    <row r="702" spans="3:3" ht="15.75" customHeight="1" x14ac:dyDescent="0.3">
      <c r="C702" s="43"/>
    </row>
    <row r="703" spans="3:3" ht="15.75" customHeight="1" x14ac:dyDescent="0.3">
      <c r="C703" s="43"/>
    </row>
    <row r="704" spans="3:3" ht="15.75" customHeight="1" x14ac:dyDescent="0.3">
      <c r="C704" s="43"/>
    </row>
    <row r="705" spans="3:3" ht="15.75" customHeight="1" x14ac:dyDescent="0.3">
      <c r="C705" s="43"/>
    </row>
    <row r="706" spans="3:3" ht="15.75" customHeight="1" x14ac:dyDescent="0.3">
      <c r="C706" s="43"/>
    </row>
    <row r="707" spans="3:3" ht="15.75" customHeight="1" x14ac:dyDescent="0.3">
      <c r="C707" s="43"/>
    </row>
    <row r="708" spans="3:3" ht="15.75" customHeight="1" x14ac:dyDescent="0.3">
      <c r="C708" s="43"/>
    </row>
    <row r="709" spans="3:3" ht="15.75" customHeight="1" x14ac:dyDescent="0.3">
      <c r="C709" s="43"/>
    </row>
    <row r="710" spans="3:3" ht="15.75" customHeight="1" x14ac:dyDescent="0.3">
      <c r="C710" s="43"/>
    </row>
    <row r="711" spans="3:3" ht="15.75" customHeight="1" x14ac:dyDescent="0.3">
      <c r="C711" s="43"/>
    </row>
    <row r="712" spans="3:3" ht="15.75" customHeight="1" x14ac:dyDescent="0.3">
      <c r="C712" s="43"/>
    </row>
    <row r="713" spans="3:3" ht="15.75" customHeight="1" x14ac:dyDescent="0.3">
      <c r="C713" s="43"/>
    </row>
    <row r="714" spans="3:3" ht="15.75" customHeight="1" x14ac:dyDescent="0.3">
      <c r="C714" s="43"/>
    </row>
    <row r="715" spans="3:3" ht="15.75" customHeight="1" x14ac:dyDescent="0.3">
      <c r="C715" s="43"/>
    </row>
    <row r="716" spans="3:3" ht="15.75" customHeight="1" x14ac:dyDescent="0.3">
      <c r="C716" s="43"/>
    </row>
    <row r="717" spans="3:3" ht="15.75" customHeight="1" x14ac:dyDescent="0.3">
      <c r="C717" s="43"/>
    </row>
    <row r="718" spans="3:3" ht="15.75" customHeight="1" x14ac:dyDescent="0.3">
      <c r="C718" s="43"/>
    </row>
    <row r="719" spans="3:3" ht="15.75" customHeight="1" x14ac:dyDescent="0.3">
      <c r="C719" s="43"/>
    </row>
    <row r="720" spans="3:3" ht="15.75" customHeight="1" x14ac:dyDescent="0.3">
      <c r="C720" s="43"/>
    </row>
    <row r="721" spans="3:3" ht="15.75" customHeight="1" x14ac:dyDescent="0.3">
      <c r="C721" s="43"/>
    </row>
    <row r="722" spans="3:3" ht="15.75" customHeight="1" x14ac:dyDescent="0.3">
      <c r="C722" s="43"/>
    </row>
    <row r="723" spans="3:3" ht="15.75" customHeight="1" x14ac:dyDescent="0.3">
      <c r="C723" s="43"/>
    </row>
    <row r="724" spans="3:3" ht="15.75" customHeight="1" x14ac:dyDescent="0.3">
      <c r="C724" s="43"/>
    </row>
    <row r="725" spans="3:3" ht="15.75" customHeight="1" x14ac:dyDescent="0.3">
      <c r="C725" s="43"/>
    </row>
    <row r="726" spans="3:3" ht="15.75" customHeight="1" x14ac:dyDescent="0.3">
      <c r="C726" s="43"/>
    </row>
    <row r="727" spans="3:3" ht="15.75" customHeight="1" x14ac:dyDescent="0.3">
      <c r="C727" s="43"/>
    </row>
    <row r="728" spans="3:3" ht="15.75" customHeight="1" x14ac:dyDescent="0.3">
      <c r="C728" s="43"/>
    </row>
    <row r="729" spans="3:3" ht="15.75" customHeight="1" x14ac:dyDescent="0.3">
      <c r="C729" s="43"/>
    </row>
    <row r="730" spans="3:3" ht="15.75" customHeight="1" x14ac:dyDescent="0.3">
      <c r="C730" s="43"/>
    </row>
    <row r="731" spans="3:3" ht="15.75" customHeight="1" x14ac:dyDescent="0.3">
      <c r="C731" s="43"/>
    </row>
    <row r="732" spans="3:3" ht="15.75" customHeight="1" x14ac:dyDescent="0.3">
      <c r="C732" s="43"/>
    </row>
    <row r="733" spans="3:3" ht="15.75" customHeight="1" x14ac:dyDescent="0.3">
      <c r="C733" s="43"/>
    </row>
    <row r="734" spans="3:3" ht="15.75" customHeight="1" x14ac:dyDescent="0.3">
      <c r="C734" s="43"/>
    </row>
    <row r="735" spans="3:3" ht="15.75" customHeight="1" x14ac:dyDescent="0.3">
      <c r="C735" s="43"/>
    </row>
    <row r="736" spans="3:3" ht="15.75" customHeight="1" x14ac:dyDescent="0.3">
      <c r="C736" s="43"/>
    </row>
    <row r="737" spans="3:3" ht="15.75" customHeight="1" x14ac:dyDescent="0.3">
      <c r="C737" s="43"/>
    </row>
    <row r="738" spans="3:3" ht="15.75" customHeight="1" x14ac:dyDescent="0.3">
      <c r="C738" s="43"/>
    </row>
    <row r="739" spans="3:3" ht="15.75" customHeight="1" x14ac:dyDescent="0.3">
      <c r="C739" s="43"/>
    </row>
    <row r="740" spans="3:3" ht="15.75" customHeight="1" x14ac:dyDescent="0.3">
      <c r="C740" s="43"/>
    </row>
    <row r="741" spans="3:3" ht="15.75" customHeight="1" x14ac:dyDescent="0.3">
      <c r="C741" s="43"/>
    </row>
    <row r="742" spans="3:3" ht="15.75" customHeight="1" x14ac:dyDescent="0.3">
      <c r="C742" s="43"/>
    </row>
    <row r="743" spans="3:3" ht="15.75" customHeight="1" x14ac:dyDescent="0.3">
      <c r="C743" s="43"/>
    </row>
    <row r="744" spans="3:3" ht="15.75" customHeight="1" x14ac:dyDescent="0.3">
      <c r="C744" s="43"/>
    </row>
    <row r="745" spans="3:3" ht="15.75" customHeight="1" x14ac:dyDescent="0.3">
      <c r="C745" s="43"/>
    </row>
    <row r="746" spans="3:3" ht="15.75" customHeight="1" x14ac:dyDescent="0.3">
      <c r="C746" s="43"/>
    </row>
    <row r="747" spans="3:3" ht="15.75" customHeight="1" x14ac:dyDescent="0.3">
      <c r="C747" s="43"/>
    </row>
    <row r="748" spans="3:3" ht="15.75" customHeight="1" x14ac:dyDescent="0.3">
      <c r="C748" s="43"/>
    </row>
    <row r="749" spans="3:3" ht="15.75" customHeight="1" x14ac:dyDescent="0.3">
      <c r="C749" s="43"/>
    </row>
    <row r="750" spans="3:3" ht="15.75" customHeight="1" x14ac:dyDescent="0.3">
      <c r="C750" s="43"/>
    </row>
    <row r="751" spans="3:3" ht="15.75" customHeight="1" x14ac:dyDescent="0.3">
      <c r="C751" s="43"/>
    </row>
    <row r="752" spans="3:3" ht="15.75" customHeight="1" x14ac:dyDescent="0.3">
      <c r="C752" s="43"/>
    </row>
    <row r="753" spans="3:3" ht="15.75" customHeight="1" x14ac:dyDescent="0.3">
      <c r="C753" s="43"/>
    </row>
    <row r="754" spans="3:3" ht="15.75" customHeight="1" x14ac:dyDescent="0.3">
      <c r="C754" s="43"/>
    </row>
    <row r="755" spans="3:3" ht="15.75" customHeight="1" x14ac:dyDescent="0.3">
      <c r="C755" s="43"/>
    </row>
    <row r="756" spans="3:3" ht="15.75" customHeight="1" x14ac:dyDescent="0.3">
      <c r="C756" s="43"/>
    </row>
    <row r="757" spans="3:3" ht="15.75" customHeight="1" x14ac:dyDescent="0.3">
      <c r="C757" s="43"/>
    </row>
    <row r="758" spans="3:3" ht="15.75" customHeight="1" x14ac:dyDescent="0.3">
      <c r="C758" s="43"/>
    </row>
    <row r="759" spans="3:3" ht="15.75" customHeight="1" x14ac:dyDescent="0.3">
      <c r="C759" s="43"/>
    </row>
    <row r="760" spans="3:3" ht="15.75" customHeight="1" x14ac:dyDescent="0.3">
      <c r="C760" s="43"/>
    </row>
    <row r="761" spans="3:3" ht="15.75" customHeight="1" x14ac:dyDescent="0.3">
      <c r="C761" s="43"/>
    </row>
    <row r="762" spans="3:3" ht="15.75" customHeight="1" x14ac:dyDescent="0.3">
      <c r="C762" s="43"/>
    </row>
    <row r="763" spans="3:3" ht="15.75" customHeight="1" x14ac:dyDescent="0.3">
      <c r="C763" s="43"/>
    </row>
    <row r="764" spans="3:3" ht="15.75" customHeight="1" x14ac:dyDescent="0.3">
      <c r="C764" s="43"/>
    </row>
    <row r="765" spans="3:3" ht="15.75" customHeight="1" x14ac:dyDescent="0.3">
      <c r="C765" s="43"/>
    </row>
    <row r="766" spans="3:3" ht="15.75" customHeight="1" x14ac:dyDescent="0.3">
      <c r="C766" s="43"/>
    </row>
    <row r="767" spans="3:3" ht="15.75" customHeight="1" x14ac:dyDescent="0.3">
      <c r="C767" s="43"/>
    </row>
    <row r="768" spans="3:3" ht="15.75" customHeight="1" x14ac:dyDescent="0.3">
      <c r="C768" s="43"/>
    </row>
    <row r="769" spans="3:3" ht="15.75" customHeight="1" x14ac:dyDescent="0.3">
      <c r="C769" s="43"/>
    </row>
    <row r="770" spans="3:3" ht="15.75" customHeight="1" x14ac:dyDescent="0.3">
      <c r="C770" s="43"/>
    </row>
    <row r="771" spans="3:3" ht="15.75" customHeight="1" x14ac:dyDescent="0.3">
      <c r="C771" s="43"/>
    </row>
    <row r="772" spans="3:3" ht="15.75" customHeight="1" x14ac:dyDescent="0.3">
      <c r="C772" s="43"/>
    </row>
    <row r="773" spans="3:3" ht="15.75" customHeight="1" x14ac:dyDescent="0.3">
      <c r="C773" s="43"/>
    </row>
    <row r="774" spans="3:3" ht="15.75" customHeight="1" x14ac:dyDescent="0.3">
      <c r="C774" s="43"/>
    </row>
    <row r="775" spans="3:3" ht="15.75" customHeight="1" x14ac:dyDescent="0.3">
      <c r="C775" s="43"/>
    </row>
    <row r="776" spans="3:3" ht="15.75" customHeight="1" x14ac:dyDescent="0.3">
      <c r="C776" s="43"/>
    </row>
    <row r="777" spans="3:3" ht="15.75" customHeight="1" x14ac:dyDescent="0.3">
      <c r="C777" s="43"/>
    </row>
    <row r="778" spans="3:3" ht="15.75" customHeight="1" x14ac:dyDescent="0.3">
      <c r="C778" s="43"/>
    </row>
    <row r="779" spans="3:3" ht="15.75" customHeight="1" x14ac:dyDescent="0.3">
      <c r="C779" s="43"/>
    </row>
    <row r="780" spans="3:3" ht="15.75" customHeight="1" x14ac:dyDescent="0.3">
      <c r="C780" s="43"/>
    </row>
    <row r="781" spans="3:3" ht="15.75" customHeight="1" x14ac:dyDescent="0.3">
      <c r="C781" s="43"/>
    </row>
    <row r="782" spans="3:3" ht="15.75" customHeight="1" x14ac:dyDescent="0.3">
      <c r="C782" s="43"/>
    </row>
    <row r="783" spans="3:3" ht="15.75" customHeight="1" x14ac:dyDescent="0.3">
      <c r="C783" s="43"/>
    </row>
    <row r="784" spans="3:3" ht="15.75" customHeight="1" x14ac:dyDescent="0.3">
      <c r="C784" s="43"/>
    </row>
    <row r="785" spans="3:3" ht="15.75" customHeight="1" x14ac:dyDescent="0.3">
      <c r="C785" s="43"/>
    </row>
    <row r="786" spans="3:3" ht="15.75" customHeight="1" x14ac:dyDescent="0.3">
      <c r="C786" s="43"/>
    </row>
    <row r="787" spans="3:3" ht="15.75" customHeight="1" x14ac:dyDescent="0.3">
      <c r="C787" s="43"/>
    </row>
    <row r="788" spans="3:3" ht="15.75" customHeight="1" x14ac:dyDescent="0.3">
      <c r="C788" s="43"/>
    </row>
    <row r="789" spans="3:3" ht="15.75" customHeight="1" x14ac:dyDescent="0.3">
      <c r="C789" s="43"/>
    </row>
    <row r="790" spans="3:3" ht="15.75" customHeight="1" x14ac:dyDescent="0.3">
      <c r="C790" s="43"/>
    </row>
    <row r="791" spans="3:3" ht="15.75" customHeight="1" x14ac:dyDescent="0.3">
      <c r="C791" s="43"/>
    </row>
    <row r="792" spans="3:3" ht="15.75" customHeight="1" x14ac:dyDescent="0.3">
      <c r="C792" s="43"/>
    </row>
    <row r="793" spans="3:3" ht="15.75" customHeight="1" x14ac:dyDescent="0.3">
      <c r="C793" s="43"/>
    </row>
    <row r="794" spans="3:3" ht="15.75" customHeight="1" x14ac:dyDescent="0.3">
      <c r="C794" s="43"/>
    </row>
    <row r="795" spans="3:3" ht="15.75" customHeight="1" x14ac:dyDescent="0.3">
      <c r="C795" s="43"/>
    </row>
    <row r="796" spans="3:3" ht="15.75" customHeight="1" x14ac:dyDescent="0.3">
      <c r="C796" s="43"/>
    </row>
    <row r="797" spans="3:3" ht="15.75" customHeight="1" x14ac:dyDescent="0.3">
      <c r="C797" s="43"/>
    </row>
    <row r="798" spans="3:3" ht="15.75" customHeight="1" x14ac:dyDescent="0.3">
      <c r="C798" s="43"/>
    </row>
    <row r="799" spans="3:3" ht="15.75" customHeight="1" x14ac:dyDescent="0.3">
      <c r="C799" s="43"/>
    </row>
    <row r="800" spans="3:3" ht="15.75" customHeight="1" x14ac:dyDescent="0.3">
      <c r="C800" s="43"/>
    </row>
    <row r="801" spans="3:3" ht="15.75" customHeight="1" x14ac:dyDescent="0.3">
      <c r="C801" s="43"/>
    </row>
    <row r="802" spans="3:3" ht="15.75" customHeight="1" x14ac:dyDescent="0.3">
      <c r="C802" s="43"/>
    </row>
    <row r="803" spans="3:3" ht="15.75" customHeight="1" x14ac:dyDescent="0.3">
      <c r="C803" s="43"/>
    </row>
    <row r="804" spans="3:3" ht="15.75" customHeight="1" x14ac:dyDescent="0.3">
      <c r="C804" s="43"/>
    </row>
    <row r="805" spans="3:3" ht="15.75" customHeight="1" x14ac:dyDescent="0.3">
      <c r="C805" s="43"/>
    </row>
    <row r="806" spans="3:3" ht="15.75" customHeight="1" x14ac:dyDescent="0.3">
      <c r="C806" s="43"/>
    </row>
    <row r="807" spans="3:3" ht="15.75" customHeight="1" x14ac:dyDescent="0.3">
      <c r="C807" s="43"/>
    </row>
    <row r="808" spans="3:3" ht="15.75" customHeight="1" x14ac:dyDescent="0.3">
      <c r="C808" s="43"/>
    </row>
    <row r="809" spans="3:3" ht="15.75" customHeight="1" x14ac:dyDescent="0.3">
      <c r="C809" s="43"/>
    </row>
    <row r="810" spans="3:3" ht="15.75" customHeight="1" x14ac:dyDescent="0.3">
      <c r="C810" s="43"/>
    </row>
    <row r="811" spans="3:3" ht="15.75" customHeight="1" x14ac:dyDescent="0.3">
      <c r="C811" s="43"/>
    </row>
    <row r="812" spans="3:3" ht="15.75" customHeight="1" x14ac:dyDescent="0.3">
      <c r="C812" s="43"/>
    </row>
    <row r="813" spans="3:3" ht="15.75" customHeight="1" x14ac:dyDescent="0.3">
      <c r="C813" s="43"/>
    </row>
    <row r="814" spans="3:3" ht="15.75" customHeight="1" x14ac:dyDescent="0.3">
      <c r="C814" s="43"/>
    </row>
    <row r="815" spans="3:3" ht="15.75" customHeight="1" x14ac:dyDescent="0.3">
      <c r="C815" s="43"/>
    </row>
    <row r="816" spans="3:3" ht="15.75" customHeight="1" x14ac:dyDescent="0.3">
      <c r="C816" s="43"/>
    </row>
    <row r="817" spans="3:3" ht="15.75" customHeight="1" x14ac:dyDescent="0.3">
      <c r="C817" s="43"/>
    </row>
    <row r="818" spans="3:3" ht="15.75" customHeight="1" x14ac:dyDescent="0.3">
      <c r="C818" s="43"/>
    </row>
    <row r="819" spans="3:3" ht="15.75" customHeight="1" x14ac:dyDescent="0.3">
      <c r="C819" s="43"/>
    </row>
    <row r="820" spans="3:3" ht="15.75" customHeight="1" x14ac:dyDescent="0.3">
      <c r="C820" s="43"/>
    </row>
    <row r="821" spans="3:3" ht="15.75" customHeight="1" x14ac:dyDescent="0.3">
      <c r="C821" s="43"/>
    </row>
    <row r="822" spans="3:3" ht="15.75" customHeight="1" x14ac:dyDescent="0.3">
      <c r="C822" s="43"/>
    </row>
    <row r="823" spans="3:3" ht="15.75" customHeight="1" x14ac:dyDescent="0.3">
      <c r="C823" s="43"/>
    </row>
    <row r="824" spans="3:3" ht="15.75" customHeight="1" x14ac:dyDescent="0.3">
      <c r="C824" s="43"/>
    </row>
    <row r="825" spans="3:3" ht="15.75" customHeight="1" x14ac:dyDescent="0.3">
      <c r="C825" s="43"/>
    </row>
    <row r="826" spans="3:3" ht="15.75" customHeight="1" x14ac:dyDescent="0.3">
      <c r="C826" s="43"/>
    </row>
    <row r="827" spans="3:3" ht="15.75" customHeight="1" x14ac:dyDescent="0.3">
      <c r="C827" s="43"/>
    </row>
    <row r="828" spans="3:3" ht="15.75" customHeight="1" x14ac:dyDescent="0.3">
      <c r="C828" s="43"/>
    </row>
    <row r="829" spans="3:3" ht="15.75" customHeight="1" x14ac:dyDescent="0.3">
      <c r="C829" s="43"/>
    </row>
    <row r="830" spans="3:3" ht="15.75" customHeight="1" x14ac:dyDescent="0.3">
      <c r="C830" s="43"/>
    </row>
    <row r="831" spans="3:3" ht="15.75" customHeight="1" x14ac:dyDescent="0.3">
      <c r="C831" s="43"/>
    </row>
    <row r="832" spans="3:3" ht="15.75" customHeight="1" x14ac:dyDescent="0.3">
      <c r="C832" s="43"/>
    </row>
    <row r="833" spans="3:3" ht="15.75" customHeight="1" x14ac:dyDescent="0.3">
      <c r="C833" s="43"/>
    </row>
    <row r="834" spans="3:3" ht="15.75" customHeight="1" x14ac:dyDescent="0.3">
      <c r="C834" s="43"/>
    </row>
    <row r="835" spans="3:3" ht="15.75" customHeight="1" x14ac:dyDescent="0.3">
      <c r="C835" s="43"/>
    </row>
    <row r="836" spans="3:3" ht="15.75" customHeight="1" x14ac:dyDescent="0.3">
      <c r="C836" s="43"/>
    </row>
    <row r="837" spans="3:3" ht="15.75" customHeight="1" x14ac:dyDescent="0.3">
      <c r="C837" s="43"/>
    </row>
    <row r="838" spans="3:3" ht="15.75" customHeight="1" x14ac:dyDescent="0.3">
      <c r="C838" s="43"/>
    </row>
    <row r="839" spans="3:3" ht="15.75" customHeight="1" x14ac:dyDescent="0.3">
      <c r="C839" s="43"/>
    </row>
    <row r="840" spans="3:3" ht="15.75" customHeight="1" x14ac:dyDescent="0.3">
      <c r="C840" s="43"/>
    </row>
    <row r="841" spans="3:3" ht="15.75" customHeight="1" x14ac:dyDescent="0.3">
      <c r="C841" s="43"/>
    </row>
    <row r="842" spans="3:3" ht="15.75" customHeight="1" x14ac:dyDescent="0.3">
      <c r="C842" s="43"/>
    </row>
    <row r="843" spans="3:3" ht="15.75" customHeight="1" x14ac:dyDescent="0.3">
      <c r="C843" s="43"/>
    </row>
    <row r="844" spans="3:3" ht="15.75" customHeight="1" x14ac:dyDescent="0.3">
      <c r="C844" s="43"/>
    </row>
    <row r="845" spans="3:3" ht="15.75" customHeight="1" x14ac:dyDescent="0.3">
      <c r="C845" s="43"/>
    </row>
    <row r="846" spans="3:3" ht="15.75" customHeight="1" x14ac:dyDescent="0.3">
      <c r="C846" s="43"/>
    </row>
    <row r="847" spans="3:3" ht="15.75" customHeight="1" x14ac:dyDescent="0.3">
      <c r="C847" s="43"/>
    </row>
    <row r="848" spans="3:3" ht="15.75" customHeight="1" x14ac:dyDescent="0.3">
      <c r="C848" s="43"/>
    </row>
    <row r="849" spans="3:3" ht="15.75" customHeight="1" x14ac:dyDescent="0.3">
      <c r="C849" s="43"/>
    </row>
    <row r="850" spans="3:3" ht="15.75" customHeight="1" x14ac:dyDescent="0.3">
      <c r="C850" s="43"/>
    </row>
    <row r="851" spans="3:3" ht="15.75" customHeight="1" x14ac:dyDescent="0.3">
      <c r="C851" s="43"/>
    </row>
    <row r="852" spans="3:3" ht="15.75" customHeight="1" x14ac:dyDescent="0.3">
      <c r="C852" s="43"/>
    </row>
    <row r="853" spans="3:3" ht="15.75" customHeight="1" x14ac:dyDescent="0.3">
      <c r="C853" s="43"/>
    </row>
    <row r="854" spans="3:3" ht="15.75" customHeight="1" x14ac:dyDescent="0.3">
      <c r="C854" s="43"/>
    </row>
    <row r="855" spans="3:3" ht="15.75" customHeight="1" x14ac:dyDescent="0.3">
      <c r="C855" s="43"/>
    </row>
    <row r="856" spans="3:3" ht="15.75" customHeight="1" x14ac:dyDescent="0.3">
      <c r="C856" s="43"/>
    </row>
    <row r="857" spans="3:3" ht="15.75" customHeight="1" x14ac:dyDescent="0.3">
      <c r="C857" s="43"/>
    </row>
    <row r="858" spans="3:3" ht="15.75" customHeight="1" x14ac:dyDescent="0.3">
      <c r="C858" s="43"/>
    </row>
    <row r="859" spans="3:3" ht="15.75" customHeight="1" x14ac:dyDescent="0.3">
      <c r="C859" s="43"/>
    </row>
    <row r="860" spans="3:3" ht="15.75" customHeight="1" x14ac:dyDescent="0.3">
      <c r="C860" s="43"/>
    </row>
    <row r="861" spans="3:3" ht="15.75" customHeight="1" x14ac:dyDescent="0.3">
      <c r="C861" s="43"/>
    </row>
    <row r="862" spans="3:3" ht="15.75" customHeight="1" x14ac:dyDescent="0.3">
      <c r="C862" s="43"/>
    </row>
    <row r="863" spans="3:3" ht="15.75" customHeight="1" x14ac:dyDescent="0.3">
      <c r="C863" s="43"/>
    </row>
    <row r="864" spans="3:3" ht="15.75" customHeight="1" x14ac:dyDescent="0.3">
      <c r="C864" s="43"/>
    </row>
    <row r="865" spans="3:3" ht="15.75" customHeight="1" x14ac:dyDescent="0.3">
      <c r="C865" s="43"/>
    </row>
    <row r="866" spans="3:3" ht="15.75" customHeight="1" x14ac:dyDescent="0.3">
      <c r="C866" s="43"/>
    </row>
    <row r="867" spans="3:3" ht="15.75" customHeight="1" x14ac:dyDescent="0.3">
      <c r="C867" s="43"/>
    </row>
    <row r="868" spans="3:3" ht="15.75" customHeight="1" x14ac:dyDescent="0.3">
      <c r="C868" s="43"/>
    </row>
    <row r="869" spans="3:3" ht="15.75" customHeight="1" x14ac:dyDescent="0.3">
      <c r="C869" s="43"/>
    </row>
    <row r="870" spans="3:3" ht="15.75" customHeight="1" x14ac:dyDescent="0.3">
      <c r="C870" s="43"/>
    </row>
    <row r="871" spans="3:3" ht="15.75" customHeight="1" x14ac:dyDescent="0.3">
      <c r="C871" s="43"/>
    </row>
    <row r="872" spans="3:3" ht="15.75" customHeight="1" x14ac:dyDescent="0.3">
      <c r="C872" s="43"/>
    </row>
    <row r="873" spans="3:3" ht="15.75" customHeight="1" x14ac:dyDescent="0.3">
      <c r="C873" s="43"/>
    </row>
    <row r="874" spans="3:3" ht="15.75" customHeight="1" x14ac:dyDescent="0.3">
      <c r="C874" s="43"/>
    </row>
    <row r="875" spans="3:3" ht="15.75" customHeight="1" x14ac:dyDescent="0.3">
      <c r="C875" s="43"/>
    </row>
    <row r="876" spans="3:3" ht="15.75" customHeight="1" x14ac:dyDescent="0.3">
      <c r="C876" s="43"/>
    </row>
    <row r="877" spans="3:3" ht="15.75" customHeight="1" x14ac:dyDescent="0.3">
      <c r="C877" s="43"/>
    </row>
    <row r="878" spans="3:3" ht="15.75" customHeight="1" x14ac:dyDescent="0.3">
      <c r="C878" s="43"/>
    </row>
    <row r="879" spans="3:3" ht="15.75" customHeight="1" x14ac:dyDescent="0.3">
      <c r="C879" s="43"/>
    </row>
    <row r="880" spans="3:3" ht="15.75" customHeight="1" x14ac:dyDescent="0.3">
      <c r="C880" s="43"/>
    </row>
    <row r="881" spans="3:3" ht="15.75" customHeight="1" x14ac:dyDescent="0.3">
      <c r="C881" s="43"/>
    </row>
    <row r="882" spans="3:3" ht="15.75" customHeight="1" x14ac:dyDescent="0.3">
      <c r="C882" s="43"/>
    </row>
    <row r="883" spans="3:3" ht="15.75" customHeight="1" x14ac:dyDescent="0.3">
      <c r="C883" s="43"/>
    </row>
    <row r="884" spans="3:3" ht="15.75" customHeight="1" x14ac:dyDescent="0.3">
      <c r="C884" s="43"/>
    </row>
    <row r="885" spans="3:3" ht="15.75" customHeight="1" x14ac:dyDescent="0.3">
      <c r="C885" s="43"/>
    </row>
    <row r="886" spans="3:3" ht="15.75" customHeight="1" x14ac:dyDescent="0.3">
      <c r="C886" s="43"/>
    </row>
    <row r="887" spans="3:3" ht="15.75" customHeight="1" x14ac:dyDescent="0.3">
      <c r="C887" s="43"/>
    </row>
    <row r="888" spans="3:3" ht="15.75" customHeight="1" x14ac:dyDescent="0.3">
      <c r="C888" s="43"/>
    </row>
    <row r="889" spans="3:3" ht="15.75" customHeight="1" x14ac:dyDescent="0.3">
      <c r="C889" s="43"/>
    </row>
    <row r="890" spans="3:3" ht="15.75" customHeight="1" x14ac:dyDescent="0.3">
      <c r="C890" s="43"/>
    </row>
    <row r="891" spans="3:3" ht="15.75" customHeight="1" x14ac:dyDescent="0.3">
      <c r="C891" s="43"/>
    </row>
    <row r="892" spans="3:3" ht="15.75" customHeight="1" x14ac:dyDescent="0.3">
      <c r="C892" s="43"/>
    </row>
    <row r="893" spans="3:3" ht="15.75" customHeight="1" x14ac:dyDescent="0.3">
      <c r="C893" s="43"/>
    </row>
    <row r="894" spans="3:3" ht="15.75" customHeight="1" x14ac:dyDescent="0.3">
      <c r="C894" s="43"/>
    </row>
    <row r="895" spans="3:3" ht="15.75" customHeight="1" x14ac:dyDescent="0.3">
      <c r="C895" s="43"/>
    </row>
    <row r="896" spans="3:3" ht="15.75" customHeight="1" x14ac:dyDescent="0.3">
      <c r="C896" s="43"/>
    </row>
    <row r="897" spans="3:3" ht="15.75" customHeight="1" x14ac:dyDescent="0.3">
      <c r="C897" s="43"/>
    </row>
    <row r="898" spans="3:3" ht="15.75" customHeight="1" x14ac:dyDescent="0.3">
      <c r="C898" s="43"/>
    </row>
    <row r="899" spans="3:3" ht="15.75" customHeight="1" x14ac:dyDescent="0.3">
      <c r="C899" s="43"/>
    </row>
    <row r="900" spans="3:3" ht="15.75" customHeight="1" x14ac:dyDescent="0.3">
      <c r="C900" s="43"/>
    </row>
    <row r="901" spans="3:3" ht="15.75" customHeight="1" x14ac:dyDescent="0.3">
      <c r="C901" s="43"/>
    </row>
    <row r="902" spans="3:3" ht="15.75" customHeight="1" x14ac:dyDescent="0.3">
      <c r="C902" s="43"/>
    </row>
    <row r="903" spans="3:3" ht="15.75" customHeight="1" x14ac:dyDescent="0.3">
      <c r="C903" s="43"/>
    </row>
    <row r="904" spans="3:3" ht="15.75" customHeight="1" x14ac:dyDescent="0.3">
      <c r="C904" s="43"/>
    </row>
    <row r="905" spans="3:3" ht="15.75" customHeight="1" x14ac:dyDescent="0.3">
      <c r="C905" s="43"/>
    </row>
    <row r="906" spans="3:3" ht="15.75" customHeight="1" x14ac:dyDescent="0.3">
      <c r="C906" s="43"/>
    </row>
    <row r="907" spans="3:3" ht="15.75" customHeight="1" x14ac:dyDescent="0.3">
      <c r="C907" s="43"/>
    </row>
    <row r="908" spans="3:3" ht="15.75" customHeight="1" x14ac:dyDescent="0.3">
      <c r="C908" s="43"/>
    </row>
    <row r="909" spans="3:3" ht="15.75" customHeight="1" x14ac:dyDescent="0.3">
      <c r="C909" s="43"/>
    </row>
    <row r="910" spans="3:3" ht="15.75" customHeight="1" x14ac:dyDescent="0.3">
      <c r="C910" s="43"/>
    </row>
    <row r="911" spans="3:3" ht="15.75" customHeight="1" x14ac:dyDescent="0.3">
      <c r="C911" s="43"/>
    </row>
    <row r="912" spans="3:3" ht="15.75" customHeight="1" x14ac:dyDescent="0.3">
      <c r="C912" s="43"/>
    </row>
    <row r="913" spans="3:3" ht="15.75" customHeight="1" x14ac:dyDescent="0.3">
      <c r="C913" s="43"/>
    </row>
    <row r="914" spans="3:3" ht="15.75" customHeight="1" x14ac:dyDescent="0.3">
      <c r="C914" s="43"/>
    </row>
    <row r="915" spans="3:3" ht="15.75" customHeight="1" x14ac:dyDescent="0.3">
      <c r="C915" s="43"/>
    </row>
    <row r="916" spans="3:3" ht="15.75" customHeight="1" x14ac:dyDescent="0.3">
      <c r="C916" s="43"/>
    </row>
    <row r="917" spans="3:3" ht="15.75" customHeight="1" x14ac:dyDescent="0.3">
      <c r="C917" s="43"/>
    </row>
    <row r="918" spans="3:3" ht="15.75" customHeight="1" x14ac:dyDescent="0.3">
      <c r="C918" s="43"/>
    </row>
    <row r="919" spans="3:3" ht="15.75" customHeight="1" x14ac:dyDescent="0.3">
      <c r="C919" s="43"/>
    </row>
    <row r="920" spans="3:3" ht="15.75" customHeight="1" x14ac:dyDescent="0.3">
      <c r="C920" s="43"/>
    </row>
    <row r="921" spans="3:3" ht="15.75" customHeight="1" x14ac:dyDescent="0.3">
      <c r="C921" s="43"/>
    </row>
    <row r="922" spans="3:3" ht="15.75" customHeight="1" x14ac:dyDescent="0.3">
      <c r="C922" s="43"/>
    </row>
    <row r="923" spans="3:3" ht="15.75" customHeight="1" x14ac:dyDescent="0.3">
      <c r="C923" s="43"/>
    </row>
    <row r="924" spans="3:3" ht="15.75" customHeight="1" x14ac:dyDescent="0.3">
      <c r="C924" s="43"/>
    </row>
    <row r="925" spans="3:3" ht="15.75" customHeight="1" x14ac:dyDescent="0.3">
      <c r="C925" s="43"/>
    </row>
    <row r="926" spans="3:3" ht="15.75" customHeight="1" x14ac:dyDescent="0.3">
      <c r="C926" s="43"/>
    </row>
    <row r="927" spans="3:3" ht="15.75" customHeight="1" x14ac:dyDescent="0.3">
      <c r="C927" s="43"/>
    </row>
    <row r="928" spans="3:3" ht="15.75" customHeight="1" x14ac:dyDescent="0.3">
      <c r="C928" s="43"/>
    </row>
    <row r="929" spans="3:3" ht="15.75" customHeight="1" x14ac:dyDescent="0.3">
      <c r="C929" s="43"/>
    </row>
    <row r="930" spans="3:3" ht="15.75" customHeight="1" x14ac:dyDescent="0.3">
      <c r="C930" s="43"/>
    </row>
    <row r="931" spans="3:3" ht="15.75" customHeight="1" x14ac:dyDescent="0.3">
      <c r="C931" s="43"/>
    </row>
    <row r="932" spans="3:3" ht="15.75" customHeight="1" x14ac:dyDescent="0.3">
      <c r="C932" s="43"/>
    </row>
    <row r="933" spans="3:3" ht="15.75" customHeight="1" x14ac:dyDescent="0.3">
      <c r="C933" s="43"/>
    </row>
    <row r="934" spans="3:3" ht="15.75" customHeight="1" x14ac:dyDescent="0.3">
      <c r="C934" s="43"/>
    </row>
    <row r="935" spans="3:3" ht="15.75" customHeight="1" x14ac:dyDescent="0.3">
      <c r="C935" s="43"/>
    </row>
    <row r="936" spans="3:3" ht="15.75" customHeight="1" x14ac:dyDescent="0.3">
      <c r="C936" s="43"/>
    </row>
    <row r="937" spans="3:3" ht="15.75" customHeight="1" x14ac:dyDescent="0.3">
      <c r="C937" s="43"/>
    </row>
    <row r="938" spans="3:3" ht="15.75" customHeight="1" x14ac:dyDescent="0.3">
      <c r="C938" s="43"/>
    </row>
    <row r="939" spans="3:3" ht="15.75" customHeight="1" x14ac:dyDescent="0.3">
      <c r="C939" s="43"/>
    </row>
    <row r="940" spans="3:3" ht="15.75" customHeight="1" x14ac:dyDescent="0.3">
      <c r="C940" s="43"/>
    </row>
    <row r="941" spans="3:3" ht="15.75" customHeight="1" x14ac:dyDescent="0.3">
      <c r="C941" s="43"/>
    </row>
    <row r="942" spans="3:3" ht="15.75" customHeight="1" x14ac:dyDescent="0.3">
      <c r="C942" s="43"/>
    </row>
    <row r="943" spans="3:3" ht="15.75" customHeight="1" x14ac:dyDescent="0.3">
      <c r="C943" s="43"/>
    </row>
    <row r="944" spans="3:3" ht="15.75" customHeight="1" x14ac:dyDescent="0.3">
      <c r="C944" s="43"/>
    </row>
    <row r="945" spans="3:3" ht="15.75" customHeight="1" x14ac:dyDescent="0.3">
      <c r="C945" s="43"/>
    </row>
    <row r="946" spans="3:3" ht="15.75" customHeight="1" x14ac:dyDescent="0.3">
      <c r="C946" s="43"/>
    </row>
    <row r="947" spans="3:3" ht="15.75" customHeight="1" x14ac:dyDescent="0.3">
      <c r="C947" s="43"/>
    </row>
    <row r="948" spans="3:3" ht="15.75" customHeight="1" x14ac:dyDescent="0.3">
      <c r="C948" s="43"/>
    </row>
    <row r="949" spans="3:3" ht="15.75" customHeight="1" x14ac:dyDescent="0.3">
      <c r="C949" s="43"/>
    </row>
    <row r="950" spans="3:3" ht="15.75" customHeight="1" x14ac:dyDescent="0.3">
      <c r="C950" s="43"/>
    </row>
    <row r="951" spans="3:3" ht="15.75" customHeight="1" x14ac:dyDescent="0.3">
      <c r="C951" s="43"/>
    </row>
    <row r="952" spans="3:3" ht="15.75" customHeight="1" x14ac:dyDescent="0.3">
      <c r="C952" s="43"/>
    </row>
    <row r="953" spans="3:3" ht="15.75" customHeight="1" x14ac:dyDescent="0.3">
      <c r="C953" s="43"/>
    </row>
    <row r="954" spans="3:3" ht="15.75" customHeight="1" x14ac:dyDescent="0.3">
      <c r="C954" s="43"/>
    </row>
    <row r="955" spans="3:3" ht="15.75" customHeight="1" x14ac:dyDescent="0.3">
      <c r="C955" s="43"/>
    </row>
    <row r="956" spans="3:3" ht="15.75" customHeight="1" x14ac:dyDescent="0.3">
      <c r="C956" s="43"/>
    </row>
    <row r="957" spans="3:3" ht="15.75" customHeight="1" x14ac:dyDescent="0.3">
      <c r="C957" s="43"/>
    </row>
    <row r="958" spans="3:3" ht="15.75" customHeight="1" x14ac:dyDescent="0.3">
      <c r="C958" s="43"/>
    </row>
    <row r="959" spans="3:3" ht="15.75" customHeight="1" x14ac:dyDescent="0.3">
      <c r="C959" s="43"/>
    </row>
    <row r="960" spans="3:3" ht="15.75" customHeight="1" x14ac:dyDescent="0.3">
      <c r="C960" s="43"/>
    </row>
    <row r="961" spans="3:3" ht="15.75" customHeight="1" x14ac:dyDescent="0.3">
      <c r="C961" s="43"/>
    </row>
    <row r="962" spans="3:3" ht="15.75" customHeight="1" x14ac:dyDescent="0.3">
      <c r="C962" s="43"/>
    </row>
    <row r="963" spans="3:3" ht="15.75" customHeight="1" x14ac:dyDescent="0.3">
      <c r="C963" s="43"/>
    </row>
    <row r="964" spans="3:3" ht="15.75" customHeight="1" x14ac:dyDescent="0.3">
      <c r="C964" s="43"/>
    </row>
    <row r="965" spans="3:3" ht="15.75" customHeight="1" x14ac:dyDescent="0.3">
      <c r="C965" s="43"/>
    </row>
    <row r="966" spans="3:3" ht="15.75" customHeight="1" x14ac:dyDescent="0.3">
      <c r="C966" s="43"/>
    </row>
    <row r="967" spans="3:3" ht="15.75" customHeight="1" x14ac:dyDescent="0.3">
      <c r="C967" s="43"/>
    </row>
    <row r="968" spans="3:3" ht="15.75" customHeight="1" x14ac:dyDescent="0.3">
      <c r="C968" s="43"/>
    </row>
    <row r="969" spans="3:3" ht="15.75" customHeight="1" x14ac:dyDescent="0.3">
      <c r="C969" s="43"/>
    </row>
    <row r="970" spans="3:3" ht="15.75" customHeight="1" x14ac:dyDescent="0.3">
      <c r="C970" s="43"/>
    </row>
    <row r="971" spans="3:3" ht="15.75" customHeight="1" x14ac:dyDescent="0.3">
      <c r="C971" s="43"/>
    </row>
    <row r="972" spans="3:3" ht="15.75" customHeight="1" x14ac:dyDescent="0.3">
      <c r="C972" s="43"/>
    </row>
    <row r="973" spans="3:3" ht="15.75" customHeight="1" x14ac:dyDescent="0.3">
      <c r="C973" s="43"/>
    </row>
    <row r="974" spans="3:3" ht="15.75" customHeight="1" x14ac:dyDescent="0.3">
      <c r="C974" s="43"/>
    </row>
    <row r="975" spans="3:3" ht="15.75" customHeight="1" x14ac:dyDescent="0.3">
      <c r="C975" s="43"/>
    </row>
    <row r="976" spans="3:3" ht="15.75" customHeight="1" x14ac:dyDescent="0.3">
      <c r="C976" s="43"/>
    </row>
    <row r="977" spans="3:3" ht="15.75" customHeight="1" x14ac:dyDescent="0.3">
      <c r="C977" s="43"/>
    </row>
    <row r="978" spans="3:3" ht="15.75" customHeight="1" x14ac:dyDescent="0.3">
      <c r="C978" s="43"/>
    </row>
    <row r="979" spans="3:3" ht="15.75" customHeight="1" x14ac:dyDescent="0.3">
      <c r="C979" s="43"/>
    </row>
    <row r="980" spans="3:3" ht="15.75" customHeight="1" x14ac:dyDescent="0.3">
      <c r="C980" s="43"/>
    </row>
    <row r="981" spans="3:3" ht="15.75" customHeight="1" x14ac:dyDescent="0.3">
      <c r="C981" s="43"/>
    </row>
    <row r="982" spans="3:3" ht="15.75" customHeight="1" x14ac:dyDescent="0.3">
      <c r="C982" s="43"/>
    </row>
    <row r="983" spans="3:3" ht="15.75" customHeight="1" x14ac:dyDescent="0.3">
      <c r="C983" s="43"/>
    </row>
    <row r="984" spans="3:3" ht="15.75" customHeight="1" x14ac:dyDescent="0.3">
      <c r="C984" s="43"/>
    </row>
    <row r="985" spans="3:3" ht="15.75" customHeight="1" x14ac:dyDescent="0.3">
      <c r="C985" s="43"/>
    </row>
    <row r="986" spans="3:3" ht="15.75" customHeight="1" x14ac:dyDescent="0.3">
      <c r="C986" s="43"/>
    </row>
    <row r="987" spans="3:3" ht="15.75" customHeight="1" x14ac:dyDescent="0.3">
      <c r="C987" s="43"/>
    </row>
    <row r="988" spans="3:3" ht="15.75" customHeight="1" x14ac:dyDescent="0.3">
      <c r="C988" s="43"/>
    </row>
    <row r="989" spans="3:3" ht="15.75" customHeight="1" x14ac:dyDescent="0.3">
      <c r="C989" s="43"/>
    </row>
    <row r="990" spans="3:3" ht="15.75" customHeight="1" x14ac:dyDescent="0.3">
      <c r="C990" s="43"/>
    </row>
    <row r="991" spans="3:3" ht="15.75" customHeight="1" x14ac:dyDescent="0.3">
      <c r="C991" s="43"/>
    </row>
    <row r="992" spans="3:3" ht="15.75" customHeight="1" x14ac:dyDescent="0.3">
      <c r="C992" s="43"/>
    </row>
    <row r="993" spans="3:3" ht="15.75" customHeight="1" x14ac:dyDescent="0.3">
      <c r="C993" s="43"/>
    </row>
    <row r="994" spans="3:3" ht="15.75" customHeight="1" x14ac:dyDescent="0.3">
      <c r="C994" s="43"/>
    </row>
    <row r="995" spans="3:3" ht="15.75" customHeight="1" x14ac:dyDescent="0.3">
      <c r="C995" s="43"/>
    </row>
    <row r="996" spans="3:3" ht="15.75" customHeight="1" x14ac:dyDescent="0.3">
      <c r="C996" s="43"/>
    </row>
    <row r="997" spans="3:3" ht="15.75" customHeight="1" x14ac:dyDescent="0.3">
      <c r="C997" s="43"/>
    </row>
    <row r="998" spans="3:3" ht="15.75" customHeight="1" x14ac:dyDescent="0.3">
      <c r="C998" s="43"/>
    </row>
    <row r="999" spans="3:3" ht="15.75" customHeight="1" x14ac:dyDescent="0.3">
      <c r="C999" s="43"/>
    </row>
    <row r="1000" spans="3:3" ht="15.75" customHeight="1" x14ac:dyDescent="0.3">
      <c r="C1000" s="43"/>
    </row>
  </sheetData>
  <conditionalFormatting sqref="C2:C134">
    <cfRule type="cellIs" dxfId="1" priority="1" operator="lessThan">
      <formula>$F$1</formula>
    </cfRule>
    <cfRule type="cellIs" dxfId="0" priority="2" operator="between">
      <formula>$F$1</formula>
      <formula>$C$1+1</formula>
    </cfRule>
  </conditionalFormatting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001"/>
  <sheetViews>
    <sheetView zoomScaleNormal="100" workbookViewId="0">
      <selection activeCell="S46" sqref="S46"/>
    </sheetView>
  </sheetViews>
  <sheetFormatPr defaultColWidth="14.44140625" defaultRowHeight="15" customHeight="1" x14ac:dyDescent="0.3"/>
  <cols>
    <col min="1" max="1" width="3.5546875" customWidth="1"/>
    <col min="2" max="2" width="15.88671875" customWidth="1"/>
    <col min="3" max="3" width="5.6640625" bestFit="1" customWidth="1"/>
    <col min="4" max="4" width="9.6640625" customWidth="1"/>
    <col min="5" max="5" width="5.33203125" bestFit="1" customWidth="1"/>
    <col min="6" max="6" width="13.88671875" customWidth="1"/>
    <col min="7" max="7" width="5.6640625" bestFit="1" customWidth="1"/>
    <col min="8" max="8" width="9.6640625" customWidth="1"/>
    <col min="9" max="9" width="4.5546875" customWidth="1"/>
    <col min="10" max="10" width="13.44140625" customWidth="1"/>
    <col min="11" max="11" width="5.6640625" bestFit="1" customWidth="1"/>
    <col min="12" max="12" width="9.6640625" customWidth="1"/>
    <col min="13" max="13" width="8.6640625" customWidth="1"/>
    <col min="14" max="14" width="14.88671875" hidden="1" customWidth="1"/>
    <col min="15" max="26" width="8.6640625" customWidth="1"/>
  </cols>
  <sheetData>
    <row r="1" spans="1:14" ht="16.2" x14ac:dyDescent="0.35">
      <c r="A1" s="70" t="s">
        <v>119</v>
      </c>
      <c r="B1" s="49">
        <f ca="1">DATE(YEAR(N1)-8, MONTH(N1)+4, DAY(N1)-13)</f>
        <v>43338</v>
      </c>
      <c r="C1" s="50"/>
      <c r="D1" s="50"/>
      <c r="E1" s="50"/>
      <c r="F1" s="50"/>
      <c r="G1" s="51"/>
      <c r="H1" s="50"/>
      <c r="I1" s="50"/>
      <c r="J1" s="52" t="s">
        <v>120</v>
      </c>
      <c r="K1" s="50"/>
      <c r="L1" s="50"/>
      <c r="N1" s="53">
        <f ca="1">TODAY()+7</f>
        <v>46150</v>
      </c>
    </row>
    <row r="2" spans="1:14" ht="18" x14ac:dyDescent="0.3">
      <c r="A2" s="71"/>
      <c r="B2" s="52" t="s">
        <v>121</v>
      </c>
      <c r="C2" s="50" t="s">
        <v>122</v>
      </c>
      <c r="D2" s="50"/>
      <c r="E2" s="74">
        <f ca="1">ዕቁብ!D1+1</f>
        <v>184</v>
      </c>
      <c r="F2" s="54" t="s">
        <v>123</v>
      </c>
      <c r="G2" s="50"/>
      <c r="H2" s="50"/>
      <c r="I2" s="50"/>
      <c r="J2" s="52" t="s">
        <v>124</v>
      </c>
      <c r="K2" s="50"/>
      <c r="L2" s="50"/>
      <c r="N2" s="53">
        <f>DATE(YEAR(N4) + 8, MONTH(N4) - 1, DAY(N4))</f>
        <v>45451</v>
      </c>
    </row>
    <row r="3" spans="1:14" ht="16.2" x14ac:dyDescent="0.3">
      <c r="A3" s="72"/>
      <c r="B3" s="52" t="s">
        <v>125</v>
      </c>
      <c r="C3" s="50"/>
      <c r="D3" s="50"/>
      <c r="E3" s="50"/>
      <c r="F3" s="50"/>
      <c r="G3" s="50"/>
      <c r="H3" s="50"/>
      <c r="I3" s="50"/>
      <c r="J3" s="52" t="s">
        <v>126</v>
      </c>
      <c r="K3" s="50"/>
      <c r="L3" s="50"/>
      <c r="N3" s="53">
        <f ca="1">DATE(YEAR(B1)-8, MONTH(B1)+4, DAY(B1)-9)</f>
        <v>40529</v>
      </c>
    </row>
    <row r="4" spans="1:14" ht="8.25" customHeight="1" x14ac:dyDescent="0.3">
      <c r="A4" s="50"/>
      <c r="B4" s="50"/>
      <c r="C4" s="50"/>
      <c r="D4" s="50"/>
      <c r="E4" s="50"/>
      <c r="F4" s="50"/>
      <c r="G4" s="50"/>
      <c r="H4" s="50"/>
      <c r="I4" s="50"/>
      <c r="J4" s="50"/>
      <c r="K4" s="55"/>
      <c r="L4" s="55"/>
      <c r="N4" s="53">
        <v>42559</v>
      </c>
    </row>
    <row r="5" spans="1:14" ht="14.4" x14ac:dyDescent="0.3">
      <c r="A5" s="56">
        <v>1</v>
      </c>
      <c r="B5" s="57" t="s">
        <v>3</v>
      </c>
      <c r="C5" s="58">
        <f>ዕቁብ!D6</f>
        <v>103</v>
      </c>
      <c r="D5" s="59"/>
      <c r="E5" s="56">
        <v>45</v>
      </c>
      <c r="F5" s="60" t="s">
        <v>40</v>
      </c>
      <c r="G5" s="58">
        <f>ዕቁብ!D51</f>
        <v>104</v>
      </c>
      <c r="H5" s="59"/>
      <c r="I5" s="56">
        <v>90</v>
      </c>
      <c r="J5" s="61" t="s">
        <v>80</v>
      </c>
      <c r="K5" s="58">
        <f>ዕቁብ!D96</f>
        <v>104</v>
      </c>
      <c r="L5" s="59"/>
    </row>
    <row r="6" spans="1:14" ht="14.4" x14ac:dyDescent="0.3">
      <c r="A6" s="56">
        <v>2</v>
      </c>
      <c r="B6" s="60" t="s">
        <v>4</v>
      </c>
      <c r="C6" s="58">
        <f>ዕቁብ!D7</f>
        <v>108</v>
      </c>
      <c r="D6" s="59"/>
      <c r="E6" s="56">
        <v>46</v>
      </c>
      <c r="F6" s="60" t="s">
        <v>41</v>
      </c>
      <c r="G6" s="58">
        <f>ዕቁብ!D52</f>
        <v>108</v>
      </c>
      <c r="H6" s="59"/>
      <c r="I6" s="56">
        <v>91</v>
      </c>
      <c r="J6" s="62" t="s">
        <v>81</v>
      </c>
      <c r="K6" s="58">
        <f>ዕቁብ!D97</f>
        <v>104</v>
      </c>
      <c r="L6" s="59" t="s">
        <v>127</v>
      </c>
    </row>
    <row r="7" spans="1:14" ht="14.4" x14ac:dyDescent="0.3">
      <c r="A7" s="56">
        <v>3</v>
      </c>
      <c r="B7" s="57" t="s">
        <v>5</v>
      </c>
      <c r="C7" s="58">
        <f>ዕቁብ!D8</f>
        <v>107</v>
      </c>
      <c r="D7" s="59"/>
      <c r="E7" s="56">
        <v>47</v>
      </c>
      <c r="F7" s="60" t="s">
        <v>42</v>
      </c>
      <c r="G7" s="58">
        <f>ዕቁብ!D53</f>
        <v>107</v>
      </c>
      <c r="H7" s="59"/>
      <c r="I7" s="56">
        <v>92</v>
      </c>
      <c r="J7" s="61" t="s">
        <v>82</v>
      </c>
      <c r="K7" s="58">
        <f>ዕቁብ!D98</f>
        <v>102</v>
      </c>
      <c r="L7" s="59"/>
    </row>
    <row r="8" spans="1:14" ht="14.4" x14ac:dyDescent="0.3">
      <c r="A8" s="56">
        <v>4</v>
      </c>
      <c r="B8" s="57" t="s">
        <v>6</v>
      </c>
      <c r="C8" s="58">
        <f>ዕቁብ!D9</f>
        <v>0</v>
      </c>
      <c r="D8" s="59"/>
      <c r="E8" s="56">
        <v>48</v>
      </c>
      <c r="F8" s="57" t="s">
        <v>43</v>
      </c>
      <c r="G8" s="58">
        <f>ዕቁብ!D54</f>
        <v>104</v>
      </c>
      <c r="H8" s="59"/>
      <c r="I8" s="56">
        <v>93</v>
      </c>
      <c r="J8" s="61" t="s">
        <v>18</v>
      </c>
      <c r="K8" s="58">
        <f>ዕቁብ!D99</f>
        <v>99</v>
      </c>
      <c r="L8" s="59"/>
    </row>
    <row r="9" spans="1:14" ht="14.4" x14ac:dyDescent="0.3">
      <c r="A9" s="56">
        <v>5</v>
      </c>
      <c r="B9" s="57" t="s">
        <v>7</v>
      </c>
      <c r="C9" s="58">
        <f>ዕቁብ!D10</f>
        <v>108</v>
      </c>
      <c r="D9" s="59"/>
      <c r="E9" s="56">
        <v>49</v>
      </c>
      <c r="F9" s="57" t="s">
        <v>44</v>
      </c>
      <c r="G9" s="58">
        <f>ዕቁብ!D55</f>
        <v>108</v>
      </c>
      <c r="H9" s="59"/>
      <c r="I9" s="56">
        <v>94</v>
      </c>
      <c r="J9" s="62" t="s">
        <v>83</v>
      </c>
      <c r="K9" s="58">
        <f>ዕቁብ!D100</f>
        <v>107</v>
      </c>
      <c r="L9" s="59"/>
    </row>
    <row r="10" spans="1:14" ht="14.4" x14ac:dyDescent="0.3">
      <c r="A10" s="56">
        <v>6</v>
      </c>
      <c r="B10" s="57" t="s">
        <v>8</v>
      </c>
      <c r="C10" s="58">
        <f>ዕቁብ!D11</f>
        <v>107</v>
      </c>
      <c r="D10" s="59"/>
      <c r="E10" s="56">
        <v>50</v>
      </c>
      <c r="F10" s="57" t="s">
        <v>45</v>
      </c>
      <c r="G10" s="58">
        <f>ዕቁብ!D56</f>
        <v>104</v>
      </c>
      <c r="H10" s="59"/>
      <c r="I10" s="56">
        <v>94</v>
      </c>
      <c r="J10" s="62" t="s">
        <v>84</v>
      </c>
      <c r="K10" s="58">
        <f>ዕቁብ!D101</f>
        <v>103</v>
      </c>
      <c r="L10" s="59"/>
    </row>
    <row r="11" spans="1:14" ht="14.4" x14ac:dyDescent="0.3">
      <c r="A11" s="56">
        <v>7</v>
      </c>
      <c r="B11" s="57" t="s">
        <v>128</v>
      </c>
      <c r="C11" s="58">
        <f>ዕቁብ!D12</f>
        <v>108</v>
      </c>
      <c r="D11" s="59"/>
      <c r="E11" s="56">
        <v>51</v>
      </c>
      <c r="F11" s="57" t="s">
        <v>46</v>
      </c>
      <c r="G11" s="58">
        <f>ዕቁብ!D57</f>
        <v>107</v>
      </c>
      <c r="H11" s="59"/>
      <c r="I11" s="56">
        <v>95</v>
      </c>
      <c r="J11" s="62" t="s">
        <v>85</v>
      </c>
      <c r="K11" s="58">
        <f>ዕቁብ!D102</f>
        <v>77</v>
      </c>
      <c r="L11" s="59"/>
    </row>
    <row r="12" spans="1:14" ht="14.4" x14ac:dyDescent="0.3">
      <c r="A12" s="56">
        <v>8</v>
      </c>
      <c r="B12" s="57" t="s">
        <v>10</v>
      </c>
      <c r="C12" s="58">
        <f>ዕቁብ!D13</f>
        <v>108</v>
      </c>
      <c r="D12" s="59"/>
      <c r="E12" s="56">
        <v>52</v>
      </c>
      <c r="F12" s="62" t="s">
        <v>47</v>
      </c>
      <c r="G12" s="58">
        <f>ዕቁብ!D58</f>
        <v>106</v>
      </c>
      <c r="H12" s="59"/>
      <c r="I12" s="56">
        <v>95</v>
      </c>
      <c r="J12" s="62" t="s">
        <v>86</v>
      </c>
      <c r="K12" s="58">
        <f>ዕቁብ!D103</f>
        <v>98</v>
      </c>
      <c r="L12" s="59"/>
    </row>
    <row r="13" spans="1:14" ht="14.4" x14ac:dyDescent="0.3">
      <c r="A13" s="56">
        <v>9</v>
      </c>
      <c r="B13" s="57" t="s">
        <v>11</v>
      </c>
      <c r="C13" s="58">
        <f>ዕቁብ!D14</f>
        <v>108</v>
      </c>
      <c r="D13" s="59"/>
      <c r="E13" s="56">
        <v>53</v>
      </c>
      <c r="F13" s="57" t="s">
        <v>48</v>
      </c>
      <c r="G13" s="58">
        <f>ዕቁብ!D59</f>
        <v>107</v>
      </c>
      <c r="H13" s="59"/>
      <c r="I13" s="56">
        <v>96</v>
      </c>
      <c r="J13" s="62" t="s">
        <v>87</v>
      </c>
      <c r="K13" s="58">
        <f>ዕቁብ!D104</f>
        <v>106</v>
      </c>
      <c r="L13" s="59"/>
    </row>
    <row r="14" spans="1:14" ht="14.4" x14ac:dyDescent="0.3">
      <c r="A14" s="56">
        <v>10</v>
      </c>
      <c r="B14" s="57" t="s">
        <v>129</v>
      </c>
      <c r="C14" s="58">
        <f>ዕቁብ!D15</f>
        <v>108</v>
      </c>
      <c r="D14" s="59"/>
      <c r="E14" s="56">
        <v>54</v>
      </c>
      <c r="F14" s="57" t="s">
        <v>49</v>
      </c>
      <c r="G14" s="58">
        <f>ዕቁብ!D60</f>
        <v>99</v>
      </c>
      <c r="H14" s="59"/>
      <c r="I14" s="56">
        <v>96</v>
      </c>
      <c r="J14" s="61" t="s">
        <v>18</v>
      </c>
      <c r="K14" s="58">
        <f>ዕቁብ!D105</f>
        <v>97</v>
      </c>
      <c r="L14" s="59"/>
    </row>
    <row r="15" spans="1:14" ht="14.4" x14ac:dyDescent="0.3">
      <c r="A15" s="56">
        <v>11</v>
      </c>
      <c r="B15" s="57" t="s">
        <v>12</v>
      </c>
      <c r="C15" s="58">
        <f>ዕቁብ!D16</f>
        <v>101</v>
      </c>
      <c r="D15" s="59"/>
      <c r="E15" s="56">
        <v>55</v>
      </c>
      <c r="F15" s="57" t="s">
        <v>50</v>
      </c>
      <c r="G15" s="58">
        <f>ዕቁብ!D61</f>
        <v>106</v>
      </c>
      <c r="H15" s="59"/>
      <c r="I15" s="56">
        <v>97</v>
      </c>
      <c r="J15" s="61" t="s">
        <v>88</v>
      </c>
      <c r="K15" s="58">
        <f>ዕቁብ!D106</f>
        <v>91</v>
      </c>
      <c r="L15" s="59"/>
    </row>
    <row r="16" spans="1:14" ht="14.4" x14ac:dyDescent="0.3">
      <c r="A16" s="56">
        <v>12</v>
      </c>
      <c r="B16" s="57" t="s">
        <v>13</v>
      </c>
      <c r="C16" s="58">
        <f>ዕቁብ!D17</f>
        <v>0</v>
      </c>
      <c r="D16" s="59"/>
      <c r="E16" s="56">
        <v>56</v>
      </c>
      <c r="F16" s="57" t="s">
        <v>6</v>
      </c>
      <c r="G16" s="58">
        <f>ዕቁብ!D62</f>
        <v>0</v>
      </c>
      <c r="H16" s="59"/>
      <c r="I16" s="56">
        <v>97</v>
      </c>
      <c r="J16" s="62" t="s">
        <v>89</v>
      </c>
      <c r="K16" s="58">
        <f>ዕቁብ!D107</f>
        <v>89</v>
      </c>
      <c r="L16" s="59"/>
    </row>
    <row r="17" spans="1:12" ht="14.4" x14ac:dyDescent="0.3">
      <c r="A17" s="56">
        <v>13</v>
      </c>
      <c r="B17" s="57" t="s">
        <v>14</v>
      </c>
      <c r="C17" s="58">
        <f>ዕቁብ!D18</f>
        <v>108</v>
      </c>
      <c r="D17" s="59"/>
      <c r="E17" s="56">
        <v>57</v>
      </c>
      <c r="F17" s="57" t="s">
        <v>51</v>
      </c>
      <c r="G17" s="58">
        <f>ዕቁብ!D63</f>
        <v>99</v>
      </c>
      <c r="H17" s="59"/>
      <c r="I17" s="56">
        <v>98</v>
      </c>
      <c r="J17" s="62" t="s">
        <v>90</v>
      </c>
      <c r="K17" s="58">
        <f>ዕቁብ!D108</f>
        <v>102</v>
      </c>
      <c r="L17" s="59"/>
    </row>
    <row r="18" spans="1:12" ht="14.4" x14ac:dyDescent="0.3">
      <c r="A18" s="56">
        <v>14</v>
      </c>
      <c r="B18" s="57" t="s">
        <v>15</v>
      </c>
      <c r="C18" s="58">
        <f>ዕቁብ!D19</f>
        <v>106</v>
      </c>
      <c r="D18" s="59"/>
      <c r="E18" s="56">
        <v>58</v>
      </c>
      <c r="F18" s="57" t="s">
        <v>52</v>
      </c>
      <c r="G18" s="58">
        <f>ዕቁብ!D64</f>
        <v>106</v>
      </c>
      <c r="H18" s="59"/>
      <c r="I18" s="56">
        <v>98</v>
      </c>
      <c r="J18" s="62" t="s">
        <v>91</v>
      </c>
      <c r="K18" s="58">
        <f>ዕቁብ!D109</f>
        <v>105</v>
      </c>
      <c r="L18" s="59"/>
    </row>
    <row r="19" spans="1:12" ht="14.4" x14ac:dyDescent="0.3">
      <c r="A19" s="56">
        <v>15</v>
      </c>
      <c r="B19" s="62" t="s">
        <v>16</v>
      </c>
      <c r="C19" s="58">
        <f>ዕቁብ!D20</f>
        <v>88</v>
      </c>
      <c r="D19" s="59"/>
      <c r="E19" s="56">
        <v>59</v>
      </c>
      <c r="F19" s="57" t="s">
        <v>53</v>
      </c>
      <c r="G19" s="58">
        <f>ዕቁብ!D65</f>
        <v>108</v>
      </c>
      <c r="H19" s="59"/>
      <c r="I19" s="56">
        <v>99</v>
      </c>
      <c r="J19" s="61" t="s">
        <v>92</v>
      </c>
      <c r="K19" s="58">
        <f>ዕቁብ!D110</f>
        <v>104</v>
      </c>
      <c r="L19" s="59"/>
    </row>
    <row r="20" spans="1:12" ht="14.4" x14ac:dyDescent="0.3">
      <c r="A20" s="56">
        <v>16</v>
      </c>
      <c r="B20" s="57" t="s">
        <v>17</v>
      </c>
      <c r="C20" s="58">
        <f>ዕቁብ!D21</f>
        <v>108</v>
      </c>
      <c r="D20" s="59"/>
      <c r="E20" s="56">
        <v>60</v>
      </c>
      <c r="F20" s="57" t="s">
        <v>54</v>
      </c>
      <c r="G20" s="58">
        <f>ዕቁብ!D66</f>
        <v>108</v>
      </c>
      <c r="H20" s="59"/>
      <c r="I20" s="56">
        <v>99</v>
      </c>
      <c r="J20" s="62" t="s">
        <v>93</v>
      </c>
      <c r="K20" s="58">
        <f>ዕቁብ!D111</f>
        <v>7</v>
      </c>
      <c r="L20" s="59"/>
    </row>
    <row r="21" spans="1:12" ht="15.75" customHeight="1" x14ac:dyDescent="0.3">
      <c r="A21" s="56">
        <v>17</v>
      </c>
      <c r="B21" s="61" t="s">
        <v>18</v>
      </c>
      <c r="C21" s="58">
        <f>ዕቁብ!D22</f>
        <v>100</v>
      </c>
      <c r="D21" s="59"/>
      <c r="E21" s="56">
        <v>61</v>
      </c>
      <c r="F21" s="57" t="s">
        <v>55</v>
      </c>
      <c r="G21" s="58">
        <f>ዕቁብ!D67</f>
        <v>103</v>
      </c>
      <c r="H21" s="59"/>
      <c r="I21" s="56">
        <v>100</v>
      </c>
      <c r="J21" s="57" t="s">
        <v>94</v>
      </c>
      <c r="K21" s="58">
        <f>ዕቁብ!D112</f>
        <v>66</v>
      </c>
      <c r="L21" s="59"/>
    </row>
    <row r="22" spans="1:12" ht="15.75" customHeight="1" x14ac:dyDescent="0.3">
      <c r="A22" s="56">
        <v>18</v>
      </c>
      <c r="B22" s="57" t="s">
        <v>19</v>
      </c>
      <c r="C22" s="58">
        <f>ዕቁብ!D23</f>
        <v>106</v>
      </c>
      <c r="D22" s="59"/>
      <c r="E22" s="56">
        <v>62</v>
      </c>
      <c r="F22" s="57" t="s">
        <v>32</v>
      </c>
      <c r="G22" s="58">
        <f>ዕቁብ!D68</f>
        <v>108</v>
      </c>
      <c r="H22" s="59"/>
      <c r="I22" s="56">
        <v>100</v>
      </c>
      <c r="J22" s="62" t="s">
        <v>95</v>
      </c>
      <c r="K22" s="58">
        <f>ዕቁብ!D113</f>
        <v>107</v>
      </c>
      <c r="L22" s="59"/>
    </row>
    <row r="23" spans="1:12" s="80" customFormat="1" ht="15.75" hidden="1" customHeight="1" x14ac:dyDescent="0.3">
      <c r="A23" s="75">
        <v>19</v>
      </c>
      <c r="B23" s="76" t="s">
        <v>20</v>
      </c>
      <c r="C23" s="77">
        <f>ዕቁብ!D24</f>
        <v>105</v>
      </c>
      <c r="D23" s="78"/>
      <c r="E23" s="75">
        <v>63</v>
      </c>
      <c r="F23" s="76" t="s">
        <v>56</v>
      </c>
      <c r="G23" s="77">
        <f>ዕቁብ!D69</f>
        <v>102</v>
      </c>
      <c r="H23" s="78"/>
      <c r="I23" s="75">
        <v>101</v>
      </c>
      <c r="J23" s="79" t="s">
        <v>96</v>
      </c>
      <c r="K23" s="77">
        <f>ዕቁብ!D114</f>
        <v>102</v>
      </c>
      <c r="L23" s="78"/>
    </row>
    <row r="24" spans="1:12" ht="15.75" customHeight="1" x14ac:dyDescent="0.3">
      <c r="A24" s="56">
        <v>19</v>
      </c>
      <c r="B24" s="57" t="s">
        <v>17</v>
      </c>
      <c r="C24" s="58">
        <f>ዕቁብ!D25</f>
        <v>108</v>
      </c>
      <c r="D24" s="59"/>
      <c r="E24" s="56">
        <v>64</v>
      </c>
      <c r="F24" s="57" t="s">
        <v>57</v>
      </c>
      <c r="G24" s="58">
        <f>ዕቁብ!D70</f>
        <v>108</v>
      </c>
      <c r="H24" s="59"/>
      <c r="I24" s="56">
        <v>101</v>
      </c>
      <c r="J24" s="62" t="s">
        <v>97</v>
      </c>
      <c r="K24" s="58">
        <f>ዕቁብ!D115</f>
        <v>108</v>
      </c>
      <c r="L24" s="59"/>
    </row>
    <row r="25" spans="1:12" ht="15.75" customHeight="1" x14ac:dyDescent="0.3">
      <c r="A25" s="56">
        <v>20</v>
      </c>
      <c r="B25" s="57" t="s">
        <v>21</v>
      </c>
      <c r="C25" s="58">
        <f>ዕቁብ!D26</f>
        <v>106</v>
      </c>
      <c r="D25" s="59"/>
      <c r="E25" s="56">
        <v>65</v>
      </c>
      <c r="F25" s="57" t="s">
        <v>58</v>
      </c>
      <c r="G25" s="58">
        <f>ዕቁብ!D71</f>
        <v>103</v>
      </c>
      <c r="H25" s="59"/>
      <c r="I25" s="56">
        <v>102</v>
      </c>
      <c r="J25" s="57" t="s">
        <v>32</v>
      </c>
      <c r="K25" s="58">
        <f>ዕቁብ!D116</f>
        <v>107</v>
      </c>
      <c r="L25" s="59"/>
    </row>
    <row r="26" spans="1:12" ht="15.75" customHeight="1" x14ac:dyDescent="0.3">
      <c r="A26" s="56">
        <v>21</v>
      </c>
      <c r="B26" s="57" t="s">
        <v>22</v>
      </c>
      <c r="C26" s="58">
        <f>ዕቁብ!D27</f>
        <v>106</v>
      </c>
      <c r="D26" s="59"/>
      <c r="E26" s="56">
        <v>66</v>
      </c>
      <c r="F26" s="57" t="s">
        <v>59</v>
      </c>
      <c r="G26" s="58">
        <f>ዕቁብ!D72</f>
        <v>53</v>
      </c>
      <c r="H26" s="59"/>
      <c r="I26" s="56">
        <v>103</v>
      </c>
      <c r="J26" s="62" t="s">
        <v>98</v>
      </c>
      <c r="K26" s="58">
        <f>ዕቁብ!D117</f>
        <v>99</v>
      </c>
      <c r="L26" s="59"/>
    </row>
    <row r="27" spans="1:12" ht="15.75" customHeight="1" x14ac:dyDescent="0.3">
      <c r="A27" s="56">
        <v>22</v>
      </c>
      <c r="B27" s="57" t="s">
        <v>23</v>
      </c>
      <c r="C27" s="58">
        <f>ዕቁብ!D28</f>
        <v>108</v>
      </c>
      <c r="D27" s="59"/>
      <c r="E27" s="56">
        <v>67</v>
      </c>
      <c r="F27" s="57" t="s">
        <v>60</v>
      </c>
      <c r="G27" s="58">
        <f>ዕቁብ!D73</f>
        <v>108</v>
      </c>
      <c r="H27" s="59"/>
      <c r="I27" s="56">
        <v>103</v>
      </c>
      <c r="J27" s="62" t="s">
        <v>99</v>
      </c>
      <c r="K27" s="58">
        <f>ዕቁብ!D118</f>
        <v>93</v>
      </c>
      <c r="L27" s="59"/>
    </row>
    <row r="28" spans="1:12" ht="15.75" customHeight="1" x14ac:dyDescent="0.3">
      <c r="A28" s="56">
        <v>23</v>
      </c>
      <c r="B28" s="57" t="s">
        <v>24</v>
      </c>
      <c r="C28" s="58">
        <f>ዕቁብ!D29</f>
        <v>103</v>
      </c>
      <c r="D28" s="59"/>
      <c r="E28" s="56">
        <v>68</v>
      </c>
      <c r="F28" s="57" t="s">
        <v>61</v>
      </c>
      <c r="G28" s="58">
        <f>ዕቁብ!D74</f>
        <v>91</v>
      </c>
      <c r="H28" s="59"/>
      <c r="I28" s="56">
        <v>104</v>
      </c>
      <c r="J28" s="62" t="s">
        <v>100</v>
      </c>
      <c r="K28" s="58">
        <f>ዕቁብ!D119</f>
        <v>108</v>
      </c>
      <c r="L28" s="59"/>
    </row>
    <row r="29" spans="1:12" ht="15.75" customHeight="1" x14ac:dyDescent="0.3">
      <c r="A29" s="56">
        <v>24</v>
      </c>
      <c r="B29" s="57" t="s">
        <v>25</v>
      </c>
      <c r="C29" s="58">
        <f>ዕቁብ!D30</f>
        <v>108</v>
      </c>
      <c r="D29" s="59"/>
      <c r="E29" s="56">
        <v>69</v>
      </c>
      <c r="F29" s="57" t="s">
        <v>12</v>
      </c>
      <c r="G29" s="58">
        <f>ዕቁብ!D75</f>
        <v>101</v>
      </c>
      <c r="H29" s="59"/>
      <c r="I29" s="56">
        <v>104</v>
      </c>
      <c r="J29" s="62" t="s">
        <v>130</v>
      </c>
      <c r="K29" s="58">
        <f>ዕቁብ!D120</f>
        <v>107</v>
      </c>
      <c r="L29" s="59"/>
    </row>
    <row r="30" spans="1:12" ht="15.75" customHeight="1" x14ac:dyDescent="0.3">
      <c r="A30" s="56">
        <v>25</v>
      </c>
      <c r="B30" s="57" t="s">
        <v>26</v>
      </c>
      <c r="C30" s="58">
        <f>ዕቁብ!D31</f>
        <v>108</v>
      </c>
      <c r="D30" s="59"/>
      <c r="E30" s="56">
        <v>70</v>
      </c>
      <c r="F30" s="57" t="s">
        <v>62</v>
      </c>
      <c r="G30" s="58">
        <f>ዕቁብ!D76</f>
        <v>102</v>
      </c>
      <c r="H30" s="59"/>
      <c r="I30" s="56">
        <v>105</v>
      </c>
      <c r="J30" s="57" t="s">
        <v>102</v>
      </c>
      <c r="K30" s="58">
        <f>ዕቁብ!D121</f>
        <v>101</v>
      </c>
      <c r="L30" s="59"/>
    </row>
    <row r="31" spans="1:12" ht="15.75" customHeight="1" x14ac:dyDescent="0.3">
      <c r="A31" s="56">
        <v>26</v>
      </c>
      <c r="B31" s="57" t="s">
        <v>27</v>
      </c>
      <c r="C31" s="58">
        <f>ዕቁብ!D32</f>
        <v>108</v>
      </c>
      <c r="D31" s="59"/>
      <c r="E31" s="56">
        <v>71</v>
      </c>
      <c r="F31" s="57" t="s">
        <v>63</v>
      </c>
      <c r="G31" s="58">
        <f>ዕቁብ!D77</f>
        <v>101</v>
      </c>
      <c r="H31" s="59"/>
      <c r="I31" s="56">
        <v>105</v>
      </c>
      <c r="J31" s="62" t="s">
        <v>103</v>
      </c>
      <c r="K31" s="58">
        <f>ዕቁብ!D122</f>
        <v>107</v>
      </c>
      <c r="L31" s="59"/>
    </row>
    <row r="32" spans="1:12" ht="15.75" customHeight="1" x14ac:dyDescent="0.3">
      <c r="A32" s="56">
        <v>27</v>
      </c>
      <c r="B32" s="57" t="s">
        <v>28</v>
      </c>
      <c r="C32" s="58">
        <f>ዕቁብ!D33</f>
        <v>105</v>
      </c>
      <c r="D32" s="59"/>
      <c r="E32" s="56">
        <v>72</v>
      </c>
      <c r="F32" s="60" t="s">
        <v>18</v>
      </c>
      <c r="G32" s="58">
        <f>ዕቁብ!D78</f>
        <v>99</v>
      </c>
      <c r="H32" s="59"/>
      <c r="I32" s="56">
        <v>106</v>
      </c>
      <c r="J32" s="62" t="s">
        <v>104</v>
      </c>
      <c r="K32" s="58">
        <f>ዕቁብ!D123</f>
        <v>77</v>
      </c>
      <c r="L32" s="59"/>
    </row>
    <row r="33" spans="1:12" ht="15.75" customHeight="1" x14ac:dyDescent="0.3">
      <c r="A33" s="56">
        <v>28</v>
      </c>
      <c r="B33" s="57" t="s">
        <v>29</v>
      </c>
      <c r="C33" s="58">
        <f>ዕቁብ!D34</f>
        <v>0</v>
      </c>
      <c r="D33" s="59"/>
      <c r="E33" s="56">
        <v>73</v>
      </c>
      <c r="F33" s="60" t="s">
        <v>64</v>
      </c>
      <c r="G33" s="58">
        <f>ዕቁብ!D79</f>
        <v>108</v>
      </c>
      <c r="H33" s="59"/>
      <c r="I33" s="56">
        <v>106</v>
      </c>
      <c r="J33" s="61" t="s">
        <v>105</v>
      </c>
      <c r="K33" s="58">
        <f>ዕቁብ!D124</f>
        <v>106</v>
      </c>
      <c r="L33" s="59"/>
    </row>
    <row r="34" spans="1:12" ht="15.75" customHeight="1" x14ac:dyDescent="0.3">
      <c r="A34" s="56">
        <v>29</v>
      </c>
      <c r="B34" s="57" t="s">
        <v>30</v>
      </c>
      <c r="C34" s="58">
        <f>ዕቁብ!D35</f>
        <v>104</v>
      </c>
      <c r="D34" s="59"/>
      <c r="E34" s="56">
        <v>74</v>
      </c>
      <c r="F34" s="60" t="s">
        <v>65</v>
      </c>
      <c r="G34" s="58">
        <f>ዕቁብ!D80</f>
        <v>91</v>
      </c>
      <c r="H34" s="59"/>
      <c r="I34" s="56">
        <v>107</v>
      </c>
      <c r="J34" s="57" t="s">
        <v>106</v>
      </c>
      <c r="K34" s="58">
        <f>ዕቁብ!D125</f>
        <v>104</v>
      </c>
      <c r="L34" s="59"/>
    </row>
    <row r="35" spans="1:12" ht="15.75" customHeight="1" x14ac:dyDescent="0.3">
      <c r="A35" s="56">
        <v>30</v>
      </c>
      <c r="B35" s="60" t="s">
        <v>31</v>
      </c>
      <c r="C35" s="58">
        <f>ዕቁብ!D36</f>
        <v>92</v>
      </c>
      <c r="D35" s="59"/>
      <c r="E35" s="56">
        <v>75</v>
      </c>
      <c r="F35" s="60" t="s">
        <v>66</v>
      </c>
      <c r="G35" s="58">
        <f>ዕቁብ!D81</f>
        <v>101</v>
      </c>
      <c r="H35" s="59"/>
      <c r="I35" s="56">
        <v>107</v>
      </c>
      <c r="J35" s="57" t="s">
        <v>107</v>
      </c>
      <c r="K35" s="58">
        <f>ዕቁብ!D126</f>
        <v>108</v>
      </c>
      <c r="L35" s="59"/>
    </row>
    <row r="36" spans="1:12" ht="15.75" customHeight="1" x14ac:dyDescent="0.3">
      <c r="A36" s="56">
        <v>31</v>
      </c>
      <c r="B36" s="57" t="s">
        <v>6</v>
      </c>
      <c r="C36" s="58">
        <f>ዕቁብ!D37</f>
        <v>0</v>
      </c>
      <c r="D36" s="59"/>
      <c r="E36" s="56">
        <v>76</v>
      </c>
      <c r="F36" s="60" t="s">
        <v>67</v>
      </c>
      <c r="G36" s="58">
        <f>ዕቁብ!D82</f>
        <v>107</v>
      </c>
      <c r="H36" s="59"/>
      <c r="I36" s="56">
        <v>108</v>
      </c>
      <c r="J36" s="57" t="s">
        <v>108</v>
      </c>
      <c r="K36" s="58">
        <f>ዕቁብ!D127</f>
        <v>103</v>
      </c>
      <c r="L36" s="59"/>
    </row>
    <row r="37" spans="1:12" ht="15.75" customHeight="1" x14ac:dyDescent="0.3">
      <c r="A37" s="56">
        <v>32</v>
      </c>
      <c r="B37" s="57" t="s">
        <v>32</v>
      </c>
      <c r="C37" s="58">
        <f>ዕቁብ!D38</f>
        <v>108</v>
      </c>
      <c r="D37" s="59"/>
      <c r="E37" s="56">
        <v>77</v>
      </c>
      <c r="F37" s="60" t="s">
        <v>68</v>
      </c>
      <c r="G37" s="58">
        <f>ዕቁብ!D83</f>
        <v>108</v>
      </c>
      <c r="H37" s="59"/>
      <c r="I37" s="56">
        <v>108</v>
      </c>
      <c r="J37" s="57" t="s">
        <v>109</v>
      </c>
      <c r="K37" s="58">
        <f>ዕቁብ!D128</f>
        <v>102</v>
      </c>
      <c r="L37" s="59"/>
    </row>
    <row r="38" spans="1:12" ht="15.75" customHeight="1" x14ac:dyDescent="0.3">
      <c r="A38" s="56">
        <v>33</v>
      </c>
      <c r="B38" s="57" t="s">
        <v>33</v>
      </c>
      <c r="C38" s="58">
        <f>ዕቁብ!D39</f>
        <v>105</v>
      </c>
      <c r="D38" s="59"/>
      <c r="E38" s="56">
        <v>78</v>
      </c>
      <c r="F38" s="57" t="s">
        <v>69</v>
      </c>
      <c r="G38" s="58">
        <f>ዕቁብ!D84</f>
        <v>107</v>
      </c>
      <c r="H38" s="59"/>
      <c r="I38" s="56">
        <v>109</v>
      </c>
      <c r="J38" s="57" t="s">
        <v>110</v>
      </c>
      <c r="K38" s="58">
        <f>ዕቁብ!D129</f>
        <v>54</v>
      </c>
      <c r="L38" s="59"/>
    </row>
    <row r="39" spans="1:12" ht="15.75" customHeight="1" x14ac:dyDescent="0.3">
      <c r="A39" s="56">
        <v>34</v>
      </c>
      <c r="B39" s="57" t="s">
        <v>34</v>
      </c>
      <c r="C39" s="58">
        <f>ዕቁብ!D40</f>
        <v>108</v>
      </c>
      <c r="D39" s="59"/>
      <c r="E39" s="56">
        <v>79</v>
      </c>
      <c r="F39" s="60" t="s">
        <v>70</v>
      </c>
      <c r="G39" s="58">
        <f>ዕቁብ!D85</f>
        <v>106</v>
      </c>
      <c r="H39" s="59"/>
      <c r="I39" s="56">
        <v>109</v>
      </c>
      <c r="J39" s="57" t="s">
        <v>111</v>
      </c>
      <c r="K39" s="58">
        <f>ዕቁብ!D130</f>
        <v>108</v>
      </c>
      <c r="L39" s="59"/>
    </row>
    <row r="40" spans="1:12" ht="15.75" customHeight="1" x14ac:dyDescent="0.3">
      <c r="A40" s="56">
        <v>35</v>
      </c>
      <c r="B40" s="57" t="s">
        <v>35</v>
      </c>
      <c r="C40" s="58">
        <f>ዕቁብ!D41</f>
        <v>101</v>
      </c>
      <c r="D40" s="59"/>
      <c r="E40" s="56">
        <v>80</v>
      </c>
      <c r="F40" s="60" t="s">
        <v>71</v>
      </c>
      <c r="G40" s="58">
        <f>ዕቁብ!D86</f>
        <v>94</v>
      </c>
      <c r="H40" s="59"/>
      <c r="I40" s="56">
        <v>110</v>
      </c>
      <c r="J40" s="57" t="s">
        <v>112</v>
      </c>
      <c r="K40" s="58">
        <f>ዕቁብ!D131</f>
        <v>108</v>
      </c>
      <c r="L40" s="59"/>
    </row>
    <row r="41" spans="1:12" ht="15.75" customHeight="1" x14ac:dyDescent="0.3">
      <c r="A41" s="56">
        <v>36</v>
      </c>
      <c r="B41" s="57" t="s">
        <v>36</v>
      </c>
      <c r="C41" s="58">
        <f>ዕቁብ!D42</f>
        <v>107</v>
      </c>
      <c r="D41" s="59"/>
      <c r="E41" s="56">
        <v>81</v>
      </c>
      <c r="F41" s="57" t="s">
        <v>72</v>
      </c>
      <c r="G41" s="58">
        <f>ዕቁብ!D87</f>
        <v>85</v>
      </c>
      <c r="H41" s="59"/>
      <c r="I41" s="56">
        <v>110</v>
      </c>
      <c r="J41" s="57" t="s">
        <v>113</v>
      </c>
      <c r="K41" s="58">
        <f>ዕቁብ!D132</f>
        <v>103</v>
      </c>
      <c r="L41" s="59"/>
    </row>
    <row r="42" spans="1:12" ht="15.75" customHeight="1" x14ac:dyDescent="0.3">
      <c r="A42" s="56">
        <v>37</v>
      </c>
      <c r="B42" s="57" t="s">
        <v>25</v>
      </c>
      <c r="C42" s="58">
        <f>ዕቁብ!D43</f>
        <v>107</v>
      </c>
      <c r="D42" s="59"/>
      <c r="E42" s="56">
        <v>82</v>
      </c>
      <c r="F42" s="60" t="s">
        <v>73</v>
      </c>
      <c r="G42" s="58">
        <f>ዕቁብ!D88</f>
        <v>106</v>
      </c>
      <c r="H42" s="59"/>
      <c r="I42" s="56">
        <v>111</v>
      </c>
      <c r="J42" s="57" t="s">
        <v>114</v>
      </c>
      <c r="K42" s="58">
        <f>ዕቁብ!D133</f>
        <v>102</v>
      </c>
      <c r="L42" s="59"/>
    </row>
    <row r="43" spans="1:12" ht="15.75" customHeight="1" x14ac:dyDescent="0.3">
      <c r="A43" s="56">
        <v>38</v>
      </c>
      <c r="B43" s="57" t="s">
        <v>37</v>
      </c>
      <c r="C43" s="58">
        <f>ዕቁብ!D44</f>
        <v>104</v>
      </c>
      <c r="D43" s="59"/>
      <c r="E43" s="56">
        <v>83</v>
      </c>
      <c r="F43" s="57" t="s">
        <v>74</v>
      </c>
      <c r="G43" s="58">
        <f>ዕቁብ!D89</f>
        <v>104</v>
      </c>
      <c r="H43" s="59"/>
      <c r="I43" s="56">
        <v>111</v>
      </c>
      <c r="J43" s="57" t="s">
        <v>115</v>
      </c>
      <c r="K43" s="58">
        <f>ዕቁብ!D134</f>
        <v>101</v>
      </c>
      <c r="L43" s="59"/>
    </row>
    <row r="44" spans="1:12" ht="15.75" customHeight="1" x14ac:dyDescent="0.3">
      <c r="A44" s="56">
        <v>39</v>
      </c>
      <c r="B44" s="57" t="s">
        <v>10</v>
      </c>
      <c r="C44" s="58">
        <f>ዕቁብ!D45</f>
        <v>108</v>
      </c>
      <c r="D44" s="59"/>
      <c r="E44" s="56">
        <v>84</v>
      </c>
      <c r="F44" s="57" t="s">
        <v>6</v>
      </c>
      <c r="G44" s="58">
        <f>ዕቁብ!D90</f>
        <v>0</v>
      </c>
      <c r="H44" s="59"/>
      <c r="I44" s="56">
        <v>112</v>
      </c>
      <c r="J44" s="57" t="s">
        <v>22</v>
      </c>
      <c r="K44" s="58">
        <f>ዕቁብ!D135</f>
        <v>106</v>
      </c>
      <c r="L44" s="59"/>
    </row>
    <row r="45" spans="1:12" ht="15.75" customHeight="1" x14ac:dyDescent="0.3">
      <c r="A45" s="56">
        <v>40</v>
      </c>
      <c r="B45" s="57" t="s">
        <v>38</v>
      </c>
      <c r="C45" s="58">
        <f>ዕቁብ!D46</f>
        <v>105</v>
      </c>
      <c r="D45" s="59"/>
      <c r="E45" s="56">
        <v>85</v>
      </c>
      <c r="F45" s="57" t="s">
        <v>75</v>
      </c>
      <c r="G45" s="58">
        <f>ዕቁብ!D91</f>
        <v>107</v>
      </c>
      <c r="H45" s="59"/>
      <c r="I45" s="56">
        <v>112</v>
      </c>
      <c r="J45" s="57" t="s">
        <v>116</v>
      </c>
      <c r="K45" s="58">
        <f>ዕቁብ!D136</f>
        <v>104</v>
      </c>
      <c r="L45" s="59"/>
    </row>
    <row r="46" spans="1:12" ht="15.75" customHeight="1" x14ac:dyDescent="0.3">
      <c r="A46" s="56">
        <v>41</v>
      </c>
      <c r="B46" s="57" t="s">
        <v>39</v>
      </c>
      <c r="C46" s="58">
        <f>ዕቁብ!D47</f>
        <v>106</v>
      </c>
      <c r="D46" s="59"/>
      <c r="E46" s="56">
        <v>86</v>
      </c>
      <c r="F46" s="57" t="s">
        <v>76</v>
      </c>
      <c r="G46" s="58">
        <f>ዕቁብ!D92</f>
        <v>101</v>
      </c>
      <c r="H46" s="59"/>
      <c r="I46" s="56">
        <v>113</v>
      </c>
      <c r="J46" s="62" t="s">
        <v>117</v>
      </c>
      <c r="K46" s="58">
        <f>ዕቁብ!D137</f>
        <v>108</v>
      </c>
      <c r="L46" s="59"/>
    </row>
    <row r="47" spans="1:12" ht="15.75" customHeight="1" x14ac:dyDescent="0.3">
      <c r="A47" s="56">
        <v>42</v>
      </c>
      <c r="B47" s="57" t="s">
        <v>40</v>
      </c>
      <c r="C47" s="58">
        <f>ዕቁብ!D48</f>
        <v>104</v>
      </c>
      <c r="D47" s="59"/>
      <c r="E47" s="56">
        <v>87</v>
      </c>
      <c r="F47" s="57" t="s">
        <v>77</v>
      </c>
      <c r="G47" s="58">
        <f>ዕቁብ!D93</f>
        <v>101</v>
      </c>
      <c r="H47" s="59"/>
      <c r="I47" s="56">
        <v>113</v>
      </c>
      <c r="J47" s="62" t="s">
        <v>118</v>
      </c>
      <c r="K47" s="58">
        <f>ዕቁብ!D138</f>
        <v>96</v>
      </c>
      <c r="L47" s="59"/>
    </row>
    <row r="48" spans="1:12" ht="15.75" customHeight="1" x14ac:dyDescent="0.3">
      <c r="A48" s="56">
        <v>43</v>
      </c>
      <c r="B48" s="57" t="s">
        <v>40</v>
      </c>
      <c r="C48" s="58">
        <f>ዕቁብ!D49</f>
        <v>104</v>
      </c>
      <c r="D48" s="59"/>
      <c r="E48" s="56">
        <v>88</v>
      </c>
      <c r="F48" s="62" t="s">
        <v>78</v>
      </c>
      <c r="G48" s="58">
        <f>ዕቁብ!D94</f>
        <v>103</v>
      </c>
      <c r="H48" s="59"/>
      <c r="I48" s="56"/>
      <c r="J48" s="62"/>
      <c r="K48" s="63"/>
      <c r="L48" s="59"/>
    </row>
    <row r="49" spans="1:12" ht="15.75" customHeight="1" x14ac:dyDescent="0.3">
      <c r="A49" s="56">
        <v>44</v>
      </c>
      <c r="B49" s="57" t="s">
        <v>40</v>
      </c>
      <c r="C49" s="58">
        <f>ዕቁብ!$D$50</f>
        <v>104</v>
      </c>
      <c r="D49" s="59"/>
      <c r="E49" s="56">
        <v>89</v>
      </c>
      <c r="F49" s="61" t="s">
        <v>79</v>
      </c>
      <c r="G49" s="58">
        <f>ዕቁብ!D95</f>
        <v>108</v>
      </c>
      <c r="H49" s="59"/>
      <c r="I49" s="56"/>
      <c r="J49" s="62"/>
      <c r="K49" s="63"/>
      <c r="L49" s="59"/>
    </row>
    <row r="50" spans="1:12" ht="15.75" customHeight="1" x14ac:dyDescent="0.3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64"/>
      <c r="L50" s="50"/>
    </row>
    <row r="51" spans="1:12" ht="15.75" customHeight="1" x14ac:dyDescent="0.3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64"/>
      <c r="L51" s="50"/>
    </row>
    <row r="52" spans="1:12" ht="15.75" customHeight="1" x14ac:dyDescent="0.35">
      <c r="A52" s="50"/>
      <c r="B52" s="65" t="s">
        <v>131</v>
      </c>
      <c r="C52" s="50"/>
      <c r="D52" s="50"/>
      <c r="E52" s="50"/>
      <c r="F52" s="50"/>
      <c r="G52" s="50"/>
      <c r="H52" s="50"/>
      <c r="I52" s="50"/>
      <c r="J52" s="50"/>
      <c r="K52" s="64"/>
      <c r="L52" s="50"/>
    </row>
    <row r="53" spans="1:12" ht="15.75" customHeight="1" x14ac:dyDescent="0.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64"/>
      <c r="L53" s="50"/>
    </row>
    <row r="54" spans="1:12" ht="15.75" customHeight="1" x14ac:dyDescent="0.3">
      <c r="A54" s="50"/>
      <c r="B54" s="66" t="s">
        <v>132</v>
      </c>
      <c r="C54" s="50"/>
      <c r="D54" s="50"/>
      <c r="E54" s="50"/>
      <c r="F54" s="50"/>
      <c r="G54" s="50"/>
      <c r="H54" s="50"/>
      <c r="I54" s="50"/>
      <c r="J54" s="50"/>
      <c r="K54" s="64"/>
      <c r="L54" s="50"/>
    </row>
    <row r="55" spans="1:12" ht="15.75" customHeight="1" x14ac:dyDescent="0.3">
      <c r="A55" s="50"/>
      <c r="B55" s="66">
        <v>200</v>
      </c>
      <c r="C55" s="67" t="s">
        <v>133</v>
      </c>
      <c r="D55" s="40" t="s">
        <v>134</v>
      </c>
      <c r="E55" s="32" t="s">
        <v>135</v>
      </c>
      <c r="F55" s="66" t="s">
        <v>136</v>
      </c>
      <c r="G55" s="50"/>
      <c r="H55" s="50"/>
      <c r="I55" s="50"/>
      <c r="J55" s="50"/>
      <c r="K55" s="64"/>
      <c r="L55" s="50"/>
    </row>
    <row r="56" spans="1:12" ht="15.75" customHeight="1" x14ac:dyDescent="0.3">
      <c r="A56" s="50"/>
      <c r="B56" s="66">
        <v>100</v>
      </c>
      <c r="C56" s="67" t="s">
        <v>133</v>
      </c>
      <c r="D56" s="40" t="s">
        <v>134</v>
      </c>
      <c r="E56" s="32" t="s">
        <v>135</v>
      </c>
      <c r="F56" s="66" t="s">
        <v>136</v>
      </c>
      <c r="G56" s="50"/>
      <c r="H56" s="50"/>
      <c r="I56" s="50"/>
      <c r="J56" s="50"/>
      <c r="K56" s="64"/>
      <c r="L56" s="50"/>
    </row>
    <row r="57" spans="1:12" ht="15.75" customHeight="1" x14ac:dyDescent="0.3">
      <c r="A57" s="50"/>
      <c r="B57" s="66">
        <v>50</v>
      </c>
      <c r="C57" s="67" t="s">
        <v>133</v>
      </c>
      <c r="D57" s="40" t="s">
        <v>134</v>
      </c>
      <c r="E57" s="32" t="s">
        <v>135</v>
      </c>
      <c r="F57" s="66" t="s">
        <v>136</v>
      </c>
      <c r="G57" s="50"/>
      <c r="H57" s="50"/>
      <c r="I57" s="50"/>
      <c r="J57" s="50"/>
      <c r="K57" s="64"/>
      <c r="L57" s="50"/>
    </row>
    <row r="58" spans="1:12" ht="15.75" customHeight="1" x14ac:dyDescent="0.35">
      <c r="A58" s="50"/>
      <c r="B58" s="50"/>
      <c r="C58" s="50"/>
      <c r="D58" s="65" t="s">
        <v>137</v>
      </c>
      <c r="E58" s="50"/>
      <c r="F58" s="66" t="s">
        <v>138</v>
      </c>
      <c r="G58" s="50"/>
      <c r="H58" s="50"/>
      <c r="I58" s="50"/>
      <c r="J58" s="50"/>
      <c r="K58" s="64"/>
      <c r="L58" s="50"/>
    </row>
    <row r="59" spans="1:12" ht="15.75" customHeight="1" x14ac:dyDescent="0.3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64"/>
      <c r="L59" s="50"/>
    </row>
    <row r="60" spans="1:12" ht="15.75" customHeight="1" x14ac:dyDescent="0.3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64"/>
      <c r="L60" s="50"/>
    </row>
    <row r="61" spans="1:12" ht="15.75" customHeight="1" x14ac:dyDescent="0.3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64"/>
      <c r="L61" s="50"/>
    </row>
    <row r="62" spans="1:12" ht="15.75" customHeight="1" x14ac:dyDescent="0.3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64"/>
      <c r="L62" s="50"/>
    </row>
    <row r="63" spans="1:12" ht="15.75" customHeight="1" x14ac:dyDescent="0.35">
      <c r="A63" s="50"/>
      <c r="B63" s="66" t="s">
        <v>139</v>
      </c>
      <c r="C63" s="50"/>
      <c r="D63" s="50"/>
      <c r="E63" s="50"/>
      <c r="F63" s="50"/>
      <c r="G63" s="50"/>
      <c r="H63" s="50"/>
      <c r="I63" s="50"/>
      <c r="J63" s="50"/>
      <c r="K63" s="64"/>
      <c r="L63" s="50"/>
    </row>
    <row r="64" spans="1:12" ht="15.75" customHeight="1" x14ac:dyDescent="0.3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64"/>
      <c r="L64" s="50"/>
    </row>
    <row r="65" spans="1:12" ht="15.75" customHeight="1" x14ac:dyDescent="0.3">
      <c r="A65" s="73">
        <v>1</v>
      </c>
      <c r="B65" s="81"/>
      <c r="C65" s="82"/>
      <c r="D65" s="81"/>
      <c r="E65" s="82"/>
      <c r="F65" s="50"/>
      <c r="G65" s="50"/>
      <c r="H65" s="50"/>
      <c r="I65" s="50"/>
      <c r="J65" s="50"/>
      <c r="K65" s="64"/>
      <c r="L65" s="50"/>
    </row>
    <row r="66" spans="1:12" ht="15.75" customHeight="1" x14ac:dyDescent="0.3">
      <c r="A66" s="73">
        <v>2</v>
      </c>
      <c r="B66" s="81"/>
      <c r="C66" s="82"/>
      <c r="D66" s="81"/>
      <c r="E66" s="82"/>
      <c r="F66" s="50"/>
      <c r="G66" s="50"/>
      <c r="H66" s="50"/>
      <c r="I66" s="50"/>
      <c r="J66" s="50"/>
      <c r="K66" s="64"/>
      <c r="L66" s="50"/>
    </row>
    <row r="67" spans="1:12" ht="15.75" customHeight="1" x14ac:dyDescent="0.3">
      <c r="A67" s="73">
        <v>3</v>
      </c>
      <c r="B67" s="81"/>
      <c r="C67" s="82"/>
      <c r="D67" s="81"/>
      <c r="E67" s="82"/>
      <c r="F67" s="50"/>
      <c r="G67" s="50"/>
      <c r="H67" s="50"/>
      <c r="I67" s="50"/>
      <c r="J67" s="50"/>
      <c r="K67" s="64"/>
      <c r="L67" s="50"/>
    </row>
    <row r="68" spans="1:12" ht="15.75" customHeight="1" x14ac:dyDescent="0.3">
      <c r="A68" s="73">
        <v>4</v>
      </c>
      <c r="B68" s="81"/>
      <c r="C68" s="82"/>
      <c r="D68" s="81"/>
      <c r="E68" s="82"/>
      <c r="F68" s="50"/>
      <c r="G68" s="50"/>
      <c r="H68" s="50"/>
      <c r="I68" s="50"/>
      <c r="J68" s="50"/>
      <c r="K68" s="64"/>
      <c r="L68" s="50"/>
    </row>
    <row r="69" spans="1:12" ht="15.75" customHeight="1" x14ac:dyDescent="0.3">
      <c r="A69" s="73">
        <v>5</v>
      </c>
      <c r="B69" s="81"/>
      <c r="C69" s="82"/>
      <c r="D69" s="81"/>
      <c r="E69" s="82"/>
      <c r="F69" s="50"/>
      <c r="G69" s="50"/>
      <c r="H69" s="50"/>
      <c r="I69" s="50"/>
      <c r="J69" s="50"/>
      <c r="K69" s="64"/>
      <c r="L69" s="50"/>
    </row>
    <row r="70" spans="1:12" ht="15.75" customHeight="1" x14ac:dyDescent="0.3">
      <c r="A70" s="73">
        <v>6</v>
      </c>
      <c r="B70" s="81"/>
      <c r="C70" s="82"/>
      <c r="D70" s="81"/>
      <c r="E70" s="82"/>
      <c r="F70" s="50"/>
      <c r="G70" s="50"/>
      <c r="H70" s="50"/>
      <c r="I70" s="50"/>
      <c r="J70" s="50"/>
      <c r="K70" s="64"/>
      <c r="L70" s="50"/>
    </row>
    <row r="71" spans="1:12" ht="15.75" customHeight="1" x14ac:dyDescent="0.3">
      <c r="A71" s="73">
        <v>7</v>
      </c>
      <c r="B71" s="81"/>
      <c r="C71" s="82"/>
      <c r="D71" s="81"/>
      <c r="E71" s="82"/>
      <c r="F71" s="50"/>
      <c r="G71" s="50"/>
      <c r="H71" s="50"/>
      <c r="I71" s="50"/>
      <c r="J71" s="50"/>
      <c r="K71" s="64"/>
      <c r="L71" s="50"/>
    </row>
    <row r="72" spans="1:12" ht="15.75" customHeight="1" x14ac:dyDescent="0.3">
      <c r="A72" s="73">
        <v>8</v>
      </c>
      <c r="B72" s="81"/>
      <c r="C72" s="82"/>
      <c r="D72" s="81"/>
      <c r="E72" s="82"/>
      <c r="F72" s="50"/>
      <c r="G72" s="50"/>
      <c r="H72" s="50"/>
      <c r="I72" s="50"/>
      <c r="J72" s="50"/>
      <c r="K72" s="64"/>
      <c r="L72" s="50"/>
    </row>
    <row r="73" spans="1:12" ht="15.75" customHeight="1" x14ac:dyDescent="0.3">
      <c r="A73" s="73">
        <v>9</v>
      </c>
      <c r="B73" s="81"/>
      <c r="C73" s="82"/>
      <c r="D73" s="81"/>
      <c r="E73" s="82"/>
      <c r="F73" s="50"/>
      <c r="G73" s="50"/>
      <c r="H73" s="50"/>
      <c r="I73" s="50"/>
      <c r="J73" s="50"/>
      <c r="K73" s="64"/>
      <c r="L73" s="50"/>
    </row>
    <row r="74" spans="1:12" ht="15.75" customHeight="1" x14ac:dyDescent="0.3">
      <c r="A74" s="73">
        <v>10</v>
      </c>
      <c r="B74" s="81"/>
      <c r="C74" s="82"/>
      <c r="D74" s="81"/>
      <c r="E74" s="82"/>
      <c r="F74" s="50"/>
      <c r="G74" s="50"/>
      <c r="H74" s="50"/>
      <c r="I74" s="50"/>
      <c r="J74" s="50"/>
      <c r="K74" s="64"/>
      <c r="L74" s="50"/>
    </row>
    <row r="75" spans="1:12" ht="15.75" customHeight="1" x14ac:dyDescent="0.3">
      <c r="A75" s="73">
        <v>11</v>
      </c>
      <c r="B75" s="81"/>
      <c r="C75" s="82"/>
      <c r="D75" s="81"/>
      <c r="E75" s="82"/>
      <c r="F75" s="50"/>
      <c r="G75" s="50"/>
      <c r="H75" s="50"/>
      <c r="I75" s="50"/>
      <c r="J75" s="50"/>
      <c r="K75" s="64"/>
      <c r="L75" s="50"/>
    </row>
    <row r="76" spans="1:12" ht="15.75" customHeight="1" x14ac:dyDescent="0.3">
      <c r="A76" s="73">
        <v>12</v>
      </c>
      <c r="B76" s="81"/>
      <c r="C76" s="82"/>
      <c r="D76" s="81"/>
      <c r="E76" s="82"/>
      <c r="F76" s="50"/>
      <c r="G76" s="50"/>
      <c r="H76" s="50"/>
      <c r="I76" s="50"/>
      <c r="J76" s="50"/>
      <c r="K76" s="64"/>
      <c r="L76" s="50"/>
    </row>
    <row r="77" spans="1:12" ht="15.75" customHeight="1" x14ac:dyDescent="0.3">
      <c r="A77" s="73">
        <v>13</v>
      </c>
      <c r="B77" s="81"/>
      <c r="C77" s="82"/>
      <c r="D77" s="81"/>
      <c r="E77" s="82"/>
      <c r="F77" s="50"/>
      <c r="G77" s="50"/>
      <c r="H77" s="50"/>
      <c r="I77" s="50"/>
      <c r="J77" s="50"/>
      <c r="K77" s="64"/>
      <c r="L77" s="50"/>
    </row>
    <row r="78" spans="1:12" ht="15.75" customHeight="1" x14ac:dyDescent="0.3">
      <c r="A78" s="73">
        <v>14</v>
      </c>
      <c r="B78" s="81"/>
      <c r="C78" s="82"/>
      <c r="D78" s="81"/>
      <c r="E78" s="82"/>
      <c r="F78" s="50"/>
      <c r="G78" s="50"/>
      <c r="H78" s="50"/>
      <c r="I78" s="50"/>
      <c r="J78" s="50"/>
      <c r="K78" s="64"/>
      <c r="L78" s="50"/>
    </row>
    <row r="79" spans="1:12" ht="15.75" customHeight="1" x14ac:dyDescent="0.3">
      <c r="A79" s="73">
        <v>15</v>
      </c>
      <c r="B79" s="81"/>
      <c r="C79" s="82"/>
      <c r="D79" s="81"/>
      <c r="E79" s="82"/>
      <c r="F79" s="50"/>
      <c r="G79" s="50"/>
      <c r="H79" s="50"/>
      <c r="I79" s="50"/>
      <c r="J79" s="50"/>
      <c r="K79" s="64"/>
      <c r="L79" s="50"/>
    </row>
    <row r="80" spans="1:12" ht="15.75" customHeight="1" x14ac:dyDescent="0.35">
      <c r="A80" s="83" t="s">
        <v>137</v>
      </c>
      <c r="B80" s="84"/>
      <c r="C80" s="82"/>
      <c r="D80" s="81"/>
      <c r="E80" s="82"/>
      <c r="F80" s="50"/>
      <c r="G80" s="50"/>
      <c r="H80" s="50"/>
      <c r="I80" s="50"/>
      <c r="J80" s="50"/>
      <c r="K80" s="64"/>
      <c r="L80" s="50"/>
    </row>
    <row r="81" spans="1:12" ht="15.75" customHeight="1" x14ac:dyDescent="0.3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64"/>
      <c r="L81" s="50"/>
    </row>
    <row r="82" spans="1:12" ht="15.75" customHeight="1" x14ac:dyDescent="0.3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64"/>
      <c r="L82" s="50"/>
    </row>
    <row r="83" spans="1:12" ht="15.75" customHeight="1" x14ac:dyDescent="0.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64"/>
      <c r="L83" s="50"/>
    </row>
    <row r="84" spans="1:12" ht="15.75" customHeight="1" x14ac:dyDescent="0.3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64"/>
      <c r="L84" s="50"/>
    </row>
    <row r="85" spans="1:12" ht="15.75" customHeight="1" x14ac:dyDescent="0.3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64"/>
      <c r="L85" s="50"/>
    </row>
    <row r="86" spans="1:12" ht="15.75" customHeight="1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64"/>
      <c r="L86" s="50"/>
    </row>
    <row r="87" spans="1:12" ht="15.75" customHeight="1" x14ac:dyDescent="0.3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64"/>
      <c r="L87" s="50"/>
    </row>
    <row r="88" spans="1:12" ht="15.75" customHeight="1" x14ac:dyDescent="0.3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64"/>
      <c r="L88" s="50"/>
    </row>
    <row r="89" spans="1:12" ht="15.75" customHeight="1" x14ac:dyDescent="0.3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64"/>
      <c r="L89" s="50"/>
    </row>
    <row r="90" spans="1:12" ht="15.75" customHeight="1" x14ac:dyDescent="0.3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64"/>
      <c r="L90" s="50"/>
    </row>
    <row r="91" spans="1:12" ht="15.75" customHeight="1" x14ac:dyDescent="0.3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64"/>
      <c r="L91" s="50"/>
    </row>
    <row r="92" spans="1:12" ht="15.75" customHeight="1" x14ac:dyDescent="0.3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64"/>
      <c r="L92" s="50"/>
    </row>
    <row r="93" spans="1:12" ht="15.75" customHeight="1" x14ac:dyDescent="0.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64"/>
      <c r="L93" s="50"/>
    </row>
    <row r="94" spans="1:12" ht="15.75" customHeight="1" x14ac:dyDescent="0.3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64"/>
      <c r="L94" s="50"/>
    </row>
    <row r="95" spans="1:12" ht="15.75" customHeight="1" x14ac:dyDescent="0.3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64"/>
      <c r="L95" s="50"/>
    </row>
    <row r="96" spans="1:12" ht="15.75" customHeight="1" x14ac:dyDescent="0.3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64"/>
      <c r="L96" s="50"/>
    </row>
    <row r="97" spans="1:12" ht="15.75" customHeight="1" x14ac:dyDescent="0.3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64"/>
      <c r="L97" s="50"/>
    </row>
    <row r="98" spans="1:12" ht="15.75" customHeight="1" x14ac:dyDescent="0.3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64"/>
      <c r="L98" s="50"/>
    </row>
    <row r="99" spans="1:12" ht="15.75" customHeight="1" x14ac:dyDescent="0.3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64"/>
      <c r="L99" s="50"/>
    </row>
    <row r="100" spans="1:12" ht="15.75" customHeight="1" x14ac:dyDescent="0.3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64"/>
      <c r="L100" s="50"/>
    </row>
    <row r="101" spans="1:12" ht="15.75" customHeight="1" x14ac:dyDescent="0.3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64"/>
      <c r="L101" s="50"/>
    </row>
    <row r="102" spans="1:12" ht="15.75" customHeight="1" x14ac:dyDescent="0.3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64"/>
      <c r="L102" s="50"/>
    </row>
    <row r="103" spans="1:12" ht="15.75" customHeight="1" x14ac:dyDescent="0.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64"/>
      <c r="L103" s="50"/>
    </row>
    <row r="104" spans="1:12" ht="15.75" customHeight="1" x14ac:dyDescent="0.3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64"/>
      <c r="L104" s="50"/>
    </row>
    <row r="105" spans="1:12" ht="15.75" customHeight="1" x14ac:dyDescent="0.3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64"/>
      <c r="L105" s="50"/>
    </row>
    <row r="106" spans="1:12" ht="15.75" customHeight="1" x14ac:dyDescent="0.3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64"/>
      <c r="L106" s="50"/>
    </row>
    <row r="107" spans="1:12" ht="15.75" customHeight="1" x14ac:dyDescent="0.3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64"/>
      <c r="L107" s="50"/>
    </row>
    <row r="108" spans="1:12" ht="15.75" customHeight="1" x14ac:dyDescent="0.3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64"/>
      <c r="L108" s="50"/>
    </row>
    <row r="109" spans="1:12" ht="15.75" customHeight="1" x14ac:dyDescent="0.3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64"/>
      <c r="L109" s="50"/>
    </row>
    <row r="110" spans="1:12" ht="15.75" customHeight="1" x14ac:dyDescent="0.3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64"/>
      <c r="L110" s="50"/>
    </row>
    <row r="111" spans="1:12" ht="15.75" customHeight="1" x14ac:dyDescent="0.3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64"/>
      <c r="L111" s="50"/>
    </row>
    <row r="112" spans="1:12" ht="15.75" customHeight="1" x14ac:dyDescent="0.3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64"/>
      <c r="L112" s="50"/>
    </row>
    <row r="113" spans="1:12" ht="15.75" customHeight="1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64"/>
      <c r="L113" s="50"/>
    </row>
    <row r="114" spans="1:12" ht="15.75" customHeight="1" x14ac:dyDescent="0.3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64"/>
      <c r="L114" s="50"/>
    </row>
    <row r="115" spans="1:12" ht="15.75" customHeight="1" x14ac:dyDescent="0.3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64"/>
      <c r="L115" s="50"/>
    </row>
    <row r="116" spans="1:12" ht="15.75" customHeight="1" x14ac:dyDescent="0.3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64"/>
      <c r="L116" s="50"/>
    </row>
    <row r="117" spans="1:12" ht="15.75" customHeight="1" x14ac:dyDescent="0.3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64"/>
      <c r="L117" s="50"/>
    </row>
    <row r="118" spans="1:12" ht="15.75" customHeight="1" x14ac:dyDescent="0.3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64"/>
      <c r="L118" s="50"/>
    </row>
    <row r="119" spans="1:12" ht="15.75" customHeight="1" x14ac:dyDescent="0.3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64"/>
      <c r="L119" s="50"/>
    </row>
    <row r="120" spans="1:12" ht="15.75" customHeight="1" x14ac:dyDescent="0.3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64"/>
      <c r="L120" s="50"/>
    </row>
    <row r="121" spans="1:12" ht="15.75" customHeight="1" x14ac:dyDescent="0.3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64"/>
      <c r="L121" s="50"/>
    </row>
    <row r="122" spans="1:12" ht="15.75" customHeight="1" x14ac:dyDescent="0.3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64"/>
      <c r="L122" s="50"/>
    </row>
    <row r="123" spans="1:12" ht="15.75" customHeight="1" x14ac:dyDescent="0.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64"/>
      <c r="L123" s="50"/>
    </row>
    <row r="124" spans="1:12" ht="15.75" customHeight="1" x14ac:dyDescent="0.3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64"/>
      <c r="L124" s="50"/>
    </row>
    <row r="125" spans="1:12" ht="15.75" customHeight="1" x14ac:dyDescent="0.3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64"/>
      <c r="L125" s="50"/>
    </row>
    <row r="126" spans="1:12" ht="15.75" customHeight="1" x14ac:dyDescent="0.3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64"/>
      <c r="L126" s="50"/>
    </row>
    <row r="127" spans="1:12" ht="15.75" customHeight="1" x14ac:dyDescent="0.3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64"/>
      <c r="L127" s="50"/>
    </row>
    <row r="128" spans="1:12" ht="15.75" customHeight="1" x14ac:dyDescent="0.3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64"/>
      <c r="L128" s="50"/>
    </row>
    <row r="129" spans="1:12" ht="15.75" customHeight="1" x14ac:dyDescent="0.3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64"/>
      <c r="L129" s="50"/>
    </row>
    <row r="130" spans="1:12" ht="15.75" customHeight="1" x14ac:dyDescent="0.3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64"/>
      <c r="L130" s="50"/>
    </row>
    <row r="131" spans="1:12" ht="15.75" customHeight="1" x14ac:dyDescent="0.3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64"/>
      <c r="L131" s="50"/>
    </row>
    <row r="132" spans="1:12" ht="15.75" customHeight="1" x14ac:dyDescent="0.3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64"/>
      <c r="L132" s="50"/>
    </row>
    <row r="133" spans="1:12" ht="15.75" customHeight="1" x14ac:dyDescent="0.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64"/>
      <c r="L133" s="50"/>
    </row>
    <row r="134" spans="1:12" ht="15.75" customHeight="1" x14ac:dyDescent="0.3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64"/>
      <c r="L134" s="50"/>
    </row>
    <row r="135" spans="1:12" ht="15.75" customHeight="1" x14ac:dyDescent="0.3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64"/>
      <c r="L135" s="50"/>
    </row>
    <row r="136" spans="1:12" ht="15.75" customHeight="1" x14ac:dyDescent="0.3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64"/>
      <c r="L136" s="50"/>
    </row>
    <row r="137" spans="1:12" ht="15.75" customHeight="1" x14ac:dyDescent="0.3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64"/>
      <c r="L137" s="50"/>
    </row>
    <row r="138" spans="1:12" ht="15.75" customHeight="1" x14ac:dyDescent="0.3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64"/>
      <c r="L138" s="50"/>
    </row>
    <row r="139" spans="1:12" ht="15.75" customHeight="1" x14ac:dyDescent="0.3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64"/>
      <c r="L139" s="50"/>
    </row>
    <row r="140" spans="1:12" ht="15.75" customHeight="1" x14ac:dyDescent="0.3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64"/>
      <c r="L140" s="50"/>
    </row>
    <row r="141" spans="1:12" ht="15.75" customHeight="1" x14ac:dyDescent="0.3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64"/>
      <c r="L141" s="50"/>
    </row>
    <row r="142" spans="1:12" ht="15.75" customHeight="1" x14ac:dyDescent="0.3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64"/>
      <c r="L142" s="50"/>
    </row>
    <row r="143" spans="1:12" ht="15.75" customHeight="1" x14ac:dyDescent="0.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64"/>
      <c r="L143" s="50"/>
    </row>
    <row r="144" spans="1:12" ht="15.75" customHeight="1" x14ac:dyDescent="0.3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64"/>
      <c r="L144" s="50"/>
    </row>
    <row r="145" spans="1:12" ht="15.75" customHeight="1" x14ac:dyDescent="0.3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64"/>
      <c r="L145" s="50"/>
    </row>
    <row r="146" spans="1:12" ht="15.75" customHeight="1" x14ac:dyDescent="0.3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64"/>
      <c r="L146" s="50"/>
    </row>
    <row r="147" spans="1:12" ht="15.75" customHeight="1" x14ac:dyDescent="0.3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64"/>
      <c r="L147" s="50"/>
    </row>
    <row r="148" spans="1:12" ht="15.75" customHeight="1" x14ac:dyDescent="0.3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64"/>
      <c r="L148" s="50"/>
    </row>
    <row r="149" spans="1:12" ht="15.75" customHeight="1" x14ac:dyDescent="0.3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64"/>
      <c r="L149" s="50"/>
    </row>
    <row r="150" spans="1:12" ht="15.75" customHeight="1" x14ac:dyDescent="0.3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64"/>
      <c r="L150" s="50"/>
    </row>
    <row r="151" spans="1:12" ht="15.75" customHeight="1" x14ac:dyDescent="0.3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64"/>
      <c r="L151" s="50"/>
    </row>
    <row r="152" spans="1:12" ht="15.75" customHeight="1" x14ac:dyDescent="0.3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64"/>
      <c r="L152" s="50"/>
    </row>
    <row r="153" spans="1:12" ht="15.75" customHeight="1" x14ac:dyDescent="0.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64"/>
      <c r="L153" s="50"/>
    </row>
    <row r="154" spans="1:12" ht="15.75" customHeight="1" x14ac:dyDescent="0.3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64"/>
      <c r="L154" s="50"/>
    </row>
    <row r="155" spans="1:12" ht="15.75" customHeight="1" x14ac:dyDescent="0.3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64"/>
      <c r="L155" s="50"/>
    </row>
    <row r="156" spans="1:12" ht="15.75" customHeight="1" x14ac:dyDescent="0.3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64"/>
      <c r="L156" s="50"/>
    </row>
    <row r="157" spans="1:12" ht="15.75" customHeight="1" x14ac:dyDescent="0.3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64"/>
      <c r="L157" s="50"/>
    </row>
    <row r="158" spans="1:12" ht="15.75" customHeight="1" x14ac:dyDescent="0.3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64"/>
      <c r="L158" s="50"/>
    </row>
    <row r="159" spans="1:12" ht="15.75" customHeight="1" x14ac:dyDescent="0.3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64"/>
      <c r="L159" s="50"/>
    </row>
    <row r="160" spans="1:12" ht="15.75" customHeight="1" x14ac:dyDescent="0.3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64"/>
      <c r="L160" s="50"/>
    </row>
    <row r="161" spans="1:12" ht="15.75" customHeight="1" x14ac:dyDescent="0.3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64"/>
      <c r="L161" s="50"/>
    </row>
    <row r="162" spans="1:12" ht="15.75" customHeight="1" x14ac:dyDescent="0.3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64"/>
      <c r="L162" s="50"/>
    </row>
    <row r="163" spans="1:12" ht="15.75" customHeight="1" x14ac:dyDescent="0.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64"/>
      <c r="L163" s="50"/>
    </row>
    <row r="164" spans="1:12" ht="15.75" customHeight="1" x14ac:dyDescent="0.3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64"/>
      <c r="L164" s="50"/>
    </row>
    <row r="165" spans="1:12" ht="15.75" customHeight="1" x14ac:dyDescent="0.3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64"/>
      <c r="L165" s="50"/>
    </row>
    <row r="166" spans="1:12" ht="15.75" customHeight="1" x14ac:dyDescent="0.3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64"/>
      <c r="L166" s="50"/>
    </row>
    <row r="167" spans="1:12" ht="15.75" customHeight="1" x14ac:dyDescent="0.3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64"/>
      <c r="L167" s="50"/>
    </row>
    <row r="168" spans="1:12" ht="15.75" customHeight="1" x14ac:dyDescent="0.3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64"/>
      <c r="L168" s="50"/>
    </row>
    <row r="169" spans="1:12" ht="15.75" customHeight="1" x14ac:dyDescent="0.3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64"/>
      <c r="L169" s="50"/>
    </row>
    <row r="170" spans="1:12" ht="15.75" customHeight="1" x14ac:dyDescent="0.3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64"/>
      <c r="L170" s="50"/>
    </row>
    <row r="171" spans="1:12" ht="15.75" customHeight="1" x14ac:dyDescent="0.3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64"/>
      <c r="L171" s="50"/>
    </row>
    <row r="172" spans="1:12" ht="15.75" customHeight="1" x14ac:dyDescent="0.3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64"/>
      <c r="L172" s="50"/>
    </row>
    <row r="173" spans="1:12" ht="15.75" customHeight="1" x14ac:dyDescent="0.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64"/>
      <c r="L173" s="50"/>
    </row>
    <row r="174" spans="1:12" ht="15.75" customHeight="1" x14ac:dyDescent="0.3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64"/>
      <c r="L174" s="50"/>
    </row>
    <row r="175" spans="1:12" ht="15.75" customHeight="1" x14ac:dyDescent="0.3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64"/>
      <c r="L175" s="50"/>
    </row>
    <row r="176" spans="1:12" ht="15.75" customHeight="1" x14ac:dyDescent="0.3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64"/>
      <c r="L176" s="50"/>
    </row>
    <row r="177" spans="1:12" ht="15.75" customHeight="1" x14ac:dyDescent="0.3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64"/>
      <c r="L177" s="50"/>
    </row>
    <row r="178" spans="1:12" ht="15.75" customHeight="1" x14ac:dyDescent="0.3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64"/>
      <c r="L178" s="50"/>
    </row>
    <row r="179" spans="1:12" ht="15.75" customHeight="1" x14ac:dyDescent="0.3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64"/>
      <c r="L179" s="50"/>
    </row>
    <row r="180" spans="1:12" ht="15.75" customHeight="1" x14ac:dyDescent="0.3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64"/>
      <c r="L180" s="50"/>
    </row>
    <row r="181" spans="1:12" ht="15.75" customHeight="1" x14ac:dyDescent="0.3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64"/>
      <c r="L181" s="50"/>
    </row>
    <row r="182" spans="1:12" ht="15.75" customHeight="1" x14ac:dyDescent="0.3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64"/>
      <c r="L182" s="50"/>
    </row>
    <row r="183" spans="1:12" ht="15.75" customHeight="1" x14ac:dyDescent="0.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64"/>
      <c r="L183" s="50"/>
    </row>
    <row r="184" spans="1:12" ht="15.75" customHeight="1" x14ac:dyDescent="0.3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64"/>
      <c r="L184" s="50"/>
    </row>
    <row r="185" spans="1:12" ht="15.75" customHeight="1" x14ac:dyDescent="0.3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64"/>
      <c r="L185" s="50"/>
    </row>
    <row r="186" spans="1:12" ht="15.75" customHeight="1" x14ac:dyDescent="0.3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64"/>
      <c r="L186" s="50"/>
    </row>
    <row r="187" spans="1:12" ht="15.75" customHeight="1" x14ac:dyDescent="0.3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64"/>
      <c r="L187" s="50"/>
    </row>
    <row r="188" spans="1:12" ht="15.75" customHeight="1" x14ac:dyDescent="0.3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64"/>
      <c r="L188" s="50"/>
    </row>
    <row r="189" spans="1:12" ht="15.75" customHeight="1" x14ac:dyDescent="0.3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64"/>
      <c r="L189" s="50"/>
    </row>
    <row r="190" spans="1:12" ht="15.75" customHeight="1" x14ac:dyDescent="0.3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64"/>
      <c r="L190" s="50"/>
    </row>
    <row r="191" spans="1:12" ht="15.75" customHeight="1" x14ac:dyDescent="0.3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64"/>
      <c r="L191" s="50"/>
    </row>
    <row r="192" spans="1:12" ht="15.75" customHeight="1" x14ac:dyDescent="0.3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64"/>
      <c r="L192" s="50"/>
    </row>
    <row r="193" spans="1:12" ht="15.75" customHeight="1" x14ac:dyDescent="0.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64"/>
      <c r="L193" s="50"/>
    </row>
    <row r="194" spans="1:12" ht="15.75" customHeight="1" x14ac:dyDescent="0.3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64"/>
      <c r="L194" s="50"/>
    </row>
    <row r="195" spans="1:12" ht="15.75" customHeight="1" x14ac:dyDescent="0.3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64"/>
      <c r="L195" s="50"/>
    </row>
    <row r="196" spans="1:12" ht="15.75" customHeight="1" x14ac:dyDescent="0.3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64"/>
      <c r="L196" s="50"/>
    </row>
    <row r="197" spans="1:12" ht="15.75" customHeight="1" x14ac:dyDescent="0.3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64"/>
      <c r="L197" s="50"/>
    </row>
    <row r="198" spans="1:12" ht="15.75" customHeight="1" x14ac:dyDescent="0.3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64"/>
      <c r="L198" s="50"/>
    </row>
    <row r="199" spans="1:12" ht="15.75" customHeight="1" x14ac:dyDescent="0.3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64"/>
      <c r="L199" s="50"/>
    </row>
    <row r="200" spans="1:12" ht="15.75" customHeight="1" x14ac:dyDescent="0.3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64"/>
      <c r="L200" s="50"/>
    </row>
    <row r="201" spans="1:12" ht="15.75" customHeight="1" x14ac:dyDescent="0.3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64"/>
      <c r="L201" s="50"/>
    </row>
    <row r="202" spans="1:12" ht="15.75" customHeight="1" x14ac:dyDescent="0.3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64"/>
      <c r="L202" s="50"/>
    </row>
    <row r="203" spans="1:12" ht="15.75" customHeight="1" x14ac:dyDescent="0.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64"/>
      <c r="L203" s="50"/>
    </row>
    <row r="204" spans="1:12" ht="15.75" customHeight="1" x14ac:dyDescent="0.3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64"/>
      <c r="L204" s="50"/>
    </row>
    <row r="205" spans="1:12" ht="15.75" customHeight="1" x14ac:dyDescent="0.3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64"/>
      <c r="L205" s="50"/>
    </row>
    <row r="206" spans="1:12" ht="15.75" customHeight="1" x14ac:dyDescent="0.3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64"/>
      <c r="L206" s="50"/>
    </row>
    <row r="207" spans="1:12" ht="15.75" customHeight="1" x14ac:dyDescent="0.3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64"/>
      <c r="L207" s="50"/>
    </row>
    <row r="208" spans="1:12" ht="15.75" customHeight="1" x14ac:dyDescent="0.3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64"/>
      <c r="L208" s="50"/>
    </row>
    <row r="209" spans="1:12" ht="15.75" customHeight="1" x14ac:dyDescent="0.3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64"/>
      <c r="L209" s="50"/>
    </row>
    <row r="210" spans="1:12" ht="15.75" customHeight="1" x14ac:dyDescent="0.3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64"/>
      <c r="L210" s="50"/>
    </row>
    <row r="211" spans="1:12" ht="15.75" customHeight="1" x14ac:dyDescent="0.3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64"/>
      <c r="L211" s="50"/>
    </row>
    <row r="212" spans="1:12" ht="15.75" customHeight="1" x14ac:dyDescent="0.3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64"/>
      <c r="L212" s="50"/>
    </row>
    <row r="213" spans="1:12" ht="15.75" customHeight="1" x14ac:dyDescent="0.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64"/>
      <c r="L213" s="50"/>
    </row>
    <row r="214" spans="1:12" ht="15.75" customHeight="1" x14ac:dyDescent="0.3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64"/>
      <c r="L214" s="50"/>
    </row>
    <row r="215" spans="1:12" ht="15.75" customHeight="1" x14ac:dyDescent="0.3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64"/>
      <c r="L215" s="50"/>
    </row>
    <row r="216" spans="1:12" ht="15.75" customHeight="1" x14ac:dyDescent="0.3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64"/>
      <c r="L216" s="50"/>
    </row>
    <row r="217" spans="1:12" ht="15.75" customHeight="1" x14ac:dyDescent="0.3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64"/>
      <c r="L217" s="50"/>
    </row>
    <row r="218" spans="1:12" ht="15.75" customHeight="1" x14ac:dyDescent="0.3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64"/>
      <c r="L218" s="50"/>
    </row>
    <row r="219" spans="1:12" ht="15.75" customHeight="1" x14ac:dyDescent="0.3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64"/>
      <c r="L219" s="50"/>
    </row>
    <row r="220" spans="1:12" ht="15.75" customHeight="1" x14ac:dyDescent="0.3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64"/>
      <c r="L220" s="50"/>
    </row>
    <row r="221" spans="1:12" ht="15.75" customHeight="1" x14ac:dyDescent="0.3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64"/>
      <c r="L221" s="50"/>
    </row>
    <row r="222" spans="1:12" ht="15.75" customHeight="1" x14ac:dyDescent="0.3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64"/>
      <c r="L222" s="50"/>
    </row>
    <row r="223" spans="1:12" ht="15.75" customHeight="1" x14ac:dyDescent="0.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64"/>
      <c r="L223" s="50"/>
    </row>
    <row r="224" spans="1:12" ht="15.75" customHeight="1" x14ac:dyDescent="0.3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64"/>
      <c r="L224" s="50"/>
    </row>
    <row r="225" spans="1:12" ht="15.75" customHeight="1" x14ac:dyDescent="0.3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64"/>
      <c r="L225" s="50"/>
    </row>
    <row r="226" spans="1:12" ht="15.75" customHeight="1" x14ac:dyDescent="0.3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64"/>
      <c r="L226" s="50"/>
    </row>
    <row r="227" spans="1:12" ht="15.75" customHeight="1" x14ac:dyDescent="0.3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64"/>
      <c r="L227" s="50"/>
    </row>
    <row r="228" spans="1:12" ht="15.75" customHeight="1" x14ac:dyDescent="0.3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64"/>
      <c r="L228" s="50"/>
    </row>
    <row r="229" spans="1:12" ht="15.75" customHeight="1" x14ac:dyDescent="0.3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64"/>
      <c r="L229" s="50"/>
    </row>
    <row r="230" spans="1:12" ht="15.75" customHeight="1" x14ac:dyDescent="0.3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64"/>
      <c r="L230" s="50"/>
    </row>
    <row r="231" spans="1:12" ht="15.75" customHeight="1" x14ac:dyDescent="0.3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64"/>
      <c r="L231" s="50"/>
    </row>
    <row r="232" spans="1:12" ht="15.75" customHeight="1" x14ac:dyDescent="0.3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64"/>
      <c r="L232" s="50"/>
    </row>
    <row r="233" spans="1:12" ht="15.75" customHeight="1" x14ac:dyDescent="0.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64"/>
      <c r="L233" s="50"/>
    </row>
    <row r="234" spans="1:12" ht="15.75" customHeight="1" x14ac:dyDescent="0.3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64"/>
      <c r="L234" s="50"/>
    </row>
    <row r="235" spans="1:12" ht="15.75" customHeight="1" x14ac:dyDescent="0.3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64"/>
      <c r="L235" s="50"/>
    </row>
    <row r="236" spans="1:12" ht="15.75" customHeight="1" x14ac:dyDescent="0.3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64"/>
      <c r="L236" s="50"/>
    </row>
    <row r="237" spans="1:12" ht="15.75" customHeight="1" x14ac:dyDescent="0.3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64"/>
      <c r="L237" s="50"/>
    </row>
    <row r="238" spans="1:12" ht="15.75" customHeight="1" x14ac:dyDescent="0.3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64"/>
      <c r="L238" s="50"/>
    </row>
    <row r="239" spans="1:12" ht="15.75" customHeight="1" x14ac:dyDescent="0.3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64"/>
      <c r="L239" s="50"/>
    </row>
    <row r="240" spans="1:12" ht="15.75" customHeight="1" x14ac:dyDescent="0.3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64"/>
      <c r="L240" s="50"/>
    </row>
    <row r="241" spans="1:12" ht="15.75" customHeight="1" x14ac:dyDescent="0.3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64"/>
      <c r="L241" s="50"/>
    </row>
    <row r="242" spans="1:12" ht="15.75" customHeight="1" x14ac:dyDescent="0.3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64"/>
      <c r="L242" s="50"/>
    </row>
    <row r="243" spans="1:12" ht="15.75" customHeight="1" x14ac:dyDescent="0.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64"/>
      <c r="L243" s="50"/>
    </row>
    <row r="244" spans="1:12" ht="15.75" customHeight="1" x14ac:dyDescent="0.3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64"/>
      <c r="L244" s="50"/>
    </row>
    <row r="245" spans="1:12" ht="15.75" customHeight="1" x14ac:dyDescent="0.3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64"/>
      <c r="L245" s="50"/>
    </row>
    <row r="246" spans="1:12" ht="15.75" customHeight="1" x14ac:dyDescent="0.3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64"/>
      <c r="L246" s="50"/>
    </row>
    <row r="247" spans="1:12" ht="15.75" customHeight="1" x14ac:dyDescent="0.3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64"/>
      <c r="L247" s="50"/>
    </row>
    <row r="248" spans="1:12" ht="15.75" customHeight="1" x14ac:dyDescent="0.3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64"/>
      <c r="L248" s="50"/>
    </row>
    <row r="249" spans="1:12" ht="15.75" customHeight="1" x14ac:dyDescent="0.3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64"/>
      <c r="L249" s="50"/>
    </row>
    <row r="250" spans="1:12" ht="15.75" customHeight="1" x14ac:dyDescent="0.3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64"/>
      <c r="L250" s="50"/>
    </row>
    <row r="251" spans="1:12" ht="15.75" customHeight="1" x14ac:dyDescent="0.3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64"/>
      <c r="L251" s="50"/>
    </row>
    <row r="252" spans="1:12" ht="15.75" customHeight="1" x14ac:dyDescent="0.3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64"/>
      <c r="L252" s="50"/>
    </row>
    <row r="253" spans="1:12" ht="15.75" customHeight="1" x14ac:dyDescent="0.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64"/>
      <c r="L253" s="50"/>
    </row>
    <row r="254" spans="1:12" ht="15.75" customHeight="1" x14ac:dyDescent="0.3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64"/>
      <c r="L254" s="50"/>
    </row>
    <row r="255" spans="1:12" ht="15.75" customHeight="1" x14ac:dyDescent="0.3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64"/>
      <c r="L255" s="50"/>
    </row>
    <row r="256" spans="1:12" ht="15.75" customHeight="1" x14ac:dyDescent="0.3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64"/>
      <c r="L256" s="50"/>
    </row>
    <row r="257" spans="1:12" ht="15.75" customHeight="1" x14ac:dyDescent="0.3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64"/>
      <c r="L257" s="50"/>
    </row>
    <row r="258" spans="1:12" ht="15.75" customHeight="1" x14ac:dyDescent="0.3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64"/>
      <c r="L258" s="50"/>
    </row>
    <row r="259" spans="1:12" ht="15.75" customHeight="1" x14ac:dyDescent="0.3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64"/>
      <c r="L259" s="50"/>
    </row>
    <row r="260" spans="1:12" ht="15.75" customHeight="1" x14ac:dyDescent="0.3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64"/>
      <c r="L260" s="50"/>
    </row>
    <row r="261" spans="1:12" ht="15.75" customHeight="1" x14ac:dyDescent="0.3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64"/>
      <c r="L261" s="50"/>
    </row>
    <row r="262" spans="1:12" ht="15.75" customHeight="1" x14ac:dyDescent="0.3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64"/>
      <c r="L262" s="50"/>
    </row>
    <row r="263" spans="1:12" ht="15.75" customHeight="1" x14ac:dyDescent="0.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64"/>
      <c r="L263" s="50"/>
    </row>
    <row r="264" spans="1:12" ht="15.75" customHeight="1" x14ac:dyDescent="0.3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64"/>
      <c r="L264" s="50"/>
    </row>
    <row r="265" spans="1:12" ht="15.75" customHeight="1" x14ac:dyDescent="0.3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64"/>
      <c r="L265" s="50"/>
    </row>
    <row r="266" spans="1:12" ht="15.75" customHeight="1" x14ac:dyDescent="0.3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64"/>
      <c r="L266" s="50"/>
    </row>
    <row r="267" spans="1:12" ht="15.75" customHeight="1" x14ac:dyDescent="0.3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64"/>
      <c r="L267" s="50"/>
    </row>
    <row r="268" spans="1:12" ht="15.75" customHeight="1" x14ac:dyDescent="0.3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64"/>
      <c r="L268" s="50"/>
    </row>
    <row r="269" spans="1:12" ht="15.75" customHeight="1" x14ac:dyDescent="0.3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64"/>
      <c r="L269" s="50"/>
    </row>
    <row r="270" spans="1:12" ht="15.75" customHeight="1" x14ac:dyDescent="0.3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64"/>
      <c r="L270" s="50"/>
    </row>
    <row r="271" spans="1:12" ht="15.75" customHeight="1" x14ac:dyDescent="0.3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64"/>
      <c r="L271" s="50"/>
    </row>
    <row r="272" spans="1:12" ht="15.75" customHeight="1" x14ac:dyDescent="0.3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64"/>
      <c r="L272" s="50"/>
    </row>
    <row r="273" spans="1:12" ht="15.75" customHeight="1" x14ac:dyDescent="0.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64"/>
      <c r="L273" s="50"/>
    </row>
    <row r="274" spans="1:12" ht="15.75" customHeight="1" x14ac:dyDescent="0.3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64"/>
      <c r="L274" s="50"/>
    </row>
    <row r="275" spans="1:12" ht="15.75" customHeight="1" x14ac:dyDescent="0.3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64"/>
      <c r="L275" s="50"/>
    </row>
    <row r="276" spans="1:12" ht="15.75" customHeight="1" x14ac:dyDescent="0.3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64"/>
      <c r="L276" s="50"/>
    </row>
    <row r="277" spans="1:12" ht="15.75" customHeight="1" x14ac:dyDescent="0.3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64"/>
      <c r="L277" s="50"/>
    </row>
    <row r="278" spans="1:12" ht="15.75" customHeight="1" x14ac:dyDescent="0.3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64"/>
      <c r="L278" s="50"/>
    </row>
    <row r="279" spans="1:12" ht="15.75" customHeight="1" x14ac:dyDescent="0.3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64"/>
      <c r="L279" s="50"/>
    </row>
    <row r="280" spans="1:12" ht="15.75" customHeight="1" x14ac:dyDescent="0.3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64"/>
      <c r="L280" s="50"/>
    </row>
    <row r="281" spans="1:12" ht="15.75" customHeight="1" x14ac:dyDescent="0.3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64"/>
      <c r="L281" s="50"/>
    </row>
    <row r="282" spans="1:12" ht="15.75" customHeight="1" x14ac:dyDescent="0.3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64"/>
      <c r="L282" s="50"/>
    </row>
    <row r="283" spans="1:12" ht="15.75" customHeight="1" x14ac:dyDescent="0.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64"/>
      <c r="L283" s="50"/>
    </row>
    <row r="284" spans="1:12" ht="15.75" customHeight="1" x14ac:dyDescent="0.3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64"/>
      <c r="L284" s="50"/>
    </row>
    <row r="285" spans="1:12" ht="15.75" customHeight="1" x14ac:dyDescent="0.3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64"/>
      <c r="L285" s="50"/>
    </row>
    <row r="286" spans="1:12" ht="15.75" customHeight="1" x14ac:dyDescent="0.3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64"/>
      <c r="L286" s="50"/>
    </row>
    <row r="287" spans="1:12" ht="15.75" customHeight="1" x14ac:dyDescent="0.3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64"/>
      <c r="L287" s="50"/>
    </row>
    <row r="288" spans="1:12" ht="15.75" customHeight="1" x14ac:dyDescent="0.3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64"/>
      <c r="L288" s="50"/>
    </row>
    <row r="289" spans="1:12" ht="15.75" customHeight="1" x14ac:dyDescent="0.3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64"/>
      <c r="L289" s="50"/>
    </row>
    <row r="290" spans="1:12" ht="15.75" customHeight="1" x14ac:dyDescent="0.3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64"/>
      <c r="L290" s="50"/>
    </row>
    <row r="291" spans="1:12" ht="15.75" customHeight="1" x14ac:dyDescent="0.3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64"/>
      <c r="L291" s="50"/>
    </row>
    <row r="292" spans="1:12" ht="15.75" customHeight="1" x14ac:dyDescent="0.3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64"/>
      <c r="L292" s="50"/>
    </row>
    <row r="293" spans="1:12" ht="15.75" customHeight="1" x14ac:dyDescent="0.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64"/>
      <c r="L293" s="50"/>
    </row>
    <row r="294" spans="1:12" ht="15.75" customHeight="1" x14ac:dyDescent="0.3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64"/>
      <c r="L294" s="50"/>
    </row>
    <row r="295" spans="1:12" ht="15.75" customHeight="1" x14ac:dyDescent="0.3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64"/>
      <c r="L295" s="50"/>
    </row>
    <row r="296" spans="1:12" ht="15.75" customHeight="1" x14ac:dyDescent="0.3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64"/>
      <c r="L296" s="50"/>
    </row>
    <row r="297" spans="1:12" ht="15.75" customHeight="1" x14ac:dyDescent="0.3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64"/>
      <c r="L297" s="50"/>
    </row>
    <row r="298" spans="1:12" ht="15.75" customHeight="1" x14ac:dyDescent="0.3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64"/>
      <c r="L298" s="50"/>
    </row>
    <row r="299" spans="1:12" ht="15.75" customHeight="1" x14ac:dyDescent="0.3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64"/>
      <c r="L299" s="50"/>
    </row>
    <row r="300" spans="1:12" ht="15.75" customHeight="1" x14ac:dyDescent="0.3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64"/>
      <c r="L300" s="50"/>
    </row>
    <row r="301" spans="1:12" ht="15.75" customHeight="1" x14ac:dyDescent="0.3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64"/>
      <c r="L301" s="50"/>
    </row>
    <row r="302" spans="1:12" ht="15.75" customHeight="1" x14ac:dyDescent="0.3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64"/>
      <c r="L302" s="50"/>
    </row>
    <row r="303" spans="1:12" ht="15.75" customHeight="1" x14ac:dyDescent="0.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64"/>
      <c r="L303" s="50"/>
    </row>
    <row r="304" spans="1:12" ht="15.75" customHeight="1" x14ac:dyDescent="0.3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64"/>
      <c r="L304" s="50"/>
    </row>
    <row r="305" spans="1:12" ht="15.75" customHeight="1" x14ac:dyDescent="0.3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64"/>
      <c r="L305" s="50"/>
    </row>
    <row r="306" spans="1:12" ht="15.75" customHeight="1" x14ac:dyDescent="0.3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64"/>
      <c r="L306" s="50"/>
    </row>
    <row r="307" spans="1:12" ht="15.75" customHeight="1" x14ac:dyDescent="0.3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64"/>
      <c r="L307" s="50"/>
    </row>
    <row r="308" spans="1:12" ht="15.75" customHeight="1" x14ac:dyDescent="0.3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64"/>
      <c r="L308" s="50"/>
    </row>
    <row r="309" spans="1:12" ht="15.75" customHeight="1" x14ac:dyDescent="0.3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64"/>
      <c r="L309" s="50"/>
    </row>
    <row r="310" spans="1:12" ht="15.75" customHeight="1" x14ac:dyDescent="0.3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64"/>
      <c r="L310" s="50"/>
    </row>
    <row r="311" spans="1:12" ht="15.75" customHeight="1" x14ac:dyDescent="0.3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64"/>
      <c r="L311" s="50"/>
    </row>
    <row r="312" spans="1:12" ht="15.75" customHeight="1" x14ac:dyDescent="0.3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64"/>
      <c r="L312" s="50"/>
    </row>
    <row r="313" spans="1:12" ht="15.75" customHeight="1" x14ac:dyDescent="0.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64"/>
      <c r="L313" s="50"/>
    </row>
    <row r="314" spans="1:12" ht="15.75" customHeight="1" x14ac:dyDescent="0.3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64"/>
      <c r="L314" s="50"/>
    </row>
    <row r="315" spans="1:12" ht="15.75" customHeight="1" x14ac:dyDescent="0.3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64"/>
      <c r="L315" s="50"/>
    </row>
    <row r="316" spans="1:12" ht="15.75" customHeight="1" x14ac:dyDescent="0.3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64"/>
      <c r="L316" s="50"/>
    </row>
    <row r="317" spans="1:12" ht="15.75" customHeight="1" x14ac:dyDescent="0.3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64"/>
      <c r="L317" s="50"/>
    </row>
    <row r="318" spans="1:12" ht="15.75" customHeight="1" x14ac:dyDescent="0.3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64"/>
      <c r="L318" s="50"/>
    </row>
    <row r="319" spans="1:12" ht="15.75" customHeight="1" x14ac:dyDescent="0.3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64"/>
      <c r="L319" s="50"/>
    </row>
    <row r="320" spans="1:12" ht="15.75" customHeight="1" x14ac:dyDescent="0.3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64"/>
      <c r="L320" s="50"/>
    </row>
    <row r="321" spans="1:12" ht="15.75" customHeight="1" x14ac:dyDescent="0.3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64"/>
      <c r="L321" s="50"/>
    </row>
    <row r="322" spans="1:12" ht="15.75" customHeight="1" x14ac:dyDescent="0.3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64"/>
      <c r="L322" s="50"/>
    </row>
    <row r="323" spans="1:12" ht="15.75" customHeight="1" x14ac:dyDescent="0.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64"/>
      <c r="L323" s="50"/>
    </row>
    <row r="324" spans="1:12" ht="15.75" customHeight="1" x14ac:dyDescent="0.3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64"/>
      <c r="L324" s="50"/>
    </row>
    <row r="325" spans="1:12" ht="15.75" customHeight="1" x14ac:dyDescent="0.3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64"/>
      <c r="L325" s="50"/>
    </row>
    <row r="326" spans="1:12" ht="15.75" customHeight="1" x14ac:dyDescent="0.3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64"/>
      <c r="L326" s="50"/>
    </row>
    <row r="327" spans="1:12" ht="15.75" customHeight="1" x14ac:dyDescent="0.3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64"/>
      <c r="L327" s="50"/>
    </row>
    <row r="328" spans="1:12" ht="15.75" customHeight="1" x14ac:dyDescent="0.3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64"/>
      <c r="L328" s="50"/>
    </row>
    <row r="329" spans="1:12" ht="15.75" customHeight="1" x14ac:dyDescent="0.3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64"/>
      <c r="L329" s="50"/>
    </row>
    <row r="330" spans="1:12" ht="15.75" customHeight="1" x14ac:dyDescent="0.3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64"/>
      <c r="L330" s="50"/>
    </row>
    <row r="331" spans="1:12" ht="15.75" customHeight="1" x14ac:dyDescent="0.3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64"/>
      <c r="L331" s="50"/>
    </row>
    <row r="332" spans="1:12" ht="15.75" customHeight="1" x14ac:dyDescent="0.3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64"/>
      <c r="L332" s="50"/>
    </row>
    <row r="333" spans="1:12" ht="15.75" customHeight="1" x14ac:dyDescent="0.3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64"/>
      <c r="L333" s="50"/>
    </row>
    <row r="334" spans="1:12" ht="15.75" customHeight="1" x14ac:dyDescent="0.3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64"/>
      <c r="L334" s="50"/>
    </row>
    <row r="335" spans="1:12" ht="15.75" customHeight="1" x14ac:dyDescent="0.3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64"/>
      <c r="L335" s="50"/>
    </row>
    <row r="336" spans="1:12" ht="15.75" customHeight="1" x14ac:dyDescent="0.3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64"/>
      <c r="L336" s="50"/>
    </row>
    <row r="337" spans="1:12" ht="15.75" customHeight="1" x14ac:dyDescent="0.3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64"/>
      <c r="L337" s="50"/>
    </row>
    <row r="338" spans="1:12" ht="15.75" customHeight="1" x14ac:dyDescent="0.3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64"/>
      <c r="L338" s="50"/>
    </row>
    <row r="339" spans="1:12" ht="15.75" customHeight="1" x14ac:dyDescent="0.3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64"/>
      <c r="L339" s="50"/>
    </row>
    <row r="340" spans="1:12" ht="15.75" customHeight="1" x14ac:dyDescent="0.3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64"/>
      <c r="L340" s="50"/>
    </row>
    <row r="341" spans="1:12" ht="15.75" customHeight="1" x14ac:dyDescent="0.3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64"/>
      <c r="L341" s="50"/>
    </row>
    <row r="342" spans="1:12" ht="15.75" customHeight="1" x14ac:dyDescent="0.3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64"/>
      <c r="L342" s="50"/>
    </row>
    <row r="343" spans="1:12" ht="15.75" customHeight="1" x14ac:dyDescent="0.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64"/>
      <c r="L343" s="50"/>
    </row>
    <row r="344" spans="1:12" ht="15.75" customHeight="1" x14ac:dyDescent="0.3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64"/>
      <c r="L344" s="50"/>
    </row>
    <row r="345" spans="1:12" ht="15.75" customHeight="1" x14ac:dyDescent="0.3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64"/>
      <c r="L345" s="50"/>
    </row>
    <row r="346" spans="1:12" ht="15.75" customHeight="1" x14ac:dyDescent="0.3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64"/>
      <c r="L346" s="50"/>
    </row>
    <row r="347" spans="1:12" ht="15.75" customHeight="1" x14ac:dyDescent="0.3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64"/>
      <c r="L347" s="50"/>
    </row>
    <row r="348" spans="1:12" ht="15.75" customHeight="1" x14ac:dyDescent="0.3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64"/>
      <c r="L348" s="50"/>
    </row>
    <row r="349" spans="1:12" ht="15.75" customHeight="1" x14ac:dyDescent="0.3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64"/>
      <c r="L349" s="50"/>
    </row>
    <row r="350" spans="1:12" ht="15.75" customHeight="1" x14ac:dyDescent="0.3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64"/>
      <c r="L350" s="50"/>
    </row>
    <row r="351" spans="1:12" ht="15.75" customHeight="1" x14ac:dyDescent="0.3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64"/>
      <c r="L351" s="50"/>
    </row>
    <row r="352" spans="1:12" ht="15.75" customHeight="1" x14ac:dyDescent="0.3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64"/>
      <c r="L352" s="50"/>
    </row>
    <row r="353" spans="1:12" ht="15.75" customHeight="1" x14ac:dyDescent="0.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64"/>
      <c r="L353" s="50"/>
    </row>
    <row r="354" spans="1:12" ht="15.75" customHeight="1" x14ac:dyDescent="0.3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64"/>
      <c r="L354" s="50"/>
    </row>
    <row r="355" spans="1:12" ht="15.75" customHeight="1" x14ac:dyDescent="0.3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64"/>
      <c r="L355" s="50"/>
    </row>
    <row r="356" spans="1:12" ht="15.75" customHeight="1" x14ac:dyDescent="0.3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64"/>
      <c r="L356" s="50"/>
    </row>
    <row r="357" spans="1:12" ht="15.75" customHeight="1" x14ac:dyDescent="0.3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64"/>
      <c r="L357" s="50"/>
    </row>
    <row r="358" spans="1:12" ht="15.75" customHeight="1" x14ac:dyDescent="0.3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64"/>
      <c r="L358" s="50"/>
    </row>
    <row r="359" spans="1:12" ht="15.75" customHeight="1" x14ac:dyDescent="0.3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64"/>
      <c r="L359" s="50"/>
    </row>
    <row r="360" spans="1:12" ht="15.75" customHeight="1" x14ac:dyDescent="0.3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64"/>
      <c r="L360" s="50"/>
    </row>
    <row r="361" spans="1:12" ht="15.75" customHeight="1" x14ac:dyDescent="0.3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64"/>
      <c r="L361" s="50"/>
    </row>
    <row r="362" spans="1:12" ht="15.75" customHeight="1" x14ac:dyDescent="0.3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64"/>
      <c r="L362" s="50"/>
    </row>
    <row r="363" spans="1:12" ht="15.75" customHeight="1" x14ac:dyDescent="0.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64"/>
      <c r="L363" s="50"/>
    </row>
    <row r="364" spans="1:12" ht="15.75" customHeight="1" x14ac:dyDescent="0.3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64"/>
      <c r="L364" s="50"/>
    </row>
    <row r="365" spans="1:12" ht="15.75" customHeight="1" x14ac:dyDescent="0.3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64"/>
      <c r="L365" s="50"/>
    </row>
    <row r="366" spans="1:12" ht="15.75" customHeight="1" x14ac:dyDescent="0.3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64"/>
      <c r="L366" s="50"/>
    </row>
    <row r="367" spans="1:12" ht="15.75" customHeight="1" x14ac:dyDescent="0.3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64"/>
      <c r="L367" s="50"/>
    </row>
    <row r="368" spans="1:12" ht="15.75" customHeight="1" x14ac:dyDescent="0.3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64"/>
      <c r="L368" s="50"/>
    </row>
    <row r="369" spans="1:12" ht="15.75" customHeight="1" x14ac:dyDescent="0.3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64"/>
      <c r="L369" s="50"/>
    </row>
    <row r="370" spans="1:12" ht="15.75" customHeight="1" x14ac:dyDescent="0.3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64"/>
      <c r="L370" s="50"/>
    </row>
    <row r="371" spans="1:12" ht="15.75" customHeight="1" x14ac:dyDescent="0.3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64"/>
      <c r="L371" s="50"/>
    </row>
    <row r="372" spans="1:12" ht="15.75" customHeight="1" x14ac:dyDescent="0.3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64"/>
      <c r="L372" s="50"/>
    </row>
    <row r="373" spans="1:12" ht="15.75" customHeight="1" x14ac:dyDescent="0.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64"/>
      <c r="L373" s="50"/>
    </row>
    <row r="374" spans="1:12" ht="15.75" customHeight="1" x14ac:dyDescent="0.3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64"/>
      <c r="L374" s="50"/>
    </row>
    <row r="375" spans="1:12" ht="15.75" customHeight="1" x14ac:dyDescent="0.3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64"/>
      <c r="L375" s="50"/>
    </row>
    <row r="376" spans="1:12" ht="15.75" customHeight="1" x14ac:dyDescent="0.3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64"/>
      <c r="L376" s="50"/>
    </row>
    <row r="377" spans="1:12" ht="15.75" customHeight="1" x14ac:dyDescent="0.3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64"/>
      <c r="L377" s="50"/>
    </row>
    <row r="378" spans="1:12" ht="15.75" customHeight="1" x14ac:dyDescent="0.3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64"/>
      <c r="L378" s="50"/>
    </row>
    <row r="379" spans="1:12" ht="15.75" customHeight="1" x14ac:dyDescent="0.3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64"/>
      <c r="L379" s="50"/>
    </row>
    <row r="380" spans="1:12" ht="15.75" customHeight="1" x14ac:dyDescent="0.3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64"/>
      <c r="L380" s="50"/>
    </row>
    <row r="381" spans="1:12" ht="15.75" customHeight="1" x14ac:dyDescent="0.3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64"/>
      <c r="L381" s="50"/>
    </row>
    <row r="382" spans="1:12" ht="15.75" customHeight="1" x14ac:dyDescent="0.3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64"/>
      <c r="L382" s="50"/>
    </row>
    <row r="383" spans="1:12" ht="15.75" customHeight="1" x14ac:dyDescent="0.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64"/>
      <c r="L383" s="50"/>
    </row>
    <row r="384" spans="1:12" ht="15.75" customHeight="1" x14ac:dyDescent="0.3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64"/>
      <c r="L384" s="50"/>
    </row>
    <row r="385" spans="1:12" ht="15.75" customHeight="1" x14ac:dyDescent="0.3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64"/>
      <c r="L385" s="50"/>
    </row>
    <row r="386" spans="1:12" ht="15.75" customHeight="1" x14ac:dyDescent="0.3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64"/>
      <c r="L386" s="50"/>
    </row>
    <row r="387" spans="1:12" ht="15.75" customHeight="1" x14ac:dyDescent="0.3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64"/>
      <c r="L387" s="50"/>
    </row>
    <row r="388" spans="1:12" ht="15.75" customHeight="1" x14ac:dyDescent="0.3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64"/>
      <c r="L388" s="50"/>
    </row>
    <row r="389" spans="1:12" ht="15.75" customHeight="1" x14ac:dyDescent="0.3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64"/>
      <c r="L389" s="50"/>
    </row>
    <row r="390" spans="1:12" ht="15.75" customHeight="1" x14ac:dyDescent="0.3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64"/>
      <c r="L390" s="50"/>
    </row>
    <row r="391" spans="1:12" ht="15.75" customHeight="1" x14ac:dyDescent="0.3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64"/>
      <c r="L391" s="50"/>
    </row>
    <row r="392" spans="1:12" ht="15.75" customHeight="1" x14ac:dyDescent="0.3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64"/>
      <c r="L392" s="50"/>
    </row>
    <row r="393" spans="1:12" ht="15.75" customHeight="1" x14ac:dyDescent="0.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64"/>
      <c r="L393" s="50"/>
    </row>
    <row r="394" spans="1:12" ht="15.75" customHeight="1" x14ac:dyDescent="0.3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64"/>
      <c r="L394" s="50"/>
    </row>
    <row r="395" spans="1:12" ht="15.75" customHeight="1" x14ac:dyDescent="0.3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64"/>
      <c r="L395" s="50"/>
    </row>
    <row r="396" spans="1:12" ht="15.75" customHeight="1" x14ac:dyDescent="0.3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64"/>
      <c r="L396" s="50"/>
    </row>
    <row r="397" spans="1:12" ht="15.75" customHeight="1" x14ac:dyDescent="0.3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64"/>
      <c r="L397" s="50"/>
    </row>
    <row r="398" spans="1:12" ht="15.75" customHeight="1" x14ac:dyDescent="0.3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64"/>
      <c r="L398" s="50"/>
    </row>
    <row r="399" spans="1:12" ht="15.75" customHeight="1" x14ac:dyDescent="0.3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64"/>
      <c r="L399" s="50"/>
    </row>
    <row r="400" spans="1:12" ht="15.75" customHeight="1" x14ac:dyDescent="0.3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64"/>
      <c r="L400" s="50"/>
    </row>
    <row r="401" spans="1:12" ht="15.75" customHeight="1" x14ac:dyDescent="0.3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64"/>
      <c r="L401" s="50"/>
    </row>
    <row r="402" spans="1:12" ht="15.75" customHeight="1" x14ac:dyDescent="0.3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64"/>
      <c r="L402" s="50"/>
    </row>
    <row r="403" spans="1:12" ht="15.75" customHeight="1" x14ac:dyDescent="0.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64"/>
      <c r="L403" s="50"/>
    </row>
    <row r="404" spans="1:12" ht="15.75" customHeight="1" x14ac:dyDescent="0.3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64"/>
      <c r="L404" s="50"/>
    </row>
    <row r="405" spans="1:12" ht="15.75" customHeight="1" x14ac:dyDescent="0.3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64"/>
      <c r="L405" s="50"/>
    </row>
    <row r="406" spans="1:12" ht="15.75" customHeight="1" x14ac:dyDescent="0.3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64"/>
      <c r="L406" s="50"/>
    </row>
    <row r="407" spans="1:12" ht="15.75" customHeight="1" x14ac:dyDescent="0.3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64"/>
      <c r="L407" s="50"/>
    </row>
    <row r="408" spans="1:12" ht="15.75" customHeight="1" x14ac:dyDescent="0.3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64"/>
      <c r="L408" s="50"/>
    </row>
    <row r="409" spans="1:12" ht="15.75" customHeight="1" x14ac:dyDescent="0.3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64"/>
      <c r="L409" s="50"/>
    </row>
    <row r="410" spans="1:12" ht="15.75" customHeight="1" x14ac:dyDescent="0.3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64"/>
      <c r="L410" s="50"/>
    </row>
    <row r="411" spans="1:12" ht="15.75" customHeight="1" x14ac:dyDescent="0.3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64"/>
      <c r="L411" s="50"/>
    </row>
    <row r="412" spans="1:12" ht="15.75" customHeight="1" x14ac:dyDescent="0.3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64"/>
      <c r="L412" s="50"/>
    </row>
    <row r="413" spans="1:12" ht="15.75" customHeight="1" x14ac:dyDescent="0.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64"/>
      <c r="L413" s="50"/>
    </row>
    <row r="414" spans="1:12" ht="15.75" customHeight="1" x14ac:dyDescent="0.3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64"/>
      <c r="L414" s="50"/>
    </row>
    <row r="415" spans="1:12" ht="15.75" customHeight="1" x14ac:dyDescent="0.3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64"/>
      <c r="L415" s="50"/>
    </row>
    <row r="416" spans="1:12" ht="15.75" customHeight="1" x14ac:dyDescent="0.3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64"/>
      <c r="L416" s="50"/>
    </row>
    <row r="417" spans="1:12" ht="15.75" customHeight="1" x14ac:dyDescent="0.3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64"/>
      <c r="L417" s="50"/>
    </row>
    <row r="418" spans="1:12" ht="15.75" customHeight="1" x14ac:dyDescent="0.3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64"/>
      <c r="L418" s="50"/>
    </row>
    <row r="419" spans="1:12" ht="15.75" customHeight="1" x14ac:dyDescent="0.3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64"/>
      <c r="L419" s="50"/>
    </row>
    <row r="420" spans="1:12" ht="15.75" customHeight="1" x14ac:dyDescent="0.3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64"/>
      <c r="L420" s="50"/>
    </row>
    <row r="421" spans="1:12" ht="15.75" customHeight="1" x14ac:dyDescent="0.3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64"/>
      <c r="L421" s="50"/>
    </row>
    <row r="422" spans="1:12" ht="15.75" customHeight="1" x14ac:dyDescent="0.3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64"/>
      <c r="L422" s="50"/>
    </row>
    <row r="423" spans="1:12" ht="15.75" customHeight="1" x14ac:dyDescent="0.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64"/>
      <c r="L423" s="50"/>
    </row>
    <row r="424" spans="1:12" ht="15.75" customHeight="1" x14ac:dyDescent="0.3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64"/>
      <c r="L424" s="50"/>
    </row>
    <row r="425" spans="1:12" ht="15.75" customHeight="1" x14ac:dyDescent="0.3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64"/>
      <c r="L425" s="50"/>
    </row>
    <row r="426" spans="1:12" ht="15.75" customHeight="1" x14ac:dyDescent="0.3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64"/>
      <c r="L426" s="50"/>
    </row>
    <row r="427" spans="1:12" ht="15.75" customHeight="1" x14ac:dyDescent="0.3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64"/>
      <c r="L427" s="50"/>
    </row>
    <row r="428" spans="1:12" ht="15.75" customHeight="1" x14ac:dyDescent="0.3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64"/>
      <c r="L428" s="50"/>
    </row>
    <row r="429" spans="1:12" ht="15.75" customHeight="1" x14ac:dyDescent="0.3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64"/>
      <c r="L429" s="50"/>
    </row>
    <row r="430" spans="1:12" ht="15.75" customHeight="1" x14ac:dyDescent="0.3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64"/>
      <c r="L430" s="50"/>
    </row>
    <row r="431" spans="1:12" ht="15.75" customHeight="1" x14ac:dyDescent="0.3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64"/>
      <c r="L431" s="50"/>
    </row>
    <row r="432" spans="1:12" ht="15.75" customHeight="1" x14ac:dyDescent="0.3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64"/>
      <c r="L432" s="50"/>
    </row>
    <row r="433" spans="1:12" ht="15.75" customHeight="1" x14ac:dyDescent="0.3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64"/>
      <c r="L433" s="50"/>
    </row>
    <row r="434" spans="1:12" ht="15.75" customHeight="1" x14ac:dyDescent="0.3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64"/>
      <c r="L434" s="50"/>
    </row>
    <row r="435" spans="1:12" ht="15.75" customHeight="1" x14ac:dyDescent="0.3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64"/>
      <c r="L435" s="50"/>
    </row>
    <row r="436" spans="1:12" ht="15.75" customHeight="1" x14ac:dyDescent="0.3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64"/>
      <c r="L436" s="50"/>
    </row>
    <row r="437" spans="1:12" ht="15.75" customHeight="1" x14ac:dyDescent="0.3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64"/>
      <c r="L437" s="50"/>
    </row>
    <row r="438" spans="1:12" ht="15.75" customHeight="1" x14ac:dyDescent="0.3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64"/>
      <c r="L438" s="50"/>
    </row>
    <row r="439" spans="1:12" ht="15.75" customHeight="1" x14ac:dyDescent="0.3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64"/>
      <c r="L439" s="50"/>
    </row>
    <row r="440" spans="1:12" ht="15.75" customHeight="1" x14ac:dyDescent="0.3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64"/>
      <c r="L440" s="50"/>
    </row>
    <row r="441" spans="1:12" ht="15.75" customHeight="1" x14ac:dyDescent="0.3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64"/>
      <c r="L441" s="50"/>
    </row>
    <row r="442" spans="1:12" ht="15.75" customHeight="1" x14ac:dyDescent="0.3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64"/>
      <c r="L442" s="50"/>
    </row>
    <row r="443" spans="1:12" ht="15.75" customHeight="1" x14ac:dyDescent="0.3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64"/>
      <c r="L443" s="50"/>
    </row>
    <row r="444" spans="1:12" ht="15.75" customHeight="1" x14ac:dyDescent="0.3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64"/>
      <c r="L444" s="50"/>
    </row>
    <row r="445" spans="1:12" ht="15.75" customHeight="1" x14ac:dyDescent="0.3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64"/>
      <c r="L445" s="50"/>
    </row>
    <row r="446" spans="1:12" ht="15.75" customHeight="1" x14ac:dyDescent="0.3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64"/>
      <c r="L446" s="50"/>
    </row>
    <row r="447" spans="1:12" ht="15.75" customHeight="1" x14ac:dyDescent="0.3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64"/>
      <c r="L447" s="50"/>
    </row>
    <row r="448" spans="1:12" ht="15.75" customHeight="1" x14ac:dyDescent="0.3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64"/>
      <c r="L448" s="50"/>
    </row>
    <row r="449" spans="1:12" ht="15.75" customHeight="1" x14ac:dyDescent="0.3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64"/>
      <c r="L449" s="50"/>
    </row>
    <row r="450" spans="1:12" ht="15.75" customHeight="1" x14ac:dyDescent="0.3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64"/>
      <c r="L450" s="50"/>
    </row>
    <row r="451" spans="1:12" ht="15.75" customHeight="1" x14ac:dyDescent="0.3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64"/>
      <c r="L451" s="50"/>
    </row>
    <row r="452" spans="1:12" ht="15.75" customHeight="1" x14ac:dyDescent="0.3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64"/>
      <c r="L452" s="50"/>
    </row>
    <row r="453" spans="1:12" ht="15.75" customHeight="1" x14ac:dyDescent="0.3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64"/>
      <c r="L453" s="50"/>
    </row>
    <row r="454" spans="1:12" ht="15.75" customHeight="1" x14ac:dyDescent="0.3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64"/>
      <c r="L454" s="50"/>
    </row>
    <row r="455" spans="1:12" ht="15.75" customHeight="1" x14ac:dyDescent="0.3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64"/>
      <c r="L455" s="50"/>
    </row>
    <row r="456" spans="1:12" ht="15.75" customHeight="1" x14ac:dyDescent="0.3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64"/>
      <c r="L456" s="50"/>
    </row>
    <row r="457" spans="1:12" ht="15.75" customHeight="1" x14ac:dyDescent="0.3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64"/>
      <c r="L457" s="50"/>
    </row>
    <row r="458" spans="1:12" ht="15.75" customHeight="1" x14ac:dyDescent="0.3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64"/>
      <c r="L458" s="50"/>
    </row>
    <row r="459" spans="1:12" ht="15.75" customHeight="1" x14ac:dyDescent="0.3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64"/>
      <c r="L459" s="50"/>
    </row>
    <row r="460" spans="1:12" ht="15.75" customHeight="1" x14ac:dyDescent="0.3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64"/>
      <c r="L460" s="50"/>
    </row>
    <row r="461" spans="1:12" ht="15.75" customHeight="1" x14ac:dyDescent="0.3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64"/>
      <c r="L461" s="50"/>
    </row>
    <row r="462" spans="1:12" ht="15.75" customHeight="1" x14ac:dyDescent="0.3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64"/>
      <c r="L462" s="50"/>
    </row>
    <row r="463" spans="1:12" ht="15.75" customHeight="1" x14ac:dyDescent="0.3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64"/>
      <c r="L463" s="50"/>
    </row>
    <row r="464" spans="1:12" ht="15.75" customHeight="1" x14ac:dyDescent="0.3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64"/>
      <c r="L464" s="50"/>
    </row>
    <row r="465" spans="1:12" ht="15.75" customHeight="1" x14ac:dyDescent="0.3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64"/>
      <c r="L465" s="50"/>
    </row>
    <row r="466" spans="1:12" ht="15.75" customHeight="1" x14ac:dyDescent="0.3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64"/>
      <c r="L466" s="50"/>
    </row>
    <row r="467" spans="1:12" ht="15.75" customHeight="1" x14ac:dyDescent="0.3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64"/>
      <c r="L467" s="50"/>
    </row>
    <row r="468" spans="1:12" ht="15.75" customHeight="1" x14ac:dyDescent="0.3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64"/>
      <c r="L468" s="50"/>
    </row>
    <row r="469" spans="1:12" ht="15.75" customHeight="1" x14ac:dyDescent="0.3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64"/>
      <c r="L469" s="50"/>
    </row>
    <row r="470" spans="1:12" ht="15.75" customHeight="1" x14ac:dyDescent="0.3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64"/>
      <c r="L470" s="50"/>
    </row>
    <row r="471" spans="1:12" ht="15.75" customHeight="1" x14ac:dyDescent="0.3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64"/>
      <c r="L471" s="50"/>
    </row>
    <row r="472" spans="1:12" ht="15.75" customHeight="1" x14ac:dyDescent="0.3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64"/>
      <c r="L472" s="50"/>
    </row>
    <row r="473" spans="1:12" ht="15.75" customHeight="1" x14ac:dyDescent="0.3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64"/>
      <c r="L473" s="50"/>
    </row>
    <row r="474" spans="1:12" ht="15.75" customHeight="1" x14ac:dyDescent="0.3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64"/>
      <c r="L474" s="50"/>
    </row>
    <row r="475" spans="1:12" ht="15.75" customHeight="1" x14ac:dyDescent="0.3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64"/>
      <c r="L475" s="50"/>
    </row>
    <row r="476" spans="1:12" ht="15.75" customHeight="1" x14ac:dyDescent="0.3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64"/>
      <c r="L476" s="50"/>
    </row>
    <row r="477" spans="1:12" ht="15.75" customHeight="1" x14ac:dyDescent="0.3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64"/>
      <c r="L477" s="50"/>
    </row>
    <row r="478" spans="1:12" ht="15.75" customHeight="1" x14ac:dyDescent="0.3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64"/>
      <c r="L478" s="50"/>
    </row>
    <row r="479" spans="1:12" ht="15.75" customHeight="1" x14ac:dyDescent="0.3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64"/>
      <c r="L479" s="50"/>
    </row>
    <row r="480" spans="1:12" ht="15.75" customHeight="1" x14ac:dyDescent="0.3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64"/>
      <c r="L480" s="50"/>
    </row>
    <row r="481" spans="1:12" ht="15.75" customHeight="1" x14ac:dyDescent="0.3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64"/>
      <c r="L481" s="50"/>
    </row>
    <row r="482" spans="1:12" ht="15.75" customHeight="1" x14ac:dyDescent="0.3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64"/>
      <c r="L482" s="50"/>
    </row>
    <row r="483" spans="1:12" ht="15.75" customHeight="1" x14ac:dyDescent="0.3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64"/>
      <c r="L483" s="50"/>
    </row>
    <row r="484" spans="1:12" ht="15.75" customHeight="1" x14ac:dyDescent="0.3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64"/>
      <c r="L484" s="50"/>
    </row>
    <row r="485" spans="1:12" ht="15.75" customHeight="1" x14ac:dyDescent="0.3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64"/>
      <c r="L485" s="50"/>
    </row>
    <row r="486" spans="1:12" ht="15.75" customHeight="1" x14ac:dyDescent="0.3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64"/>
      <c r="L486" s="50"/>
    </row>
    <row r="487" spans="1:12" ht="15.75" customHeight="1" x14ac:dyDescent="0.3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64"/>
      <c r="L487" s="50"/>
    </row>
    <row r="488" spans="1:12" ht="15.75" customHeight="1" x14ac:dyDescent="0.3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64"/>
      <c r="L488" s="50"/>
    </row>
    <row r="489" spans="1:12" ht="15.75" customHeight="1" x14ac:dyDescent="0.3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64"/>
      <c r="L489" s="50"/>
    </row>
    <row r="490" spans="1:12" ht="15.75" customHeight="1" x14ac:dyDescent="0.3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64"/>
      <c r="L490" s="50"/>
    </row>
    <row r="491" spans="1:12" ht="15.75" customHeight="1" x14ac:dyDescent="0.3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64"/>
      <c r="L491" s="50"/>
    </row>
    <row r="492" spans="1:12" ht="15.75" customHeight="1" x14ac:dyDescent="0.3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64"/>
      <c r="L492" s="50"/>
    </row>
    <row r="493" spans="1:12" ht="15.75" customHeight="1" x14ac:dyDescent="0.3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64"/>
      <c r="L493" s="50"/>
    </row>
    <row r="494" spans="1:12" ht="15.75" customHeight="1" x14ac:dyDescent="0.3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64"/>
      <c r="L494" s="50"/>
    </row>
    <row r="495" spans="1:12" ht="15.75" customHeight="1" x14ac:dyDescent="0.3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64"/>
      <c r="L495" s="50"/>
    </row>
    <row r="496" spans="1:12" ht="15.75" customHeight="1" x14ac:dyDescent="0.3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64"/>
      <c r="L496" s="50"/>
    </row>
    <row r="497" spans="1:12" ht="15.75" customHeight="1" x14ac:dyDescent="0.3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64"/>
      <c r="L497" s="50"/>
    </row>
    <row r="498" spans="1:12" ht="15.75" customHeight="1" x14ac:dyDescent="0.3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64"/>
      <c r="L498" s="50"/>
    </row>
    <row r="499" spans="1:12" ht="15.75" customHeight="1" x14ac:dyDescent="0.3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64"/>
      <c r="L499" s="50"/>
    </row>
    <row r="500" spans="1:12" ht="15.75" customHeight="1" x14ac:dyDescent="0.3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64"/>
      <c r="L500" s="50"/>
    </row>
    <row r="501" spans="1:12" ht="15.75" customHeight="1" x14ac:dyDescent="0.3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64"/>
      <c r="L501" s="50"/>
    </row>
    <row r="502" spans="1:12" ht="15.75" customHeight="1" x14ac:dyDescent="0.3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64"/>
      <c r="L502" s="50"/>
    </row>
    <row r="503" spans="1:12" ht="15.75" customHeight="1" x14ac:dyDescent="0.3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64"/>
      <c r="L503" s="50"/>
    </row>
    <row r="504" spans="1:12" ht="15.75" customHeight="1" x14ac:dyDescent="0.3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64"/>
      <c r="L504" s="50"/>
    </row>
    <row r="505" spans="1:12" ht="15.75" customHeight="1" x14ac:dyDescent="0.3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64"/>
      <c r="L505" s="50"/>
    </row>
    <row r="506" spans="1:12" ht="15.75" customHeight="1" x14ac:dyDescent="0.3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64"/>
      <c r="L506" s="50"/>
    </row>
    <row r="507" spans="1:12" ht="15.75" customHeight="1" x14ac:dyDescent="0.3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64"/>
      <c r="L507" s="50"/>
    </row>
    <row r="508" spans="1:12" ht="15.75" customHeight="1" x14ac:dyDescent="0.3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64"/>
      <c r="L508" s="50"/>
    </row>
    <row r="509" spans="1:12" ht="15.75" customHeight="1" x14ac:dyDescent="0.3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64"/>
      <c r="L509" s="50"/>
    </row>
    <row r="510" spans="1:12" ht="15.75" customHeight="1" x14ac:dyDescent="0.3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64"/>
      <c r="L510" s="50"/>
    </row>
    <row r="511" spans="1:12" ht="15.75" customHeight="1" x14ac:dyDescent="0.3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64"/>
      <c r="L511" s="50"/>
    </row>
    <row r="512" spans="1:12" ht="15.75" customHeight="1" x14ac:dyDescent="0.3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64"/>
      <c r="L512" s="50"/>
    </row>
    <row r="513" spans="1:12" ht="15.75" customHeight="1" x14ac:dyDescent="0.3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64"/>
      <c r="L513" s="50"/>
    </row>
    <row r="514" spans="1:12" ht="15.75" customHeight="1" x14ac:dyDescent="0.3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64"/>
      <c r="L514" s="50"/>
    </row>
    <row r="515" spans="1:12" ht="15.75" customHeight="1" x14ac:dyDescent="0.3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64"/>
      <c r="L515" s="50"/>
    </row>
    <row r="516" spans="1:12" ht="15.75" customHeight="1" x14ac:dyDescent="0.3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64"/>
      <c r="L516" s="50"/>
    </row>
    <row r="517" spans="1:12" ht="15.75" customHeight="1" x14ac:dyDescent="0.3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64"/>
      <c r="L517" s="50"/>
    </row>
    <row r="518" spans="1:12" ht="15.75" customHeight="1" x14ac:dyDescent="0.3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64"/>
      <c r="L518" s="50"/>
    </row>
    <row r="519" spans="1:12" ht="15.75" customHeight="1" x14ac:dyDescent="0.3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64"/>
      <c r="L519" s="50"/>
    </row>
    <row r="520" spans="1:12" ht="15.75" customHeight="1" x14ac:dyDescent="0.3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64"/>
      <c r="L520" s="50"/>
    </row>
    <row r="521" spans="1:12" ht="15.75" customHeight="1" x14ac:dyDescent="0.3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64"/>
      <c r="L521" s="50"/>
    </row>
    <row r="522" spans="1:12" ht="15.75" customHeight="1" x14ac:dyDescent="0.3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64"/>
      <c r="L522" s="50"/>
    </row>
    <row r="523" spans="1:12" ht="15.75" customHeight="1" x14ac:dyDescent="0.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64"/>
      <c r="L523" s="50"/>
    </row>
    <row r="524" spans="1:12" ht="15.75" customHeight="1" x14ac:dyDescent="0.3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64"/>
      <c r="L524" s="50"/>
    </row>
    <row r="525" spans="1:12" ht="15.75" customHeight="1" x14ac:dyDescent="0.3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64"/>
      <c r="L525" s="50"/>
    </row>
    <row r="526" spans="1:12" ht="15.75" customHeight="1" x14ac:dyDescent="0.3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64"/>
      <c r="L526" s="50"/>
    </row>
    <row r="527" spans="1:12" ht="15.75" customHeight="1" x14ac:dyDescent="0.3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64"/>
      <c r="L527" s="50"/>
    </row>
    <row r="528" spans="1:12" ht="15.75" customHeight="1" x14ac:dyDescent="0.3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64"/>
      <c r="L528" s="50"/>
    </row>
    <row r="529" spans="1:12" ht="15.75" customHeight="1" x14ac:dyDescent="0.3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64"/>
      <c r="L529" s="50"/>
    </row>
    <row r="530" spans="1:12" ht="15.75" customHeight="1" x14ac:dyDescent="0.3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64"/>
      <c r="L530" s="50"/>
    </row>
    <row r="531" spans="1:12" ht="15.75" customHeight="1" x14ac:dyDescent="0.3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64"/>
      <c r="L531" s="50"/>
    </row>
    <row r="532" spans="1:12" ht="15.75" customHeight="1" x14ac:dyDescent="0.3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64"/>
      <c r="L532" s="50"/>
    </row>
    <row r="533" spans="1:12" ht="15.75" customHeight="1" x14ac:dyDescent="0.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64"/>
      <c r="L533" s="50"/>
    </row>
    <row r="534" spans="1:12" ht="15.75" customHeight="1" x14ac:dyDescent="0.3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64"/>
      <c r="L534" s="50"/>
    </row>
    <row r="535" spans="1:12" ht="15.75" customHeight="1" x14ac:dyDescent="0.3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64"/>
      <c r="L535" s="50"/>
    </row>
    <row r="536" spans="1:12" ht="15.75" customHeight="1" x14ac:dyDescent="0.3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64"/>
      <c r="L536" s="50"/>
    </row>
    <row r="537" spans="1:12" ht="15.75" customHeight="1" x14ac:dyDescent="0.3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64"/>
      <c r="L537" s="50"/>
    </row>
    <row r="538" spans="1:12" ht="15.75" customHeight="1" x14ac:dyDescent="0.3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64"/>
      <c r="L538" s="50"/>
    </row>
    <row r="539" spans="1:12" ht="15.75" customHeight="1" x14ac:dyDescent="0.3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64"/>
      <c r="L539" s="50"/>
    </row>
    <row r="540" spans="1:12" ht="15.75" customHeight="1" x14ac:dyDescent="0.3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64"/>
      <c r="L540" s="50"/>
    </row>
    <row r="541" spans="1:12" ht="15.75" customHeight="1" x14ac:dyDescent="0.3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64"/>
      <c r="L541" s="50"/>
    </row>
    <row r="542" spans="1:12" ht="15.75" customHeight="1" x14ac:dyDescent="0.3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64"/>
      <c r="L542" s="50"/>
    </row>
    <row r="543" spans="1:12" ht="15.75" customHeight="1" x14ac:dyDescent="0.3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64"/>
      <c r="L543" s="50"/>
    </row>
    <row r="544" spans="1:12" ht="15.75" customHeight="1" x14ac:dyDescent="0.3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64"/>
      <c r="L544" s="50"/>
    </row>
    <row r="545" spans="1:12" ht="15.75" customHeight="1" x14ac:dyDescent="0.3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64"/>
      <c r="L545" s="50"/>
    </row>
    <row r="546" spans="1:12" ht="15.75" customHeight="1" x14ac:dyDescent="0.3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64"/>
      <c r="L546" s="50"/>
    </row>
    <row r="547" spans="1:12" ht="15.75" customHeight="1" x14ac:dyDescent="0.3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64"/>
      <c r="L547" s="50"/>
    </row>
    <row r="548" spans="1:12" ht="15.75" customHeight="1" x14ac:dyDescent="0.3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64"/>
      <c r="L548" s="50"/>
    </row>
    <row r="549" spans="1:12" ht="15.75" customHeight="1" x14ac:dyDescent="0.3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64"/>
      <c r="L549" s="50"/>
    </row>
    <row r="550" spans="1:12" ht="15.75" customHeight="1" x14ac:dyDescent="0.3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64"/>
      <c r="L550" s="50"/>
    </row>
    <row r="551" spans="1:12" ht="15.75" customHeight="1" x14ac:dyDescent="0.3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64"/>
      <c r="L551" s="50"/>
    </row>
    <row r="552" spans="1:12" ht="15.75" customHeight="1" x14ac:dyDescent="0.3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64"/>
      <c r="L552" s="50"/>
    </row>
    <row r="553" spans="1:12" ht="15.75" customHeight="1" x14ac:dyDescent="0.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64"/>
      <c r="L553" s="50"/>
    </row>
    <row r="554" spans="1:12" ht="15.75" customHeight="1" x14ac:dyDescent="0.3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64"/>
      <c r="L554" s="50"/>
    </row>
    <row r="555" spans="1:12" ht="15.75" customHeight="1" x14ac:dyDescent="0.3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64"/>
      <c r="L555" s="50"/>
    </row>
    <row r="556" spans="1:12" ht="15.75" customHeight="1" x14ac:dyDescent="0.3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64"/>
      <c r="L556" s="50"/>
    </row>
    <row r="557" spans="1:12" ht="15.75" customHeight="1" x14ac:dyDescent="0.3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64"/>
      <c r="L557" s="50"/>
    </row>
    <row r="558" spans="1:12" ht="15.75" customHeight="1" x14ac:dyDescent="0.3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64"/>
      <c r="L558" s="50"/>
    </row>
    <row r="559" spans="1:12" ht="15.75" customHeight="1" x14ac:dyDescent="0.3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64"/>
      <c r="L559" s="50"/>
    </row>
    <row r="560" spans="1:12" ht="15.75" customHeight="1" x14ac:dyDescent="0.3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64"/>
      <c r="L560" s="50"/>
    </row>
    <row r="561" spans="1:12" ht="15.75" customHeight="1" x14ac:dyDescent="0.3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64"/>
      <c r="L561" s="50"/>
    </row>
    <row r="562" spans="1:12" ht="15.75" customHeight="1" x14ac:dyDescent="0.3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64"/>
      <c r="L562" s="50"/>
    </row>
    <row r="563" spans="1:12" ht="15.75" customHeight="1" x14ac:dyDescent="0.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64"/>
      <c r="L563" s="50"/>
    </row>
    <row r="564" spans="1:12" ht="15.75" customHeight="1" x14ac:dyDescent="0.3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64"/>
      <c r="L564" s="50"/>
    </row>
    <row r="565" spans="1:12" ht="15.75" customHeight="1" x14ac:dyDescent="0.3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64"/>
      <c r="L565" s="50"/>
    </row>
    <row r="566" spans="1:12" ht="15.75" customHeight="1" x14ac:dyDescent="0.3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64"/>
      <c r="L566" s="50"/>
    </row>
    <row r="567" spans="1:12" ht="15.75" customHeight="1" x14ac:dyDescent="0.3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64"/>
      <c r="L567" s="50"/>
    </row>
    <row r="568" spans="1:12" ht="15.75" customHeight="1" x14ac:dyDescent="0.3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64"/>
      <c r="L568" s="50"/>
    </row>
    <row r="569" spans="1:12" ht="15.75" customHeight="1" x14ac:dyDescent="0.3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64"/>
      <c r="L569" s="50"/>
    </row>
    <row r="570" spans="1:12" ht="15.75" customHeight="1" x14ac:dyDescent="0.3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64"/>
      <c r="L570" s="50"/>
    </row>
    <row r="571" spans="1:12" ht="15.75" customHeight="1" x14ac:dyDescent="0.3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64"/>
      <c r="L571" s="50"/>
    </row>
    <row r="572" spans="1:12" ht="15.75" customHeight="1" x14ac:dyDescent="0.3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64"/>
      <c r="L572" s="50"/>
    </row>
    <row r="573" spans="1:12" ht="15.75" customHeight="1" x14ac:dyDescent="0.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64"/>
      <c r="L573" s="50"/>
    </row>
    <row r="574" spans="1:12" ht="15.75" customHeight="1" x14ac:dyDescent="0.3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64"/>
      <c r="L574" s="50"/>
    </row>
    <row r="575" spans="1:12" ht="15.75" customHeight="1" x14ac:dyDescent="0.3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64"/>
      <c r="L575" s="50"/>
    </row>
    <row r="576" spans="1:12" ht="15.75" customHeight="1" x14ac:dyDescent="0.3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64"/>
      <c r="L576" s="50"/>
    </row>
    <row r="577" spans="1:12" ht="15.75" customHeight="1" x14ac:dyDescent="0.3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64"/>
      <c r="L577" s="50"/>
    </row>
    <row r="578" spans="1:12" ht="15.75" customHeight="1" x14ac:dyDescent="0.3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64"/>
      <c r="L578" s="50"/>
    </row>
    <row r="579" spans="1:12" ht="15.75" customHeight="1" x14ac:dyDescent="0.3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64"/>
      <c r="L579" s="50"/>
    </row>
    <row r="580" spans="1:12" ht="15.75" customHeight="1" x14ac:dyDescent="0.3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64"/>
      <c r="L580" s="50"/>
    </row>
    <row r="581" spans="1:12" ht="15.75" customHeight="1" x14ac:dyDescent="0.3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64"/>
      <c r="L581" s="50"/>
    </row>
    <row r="582" spans="1:12" ht="15.75" customHeight="1" x14ac:dyDescent="0.3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64"/>
      <c r="L582" s="50"/>
    </row>
    <row r="583" spans="1:12" ht="15.75" customHeight="1" x14ac:dyDescent="0.3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64"/>
      <c r="L583" s="50"/>
    </row>
    <row r="584" spans="1:12" ht="15.75" customHeight="1" x14ac:dyDescent="0.3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64"/>
      <c r="L584" s="50"/>
    </row>
    <row r="585" spans="1:12" ht="15.75" customHeight="1" x14ac:dyDescent="0.3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64"/>
      <c r="L585" s="50"/>
    </row>
    <row r="586" spans="1:12" ht="15.75" customHeight="1" x14ac:dyDescent="0.3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64"/>
      <c r="L586" s="50"/>
    </row>
    <row r="587" spans="1:12" ht="15.75" customHeight="1" x14ac:dyDescent="0.3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64"/>
      <c r="L587" s="50"/>
    </row>
    <row r="588" spans="1:12" ht="15.75" customHeight="1" x14ac:dyDescent="0.3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64"/>
      <c r="L588" s="50"/>
    </row>
    <row r="589" spans="1:12" ht="15.75" customHeight="1" x14ac:dyDescent="0.3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64"/>
      <c r="L589" s="50"/>
    </row>
    <row r="590" spans="1:12" ht="15.75" customHeight="1" x14ac:dyDescent="0.3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64"/>
      <c r="L590" s="50"/>
    </row>
    <row r="591" spans="1:12" ht="15.75" customHeight="1" x14ac:dyDescent="0.3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64"/>
      <c r="L591" s="50"/>
    </row>
    <row r="592" spans="1:12" ht="15.75" customHeight="1" x14ac:dyDescent="0.3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64"/>
      <c r="L592" s="50"/>
    </row>
    <row r="593" spans="1:12" ht="15.75" customHeight="1" x14ac:dyDescent="0.3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64"/>
      <c r="L593" s="50"/>
    </row>
    <row r="594" spans="1:12" ht="15.75" customHeight="1" x14ac:dyDescent="0.3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64"/>
      <c r="L594" s="50"/>
    </row>
    <row r="595" spans="1:12" ht="15.75" customHeight="1" x14ac:dyDescent="0.3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64"/>
      <c r="L595" s="50"/>
    </row>
    <row r="596" spans="1:12" ht="15.75" customHeight="1" x14ac:dyDescent="0.3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64"/>
      <c r="L596" s="50"/>
    </row>
    <row r="597" spans="1:12" ht="15.75" customHeight="1" x14ac:dyDescent="0.3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64"/>
      <c r="L597" s="50"/>
    </row>
    <row r="598" spans="1:12" ht="15.75" customHeight="1" x14ac:dyDescent="0.3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64"/>
      <c r="L598" s="50"/>
    </row>
    <row r="599" spans="1:12" ht="15.75" customHeight="1" x14ac:dyDescent="0.3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64"/>
      <c r="L599" s="50"/>
    </row>
    <row r="600" spans="1:12" ht="15.75" customHeight="1" x14ac:dyDescent="0.3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64"/>
      <c r="L600" s="50"/>
    </row>
    <row r="601" spans="1:12" ht="15.75" customHeight="1" x14ac:dyDescent="0.3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64"/>
      <c r="L601" s="50"/>
    </row>
    <row r="602" spans="1:12" ht="15.75" customHeight="1" x14ac:dyDescent="0.3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64"/>
      <c r="L602" s="50"/>
    </row>
    <row r="603" spans="1:12" ht="15.75" customHeight="1" x14ac:dyDescent="0.3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64"/>
      <c r="L603" s="50"/>
    </row>
    <row r="604" spans="1:12" ht="15.75" customHeight="1" x14ac:dyDescent="0.3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64"/>
      <c r="L604" s="50"/>
    </row>
    <row r="605" spans="1:12" ht="15.75" customHeight="1" x14ac:dyDescent="0.3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64"/>
      <c r="L605" s="50"/>
    </row>
    <row r="606" spans="1:12" ht="15.75" customHeight="1" x14ac:dyDescent="0.3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64"/>
      <c r="L606" s="50"/>
    </row>
    <row r="607" spans="1:12" ht="15.75" customHeight="1" x14ac:dyDescent="0.3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64"/>
      <c r="L607" s="50"/>
    </row>
    <row r="608" spans="1:12" ht="15.75" customHeight="1" x14ac:dyDescent="0.3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64"/>
      <c r="L608" s="50"/>
    </row>
    <row r="609" spans="1:12" ht="15.75" customHeight="1" x14ac:dyDescent="0.3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64"/>
      <c r="L609" s="50"/>
    </row>
    <row r="610" spans="1:12" ht="15.75" customHeight="1" x14ac:dyDescent="0.3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64"/>
      <c r="L610" s="50"/>
    </row>
    <row r="611" spans="1:12" ht="15.75" customHeight="1" x14ac:dyDescent="0.3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64"/>
      <c r="L611" s="50"/>
    </row>
    <row r="612" spans="1:12" ht="15.75" customHeight="1" x14ac:dyDescent="0.3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64"/>
      <c r="L612" s="50"/>
    </row>
    <row r="613" spans="1:12" ht="15.75" customHeight="1" x14ac:dyDescent="0.3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64"/>
      <c r="L613" s="50"/>
    </row>
    <row r="614" spans="1:12" ht="15.75" customHeight="1" x14ac:dyDescent="0.3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64"/>
      <c r="L614" s="50"/>
    </row>
    <row r="615" spans="1:12" ht="15.75" customHeight="1" x14ac:dyDescent="0.3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64"/>
      <c r="L615" s="50"/>
    </row>
    <row r="616" spans="1:12" ht="15.75" customHeight="1" x14ac:dyDescent="0.3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64"/>
      <c r="L616" s="50"/>
    </row>
    <row r="617" spans="1:12" ht="15.75" customHeight="1" x14ac:dyDescent="0.3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64"/>
      <c r="L617" s="50"/>
    </row>
    <row r="618" spans="1:12" ht="15.75" customHeight="1" x14ac:dyDescent="0.3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64"/>
      <c r="L618" s="50"/>
    </row>
    <row r="619" spans="1:12" ht="15.75" customHeight="1" x14ac:dyDescent="0.3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64"/>
      <c r="L619" s="50"/>
    </row>
    <row r="620" spans="1:12" ht="15.75" customHeight="1" x14ac:dyDescent="0.3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64"/>
      <c r="L620" s="50"/>
    </row>
    <row r="621" spans="1:12" ht="15.75" customHeight="1" x14ac:dyDescent="0.3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64"/>
      <c r="L621" s="50"/>
    </row>
    <row r="622" spans="1:12" ht="15.75" customHeight="1" x14ac:dyDescent="0.3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64"/>
      <c r="L622" s="50"/>
    </row>
    <row r="623" spans="1:12" ht="15.75" customHeight="1" x14ac:dyDescent="0.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64"/>
      <c r="L623" s="50"/>
    </row>
    <row r="624" spans="1:12" ht="15.75" customHeight="1" x14ac:dyDescent="0.3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64"/>
      <c r="L624" s="50"/>
    </row>
    <row r="625" spans="1:12" ht="15.75" customHeight="1" x14ac:dyDescent="0.3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64"/>
      <c r="L625" s="50"/>
    </row>
    <row r="626" spans="1:12" ht="15.75" customHeight="1" x14ac:dyDescent="0.3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64"/>
      <c r="L626" s="50"/>
    </row>
    <row r="627" spans="1:12" ht="15.75" customHeight="1" x14ac:dyDescent="0.3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64"/>
      <c r="L627" s="50"/>
    </row>
    <row r="628" spans="1:12" ht="15.75" customHeight="1" x14ac:dyDescent="0.3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64"/>
      <c r="L628" s="50"/>
    </row>
    <row r="629" spans="1:12" ht="15.75" customHeight="1" x14ac:dyDescent="0.3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64"/>
      <c r="L629" s="50"/>
    </row>
    <row r="630" spans="1:12" ht="15.75" customHeight="1" x14ac:dyDescent="0.3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64"/>
      <c r="L630" s="50"/>
    </row>
    <row r="631" spans="1:12" ht="15.75" customHeight="1" x14ac:dyDescent="0.3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64"/>
      <c r="L631" s="50"/>
    </row>
    <row r="632" spans="1:12" ht="15.75" customHeight="1" x14ac:dyDescent="0.3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64"/>
      <c r="L632" s="50"/>
    </row>
    <row r="633" spans="1:12" ht="15.75" customHeight="1" x14ac:dyDescent="0.3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64"/>
      <c r="L633" s="50"/>
    </row>
    <row r="634" spans="1:12" ht="15.75" customHeight="1" x14ac:dyDescent="0.3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64"/>
      <c r="L634" s="50"/>
    </row>
    <row r="635" spans="1:12" ht="15.75" customHeight="1" x14ac:dyDescent="0.3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64"/>
      <c r="L635" s="50"/>
    </row>
    <row r="636" spans="1:12" ht="15.75" customHeight="1" x14ac:dyDescent="0.3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64"/>
      <c r="L636" s="50"/>
    </row>
    <row r="637" spans="1:12" ht="15.75" customHeight="1" x14ac:dyDescent="0.3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64"/>
      <c r="L637" s="50"/>
    </row>
    <row r="638" spans="1:12" ht="15.75" customHeight="1" x14ac:dyDescent="0.3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64"/>
      <c r="L638" s="50"/>
    </row>
    <row r="639" spans="1:12" ht="15.75" customHeight="1" x14ac:dyDescent="0.3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64"/>
      <c r="L639" s="50"/>
    </row>
    <row r="640" spans="1:12" ht="15.75" customHeight="1" x14ac:dyDescent="0.3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64"/>
      <c r="L640" s="50"/>
    </row>
    <row r="641" spans="1:12" ht="15.75" customHeight="1" x14ac:dyDescent="0.3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64"/>
      <c r="L641" s="50"/>
    </row>
    <row r="642" spans="1:12" ht="15.75" customHeight="1" x14ac:dyDescent="0.3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64"/>
      <c r="L642" s="50"/>
    </row>
    <row r="643" spans="1:12" ht="15.75" customHeight="1" x14ac:dyDescent="0.3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64"/>
      <c r="L643" s="50"/>
    </row>
    <row r="644" spans="1:12" ht="15.75" customHeight="1" x14ac:dyDescent="0.3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64"/>
      <c r="L644" s="50"/>
    </row>
    <row r="645" spans="1:12" ht="15.75" customHeight="1" x14ac:dyDescent="0.3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64"/>
      <c r="L645" s="50"/>
    </row>
    <row r="646" spans="1:12" ht="15.75" customHeight="1" x14ac:dyDescent="0.3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64"/>
      <c r="L646" s="50"/>
    </row>
    <row r="647" spans="1:12" ht="15.75" customHeight="1" x14ac:dyDescent="0.3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64"/>
      <c r="L647" s="50"/>
    </row>
    <row r="648" spans="1:12" ht="15.75" customHeight="1" x14ac:dyDescent="0.3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64"/>
      <c r="L648" s="50"/>
    </row>
    <row r="649" spans="1:12" ht="15.75" customHeight="1" x14ac:dyDescent="0.3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64"/>
      <c r="L649" s="50"/>
    </row>
    <row r="650" spans="1:12" ht="15.75" customHeight="1" x14ac:dyDescent="0.3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64"/>
      <c r="L650" s="50"/>
    </row>
    <row r="651" spans="1:12" ht="15.75" customHeight="1" x14ac:dyDescent="0.3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64"/>
      <c r="L651" s="50"/>
    </row>
    <row r="652" spans="1:12" ht="15.75" customHeight="1" x14ac:dyDescent="0.3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64"/>
      <c r="L652" s="50"/>
    </row>
    <row r="653" spans="1:12" ht="15.75" customHeight="1" x14ac:dyDescent="0.3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64"/>
      <c r="L653" s="50"/>
    </row>
    <row r="654" spans="1:12" ht="15.75" customHeight="1" x14ac:dyDescent="0.3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64"/>
      <c r="L654" s="50"/>
    </row>
    <row r="655" spans="1:12" ht="15.75" customHeight="1" x14ac:dyDescent="0.3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64"/>
      <c r="L655" s="50"/>
    </row>
    <row r="656" spans="1:12" ht="15.75" customHeight="1" x14ac:dyDescent="0.3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64"/>
      <c r="L656" s="50"/>
    </row>
    <row r="657" spans="1:12" ht="15.75" customHeight="1" x14ac:dyDescent="0.3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64"/>
      <c r="L657" s="50"/>
    </row>
    <row r="658" spans="1:12" ht="15.75" customHeight="1" x14ac:dyDescent="0.3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64"/>
      <c r="L658" s="50"/>
    </row>
    <row r="659" spans="1:12" ht="15.75" customHeight="1" x14ac:dyDescent="0.3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64"/>
      <c r="L659" s="50"/>
    </row>
    <row r="660" spans="1:12" ht="15.75" customHeight="1" x14ac:dyDescent="0.3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64"/>
      <c r="L660" s="50"/>
    </row>
    <row r="661" spans="1:12" ht="15.75" customHeight="1" x14ac:dyDescent="0.3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64"/>
      <c r="L661" s="50"/>
    </row>
    <row r="662" spans="1:12" ht="15.75" customHeight="1" x14ac:dyDescent="0.3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64"/>
      <c r="L662" s="50"/>
    </row>
    <row r="663" spans="1:12" ht="15.75" customHeight="1" x14ac:dyDescent="0.3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64"/>
      <c r="L663" s="50"/>
    </row>
    <row r="664" spans="1:12" ht="15.75" customHeight="1" x14ac:dyDescent="0.3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64"/>
      <c r="L664" s="50"/>
    </row>
    <row r="665" spans="1:12" ht="15.75" customHeight="1" x14ac:dyDescent="0.3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64"/>
      <c r="L665" s="50"/>
    </row>
    <row r="666" spans="1:12" ht="15.75" customHeight="1" x14ac:dyDescent="0.3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64"/>
      <c r="L666" s="50"/>
    </row>
    <row r="667" spans="1:12" ht="15.75" customHeight="1" x14ac:dyDescent="0.3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64"/>
      <c r="L667" s="50"/>
    </row>
    <row r="668" spans="1:12" ht="15.75" customHeight="1" x14ac:dyDescent="0.3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64"/>
      <c r="L668" s="50"/>
    </row>
    <row r="669" spans="1:12" ht="15.75" customHeight="1" x14ac:dyDescent="0.3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64"/>
      <c r="L669" s="50"/>
    </row>
    <row r="670" spans="1:12" ht="15.75" customHeight="1" x14ac:dyDescent="0.3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64"/>
      <c r="L670" s="50"/>
    </row>
    <row r="671" spans="1:12" ht="15.75" customHeight="1" x14ac:dyDescent="0.3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64"/>
      <c r="L671" s="50"/>
    </row>
    <row r="672" spans="1:12" ht="15.75" customHeight="1" x14ac:dyDescent="0.3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64"/>
      <c r="L672" s="50"/>
    </row>
    <row r="673" spans="1:12" ht="15.75" customHeight="1" x14ac:dyDescent="0.3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64"/>
      <c r="L673" s="50"/>
    </row>
    <row r="674" spans="1:12" ht="15.75" customHeight="1" x14ac:dyDescent="0.3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64"/>
      <c r="L674" s="50"/>
    </row>
    <row r="675" spans="1:12" ht="15.75" customHeight="1" x14ac:dyDescent="0.3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64"/>
      <c r="L675" s="50"/>
    </row>
    <row r="676" spans="1:12" ht="15.75" customHeight="1" x14ac:dyDescent="0.3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64"/>
      <c r="L676" s="50"/>
    </row>
    <row r="677" spans="1:12" ht="15.75" customHeight="1" x14ac:dyDescent="0.3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64"/>
      <c r="L677" s="50"/>
    </row>
    <row r="678" spans="1:12" ht="15.75" customHeight="1" x14ac:dyDescent="0.3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64"/>
      <c r="L678" s="50"/>
    </row>
    <row r="679" spans="1:12" ht="15.75" customHeight="1" x14ac:dyDescent="0.3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64"/>
      <c r="L679" s="50"/>
    </row>
    <row r="680" spans="1:12" ht="15.75" customHeight="1" x14ac:dyDescent="0.3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64"/>
      <c r="L680" s="50"/>
    </row>
    <row r="681" spans="1:12" ht="15.75" customHeight="1" x14ac:dyDescent="0.3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64"/>
      <c r="L681" s="50"/>
    </row>
    <row r="682" spans="1:12" ht="15.75" customHeight="1" x14ac:dyDescent="0.3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64"/>
      <c r="L682" s="50"/>
    </row>
    <row r="683" spans="1:12" ht="15.75" customHeight="1" x14ac:dyDescent="0.3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64"/>
      <c r="L683" s="50"/>
    </row>
    <row r="684" spans="1:12" ht="15.75" customHeight="1" x14ac:dyDescent="0.3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64"/>
      <c r="L684" s="50"/>
    </row>
    <row r="685" spans="1:12" ht="15.75" customHeight="1" x14ac:dyDescent="0.3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64"/>
      <c r="L685" s="50"/>
    </row>
    <row r="686" spans="1:12" ht="15.75" customHeight="1" x14ac:dyDescent="0.3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64"/>
      <c r="L686" s="50"/>
    </row>
    <row r="687" spans="1:12" ht="15.75" customHeight="1" x14ac:dyDescent="0.3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64"/>
      <c r="L687" s="50"/>
    </row>
    <row r="688" spans="1:12" ht="15.75" customHeight="1" x14ac:dyDescent="0.3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64"/>
      <c r="L688" s="50"/>
    </row>
    <row r="689" spans="1:12" ht="15.75" customHeight="1" x14ac:dyDescent="0.3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64"/>
      <c r="L689" s="50"/>
    </row>
    <row r="690" spans="1:12" ht="15.75" customHeight="1" x14ac:dyDescent="0.3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64"/>
      <c r="L690" s="50"/>
    </row>
    <row r="691" spans="1:12" ht="15.75" customHeight="1" x14ac:dyDescent="0.3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64"/>
      <c r="L691" s="50"/>
    </row>
    <row r="692" spans="1:12" ht="15.75" customHeight="1" x14ac:dyDescent="0.3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64"/>
      <c r="L692" s="50"/>
    </row>
    <row r="693" spans="1:12" ht="15.75" customHeight="1" x14ac:dyDescent="0.3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64"/>
      <c r="L693" s="50"/>
    </row>
    <row r="694" spans="1:12" ht="15.75" customHeight="1" x14ac:dyDescent="0.3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64"/>
      <c r="L694" s="50"/>
    </row>
    <row r="695" spans="1:12" ht="15.75" customHeight="1" x14ac:dyDescent="0.3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64"/>
      <c r="L695" s="50"/>
    </row>
    <row r="696" spans="1:12" ht="15.75" customHeight="1" x14ac:dyDescent="0.3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64"/>
      <c r="L696" s="50"/>
    </row>
    <row r="697" spans="1:12" ht="15.75" customHeight="1" x14ac:dyDescent="0.3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64"/>
      <c r="L697" s="50"/>
    </row>
    <row r="698" spans="1:12" ht="15.75" customHeight="1" x14ac:dyDescent="0.3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64"/>
      <c r="L698" s="50"/>
    </row>
    <row r="699" spans="1:12" ht="15.75" customHeight="1" x14ac:dyDescent="0.3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64"/>
      <c r="L699" s="50"/>
    </row>
    <row r="700" spans="1:12" ht="15.75" customHeight="1" x14ac:dyDescent="0.3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64"/>
      <c r="L700" s="50"/>
    </row>
    <row r="701" spans="1:12" ht="15.75" customHeight="1" x14ac:dyDescent="0.3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64"/>
      <c r="L701" s="50"/>
    </row>
    <row r="702" spans="1:12" ht="15.75" customHeight="1" x14ac:dyDescent="0.3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64"/>
      <c r="L702" s="50"/>
    </row>
    <row r="703" spans="1:12" ht="15.75" customHeight="1" x14ac:dyDescent="0.3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64"/>
      <c r="L703" s="50"/>
    </row>
    <row r="704" spans="1:12" ht="15.75" customHeight="1" x14ac:dyDescent="0.3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64"/>
      <c r="L704" s="50"/>
    </row>
    <row r="705" spans="1:12" ht="15.75" customHeight="1" x14ac:dyDescent="0.3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64"/>
      <c r="L705" s="50"/>
    </row>
    <row r="706" spans="1:12" ht="15.75" customHeight="1" x14ac:dyDescent="0.3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64"/>
      <c r="L706" s="50"/>
    </row>
    <row r="707" spans="1:12" ht="15.75" customHeight="1" x14ac:dyDescent="0.3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64"/>
      <c r="L707" s="50"/>
    </row>
    <row r="708" spans="1:12" ht="15.75" customHeight="1" x14ac:dyDescent="0.3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64"/>
      <c r="L708" s="50"/>
    </row>
    <row r="709" spans="1:12" ht="15.75" customHeight="1" x14ac:dyDescent="0.3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64"/>
      <c r="L709" s="50"/>
    </row>
    <row r="710" spans="1:12" ht="15.75" customHeight="1" x14ac:dyDescent="0.3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64"/>
      <c r="L710" s="50"/>
    </row>
    <row r="711" spans="1:12" ht="15.75" customHeight="1" x14ac:dyDescent="0.3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64"/>
      <c r="L711" s="50"/>
    </row>
    <row r="712" spans="1:12" ht="15.75" customHeight="1" x14ac:dyDescent="0.3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64"/>
      <c r="L712" s="50"/>
    </row>
    <row r="713" spans="1:12" ht="15.75" customHeight="1" x14ac:dyDescent="0.3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64"/>
      <c r="L713" s="50"/>
    </row>
    <row r="714" spans="1:12" ht="15.75" customHeight="1" x14ac:dyDescent="0.3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64"/>
      <c r="L714" s="50"/>
    </row>
    <row r="715" spans="1:12" ht="15.75" customHeight="1" x14ac:dyDescent="0.3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64"/>
      <c r="L715" s="50"/>
    </row>
    <row r="716" spans="1:12" ht="15.75" customHeight="1" x14ac:dyDescent="0.3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64"/>
      <c r="L716" s="50"/>
    </row>
    <row r="717" spans="1:12" ht="15.75" customHeight="1" x14ac:dyDescent="0.3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64"/>
      <c r="L717" s="50"/>
    </row>
    <row r="718" spans="1:12" ht="15.75" customHeight="1" x14ac:dyDescent="0.3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64"/>
      <c r="L718" s="50"/>
    </row>
    <row r="719" spans="1:12" ht="15.75" customHeight="1" x14ac:dyDescent="0.3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64"/>
      <c r="L719" s="50"/>
    </row>
    <row r="720" spans="1:12" ht="15.75" customHeight="1" x14ac:dyDescent="0.3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64"/>
      <c r="L720" s="50"/>
    </row>
    <row r="721" spans="1:12" ht="15.75" customHeight="1" x14ac:dyDescent="0.3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64"/>
      <c r="L721" s="50"/>
    </row>
    <row r="722" spans="1:12" ht="15.75" customHeight="1" x14ac:dyDescent="0.3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64"/>
      <c r="L722" s="50"/>
    </row>
    <row r="723" spans="1:12" ht="15.75" customHeight="1" x14ac:dyDescent="0.3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64"/>
      <c r="L723" s="50"/>
    </row>
    <row r="724" spans="1:12" ht="15.75" customHeight="1" x14ac:dyDescent="0.3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64"/>
      <c r="L724" s="50"/>
    </row>
    <row r="725" spans="1:12" ht="15.75" customHeight="1" x14ac:dyDescent="0.3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64"/>
      <c r="L725" s="50"/>
    </row>
    <row r="726" spans="1:12" ht="15.75" customHeight="1" x14ac:dyDescent="0.3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64"/>
      <c r="L726" s="50"/>
    </row>
    <row r="727" spans="1:12" ht="15.75" customHeight="1" x14ac:dyDescent="0.3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64"/>
      <c r="L727" s="50"/>
    </row>
    <row r="728" spans="1:12" ht="15.75" customHeight="1" x14ac:dyDescent="0.3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64"/>
      <c r="L728" s="50"/>
    </row>
    <row r="729" spans="1:12" ht="15.75" customHeight="1" x14ac:dyDescent="0.3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64"/>
      <c r="L729" s="50"/>
    </row>
    <row r="730" spans="1:12" ht="15.75" customHeight="1" x14ac:dyDescent="0.3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64"/>
      <c r="L730" s="50"/>
    </row>
    <row r="731" spans="1:12" ht="15.75" customHeight="1" x14ac:dyDescent="0.3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64"/>
      <c r="L731" s="50"/>
    </row>
    <row r="732" spans="1:12" ht="15.75" customHeight="1" x14ac:dyDescent="0.3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64"/>
      <c r="L732" s="50"/>
    </row>
    <row r="733" spans="1:12" ht="15.75" customHeight="1" x14ac:dyDescent="0.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64"/>
      <c r="L733" s="50"/>
    </row>
    <row r="734" spans="1:12" ht="15.75" customHeight="1" x14ac:dyDescent="0.3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64"/>
      <c r="L734" s="50"/>
    </row>
    <row r="735" spans="1:12" ht="15.75" customHeight="1" x14ac:dyDescent="0.3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64"/>
      <c r="L735" s="50"/>
    </row>
    <row r="736" spans="1:12" ht="15.75" customHeight="1" x14ac:dyDescent="0.3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64"/>
      <c r="L736" s="50"/>
    </row>
    <row r="737" spans="1:12" ht="15.75" customHeight="1" x14ac:dyDescent="0.3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64"/>
      <c r="L737" s="50"/>
    </row>
    <row r="738" spans="1:12" ht="15.75" customHeight="1" x14ac:dyDescent="0.3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64"/>
      <c r="L738" s="50"/>
    </row>
    <row r="739" spans="1:12" ht="15.75" customHeight="1" x14ac:dyDescent="0.3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64"/>
      <c r="L739" s="50"/>
    </row>
    <row r="740" spans="1:12" ht="15.75" customHeight="1" x14ac:dyDescent="0.3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64"/>
      <c r="L740" s="50"/>
    </row>
    <row r="741" spans="1:12" ht="15.75" customHeight="1" x14ac:dyDescent="0.3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64"/>
      <c r="L741" s="50"/>
    </row>
    <row r="742" spans="1:12" ht="15.75" customHeight="1" x14ac:dyDescent="0.3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64"/>
      <c r="L742" s="50"/>
    </row>
    <row r="743" spans="1:12" ht="15.75" customHeight="1" x14ac:dyDescent="0.3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64"/>
      <c r="L743" s="50"/>
    </row>
    <row r="744" spans="1:12" ht="15.75" customHeight="1" x14ac:dyDescent="0.3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64"/>
      <c r="L744" s="50"/>
    </row>
    <row r="745" spans="1:12" ht="15.75" customHeight="1" x14ac:dyDescent="0.3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64"/>
      <c r="L745" s="50"/>
    </row>
    <row r="746" spans="1:12" ht="15.75" customHeight="1" x14ac:dyDescent="0.3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64"/>
      <c r="L746" s="50"/>
    </row>
    <row r="747" spans="1:12" ht="15.75" customHeight="1" x14ac:dyDescent="0.3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64"/>
      <c r="L747" s="50"/>
    </row>
    <row r="748" spans="1:12" ht="15.75" customHeight="1" x14ac:dyDescent="0.3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64"/>
      <c r="L748" s="50"/>
    </row>
    <row r="749" spans="1:12" ht="15.75" customHeight="1" x14ac:dyDescent="0.3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64"/>
      <c r="L749" s="50"/>
    </row>
    <row r="750" spans="1:12" ht="15.75" customHeight="1" x14ac:dyDescent="0.3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64"/>
      <c r="L750" s="50"/>
    </row>
    <row r="751" spans="1:12" ht="15.75" customHeight="1" x14ac:dyDescent="0.3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64"/>
      <c r="L751" s="50"/>
    </row>
    <row r="752" spans="1:12" ht="15.75" customHeight="1" x14ac:dyDescent="0.3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64"/>
      <c r="L752" s="50"/>
    </row>
    <row r="753" spans="1:12" ht="15.75" customHeight="1" x14ac:dyDescent="0.3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64"/>
      <c r="L753" s="50"/>
    </row>
    <row r="754" spans="1:12" ht="15.75" customHeight="1" x14ac:dyDescent="0.3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64"/>
      <c r="L754" s="50"/>
    </row>
    <row r="755" spans="1:12" ht="15.75" customHeight="1" x14ac:dyDescent="0.3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64"/>
      <c r="L755" s="50"/>
    </row>
    <row r="756" spans="1:12" ht="15.75" customHeight="1" x14ac:dyDescent="0.3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64"/>
      <c r="L756" s="50"/>
    </row>
    <row r="757" spans="1:12" ht="15.75" customHeight="1" x14ac:dyDescent="0.3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64"/>
      <c r="L757" s="50"/>
    </row>
    <row r="758" spans="1:12" ht="15.75" customHeight="1" x14ac:dyDescent="0.3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64"/>
      <c r="L758" s="50"/>
    </row>
    <row r="759" spans="1:12" ht="15.75" customHeight="1" x14ac:dyDescent="0.3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64"/>
      <c r="L759" s="50"/>
    </row>
    <row r="760" spans="1:12" ht="15.75" customHeight="1" x14ac:dyDescent="0.3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64"/>
      <c r="L760" s="50"/>
    </row>
    <row r="761" spans="1:12" ht="15.75" customHeight="1" x14ac:dyDescent="0.3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64"/>
      <c r="L761" s="50"/>
    </row>
    <row r="762" spans="1:12" ht="15.75" customHeight="1" x14ac:dyDescent="0.3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64"/>
      <c r="L762" s="50"/>
    </row>
    <row r="763" spans="1:12" ht="15.75" customHeight="1" x14ac:dyDescent="0.3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64"/>
      <c r="L763" s="50"/>
    </row>
    <row r="764" spans="1:12" ht="15.75" customHeight="1" x14ac:dyDescent="0.3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64"/>
      <c r="L764" s="50"/>
    </row>
    <row r="765" spans="1:12" ht="15.75" customHeight="1" x14ac:dyDescent="0.3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64"/>
      <c r="L765" s="50"/>
    </row>
    <row r="766" spans="1:12" ht="15.75" customHeight="1" x14ac:dyDescent="0.3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64"/>
      <c r="L766" s="50"/>
    </row>
    <row r="767" spans="1:12" ht="15.75" customHeight="1" x14ac:dyDescent="0.3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64"/>
      <c r="L767" s="50"/>
    </row>
    <row r="768" spans="1:12" ht="15.75" customHeight="1" x14ac:dyDescent="0.3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64"/>
      <c r="L768" s="50"/>
    </row>
    <row r="769" spans="1:12" ht="15.75" customHeight="1" x14ac:dyDescent="0.3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64"/>
      <c r="L769" s="50"/>
    </row>
    <row r="770" spans="1:12" ht="15.75" customHeight="1" x14ac:dyDescent="0.3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64"/>
      <c r="L770" s="50"/>
    </row>
    <row r="771" spans="1:12" ht="15.75" customHeight="1" x14ac:dyDescent="0.3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64"/>
      <c r="L771" s="50"/>
    </row>
    <row r="772" spans="1:12" ht="15.75" customHeight="1" x14ac:dyDescent="0.3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64"/>
      <c r="L772" s="50"/>
    </row>
    <row r="773" spans="1:12" ht="15.75" customHeight="1" x14ac:dyDescent="0.3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64"/>
      <c r="L773" s="50"/>
    </row>
    <row r="774" spans="1:12" ht="15.75" customHeight="1" x14ac:dyDescent="0.3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64"/>
      <c r="L774" s="50"/>
    </row>
    <row r="775" spans="1:12" ht="15.75" customHeight="1" x14ac:dyDescent="0.3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64"/>
      <c r="L775" s="50"/>
    </row>
    <row r="776" spans="1:12" ht="15.75" customHeight="1" x14ac:dyDescent="0.3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64"/>
      <c r="L776" s="50"/>
    </row>
    <row r="777" spans="1:12" ht="15.75" customHeight="1" x14ac:dyDescent="0.3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64"/>
      <c r="L777" s="50"/>
    </row>
    <row r="778" spans="1:12" ht="15.75" customHeight="1" x14ac:dyDescent="0.3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64"/>
      <c r="L778" s="50"/>
    </row>
    <row r="779" spans="1:12" ht="15.75" customHeight="1" x14ac:dyDescent="0.3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64"/>
      <c r="L779" s="50"/>
    </row>
    <row r="780" spans="1:12" ht="15.75" customHeight="1" x14ac:dyDescent="0.3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64"/>
      <c r="L780" s="50"/>
    </row>
    <row r="781" spans="1:12" ht="15.75" customHeight="1" x14ac:dyDescent="0.3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64"/>
      <c r="L781" s="50"/>
    </row>
    <row r="782" spans="1:12" ht="15.75" customHeight="1" x14ac:dyDescent="0.3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64"/>
      <c r="L782" s="50"/>
    </row>
    <row r="783" spans="1:12" ht="15.75" customHeight="1" x14ac:dyDescent="0.3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64"/>
      <c r="L783" s="50"/>
    </row>
    <row r="784" spans="1:12" ht="15.75" customHeight="1" x14ac:dyDescent="0.3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64"/>
      <c r="L784" s="50"/>
    </row>
    <row r="785" spans="1:12" ht="15.75" customHeight="1" x14ac:dyDescent="0.3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64"/>
      <c r="L785" s="50"/>
    </row>
    <row r="786" spans="1:12" ht="15.75" customHeight="1" x14ac:dyDescent="0.3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64"/>
      <c r="L786" s="50"/>
    </row>
    <row r="787" spans="1:12" ht="15.75" customHeight="1" x14ac:dyDescent="0.3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64"/>
      <c r="L787" s="50"/>
    </row>
    <row r="788" spans="1:12" ht="15.75" customHeight="1" x14ac:dyDescent="0.3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64"/>
      <c r="L788" s="50"/>
    </row>
    <row r="789" spans="1:12" ht="15.75" customHeight="1" x14ac:dyDescent="0.3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64"/>
      <c r="L789" s="50"/>
    </row>
    <row r="790" spans="1:12" ht="15.75" customHeight="1" x14ac:dyDescent="0.3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64"/>
      <c r="L790" s="50"/>
    </row>
    <row r="791" spans="1:12" ht="15.75" customHeight="1" x14ac:dyDescent="0.3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64"/>
      <c r="L791" s="50"/>
    </row>
    <row r="792" spans="1:12" ht="15.75" customHeight="1" x14ac:dyDescent="0.3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64"/>
      <c r="L792" s="50"/>
    </row>
    <row r="793" spans="1:12" ht="15.75" customHeight="1" x14ac:dyDescent="0.3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64"/>
      <c r="L793" s="50"/>
    </row>
    <row r="794" spans="1:12" ht="15.75" customHeight="1" x14ac:dyDescent="0.3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64"/>
      <c r="L794" s="50"/>
    </row>
    <row r="795" spans="1:12" ht="15.75" customHeight="1" x14ac:dyDescent="0.3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64"/>
      <c r="L795" s="50"/>
    </row>
    <row r="796" spans="1:12" ht="15.75" customHeight="1" x14ac:dyDescent="0.3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64"/>
      <c r="L796" s="50"/>
    </row>
    <row r="797" spans="1:12" ht="15.75" customHeight="1" x14ac:dyDescent="0.3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64"/>
      <c r="L797" s="50"/>
    </row>
    <row r="798" spans="1:12" ht="15.75" customHeight="1" x14ac:dyDescent="0.3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64"/>
      <c r="L798" s="50"/>
    </row>
    <row r="799" spans="1:12" ht="15.75" customHeight="1" x14ac:dyDescent="0.3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64"/>
      <c r="L799" s="50"/>
    </row>
    <row r="800" spans="1:12" ht="15.75" customHeight="1" x14ac:dyDescent="0.3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64"/>
      <c r="L800" s="50"/>
    </row>
    <row r="801" spans="1:12" ht="15.75" customHeight="1" x14ac:dyDescent="0.3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64"/>
      <c r="L801" s="50"/>
    </row>
    <row r="802" spans="1:12" ht="15.75" customHeight="1" x14ac:dyDescent="0.3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64"/>
      <c r="L802" s="50"/>
    </row>
    <row r="803" spans="1:12" ht="15.75" customHeight="1" x14ac:dyDescent="0.3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64"/>
      <c r="L803" s="50"/>
    </row>
    <row r="804" spans="1:12" ht="15.75" customHeight="1" x14ac:dyDescent="0.3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64"/>
      <c r="L804" s="50"/>
    </row>
    <row r="805" spans="1:12" ht="15.75" customHeight="1" x14ac:dyDescent="0.3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64"/>
      <c r="L805" s="50"/>
    </row>
    <row r="806" spans="1:12" ht="15.75" customHeight="1" x14ac:dyDescent="0.3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64"/>
      <c r="L806" s="50"/>
    </row>
    <row r="807" spans="1:12" ht="15.75" customHeight="1" x14ac:dyDescent="0.3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64"/>
      <c r="L807" s="50"/>
    </row>
    <row r="808" spans="1:12" ht="15.75" customHeight="1" x14ac:dyDescent="0.3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64"/>
      <c r="L808" s="50"/>
    </row>
    <row r="809" spans="1:12" ht="15.75" customHeight="1" x14ac:dyDescent="0.3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64"/>
      <c r="L809" s="50"/>
    </row>
    <row r="810" spans="1:12" ht="15.75" customHeight="1" x14ac:dyDescent="0.3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64"/>
      <c r="L810" s="50"/>
    </row>
    <row r="811" spans="1:12" ht="15.75" customHeight="1" x14ac:dyDescent="0.3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64"/>
      <c r="L811" s="50"/>
    </row>
    <row r="812" spans="1:12" ht="15.75" customHeight="1" x14ac:dyDescent="0.3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64"/>
      <c r="L812" s="50"/>
    </row>
    <row r="813" spans="1:12" ht="15.75" customHeight="1" x14ac:dyDescent="0.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64"/>
      <c r="L813" s="50"/>
    </row>
    <row r="814" spans="1:12" ht="15.75" customHeight="1" x14ac:dyDescent="0.3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64"/>
      <c r="L814" s="50"/>
    </row>
    <row r="815" spans="1:12" ht="15.75" customHeight="1" x14ac:dyDescent="0.3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64"/>
      <c r="L815" s="50"/>
    </row>
    <row r="816" spans="1:12" ht="15.75" customHeight="1" x14ac:dyDescent="0.3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64"/>
      <c r="L816" s="50"/>
    </row>
    <row r="817" spans="1:12" ht="15.75" customHeight="1" x14ac:dyDescent="0.3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64"/>
      <c r="L817" s="50"/>
    </row>
    <row r="818" spans="1:12" ht="15.75" customHeight="1" x14ac:dyDescent="0.3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64"/>
      <c r="L818" s="50"/>
    </row>
    <row r="819" spans="1:12" ht="15.75" customHeight="1" x14ac:dyDescent="0.3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64"/>
      <c r="L819" s="50"/>
    </row>
    <row r="820" spans="1:12" ht="15.75" customHeight="1" x14ac:dyDescent="0.3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64"/>
      <c r="L820" s="50"/>
    </row>
    <row r="821" spans="1:12" ht="15.75" customHeight="1" x14ac:dyDescent="0.3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64"/>
      <c r="L821" s="50"/>
    </row>
    <row r="822" spans="1:12" ht="15.75" customHeight="1" x14ac:dyDescent="0.3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64"/>
      <c r="L822" s="50"/>
    </row>
    <row r="823" spans="1:12" ht="15.75" customHeight="1" x14ac:dyDescent="0.3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64"/>
      <c r="L823" s="50"/>
    </row>
    <row r="824" spans="1:12" ht="15.75" customHeight="1" x14ac:dyDescent="0.3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64"/>
      <c r="L824" s="50"/>
    </row>
    <row r="825" spans="1:12" ht="15.75" customHeight="1" x14ac:dyDescent="0.3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64"/>
      <c r="L825" s="50"/>
    </row>
    <row r="826" spans="1:12" ht="15.75" customHeight="1" x14ac:dyDescent="0.3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64"/>
      <c r="L826" s="50"/>
    </row>
    <row r="827" spans="1:12" ht="15.75" customHeight="1" x14ac:dyDescent="0.3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64"/>
      <c r="L827" s="50"/>
    </row>
    <row r="828" spans="1:12" ht="15.75" customHeight="1" x14ac:dyDescent="0.3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64"/>
      <c r="L828" s="50"/>
    </row>
    <row r="829" spans="1:12" ht="15.75" customHeight="1" x14ac:dyDescent="0.3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64"/>
      <c r="L829" s="50"/>
    </row>
    <row r="830" spans="1:12" ht="15.75" customHeight="1" x14ac:dyDescent="0.3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64"/>
      <c r="L830" s="50"/>
    </row>
    <row r="831" spans="1:12" ht="15.75" customHeight="1" x14ac:dyDescent="0.3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64"/>
      <c r="L831" s="50"/>
    </row>
    <row r="832" spans="1:12" ht="15.75" customHeight="1" x14ac:dyDescent="0.3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64"/>
      <c r="L832" s="50"/>
    </row>
    <row r="833" spans="1:12" ht="15.75" customHeight="1" x14ac:dyDescent="0.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64"/>
      <c r="L833" s="50"/>
    </row>
    <row r="834" spans="1:12" ht="15.75" customHeight="1" x14ac:dyDescent="0.3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64"/>
      <c r="L834" s="50"/>
    </row>
    <row r="835" spans="1:12" ht="15.75" customHeight="1" x14ac:dyDescent="0.3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64"/>
      <c r="L835" s="50"/>
    </row>
    <row r="836" spans="1:12" ht="15.75" customHeight="1" x14ac:dyDescent="0.3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64"/>
      <c r="L836" s="50"/>
    </row>
    <row r="837" spans="1:12" ht="15.75" customHeight="1" x14ac:dyDescent="0.3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64"/>
      <c r="L837" s="50"/>
    </row>
    <row r="838" spans="1:12" ht="15.75" customHeight="1" x14ac:dyDescent="0.3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64"/>
      <c r="L838" s="50"/>
    </row>
    <row r="839" spans="1:12" ht="15.75" customHeight="1" x14ac:dyDescent="0.3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64"/>
      <c r="L839" s="50"/>
    </row>
    <row r="840" spans="1:12" ht="15.75" customHeight="1" x14ac:dyDescent="0.3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64"/>
      <c r="L840" s="50"/>
    </row>
    <row r="841" spans="1:12" ht="15.75" customHeight="1" x14ac:dyDescent="0.3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64"/>
      <c r="L841" s="50"/>
    </row>
    <row r="842" spans="1:12" ht="15.75" customHeight="1" x14ac:dyDescent="0.3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64"/>
      <c r="L842" s="50"/>
    </row>
    <row r="843" spans="1:12" ht="15.75" customHeight="1" x14ac:dyDescent="0.3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64"/>
      <c r="L843" s="50"/>
    </row>
    <row r="844" spans="1:12" ht="15.75" customHeight="1" x14ac:dyDescent="0.3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64"/>
      <c r="L844" s="50"/>
    </row>
    <row r="845" spans="1:12" ht="15.75" customHeight="1" x14ac:dyDescent="0.3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64"/>
      <c r="L845" s="50"/>
    </row>
    <row r="846" spans="1:12" ht="15.75" customHeight="1" x14ac:dyDescent="0.3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64"/>
      <c r="L846" s="50"/>
    </row>
    <row r="847" spans="1:12" ht="15.75" customHeight="1" x14ac:dyDescent="0.3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64"/>
      <c r="L847" s="50"/>
    </row>
    <row r="848" spans="1:12" ht="15.75" customHeight="1" x14ac:dyDescent="0.3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64"/>
      <c r="L848" s="50"/>
    </row>
    <row r="849" spans="1:12" ht="15.75" customHeight="1" x14ac:dyDescent="0.3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64"/>
      <c r="L849" s="50"/>
    </row>
    <row r="850" spans="1:12" ht="15.75" customHeight="1" x14ac:dyDescent="0.3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64"/>
      <c r="L850" s="50"/>
    </row>
    <row r="851" spans="1:12" ht="15.75" customHeight="1" x14ac:dyDescent="0.3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64"/>
      <c r="L851" s="50"/>
    </row>
    <row r="852" spans="1:12" ht="15.75" customHeight="1" x14ac:dyDescent="0.3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64"/>
      <c r="L852" s="50"/>
    </row>
    <row r="853" spans="1:12" ht="15.75" customHeight="1" x14ac:dyDescent="0.3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64"/>
      <c r="L853" s="50"/>
    </row>
    <row r="854" spans="1:12" ht="15.75" customHeight="1" x14ac:dyDescent="0.3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64"/>
      <c r="L854" s="50"/>
    </row>
    <row r="855" spans="1:12" ht="15.75" customHeight="1" x14ac:dyDescent="0.3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64"/>
      <c r="L855" s="50"/>
    </row>
    <row r="856" spans="1:12" ht="15.75" customHeight="1" x14ac:dyDescent="0.3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64"/>
      <c r="L856" s="50"/>
    </row>
    <row r="857" spans="1:12" ht="15.75" customHeight="1" x14ac:dyDescent="0.3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64"/>
      <c r="L857" s="50"/>
    </row>
    <row r="858" spans="1:12" ht="15.75" customHeight="1" x14ac:dyDescent="0.3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64"/>
      <c r="L858" s="50"/>
    </row>
    <row r="859" spans="1:12" ht="15.75" customHeight="1" x14ac:dyDescent="0.3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64"/>
      <c r="L859" s="50"/>
    </row>
    <row r="860" spans="1:12" ht="15.75" customHeight="1" x14ac:dyDescent="0.3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64"/>
      <c r="L860" s="50"/>
    </row>
    <row r="861" spans="1:12" ht="15.75" customHeight="1" x14ac:dyDescent="0.3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64"/>
      <c r="L861" s="50"/>
    </row>
    <row r="862" spans="1:12" ht="15.75" customHeight="1" x14ac:dyDescent="0.3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64"/>
      <c r="L862" s="50"/>
    </row>
    <row r="863" spans="1:12" ht="15.75" customHeight="1" x14ac:dyDescent="0.3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64"/>
      <c r="L863" s="50"/>
    </row>
    <row r="864" spans="1:12" ht="15.75" customHeight="1" x14ac:dyDescent="0.3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64"/>
      <c r="L864" s="50"/>
    </row>
    <row r="865" spans="1:12" ht="15.75" customHeight="1" x14ac:dyDescent="0.3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64"/>
      <c r="L865" s="50"/>
    </row>
    <row r="866" spans="1:12" ht="15.75" customHeight="1" x14ac:dyDescent="0.3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64"/>
      <c r="L866" s="50"/>
    </row>
    <row r="867" spans="1:12" ht="15.75" customHeight="1" x14ac:dyDescent="0.3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64"/>
      <c r="L867" s="50"/>
    </row>
    <row r="868" spans="1:12" ht="15.75" customHeight="1" x14ac:dyDescent="0.3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64"/>
      <c r="L868" s="50"/>
    </row>
    <row r="869" spans="1:12" ht="15.75" customHeight="1" x14ac:dyDescent="0.3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64"/>
      <c r="L869" s="50"/>
    </row>
    <row r="870" spans="1:12" ht="15.75" customHeight="1" x14ac:dyDescent="0.3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64"/>
      <c r="L870" s="50"/>
    </row>
    <row r="871" spans="1:12" ht="15.75" customHeight="1" x14ac:dyDescent="0.3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64"/>
      <c r="L871" s="50"/>
    </row>
    <row r="872" spans="1:12" ht="15.75" customHeight="1" x14ac:dyDescent="0.3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64"/>
      <c r="L872" s="50"/>
    </row>
    <row r="873" spans="1:12" ht="15.75" customHeight="1" x14ac:dyDescent="0.3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64"/>
      <c r="L873" s="50"/>
    </row>
    <row r="874" spans="1:12" ht="15.75" customHeight="1" x14ac:dyDescent="0.3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64"/>
      <c r="L874" s="50"/>
    </row>
    <row r="875" spans="1:12" ht="15.75" customHeight="1" x14ac:dyDescent="0.3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64"/>
      <c r="L875" s="50"/>
    </row>
    <row r="876" spans="1:12" ht="15.75" customHeight="1" x14ac:dyDescent="0.3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64"/>
      <c r="L876" s="50"/>
    </row>
    <row r="877" spans="1:12" ht="15.75" customHeight="1" x14ac:dyDescent="0.3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64"/>
      <c r="L877" s="50"/>
    </row>
    <row r="878" spans="1:12" ht="15.75" customHeight="1" x14ac:dyDescent="0.3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64"/>
      <c r="L878" s="50"/>
    </row>
    <row r="879" spans="1:12" ht="15.75" customHeight="1" x14ac:dyDescent="0.3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64"/>
      <c r="L879" s="50"/>
    </row>
    <row r="880" spans="1:12" ht="15.75" customHeight="1" x14ac:dyDescent="0.3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64"/>
      <c r="L880" s="50"/>
    </row>
    <row r="881" spans="1:12" ht="15.75" customHeight="1" x14ac:dyDescent="0.3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64"/>
      <c r="L881" s="50"/>
    </row>
    <row r="882" spans="1:12" ht="15.75" customHeight="1" x14ac:dyDescent="0.3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64"/>
      <c r="L882" s="50"/>
    </row>
    <row r="883" spans="1:12" ht="15.75" customHeight="1" x14ac:dyDescent="0.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64"/>
      <c r="L883" s="50"/>
    </row>
    <row r="884" spans="1:12" ht="15.75" customHeight="1" x14ac:dyDescent="0.3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64"/>
      <c r="L884" s="50"/>
    </row>
    <row r="885" spans="1:12" ht="15.75" customHeight="1" x14ac:dyDescent="0.3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64"/>
      <c r="L885" s="50"/>
    </row>
    <row r="886" spans="1:12" ht="15.75" customHeight="1" x14ac:dyDescent="0.3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64"/>
      <c r="L886" s="50"/>
    </row>
    <row r="887" spans="1:12" ht="15.75" customHeight="1" x14ac:dyDescent="0.3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64"/>
      <c r="L887" s="50"/>
    </row>
    <row r="888" spans="1:12" ht="15.75" customHeight="1" x14ac:dyDescent="0.3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64"/>
      <c r="L888" s="50"/>
    </row>
    <row r="889" spans="1:12" ht="15.75" customHeight="1" x14ac:dyDescent="0.3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64"/>
      <c r="L889" s="50"/>
    </row>
    <row r="890" spans="1:12" ht="15.75" customHeight="1" x14ac:dyDescent="0.3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64"/>
      <c r="L890" s="50"/>
    </row>
    <row r="891" spans="1:12" ht="15.75" customHeight="1" x14ac:dyDescent="0.3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64"/>
      <c r="L891" s="50"/>
    </row>
    <row r="892" spans="1:12" ht="15.75" customHeight="1" x14ac:dyDescent="0.3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64"/>
      <c r="L892" s="50"/>
    </row>
    <row r="893" spans="1:12" ht="15.75" customHeight="1" x14ac:dyDescent="0.3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64"/>
      <c r="L893" s="50"/>
    </row>
    <row r="894" spans="1:12" ht="15.75" customHeight="1" x14ac:dyDescent="0.3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64"/>
      <c r="L894" s="50"/>
    </row>
    <row r="895" spans="1:12" ht="15.75" customHeight="1" x14ac:dyDescent="0.3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64"/>
      <c r="L895" s="50"/>
    </row>
    <row r="896" spans="1:12" ht="15.75" customHeight="1" x14ac:dyDescent="0.3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64"/>
      <c r="L896" s="50"/>
    </row>
    <row r="897" spans="1:12" ht="15.75" customHeight="1" x14ac:dyDescent="0.3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64"/>
      <c r="L897" s="50"/>
    </row>
    <row r="898" spans="1:12" ht="15.75" customHeight="1" x14ac:dyDescent="0.3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64"/>
      <c r="L898" s="50"/>
    </row>
    <row r="899" spans="1:12" ht="15.75" customHeight="1" x14ac:dyDescent="0.3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64"/>
      <c r="L899" s="50"/>
    </row>
    <row r="900" spans="1:12" ht="15.75" customHeight="1" x14ac:dyDescent="0.3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64"/>
      <c r="L900" s="50"/>
    </row>
    <row r="901" spans="1:12" ht="15.75" customHeight="1" x14ac:dyDescent="0.3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64"/>
      <c r="L901" s="50"/>
    </row>
    <row r="902" spans="1:12" ht="15.75" customHeight="1" x14ac:dyDescent="0.3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64"/>
      <c r="L902" s="50"/>
    </row>
    <row r="903" spans="1:12" ht="15.75" customHeight="1" x14ac:dyDescent="0.3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64"/>
      <c r="L903" s="50"/>
    </row>
    <row r="904" spans="1:12" ht="15.75" customHeight="1" x14ac:dyDescent="0.3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64"/>
      <c r="L904" s="50"/>
    </row>
    <row r="905" spans="1:12" ht="15.75" customHeight="1" x14ac:dyDescent="0.3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64"/>
      <c r="L905" s="50"/>
    </row>
    <row r="906" spans="1:12" ht="15.75" customHeight="1" x14ac:dyDescent="0.3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64"/>
      <c r="L906" s="50"/>
    </row>
    <row r="907" spans="1:12" ht="15.75" customHeight="1" x14ac:dyDescent="0.3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64"/>
      <c r="L907" s="50"/>
    </row>
    <row r="908" spans="1:12" ht="15.75" customHeight="1" x14ac:dyDescent="0.3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64"/>
      <c r="L908" s="50"/>
    </row>
    <row r="909" spans="1:12" ht="15.75" customHeight="1" x14ac:dyDescent="0.3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64"/>
      <c r="L909" s="50"/>
    </row>
    <row r="910" spans="1:12" ht="15.75" customHeight="1" x14ac:dyDescent="0.3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64"/>
      <c r="L910" s="50"/>
    </row>
    <row r="911" spans="1:12" ht="15.75" customHeight="1" x14ac:dyDescent="0.3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64"/>
      <c r="L911" s="50"/>
    </row>
    <row r="912" spans="1:12" ht="15.75" customHeight="1" x14ac:dyDescent="0.3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64"/>
      <c r="L912" s="50"/>
    </row>
    <row r="913" spans="1:12" ht="15.75" customHeight="1" x14ac:dyDescent="0.3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64"/>
      <c r="L913" s="50"/>
    </row>
    <row r="914" spans="1:12" ht="15.75" customHeight="1" x14ac:dyDescent="0.3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64"/>
      <c r="L914" s="50"/>
    </row>
    <row r="915" spans="1:12" ht="15.75" customHeight="1" x14ac:dyDescent="0.3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64"/>
      <c r="L915" s="50"/>
    </row>
    <row r="916" spans="1:12" ht="15.75" customHeight="1" x14ac:dyDescent="0.3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64"/>
      <c r="L916" s="50"/>
    </row>
    <row r="917" spans="1:12" ht="15.75" customHeight="1" x14ac:dyDescent="0.3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64"/>
      <c r="L917" s="50"/>
    </row>
    <row r="918" spans="1:12" ht="15.75" customHeight="1" x14ac:dyDescent="0.3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64"/>
      <c r="L918" s="50"/>
    </row>
    <row r="919" spans="1:12" ht="15.75" customHeight="1" x14ac:dyDescent="0.3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64"/>
      <c r="L919" s="50"/>
    </row>
    <row r="920" spans="1:12" ht="15.75" customHeight="1" x14ac:dyDescent="0.3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64"/>
      <c r="L920" s="50"/>
    </row>
    <row r="921" spans="1:12" ht="15.75" customHeight="1" x14ac:dyDescent="0.3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64"/>
      <c r="L921" s="50"/>
    </row>
    <row r="922" spans="1:12" ht="15.75" customHeight="1" x14ac:dyDescent="0.3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64"/>
      <c r="L922" s="50"/>
    </row>
    <row r="923" spans="1:12" ht="15.75" customHeight="1" x14ac:dyDescent="0.3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64"/>
      <c r="L923" s="50"/>
    </row>
    <row r="924" spans="1:12" ht="15.75" customHeight="1" x14ac:dyDescent="0.3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64"/>
      <c r="L924" s="50"/>
    </row>
    <row r="925" spans="1:12" ht="15.75" customHeight="1" x14ac:dyDescent="0.3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64"/>
      <c r="L925" s="50"/>
    </row>
    <row r="926" spans="1:12" ht="15.75" customHeight="1" x14ac:dyDescent="0.3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64"/>
      <c r="L926" s="50"/>
    </row>
    <row r="927" spans="1:12" ht="15.75" customHeight="1" x14ac:dyDescent="0.3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64"/>
      <c r="L927" s="50"/>
    </row>
    <row r="928" spans="1:12" ht="15.75" customHeight="1" x14ac:dyDescent="0.3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64"/>
      <c r="L928" s="50"/>
    </row>
    <row r="929" spans="1:12" ht="15.75" customHeight="1" x14ac:dyDescent="0.3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64"/>
      <c r="L929" s="50"/>
    </row>
    <row r="930" spans="1:12" ht="15.75" customHeight="1" x14ac:dyDescent="0.3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64"/>
      <c r="L930" s="50"/>
    </row>
    <row r="931" spans="1:12" ht="15.75" customHeight="1" x14ac:dyDescent="0.3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64"/>
      <c r="L931" s="50"/>
    </row>
    <row r="932" spans="1:12" ht="15.75" customHeight="1" x14ac:dyDescent="0.3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64"/>
      <c r="L932" s="50"/>
    </row>
    <row r="933" spans="1:12" ht="15.75" customHeight="1" x14ac:dyDescent="0.3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64"/>
      <c r="L933" s="50"/>
    </row>
    <row r="934" spans="1:12" ht="15.75" customHeight="1" x14ac:dyDescent="0.3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64"/>
      <c r="L934" s="50"/>
    </row>
    <row r="935" spans="1:12" ht="15.75" customHeight="1" x14ac:dyDescent="0.3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64"/>
      <c r="L935" s="50"/>
    </row>
    <row r="936" spans="1:12" ht="15.75" customHeight="1" x14ac:dyDescent="0.3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64"/>
      <c r="L936" s="50"/>
    </row>
    <row r="937" spans="1:12" ht="15.75" customHeight="1" x14ac:dyDescent="0.3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64"/>
      <c r="L937" s="50"/>
    </row>
    <row r="938" spans="1:12" ht="15.75" customHeight="1" x14ac:dyDescent="0.3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64"/>
      <c r="L938" s="50"/>
    </row>
    <row r="939" spans="1:12" ht="15.75" customHeight="1" x14ac:dyDescent="0.3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64"/>
      <c r="L939" s="50"/>
    </row>
    <row r="940" spans="1:12" ht="15.75" customHeight="1" x14ac:dyDescent="0.3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64"/>
      <c r="L940" s="50"/>
    </row>
    <row r="941" spans="1:12" ht="15.75" customHeight="1" x14ac:dyDescent="0.3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64"/>
      <c r="L941" s="50"/>
    </row>
    <row r="942" spans="1:12" ht="15.75" customHeight="1" x14ac:dyDescent="0.3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64"/>
      <c r="L942" s="50"/>
    </row>
    <row r="943" spans="1:12" ht="15.75" customHeight="1" x14ac:dyDescent="0.3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64"/>
      <c r="L943" s="50"/>
    </row>
    <row r="944" spans="1:12" ht="15.75" customHeight="1" x14ac:dyDescent="0.3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64"/>
      <c r="L944" s="50"/>
    </row>
    <row r="945" spans="1:12" ht="15.75" customHeight="1" x14ac:dyDescent="0.3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64"/>
      <c r="L945" s="50"/>
    </row>
    <row r="946" spans="1:12" ht="15.75" customHeight="1" x14ac:dyDescent="0.3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64"/>
      <c r="L946" s="50"/>
    </row>
    <row r="947" spans="1:12" ht="15.75" customHeight="1" x14ac:dyDescent="0.3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64"/>
      <c r="L947" s="50"/>
    </row>
    <row r="948" spans="1:12" ht="15.75" customHeight="1" x14ac:dyDescent="0.3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64"/>
      <c r="L948" s="50"/>
    </row>
    <row r="949" spans="1:12" ht="15.75" customHeight="1" x14ac:dyDescent="0.3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64"/>
      <c r="L949" s="50"/>
    </row>
    <row r="950" spans="1:12" ht="15.75" customHeight="1" x14ac:dyDescent="0.3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64"/>
      <c r="L950" s="50"/>
    </row>
    <row r="951" spans="1:12" ht="15.75" customHeight="1" x14ac:dyDescent="0.3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64"/>
      <c r="L951" s="50"/>
    </row>
    <row r="952" spans="1:12" ht="15.75" customHeight="1" x14ac:dyDescent="0.3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64"/>
      <c r="L952" s="50"/>
    </row>
    <row r="953" spans="1:12" ht="15.75" customHeight="1" x14ac:dyDescent="0.3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64"/>
      <c r="L953" s="50"/>
    </row>
    <row r="954" spans="1:12" ht="15.75" customHeight="1" x14ac:dyDescent="0.3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64"/>
      <c r="L954" s="50"/>
    </row>
    <row r="955" spans="1:12" ht="15.75" customHeight="1" x14ac:dyDescent="0.3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64"/>
      <c r="L955" s="50"/>
    </row>
    <row r="956" spans="1:12" ht="15.75" customHeight="1" x14ac:dyDescent="0.3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64"/>
      <c r="L956" s="50"/>
    </row>
    <row r="957" spans="1:12" ht="15.75" customHeight="1" x14ac:dyDescent="0.3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64"/>
      <c r="L957" s="50"/>
    </row>
    <row r="958" spans="1:12" ht="15.75" customHeight="1" x14ac:dyDescent="0.3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64"/>
      <c r="L958" s="50"/>
    </row>
    <row r="959" spans="1:12" ht="15.75" customHeight="1" x14ac:dyDescent="0.3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64"/>
      <c r="L959" s="50"/>
    </row>
    <row r="960" spans="1:12" ht="15.75" customHeight="1" x14ac:dyDescent="0.3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64"/>
      <c r="L960" s="50"/>
    </row>
    <row r="961" spans="1:12" ht="15.75" customHeight="1" x14ac:dyDescent="0.3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64"/>
      <c r="L961" s="50"/>
    </row>
    <row r="962" spans="1:12" ht="15.75" customHeight="1" x14ac:dyDescent="0.3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64"/>
      <c r="L962" s="50"/>
    </row>
    <row r="963" spans="1:12" ht="15.75" customHeight="1" x14ac:dyDescent="0.3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64"/>
      <c r="L963" s="50"/>
    </row>
    <row r="964" spans="1:12" ht="15.75" customHeight="1" x14ac:dyDescent="0.3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64"/>
      <c r="L964" s="50"/>
    </row>
    <row r="965" spans="1:12" ht="15.75" customHeight="1" x14ac:dyDescent="0.3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64"/>
      <c r="L965" s="50"/>
    </row>
    <row r="966" spans="1:12" ht="15.75" customHeight="1" x14ac:dyDescent="0.3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64"/>
      <c r="L966" s="50"/>
    </row>
    <row r="967" spans="1:12" ht="15.75" customHeight="1" x14ac:dyDescent="0.3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64"/>
      <c r="L967" s="50"/>
    </row>
    <row r="968" spans="1:12" ht="15.75" customHeight="1" x14ac:dyDescent="0.3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64"/>
      <c r="L968" s="50"/>
    </row>
    <row r="969" spans="1:12" ht="15.75" customHeight="1" x14ac:dyDescent="0.3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64"/>
      <c r="L969" s="50"/>
    </row>
    <row r="970" spans="1:12" ht="15.75" customHeight="1" x14ac:dyDescent="0.3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64"/>
      <c r="L970" s="50"/>
    </row>
    <row r="971" spans="1:12" ht="15.75" customHeight="1" x14ac:dyDescent="0.3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64"/>
      <c r="L971" s="50"/>
    </row>
    <row r="972" spans="1:12" ht="15.75" customHeight="1" x14ac:dyDescent="0.3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64"/>
      <c r="L972" s="50"/>
    </row>
    <row r="973" spans="1:12" ht="15.75" customHeight="1" x14ac:dyDescent="0.3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64"/>
      <c r="L973" s="50"/>
    </row>
    <row r="974" spans="1:12" ht="15.75" customHeight="1" x14ac:dyDescent="0.3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64"/>
      <c r="L974" s="50"/>
    </row>
    <row r="975" spans="1:12" ht="15.75" customHeight="1" x14ac:dyDescent="0.3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64"/>
      <c r="L975" s="50"/>
    </row>
    <row r="976" spans="1:12" ht="15.75" customHeight="1" x14ac:dyDescent="0.3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64"/>
      <c r="L976" s="50"/>
    </row>
    <row r="977" spans="1:12" ht="15.75" customHeight="1" x14ac:dyDescent="0.3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64"/>
      <c r="L977" s="50"/>
    </row>
    <row r="978" spans="1:12" ht="15.75" customHeight="1" x14ac:dyDescent="0.3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64"/>
      <c r="L978" s="50"/>
    </row>
    <row r="979" spans="1:12" ht="15.75" customHeight="1" x14ac:dyDescent="0.3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64"/>
      <c r="L979" s="50"/>
    </row>
    <row r="980" spans="1:12" ht="15.75" customHeight="1" x14ac:dyDescent="0.3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64"/>
      <c r="L980" s="50"/>
    </row>
    <row r="981" spans="1:12" ht="15.75" customHeight="1" x14ac:dyDescent="0.3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64"/>
      <c r="L981" s="50"/>
    </row>
    <row r="982" spans="1:12" ht="15.75" customHeight="1" x14ac:dyDescent="0.3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64"/>
      <c r="L982" s="50"/>
    </row>
    <row r="983" spans="1:12" ht="15.75" customHeight="1" x14ac:dyDescent="0.3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64"/>
      <c r="L983" s="50"/>
    </row>
    <row r="984" spans="1:12" ht="15.75" customHeight="1" x14ac:dyDescent="0.3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64"/>
      <c r="L984" s="50"/>
    </row>
    <row r="985" spans="1:12" ht="15.75" customHeight="1" x14ac:dyDescent="0.3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64"/>
      <c r="L985" s="50"/>
    </row>
    <row r="986" spans="1:12" ht="15.75" customHeight="1" x14ac:dyDescent="0.3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64"/>
      <c r="L986" s="50"/>
    </row>
    <row r="987" spans="1:12" ht="15.75" customHeight="1" x14ac:dyDescent="0.3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64"/>
      <c r="L987" s="50"/>
    </row>
    <row r="988" spans="1:12" ht="15.75" customHeight="1" x14ac:dyDescent="0.3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64"/>
      <c r="L988" s="50"/>
    </row>
    <row r="989" spans="1:12" ht="15.75" customHeight="1" x14ac:dyDescent="0.3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64"/>
      <c r="L989" s="50"/>
    </row>
    <row r="990" spans="1:12" ht="15.75" customHeight="1" x14ac:dyDescent="0.3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64"/>
      <c r="L990" s="50"/>
    </row>
    <row r="991" spans="1:12" ht="15.75" customHeight="1" x14ac:dyDescent="0.3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64"/>
      <c r="L991" s="50"/>
    </row>
    <row r="992" spans="1:12" ht="15.75" customHeight="1" x14ac:dyDescent="0.3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64"/>
      <c r="L992" s="50"/>
    </row>
    <row r="993" spans="1:12" ht="15.75" customHeight="1" x14ac:dyDescent="0.3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64"/>
      <c r="L993" s="50"/>
    </row>
    <row r="994" spans="1:12" ht="15.75" customHeight="1" x14ac:dyDescent="0.3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64"/>
      <c r="L994" s="50"/>
    </row>
    <row r="995" spans="1:12" ht="15.75" customHeight="1" x14ac:dyDescent="0.3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64"/>
      <c r="L995" s="50"/>
    </row>
    <row r="996" spans="1:12" ht="15.75" customHeight="1" x14ac:dyDescent="0.3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64"/>
      <c r="L996" s="50"/>
    </row>
    <row r="997" spans="1:12" ht="15.75" customHeight="1" x14ac:dyDescent="0.3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64"/>
      <c r="L997" s="50"/>
    </row>
    <row r="998" spans="1:12" ht="15.75" customHeight="1" x14ac:dyDescent="0.3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64"/>
      <c r="L998" s="50"/>
    </row>
    <row r="999" spans="1:12" ht="15.75" customHeight="1" x14ac:dyDescent="0.3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64"/>
      <c r="L999" s="50"/>
    </row>
    <row r="1000" spans="1:12" ht="15.75" customHeight="1" x14ac:dyDescent="0.3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64"/>
      <c r="L1000" s="50"/>
    </row>
    <row r="1001" spans="1:12" ht="15.75" customHeight="1" x14ac:dyDescent="0.3">
      <c r="A1001" s="50"/>
      <c r="B1001" s="50"/>
      <c r="C1001" s="50"/>
      <c r="D1001" s="50"/>
      <c r="E1001" s="50"/>
      <c r="F1001" s="50"/>
      <c r="G1001" s="50"/>
      <c r="H1001" s="50"/>
      <c r="I1001" s="50"/>
      <c r="J1001" s="50"/>
      <c r="K1001" s="64"/>
      <c r="L1001" s="50"/>
    </row>
  </sheetData>
  <mergeCells count="32">
    <mergeCell ref="B65:C65"/>
    <mergeCell ref="D65:E65"/>
    <mergeCell ref="B66:C66"/>
    <mergeCell ref="D66:E66"/>
    <mergeCell ref="B67:C67"/>
    <mergeCell ref="D67:E67"/>
    <mergeCell ref="D68:E68"/>
    <mergeCell ref="B75:C75"/>
    <mergeCell ref="B76:C76"/>
    <mergeCell ref="B77:C77"/>
    <mergeCell ref="B78:C78"/>
    <mergeCell ref="D76:E76"/>
    <mergeCell ref="D77:E77"/>
    <mergeCell ref="D78:E78"/>
    <mergeCell ref="B79:C79"/>
    <mergeCell ref="A80:C80"/>
    <mergeCell ref="B68:C68"/>
    <mergeCell ref="B69:C69"/>
    <mergeCell ref="B70:C70"/>
    <mergeCell ref="B71:C71"/>
    <mergeCell ref="B72:C72"/>
    <mergeCell ref="B73:C73"/>
    <mergeCell ref="B74:C74"/>
    <mergeCell ref="D79:E79"/>
    <mergeCell ref="D80:E80"/>
    <mergeCell ref="D69:E69"/>
    <mergeCell ref="D70:E70"/>
    <mergeCell ref="D71:E71"/>
    <mergeCell ref="D72:E72"/>
    <mergeCell ref="D73:E73"/>
    <mergeCell ref="D74:E74"/>
    <mergeCell ref="D75:E75"/>
  </mergeCells>
  <pageMargins left="0.2" right="0.2" top="0.75" bottom="0.75" header="0" footer="0"/>
  <pageSetup paperSize="9" scale="9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Q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1" sqref="D1"/>
    </sheetView>
  </sheetViews>
  <sheetFormatPr defaultColWidth="14.44140625" defaultRowHeight="15" customHeight="1" x14ac:dyDescent="0.3"/>
  <cols>
    <col min="1" max="1" width="7.88671875" customWidth="1"/>
    <col min="2" max="2" width="17.33203125" customWidth="1"/>
    <col min="3" max="3" width="10.5546875" customWidth="1"/>
    <col min="4" max="4" width="10" customWidth="1"/>
    <col min="5" max="7" width="10.88671875" customWidth="1"/>
    <col min="8" max="8" width="9.88671875" customWidth="1"/>
    <col min="9" max="11" width="10.88671875" customWidth="1"/>
    <col min="12" max="13" width="9.44140625" customWidth="1"/>
    <col min="14" max="16" width="9.88671875" customWidth="1"/>
    <col min="17" max="17" width="9.6640625" customWidth="1"/>
    <col min="18" max="24" width="9.88671875" customWidth="1"/>
    <col min="25" max="26" width="9.5546875" customWidth="1"/>
    <col min="27" max="29" width="9.88671875" customWidth="1"/>
    <col min="30" max="33" width="10.109375" customWidth="1"/>
    <col min="34" max="34" width="9.44140625" customWidth="1"/>
    <col min="35" max="37" width="9.88671875" customWidth="1"/>
    <col min="38" max="39" width="9.44140625" customWidth="1"/>
    <col min="40" max="46" width="9.88671875" customWidth="1"/>
    <col min="47" max="47" width="9.6640625" customWidth="1"/>
    <col min="48" max="52" width="9.88671875" customWidth="1"/>
    <col min="53" max="55" width="10.88671875" customWidth="1"/>
    <col min="56" max="56" width="10" customWidth="1"/>
    <col min="57" max="59" width="10.88671875" customWidth="1"/>
    <col min="60" max="60" width="9.88671875" customWidth="1"/>
    <col min="61" max="64" width="10.88671875" customWidth="1"/>
    <col min="65" max="65" width="9.44140625" customWidth="1"/>
    <col min="66" max="68" width="9.88671875" customWidth="1"/>
    <col min="69" max="69" width="9.6640625" customWidth="1"/>
    <col min="70" max="77" width="9.88671875" customWidth="1"/>
    <col min="78" max="78" width="9.5546875" customWidth="1"/>
    <col min="79" max="81" width="9.88671875" customWidth="1"/>
    <col min="82" max="85" width="10.109375" customWidth="1"/>
    <col min="86" max="87" width="9.44140625" customWidth="1"/>
    <col min="88" max="90" width="9.88671875" customWidth="1"/>
    <col min="91" max="91" width="9.44140625" customWidth="1"/>
    <col min="92" max="98" width="9.88671875" customWidth="1"/>
    <col min="99" max="100" width="9.6640625" customWidth="1"/>
    <col min="101" max="104" width="9.88671875" customWidth="1"/>
    <col min="105" max="107" width="10.88671875" customWidth="1"/>
    <col min="108" max="108" width="10" customWidth="1"/>
    <col min="109" max="111" width="10.88671875" customWidth="1"/>
    <col min="112" max="113" width="9.88671875" customWidth="1"/>
    <col min="114" max="116" width="10.88671875" customWidth="1"/>
    <col min="117" max="117" width="9.44140625" customWidth="1"/>
    <col min="118" max="120" width="9.88671875" customWidth="1"/>
    <col min="121" max="121" width="9.6640625" customWidth="1"/>
  </cols>
  <sheetData>
    <row r="1" spans="1:121" ht="14.4" x14ac:dyDescent="0.3">
      <c r="A1" s="93" t="str">
        <f>Sheet4!A1</f>
        <v>ዕጣ ቁጥር</v>
      </c>
      <c r="B1" s="93" t="str">
        <f>Sheet4!B1</f>
        <v>ስም</v>
      </c>
      <c r="C1" s="94" t="str">
        <f>Sheet4!C2</f>
        <v>ክፍያ መጠን</v>
      </c>
      <c r="D1" s="40">
        <f>Sheet4!D1</f>
        <v>1</v>
      </c>
      <c r="E1" s="40">
        <f>Sheet4!E1</f>
        <v>2</v>
      </c>
      <c r="F1" s="40">
        <f>Sheet4!F1</f>
        <v>3</v>
      </c>
      <c r="G1" s="40">
        <f>Sheet4!G1</f>
        <v>4</v>
      </c>
      <c r="H1" s="40">
        <f>Sheet4!H1</f>
        <v>5</v>
      </c>
      <c r="I1" s="40">
        <f>Sheet4!I1</f>
        <v>6</v>
      </c>
      <c r="J1" s="40">
        <f>Sheet4!J1</f>
        <v>7</v>
      </c>
      <c r="K1" s="40">
        <f>Sheet4!K1</f>
        <v>8</v>
      </c>
      <c r="L1" s="40">
        <f>Sheet4!L1</f>
        <v>9</v>
      </c>
      <c r="M1" s="40">
        <f>Sheet4!M1</f>
        <v>10</v>
      </c>
      <c r="N1" s="40">
        <f>Sheet4!N1</f>
        <v>11</v>
      </c>
      <c r="O1" s="40">
        <f>Sheet4!O1</f>
        <v>12</v>
      </c>
      <c r="P1" s="40">
        <f>Sheet4!P1</f>
        <v>13</v>
      </c>
      <c r="Q1" s="40">
        <f>Sheet4!Q1</f>
        <v>14</v>
      </c>
      <c r="R1" s="40">
        <f>Sheet4!R1</f>
        <v>15</v>
      </c>
      <c r="S1" s="40">
        <f>Sheet4!S1</f>
        <v>16</v>
      </c>
      <c r="T1" s="40">
        <f>Sheet4!T1</f>
        <v>17</v>
      </c>
      <c r="U1" s="40">
        <f>Sheet4!U1</f>
        <v>18</v>
      </c>
      <c r="V1" s="40">
        <f>Sheet4!V1</f>
        <v>19</v>
      </c>
      <c r="W1" s="40">
        <f>Sheet4!W1</f>
        <v>20</v>
      </c>
      <c r="X1" s="40">
        <f>Sheet4!X1</f>
        <v>21</v>
      </c>
      <c r="Y1" s="40">
        <f>Sheet4!Y1</f>
        <v>22</v>
      </c>
      <c r="Z1" s="40">
        <f>Sheet4!Z1</f>
        <v>23</v>
      </c>
      <c r="AA1" s="40">
        <f>Sheet4!AA1</f>
        <v>24</v>
      </c>
      <c r="AB1" s="40">
        <f>Sheet4!AB1</f>
        <v>25</v>
      </c>
      <c r="AC1" s="40">
        <f>Sheet4!AC1</f>
        <v>26</v>
      </c>
      <c r="AD1" s="40">
        <f>Sheet4!AD1</f>
        <v>27</v>
      </c>
      <c r="AE1" s="40">
        <f>Sheet4!AE1</f>
        <v>28</v>
      </c>
      <c r="AF1" s="40">
        <f>Sheet4!AF1</f>
        <v>29</v>
      </c>
      <c r="AG1" s="40">
        <f>Sheet4!AG1</f>
        <v>30</v>
      </c>
      <c r="AH1" s="40">
        <f>Sheet4!AH1</f>
        <v>31</v>
      </c>
      <c r="AI1" s="40">
        <f>Sheet4!AI1</f>
        <v>32</v>
      </c>
      <c r="AJ1" s="40">
        <f>Sheet4!AJ1</f>
        <v>33</v>
      </c>
      <c r="AK1" s="40">
        <f>Sheet4!AK1</f>
        <v>34</v>
      </c>
      <c r="AL1" s="40">
        <f>Sheet4!AL1</f>
        <v>35</v>
      </c>
      <c r="AM1" s="40">
        <f>Sheet4!AM1</f>
        <v>36</v>
      </c>
      <c r="AN1" s="40">
        <f>Sheet4!AN1</f>
        <v>37</v>
      </c>
      <c r="AO1" s="40">
        <f>Sheet4!AO1</f>
        <v>38</v>
      </c>
      <c r="AP1" s="40">
        <f>Sheet4!AP1</f>
        <v>39</v>
      </c>
      <c r="AQ1" s="40">
        <f>Sheet4!AQ1</f>
        <v>40</v>
      </c>
      <c r="AR1" s="40">
        <f>Sheet4!AR1</f>
        <v>41</v>
      </c>
      <c r="AS1" s="40">
        <f>Sheet4!AS1</f>
        <v>42</v>
      </c>
      <c r="AT1" s="40">
        <f>Sheet4!AT1</f>
        <v>43</v>
      </c>
      <c r="AU1" s="40">
        <f>Sheet4!AU1</f>
        <v>44</v>
      </c>
      <c r="AV1" s="40">
        <f>Sheet4!AV1</f>
        <v>45</v>
      </c>
      <c r="AW1" s="40">
        <f>Sheet4!AW1</f>
        <v>46</v>
      </c>
      <c r="AX1" s="40">
        <f>Sheet4!AX1</f>
        <v>47</v>
      </c>
      <c r="AY1" s="40">
        <f>Sheet4!AY1</f>
        <v>48</v>
      </c>
      <c r="AZ1" s="40">
        <f>Sheet4!AZ1</f>
        <v>49</v>
      </c>
      <c r="BA1" s="40">
        <f>Sheet4!BA1</f>
        <v>50</v>
      </c>
      <c r="BB1" s="40">
        <f>Sheet4!BB1</f>
        <v>51</v>
      </c>
      <c r="BC1" s="40">
        <f>Sheet4!BC1</f>
        <v>52</v>
      </c>
      <c r="BD1" s="40">
        <f>Sheet4!BD1</f>
        <v>53</v>
      </c>
      <c r="BE1" s="40">
        <f>Sheet4!BE1</f>
        <v>54</v>
      </c>
      <c r="BF1" s="40">
        <f>Sheet4!BF1</f>
        <v>55</v>
      </c>
      <c r="BG1" s="40">
        <f>Sheet4!BG1</f>
        <v>56</v>
      </c>
      <c r="BH1" s="40">
        <f>Sheet4!BH1</f>
        <v>57</v>
      </c>
      <c r="BI1" s="40">
        <f>Sheet4!BI1</f>
        <v>58</v>
      </c>
      <c r="BJ1" s="40">
        <f>Sheet4!BJ1</f>
        <v>59</v>
      </c>
      <c r="BK1" s="40">
        <f>Sheet4!BK1</f>
        <v>60</v>
      </c>
      <c r="BL1" s="40">
        <f>Sheet4!BL1</f>
        <v>61</v>
      </c>
      <c r="BM1" s="40">
        <f>Sheet4!BM1</f>
        <v>62</v>
      </c>
      <c r="BN1" s="40">
        <f>Sheet4!BN1</f>
        <v>63</v>
      </c>
      <c r="BO1" s="40">
        <f>Sheet4!BO1</f>
        <v>64</v>
      </c>
      <c r="BP1" s="40">
        <f>Sheet4!BP1</f>
        <v>65</v>
      </c>
      <c r="BQ1" s="40">
        <f>Sheet4!BQ1</f>
        <v>66</v>
      </c>
      <c r="BR1" s="40">
        <f>Sheet4!BR1</f>
        <v>67</v>
      </c>
      <c r="BS1" s="40">
        <f>Sheet4!BS1</f>
        <v>68</v>
      </c>
      <c r="BT1" s="40">
        <f>Sheet4!BT1</f>
        <v>69</v>
      </c>
      <c r="BU1" s="40">
        <f>Sheet4!BU1</f>
        <v>70</v>
      </c>
      <c r="BV1" s="40">
        <f>Sheet4!BV1</f>
        <v>71</v>
      </c>
      <c r="BW1" s="40">
        <f>Sheet4!BW1</f>
        <v>72</v>
      </c>
      <c r="BX1" s="40">
        <f>Sheet4!BX1</f>
        <v>73</v>
      </c>
      <c r="BY1" s="40">
        <f>Sheet4!BY1</f>
        <v>74</v>
      </c>
      <c r="BZ1" s="40">
        <f>Sheet4!BZ1</f>
        <v>75</v>
      </c>
      <c r="CA1" s="40">
        <f>Sheet4!CA1</f>
        <v>76</v>
      </c>
      <c r="CB1" s="40">
        <f>Sheet4!CB1</f>
        <v>77</v>
      </c>
      <c r="CC1" s="40">
        <f>Sheet4!CC1</f>
        <v>78</v>
      </c>
      <c r="CD1" s="40">
        <f>Sheet4!CD1</f>
        <v>79</v>
      </c>
      <c r="CE1" s="40">
        <f>Sheet4!CE1</f>
        <v>80</v>
      </c>
      <c r="CF1" s="40">
        <f>Sheet4!CF1</f>
        <v>81</v>
      </c>
      <c r="CG1" s="40">
        <f>Sheet4!CG1</f>
        <v>82</v>
      </c>
      <c r="CH1" s="40">
        <f>Sheet4!CH1</f>
        <v>83</v>
      </c>
      <c r="CI1" s="40">
        <f>Sheet4!CI1</f>
        <v>84</v>
      </c>
      <c r="CJ1" s="40">
        <f>Sheet4!CJ1</f>
        <v>85</v>
      </c>
      <c r="CK1" s="40">
        <f>Sheet4!CK1</f>
        <v>86</v>
      </c>
      <c r="CL1" s="40">
        <f>Sheet4!CL1</f>
        <v>87</v>
      </c>
      <c r="CM1" s="40">
        <f>Sheet4!CM1</f>
        <v>88</v>
      </c>
      <c r="CN1" s="40">
        <f>Sheet4!CN1</f>
        <v>89</v>
      </c>
      <c r="CO1" s="40">
        <f>Sheet4!CO1</f>
        <v>90</v>
      </c>
      <c r="CP1" s="40">
        <f>Sheet4!CP1</f>
        <v>91</v>
      </c>
      <c r="CQ1" s="40">
        <f>Sheet4!CQ1</f>
        <v>92</v>
      </c>
      <c r="CR1" s="40">
        <f>Sheet4!CR1</f>
        <v>93</v>
      </c>
      <c r="CS1" s="40">
        <f>Sheet4!CS1</f>
        <v>94</v>
      </c>
      <c r="CT1" s="40">
        <f>Sheet4!CT1</f>
        <v>95</v>
      </c>
      <c r="CU1" s="40">
        <f>Sheet4!CU1</f>
        <v>96</v>
      </c>
      <c r="CV1" s="40">
        <f>Sheet4!CV1</f>
        <v>97</v>
      </c>
      <c r="CW1" s="40">
        <f>Sheet4!CW1</f>
        <v>98</v>
      </c>
      <c r="CX1" s="40">
        <f>Sheet4!CX1</f>
        <v>99</v>
      </c>
      <c r="CY1" s="40">
        <f>Sheet4!CY1</f>
        <v>100</v>
      </c>
      <c r="CZ1" s="40">
        <f>Sheet4!CZ1</f>
        <v>101</v>
      </c>
      <c r="DA1" s="40">
        <f>Sheet4!DA1</f>
        <v>102</v>
      </c>
      <c r="DB1" s="40">
        <f>Sheet4!DB1</f>
        <v>103</v>
      </c>
      <c r="DC1" s="40">
        <f>Sheet4!DC1</f>
        <v>104</v>
      </c>
      <c r="DD1" s="40">
        <f>Sheet4!DD1</f>
        <v>105</v>
      </c>
      <c r="DE1" s="40">
        <f>Sheet4!DE1</f>
        <v>106</v>
      </c>
      <c r="DF1" s="40">
        <f>Sheet4!DF1</f>
        <v>107</v>
      </c>
      <c r="DG1" s="40">
        <f>Sheet4!DG1</f>
        <v>108</v>
      </c>
      <c r="DH1" s="40">
        <f>Sheet4!DH1</f>
        <v>109</v>
      </c>
      <c r="DI1" s="40">
        <f>Sheet4!DI1</f>
        <v>110</v>
      </c>
      <c r="DJ1" s="40">
        <f>Sheet4!DJ1</f>
        <v>111</v>
      </c>
      <c r="DK1" s="40">
        <f>Sheet4!DK1</f>
        <v>112</v>
      </c>
      <c r="DL1" s="40">
        <f>Sheet4!DL1</f>
        <v>113</v>
      </c>
      <c r="DM1" s="40">
        <f>Sheet4!DM1</f>
        <v>114</v>
      </c>
      <c r="DN1" s="40">
        <f>Sheet4!DN1</f>
        <v>115</v>
      </c>
      <c r="DO1" s="40">
        <f>Sheet4!DO1</f>
        <v>116</v>
      </c>
      <c r="DP1" s="40">
        <f>Sheet4!DP1</f>
        <v>117</v>
      </c>
      <c r="DQ1" s="40">
        <f>Sheet4!DQ1</f>
        <v>118</v>
      </c>
    </row>
    <row r="2" spans="1:121" ht="14.4" x14ac:dyDescent="0.3">
      <c r="A2" s="90"/>
      <c r="B2" s="90"/>
      <c r="C2" s="90"/>
      <c r="D2" s="42">
        <f>Sheet4!D2</f>
        <v>44871</v>
      </c>
      <c r="E2" s="42">
        <f>Sheet4!E2</f>
        <v>44878</v>
      </c>
      <c r="F2" s="42">
        <f>Sheet4!F2</f>
        <v>44885</v>
      </c>
      <c r="G2" s="42">
        <f>Sheet4!G2</f>
        <v>44892</v>
      </c>
      <c r="H2" s="42">
        <f>Sheet4!H2</f>
        <v>44899</v>
      </c>
      <c r="I2" s="42">
        <f>Sheet4!I2</f>
        <v>44906</v>
      </c>
      <c r="J2" s="42">
        <f>Sheet4!J2</f>
        <v>44913</v>
      </c>
      <c r="K2" s="42">
        <f>Sheet4!K2</f>
        <v>44920</v>
      </c>
      <c r="L2" s="42">
        <f>Sheet4!L2</f>
        <v>44927</v>
      </c>
      <c r="M2" s="42">
        <f>Sheet4!M2</f>
        <v>44934</v>
      </c>
      <c r="N2" s="42">
        <f>Sheet4!N2</f>
        <v>44941</v>
      </c>
      <c r="O2" s="42">
        <f>Sheet4!O2</f>
        <v>44948</v>
      </c>
      <c r="P2" s="42">
        <f>Sheet4!P2</f>
        <v>44955</v>
      </c>
      <c r="Q2" s="42">
        <f>Sheet4!Q2</f>
        <v>44962</v>
      </c>
      <c r="R2" s="42">
        <f>Sheet4!R2</f>
        <v>44969</v>
      </c>
      <c r="S2" s="42">
        <f>Sheet4!S2</f>
        <v>44976</v>
      </c>
      <c r="T2" s="42">
        <f>Sheet4!T2</f>
        <v>44983</v>
      </c>
      <c r="U2" s="42">
        <f>Sheet4!U2</f>
        <v>44990</v>
      </c>
      <c r="V2" s="42">
        <f>Sheet4!V2</f>
        <v>44997</v>
      </c>
      <c r="W2" s="42">
        <f>Sheet4!W2</f>
        <v>45004</v>
      </c>
      <c r="X2" s="42">
        <f>Sheet4!X2</f>
        <v>45011</v>
      </c>
      <c r="Y2" s="42">
        <f>Sheet4!Y2</f>
        <v>45018</v>
      </c>
      <c r="Z2" s="42">
        <f>Sheet4!Z2</f>
        <v>45025</v>
      </c>
      <c r="AA2" s="42">
        <f>Sheet4!AA2</f>
        <v>45032</v>
      </c>
      <c r="AB2" s="42">
        <f>Sheet4!AB2</f>
        <v>45039</v>
      </c>
      <c r="AC2" s="42">
        <f>Sheet4!AC2</f>
        <v>45046</v>
      </c>
      <c r="AD2" s="42">
        <f>Sheet4!AD2</f>
        <v>45053</v>
      </c>
      <c r="AE2" s="42">
        <f>Sheet4!AE2</f>
        <v>45060</v>
      </c>
      <c r="AF2" s="42">
        <f>Sheet4!AF2</f>
        <v>45067</v>
      </c>
      <c r="AG2" s="42">
        <f>Sheet4!AG2</f>
        <v>45074</v>
      </c>
      <c r="AH2" s="42">
        <f>Sheet4!AH2</f>
        <v>45081</v>
      </c>
      <c r="AI2" s="42">
        <f>Sheet4!AI2</f>
        <v>45088</v>
      </c>
      <c r="AJ2" s="42">
        <f>Sheet4!AJ2</f>
        <v>45095</v>
      </c>
      <c r="AK2" s="42">
        <f>Sheet4!AK2</f>
        <v>45102</v>
      </c>
      <c r="AL2" s="42">
        <f>Sheet4!AL2</f>
        <v>45109</v>
      </c>
      <c r="AM2" s="42">
        <f>Sheet4!AM2</f>
        <v>45116</v>
      </c>
      <c r="AN2" s="42">
        <f>Sheet4!AN2</f>
        <v>45123</v>
      </c>
      <c r="AO2" s="42">
        <f>Sheet4!AO2</f>
        <v>45130</v>
      </c>
      <c r="AP2" s="42">
        <f>Sheet4!AP2</f>
        <v>45137</v>
      </c>
      <c r="AQ2" s="42">
        <f>Sheet4!AQ2</f>
        <v>45144</v>
      </c>
      <c r="AR2" s="42">
        <f>Sheet4!AR2</f>
        <v>45151</v>
      </c>
      <c r="AS2" s="42">
        <f>Sheet4!AS2</f>
        <v>45158</v>
      </c>
      <c r="AT2" s="42">
        <f>Sheet4!AT2</f>
        <v>45165</v>
      </c>
      <c r="AU2" s="42">
        <f>Sheet4!AU2</f>
        <v>45172</v>
      </c>
      <c r="AV2" s="42">
        <f>Sheet4!AV2</f>
        <v>45179</v>
      </c>
      <c r="AW2" s="42">
        <f>Sheet4!AW2</f>
        <v>45186</v>
      </c>
      <c r="AX2" s="42">
        <f>Sheet4!AX2</f>
        <v>45193</v>
      </c>
      <c r="AY2" s="42">
        <f>Sheet4!AY2</f>
        <v>45200</v>
      </c>
      <c r="AZ2" s="42">
        <f>Sheet4!AZ2</f>
        <v>45207</v>
      </c>
      <c r="BA2" s="42">
        <f>Sheet4!BA2</f>
        <v>45214</v>
      </c>
      <c r="BB2" s="42">
        <f>Sheet4!BB2</f>
        <v>45221</v>
      </c>
      <c r="BC2" s="42">
        <f>Sheet4!BC2</f>
        <v>45228</v>
      </c>
      <c r="BD2" s="42">
        <f>Sheet4!BD2</f>
        <v>45235</v>
      </c>
      <c r="BE2" s="42">
        <f>Sheet4!BE2</f>
        <v>45242</v>
      </c>
      <c r="BF2" s="42">
        <f>Sheet4!BF2</f>
        <v>45249</v>
      </c>
      <c r="BG2" s="42">
        <f>Sheet4!BG2</f>
        <v>45256</v>
      </c>
      <c r="BH2" s="42">
        <f>Sheet4!BH2</f>
        <v>45263</v>
      </c>
      <c r="BI2" s="42">
        <f>Sheet4!BI2</f>
        <v>45270</v>
      </c>
      <c r="BJ2" s="42">
        <f>Sheet4!BJ2</f>
        <v>45277</v>
      </c>
      <c r="BK2" s="42">
        <f>Sheet4!BK2</f>
        <v>45284</v>
      </c>
      <c r="BL2" s="42">
        <f>Sheet4!BL2</f>
        <v>45291</v>
      </c>
      <c r="BM2" s="42">
        <f>Sheet4!BM2</f>
        <v>45298</v>
      </c>
      <c r="BN2" s="42">
        <f>Sheet4!BN2</f>
        <v>45305</v>
      </c>
      <c r="BO2" s="42">
        <f>Sheet4!BO2</f>
        <v>45312</v>
      </c>
      <c r="BP2" s="42">
        <f>Sheet4!BP2</f>
        <v>45319</v>
      </c>
      <c r="BQ2" s="42">
        <f>Sheet4!BQ2</f>
        <v>45326</v>
      </c>
      <c r="BR2" s="42">
        <f>Sheet4!BR2</f>
        <v>45333</v>
      </c>
      <c r="BS2" s="42">
        <f>Sheet4!BS2</f>
        <v>45340</v>
      </c>
      <c r="BT2" s="42">
        <f>Sheet4!BT2</f>
        <v>45347</v>
      </c>
      <c r="BU2" s="42">
        <f>Sheet4!BU2</f>
        <v>45354</v>
      </c>
      <c r="BV2" s="42">
        <f>Sheet4!BV2</f>
        <v>45361</v>
      </c>
      <c r="BW2" s="42">
        <f>Sheet4!BW2</f>
        <v>45368</v>
      </c>
      <c r="BX2" s="42">
        <f>Sheet4!BX2</f>
        <v>45375</v>
      </c>
      <c r="BY2" s="42">
        <f>Sheet4!BY2</f>
        <v>45382</v>
      </c>
      <c r="BZ2" s="42">
        <f>Sheet4!BZ2</f>
        <v>45389</v>
      </c>
      <c r="CA2" s="42">
        <f>Sheet4!CA2</f>
        <v>45396</v>
      </c>
      <c r="CB2" s="42">
        <f>Sheet4!CB2</f>
        <v>45403</v>
      </c>
      <c r="CC2" s="42">
        <f>Sheet4!CC2</f>
        <v>45410</v>
      </c>
      <c r="CD2" s="42">
        <f>Sheet4!CD2</f>
        <v>45417</v>
      </c>
      <c r="CE2" s="42">
        <f>Sheet4!CE2</f>
        <v>45424</v>
      </c>
      <c r="CF2" s="42">
        <f>Sheet4!CF2</f>
        <v>45431</v>
      </c>
      <c r="CG2" s="42">
        <f>Sheet4!CG2</f>
        <v>45438</v>
      </c>
      <c r="CH2" s="42">
        <f>Sheet4!CH2</f>
        <v>45445</v>
      </c>
      <c r="CI2" s="42">
        <f>Sheet4!CI2</f>
        <v>45452</v>
      </c>
      <c r="CJ2" s="42">
        <f>Sheet4!CJ2</f>
        <v>45459</v>
      </c>
      <c r="CK2" s="42">
        <f>Sheet4!CK2</f>
        <v>45466</v>
      </c>
      <c r="CL2" s="42">
        <f>Sheet4!CL2</f>
        <v>45473</v>
      </c>
      <c r="CM2" s="42">
        <f>Sheet4!CM2</f>
        <v>45480</v>
      </c>
      <c r="CN2" s="42">
        <f>Sheet4!CN2</f>
        <v>45487</v>
      </c>
      <c r="CO2" s="42">
        <f>Sheet4!CO2</f>
        <v>45494</v>
      </c>
      <c r="CP2" s="42">
        <f>Sheet4!CP2</f>
        <v>45501</v>
      </c>
      <c r="CQ2" s="42">
        <f>Sheet4!CQ2</f>
        <v>45508</v>
      </c>
      <c r="CR2" s="42">
        <f>Sheet4!CR2</f>
        <v>45515</v>
      </c>
      <c r="CS2" s="42">
        <f>Sheet4!CS2</f>
        <v>45522</v>
      </c>
      <c r="CT2" s="42">
        <f>Sheet4!CT2</f>
        <v>45529</v>
      </c>
      <c r="CU2" s="42">
        <f>Sheet4!CU2</f>
        <v>45536</v>
      </c>
      <c r="CV2" s="42">
        <f>Sheet4!CV2</f>
        <v>45543</v>
      </c>
      <c r="CW2" s="42">
        <f>Sheet4!CW2</f>
        <v>45550</v>
      </c>
      <c r="CX2" s="42">
        <f>Sheet4!CX2</f>
        <v>45557</v>
      </c>
      <c r="CY2" s="42">
        <f>Sheet4!CY2</f>
        <v>45564</v>
      </c>
      <c r="CZ2" s="42">
        <f>Sheet4!CZ2</f>
        <v>45571</v>
      </c>
      <c r="DA2" s="42">
        <f>Sheet4!DA2</f>
        <v>45578</v>
      </c>
      <c r="DB2" s="42">
        <f>Sheet4!DB2</f>
        <v>45585</v>
      </c>
      <c r="DC2" s="42">
        <f>Sheet4!DC2</f>
        <v>45592</v>
      </c>
      <c r="DD2" s="42">
        <f>Sheet4!DD2</f>
        <v>45599</v>
      </c>
      <c r="DE2" s="42">
        <f>Sheet4!DE2</f>
        <v>45606</v>
      </c>
      <c r="DF2" s="42">
        <f>Sheet4!DF2</f>
        <v>45613</v>
      </c>
      <c r="DG2" s="42">
        <f>Sheet4!DG2</f>
        <v>45620</v>
      </c>
      <c r="DH2" s="42">
        <f>Sheet4!DH2</f>
        <v>45627</v>
      </c>
      <c r="DI2" s="42">
        <f>Sheet4!DI2</f>
        <v>45634</v>
      </c>
      <c r="DJ2" s="42">
        <f>Sheet4!DJ2</f>
        <v>45641</v>
      </c>
      <c r="DK2" s="42">
        <f>Sheet4!DK2</f>
        <v>45648</v>
      </c>
      <c r="DL2" s="42">
        <f>Sheet4!DL2</f>
        <v>45655</v>
      </c>
      <c r="DM2" s="42">
        <f>Sheet4!DM2</f>
        <v>45662</v>
      </c>
      <c r="DN2" s="42">
        <f>Sheet4!DN2</f>
        <v>45669</v>
      </c>
      <c r="DO2" s="42">
        <f>Sheet4!DO2</f>
        <v>45676</v>
      </c>
      <c r="DP2" s="42">
        <f>Sheet4!DP2</f>
        <v>45683</v>
      </c>
      <c r="DQ2" s="42">
        <f>Sheet4!DQ2</f>
        <v>45690</v>
      </c>
    </row>
    <row r="3" spans="1:121" ht="14.4" x14ac:dyDescent="0.3">
      <c r="A3" s="90"/>
      <c r="B3" s="90"/>
      <c r="C3" s="90"/>
      <c r="D3" s="45">
        <f t="shared" ref="D3:DQ3" si="0">SUM(D4:D136)</f>
        <v>107</v>
      </c>
      <c r="E3" s="45">
        <f t="shared" si="0"/>
        <v>106.5</v>
      </c>
      <c r="F3" s="45">
        <f t="shared" si="0"/>
        <v>106.5</v>
      </c>
      <c r="G3" s="45">
        <f t="shared" si="0"/>
        <v>106.5</v>
      </c>
      <c r="H3" s="45">
        <f t="shared" si="0"/>
        <v>106.5</v>
      </c>
      <c r="I3" s="45">
        <f t="shared" si="0"/>
        <v>106.5</v>
      </c>
      <c r="J3" s="45">
        <f t="shared" si="0"/>
        <v>106.5</v>
      </c>
      <c r="K3" s="45">
        <f t="shared" si="0"/>
        <v>106.5</v>
      </c>
      <c r="L3" s="45">
        <f t="shared" si="0"/>
        <v>106.5</v>
      </c>
      <c r="M3" s="45">
        <f t="shared" si="0"/>
        <v>106.5</v>
      </c>
      <c r="N3" s="45">
        <f t="shared" si="0"/>
        <v>106.5</v>
      </c>
      <c r="O3" s="45">
        <f t="shared" si="0"/>
        <v>106.5</v>
      </c>
      <c r="P3" s="45">
        <f t="shared" si="0"/>
        <v>106.5</v>
      </c>
      <c r="Q3" s="45">
        <f t="shared" si="0"/>
        <v>106.5</v>
      </c>
      <c r="R3" s="45">
        <f t="shared" si="0"/>
        <v>106.5</v>
      </c>
      <c r="S3" s="45">
        <f t="shared" si="0"/>
        <v>106.5</v>
      </c>
      <c r="T3" s="45">
        <f t="shared" si="0"/>
        <v>106.5</v>
      </c>
      <c r="U3" s="45">
        <f t="shared" si="0"/>
        <v>105.5</v>
      </c>
      <c r="V3" s="45">
        <f t="shared" si="0"/>
        <v>105.5</v>
      </c>
      <c r="W3" s="45">
        <f t="shared" si="0"/>
        <v>99</v>
      </c>
      <c r="X3" s="45">
        <f t="shared" si="0"/>
        <v>106.5</v>
      </c>
      <c r="Y3" s="45">
        <f t="shared" si="0"/>
        <v>103</v>
      </c>
      <c r="Z3" s="45">
        <f t="shared" si="0"/>
        <v>109</v>
      </c>
      <c r="AA3" s="45">
        <f t="shared" si="0"/>
        <v>83.5</v>
      </c>
      <c r="AB3" s="45">
        <f t="shared" si="0"/>
        <v>130</v>
      </c>
      <c r="AC3" s="45">
        <f t="shared" si="0"/>
        <v>102</v>
      </c>
      <c r="AD3" s="45">
        <f t="shared" si="0"/>
        <v>102</v>
      </c>
      <c r="AE3" s="45">
        <f t="shared" si="0"/>
        <v>98.5</v>
      </c>
      <c r="AF3" s="45">
        <f t="shared" si="0"/>
        <v>113.5</v>
      </c>
      <c r="AG3" s="45">
        <f t="shared" si="0"/>
        <v>107.5</v>
      </c>
      <c r="AH3" s="45">
        <f t="shared" si="0"/>
        <v>113</v>
      </c>
      <c r="AI3" s="45">
        <f t="shared" si="0"/>
        <v>103.5</v>
      </c>
      <c r="AJ3" s="45">
        <f t="shared" si="0"/>
        <v>105.5</v>
      </c>
      <c r="AK3" s="45">
        <f t="shared" si="0"/>
        <v>108.5</v>
      </c>
      <c r="AL3" s="45">
        <f t="shared" si="0"/>
        <v>105</v>
      </c>
      <c r="AM3" s="45">
        <f t="shared" si="0"/>
        <v>108</v>
      </c>
      <c r="AN3" s="45">
        <f t="shared" si="0"/>
        <v>105.5</v>
      </c>
      <c r="AO3" s="45">
        <f t="shared" si="0"/>
        <v>106.5</v>
      </c>
      <c r="AP3" s="45">
        <f t="shared" si="0"/>
        <v>106</v>
      </c>
      <c r="AQ3" s="45">
        <f t="shared" si="0"/>
        <v>106.5</v>
      </c>
      <c r="AR3" s="45">
        <f t="shared" si="0"/>
        <v>95</v>
      </c>
      <c r="AS3" s="45">
        <f t="shared" si="0"/>
        <v>113</v>
      </c>
      <c r="AT3" s="45">
        <f t="shared" si="0"/>
        <v>105.5</v>
      </c>
      <c r="AU3" s="45">
        <f t="shared" si="0"/>
        <v>97.5</v>
      </c>
      <c r="AV3" s="45">
        <f t="shared" si="0"/>
        <v>105</v>
      </c>
      <c r="AW3" s="45">
        <f t="shared" si="0"/>
        <v>99.5</v>
      </c>
      <c r="AX3" s="45">
        <f t="shared" si="0"/>
        <v>95</v>
      </c>
      <c r="AY3" s="45">
        <f t="shared" si="0"/>
        <v>100</v>
      </c>
      <c r="AZ3" s="45">
        <f t="shared" si="0"/>
        <v>111</v>
      </c>
      <c r="BA3" s="45">
        <f t="shared" si="0"/>
        <v>103.5</v>
      </c>
      <c r="BB3" s="45">
        <f t="shared" si="0"/>
        <v>106</v>
      </c>
      <c r="BC3" s="45">
        <f t="shared" si="0"/>
        <v>100</v>
      </c>
      <c r="BD3" s="45">
        <f t="shared" si="0"/>
        <v>108</v>
      </c>
      <c r="BE3" s="45">
        <f t="shared" si="0"/>
        <v>100</v>
      </c>
      <c r="BF3" s="45">
        <f t="shared" si="0"/>
        <v>105.5</v>
      </c>
      <c r="BG3" s="45">
        <f t="shared" si="0"/>
        <v>82.5</v>
      </c>
      <c r="BH3" s="45">
        <f t="shared" si="0"/>
        <v>116.5</v>
      </c>
      <c r="BI3" s="45">
        <f t="shared" si="0"/>
        <v>95</v>
      </c>
      <c r="BJ3" s="45">
        <f t="shared" si="0"/>
        <v>113</v>
      </c>
      <c r="BK3" s="45">
        <f t="shared" si="0"/>
        <v>99.5</v>
      </c>
      <c r="BL3" s="45">
        <f t="shared" si="0"/>
        <v>110.5</v>
      </c>
      <c r="BM3" s="45">
        <f t="shared" si="0"/>
        <v>55</v>
      </c>
      <c r="BN3" s="45">
        <f t="shared" si="0"/>
        <v>138</v>
      </c>
      <c r="BO3" s="45">
        <f t="shared" si="0"/>
        <v>77.5</v>
      </c>
      <c r="BP3" s="45">
        <f t="shared" si="0"/>
        <v>122.5</v>
      </c>
      <c r="BQ3" s="45">
        <f t="shared" si="0"/>
        <v>99.5</v>
      </c>
      <c r="BR3" s="45">
        <f t="shared" si="0"/>
        <v>100.5</v>
      </c>
      <c r="BS3" s="45">
        <f t="shared" si="0"/>
        <v>128</v>
      </c>
      <c r="BT3" s="45">
        <f t="shared" si="0"/>
        <v>103</v>
      </c>
      <c r="BU3" s="45">
        <f t="shared" si="0"/>
        <v>86</v>
      </c>
      <c r="BV3" s="45">
        <f t="shared" si="0"/>
        <v>100</v>
      </c>
      <c r="BW3" s="45">
        <f t="shared" si="0"/>
        <v>86.5</v>
      </c>
      <c r="BX3" s="45">
        <f t="shared" si="0"/>
        <v>102.5</v>
      </c>
      <c r="BY3" s="45">
        <f t="shared" si="0"/>
        <v>87.5</v>
      </c>
      <c r="BZ3" s="45">
        <f t="shared" si="0"/>
        <v>92.5</v>
      </c>
      <c r="CA3" s="45">
        <f t="shared" si="0"/>
        <v>99.5</v>
      </c>
      <c r="CB3" s="45">
        <f t="shared" si="0"/>
        <v>108.5</v>
      </c>
      <c r="CC3" s="45">
        <f t="shared" si="0"/>
        <v>83.5</v>
      </c>
      <c r="CD3" s="45">
        <f t="shared" si="0"/>
        <v>56</v>
      </c>
      <c r="CE3" s="45">
        <f t="shared" si="0"/>
        <v>129.5</v>
      </c>
      <c r="CF3" s="45">
        <f t="shared" si="0"/>
        <v>87</v>
      </c>
      <c r="CG3" s="45">
        <f t="shared" si="0"/>
        <v>105</v>
      </c>
      <c r="CH3" s="45">
        <f t="shared" si="0"/>
        <v>100.5</v>
      </c>
      <c r="CI3" s="45">
        <f t="shared" si="0"/>
        <v>98.5</v>
      </c>
      <c r="CJ3" s="45">
        <f t="shared" si="0"/>
        <v>112.5</v>
      </c>
      <c r="CK3" s="45">
        <f t="shared" si="0"/>
        <v>89</v>
      </c>
      <c r="CL3" s="45">
        <f t="shared" si="0"/>
        <v>122</v>
      </c>
      <c r="CM3" s="45">
        <f t="shared" si="0"/>
        <v>105</v>
      </c>
      <c r="CN3" s="45">
        <f t="shared" si="0"/>
        <v>92</v>
      </c>
      <c r="CO3" s="45">
        <f t="shared" si="0"/>
        <v>112.5</v>
      </c>
      <c r="CP3" s="45">
        <f t="shared" si="0"/>
        <v>97</v>
      </c>
      <c r="CQ3" s="45">
        <f t="shared" si="0"/>
        <v>91</v>
      </c>
      <c r="CR3" s="45">
        <f t="shared" si="0"/>
        <v>102.5</v>
      </c>
      <c r="CS3" s="45">
        <f t="shared" si="0"/>
        <v>105</v>
      </c>
      <c r="CT3" s="45">
        <f t="shared" si="0"/>
        <v>77.5</v>
      </c>
      <c r="CU3" s="45">
        <f t="shared" si="0"/>
        <v>103</v>
      </c>
      <c r="CV3" s="45">
        <f t="shared" si="0"/>
        <v>91.5</v>
      </c>
      <c r="CW3" s="45">
        <f t="shared" si="0"/>
        <v>88</v>
      </c>
      <c r="CX3" s="45">
        <f t="shared" si="0"/>
        <v>94.5</v>
      </c>
      <c r="CY3" s="45">
        <f t="shared" si="0"/>
        <v>71</v>
      </c>
      <c r="CZ3" s="45">
        <f t="shared" si="0"/>
        <v>120.5</v>
      </c>
      <c r="DA3" s="45">
        <f t="shared" si="0"/>
        <v>100</v>
      </c>
      <c r="DB3" s="45">
        <f t="shared" si="0"/>
        <v>61.5</v>
      </c>
      <c r="DC3" s="45">
        <f t="shared" si="0"/>
        <v>95.5</v>
      </c>
      <c r="DD3" s="45">
        <f t="shared" si="0"/>
        <v>93</v>
      </c>
      <c r="DE3" s="45">
        <f t="shared" si="0"/>
        <v>86</v>
      </c>
      <c r="DF3" s="45">
        <f t="shared" si="0"/>
        <v>96.5</v>
      </c>
      <c r="DG3" s="45">
        <f t="shared" si="0"/>
        <v>97.5</v>
      </c>
      <c r="DH3" s="45">
        <f t="shared" si="0"/>
        <v>0</v>
      </c>
      <c r="DI3" s="45">
        <f t="shared" si="0"/>
        <v>0</v>
      </c>
      <c r="DJ3" s="45">
        <f t="shared" si="0"/>
        <v>0</v>
      </c>
      <c r="DK3" s="45">
        <f t="shared" si="0"/>
        <v>0</v>
      </c>
      <c r="DL3" s="45">
        <f t="shared" si="0"/>
        <v>0</v>
      </c>
      <c r="DM3" s="45">
        <f t="shared" si="0"/>
        <v>0</v>
      </c>
      <c r="DN3" s="45">
        <f t="shared" si="0"/>
        <v>0</v>
      </c>
      <c r="DO3" s="45">
        <f t="shared" si="0"/>
        <v>0</v>
      </c>
      <c r="DP3" s="45">
        <f t="shared" si="0"/>
        <v>0</v>
      </c>
      <c r="DQ3" s="45">
        <f t="shared" si="0"/>
        <v>0</v>
      </c>
    </row>
    <row r="4" spans="1:121" ht="14.4" x14ac:dyDescent="0.3">
      <c r="A4" s="40">
        <f>Sheet4!A3</f>
        <v>1</v>
      </c>
      <c r="B4" s="40" t="str">
        <f>Sheet4!B3</f>
        <v>መስፍን ሀ/ማሪያም</v>
      </c>
      <c r="C4" s="26">
        <f>Sheet4!C3</f>
        <v>21000</v>
      </c>
      <c r="D4" s="68">
        <f>Sheet4!D3</f>
        <v>1</v>
      </c>
      <c r="E4" s="68">
        <f>Sheet4!E3</f>
        <v>1</v>
      </c>
      <c r="F4" s="68">
        <f>Sheet4!F3</f>
        <v>1</v>
      </c>
      <c r="G4" s="68">
        <f>Sheet4!G3</f>
        <v>1</v>
      </c>
      <c r="H4" s="68">
        <f>Sheet4!H3</f>
        <v>1</v>
      </c>
      <c r="I4" s="68">
        <f>Sheet4!I3</f>
        <v>1</v>
      </c>
      <c r="J4" s="68">
        <f>Sheet4!J3</f>
        <v>1</v>
      </c>
      <c r="K4" s="68">
        <f>Sheet4!K3</f>
        <v>1</v>
      </c>
      <c r="L4" s="68">
        <f>Sheet4!L3</f>
        <v>1</v>
      </c>
      <c r="M4" s="68">
        <f>Sheet4!M3</f>
        <v>1</v>
      </c>
      <c r="N4" s="68">
        <f>Sheet4!N3</f>
        <v>1</v>
      </c>
      <c r="O4" s="68">
        <f>Sheet4!O3</f>
        <v>1</v>
      </c>
      <c r="P4" s="68">
        <f>Sheet4!P3</f>
        <v>1</v>
      </c>
      <c r="Q4" s="68">
        <f>Sheet4!Q3</f>
        <v>1</v>
      </c>
      <c r="R4" s="68">
        <f>Sheet4!R3</f>
        <v>1</v>
      </c>
      <c r="S4" s="68">
        <f>Sheet4!S3</f>
        <v>1</v>
      </c>
      <c r="T4" s="68">
        <f>Sheet4!T3</f>
        <v>1</v>
      </c>
      <c r="U4" s="68">
        <f>Sheet4!U3</f>
        <v>1</v>
      </c>
      <c r="V4" s="68">
        <f>Sheet4!V3</f>
        <v>1</v>
      </c>
      <c r="W4" s="68">
        <f>Sheet4!W3</f>
        <v>0</v>
      </c>
      <c r="X4" s="68">
        <f>Sheet4!X3</f>
        <v>1</v>
      </c>
      <c r="Y4" s="68">
        <f>Sheet4!Y3</f>
        <v>2</v>
      </c>
      <c r="Z4" s="68">
        <f>Sheet4!Z3</f>
        <v>1</v>
      </c>
      <c r="AA4" s="68">
        <f>Sheet4!AA3</f>
        <v>1</v>
      </c>
      <c r="AB4" s="68">
        <f>Sheet4!AB3</f>
        <v>1</v>
      </c>
      <c r="AC4" s="68">
        <f>Sheet4!AC3</f>
        <v>1</v>
      </c>
      <c r="AD4" s="68">
        <f>Sheet4!AD3</f>
        <v>1</v>
      </c>
      <c r="AE4" s="68">
        <f>Sheet4!AE3</f>
        <v>1</v>
      </c>
      <c r="AF4" s="68">
        <f>Sheet4!AF3</f>
        <v>1</v>
      </c>
      <c r="AG4" s="68">
        <f>Sheet4!AG3</f>
        <v>1</v>
      </c>
      <c r="AH4" s="68">
        <f>Sheet4!AH3</f>
        <v>0</v>
      </c>
      <c r="AI4" s="68">
        <f>Sheet4!AI3</f>
        <v>2</v>
      </c>
      <c r="AJ4" s="68">
        <f>Sheet4!AJ3</f>
        <v>0</v>
      </c>
      <c r="AK4" s="68">
        <f>Sheet4!AK3</f>
        <v>2</v>
      </c>
      <c r="AL4" s="68">
        <f>Sheet4!AL3</f>
        <v>1</v>
      </c>
      <c r="AM4" s="68">
        <f>Sheet4!AM3</f>
        <v>1</v>
      </c>
      <c r="AN4" s="68">
        <f>Sheet4!AN3</f>
        <v>1</v>
      </c>
      <c r="AO4" s="68">
        <f>Sheet4!AO3</f>
        <v>1</v>
      </c>
      <c r="AP4" s="68">
        <f>Sheet4!AP3</f>
        <v>1</v>
      </c>
      <c r="AQ4" s="68">
        <f>Sheet4!AQ3</f>
        <v>0</v>
      </c>
      <c r="AR4" s="68">
        <f>Sheet4!AR3</f>
        <v>0</v>
      </c>
      <c r="AS4" s="68">
        <f>Sheet4!AS3</f>
        <v>0</v>
      </c>
      <c r="AT4" s="68">
        <f>Sheet4!AT3</f>
        <v>4</v>
      </c>
      <c r="AU4" s="68">
        <f>Sheet4!AU3</f>
        <v>1</v>
      </c>
      <c r="AV4" s="68">
        <f>Sheet4!AV3</f>
        <v>1</v>
      </c>
      <c r="AW4" s="68">
        <f>Sheet4!AW3</f>
        <v>1</v>
      </c>
      <c r="AX4" s="68">
        <f>Sheet4!AX3</f>
        <v>0</v>
      </c>
      <c r="AY4" s="68">
        <f>Sheet4!AY3</f>
        <v>1</v>
      </c>
      <c r="AZ4" s="68">
        <f>Sheet4!AZ3</f>
        <v>1</v>
      </c>
      <c r="BA4" s="68">
        <f>Sheet4!BA3</f>
        <v>0</v>
      </c>
      <c r="BB4" s="68">
        <f>Sheet4!BB3</f>
        <v>2</v>
      </c>
      <c r="BC4" s="68">
        <f>Sheet4!BC3</f>
        <v>1</v>
      </c>
      <c r="BD4" s="68">
        <f>Sheet4!BD3</f>
        <v>2</v>
      </c>
      <c r="BE4" s="68">
        <f>Sheet4!BE3</f>
        <v>1</v>
      </c>
      <c r="BF4" s="68">
        <f>Sheet4!BF3</f>
        <v>0</v>
      </c>
      <c r="BG4" s="68">
        <f>Sheet4!BG3</f>
        <v>1</v>
      </c>
      <c r="BH4" s="68">
        <f>Sheet4!BH3</f>
        <v>2</v>
      </c>
      <c r="BI4" s="68">
        <f>Sheet4!BI3</f>
        <v>0</v>
      </c>
      <c r="BJ4" s="68">
        <f>Sheet4!BJ3</f>
        <v>2</v>
      </c>
      <c r="BK4" s="68">
        <f>Sheet4!BK3</f>
        <v>0</v>
      </c>
      <c r="BL4" s="68">
        <f>Sheet4!BL3</f>
        <v>0</v>
      </c>
      <c r="BM4" s="68">
        <f>Sheet4!BM3</f>
        <v>0</v>
      </c>
      <c r="BN4" s="68">
        <f>Sheet4!BN3</f>
        <v>4</v>
      </c>
      <c r="BO4" s="68">
        <f>Sheet4!BO3</f>
        <v>0</v>
      </c>
      <c r="BP4" s="68">
        <f>Sheet4!BP3</f>
        <v>0</v>
      </c>
      <c r="BQ4" s="68">
        <f>Sheet4!BQ3</f>
        <v>3</v>
      </c>
      <c r="BR4" s="68">
        <f>Sheet4!BR3</f>
        <v>0</v>
      </c>
      <c r="BS4" s="68">
        <f>Sheet4!BS3</f>
        <v>2</v>
      </c>
      <c r="BT4" s="68">
        <f>Sheet4!BT3</f>
        <v>1</v>
      </c>
      <c r="BU4" s="68">
        <f>Sheet4!BU3</f>
        <v>0</v>
      </c>
      <c r="BV4" s="68">
        <f>Sheet4!BV3</f>
        <v>2</v>
      </c>
      <c r="BW4" s="68">
        <f>Sheet4!BW3</f>
        <v>0</v>
      </c>
      <c r="BX4" s="68">
        <f>Sheet4!BX3</f>
        <v>0</v>
      </c>
      <c r="BY4" s="68">
        <f>Sheet4!BY3</f>
        <v>2</v>
      </c>
      <c r="BZ4" s="68">
        <f>Sheet4!BZ3</f>
        <v>1</v>
      </c>
      <c r="CA4" s="68">
        <f>Sheet4!CA3</f>
        <v>0</v>
      </c>
      <c r="CB4" s="68">
        <f>Sheet4!CB3</f>
        <v>0</v>
      </c>
      <c r="CC4" s="68">
        <f>Sheet4!CC3</f>
        <v>0</v>
      </c>
      <c r="CD4" s="68">
        <f>Sheet4!CD3</f>
        <v>0</v>
      </c>
      <c r="CE4" s="68">
        <f>Sheet4!CE3</f>
        <v>0</v>
      </c>
      <c r="CF4" s="68">
        <f>Sheet4!CF3</f>
        <v>2</v>
      </c>
      <c r="CG4" s="68">
        <f>Sheet4!CG3</f>
        <v>0</v>
      </c>
      <c r="CH4" s="68">
        <f>Sheet4!CH3</f>
        <v>4</v>
      </c>
      <c r="CI4" s="68">
        <f>Sheet4!CI3</f>
        <v>0</v>
      </c>
      <c r="CJ4" s="68">
        <f>Sheet4!CJ3</f>
        <v>5</v>
      </c>
      <c r="CK4" s="68">
        <f>Sheet4!CK3</f>
        <v>1</v>
      </c>
      <c r="CL4" s="68">
        <f>Sheet4!CL3</f>
        <v>1</v>
      </c>
      <c r="CM4" s="68">
        <f>Sheet4!CM3</f>
        <v>1</v>
      </c>
      <c r="CN4" s="68">
        <f>Sheet4!CN3</f>
        <v>0</v>
      </c>
      <c r="CO4" s="68">
        <f>Sheet4!CO3</f>
        <v>0</v>
      </c>
      <c r="CP4" s="68">
        <f>Sheet4!CP3</f>
        <v>1</v>
      </c>
      <c r="CQ4" s="68">
        <f>Sheet4!CQ3</f>
        <v>2</v>
      </c>
      <c r="CR4" s="68">
        <f>Sheet4!CR3</f>
        <v>2</v>
      </c>
      <c r="CS4" s="68">
        <f>Sheet4!CS3</f>
        <v>1</v>
      </c>
      <c r="CT4" s="68">
        <f>Sheet4!CT3</f>
        <v>0</v>
      </c>
      <c r="CU4" s="68">
        <f>Sheet4!CU3</f>
        <v>0</v>
      </c>
      <c r="CV4" s="68">
        <f>Sheet4!CV3</f>
        <v>1</v>
      </c>
      <c r="CW4" s="68">
        <f>Sheet4!CW3</f>
        <v>1</v>
      </c>
      <c r="CX4" s="68">
        <f>Sheet4!CX3</f>
        <v>2</v>
      </c>
      <c r="CY4" s="68">
        <f>Sheet4!CY3</f>
        <v>0</v>
      </c>
      <c r="CZ4" s="68">
        <f>Sheet4!CZ3</f>
        <v>0</v>
      </c>
      <c r="DA4" s="68">
        <f>Sheet4!DA3</f>
        <v>0</v>
      </c>
      <c r="DB4" s="68">
        <f>Sheet4!DB3</f>
        <v>1</v>
      </c>
      <c r="DC4" s="68">
        <f>Sheet4!DC3</f>
        <v>2</v>
      </c>
      <c r="DD4" s="68">
        <f>Sheet4!DD3</f>
        <v>1</v>
      </c>
      <c r="DE4" s="68">
        <f>Sheet4!DE3</f>
        <v>1</v>
      </c>
      <c r="DF4" s="68">
        <f>Sheet4!DF3</f>
        <v>0</v>
      </c>
      <c r="DG4" s="68">
        <f>Sheet4!DG3</f>
        <v>0</v>
      </c>
      <c r="DH4" s="68">
        <f>Sheet4!DH3</f>
        <v>0</v>
      </c>
      <c r="DI4" s="68">
        <f>Sheet4!DI3</f>
        <v>0</v>
      </c>
      <c r="DJ4" s="68">
        <f>Sheet4!DJ3</f>
        <v>0</v>
      </c>
      <c r="DK4" s="68">
        <f>Sheet4!DK3</f>
        <v>0</v>
      </c>
      <c r="DL4" s="68">
        <f>Sheet4!DL3</f>
        <v>0</v>
      </c>
      <c r="DM4" s="68">
        <f>Sheet4!DM3</f>
        <v>0</v>
      </c>
      <c r="DN4" s="68">
        <f>Sheet4!DN3</f>
        <v>0</v>
      </c>
      <c r="DO4" s="68">
        <f>Sheet4!DO3</f>
        <v>0</v>
      </c>
      <c r="DP4" s="68">
        <f>Sheet4!DP3</f>
        <v>0</v>
      </c>
      <c r="DQ4" s="68">
        <f>Sheet4!DQ3</f>
        <v>0</v>
      </c>
    </row>
    <row r="5" spans="1:121" ht="14.4" x14ac:dyDescent="0.3">
      <c r="A5" s="40">
        <f>Sheet4!A4</f>
        <v>2</v>
      </c>
      <c r="B5" s="40" t="str">
        <f>Sheet4!B4</f>
        <v>ዓማኑኤል አላሮ</v>
      </c>
      <c r="C5" s="26">
        <f>Sheet4!C4</f>
        <v>21000</v>
      </c>
      <c r="D5" s="68">
        <f>Sheet4!D4</f>
        <v>1</v>
      </c>
      <c r="E5" s="68">
        <f>Sheet4!E4</f>
        <v>1</v>
      </c>
      <c r="F5" s="68">
        <f>Sheet4!F4</f>
        <v>1</v>
      </c>
      <c r="G5" s="68">
        <f>Sheet4!G4</f>
        <v>1</v>
      </c>
      <c r="H5" s="68">
        <f>Sheet4!H4</f>
        <v>1</v>
      </c>
      <c r="I5" s="68">
        <f>Sheet4!I4</f>
        <v>1</v>
      </c>
      <c r="J5" s="68">
        <f>Sheet4!J4</f>
        <v>1</v>
      </c>
      <c r="K5" s="68">
        <f>Sheet4!K4</f>
        <v>1</v>
      </c>
      <c r="L5" s="68">
        <f>Sheet4!L4</f>
        <v>1</v>
      </c>
      <c r="M5" s="68">
        <f>Sheet4!M4</f>
        <v>1</v>
      </c>
      <c r="N5" s="68">
        <f>Sheet4!N4</f>
        <v>1</v>
      </c>
      <c r="O5" s="68">
        <f>Sheet4!O4</f>
        <v>1</v>
      </c>
      <c r="P5" s="68">
        <f>Sheet4!P4</f>
        <v>1</v>
      </c>
      <c r="Q5" s="68">
        <f>Sheet4!Q4</f>
        <v>1</v>
      </c>
      <c r="R5" s="68">
        <f>Sheet4!R4</f>
        <v>1</v>
      </c>
      <c r="S5" s="68">
        <f>Sheet4!S4</f>
        <v>1</v>
      </c>
      <c r="T5" s="68">
        <f>Sheet4!T4</f>
        <v>1</v>
      </c>
      <c r="U5" s="68">
        <f>Sheet4!U4</f>
        <v>1</v>
      </c>
      <c r="V5" s="68">
        <f>Sheet4!V4</f>
        <v>1</v>
      </c>
      <c r="W5" s="68">
        <f>Sheet4!W4</f>
        <v>1</v>
      </c>
      <c r="X5" s="68">
        <f>Sheet4!X4</f>
        <v>1</v>
      </c>
      <c r="Y5" s="68">
        <f>Sheet4!Y4</f>
        <v>1</v>
      </c>
      <c r="Z5" s="68">
        <f>Sheet4!Z4</f>
        <v>1</v>
      </c>
      <c r="AA5" s="68">
        <f>Sheet4!AA4</f>
        <v>1</v>
      </c>
      <c r="AB5" s="68">
        <f>Sheet4!AB4</f>
        <v>1</v>
      </c>
      <c r="AC5" s="68">
        <f>Sheet4!AC4</f>
        <v>1</v>
      </c>
      <c r="AD5" s="68">
        <f>Sheet4!AD4</f>
        <v>1</v>
      </c>
      <c r="AE5" s="68">
        <f>Sheet4!AE4</f>
        <v>1</v>
      </c>
      <c r="AF5" s="68">
        <f>Sheet4!AF4</f>
        <v>1</v>
      </c>
      <c r="AG5" s="68">
        <f>Sheet4!AG4</f>
        <v>1</v>
      </c>
      <c r="AH5" s="68">
        <f>Sheet4!AH4</f>
        <v>1</v>
      </c>
      <c r="AI5" s="68">
        <f>Sheet4!AI4</f>
        <v>1</v>
      </c>
      <c r="AJ5" s="68">
        <f>Sheet4!AJ4</f>
        <v>1</v>
      </c>
      <c r="AK5" s="68">
        <f>Sheet4!AK4</f>
        <v>1</v>
      </c>
      <c r="AL5" s="68">
        <f>Sheet4!AL4</f>
        <v>1</v>
      </c>
      <c r="AM5" s="68">
        <f>Sheet4!AM4</f>
        <v>1</v>
      </c>
      <c r="AN5" s="68">
        <f>Sheet4!AN4</f>
        <v>1</v>
      </c>
      <c r="AO5" s="68">
        <f>Sheet4!AO4</f>
        <v>1</v>
      </c>
      <c r="AP5" s="68">
        <f>Sheet4!AP4</f>
        <v>1</v>
      </c>
      <c r="AQ5" s="68">
        <f>Sheet4!AQ4</f>
        <v>1</v>
      </c>
      <c r="AR5" s="68">
        <f>Sheet4!AR4</f>
        <v>1</v>
      </c>
      <c r="AS5" s="68">
        <f>Sheet4!AS4</f>
        <v>1</v>
      </c>
      <c r="AT5" s="68">
        <f>Sheet4!AT4</f>
        <v>1</v>
      </c>
      <c r="AU5" s="68">
        <f>Sheet4!AU4</f>
        <v>1</v>
      </c>
      <c r="AV5" s="68">
        <f>Sheet4!AV4</f>
        <v>1</v>
      </c>
      <c r="AW5" s="68">
        <f>Sheet4!AW4</f>
        <v>1</v>
      </c>
      <c r="AX5" s="68">
        <f>Sheet4!AX4</f>
        <v>1</v>
      </c>
      <c r="AY5" s="68">
        <f>Sheet4!AY4</f>
        <v>1</v>
      </c>
      <c r="AZ5" s="68">
        <f>Sheet4!AZ4</f>
        <v>1</v>
      </c>
      <c r="BA5" s="68">
        <f>Sheet4!BA4</f>
        <v>1</v>
      </c>
      <c r="BB5" s="68">
        <f>Sheet4!BB4</f>
        <v>1</v>
      </c>
      <c r="BC5" s="68">
        <f>Sheet4!BC4</f>
        <v>1</v>
      </c>
      <c r="BD5" s="68">
        <f>Sheet4!BD4</f>
        <v>1</v>
      </c>
      <c r="BE5" s="68">
        <f>Sheet4!BE4</f>
        <v>1</v>
      </c>
      <c r="BF5" s="68">
        <f>Sheet4!BF4</f>
        <v>1</v>
      </c>
      <c r="BG5" s="68">
        <f>Sheet4!BG4</f>
        <v>1</v>
      </c>
      <c r="BH5" s="68">
        <f>Sheet4!BH4</f>
        <v>1</v>
      </c>
      <c r="BI5" s="68">
        <f>Sheet4!BI4</f>
        <v>1</v>
      </c>
      <c r="BJ5" s="68">
        <f>Sheet4!BJ4</f>
        <v>1</v>
      </c>
      <c r="BK5" s="68">
        <f>Sheet4!BK4</f>
        <v>1</v>
      </c>
      <c r="BL5" s="68">
        <f>Sheet4!BL4</f>
        <v>1</v>
      </c>
      <c r="BM5" s="68">
        <f>Sheet4!BM4</f>
        <v>1</v>
      </c>
      <c r="BN5" s="68">
        <f>Sheet4!BN4</f>
        <v>1</v>
      </c>
      <c r="BO5" s="68">
        <f>Sheet4!BO4</f>
        <v>1</v>
      </c>
      <c r="BP5" s="68">
        <f>Sheet4!BP4</f>
        <v>1</v>
      </c>
      <c r="BQ5" s="68">
        <f>Sheet4!BQ4</f>
        <v>1</v>
      </c>
      <c r="BR5" s="68">
        <f>Sheet4!BR4</f>
        <v>1</v>
      </c>
      <c r="BS5" s="68">
        <f>Sheet4!BS4</f>
        <v>1</v>
      </c>
      <c r="BT5" s="68">
        <f>Sheet4!BT4</f>
        <v>1</v>
      </c>
      <c r="BU5" s="68">
        <f>Sheet4!BU4</f>
        <v>1</v>
      </c>
      <c r="BV5" s="68">
        <f>Sheet4!BV4</f>
        <v>1</v>
      </c>
      <c r="BW5" s="68">
        <f>Sheet4!BW4</f>
        <v>1</v>
      </c>
      <c r="BX5" s="68">
        <f>Sheet4!BX4</f>
        <v>1</v>
      </c>
      <c r="BY5" s="68">
        <f>Sheet4!BY4</f>
        <v>1</v>
      </c>
      <c r="BZ5" s="68">
        <f>Sheet4!BZ4</f>
        <v>1</v>
      </c>
      <c r="CA5" s="68">
        <f>Sheet4!CA4</f>
        <v>1</v>
      </c>
      <c r="CB5" s="68">
        <f>Sheet4!CB4</f>
        <v>1</v>
      </c>
      <c r="CC5" s="68">
        <f>Sheet4!CC4</f>
        <v>1</v>
      </c>
      <c r="CD5" s="68">
        <f>Sheet4!CD4</f>
        <v>1</v>
      </c>
      <c r="CE5" s="68">
        <f>Sheet4!CE4</f>
        <v>1</v>
      </c>
      <c r="CF5" s="68">
        <f>Sheet4!CF4</f>
        <v>1</v>
      </c>
      <c r="CG5" s="68">
        <f>Sheet4!CG4</f>
        <v>1</v>
      </c>
      <c r="CH5" s="68">
        <f>Sheet4!CH4</f>
        <v>1</v>
      </c>
      <c r="CI5" s="68">
        <f>Sheet4!CI4</f>
        <v>1</v>
      </c>
      <c r="CJ5" s="68">
        <f>Sheet4!CJ4</f>
        <v>1</v>
      </c>
      <c r="CK5" s="68">
        <f>Sheet4!CK4</f>
        <v>1</v>
      </c>
      <c r="CL5" s="68">
        <f>Sheet4!CL4</f>
        <v>1</v>
      </c>
      <c r="CM5" s="68">
        <f>Sheet4!CM4</f>
        <v>1</v>
      </c>
      <c r="CN5" s="68">
        <f>Sheet4!CN4</f>
        <v>1</v>
      </c>
      <c r="CO5" s="68">
        <f>Sheet4!CO4</f>
        <v>1</v>
      </c>
      <c r="CP5" s="68">
        <f>Sheet4!CP4</f>
        <v>1</v>
      </c>
      <c r="CQ5" s="68">
        <f>Sheet4!CQ4</f>
        <v>1</v>
      </c>
      <c r="CR5" s="68">
        <f>Sheet4!CR4</f>
        <v>1</v>
      </c>
      <c r="CS5" s="68">
        <f>Sheet4!CS4</f>
        <v>1</v>
      </c>
      <c r="CT5" s="68">
        <f>Sheet4!CT4</f>
        <v>1</v>
      </c>
      <c r="CU5" s="68">
        <f>Sheet4!CU4</f>
        <v>1</v>
      </c>
      <c r="CV5" s="68">
        <f>Sheet4!CV4</f>
        <v>1</v>
      </c>
      <c r="CW5" s="68">
        <f>Sheet4!CW4</f>
        <v>1</v>
      </c>
      <c r="CX5" s="68">
        <f>Sheet4!CX4</f>
        <v>1</v>
      </c>
      <c r="CY5" s="68">
        <f>Sheet4!CY4</f>
        <v>1</v>
      </c>
      <c r="CZ5" s="68">
        <f>Sheet4!CZ4</f>
        <v>1</v>
      </c>
      <c r="DA5" s="68">
        <f>Sheet4!DA4</f>
        <v>1</v>
      </c>
      <c r="DB5" s="68">
        <f>Sheet4!DB4</f>
        <v>1</v>
      </c>
      <c r="DC5" s="68">
        <f>Sheet4!DC4</f>
        <v>1</v>
      </c>
      <c r="DD5" s="68">
        <f>Sheet4!DD4</f>
        <v>1</v>
      </c>
      <c r="DE5" s="68">
        <f>Sheet4!DE4</f>
        <v>1</v>
      </c>
      <c r="DF5" s="68">
        <f>Sheet4!DF4</f>
        <v>1</v>
      </c>
      <c r="DG5" s="68">
        <f>Sheet4!DG4</f>
        <v>1</v>
      </c>
      <c r="DH5" s="68">
        <f>Sheet4!DH4</f>
        <v>0</v>
      </c>
      <c r="DI5" s="68">
        <f>Sheet4!DI4</f>
        <v>0</v>
      </c>
      <c r="DJ5" s="68">
        <f>Sheet4!DJ4</f>
        <v>0</v>
      </c>
      <c r="DK5" s="68">
        <f>Sheet4!DK4</f>
        <v>0</v>
      </c>
      <c r="DL5" s="68">
        <f>Sheet4!DL4</f>
        <v>0</v>
      </c>
      <c r="DM5" s="68">
        <f>Sheet4!DM4</f>
        <v>0</v>
      </c>
      <c r="DN5" s="68">
        <f>Sheet4!DN4</f>
        <v>0</v>
      </c>
      <c r="DO5" s="68">
        <f>Sheet4!DO4</f>
        <v>0</v>
      </c>
      <c r="DP5" s="68">
        <f>Sheet4!DP4</f>
        <v>0</v>
      </c>
      <c r="DQ5" s="68">
        <f>Sheet4!DQ4</f>
        <v>0</v>
      </c>
    </row>
    <row r="6" spans="1:121" ht="14.4" x14ac:dyDescent="0.3">
      <c r="A6" s="40">
        <f>Sheet4!A5</f>
        <v>3</v>
      </c>
      <c r="B6" s="40" t="str">
        <f>Sheet4!B5</f>
        <v>ብርሃኑ ማሩ</v>
      </c>
      <c r="C6" s="26">
        <f>Sheet4!C5</f>
        <v>21000</v>
      </c>
      <c r="D6" s="68">
        <f>Sheet4!D5</f>
        <v>1</v>
      </c>
      <c r="E6" s="68">
        <f>Sheet4!E5</f>
        <v>1</v>
      </c>
      <c r="F6" s="68">
        <f>Sheet4!F5</f>
        <v>1</v>
      </c>
      <c r="G6" s="68">
        <f>Sheet4!G5</f>
        <v>1</v>
      </c>
      <c r="H6" s="68">
        <f>Sheet4!H5</f>
        <v>1</v>
      </c>
      <c r="I6" s="68">
        <f>Sheet4!I5</f>
        <v>1</v>
      </c>
      <c r="J6" s="68">
        <f>Sheet4!J5</f>
        <v>1</v>
      </c>
      <c r="K6" s="68">
        <f>Sheet4!K5</f>
        <v>1</v>
      </c>
      <c r="L6" s="68">
        <f>Sheet4!L5</f>
        <v>1</v>
      </c>
      <c r="M6" s="68">
        <f>Sheet4!M5</f>
        <v>1</v>
      </c>
      <c r="N6" s="68">
        <f>Sheet4!N5</f>
        <v>1</v>
      </c>
      <c r="O6" s="68">
        <f>Sheet4!O5</f>
        <v>1</v>
      </c>
      <c r="P6" s="68">
        <f>Sheet4!P5</f>
        <v>1</v>
      </c>
      <c r="Q6" s="68">
        <f>Sheet4!Q5</f>
        <v>1</v>
      </c>
      <c r="R6" s="68">
        <f>Sheet4!R5</f>
        <v>1</v>
      </c>
      <c r="S6" s="68">
        <f>Sheet4!S5</f>
        <v>1</v>
      </c>
      <c r="T6" s="68">
        <f>Sheet4!T5</f>
        <v>1</v>
      </c>
      <c r="U6" s="68">
        <f>Sheet4!U5</f>
        <v>1</v>
      </c>
      <c r="V6" s="68">
        <f>Sheet4!V5</f>
        <v>1</v>
      </c>
      <c r="W6" s="68">
        <f>Sheet4!W5</f>
        <v>1</v>
      </c>
      <c r="X6" s="68">
        <f>Sheet4!X5</f>
        <v>1</v>
      </c>
      <c r="Y6" s="68">
        <f>Sheet4!Y5</f>
        <v>1</v>
      </c>
      <c r="Z6" s="68">
        <f>Sheet4!Z5</f>
        <v>1</v>
      </c>
      <c r="AA6" s="68">
        <f>Sheet4!AA5</f>
        <v>1</v>
      </c>
      <c r="AB6" s="68">
        <f>Sheet4!AB5</f>
        <v>1</v>
      </c>
      <c r="AC6" s="68">
        <f>Sheet4!AC5</f>
        <v>1</v>
      </c>
      <c r="AD6" s="68">
        <f>Sheet4!AD5</f>
        <v>1</v>
      </c>
      <c r="AE6" s="68">
        <f>Sheet4!AE5</f>
        <v>1</v>
      </c>
      <c r="AF6" s="68">
        <f>Sheet4!AF5</f>
        <v>1</v>
      </c>
      <c r="AG6" s="68">
        <f>Sheet4!AG5</f>
        <v>1</v>
      </c>
      <c r="AH6" s="68">
        <f>Sheet4!AH5</f>
        <v>1</v>
      </c>
      <c r="AI6" s="68">
        <f>Sheet4!AI5</f>
        <v>1</v>
      </c>
      <c r="AJ6" s="68">
        <f>Sheet4!AJ5</f>
        <v>1</v>
      </c>
      <c r="AK6" s="68">
        <f>Sheet4!AK5</f>
        <v>1</v>
      </c>
      <c r="AL6" s="68">
        <f>Sheet4!AL5</f>
        <v>1</v>
      </c>
      <c r="AM6" s="68">
        <f>Sheet4!AM5</f>
        <v>1</v>
      </c>
      <c r="AN6" s="68">
        <f>Sheet4!AN5</f>
        <v>1</v>
      </c>
      <c r="AO6" s="68">
        <f>Sheet4!AO5</f>
        <v>1</v>
      </c>
      <c r="AP6" s="68">
        <f>Sheet4!AP5</f>
        <v>1</v>
      </c>
      <c r="AQ6" s="68">
        <f>Sheet4!AQ5</f>
        <v>1</v>
      </c>
      <c r="AR6" s="68">
        <f>Sheet4!AR5</f>
        <v>1</v>
      </c>
      <c r="AS6" s="68">
        <f>Sheet4!AS5</f>
        <v>1</v>
      </c>
      <c r="AT6" s="68">
        <f>Sheet4!AT5</f>
        <v>1</v>
      </c>
      <c r="AU6" s="68">
        <f>Sheet4!AU5</f>
        <v>1</v>
      </c>
      <c r="AV6" s="68">
        <f>Sheet4!AV5</f>
        <v>1</v>
      </c>
      <c r="AW6" s="68">
        <f>Sheet4!AW5</f>
        <v>1</v>
      </c>
      <c r="AX6" s="68">
        <f>Sheet4!AX5</f>
        <v>1</v>
      </c>
      <c r="AY6" s="68">
        <f>Sheet4!AY5</f>
        <v>1</v>
      </c>
      <c r="AZ6" s="68">
        <f>Sheet4!AZ5</f>
        <v>1</v>
      </c>
      <c r="BA6" s="68">
        <f>Sheet4!BA5</f>
        <v>1</v>
      </c>
      <c r="BB6" s="68">
        <f>Sheet4!BB5</f>
        <v>1</v>
      </c>
      <c r="BC6" s="68">
        <f>Sheet4!BC5</f>
        <v>1</v>
      </c>
      <c r="BD6" s="68">
        <f>Sheet4!BD5</f>
        <v>1</v>
      </c>
      <c r="BE6" s="68">
        <f>Sheet4!BE5</f>
        <v>1</v>
      </c>
      <c r="BF6" s="68">
        <f>Sheet4!BF5</f>
        <v>1</v>
      </c>
      <c r="BG6" s="68">
        <f>Sheet4!BG5</f>
        <v>1</v>
      </c>
      <c r="BH6" s="68">
        <f>Sheet4!BH5</f>
        <v>1</v>
      </c>
      <c r="BI6" s="68">
        <f>Sheet4!BI5</f>
        <v>1</v>
      </c>
      <c r="BJ6" s="68">
        <f>Sheet4!BJ5</f>
        <v>1</v>
      </c>
      <c r="BK6" s="68">
        <f>Sheet4!BK5</f>
        <v>1</v>
      </c>
      <c r="BL6" s="68">
        <f>Sheet4!BL5</f>
        <v>1</v>
      </c>
      <c r="BM6" s="68">
        <f>Sheet4!BM5</f>
        <v>1</v>
      </c>
      <c r="BN6" s="68">
        <f>Sheet4!BN5</f>
        <v>0</v>
      </c>
      <c r="BO6" s="68">
        <f>Sheet4!BO5</f>
        <v>1</v>
      </c>
      <c r="BP6" s="68">
        <f>Sheet4!BP5</f>
        <v>1</v>
      </c>
      <c r="BQ6" s="68">
        <f>Sheet4!BQ5</f>
        <v>1</v>
      </c>
      <c r="BR6" s="68">
        <f>Sheet4!BR5</f>
        <v>1</v>
      </c>
      <c r="BS6" s="68">
        <f>Sheet4!BS5</f>
        <v>1</v>
      </c>
      <c r="BT6" s="68">
        <f>Sheet4!BT5</f>
        <v>1</v>
      </c>
      <c r="BU6" s="68">
        <f>Sheet4!BU5</f>
        <v>1</v>
      </c>
      <c r="BV6" s="68">
        <f>Sheet4!BV5</f>
        <v>1</v>
      </c>
      <c r="BW6" s="68">
        <f>Sheet4!BW5</f>
        <v>1</v>
      </c>
      <c r="BX6" s="68">
        <f>Sheet4!BX5</f>
        <v>1</v>
      </c>
      <c r="BY6" s="68">
        <f>Sheet4!BY5</f>
        <v>1</v>
      </c>
      <c r="BZ6" s="68">
        <f>Sheet4!BZ5</f>
        <v>1</v>
      </c>
      <c r="CA6" s="68">
        <f>Sheet4!CA5</f>
        <v>1</v>
      </c>
      <c r="CB6" s="68">
        <f>Sheet4!CB5</f>
        <v>1</v>
      </c>
      <c r="CC6" s="68">
        <f>Sheet4!CC5</f>
        <v>1</v>
      </c>
      <c r="CD6" s="68">
        <f>Sheet4!CD5</f>
        <v>1</v>
      </c>
      <c r="CE6" s="68">
        <f>Sheet4!CE5</f>
        <v>1</v>
      </c>
      <c r="CF6" s="68">
        <f>Sheet4!CF5</f>
        <v>1</v>
      </c>
      <c r="CG6" s="68">
        <f>Sheet4!CG5</f>
        <v>1</v>
      </c>
      <c r="CH6" s="68">
        <f>Sheet4!CH5</f>
        <v>1</v>
      </c>
      <c r="CI6" s="68">
        <f>Sheet4!CI5</f>
        <v>1</v>
      </c>
      <c r="CJ6" s="68">
        <f>Sheet4!CJ5</f>
        <v>1</v>
      </c>
      <c r="CK6" s="68">
        <f>Sheet4!CK5</f>
        <v>1</v>
      </c>
      <c r="CL6" s="68">
        <f>Sheet4!CL5</f>
        <v>1</v>
      </c>
      <c r="CM6" s="68">
        <f>Sheet4!CM5</f>
        <v>1</v>
      </c>
      <c r="CN6" s="68">
        <f>Sheet4!CN5</f>
        <v>1</v>
      </c>
      <c r="CO6" s="68">
        <f>Sheet4!CO5</f>
        <v>1</v>
      </c>
      <c r="CP6" s="68">
        <f>Sheet4!CP5</f>
        <v>1</v>
      </c>
      <c r="CQ6" s="68">
        <f>Sheet4!CQ5</f>
        <v>1</v>
      </c>
      <c r="CR6" s="68">
        <f>Sheet4!CR5</f>
        <v>1</v>
      </c>
      <c r="CS6" s="68">
        <f>Sheet4!CS5</f>
        <v>1</v>
      </c>
      <c r="CT6" s="68">
        <f>Sheet4!CT5</f>
        <v>1</v>
      </c>
      <c r="CU6" s="68">
        <f>Sheet4!CU5</f>
        <v>1</v>
      </c>
      <c r="CV6" s="68">
        <f>Sheet4!CV5</f>
        <v>1</v>
      </c>
      <c r="CW6" s="68">
        <f>Sheet4!CW5</f>
        <v>1</v>
      </c>
      <c r="CX6" s="68">
        <f>Sheet4!CX5</f>
        <v>1</v>
      </c>
      <c r="CY6" s="68">
        <f>Sheet4!CY5</f>
        <v>1</v>
      </c>
      <c r="CZ6" s="68">
        <f>Sheet4!CZ5</f>
        <v>1</v>
      </c>
      <c r="DA6" s="68">
        <f>Sheet4!DA5</f>
        <v>1</v>
      </c>
      <c r="DB6" s="68">
        <f>Sheet4!DB5</f>
        <v>1</v>
      </c>
      <c r="DC6" s="68">
        <f>Sheet4!DC5</f>
        <v>1</v>
      </c>
      <c r="DD6" s="68">
        <f>Sheet4!DD5</f>
        <v>0</v>
      </c>
      <c r="DE6" s="68">
        <f>Sheet4!DE5</f>
        <v>2</v>
      </c>
      <c r="DF6" s="68">
        <f>Sheet4!DF5</f>
        <v>1</v>
      </c>
      <c r="DG6" s="68">
        <f>Sheet4!DG5</f>
        <v>1</v>
      </c>
      <c r="DH6" s="68">
        <f>Sheet4!DH5</f>
        <v>0</v>
      </c>
      <c r="DI6" s="68">
        <f>Sheet4!DI5</f>
        <v>0</v>
      </c>
      <c r="DJ6" s="68">
        <f>Sheet4!DJ5</f>
        <v>0</v>
      </c>
      <c r="DK6" s="68">
        <f>Sheet4!DK5</f>
        <v>0</v>
      </c>
      <c r="DL6" s="68">
        <f>Sheet4!DL5</f>
        <v>0</v>
      </c>
      <c r="DM6" s="68">
        <f>Sheet4!DM5</f>
        <v>0</v>
      </c>
      <c r="DN6" s="68">
        <f>Sheet4!DN5</f>
        <v>0</v>
      </c>
      <c r="DO6" s="68">
        <f>Sheet4!DO5</f>
        <v>0</v>
      </c>
      <c r="DP6" s="68">
        <f>Sheet4!DP5</f>
        <v>0</v>
      </c>
      <c r="DQ6" s="68">
        <f>Sheet4!DQ5</f>
        <v>0</v>
      </c>
    </row>
    <row r="7" spans="1:121" ht="14.4" x14ac:dyDescent="0.3">
      <c r="A7" s="40">
        <f>Sheet4!A6</f>
        <v>4</v>
      </c>
      <c r="B7" s="40" t="str">
        <f>Sheet4!B6</f>
        <v>ከፈለኝ ፃዲቁ</v>
      </c>
      <c r="C7" s="26">
        <f>Sheet4!C6</f>
        <v>21000</v>
      </c>
      <c r="D7" s="68">
        <f>Sheet4!D6</f>
        <v>0</v>
      </c>
      <c r="E7" s="68">
        <f>Sheet4!E6</f>
        <v>0</v>
      </c>
      <c r="F7" s="68">
        <f>Sheet4!F6</f>
        <v>0</v>
      </c>
      <c r="G7" s="68">
        <f>Sheet4!G6</f>
        <v>0</v>
      </c>
      <c r="H7" s="68">
        <f>Sheet4!H6</f>
        <v>0</v>
      </c>
      <c r="I7" s="68">
        <f>Sheet4!I6</f>
        <v>0</v>
      </c>
      <c r="J7" s="68">
        <f>Sheet4!J6</f>
        <v>0</v>
      </c>
      <c r="K7" s="68">
        <f>Sheet4!K6</f>
        <v>0</v>
      </c>
      <c r="L7" s="68">
        <f>Sheet4!L6</f>
        <v>0</v>
      </c>
      <c r="M7" s="68">
        <f>Sheet4!M6</f>
        <v>0</v>
      </c>
      <c r="N7" s="68">
        <f>Sheet4!N6</f>
        <v>0</v>
      </c>
      <c r="O7" s="68">
        <f>Sheet4!O6</f>
        <v>0</v>
      </c>
      <c r="P7" s="68">
        <f>Sheet4!P6</f>
        <v>0</v>
      </c>
      <c r="Q7" s="68">
        <f>Sheet4!Q6</f>
        <v>0</v>
      </c>
      <c r="R7" s="68">
        <f>Sheet4!R6</f>
        <v>0</v>
      </c>
      <c r="S7" s="68">
        <f>Sheet4!S6</f>
        <v>0</v>
      </c>
      <c r="T7" s="68">
        <f>Sheet4!T6</f>
        <v>0</v>
      </c>
      <c r="U7" s="68">
        <f>Sheet4!U6</f>
        <v>0</v>
      </c>
      <c r="V7" s="68">
        <f>Sheet4!V6</f>
        <v>0</v>
      </c>
      <c r="W7" s="68">
        <f>Sheet4!W6</f>
        <v>0</v>
      </c>
      <c r="X7" s="68">
        <f>Sheet4!X6</f>
        <v>0</v>
      </c>
      <c r="Y7" s="68">
        <f>Sheet4!Y6</f>
        <v>0</v>
      </c>
      <c r="Z7" s="68">
        <f>Sheet4!Z6</f>
        <v>0</v>
      </c>
      <c r="AA7" s="68">
        <f>Sheet4!AA6</f>
        <v>0</v>
      </c>
      <c r="AB7" s="68">
        <f>Sheet4!AB6</f>
        <v>0</v>
      </c>
      <c r="AC7" s="68">
        <f>Sheet4!AC6</f>
        <v>0</v>
      </c>
      <c r="AD7" s="68">
        <f>Sheet4!AD6</f>
        <v>0</v>
      </c>
      <c r="AE7" s="68">
        <f>Sheet4!AE6</f>
        <v>0</v>
      </c>
      <c r="AF7" s="68">
        <f>Sheet4!AF6</f>
        <v>0</v>
      </c>
      <c r="AG7" s="68">
        <f>Sheet4!AG6</f>
        <v>0</v>
      </c>
      <c r="AH7" s="68">
        <f>Sheet4!AH6</f>
        <v>0</v>
      </c>
      <c r="AI7" s="68">
        <f>Sheet4!AI6</f>
        <v>0</v>
      </c>
      <c r="AJ7" s="68">
        <f>Sheet4!AJ6</f>
        <v>0</v>
      </c>
      <c r="AK7" s="68">
        <f>Sheet4!AK6</f>
        <v>0</v>
      </c>
      <c r="AL7" s="68">
        <f>Sheet4!AL6</f>
        <v>0</v>
      </c>
      <c r="AM7" s="68">
        <f>Sheet4!AM6</f>
        <v>0</v>
      </c>
      <c r="AN7" s="68">
        <f>Sheet4!AN6</f>
        <v>0</v>
      </c>
      <c r="AO7" s="68">
        <f>Sheet4!AO6</f>
        <v>0</v>
      </c>
      <c r="AP7" s="68">
        <f>Sheet4!AP6</f>
        <v>0</v>
      </c>
      <c r="AQ7" s="68">
        <f>Sheet4!AQ6</f>
        <v>0</v>
      </c>
      <c r="AR7" s="68">
        <f>Sheet4!AR6</f>
        <v>0</v>
      </c>
      <c r="AS7" s="68">
        <f>Sheet4!AS6</f>
        <v>0</v>
      </c>
      <c r="AT7" s="68">
        <f>Sheet4!AT6</f>
        <v>0</v>
      </c>
      <c r="AU7" s="68">
        <f>Sheet4!AU6</f>
        <v>0</v>
      </c>
      <c r="AV7" s="68">
        <f>Sheet4!AV6</f>
        <v>0</v>
      </c>
      <c r="AW7" s="68">
        <f>Sheet4!AW6</f>
        <v>0</v>
      </c>
      <c r="AX7" s="68">
        <f>Sheet4!AX6</f>
        <v>0</v>
      </c>
      <c r="AY7" s="68">
        <f>Sheet4!AY6</f>
        <v>0</v>
      </c>
      <c r="AZ7" s="68">
        <f>Sheet4!AZ6</f>
        <v>0</v>
      </c>
      <c r="BA7" s="68">
        <f>Sheet4!BA6</f>
        <v>0</v>
      </c>
      <c r="BB7" s="68">
        <f>Sheet4!BB6</f>
        <v>0</v>
      </c>
      <c r="BC7" s="68">
        <f>Sheet4!BC6</f>
        <v>0</v>
      </c>
      <c r="BD7" s="68">
        <f>Sheet4!BD6</f>
        <v>0</v>
      </c>
      <c r="BE7" s="68">
        <f>Sheet4!BE6</f>
        <v>0</v>
      </c>
      <c r="BF7" s="68">
        <f>Sheet4!BF6</f>
        <v>0</v>
      </c>
      <c r="BG7" s="68">
        <f>Sheet4!BG6</f>
        <v>0</v>
      </c>
      <c r="BH7" s="68">
        <f>Sheet4!BH6</f>
        <v>0</v>
      </c>
      <c r="BI7" s="68">
        <f>Sheet4!BI6</f>
        <v>0</v>
      </c>
      <c r="BJ7" s="68">
        <f>Sheet4!BJ6</f>
        <v>0</v>
      </c>
      <c r="BK7" s="68">
        <f>Sheet4!BK6</f>
        <v>0</v>
      </c>
      <c r="BL7" s="68">
        <f>Sheet4!BL6</f>
        <v>0</v>
      </c>
      <c r="BM7" s="68">
        <f>Sheet4!BM6</f>
        <v>0</v>
      </c>
      <c r="BN7" s="68">
        <f>Sheet4!BN6</f>
        <v>0</v>
      </c>
      <c r="BO7" s="68">
        <f>Sheet4!BO6</f>
        <v>0</v>
      </c>
      <c r="BP7" s="68">
        <f>Sheet4!BP6</f>
        <v>0</v>
      </c>
      <c r="BQ7" s="68">
        <f>Sheet4!BQ6</f>
        <v>0</v>
      </c>
      <c r="BR7" s="68">
        <f>Sheet4!BR6</f>
        <v>0</v>
      </c>
      <c r="BS7" s="68">
        <f>Sheet4!BS6</f>
        <v>0</v>
      </c>
      <c r="BT7" s="68">
        <f>Sheet4!BT6</f>
        <v>0</v>
      </c>
      <c r="BU7" s="68">
        <f>Sheet4!BU6</f>
        <v>0</v>
      </c>
      <c r="BV7" s="68">
        <f>Sheet4!BV6</f>
        <v>0</v>
      </c>
      <c r="BW7" s="68">
        <f>Sheet4!BW6</f>
        <v>0</v>
      </c>
      <c r="BX7" s="68">
        <f>Sheet4!BX6</f>
        <v>0</v>
      </c>
      <c r="BY7" s="68">
        <f>Sheet4!BY6</f>
        <v>0</v>
      </c>
      <c r="BZ7" s="68">
        <f>Sheet4!BZ6</f>
        <v>0</v>
      </c>
      <c r="CA7" s="68">
        <f>Sheet4!CA6</f>
        <v>0</v>
      </c>
      <c r="CB7" s="68">
        <f>Sheet4!CB6</f>
        <v>0</v>
      </c>
      <c r="CC7" s="68">
        <f>Sheet4!CC6</f>
        <v>0</v>
      </c>
      <c r="CD7" s="68">
        <f>Sheet4!CD6</f>
        <v>0</v>
      </c>
      <c r="CE7" s="68">
        <f>Sheet4!CE6</f>
        <v>0</v>
      </c>
      <c r="CF7" s="68">
        <f>Sheet4!CF6</f>
        <v>0</v>
      </c>
      <c r="CG7" s="68">
        <f>Sheet4!CG6</f>
        <v>0</v>
      </c>
      <c r="CH7" s="68">
        <f>Sheet4!CH6</f>
        <v>0</v>
      </c>
      <c r="CI7" s="68">
        <f>Sheet4!CI6</f>
        <v>0</v>
      </c>
      <c r="CJ7" s="68">
        <f>Sheet4!CJ6</f>
        <v>0</v>
      </c>
      <c r="CK7" s="68">
        <f>Sheet4!CK6</f>
        <v>0</v>
      </c>
      <c r="CL7" s="68">
        <f>Sheet4!CL6</f>
        <v>0</v>
      </c>
      <c r="CM7" s="68">
        <f>Sheet4!CM6</f>
        <v>0</v>
      </c>
      <c r="CN7" s="68">
        <f>Sheet4!CN6</f>
        <v>0</v>
      </c>
      <c r="CO7" s="68">
        <f>Sheet4!CO6</f>
        <v>0</v>
      </c>
      <c r="CP7" s="68">
        <f>Sheet4!CP6</f>
        <v>0</v>
      </c>
      <c r="CQ7" s="68">
        <f>Sheet4!CQ6</f>
        <v>0</v>
      </c>
      <c r="CR7" s="68">
        <f>Sheet4!CR6</f>
        <v>0</v>
      </c>
      <c r="CS7" s="68">
        <f>Sheet4!CS6</f>
        <v>0</v>
      </c>
      <c r="CT7" s="68">
        <f>Sheet4!CT6</f>
        <v>0</v>
      </c>
      <c r="CU7" s="68">
        <f>Sheet4!CU6</f>
        <v>0</v>
      </c>
      <c r="CV7" s="68">
        <f>Sheet4!CV6</f>
        <v>0</v>
      </c>
      <c r="CW7" s="68">
        <f>Sheet4!CW6</f>
        <v>0</v>
      </c>
      <c r="CX7" s="68">
        <f>Sheet4!CX6</f>
        <v>0</v>
      </c>
      <c r="CY7" s="68">
        <f>Sheet4!CY6</f>
        <v>0</v>
      </c>
      <c r="CZ7" s="68">
        <f>Sheet4!CZ6</f>
        <v>0</v>
      </c>
      <c r="DA7" s="68">
        <f>Sheet4!DA6</f>
        <v>0</v>
      </c>
      <c r="DB7" s="68">
        <f>Sheet4!DB6</f>
        <v>0</v>
      </c>
      <c r="DC7" s="68">
        <f>Sheet4!DC6</f>
        <v>0</v>
      </c>
      <c r="DD7" s="68">
        <f>Sheet4!DD6</f>
        <v>0</v>
      </c>
      <c r="DE7" s="68">
        <f>Sheet4!DE6</f>
        <v>0</v>
      </c>
      <c r="DF7" s="68">
        <f>Sheet4!DF6</f>
        <v>0</v>
      </c>
      <c r="DG7" s="68">
        <f>Sheet4!DG6</f>
        <v>0</v>
      </c>
      <c r="DH7" s="68">
        <f>Sheet4!DH6</f>
        <v>0</v>
      </c>
      <c r="DI7" s="68">
        <f>Sheet4!DI6</f>
        <v>0</v>
      </c>
      <c r="DJ7" s="68">
        <f>Sheet4!DJ6</f>
        <v>0</v>
      </c>
      <c r="DK7" s="68">
        <f>Sheet4!DK6</f>
        <v>0</v>
      </c>
      <c r="DL7" s="68">
        <f>Sheet4!DL6</f>
        <v>0</v>
      </c>
      <c r="DM7" s="68">
        <f>Sheet4!DM6</f>
        <v>0</v>
      </c>
      <c r="DN7" s="68">
        <f>Sheet4!DN6</f>
        <v>0</v>
      </c>
      <c r="DO7" s="68">
        <f>Sheet4!DO6</f>
        <v>0</v>
      </c>
      <c r="DP7" s="68">
        <f>Sheet4!DP6</f>
        <v>0</v>
      </c>
      <c r="DQ7" s="68">
        <f>Sheet4!DQ6</f>
        <v>0</v>
      </c>
    </row>
    <row r="8" spans="1:121" ht="14.4" x14ac:dyDescent="0.3">
      <c r="A8" s="40">
        <f>Sheet4!A7</f>
        <v>5</v>
      </c>
      <c r="B8" s="40" t="str">
        <f>Sheet4!B7</f>
        <v>አስፈው ወርጂ</v>
      </c>
      <c r="C8" s="26">
        <f>Sheet4!C7</f>
        <v>21000</v>
      </c>
      <c r="D8" s="68">
        <f>Sheet4!D7</f>
        <v>1</v>
      </c>
      <c r="E8" s="68">
        <f>Sheet4!E7</f>
        <v>1</v>
      </c>
      <c r="F8" s="68">
        <f>Sheet4!F7</f>
        <v>1</v>
      </c>
      <c r="G8" s="68">
        <f>Sheet4!G7</f>
        <v>1</v>
      </c>
      <c r="H8" s="68">
        <f>Sheet4!H7</f>
        <v>1</v>
      </c>
      <c r="I8" s="68">
        <f>Sheet4!I7</f>
        <v>1</v>
      </c>
      <c r="J8" s="68">
        <f>Sheet4!J7</f>
        <v>1</v>
      </c>
      <c r="K8" s="68">
        <f>Sheet4!K7</f>
        <v>1</v>
      </c>
      <c r="L8" s="68">
        <f>Sheet4!L7</f>
        <v>1</v>
      </c>
      <c r="M8" s="68">
        <f>Sheet4!M7</f>
        <v>1</v>
      </c>
      <c r="N8" s="68">
        <f>Sheet4!N7</f>
        <v>1</v>
      </c>
      <c r="O8" s="68">
        <f>Sheet4!O7</f>
        <v>1</v>
      </c>
      <c r="P8" s="68">
        <f>Sheet4!P7</f>
        <v>1</v>
      </c>
      <c r="Q8" s="68">
        <f>Sheet4!Q7</f>
        <v>1</v>
      </c>
      <c r="R8" s="68">
        <f>Sheet4!R7</f>
        <v>1</v>
      </c>
      <c r="S8" s="68">
        <f>Sheet4!S7</f>
        <v>1</v>
      </c>
      <c r="T8" s="68">
        <f>Sheet4!T7</f>
        <v>1</v>
      </c>
      <c r="U8" s="68">
        <f>Sheet4!U7</f>
        <v>1</v>
      </c>
      <c r="V8" s="68">
        <f>Sheet4!V7</f>
        <v>1</v>
      </c>
      <c r="W8" s="68">
        <f>Sheet4!W7</f>
        <v>1</v>
      </c>
      <c r="X8" s="68">
        <f>Sheet4!X7</f>
        <v>1</v>
      </c>
      <c r="Y8" s="68">
        <f>Sheet4!Y7</f>
        <v>1</v>
      </c>
      <c r="Z8" s="68">
        <f>Sheet4!Z7</f>
        <v>1</v>
      </c>
      <c r="AA8" s="68">
        <f>Sheet4!AA7</f>
        <v>1</v>
      </c>
      <c r="AB8" s="68">
        <f>Sheet4!AB7</f>
        <v>1</v>
      </c>
      <c r="AC8" s="68">
        <f>Sheet4!AC7</f>
        <v>1</v>
      </c>
      <c r="AD8" s="68">
        <f>Sheet4!AD7</f>
        <v>1</v>
      </c>
      <c r="AE8" s="68">
        <f>Sheet4!AE7</f>
        <v>1</v>
      </c>
      <c r="AF8" s="68">
        <f>Sheet4!AF7</f>
        <v>1</v>
      </c>
      <c r="AG8" s="68">
        <f>Sheet4!AG7</f>
        <v>1</v>
      </c>
      <c r="AH8" s="68">
        <f>Sheet4!AH7</f>
        <v>0</v>
      </c>
      <c r="AI8" s="68">
        <f>Sheet4!AI7</f>
        <v>2</v>
      </c>
      <c r="AJ8" s="68">
        <f>Sheet4!AJ7</f>
        <v>1</v>
      </c>
      <c r="AK8" s="68">
        <f>Sheet4!AK7</f>
        <v>1</v>
      </c>
      <c r="AL8" s="68">
        <f>Sheet4!AL7</f>
        <v>1</v>
      </c>
      <c r="AM8" s="68">
        <f>Sheet4!AM7</f>
        <v>1</v>
      </c>
      <c r="AN8" s="68">
        <f>Sheet4!AN7</f>
        <v>1</v>
      </c>
      <c r="AO8" s="68">
        <f>Sheet4!AO7</f>
        <v>1</v>
      </c>
      <c r="AP8" s="68">
        <f>Sheet4!AP7</f>
        <v>1</v>
      </c>
      <c r="AQ8" s="68">
        <f>Sheet4!AQ7</f>
        <v>1</v>
      </c>
      <c r="AR8" s="68">
        <f>Sheet4!AR7</f>
        <v>1</v>
      </c>
      <c r="AS8" s="68">
        <f>Sheet4!AS7</f>
        <v>1</v>
      </c>
      <c r="AT8" s="68">
        <f>Sheet4!AT7</f>
        <v>1</v>
      </c>
      <c r="AU8" s="68">
        <f>Sheet4!AU7</f>
        <v>0</v>
      </c>
      <c r="AV8" s="68">
        <f>Sheet4!AV7</f>
        <v>2</v>
      </c>
      <c r="AW8" s="68">
        <f>Sheet4!AW7</f>
        <v>1</v>
      </c>
      <c r="AX8" s="68">
        <f>Sheet4!AX7</f>
        <v>1</v>
      </c>
      <c r="AY8" s="68">
        <f>Sheet4!AY7</f>
        <v>1</v>
      </c>
      <c r="AZ8" s="68">
        <f>Sheet4!AZ7</f>
        <v>1</v>
      </c>
      <c r="BA8" s="68">
        <f>Sheet4!BA7</f>
        <v>1</v>
      </c>
      <c r="BB8" s="68">
        <f>Sheet4!BB7</f>
        <v>1</v>
      </c>
      <c r="BC8" s="68">
        <f>Sheet4!BC7</f>
        <v>1</v>
      </c>
      <c r="BD8" s="68">
        <f>Sheet4!BD7</f>
        <v>1</v>
      </c>
      <c r="BE8" s="68">
        <f>Sheet4!BE7</f>
        <v>1</v>
      </c>
      <c r="BF8" s="68">
        <f>Sheet4!BF7</f>
        <v>1</v>
      </c>
      <c r="BG8" s="68">
        <f>Sheet4!BG7</f>
        <v>1</v>
      </c>
      <c r="BH8" s="68">
        <f>Sheet4!BH7</f>
        <v>1</v>
      </c>
      <c r="BI8" s="68">
        <f>Sheet4!BI7</f>
        <v>1</v>
      </c>
      <c r="BJ8" s="68">
        <f>Sheet4!BJ7</f>
        <v>1</v>
      </c>
      <c r="BK8" s="68">
        <f>Sheet4!BK7</f>
        <v>0</v>
      </c>
      <c r="BL8" s="68">
        <f>Sheet4!BL7</f>
        <v>2</v>
      </c>
      <c r="BM8" s="68">
        <f>Sheet4!BM7</f>
        <v>1</v>
      </c>
      <c r="BN8" s="68">
        <f>Sheet4!BN7</f>
        <v>1</v>
      </c>
      <c r="BO8" s="68">
        <f>Sheet4!BO7</f>
        <v>0</v>
      </c>
      <c r="BP8" s="68">
        <f>Sheet4!BP7</f>
        <v>2</v>
      </c>
      <c r="BQ8" s="68">
        <f>Sheet4!BQ7</f>
        <v>1</v>
      </c>
      <c r="BR8" s="68">
        <f>Sheet4!BR7</f>
        <v>1</v>
      </c>
      <c r="BS8" s="68">
        <f>Sheet4!BS7</f>
        <v>1</v>
      </c>
      <c r="BT8" s="68">
        <f>Sheet4!BT7</f>
        <v>1</v>
      </c>
      <c r="BU8" s="68">
        <f>Sheet4!BU7</f>
        <v>1</v>
      </c>
      <c r="BV8" s="68">
        <f>Sheet4!BV7</f>
        <v>1</v>
      </c>
      <c r="BW8" s="68">
        <f>Sheet4!BW7</f>
        <v>1</v>
      </c>
      <c r="BX8" s="68">
        <f>Sheet4!BX7</f>
        <v>1</v>
      </c>
      <c r="BY8" s="68">
        <f>Sheet4!BY7</f>
        <v>1</v>
      </c>
      <c r="BZ8" s="68">
        <f>Sheet4!BZ7</f>
        <v>1</v>
      </c>
      <c r="CA8" s="68">
        <f>Sheet4!CA7</f>
        <v>1</v>
      </c>
      <c r="CB8" s="68">
        <f>Sheet4!CB7</f>
        <v>1</v>
      </c>
      <c r="CC8" s="68">
        <f>Sheet4!CC7</f>
        <v>1</v>
      </c>
      <c r="CD8" s="68">
        <f>Sheet4!CD7</f>
        <v>1</v>
      </c>
      <c r="CE8" s="68">
        <f>Sheet4!CE7</f>
        <v>1</v>
      </c>
      <c r="CF8" s="68">
        <f>Sheet4!CF7</f>
        <v>1</v>
      </c>
      <c r="CG8" s="68">
        <f>Sheet4!CG7</f>
        <v>0</v>
      </c>
      <c r="CH8" s="68">
        <f>Sheet4!CH7</f>
        <v>2</v>
      </c>
      <c r="CI8" s="68">
        <f>Sheet4!CI7</f>
        <v>1</v>
      </c>
      <c r="CJ8" s="68">
        <f>Sheet4!CJ7</f>
        <v>1</v>
      </c>
      <c r="CK8" s="68">
        <f>Sheet4!CK7</f>
        <v>1</v>
      </c>
      <c r="CL8" s="68">
        <f>Sheet4!CL7</f>
        <v>1</v>
      </c>
      <c r="CM8" s="68">
        <f>Sheet4!CM7</f>
        <v>1</v>
      </c>
      <c r="CN8" s="68">
        <f>Sheet4!CN7</f>
        <v>1</v>
      </c>
      <c r="CO8" s="68">
        <f>Sheet4!CO7</f>
        <v>1</v>
      </c>
      <c r="CP8" s="68">
        <f>Sheet4!CP7</f>
        <v>0</v>
      </c>
      <c r="CQ8" s="68">
        <f>Sheet4!CQ7</f>
        <v>2</v>
      </c>
      <c r="CR8" s="68">
        <f>Sheet4!CR7</f>
        <v>1</v>
      </c>
      <c r="CS8" s="68">
        <f>Sheet4!CS7</f>
        <v>0</v>
      </c>
      <c r="CT8" s="68">
        <f>Sheet4!CT7</f>
        <v>0</v>
      </c>
      <c r="CU8" s="68">
        <f>Sheet4!CU7</f>
        <v>3</v>
      </c>
      <c r="CV8" s="68">
        <f>Sheet4!CV7</f>
        <v>1</v>
      </c>
      <c r="CW8" s="68">
        <f>Sheet4!CW7</f>
        <v>1</v>
      </c>
      <c r="CX8" s="68">
        <f>Sheet4!CX7</f>
        <v>0</v>
      </c>
      <c r="CY8" s="68">
        <f>Sheet4!CY7</f>
        <v>2</v>
      </c>
      <c r="CZ8" s="68">
        <f>Sheet4!CZ7</f>
        <v>1</v>
      </c>
      <c r="DA8" s="68">
        <f>Sheet4!DA7</f>
        <v>0</v>
      </c>
      <c r="DB8" s="68">
        <f>Sheet4!DB7</f>
        <v>2</v>
      </c>
      <c r="DC8" s="68">
        <f>Sheet4!DC7</f>
        <v>0</v>
      </c>
      <c r="DD8" s="68">
        <f>Sheet4!DD7</f>
        <v>0</v>
      </c>
      <c r="DE8" s="68">
        <f>Sheet4!DE7</f>
        <v>3</v>
      </c>
      <c r="DF8" s="68">
        <f>Sheet4!DF7</f>
        <v>0</v>
      </c>
      <c r="DG8" s="68">
        <f>Sheet4!DG7</f>
        <v>2</v>
      </c>
      <c r="DH8" s="68">
        <f>Sheet4!DH7</f>
        <v>0</v>
      </c>
      <c r="DI8" s="68">
        <f>Sheet4!DI7</f>
        <v>0</v>
      </c>
      <c r="DJ8" s="68">
        <f>Sheet4!DJ7</f>
        <v>0</v>
      </c>
      <c r="DK8" s="68">
        <f>Sheet4!DK7</f>
        <v>0</v>
      </c>
      <c r="DL8" s="68">
        <f>Sheet4!DL7</f>
        <v>0</v>
      </c>
      <c r="DM8" s="68">
        <f>Sheet4!DM7</f>
        <v>0</v>
      </c>
      <c r="DN8" s="68">
        <f>Sheet4!DN7</f>
        <v>0</v>
      </c>
      <c r="DO8" s="68">
        <f>Sheet4!DO7</f>
        <v>0</v>
      </c>
      <c r="DP8" s="68">
        <f>Sheet4!DP7</f>
        <v>0</v>
      </c>
      <c r="DQ8" s="68">
        <f>Sheet4!DQ7</f>
        <v>0</v>
      </c>
    </row>
    <row r="9" spans="1:121" ht="14.4" x14ac:dyDescent="0.3">
      <c r="A9" s="40">
        <f>Sheet4!A8</f>
        <v>6</v>
      </c>
      <c r="B9" s="40" t="str">
        <f>Sheet4!B8</f>
        <v>ከተማ ለማ</v>
      </c>
      <c r="C9" s="26">
        <f>Sheet4!C8</f>
        <v>21000</v>
      </c>
      <c r="D9" s="68">
        <f>Sheet4!D8</f>
        <v>1</v>
      </c>
      <c r="E9" s="68">
        <f>Sheet4!E8</f>
        <v>1</v>
      </c>
      <c r="F9" s="68">
        <f>Sheet4!F8</f>
        <v>1</v>
      </c>
      <c r="G9" s="68">
        <f>Sheet4!G8</f>
        <v>1</v>
      </c>
      <c r="H9" s="68">
        <f>Sheet4!H8</f>
        <v>1</v>
      </c>
      <c r="I9" s="68">
        <f>Sheet4!I8</f>
        <v>1</v>
      </c>
      <c r="J9" s="68">
        <f>Sheet4!J8</f>
        <v>1</v>
      </c>
      <c r="K9" s="68">
        <f>Sheet4!K8</f>
        <v>1</v>
      </c>
      <c r="L9" s="68">
        <f>Sheet4!L8</f>
        <v>1</v>
      </c>
      <c r="M9" s="68">
        <f>Sheet4!M8</f>
        <v>1</v>
      </c>
      <c r="N9" s="68">
        <f>Sheet4!N8</f>
        <v>1</v>
      </c>
      <c r="O9" s="68">
        <f>Sheet4!O8</f>
        <v>1</v>
      </c>
      <c r="P9" s="68">
        <f>Sheet4!P8</f>
        <v>1</v>
      </c>
      <c r="Q9" s="68">
        <f>Sheet4!Q8</f>
        <v>1</v>
      </c>
      <c r="R9" s="68">
        <f>Sheet4!R8</f>
        <v>1</v>
      </c>
      <c r="S9" s="68">
        <f>Sheet4!S8</f>
        <v>1</v>
      </c>
      <c r="T9" s="68">
        <f>Sheet4!T8</f>
        <v>1</v>
      </c>
      <c r="U9" s="68">
        <f>Sheet4!U8</f>
        <v>1</v>
      </c>
      <c r="V9" s="68">
        <f>Sheet4!V8</f>
        <v>1</v>
      </c>
      <c r="W9" s="68">
        <f>Sheet4!W8</f>
        <v>1</v>
      </c>
      <c r="X9" s="68">
        <f>Sheet4!X8</f>
        <v>1</v>
      </c>
      <c r="Y9" s="68">
        <f>Sheet4!Y8</f>
        <v>1</v>
      </c>
      <c r="Z9" s="68">
        <f>Sheet4!Z8</f>
        <v>1</v>
      </c>
      <c r="AA9" s="68">
        <f>Sheet4!AA8</f>
        <v>1</v>
      </c>
      <c r="AB9" s="68">
        <f>Sheet4!AB8</f>
        <v>1</v>
      </c>
      <c r="AC9" s="68">
        <f>Sheet4!AC8</f>
        <v>1</v>
      </c>
      <c r="AD9" s="68">
        <f>Sheet4!AD8</f>
        <v>1</v>
      </c>
      <c r="AE9" s="68">
        <f>Sheet4!AE8</f>
        <v>1</v>
      </c>
      <c r="AF9" s="68">
        <f>Sheet4!AF8</f>
        <v>1</v>
      </c>
      <c r="AG9" s="68">
        <f>Sheet4!AG8</f>
        <v>1</v>
      </c>
      <c r="AH9" s="68">
        <f>Sheet4!AH8</f>
        <v>1</v>
      </c>
      <c r="AI9" s="68">
        <f>Sheet4!AI8</f>
        <v>1</v>
      </c>
      <c r="AJ9" s="68">
        <f>Sheet4!AJ8</f>
        <v>1</v>
      </c>
      <c r="AK9" s="68">
        <f>Sheet4!AK8</f>
        <v>1</v>
      </c>
      <c r="AL9" s="68">
        <f>Sheet4!AL8</f>
        <v>1</v>
      </c>
      <c r="AM9" s="68">
        <f>Sheet4!AM8</f>
        <v>1</v>
      </c>
      <c r="AN9" s="68">
        <f>Sheet4!AN8</f>
        <v>1</v>
      </c>
      <c r="AO9" s="68">
        <f>Sheet4!AO8</f>
        <v>1</v>
      </c>
      <c r="AP9" s="68">
        <f>Sheet4!AP8</f>
        <v>1</v>
      </c>
      <c r="AQ9" s="68">
        <f>Sheet4!AQ8</f>
        <v>1</v>
      </c>
      <c r="AR9" s="68">
        <f>Sheet4!AR8</f>
        <v>1</v>
      </c>
      <c r="AS9" s="68">
        <f>Sheet4!AS8</f>
        <v>1</v>
      </c>
      <c r="AT9" s="68">
        <f>Sheet4!AT8</f>
        <v>1</v>
      </c>
      <c r="AU9" s="68">
        <f>Sheet4!AU8</f>
        <v>1</v>
      </c>
      <c r="AV9" s="68">
        <f>Sheet4!AV8</f>
        <v>1</v>
      </c>
      <c r="AW9" s="68">
        <f>Sheet4!AW8</f>
        <v>1</v>
      </c>
      <c r="AX9" s="68">
        <f>Sheet4!AX8</f>
        <v>1</v>
      </c>
      <c r="AY9" s="68">
        <f>Sheet4!AY8</f>
        <v>1</v>
      </c>
      <c r="AZ9" s="68">
        <f>Sheet4!AZ8</f>
        <v>1</v>
      </c>
      <c r="BA9" s="68">
        <f>Sheet4!BA8</f>
        <v>1</v>
      </c>
      <c r="BB9" s="68">
        <f>Sheet4!BB8</f>
        <v>1</v>
      </c>
      <c r="BC9" s="68">
        <f>Sheet4!BC8</f>
        <v>1</v>
      </c>
      <c r="BD9" s="68">
        <f>Sheet4!BD8</f>
        <v>1</v>
      </c>
      <c r="BE9" s="68">
        <f>Sheet4!BE8</f>
        <v>1</v>
      </c>
      <c r="BF9" s="68">
        <f>Sheet4!BF8</f>
        <v>1</v>
      </c>
      <c r="BG9" s="68">
        <f>Sheet4!BG8</f>
        <v>1</v>
      </c>
      <c r="BH9" s="68">
        <f>Sheet4!BH8</f>
        <v>1</v>
      </c>
      <c r="BI9" s="68">
        <f>Sheet4!BI8</f>
        <v>1</v>
      </c>
      <c r="BJ9" s="68">
        <f>Sheet4!BJ8</f>
        <v>1</v>
      </c>
      <c r="BK9" s="68">
        <f>Sheet4!BK8</f>
        <v>1</v>
      </c>
      <c r="BL9" s="68">
        <f>Sheet4!BL8</f>
        <v>1</v>
      </c>
      <c r="BM9" s="68">
        <f>Sheet4!BM8</f>
        <v>1</v>
      </c>
      <c r="BN9" s="68">
        <f>Sheet4!BN8</f>
        <v>1</v>
      </c>
      <c r="BO9" s="68">
        <f>Sheet4!BO8</f>
        <v>1</v>
      </c>
      <c r="BP9" s="68">
        <f>Sheet4!BP8</f>
        <v>1</v>
      </c>
      <c r="BQ9" s="68">
        <f>Sheet4!BQ8</f>
        <v>1</v>
      </c>
      <c r="BR9" s="68">
        <f>Sheet4!BR8</f>
        <v>1</v>
      </c>
      <c r="BS9" s="68">
        <f>Sheet4!BS8</f>
        <v>1</v>
      </c>
      <c r="BT9" s="68">
        <f>Sheet4!BT8</f>
        <v>1</v>
      </c>
      <c r="BU9" s="68">
        <f>Sheet4!BU8</f>
        <v>1</v>
      </c>
      <c r="BV9" s="68">
        <f>Sheet4!BV8</f>
        <v>1</v>
      </c>
      <c r="BW9" s="68">
        <f>Sheet4!BW8</f>
        <v>1</v>
      </c>
      <c r="BX9" s="68">
        <f>Sheet4!BX8</f>
        <v>1</v>
      </c>
      <c r="BY9" s="68">
        <f>Sheet4!BY8</f>
        <v>1</v>
      </c>
      <c r="BZ9" s="68">
        <f>Sheet4!BZ8</f>
        <v>1</v>
      </c>
      <c r="CA9" s="68">
        <f>Sheet4!CA8</f>
        <v>1</v>
      </c>
      <c r="CB9" s="68">
        <f>Sheet4!CB8</f>
        <v>1</v>
      </c>
      <c r="CC9" s="68">
        <f>Sheet4!CC8</f>
        <v>0</v>
      </c>
      <c r="CD9" s="68">
        <f>Sheet4!CD8</f>
        <v>2</v>
      </c>
      <c r="CE9" s="68">
        <f>Sheet4!CE8</f>
        <v>1</v>
      </c>
      <c r="CF9" s="68">
        <f>Sheet4!CF8</f>
        <v>1</v>
      </c>
      <c r="CG9" s="68">
        <f>Sheet4!CG8</f>
        <v>1</v>
      </c>
      <c r="CH9" s="68">
        <f>Sheet4!CH8</f>
        <v>1</v>
      </c>
      <c r="CI9" s="68">
        <f>Sheet4!CI8</f>
        <v>0</v>
      </c>
      <c r="CJ9" s="68">
        <f>Sheet4!CJ8</f>
        <v>2</v>
      </c>
      <c r="CK9" s="68">
        <f>Sheet4!CK8</f>
        <v>1</v>
      </c>
      <c r="CL9" s="68">
        <f>Sheet4!CL8</f>
        <v>1</v>
      </c>
      <c r="CM9" s="68">
        <f>Sheet4!CM8</f>
        <v>1</v>
      </c>
      <c r="CN9" s="68">
        <f>Sheet4!CN8</f>
        <v>1</v>
      </c>
      <c r="CO9" s="68">
        <f>Sheet4!CO8</f>
        <v>1</v>
      </c>
      <c r="CP9" s="68">
        <f>Sheet4!CP8</f>
        <v>1</v>
      </c>
      <c r="CQ9" s="68">
        <f>Sheet4!CQ8</f>
        <v>1</v>
      </c>
      <c r="CR9" s="68">
        <f>Sheet4!CR8</f>
        <v>1</v>
      </c>
      <c r="CS9" s="68">
        <f>Sheet4!CS8</f>
        <v>1</v>
      </c>
      <c r="CT9" s="68">
        <f>Sheet4!CT8</f>
        <v>0</v>
      </c>
      <c r="CU9" s="68">
        <f>Sheet4!CU8</f>
        <v>1</v>
      </c>
      <c r="CV9" s="68">
        <f>Sheet4!CV8</f>
        <v>1</v>
      </c>
      <c r="CW9" s="68">
        <f>Sheet4!CW8</f>
        <v>1</v>
      </c>
      <c r="CX9" s="68">
        <f>Sheet4!CX8</f>
        <v>1</v>
      </c>
      <c r="CY9" s="68">
        <f>Sheet4!CY8</f>
        <v>1</v>
      </c>
      <c r="CZ9" s="68">
        <f>Sheet4!CZ8</f>
        <v>1</v>
      </c>
      <c r="DA9" s="68">
        <f>Sheet4!DA8</f>
        <v>1</v>
      </c>
      <c r="DB9" s="68">
        <f>Sheet4!DB8</f>
        <v>1</v>
      </c>
      <c r="DC9" s="68">
        <f>Sheet4!DC8</f>
        <v>1</v>
      </c>
      <c r="DD9" s="68">
        <f>Sheet4!DD8</f>
        <v>1</v>
      </c>
      <c r="DE9" s="68">
        <f>Sheet4!DE8</f>
        <v>1</v>
      </c>
      <c r="DF9" s="68">
        <f>Sheet4!DF8</f>
        <v>1</v>
      </c>
      <c r="DG9" s="68">
        <f>Sheet4!DG8</f>
        <v>1</v>
      </c>
      <c r="DH9" s="68">
        <f>Sheet4!DH8</f>
        <v>0</v>
      </c>
      <c r="DI9" s="68">
        <f>Sheet4!DI8</f>
        <v>0</v>
      </c>
      <c r="DJ9" s="68">
        <f>Sheet4!DJ8</f>
        <v>0</v>
      </c>
      <c r="DK9" s="68">
        <f>Sheet4!DK8</f>
        <v>0</v>
      </c>
      <c r="DL9" s="68">
        <f>Sheet4!DL8</f>
        <v>0</v>
      </c>
      <c r="DM9" s="68">
        <f>Sheet4!DM8</f>
        <v>0</v>
      </c>
      <c r="DN9" s="68">
        <f>Sheet4!DN8</f>
        <v>0</v>
      </c>
      <c r="DO9" s="68">
        <f>Sheet4!DO8</f>
        <v>0</v>
      </c>
      <c r="DP9" s="68">
        <f>Sheet4!DP8</f>
        <v>0</v>
      </c>
      <c r="DQ9" s="68">
        <f>Sheet4!DQ8</f>
        <v>0</v>
      </c>
    </row>
    <row r="10" spans="1:121" ht="14.4" x14ac:dyDescent="0.3">
      <c r="A10" s="40">
        <f>Sheet4!A9</f>
        <v>7</v>
      </c>
      <c r="B10" s="40" t="str">
        <f>Sheet4!B9</f>
        <v>ጥላነሽ ከበደ</v>
      </c>
      <c r="C10" s="26">
        <f>Sheet4!C9</f>
        <v>21000</v>
      </c>
      <c r="D10" s="68">
        <f>Sheet4!D9</f>
        <v>1</v>
      </c>
      <c r="E10" s="68">
        <f>Sheet4!E9</f>
        <v>1</v>
      </c>
      <c r="F10" s="68">
        <f>Sheet4!F9</f>
        <v>1</v>
      </c>
      <c r="G10" s="68">
        <f>Sheet4!G9</f>
        <v>1</v>
      </c>
      <c r="H10" s="68">
        <f>Sheet4!H9</f>
        <v>1</v>
      </c>
      <c r="I10" s="68">
        <f>Sheet4!I9</f>
        <v>1</v>
      </c>
      <c r="J10" s="68">
        <f>Sheet4!J9</f>
        <v>1</v>
      </c>
      <c r="K10" s="68">
        <f>Sheet4!K9</f>
        <v>1</v>
      </c>
      <c r="L10" s="68">
        <f>Sheet4!L9</f>
        <v>1</v>
      </c>
      <c r="M10" s="68">
        <f>Sheet4!M9</f>
        <v>1</v>
      </c>
      <c r="N10" s="68">
        <f>Sheet4!N9</f>
        <v>1</v>
      </c>
      <c r="O10" s="68">
        <f>Sheet4!O9</f>
        <v>1</v>
      </c>
      <c r="P10" s="68">
        <f>Sheet4!P9</f>
        <v>1</v>
      </c>
      <c r="Q10" s="68">
        <f>Sheet4!Q9</f>
        <v>1</v>
      </c>
      <c r="R10" s="68">
        <f>Sheet4!R9</f>
        <v>1</v>
      </c>
      <c r="S10" s="68">
        <f>Sheet4!S9</f>
        <v>1</v>
      </c>
      <c r="T10" s="68">
        <f>Sheet4!T9</f>
        <v>1</v>
      </c>
      <c r="U10" s="68">
        <f>Sheet4!U9</f>
        <v>1</v>
      </c>
      <c r="V10" s="68">
        <f>Sheet4!V9</f>
        <v>1</v>
      </c>
      <c r="W10" s="68">
        <f>Sheet4!W9</f>
        <v>1</v>
      </c>
      <c r="X10" s="68">
        <f>Sheet4!X9</f>
        <v>1</v>
      </c>
      <c r="Y10" s="68">
        <f>Sheet4!Y9</f>
        <v>1</v>
      </c>
      <c r="Z10" s="68">
        <f>Sheet4!Z9</f>
        <v>1</v>
      </c>
      <c r="AA10" s="68">
        <f>Sheet4!AA9</f>
        <v>1</v>
      </c>
      <c r="AB10" s="68">
        <f>Sheet4!AB9</f>
        <v>1</v>
      </c>
      <c r="AC10" s="68">
        <f>Sheet4!AC9</f>
        <v>1</v>
      </c>
      <c r="AD10" s="68">
        <f>Sheet4!AD9</f>
        <v>1</v>
      </c>
      <c r="AE10" s="68">
        <f>Sheet4!AE9</f>
        <v>1</v>
      </c>
      <c r="AF10" s="68">
        <f>Sheet4!AF9</f>
        <v>1</v>
      </c>
      <c r="AG10" s="68">
        <f>Sheet4!AG9</f>
        <v>1</v>
      </c>
      <c r="AH10" s="68">
        <f>Sheet4!AH9</f>
        <v>1</v>
      </c>
      <c r="AI10" s="68">
        <f>Sheet4!AI9</f>
        <v>1</v>
      </c>
      <c r="AJ10" s="68">
        <f>Sheet4!AJ9</f>
        <v>1</v>
      </c>
      <c r="AK10" s="68">
        <f>Sheet4!AK9</f>
        <v>1</v>
      </c>
      <c r="AL10" s="68">
        <f>Sheet4!AL9</f>
        <v>1</v>
      </c>
      <c r="AM10" s="68">
        <f>Sheet4!AM9</f>
        <v>1</v>
      </c>
      <c r="AN10" s="68">
        <f>Sheet4!AN9</f>
        <v>1</v>
      </c>
      <c r="AO10" s="68">
        <f>Sheet4!AO9</f>
        <v>0</v>
      </c>
      <c r="AP10" s="68">
        <f>Sheet4!AP9</f>
        <v>2</v>
      </c>
      <c r="AQ10" s="68">
        <f>Sheet4!AQ9</f>
        <v>1</v>
      </c>
      <c r="AR10" s="68">
        <f>Sheet4!AR9</f>
        <v>1</v>
      </c>
      <c r="AS10" s="68">
        <f>Sheet4!AS9</f>
        <v>1</v>
      </c>
      <c r="AT10" s="68">
        <f>Sheet4!AT9</f>
        <v>1</v>
      </c>
      <c r="AU10" s="68">
        <f>Sheet4!AU9</f>
        <v>1</v>
      </c>
      <c r="AV10" s="68">
        <f>Sheet4!AV9</f>
        <v>1</v>
      </c>
      <c r="AW10" s="68">
        <f>Sheet4!AW9</f>
        <v>1</v>
      </c>
      <c r="AX10" s="68">
        <f>Sheet4!AX9</f>
        <v>1</v>
      </c>
      <c r="AY10" s="68">
        <f>Sheet4!AY9</f>
        <v>1</v>
      </c>
      <c r="AZ10" s="68">
        <f>Sheet4!AZ9</f>
        <v>1</v>
      </c>
      <c r="BA10" s="68">
        <f>Sheet4!BA9</f>
        <v>1</v>
      </c>
      <c r="BB10" s="68">
        <f>Sheet4!BB9</f>
        <v>1</v>
      </c>
      <c r="BC10" s="68">
        <f>Sheet4!BC9</f>
        <v>1</v>
      </c>
      <c r="BD10" s="68">
        <f>Sheet4!BD9</f>
        <v>1</v>
      </c>
      <c r="BE10" s="68">
        <f>Sheet4!BE9</f>
        <v>1</v>
      </c>
      <c r="BF10" s="68">
        <f>Sheet4!BF9</f>
        <v>1</v>
      </c>
      <c r="BG10" s="68">
        <f>Sheet4!BG9</f>
        <v>1</v>
      </c>
      <c r="BH10" s="68">
        <f>Sheet4!BH9</f>
        <v>1</v>
      </c>
      <c r="BI10" s="68">
        <f>Sheet4!BI9</f>
        <v>1</v>
      </c>
      <c r="BJ10" s="68">
        <f>Sheet4!BJ9</f>
        <v>1</v>
      </c>
      <c r="BK10" s="68">
        <f>Sheet4!BK9</f>
        <v>1</v>
      </c>
      <c r="BL10" s="68">
        <f>Sheet4!BL9</f>
        <v>1</v>
      </c>
      <c r="BM10" s="68">
        <f>Sheet4!BM9</f>
        <v>0</v>
      </c>
      <c r="BN10" s="68">
        <f>Sheet4!BN9</f>
        <v>2</v>
      </c>
      <c r="BO10" s="68">
        <f>Sheet4!BO9</f>
        <v>1</v>
      </c>
      <c r="BP10" s="68">
        <f>Sheet4!BP9</f>
        <v>1</v>
      </c>
      <c r="BQ10" s="68">
        <f>Sheet4!BQ9</f>
        <v>1</v>
      </c>
      <c r="BR10" s="68">
        <f>Sheet4!BR9</f>
        <v>1</v>
      </c>
      <c r="BS10" s="68">
        <f>Sheet4!BS9</f>
        <v>1</v>
      </c>
      <c r="BT10" s="68">
        <f>Sheet4!BT9</f>
        <v>1</v>
      </c>
      <c r="BU10" s="68">
        <f>Sheet4!BU9</f>
        <v>1</v>
      </c>
      <c r="BV10" s="68">
        <f>Sheet4!BV9</f>
        <v>1</v>
      </c>
      <c r="BW10" s="68">
        <f>Sheet4!BW9</f>
        <v>1</v>
      </c>
      <c r="BX10" s="68">
        <f>Sheet4!BX9</f>
        <v>1</v>
      </c>
      <c r="BY10" s="68">
        <f>Sheet4!BY9</f>
        <v>1</v>
      </c>
      <c r="BZ10" s="68">
        <f>Sheet4!BZ9</f>
        <v>1</v>
      </c>
      <c r="CA10" s="68">
        <f>Sheet4!CA9</f>
        <v>1</v>
      </c>
      <c r="CB10" s="68">
        <f>Sheet4!CB9</f>
        <v>1</v>
      </c>
      <c r="CC10" s="68">
        <f>Sheet4!CC9</f>
        <v>1</v>
      </c>
      <c r="CD10" s="68">
        <f>Sheet4!CD9</f>
        <v>0</v>
      </c>
      <c r="CE10" s="68">
        <f>Sheet4!CE9</f>
        <v>2</v>
      </c>
      <c r="CF10" s="68">
        <f>Sheet4!CF9</f>
        <v>1</v>
      </c>
      <c r="CG10" s="68">
        <f>Sheet4!CG9</f>
        <v>1</v>
      </c>
      <c r="CH10" s="68">
        <f>Sheet4!CH9</f>
        <v>1</v>
      </c>
      <c r="CI10" s="68">
        <f>Sheet4!CI9</f>
        <v>1</v>
      </c>
      <c r="CJ10" s="68">
        <f>Sheet4!CJ9</f>
        <v>1</v>
      </c>
      <c r="CK10" s="68">
        <f>Sheet4!CK9</f>
        <v>1</v>
      </c>
      <c r="CL10" s="68">
        <f>Sheet4!CL9</f>
        <v>1</v>
      </c>
      <c r="CM10" s="68">
        <f>Sheet4!CM9</f>
        <v>1</v>
      </c>
      <c r="CN10" s="68">
        <f>Sheet4!CN9</f>
        <v>1</v>
      </c>
      <c r="CO10" s="68">
        <f>Sheet4!CO9</f>
        <v>1</v>
      </c>
      <c r="CP10" s="68">
        <f>Sheet4!CP9</f>
        <v>1</v>
      </c>
      <c r="CQ10" s="68">
        <f>Sheet4!CQ9</f>
        <v>1</v>
      </c>
      <c r="CR10" s="68">
        <f>Sheet4!CR9</f>
        <v>1</v>
      </c>
      <c r="CS10" s="68">
        <f>Sheet4!CS9</f>
        <v>1</v>
      </c>
      <c r="CT10" s="68">
        <f>Sheet4!CT9</f>
        <v>1</v>
      </c>
      <c r="CU10" s="68">
        <f>Sheet4!CU9</f>
        <v>1</v>
      </c>
      <c r="CV10" s="68">
        <f>Sheet4!CV9</f>
        <v>1</v>
      </c>
      <c r="CW10" s="68">
        <f>Sheet4!CW9</f>
        <v>1</v>
      </c>
      <c r="CX10" s="68">
        <f>Sheet4!CX9</f>
        <v>1</v>
      </c>
      <c r="CY10" s="68">
        <f>Sheet4!CY9</f>
        <v>1</v>
      </c>
      <c r="CZ10" s="68">
        <f>Sheet4!CZ9</f>
        <v>1</v>
      </c>
      <c r="DA10" s="68">
        <f>Sheet4!DA9</f>
        <v>1</v>
      </c>
      <c r="DB10" s="68">
        <f>Sheet4!DB9</f>
        <v>1</v>
      </c>
      <c r="DC10" s="68">
        <f>Sheet4!DC9</f>
        <v>1</v>
      </c>
      <c r="DD10" s="68">
        <f>Sheet4!DD9</f>
        <v>1</v>
      </c>
      <c r="DE10" s="68">
        <f>Sheet4!DE9</f>
        <v>1</v>
      </c>
      <c r="DF10" s="68">
        <f>Sheet4!DF9</f>
        <v>1</v>
      </c>
      <c r="DG10" s="68">
        <f>Sheet4!DG9</f>
        <v>1</v>
      </c>
      <c r="DH10" s="68">
        <f>Sheet4!DH9</f>
        <v>0</v>
      </c>
      <c r="DI10" s="68">
        <f>Sheet4!DI9</f>
        <v>0</v>
      </c>
      <c r="DJ10" s="68">
        <f>Sheet4!DJ9</f>
        <v>0</v>
      </c>
      <c r="DK10" s="68">
        <f>Sheet4!DK9</f>
        <v>0</v>
      </c>
      <c r="DL10" s="68">
        <f>Sheet4!DL9</f>
        <v>0</v>
      </c>
      <c r="DM10" s="68">
        <f>Sheet4!DM9</f>
        <v>0</v>
      </c>
      <c r="DN10" s="68">
        <f>Sheet4!DN9</f>
        <v>0</v>
      </c>
      <c r="DO10" s="68">
        <f>Sheet4!DO9</f>
        <v>0</v>
      </c>
      <c r="DP10" s="68">
        <f>Sheet4!DP9</f>
        <v>0</v>
      </c>
      <c r="DQ10" s="68">
        <f>Sheet4!DQ9</f>
        <v>0</v>
      </c>
    </row>
    <row r="11" spans="1:121" ht="14.4" x14ac:dyDescent="0.3">
      <c r="A11" s="40">
        <f>Sheet4!A10</f>
        <v>8</v>
      </c>
      <c r="B11" s="40" t="str">
        <f>Sheet4!B10</f>
        <v>ሲሳይ ባህሩ</v>
      </c>
      <c r="C11" s="26">
        <f>Sheet4!C10</f>
        <v>21000</v>
      </c>
      <c r="D11" s="68">
        <f>Sheet4!D10</f>
        <v>1</v>
      </c>
      <c r="E11" s="68">
        <f>Sheet4!E10</f>
        <v>1</v>
      </c>
      <c r="F11" s="68">
        <f>Sheet4!F10</f>
        <v>1</v>
      </c>
      <c r="G11" s="68">
        <f>Sheet4!G10</f>
        <v>1</v>
      </c>
      <c r="H11" s="68">
        <f>Sheet4!H10</f>
        <v>1</v>
      </c>
      <c r="I11" s="68">
        <f>Sheet4!I10</f>
        <v>1</v>
      </c>
      <c r="J11" s="68">
        <f>Sheet4!J10</f>
        <v>1</v>
      </c>
      <c r="K11" s="68">
        <f>Sheet4!K10</f>
        <v>1</v>
      </c>
      <c r="L11" s="68">
        <f>Sheet4!L10</f>
        <v>1</v>
      </c>
      <c r="M11" s="68">
        <f>Sheet4!M10</f>
        <v>1</v>
      </c>
      <c r="N11" s="68">
        <f>Sheet4!N10</f>
        <v>1</v>
      </c>
      <c r="O11" s="68">
        <f>Sheet4!O10</f>
        <v>1</v>
      </c>
      <c r="P11" s="68">
        <f>Sheet4!P10</f>
        <v>1</v>
      </c>
      <c r="Q11" s="68">
        <f>Sheet4!Q10</f>
        <v>1</v>
      </c>
      <c r="R11" s="68">
        <f>Sheet4!R10</f>
        <v>1</v>
      </c>
      <c r="S11" s="68">
        <f>Sheet4!S10</f>
        <v>1</v>
      </c>
      <c r="T11" s="68">
        <f>Sheet4!T10</f>
        <v>1</v>
      </c>
      <c r="U11" s="68">
        <f>Sheet4!U10</f>
        <v>1</v>
      </c>
      <c r="V11" s="68">
        <f>Sheet4!V10</f>
        <v>1</v>
      </c>
      <c r="W11" s="68">
        <f>Sheet4!W10</f>
        <v>1</v>
      </c>
      <c r="X11" s="68">
        <f>Sheet4!X10</f>
        <v>1</v>
      </c>
      <c r="Y11" s="68">
        <f>Sheet4!Y10</f>
        <v>1</v>
      </c>
      <c r="Z11" s="68">
        <f>Sheet4!Z10</f>
        <v>1</v>
      </c>
      <c r="AA11" s="68">
        <f>Sheet4!AA10</f>
        <v>1</v>
      </c>
      <c r="AB11" s="68">
        <f>Sheet4!AB10</f>
        <v>1</v>
      </c>
      <c r="AC11" s="68">
        <f>Sheet4!AC10</f>
        <v>1</v>
      </c>
      <c r="AD11" s="68">
        <f>Sheet4!AD10</f>
        <v>1</v>
      </c>
      <c r="AE11" s="68">
        <f>Sheet4!AE10</f>
        <v>1</v>
      </c>
      <c r="AF11" s="68">
        <f>Sheet4!AF10</f>
        <v>1</v>
      </c>
      <c r="AG11" s="68">
        <f>Sheet4!AG10</f>
        <v>1</v>
      </c>
      <c r="AH11" s="68">
        <f>Sheet4!AH10</f>
        <v>1</v>
      </c>
      <c r="AI11" s="68">
        <f>Sheet4!AI10</f>
        <v>1</v>
      </c>
      <c r="AJ11" s="68">
        <f>Sheet4!AJ10</f>
        <v>1</v>
      </c>
      <c r="AK11" s="68">
        <f>Sheet4!AK10</f>
        <v>1</v>
      </c>
      <c r="AL11" s="68">
        <f>Sheet4!AL10</f>
        <v>1</v>
      </c>
      <c r="AM11" s="68">
        <f>Sheet4!AM10</f>
        <v>1</v>
      </c>
      <c r="AN11" s="68">
        <f>Sheet4!AN10</f>
        <v>1</v>
      </c>
      <c r="AO11" s="68">
        <f>Sheet4!AO10</f>
        <v>1</v>
      </c>
      <c r="AP11" s="68">
        <f>Sheet4!AP10</f>
        <v>1</v>
      </c>
      <c r="AQ11" s="68">
        <f>Sheet4!AQ10</f>
        <v>1</v>
      </c>
      <c r="AR11" s="68">
        <f>Sheet4!AR10</f>
        <v>1</v>
      </c>
      <c r="AS11" s="68">
        <f>Sheet4!AS10</f>
        <v>1</v>
      </c>
      <c r="AT11" s="68">
        <f>Sheet4!AT10</f>
        <v>1</v>
      </c>
      <c r="AU11" s="68">
        <f>Sheet4!AU10</f>
        <v>1</v>
      </c>
      <c r="AV11" s="68">
        <f>Sheet4!AV10</f>
        <v>1</v>
      </c>
      <c r="AW11" s="68">
        <f>Sheet4!AW10</f>
        <v>1</v>
      </c>
      <c r="AX11" s="68">
        <f>Sheet4!AX10</f>
        <v>1</v>
      </c>
      <c r="AY11" s="68">
        <f>Sheet4!AY10</f>
        <v>1</v>
      </c>
      <c r="AZ11" s="68">
        <f>Sheet4!AZ10</f>
        <v>1</v>
      </c>
      <c r="BA11" s="68">
        <f>Sheet4!BA10</f>
        <v>1</v>
      </c>
      <c r="BB11" s="68">
        <f>Sheet4!BB10</f>
        <v>1</v>
      </c>
      <c r="BC11" s="68">
        <f>Sheet4!BC10</f>
        <v>1</v>
      </c>
      <c r="BD11" s="68">
        <f>Sheet4!BD10</f>
        <v>1</v>
      </c>
      <c r="BE11" s="68">
        <f>Sheet4!BE10</f>
        <v>1</v>
      </c>
      <c r="BF11" s="68">
        <f>Sheet4!BF10</f>
        <v>1</v>
      </c>
      <c r="BG11" s="68">
        <f>Sheet4!BG10</f>
        <v>1</v>
      </c>
      <c r="BH11" s="68">
        <f>Sheet4!BH10</f>
        <v>1</v>
      </c>
      <c r="BI11" s="68">
        <f>Sheet4!BI10</f>
        <v>1</v>
      </c>
      <c r="BJ11" s="68">
        <f>Sheet4!BJ10</f>
        <v>1</v>
      </c>
      <c r="BK11" s="68">
        <f>Sheet4!BK10</f>
        <v>1</v>
      </c>
      <c r="BL11" s="68">
        <f>Sheet4!BL10</f>
        <v>1</v>
      </c>
      <c r="BM11" s="68">
        <f>Sheet4!BM10</f>
        <v>1</v>
      </c>
      <c r="BN11" s="68">
        <f>Sheet4!BN10</f>
        <v>1</v>
      </c>
      <c r="BO11" s="68">
        <f>Sheet4!BO10</f>
        <v>1</v>
      </c>
      <c r="BP11" s="68">
        <f>Sheet4!BP10</f>
        <v>1</v>
      </c>
      <c r="BQ11" s="68">
        <f>Sheet4!BQ10</f>
        <v>1</v>
      </c>
      <c r="BR11" s="68">
        <f>Sheet4!BR10</f>
        <v>1</v>
      </c>
      <c r="BS11" s="68">
        <f>Sheet4!BS10</f>
        <v>1</v>
      </c>
      <c r="BT11" s="68">
        <f>Sheet4!BT10</f>
        <v>1</v>
      </c>
      <c r="BU11" s="68">
        <f>Sheet4!BU10</f>
        <v>1</v>
      </c>
      <c r="BV11" s="68">
        <f>Sheet4!BV10</f>
        <v>1</v>
      </c>
      <c r="BW11" s="68">
        <f>Sheet4!BW10</f>
        <v>1</v>
      </c>
      <c r="BX11" s="68">
        <f>Sheet4!BX10</f>
        <v>1</v>
      </c>
      <c r="BY11" s="68">
        <f>Sheet4!BY10</f>
        <v>1</v>
      </c>
      <c r="BZ11" s="68">
        <f>Sheet4!BZ10</f>
        <v>1</v>
      </c>
      <c r="CA11" s="68">
        <f>Sheet4!CA10</f>
        <v>1</v>
      </c>
      <c r="CB11" s="68">
        <f>Sheet4!CB10</f>
        <v>1</v>
      </c>
      <c r="CC11" s="68">
        <f>Sheet4!CC10</f>
        <v>1</v>
      </c>
      <c r="CD11" s="68">
        <f>Sheet4!CD10</f>
        <v>1</v>
      </c>
      <c r="CE11" s="68">
        <f>Sheet4!CE10</f>
        <v>1</v>
      </c>
      <c r="CF11" s="68">
        <f>Sheet4!CF10</f>
        <v>1</v>
      </c>
      <c r="CG11" s="68">
        <f>Sheet4!CG10</f>
        <v>1</v>
      </c>
      <c r="CH11" s="68">
        <f>Sheet4!CH10</f>
        <v>1</v>
      </c>
      <c r="CI11" s="68">
        <f>Sheet4!CI10</f>
        <v>1</v>
      </c>
      <c r="CJ11" s="68">
        <f>Sheet4!CJ10</f>
        <v>1</v>
      </c>
      <c r="CK11" s="68">
        <f>Sheet4!CK10</f>
        <v>1</v>
      </c>
      <c r="CL11" s="68">
        <f>Sheet4!CL10</f>
        <v>1</v>
      </c>
      <c r="CM11" s="68">
        <f>Sheet4!CM10</f>
        <v>1</v>
      </c>
      <c r="CN11" s="68">
        <f>Sheet4!CN10</f>
        <v>1</v>
      </c>
      <c r="CO11" s="68">
        <f>Sheet4!CO10</f>
        <v>1</v>
      </c>
      <c r="CP11" s="68">
        <f>Sheet4!CP10</f>
        <v>1</v>
      </c>
      <c r="CQ11" s="68">
        <f>Sheet4!CQ10</f>
        <v>1</v>
      </c>
      <c r="CR11" s="68">
        <f>Sheet4!CR10</f>
        <v>1</v>
      </c>
      <c r="CS11" s="68">
        <f>Sheet4!CS10</f>
        <v>1</v>
      </c>
      <c r="CT11" s="68">
        <f>Sheet4!CT10</f>
        <v>1</v>
      </c>
      <c r="CU11" s="68">
        <f>Sheet4!CU10</f>
        <v>1</v>
      </c>
      <c r="CV11" s="68">
        <f>Sheet4!CV10</f>
        <v>1</v>
      </c>
      <c r="CW11" s="68">
        <f>Sheet4!CW10</f>
        <v>1</v>
      </c>
      <c r="CX11" s="68">
        <f>Sheet4!CX10</f>
        <v>1</v>
      </c>
      <c r="CY11" s="68">
        <f>Sheet4!CY10</f>
        <v>1</v>
      </c>
      <c r="CZ11" s="68">
        <f>Sheet4!CZ10</f>
        <v>1</v>
      </c>
      <c r="DA11" s="68">
        <f>Sheet4!DA10</f>
        <v>1</v>
      </c>
      <c r="DB11" s="68">
        <f>Sheet4!DB10</f>
        <v>1</v>
      </c>
      <c r="DC11" s="68">
        <f>Sheet4!DC10</f>
        <v>1</v>
      </c>
      <c r="DD11" s="68">
        <f>Sheet4!DD10</f>
        <v>1</v>
      </c>
      <c r="DE11" s="68">
        <f>Sheet4!DE10</f>
        <v>1</v>
      </c>
      <c r="DF11" s="68">
        <f>Sheet4!DF10</f>
        <v>1</v>
      </c>
      <c r="DG11" s="68">
        <f>Sheet4!DG10</f>
        <v>1</v>
      </c>
      <c r="DH11" s="68">
        <f>Sheet4!DH10</f>
        <v>0</v>
      </c>
      <c r="DI11" s="68">
        <f>Sheet4!DI10</f>
        <v>0</v>
      </c>
      <c r="DJ11" s="68">
        <f>Sheet4!DJ10</f>
        <v>0</v>
      </c>
      <c r="DK11" s="68">
        <f>Sheet4!DK10</f>
        <v>0</v>
      </c>
      <c r="DL11" s="68">
        <f>Sheet4!DL10</f>
        <v>0</v>
      </c>
      <c r="DM11" s="68">
        <f>Sheet4!DM10</f>
        <v>0</v>
      </c>
      <c r="DN11" s="68">
        <f>Sheet4!DN10</f>
        <v>0</v>
      </c>
      <c r="DO11" s="68">
        <f>Sheet4!DO10</f>
        <v>0</v>
      </c>
      <c r="DP11" s="68">
        <f>Sheet4!DP10</f>
        <v>0</v>
      </c>
      <c r="DQ11" s="68">
        <f>Sheet4!DQ10</f>
        <v>0</v>
      </c>
    </row>
    <row r="12" spans="1:121" ht="14.4" x14ac:dyDescent="0.3">
      <c r="A12" s="40">
        <f>Sheet4!A11</f>
        <v>9</v>
      </c>
      <c r="B12" s="40" t="str">
        <f>Sheet4!B11</f>
        <v>ሲንታየሁ ካሳ</v>
      </c>
      <c r="C12" s="26">
        <f>Sheet4!C11</f>
        <v>21000</v>
      </c>
      <c r="D12" s="68">
        <f>Sheet4!D11</f>
        <v>1</v>
      </c>
      <c r="E12" s="68">
        <f>Sheet4!E11</f>
        <v>1</v>
      </c>
      <c r="F12" s="68">
        <f>Sheet4!F11</f>
        <v>1</v>
      </c>
      <c r="G12" s="68">
        <f>Sheet4!G11</f>
        <v>1</v>
      </c>
      <c r="H12" s="68">
        <f>Sheet4!H11</f>
        <v>1</v>
      </c>
      <c r="I12" s="68">
        <f>Sheet4!I11</f>
        <v>1</v>
      </c>
      <c r="J12" s="68">
        <f>Sheet4!J11</f>
        <v>1</v>
      </c>
      <c r="K12" s="68">
        <f>Sheet4!K11</f>
        <v>1</v>
      </c>
      <c r="L12" s="68">
        <f>Sheet4!L11</f>
        <v>1</v>
      </c>
      <c r="M12" s="68">
        <f>Sheet4!M11</f>
        <v>1</v>
      </c>
      <c r="N12" s="68">
        <f>Sheet4!N11</f>
        <v>1</v>
      </c>
      <c r="O12" s="68">
        <f>Sheet4!O11</f>
        <v>1</v>
      </c>
      <c r="P12" s="68">
        <f>Sheet4!P11</f>
        <v>1</v>
      </c>
      <c r="Q12" s="68">
        <f>Sheet4!Q11</f>
        <v>1</v>
      </c>
      <c r="R12" s="68">
        <f>Sheet4!R11</f>
        <v>1</v>
      </c>
      <c r="S12" s="68">
        <f>Sheet4!S11</f>
        <v>1</v>
      </c>
      <c r="T12" s="68">
        <f>Sheet4!T11</f>
        <v>1</v>
      </c>
      <c r="U12" s="68">
        <f>Sheet4!U11</f>
        <v>1</v>
      </c>
      <c r="V12" s="68">
        <f>Sheet4!V11</f>
        <v>1</v>
      </c>
      <c r="W12" s="68">
        <f>Sheet4!W11</f>
        <v>1</v>
      </c>
      <c r="X12" s="68">
        <f>Sheet4!X11</f>
        <v>1</v>
      </c>
      <c r="Y12" s="68">
        <f>Sheet4!Y11</f>
        <v>1</v>
      </c>
      <c r="Z12" s="68">
        <f>Sheet4!Z11</f>
        <v>1</v>
      </c>
      <c r="AA12" s="68">
        <f>Sheet4!AA11</f>
        <v>1</v>
      </c>
      <c r="AB12" s="68">
        <f>Sheet4!AB11</f>
        <v>1</v>
      </c>
      <c r="AC12" s="68">
        <f>Sheet4!AC11</f>
        <v>1</v>
      </c>
      <c r="AD12" s="68">
        <f>Sheet4!AD11</f>
        <v>1</v>
      </c>
      <c r="AE12" s="68">
        <f>Sheet4!AE11</f>
        <v>1</v>
      </c>
      <c r="AF12" s="68">
        <f>Sheet4!AF11</f>
        <v>1</v>
      </c>
      <c r="AG12" s="68">
        <f>Sheet4!AG11</f>
        <v>1</v>
      </c>
      <c r="AH12" s="68">
        <f>Sheet4!AH11</f>
        <v>1</v>
      </c>
      <c r="AI12" s="68">
        <f>Sheet4!AI11</f>
        <v>1</v>
      </c>
      <c r="AJ12" s="68">
        <f>Sheet4!AJ11</f>
        <v>1</v>
      </c>
      <c r="AK12" s="68">
        <f>Sheet4!AK11</f>
        <v>1</v>
      </c>
      <c r="AL12" s="68">
        <f>Sheet4!AL11</f>
        <v>1</v>
      </c>
      <c r="AM12" s="68">
        <f>Sheet4!AM11</f>
        <v>1</v>
      </c>
      <c r="AN12" s="68">
        <f>Sheet4!AN11</f>
        <v>1</v>
      </c>
      <c r="AO12" s="68">
        <f>Sheet4!AO11</f>
        <v>1</v>
      </c>
      <c r="AP12" s="68">
        <f>Sheet4!AP11</f>
        <v>1</v>
      </c>
      <c r="AQ12" s="68">
        <f>Sheet4!AQ11</f>
        <v>1</v>
      </c>
      <c r="AR12" s="68">
        <f>Sheet4!AR11</f>
        <v>1</v>
      </c>
      <c r="AS12" s="68">
        <f>Sheet4!AS11</f>
        <v>1</v>
      </c>
      <c r="AT12" s="68">
        <f>Sheet4!AT11</f>
        <v>1</v>
      </c>
      <c r="AU12" s="68">
        <f>Sheet4!AU11</f>
        <v>1</v>
      </c>
      <c r="AV12" s="68">
        <f>Sheet4!AV11</f>
        <v>1</v>
      </c>
      <c r="AW12" s="68">
        <f>Sheet4!AW11</f>
        <v>1</v>
      </c>
      <c r="AX12" s="68">
        <f>Sheet4!AX11</f>
        <v>1</v>
      </c>
      <c r="AY12" s="68">
        <f>Sheet4!AY11</f>
        <v>1</v>
      </c>
      <c r="AZ12" s="68">
        <f>Sheet4!AZ11</f>
        <v>1</v>
      </c>
      <c r="BA12" s="68">
        <f>Sheet4!BA11</f>
        <v>1</v>
      </c>
      <c r="BB12" s="68">
        <f>Sheet4!BB11</f>
        <v>1</v>
      </c>
      <c r="BC12" s="68">
        <f>Sheet4!BC11</f>
        <v>1</v>
      </c>
      <c r="BD12" s="68">
        <f>Sheet4!BD11</f>
        <v>1</v>
      </c>
      <c r="BE12" s="68">
        <f>Sheet4!BE11</f>
        <v>1</v>
      </c>
      <c r="BF12" s="68">
        <f>Sheet4!BF11</f>
        <v>1</v>
      </c>
      <c r="BG12" s="68">
        <f>Sheet4!BG11</f>
        <v>1</v>
      </c>
      <c r="BH12" s="68">
        <f>Sheet4!BH11</f>
        <v>1</v>
      </c>
      <c r="BI12" s="68">
        <f>Sheet4!BI11</f>
        <v>1</v>
      </c>
      <c r="BJ12" s="68">
        <f>Sheet4!BJ11</f>
        <v>1</v>
      </c>
      <c r="BK12" s="68">
        <f>Sheet4!BK11</f>
        <v>1</v>
      </c>
      <c r="BL12" s="68">
        <f>Sheet4!BL11</f>
        <v>1</v>
      </c>
      <c r="BM12" s="68">
        <f>Sheet4!BM11</f>
        <v>1</v>
      </c>
      <c r="BN12" s="68">
        <f>Sheet4!BN11</f>
        <v>1</v>
      </c>
      <c r="BO12" s="68">
        <f>Sheet4!BO11</f>
        <v>0</v>
      </c>
      <c r="BP12" s="68">
        <f>Sheet4!BP11</f>
        <v>2</v>
      </c>
      <c r="BQ12" s="68">
        <f>Sheet4!BQ11</f>
        <v>1</v>
      </c>
      <c r="BR12" s="68">
        <f>Sheet4!BR11</f>
        <v>1</v>
      </c>
      <c r="BS12" s="68">
        <f>Sheet4!BS11</f>
        <v>1</v>
      </c>
      <c r="BT12" s="68">
        <f>Sheet4!BT11</f>
        <v>1</v>
      </c>
      <c r="BU12" s="68">
        <f>Sheet4!BU11</f>
        <v>1</v>
      </c>
      <c r="BV12" s="68">
        <f>Sheet4!BV11</f>
        <v>1</v>
      </c>
      <c r="BW12" s="68">
        <f>Sheet4!BW11</f>
        <v>1</v>
      </c>
      <c r="BX12" s="68">
        <f>Sheet4!BX11</f>
        <v>1</v>
      </c>
      <c r="BY12" s="68">
        <f>Sheet4!BY11</f>
        <v>1</v>
      </c>
      <c r="BZ12" s="68">
        <f>Sheet4!BZ11</f>
        <v>1</v>
      </c>
      <c r="CA12" s="68">
        <f>Sheet4!CA11</f>
        <v>1</v>
      </c>
      <c r="CB12" s="68">
        <f>Sheet4!CB11</f>
        <v>1</v>
      </c>
      <c r="CC12" s="68">
        <f>Sheet4!CC11</f>
        <v>1</v>
      </c>
      <c r="CD12" s="68">
        <f>Sheet4!CD11</f>
        <v>1</v>
      </c>
      <c r="CE12" s="68">
        <f>Sheet4!CE11</f>
        <v>1</v>
      </c>
      <c r="CF12" s="68">
        <f>Sheet4!CF11</f>
        <v>1</v>
      </c>
      <c r="CG12" s="68">
        <f>Sheet4!CG11</f>
        <v>1</v>
      </c>
      <c r="CH12" s="68">
        <f>Sheet4!CH11</f>
        <v>1</v>
      </c>
      <c r="CI12" s="68">
        <f>Sheet4!CI11</f>
        <v>1</v>
      </c>
      <c r="CJ12" s="68">
        <f>Sheet4!CJ11</f>
        <v>1</v>
      </c>
      <c r="CK12" s="68">
        <f>Sheet4!CK11</f>
        <v>1</v>
      </c>
      <c r="CL12" s="68">
        <f>Sheet4!CL11</f>
        <v>1</v>
      </c>
      <c r="CM12" s="68">
        <f>Sheet4!CM11</f>
        <v>1</v>
      </c>
      <c r="CN12" s="68">
        <f>Sheet4!CN11</f>
        <v>1</v>
      </c>
      <c r="CO12" s="68">
        <f>Sheet4!CO11</f>
        <v>1</v>
      </c>
      <c r="CP12" s="68">
        <f>Sheet4!CP11</f>
        <v>1</v>
      </c>
      <c r="CQ12" s="68">
        <f>Sheet4!CQ11</f>
        <v>1</v>
      </c>
      <c r="CR12" s="68">
        <f>Sheet4!CR11</f>
        <v>1</v>
      </c>
      <c r="CS12" s="68">
        <f>Sheet4!CS11</f>
        <v>1</v>
      </c>
      <c r="CT12" s="68">
        <f>Sheet4!CT11</f>
        <v>1</v>
      </c>
      <c r="CU12" s="68">
        <f>Sheet4!CU11</f>
        <v>1</v>
      </c>
      <c r="CV12" s="68">
        <f>Sheet4!CV11</f>
        <v>1</v>
      </c>
      <c r="CW12" s="68">
        <f>Sheet4!CW11</f>
        <v>1</v>
      </c>
      <c r="CX12" s="68">
        <f>Sheet4!CX11</f>
        <v>1</v>
      </c>
      <c r="CY12" s="68">
        <f>Sheet4!CY11</f>
        <v>1</v>
      </c>
      <c r="CZ12" s="68">
        <f>Sheet4!CZ11</f>
        <v>1</v>
      </c>
      <c r="DA12" s="68">
        <f>Sheet4!DA11</f>
        <v>1</v>
      </c>
      <c r="DB12" s="68">
        <f>Sheet4!DB11</f>
        <v>1</v>
      </c>
      <c r="DC12" s="68">
        <f>Sheet4!DC11</f>
        <v>1</v>
      </c>
      <c r="DD12" s="68">
        <f>Sheet4!DD11</f>
        <v>1</v>
      </c>
      <c r="DE12" s="68">
        <f>Sheet4!DE11</f>
        <v>1</v>
      </c>
      <c r="DF12" s="68">
        <f>Sheet4!DF11</f>
        <v>1</v>
      </c>
      <c r="DG12" s="68">
        <f>Sheet4!DG11</f>
        <v>1</v>
      </c>
      <c r="DH12" s="68">
        <f>Sheet4!DH11</f>
        <v>0</v>
      </c>
      <c r="DI12" s="68">
        <f>Sheet4!DI11</f>
        <v>0</v>
      </c>
      <c r="DJ12" s="68">
        <f>Sheet4!DJ11</f>
        <v>0</v>
      </c>
      <c r="DK12" s="68">
        <f>Sheet4!DK11</f>
        <v>0</v>
      </c>
      <c r="DL12" s="68">
        <f>Sheet4!DL11</f>
        <v>0</v>
      </c>
      <c r="DM12" s="68">
        <f>Sheet4!DM11</f>
        <v>0</v>
      </c>
      <c r="DN12" s="68">
        <f>Sheet4!DN11</f>
        <v>0</v>
      </c>
      <c r="DO12" s="68">
        <f>Sheet4!DO11</f>
        <v>0</v>
      </c>
      <c r="DP12" s="68">
        <f>Sheet4!DP11</f>
        <v>0</v>
      </c>
      <c r="DQ12" s="68">
        <f>Sheet4!DQ11</f>
        <v>0</v>
      </c>
    </row>
    <row r="13" spans="1:121" ht="14.4" x14ac:dyDescent="0.3">
      <c r="A13" s="40">
        <f>Sheet4!A12</f>
        <v>10</v>
      </c>
      <c r="B13" s="40" t="str">
        <f>Sheet4!B12</f>
        <v>ጥላነሽ ከበደ</v>
      </c>
      <c r="C13" s="26">
        <f>Sheet4!C12</f>
        <v>21000</v>
      </c>
      <c r="D13" s="68">
        <f>Sheet4!D12</f>
        <v>1</v>
      </c>
      <c r="E13" s="68">
        <f>Sheet4!E12</f>
        <v>1</v>
      </c>
      <c r="F13" s="68">
        <f>Sheet4!F12</f>
        <v>1</v>
      </c>
      <c r="G13" s="68">
        <f>Sheet4!G12</f>
        <v>1</v>
      </c>
      <c r="H13" s="68">
        <f>Sheet4!H12</f>
        <v>1</v>
      </c>
      <c r="I13" s="68">
        <f>Sheet4!I12</f>
        <v>1</v>
      </c>
      <c r="J13" s="68">
        <f>Sheet4!J12</f>
        <v>1</v>
      </c>
      <c r="K13" s="68">
        <f>Sheet4!K12</f>
        <v>1</v>
      </c>
      <c r="L13" s="68">
        <f>Sheet4!L12</f>
        <v>1</v>
      </c>
      <c r="M13" s="68">
        <f>Sheet4!M12</f>
        <v>1</v>
      </c>
      <c r="N13" s="68">
        <f>Sheet4!N12</f>
        <v>1</v>
      </c>
      <c r="O13" s="68">
        <f>Sheet4!O12</f>
        <v>1</v>
      </c>
      <c r="P13" s="68">
        <f>Sheet4!P12</f>
        <v>1</v>
      </c>
      <c r="Q13" s="68">
        <f>Sheet4!Q12</f>
        <v>1</v>
      </c>
      <c r="R13" s="68">
        <f>Sheet4!R12</f>
        <v>1</v>
      </c>
      <c r="S13" s="68">
        <f>Sheet4!S12</f>
        <v>1</v>
      </c>
      <c r="T13" s="68">
        <f>Sheet4!T12</f>
        <v>1</v>
      </c>
      <c r="U13" s="68">
        <f>Sheet4!U12</f>
        <v>1</v>
      </c>
      <c r="V13" s="68">
        <f>Sheet4!V12</f>
        <v>1</v>
      </c>
      <c r="W13" s="68">
        <f>Sheet4!W12</f>
        <v>1</v>
      </c>
      <c r="X13" s="68">
        <f>Sheet4!X12</f>
        <v>1</v>
      </c>
      <c r="Y13" s="68">
        <f>Sheet4!Y12</f>
        <v>1</v>
      </c>
      <c r="Z13" s="68">
        <f>Sheet4!Z12</f>
        <v>1</v>
      </c>
      <c r="AA13" s="68">
        <f>Sheet4!AA12</f>
        <v>1</v>
      </c>
      <c r="AB13" s="68">
        <f>Sheet4!AB12</f>
        <v>1</v>
      </c>
      <c r="AC13" s="68">
        <f>Sheet4!AC12</f>
        <v>1</v>
      </c>
      <c r="AD13" s="68">
        <f>Sheet4!AD12</f>
        <v>1</v>
      </c>
      <c r="AE13" s="68">
        <f>Sheet4!AE12</f>
        <v>1</v>
      </c>
      <c r="AF13" s="68">
        <f>Sheet4!AF12</f>
        <v>1</v>
      </c>
      <c r="AG13" s="68">
        <f>Sheet4!AG12</f>
        <v>1</v>
      </c>
      <c r="AH13" s="68">
        <f>Sheet4!AH12</f>
        <v>1</v>
      </c>
      <c r="AI13" s="68">
        <f>Sheet4!AI12</f>
        <v>1</v>
      </c>
      <c r="AJ13" s="68">
        <f>Sheet4!AJ12</f>
        <v>1</v>
      </c>
      <c r="AK13" s="68">
        <f>Sheet4!AK12</f>
        <v>1</v>
      </c>
      <c r="AL13" s="68">
        <f>Sheet4!AL12</f>
        <v>1</v>
      </c>
      <c r="AM13" s="68">
        <f>Sheet4!AM12</f>
        <v>1</v>
      </c>
      <c r="AN13" s="68">
        <f>Sheet4!AN12</f>
        <v>1</v>
      </c>
      <c r="AO13" s="68">
        <f>Sheet4!AO12</f>
        <v>0</v>
      </c>
      <c r="AP13" s="68">
        <f>Sheet4!AP12</f>
        <v>2</v>
      </c>
      <c r="AQ13" s="68">
        <f>Sheet4!AQ12</f>
        <v>1</v>
      </c>
      <c r="AR13" s="68">
        <f>Sheet4!AR12</f>
        <v>1</v>
      </c>
      <c r="AS13" s="68">
        <f>Sheet4!AS12</f>
        <v>1</v>
      </c>
      <c r="AT13" s="68">
        <f>Sheet4!AT12</f>
        <v>1</v>
      </c>
      <c r="AU13" s="68">
        <f>Sheet4!AU12</f>
        <v>1</v>
      </c>
      <c r="AV13" s="68">
        <f>Sheet4!AV12</f>
        <v>1</v>
      </c>
      <c r="AW13" s="68">
        <f>Sheet4!AW12</f>
        <v>1</v>
      </c>
      <c r="AX13" s="68">
        <f>Sheet4!AX12</f>
        <v>1</v>
      </c>
      <c r="AY13" s="68">
        <f>Sheet4!AY12</f>
        <v>1</v>
      </c>
      <c r="AZ13" s="68">
        <f>Sheet4!AZ12</f>
        <v>1</v>
      </c>
      <c r="BA13" s="68">
        <f>Sheet4!BA12</f>
        <v>1</v>
      </c>
      <c r="BB13" s="68">
        <f>Sheet4!BB12</f>
        <v>1</v>
      </c>
      <c r="BC13" s="68">
        <f>Sheet4!BC12</f>
        <v>1</v>
      </c>
      <c r="BD13" s="68">
        <f>Sheet4!BD12</f>
        <v>1</v>
      </c>
      <c r="BE13" s="68">
        <f>Sheet4!BE12</f>
        <v>1</v>
      </c>
      <c r="BF13" s="68">
        <f>Sheet4!BF12</f>
        <v>1</v>
      </c>
      <c r="BG13" s="68">
        <f>Sheet4!BG12</f>
        <v>1</v>
      </c>
      <c r="BH13" s="68">
        <f>Sheet4!BH12</f>
        <v>1</v>
      </c>
      <c r="BI13" s="68">
        <f>Sheet4!BI12</f>
        <v>1</v>
      </c>
      <c r="BJ13" s="68">
        <f>Sheet4!BJ12</f>
        <v>1</v>
      </c>
      <c r="BK13" s="68">
        <f>Sheet4!BK12</f>
        <v>1</v>
      </c>
      <c r="BL13" s="68">
        <f>Sheet4!BL12</f>
        <v>1</v>
      </c>
      <c r="BM13" s="68">
        <f>Sheet4!BM12</f>
        <v>0</v>
      </c>
      <c r="BN13" s="68">
        <f>Sheet4!BN12</f>
        <v>2</v>
      </c>
      <c r="BO13" s="68">
        <f>Sheet4!BO12</f>
        <v>1</v>
      </c>
      <c r="BP13" s="68">
        <f>Sheet4!BP12</f>
        <v>1</v>
      </c>
      <c r="BQ13" s="68">
        <f>Sheet4!BQ12</f>
        <v>1</v>
      </c>
      <c r="BR13" s="68">
        <f>Sheet4!BR12</f>
        <v>1</v>
      </c>
      <c r="BS13" s="68">
        <f>Sheet4!BS12</f>
        <v>1</v>
      </c>
      <c r="BT13" s="68">
        <f>Sheet4!BT12</f>
        <v>1</v>
      </c>
      <c r="BU13" s="68">
        <f>Sheet4!BU12</f>
        <v>1</v>
      </c>
      <c r="BV13" s="68">
        <f>Sheet4!BV12</f>
        <v>1</v>
      </c>
      <c r="BW13" s="68">
        <f>Sheet4!BW12</f>
        <v>1</v>
      </c>
      <c r="BX13" s="68">
        <f>Sheet4!BX12</f>
        <v>1</v>
      </c>
      <c r="BY13" s="68">
        <f>Sheet4!BY12</f>
        <v>1</v>
      </c>
      <c r="BZ13" s="68">
        <f>Sheet4!BZ12</f>
        <v>1</v>
      </c>
      <c r="CA13" s="68">
        <f>Sheet4!CA12</f>
        <v>1</v>
      </c>
      <c r="CB13" s="68">
        <f>Sheet4!CB12</f>
        <v>1</v>
      </c>
      <c r="CC13" s="68">
        <f>Sheet4!CC12</f>
        <v>1</v>
      </c>
      <c r="CD13" s="68">
        <f>Sheet4!CD12</f>
        <v>0</v>
      </c>
      <c r="CE13" s="68">
        <f>Sheet4!CE12</f>
        <v>2</v>
      </c>
      <c r="CF13" s="68">
        <f>Sheet4!CF12</f>
        <v>1</v>
      </c>
      <c r="CG13" s="68">
        <f>Sheet4!CG12</f>
        <v>1</v>
      </c>
      <c r="CH13" s="68">
        <f>Sheet4!CH12</f>
        <v>1</v>
      </c>
      <c r="CI13" s="68">
        <f>Sheet4!CI12</f>
        <v>1</v>
      </c>
      <c r="CJ13" s="68">
        <f>Sheet4!CJ12</f>
        <v>1</v>
      </c>
      <c r="CK13" s="68">
        <f>Sheet4!CK12</f>
        <v>1</v>
      </c>
      <c r="CL13" s="68">
        <f>Sheet4!CL12</f>
        <v>1</v>
      </c>
      <c r="CM13" s="68">
        <f>Sheet4!CM12</f>
        <v>1</v>
      </c>
      <c r="CN13" s="68">
        <f>Sheet4!CN12</f>
        <v>1</v>
      </c>
      <c r="CO13" s="68">
        <f>Sheet4!CO12</f>
        <v>1</v>
      </c>
      <c r="CP13" s="68">
        <f>Sheet4!CP12</f>
        <v>1</v>
      </c>
      <c r="CQ13" s="68">
        <f>Sheet4!CQ12</f>
        <v>1</v>
      </c>
      <c r="CR13" s="68">
        <f>Sheet4!CR12</f>
        <v>1</v>
      </c>
      <c r="CS13" s="68">
        <f>Sheet4!CS12</f>
        <v>1</v>
      </c>
      <c r="CT13" s="68">
        <f>Sheet4!CT12</f>
        <v>1</v>
      </c>
      <c r="CU13" s="68">
        <f>Sheet4!CU12</f>
        <v>1</v>
      </c>
      <c r="CV13" s="68">
        <f>Sheet4!CV12</f>
        <v>1</v>
      </c>
      <c r="CW13" s="68">
        <f>Sheet4!CW12</f>
        <v>1</v>
      </c>
      <c r="CX13" s="68">
        <f>Sheet4!CX12</f>
        <v>1</v>
      </c>
      <c r="CY13" s="68">
        <f>Sheet4!CY12</f>
        <v>1</v>
      </c>
      <c r="CZ13" s="68">
        <f>Sheet4!CZ12</f>
        <v>1</v>
      </c>
      <c r="DA13" s="68">
        <f>Sheet4!DA12</f>
        <v>1</v>
      </c>
      <c r="DB13" s="68">
        <f>Sheet4!DB12</f>
        <v>1</v>
      </c>
      <c r="DC13" s="68">
        <f>Sheet4!DC12</f>
        <v>1</v>
      </c>
      <c r="DD13" s="68">
        <f>Sheet4!DD12</f>
        <v>1</v>
      </c>
      <c r="DE13" s="68">
        <f>Sheet4!DE12</f>
        <v>1</v>
      </c>
      <c r="DF13" s="68">
        <f>Sheet4!DF12</f>
        <v>1</v>
      </c>
      <c r="DG13" s="68">
        <f>Sheet4!DG12</f>
        <v>1</v>
      </c>
      <c r="DH13" s="68">
        <f>Sheet4!DH12</f>
        <v>0</v>
      </c>
      <c r="DI13" s="68">
        <f>Sheet4!DI12</f>
        <v>0</v>
      </c>
      <c r="DJ13" s="68">
        <f>Sheet4!DJ12</f>
        <v>0</v>
      </c>
      <c r="DK13" s="68">
        <f>Sheet4!DK12</f>
        <v>0</v>
      </c>
      <c r="DL13" s="68">
        <f>Sheet4!DL12</f>
        <v>0</v>
      </c>
      <c r="DM13" s="68">
        <f>Sheet4!DM12</f>
        <v>0</v>
      </c>
      <c r="DN13" s="68">
        <f>Sheet4!DN12</f>
        <v>0</v>
      </c>
      <c r="DO13" s="68">
        <f>Sheet4!DO12</f>
        <v>0</v>
      </c>
      <c r="DP13" s="68">
        <f>Sheet4!DP12</f>
        <v>0</v>
      </c>
      <c r="DQ13" s="68">
        <f>Sheet4!DQ12</f>
        <v>0</v>
      </c>
    </row>
    <row r="14" spans="1:121" ht="14.4" x14ac:dyDescent="0.3">
      <c r="A14" s="40">
        <f>Sheet4!A13</f>
        <v>11</v>
      </c>
      <c r="B14" s="40" t="str">
        <f>Sheet4!B13</f>
        <v>ሄኖክ በቀለ</v>
      </c>
      <c r="C14" s="26">
        <f>Sheet4!C13</f>
        <v>21000</v>
      </c>
      <c r="D14" s="68">
        <f>Sheet4!D13</f>
        <v>1</v>
      </c>
      <c r="E14" s="68">
        <f>Sheet4!E13</f>
        <v>1</v>
      </c>
      <c r="F14" s="68">
        <f>Sheet4!F13</f>
        <v>1</v>
      </c>
      <c r="G14" s="68">
        <f>Sheet4!G13</f>
        <v>1</v>
      </c>
      <c r="H14" s="68">
        <f>Sheet4!H13</f>
        <v>1</v>
      </c>
      <c r="I14" s="68">
        <f>Sheet4!I13</f>
        <v>1</v>
      </c>
      <c r="J14" s="68">
        <f>Sheet4!J13</f>
        <v>1</v>
      </c>
      <c r="K14" s="68">
        <f>Sheet4!K13</f>
        <v>1</v>
      </c>
      <c r="L14" s="68">
        <f>Sheet4!L13</f>
        <v>1</v>
      </c>
      <c r="M14" s="68">
        <f>Sheet4!M13</f>
        <v>1</v>
      </c>
      <c r="N14" s="68">
        <f>Sheet4!N13</f>
        <v>1</v>
      </c>
      <c r="O14" s="68">
        <f>Sheet4!O13</f>
        <v>1</v>
      </c>
      <c r="P14" s="68">
        <f>Sheet4!P13</f>
        <v>1</v>
      </c>
      <c r="Q14" s="68">
        <f>Sheet4!Q13</f>
        <v>1</v>
      </c>
      <c r="R14" s="68">
        <f>Sheet4!R13</f>
        <v>1</v>
      </c>
      <c r="S14" s="68">
        <f>Sheet4!S13</f>
        <v>1</v>
      </c>
      <c r="T14" s="68">
        <f>Sheet4!T13</f>
        <v>1</v>
      </c>
      <c r="U14" s="68">
        <f>Sheet4!U13</f>
        <v>1</v>
      </c>
      <c r="V14" s="68">
        <f>Sheet4!V13</f>
        <v>1</v>
      </c>
      <c r="W14" s="68">
        <f>Sheet4!W13</f>
        <v>1</v>
      </c>
      <c r="X14" s="68">
        <f>Sheet4!X13</f>
        <v>1</v>
      </c>
      <c r="Y14" s="68">
        <f>Sheet4!Y13</f>
        <v>1</v>
      </c>
      <c r="Z14" s="68">
        <f>Sheet4!Z13</f>
        <v>1</v>
      </c>
      <c r="AA14" s="68">
        <f>Sheet4!AA13</f>
        <v>1</v>
      </c>
      <c r="AB14" s="68">
        <f>Sheet4!AB13</f>
        <v>1</v>
      </c>
      <c r="AC14" s="68">
        <f>Sheet4!AC13</f>
        <v>1</v>
      </c>
      <c r="AD14" s="68">
        <f>Sheet4!AD13</f>
        <v>1</v>
      </c>
      <c r="AE14" s="68">
        <f>Sheet4!AE13</f>
        <v>1</v>
      </c>
      <c r="AF14" s="68">
        <f>Sheet4!AF13</f>
        <v>0</v>
      </c>
      <c r="AG14" s="68">
        <f>Sheet4!AG13</f>
        <v>2</v>
      </c>
      <c r="AH14" s="68">
        <f>Sheet4!AH13</f>
        <v>1</v>
      </c>
      <c r="AI14" s="68">
        <f>Sheet4!AI13</f>
        <v>1</v>
      </c>
      <c r="AJ14" s="68">
        <f>Sheet4!AJ13</f>
        <v>1</v>
      </c>
      <c r="AK14" s="68">
        <f>Sheet4!AK13</f>
        <v>1</v>
      </c>
      <c r="AL14" s="68">
        <f>Sheet4!AL13</f>
        <v>1</v>
      </c>
      <c r="AM14" s="68">
        <f>Sheet4!AM13</f>
        <v>1</v>
      </c>
      <c r="AN14" s="68">
        <f>Sheet4!AN13</f>
        <v>1</v>
      </c>
      <c r="AO14" s="68">
        <f>Sheet4!AO13</f>
        <v>1</v>
      </c>
      <c r="AP14" s="68">
        <f>Sheet4!AP13</f>
        <v>1</v>
      </c>
      <c r="AQ14" s="68">
        <f>Sheet4!AQ13</f>
        <v>1</v>
      </c>
      <c r="AR14" s="68">
        <f>Sheet4!AR13</f>
        <v>1</v>
      </c>
      <c r="AS14" s="68">
        <f>Sheet4!AS13</f>
        <v>1</v>
      </c>
      <c r="AT14" s="68">
        <f>Sheet4!AT13</f>
        <v>1</v>
      </c>
      <c r="AU14" s="68">
        <f>Sheet4!AU13</f>
        <v>0</v>
      </c>
      <c r="AV14" s="68">
        <f>Sheet4!AV13</f>
        <v>2</v>
      </c>
      <c r="AW14" s="68">
        <f>Sheet4!AW13</f>
        <v>1</v>
      </c>
      <c r="AX14" s="68">
        <f>Sheet4!AX13</f>
        <v>1</v>
      </c>
      <c r="AY14" s="68">
        <f>Sheet4!AY13</f>
        <v>1</v>
      </c>
      <c r="AZ14" s="68">
        <f>Sheet4!AZ13</f>
        <v>1</v>
      </c>
      <c r="BA14" s="68">
        <f>Sheet4!BA13</f>
        <v>1</v>
      </c>
      <c r="BB14" s="68">
        <f>Sheet4!BB13</f>
        <v>1</v>
      </c>
      <c r="BC14" s="68">
        <f>Sheet4!BC13</f>
        <v>0</v>
      </c>
      <c r="BD14" s="68">
        <f>Sheet4!BD13</f>
        <v>1</v>
      </c>
      <c r="BE14" s="68">
        <f>Sheet4!BE13</f>
        <v>1</v>
      </c>
      <c r="BF14" s="68">
        <f>Sheet4!BF13</f>
        <v>1</v>
      </c>
      <c r="BG14" s="68">
        <f>Sheet4!BG13</f>
        <v>2</v>
      </c>
      <c r="BH14" s="68">
        <f>Sheet4!BH13</f>
        <v>1</v>
      </c>
      <c r="BI14" s="68">
        <f>Sheet4!BI13</f>
        <v>1</v>
      </c>
      <c r="BJ14" s="68">
        <f>Sheet4!BJ13</f>
        <v>1</v>
      </c>
      <c r="BK14" s="68">
        <f>Sheet4!BK13</f>
        <v>1</v>
      </c>
      <c r="BL14" s="68">
        <f>Sheet4!BL13</f>
        <v>1</v>
      </c>
      <c r="BM14" s="68">
        <f>Sheet4!BM13</f>
        <v>0</v>
      </c>
      <c r="BN14" s="68">
        <f>Sheet4!BN13</f>
        <v>1</v>
      </c>
      <c r="BO14" s="68">
        <f>Sheet4!BO13</f>
        <v>1</v>
      </c>
      <c r="BP14" s="68">
        <f>Sheet4!BP13</f>
        <v>1</v>
      </c>
      <c r="BQ14" s="68">
        <f>Sheet4!BQ13</f>
        <v>1</v>
      </c>
      <c r="BR14" s="68">
        <f>Sheet4!BR13</f>
        <v>1</v>
      </c>
      <c r="BS14" s="68">
        <f>Sheet4!BS13</f>
        <v>1</v>
      </c>
      <c r="BT14" s="68">
        <f>Sheet4!BT13</f>
        <v>1</v>
      </c>
      <c r="BU14" s="68">
        <f>Sheet4!BU13</f>
        <v>1</v>
      </c>
      <c r="BV14" s="68">
        <f>Sheet4!BV13</f>
        <v>1</v>
      </c>
      <c r="BW14" s="68">
        <f>Sheet4!BW13</f>
        <v>0</v>
      </c>
      <c r="BX14" s="68">
        <f>Sheet4!BX13</f>
        <v>1</v>
      </c>
      <c r="BY14" s="68">
        <f>Sheet4!BY13</f>
        <v>0</v>
      </c>
      <c r="BZ14" s="68">
        <f>Sheet4!BZ13</f>
        <v>0</v>
      </c>
      <c r="CA14" s="68">
        <f>Sheet4!CA13</f>
        <v>0</v>
      </c>
      <c r="CB14" s="68">
        <f>Sheet4!CB13</f>
        <v>0</v>
      </c>
      <c r="CC14" s="68">
        <f>Sheet4!CC13</f>
        <v>0</v>
      </c>
      <c r="CD14" s="68">
        <f>Sheet4!CD13</f>
        <v>0</v>
      </c>
      <c r="CE14" s="68">
        <f>Sheet4!CE13</f>
        <v>1</v>
      </c>
      <c r="CF14" s="68">
        <f>Sheet4!CF13</f>
        <v>1</v>
      </c>
      <c r="CG14" s="68">
        <f>Sheet4!CG13</f>
        <v>1</v>
      </c>
      <c r="CH14" s="68">
        <f>Sheet4!CH13</f>
        <v>1</v>
      </c>
      <c r="CI14" s="68">
        <f>Sheet4!CI13</f>
        <v>2</v>
      </c>
      <c r="CJ14" s="68">
        <f>Sheet4!CJ13</f>
        <v>0</v>
      </c>
      <c r="CK14" s="68">
        <f>Sheet4!CK13</f>
        <v>0</v>
      </c>
      <c r="CL14" s="68">
        <f>Sheet4!CL13</f>
        <v>1</v>
      </c>
      <c r="CM14" s="68">
        <f>Sheet4!CM13</f>
        <v>1</v>
      </c>
      <c r="CN14" s="68">
        <f>Sheet4!CN13</f>
        <v>0</v>
      </c>
      <c r="CO14" s="68">
        <f>Sheet4!CO13</f>
        <v>0</v>
      </c>
      <c r="CP14" s="68">
        <f>Sheet4!CP13</f>
        <v>0</v>
      </c>
      <c r="CQ14" s="68">
        <f>Sheet4!CQ13</f>
        <v>1</v>
      </c>
      <c r="CR14" s="68">
        <f>Sheet4!CR13</f>
        <v>0</v>
      </c>
      <c r="CS14" s="68">
        <f>Sheet4!CS13</f>
        <v>4</v>
      </c>
      <c r="CT14" s="68">
        <f>Sheet4!CT13</f>
        <v>0</v>
      </c>
      <c r="CU14" s="68">
        <f>Sheet4!CU13</f>
        <v>3</v>
      </c>
      <c r="CV14" s="68">
        <f>Sheet4!CV13</f>
        <v>0</v>
      </c>
      <c r="CW14" s="68">
        <f>Sheet4!CW13</f>
        <v>3</v>
      </c>
      <c r="CX14" s="68">
        <f>Sheet4!CX13</f>
        <v>1</v>
      </c>
      <c r="CY14" s="68">
        <f>Sheet4!CY13</f>
        <v>2</v>
      </c>
      <c r="CZ14" s="68">
        <f>Sheet4!CZ13</f>
        <v>1</v>
      </c>
      <c r="DA14" s="68">
        <f>Sheet4!DA13</f>
        <v>1</v>
      </c>
      <c r="DB14" s="68">
        <f>Sheet4!DB13</f>
        <v>0</v>
      </c>
      <c r="DC14" s="68">
        <f>Sheet4!DC13</f>
        <v>1</v>
      </c>
      <c r="DD14" s="68">
        <f>Sheet4!DD13</f>
        <v>2</v>
      </c>
      <c r="DE14" s="68">
        <f>Sheet4!DE13</f>
        <v>0</v>
      </c>
      <c r="DF14" s="68">
        <f>Sheet4!DF13</f>
        <v>2</v>
      </c>
      <c r="DG14" s="68">
        <f>Sheet4!DG13</f>
        <v>1</v>
      </c>
      <c r="DH14" s="68">
        <f>Sheet4!DH13</f>
        <v>0</v>
      </c>
      <c r="DI14" s="68">
        <f>Sheet4!DI13</f>
        <v>0</v>
      </c>
      <c r="DJ14" s="68">
        <f>Sheet4!DJ13</f>
        <v>0</v>
      </c>
      <c r="DK14" s="68">
        <f>Sheet4!DK13</f>
        <v>0</v>
      </c>
      <c r="DL14" s="68">
        <f>Sheet4!DL13</f>
        <v>0</v>
      </c>
      <c r="DM14" s="68">
        <f>Sheet4!DM13</f>
        <v>0</v>
      </c>
      <c r="DN14" s="68">
        <f>Sheet4!DN13</f>
        <v>0</v>
      </c>
      <c r="DO14" s="68">
        <f>Sheet4!DO13</f>
        <v>0</v>
      </c>
      <c r="DP14" s="68">
        <f>Sheet4!DP13</f>
        <v>0</v>
      </c>
      <c r="DQ14" s="68">
        <f>Sheet4!DQ13</f>
        <v>0</v>
      </c>
    </row>
    <row r="15" spans="1:121" ht="14.4" x14ac:dyDescent="0.3">
      <c r="A15" s="40">
        <f>Sheet4!A14</f>
        <v>12</v>
      </c>
      <c r="B15" s="40" t="str">
        <f>Sheet4!B14</f>
        <v>ሀብታሙ ፃዲቁ</v>
      </c>
      <c r="C15" s="26">
        <f>Sheet4!C14</f>
        <v>21000</v>
      </c>
      <c r="D15" s="68">
        <f>Sheet4!D14</f>
        <v>0</v>
      </c>
      <c r="E15" s="68">
        <f>Sheet4!E14</f>
        <v>0</v>
      </c>
      <c r="F15" s="68">
        <f>Sheet4!F14</f>
        <v>0</v>
      </c>
      <c r="G15" s="68">
        <f>Sheet4!G14</f>
        <v>0</v>
      </c>
      <c r="H15" s="68">
        <f>Sheet4!H14</f>
        <v>0</v>
      </c>
      <c r="I15" s="68">
        <f>Sheet4!I14</f>
        <v>0</v>
      </c>
      <c r="J15" s="68">
        <f>Sheet4!J14</f>
        <v>0</v>
      </c>
      <c r="K15" s="68">
        <f>Sheet4!K14</f>
        <v>0</v>
      </c>
      <c r="L15" s="68">
        <f>Sheet4!L14</f>
        <v>0</v>
      </c>
      <c r="M15" s="68">
        <f>Sheet4!M14</f>
        <v>0</v>
      </c>
      <c r="N15" s="68">
        <f>Sheet4!N14</f>
        <v>0</v>
      </c>
      <c r="O15" s="68">
        <f>Sheet4!O14</f>
        <v>0</v>
      </c>
      <c r="P15" s="68">
        <f>Sheet4!P14</f>
        <v>0</v>
      </c>
      <c r="Q15" s="68">
        <f>Sheet4!Q14</f>
        <v>0</v>
      </c>
      <c r="R15" s="68">
        <f>Sheet4!R14</f>
        <v>0</v>
      </c>
      <c r="S15" s="68">
        <f>Sheet4!S14</f>
        <v>0</v>
      </c>
      <c r="T15" s="68">
        <f>Sheet4!T14</f>
        <v>0</v>
      </c>
      <c r="U15" s="68">
        <f>Sheet4!U14</f>
        <v>0</v>
      </c>
      <c r="V15" s="68">
        <f>Sheet4!V14</f>
        <v>0</v>
      </c>
      <c r="W15" s="68">
        <f>Sheet4!W14</f>
        <v>0</v>
      </c>
      <c r="X15" s="68">
        <f>Sheet4!X14</f>
        <v>0</v>
      </c>
      <c r="Y15" s="68">
        <f>Sheet4!Y14</f>
        <v>0</v>
      </c>
      <c r="Z15" s="68">
        <f>Sheet4!Z14</f>
        <v>0</v>
      </c>
      <c r="AA15" s="68">
        <f>Sheet4!AA14</f>
        <v>0</v>
      </c>
      <c r="AB15" s="68">
        <f>Sheet4!AB14</f>
        <v>0</v>
      </c>
      <c r="AC15" s="68">
        <f>Sheet4!AC14</f>
        <v>0</v>
      </c>
      <c r="AD15" s="68">
        <f>Sheet4!AD14</f>
        <v>0</v>
      </c>
      <c r="AE15" s="68">
        <f>Sheet4!AE14</f>
        <v>0</v>
      </c>
      <c r="AF15" s="68">
        <f>Sheet4!AF14</f>
        <v>0</v>
      </c>
      <c r="AG15" s="68">
        <f>Sheet4!AG14</f>
        <v>0</v>
      </c>
      <c r="AH15" s="68">
        <f>Sheet4!AH14</f>
        <v>0</v>
      </c>
      <c r="AI15" s="68">
        <f>Sheet4!AI14</f>
        <v>0</v>
      </c>
      <c r="AJ15" s="68">
        <f>Sheet4!AJ14</f>
        <v>0</v>
      </c>
      <c r="AK15" s="68">
        <f>Sheet4!AK14</f>
        <v>0</v>
      </c>
      <c r="AL15" s="68">
        <f>Sheet4!AL14</f>
        <v>0</v>
      </c>
      <c r="AM15" s="68">
        <f>Sheet4!AM14</f>
        <v>0</v>
      </c>
      <c r="AN15" s="68">
        <f>Sheet4!AN14</f>
        <v>0</v>
      </c>
      <c r="AO15" s="68">
        <f>Sheet4!AO14</f>
        <v>0</v>
      </c>
      <c r="AP15" s="68">
        <f>Sheet4!AP14</f>
        <v>0</v>
      </c>
      <c r="AQ15" s="68">
        <f>Sheet4!AQ14</f>
        <v>0</v>
      </c>
      <c r="AR15" s="68">
        <f>Sheet4!AR14</f>
        <v>0</v>
      </c>
      <c r="AS15" s="68">
        <f>Sheet4!AS14</f>
        <v>0</v>
      </c>
      <c r="AT15" s="68">
        <f>Sheet4!AT14</f>
        <v>0</v>
      </c>
      <c r="AU15" s="68">
        <f>Sheet4!AU14</f>
        <v>0</v>
      </c>
      <c r="AV15" s="68">
        <f>Sheet4!AV14</f>
        <v>0</v>
      </c>
      <c r="AW15" s="68">
        <f>Sheet4!AW14</f>
        <v>0</v>
      </c>
      <c r="AX15" s="68">
        <f>Sheet4!AX14</f>
        <v>0</v>
      </c>
      <c r="AY15" s="68">
        <f>Sheet4!AY14</f>
        <v>0</v>
      </c>
      <c r="AZ15" s="68">
        <f>Sheet4!AZ14</f>
        <v>0</v>
      </c>
      <c r="BA15" s="68">
        <f>Sheet4!BA14</f>
        <v>0</v>
      </c>
      <c r="BB15" s="68">
        <f>Sheet4!BB14</f>
        <v>0</v>
      </c>
      <c r="BC15" s="68">
        <f>Sheet4!BC14</f>
        <v>0</v>
      </c>
      <c r="BD15" s="68">
        <f>Sheet4!BD14</f>
        <v>0</v>
      </c>
      <c r="BE15" s="68">
        <f>Sheet4!BE14</f>
        <v>0</v>
      </c>
      <c r="BF15" s="68">
        <f>Sheet4!BF14</f>
        <v>0</v>
      </c>
      <c r="BG15" s="68">
        <f>Sheet4!BG14</f>
        <v>0</v>
      </c>
      <c r="BH15" s="68">
        <f>Sheet4!BH14</f>
        <v>0</v>
      </c>
      <c r="BI15" s="68">
        <f>Sheet4!BI14</f>
        <v>0</v>
      </c>
      <c r="BJ15" s="68">
        <f>Sheet4!BJ14</f>
        <v>0</v>
      </c>
      <c r="BK15" s="68">
        <f>Sheet4!BK14</f>
        <v>0</v>
      </c>
      <c r="BL15" s="68">
        <f>Sheet4!BL14</f>
        <v>0</v>
      </c>
      <c r="BM15" s="68">
        <f>Sheet4!BM14</f>
        <v>0</v>
      </c>
      <c r="BN15" s="68">
        <f>Sheet4!BN14</f>
        <v>0</v>
      </c>
      <c r="BO15" s="68">
        <f>Sheet4!BO14</f>
        <v>0</v>
      </c>
      <c r="BP15" s="68">
        <f>Sheet4!BP14</f>
        <v>0</v>
      </c>
      <c r="BQ15" s="68">
        <f>Sheet4!BQ14</f>
        <v>0</v>
      </c>
      <c r="BR15" s="68">
        <f>Sheet4!BR14</f>
        <v>0</v>
      </c>
      <c r="BS15" s="68">
        <f>Sheet4!BS14</f>
        <v>0</v>
      </c>
      <c r="BT15" s="68">
        <f>Sheet4!BT14</f>
        <v>0</v>
      </c>
      <c r="BU15" s="68">
        <f>Sheet4!BU14</f>
        <v>0</v>
      </c>
      <c r="BV15" s="68">
        <f>Sheet4!BV14</f>
        <v>0</v>
      </c>
      <c r="BW15" s="68">
        <f>Sheet4!BW14</f>
        <v>0</v>
      </c>
      <c r="BX15" s="68">
        <f>Sheet4!BX14</f>
        <v>0</v>
      </c>
      <c r="BY15" s="68">
        <f>Sheet4!BY14</f>
        <v>0</v>
      </c>
      <c r="BZ15" s="68">
        <f>Sheet4!BZ14</f>
        <v>0</v>
      </c>
      <c r="CA15" s="68">
        <f>Sheet4!CA14</f>
        <v>0</v>
      </c>
      <c r="CB15" s="68">
        <f>Sheet4!CB14</f>
        <v>0</v>
      </c>
      <c r="CC15" s="68">
        <f>Sheet4!CC14</f>
        <v>0</v>
      </c>
      <c r="CD15" s="68">
        <f>Sheet4!CD14</f>
        <v>0</v>
      </c>
      <c r="CE15" s="68">
        <f>Sheet4!CE14</f>
        <v>0</v>
      </c>
      <c r="CF15" s="68">
        <f>Sheet4!CF14</f>
        <v>0</v>
      </c>
      <c r="CG15" s="68">
        <f>Sheet4!CG14</f>
        <v>0</v>
      </c>
      <c r="CH15" s="68">
        <f>Sheet4!CH14</f>
        <v>0</v>
      </c>
      <c r="CI15" s="68">
        <f>Sheet4!CI14</f>
        <v>0</v>
      </c>
      <c r="CJ15" s="68">
        <f>Sheet4!CJ14</f>
        <v>0</v>
      </c>
      <c r="CK15" s="68">
        <f>Sheet4!CK14</f>
        <v>0</v>
      </c>
      <c r="CL15" s="68">
        <f>Sheet4!CL14</f>
        <v>0</v>
      </c>
      <c r="CM15" s="68">
        <f>Sheet4!CM14</f>
        <v>0</v>
      </c>
      <c r="CN15" s="68">
        <f>Sheet4!CN14</f>
        <v>0</v>
      </c>
      <c r="CO15" s="68">
        <f>Sheet4!CO14</f>
        <v>0</v>
      </c>
      <c r="CP15" s="68">
        <f>Sheet4!CP14</f>
        <v>0</v>
      </c>
      <c r="CQ15" s="68">
        <f>Sheet4!CQ14</f>
        <v>0</v>
      </c>
      <c r="CR15" s="68">
        <f>Sheet4!CR14</f>
        <v>0</v>
      </c>
      <c r="CS15" s="68">
        <f>Sheet4!CS14</f>
        <v>0</v>
      </c>
      <c r="CT15" s="68">
        <f>Sheet4!CT14</f>
        <v>0</v>
      </c>
      <c r="CU15" s="68">
        <f>Sheet4!CU14</f>
        <v>0</v>
      </c>
      <c r="CV15" s="68">
        <f>Sheet4!CV14</f>
        <v>0</v>
      </c>
      <c r="CW15" s="68">
        <f>Sheet4!CW14</f>
        <v>0</v>
      </c>
      <c r="CX15" s="68">
        <f>Sheet4!CX14</f>
        <v>0</v>
      </c>
      <c r="CY15" s="68">
        <f>Sheet4!CY14</f>
        <v>0</v>
      </c>
      <c r="CZ15" s="68">
        <f>Sheet4!CZ14</f>
        <v>0</v>
      </c>
      <c r="DA15" s="68">
        <f>Sheet4!DA14</f>
        <v>0</v>
      </c>
      <c r="DB15" s="68">
        <f>Sheet4!DB14</f>
        <v>0</v>
      </c>
      <c r="DC15" s="68">
        <f>Sheet4!DC14</f>
        <v>0</v>
      </c>
      <c r="DD15" s="68">
        <f>Sheet4!DD14</f>
        <v>0</v>
      </c>
      <c r="DE15" s="68">
        <f>Sheet4!DE14</f>
        <v>0</v>
      </c>
      <c r="DF15" s="68">
        <f>Sheet4!DF14</f>
        <v>0</v>
      </c>
      <c r="DG15" s="68">
        <f>Sheet4!DG14</f>
        <v>0</v>
      </c>
      <c r="DH15" s="68">
        <f>Sheet4!DH14</f>
        <v>0</v>
      </c>
      <c r="DI15" s="68">
        <f>Sheet4!DI14</f>
        <v>0</v>
      </c>
      <c r="DJ15" s="68">
        <f>Sheet4!DJ14</f>
        <v>0</v>
      </c>
      <c r="DK15" s="68">
        <f>Sheet4!DK14</f>
        <v>0</v>
      </c>
      <c r="DL15" s="68">
        <f>Sheet4!DL14</f>
        <v>0</v>
      </c>
      <c r="DM15" s="68">
        <f>Sheet4!DM14</f>
        <v>0</v>
      </c>
      <c r="DN15" s="68">
        <f>Sheet4!DN14</f>
        <v>0</v>
      </c>
      <c r="DO15" s="68">
        <f>Sheet4!DO14</f>
        <v>0</v>
      </c>
      <c r="DP15" s="68">
        <f>Sheet4!DP14</f>
        <v>0</v>
      </c>
      <c r="DQ15" s="68">
        <f>Sheet4!DQ14</f>
        <v>0</v>
      </c>
    </row>
    <row r="16" spans="1:121" ht="14.4" x14ac:dyDescent="0.3">
      <c r="A16" s="40">
        <f>Sheet4!A15</f>
        <v>13</v>
      </c>
      <c r="B16" s="40" t="str">
        <f>Sheet4!B15</f>
        <v>ፍሬው ኢትዮጲያ</v>
      </c>
      <c r="C16" s="26">
        <f>Sheet4!C15</f>
        <v>21000</v>
      </c>
      <c r="D16" s="68">
        <f>Sheet4!D15</f>
        <v>1</v>
      </c>
      <c r="E16" s="68">
        <f>Sheet4!E15</f>
        <v>1</v>
      </c>
      <c r="F16" s="68">
        <f>Sheet4!F15</f>
        <v>1</v>
      </c>
      <c r="G16" s="68">
        <f>Sheet4!G15</f>
        <v>1</v>
      </c>
      <c r="H16" s="68">
        <f>Sheet4!H15</f>
        <v>1</v>
      </c>
      <c r="I16" s="68">
        <f>Sheet4!I15</f>
        <v>1</v>
      </c>
      <c r="J16" s="68">
        <f>Sheet4!J15</f>
        <v>1</v>
      </c>
      <c r="K16" s="68">
        <f>Sheet4!K15</f>
        <v>1</v>
      </c>
      <c r="L16" s="68">
        <f>Sheet4!L15</f>
        <v>1</v>
      </c>
      <c r="M16" s="68">
        <f>Sheet4!M15</f>
        <v>1</v>
      </c>
      <c r="N16" s="68">
        <f>Sheet4!N15</f>
        <v>1</v>
      </c>
      <c r="O16" s="68">
        <f>Sheet4!O15</f>
        <v>1</v>
      </c>
      <c r="P16" s="68">
        <f>Sheet4!P15</f>
        <v>1</v>
      </c>
      <c r="Q16" s="68">
        <f>Sheet4!Q15</f>
        <v>1</v>
      </c>
      <c r="R16" s="68">
        <f>Sheet4!R15</f>
        <v>1</v>
      </c>
      <c r="S16" s="68">
        <f>Sheet4!S15</f>
        <v>1</v>
      </c>
      <c r="T16" s="68">
        <f>Sheet4!T15</f>
        <v>1</v>
      </c>
      <c r="U16" s="68">
        <f>Sheet4!U15</f>
        <v>1</v>
      </c>
      <c r="V16" s="68">
        <f>Sheet4!V15</f>
        <v>1</v>
      </c>
      <c r="W16" s="68">
        <f>Sheet4!W15</f>
        <v>1</v>
      </c>
      <c r="X16" s="68">
        <f>Sheet4!X15</f>
        <v>1</v>
      </c>
      <c r="Y16" s="68">
        <f>Sheet4!Y15</f>
        <v>1</v>
      </c>
      <c r="Z16" s="68">
        <f>Sheet4!Z15</f>
        <v>1</v>
      </c>
      <c r="AA16" s="68">
        <f>Sheet4!AA15</f>
        <v>1</v>
      </c>
      <c r="AB16" s="68">
        <f>Sheet4!AB15</f>
        <v>1</v>
      </c>
      <c r="AC16" s="68">
        <f>Sheet4!AC15</f>
        <v>1</v>
      </c>
      <c r="AD16" s="68">
        <f>Sheet4!AD15</f>
        <v>1</v>
      </c>
      <c r="AE16" s="68">
        <f>Sheet4!AE15</f>
        <v>1</v>
      </c>
      <c r="AF16" s="68">
        <f>Sheet4!AF15</f>
        <v>1</v>
      </c>
      <c r="AG16" s="68">
        <f>Sheet4!AG15</f>
        <v>1</v>
      </c>
      <c r="AH16" s="68">
        <f>Sheet4!AH15</f>
        <v>1</v>
      </c>
      <c r="AI16" s="68">
        <f>Sheet4!AI15</f>
        <v>1</v>
      </c>
      <c r="AJ16" s="68">
        <f>Sheet4!AJ15</f>
        <v>1</v>
      </c>
      <c r="AK16" s="68">
        <f>Sheet4!AK15</f>
        <v>1</v>
      </c>
      <c r="AL16" s="68">
        <f>Sheet4!AL15</f>
        <v>1</v>
      </c>
      <c r="AM16" s="68">
        <f>Sheet4!AM15</f>
        <v>1</v>
      </c>
      <c r="AN16" s="68">
        <f>Sheet4!AN15</f>
        <v>1</v>
      </c>
      <c r="AO16" s="68">
        <f>Sheet4!AO15</f>
        <v>1</v>
      </c>
      <c r="AP16" s="68">
        <f>Sheet4!AP15</f>
        <v>1</v>
      </c>
      <c r="AQ16" s="68">
        <f>Sheet4!AQ15</f>
        <v>1</v>
      </c>
      <c r="AR16" s="68">
        <f>Sheet4!AR15</f>
        <v>1</v>
      </c>
      <c r="AS16" s="68">
        <f>Sheet4!AS15</f>
        <v>1</v>
      </c>
      <c r="AT16" s="68">
        <f>Sheet4!AT15</f>
        <v>1</v>
      </c>
      <c r="AU16" s="68">
        <f>Sheet4!AU15</f>
        <v>1</v>
      </c>
      <c r="AV16" s="68">
        <f>Sheet4!AV15</f>
        <v>1</v>
      </c>
      <c r="AW16" s="68">
        <f>Sheet4!AW15</f>
        <v>1</v>
      </c>
      <c r="AX16" s="68">
        <f>Sheet4!AX15</f>
        <v>1</v>
      </c>
      <c r="AY16" s="68">
        <f>Sheet4!AY15</f>
        <v>1</v>
      </c>
      <c r="AZ16" s="68">
        <f>Sheet4!AZ15</f>
        <v>1</v>
      </c>
      <c r="BA16" s="68">
        <f>Sheet4!BA15</f>
        <v>1</v>
      </c>
      <c r="BB16" s="68">
        <f>Sheet4!BB15</f>
        <v>1</v>
      </c>
      <c r="BC16" s="68">
        <f>Sheet4!BC15</f>
        <v>1</v>
      </c>
      <c r="BD16" s="68">
        <f>Sheet4!BD15</f>
        <v>1</v>
      </c>
      <c r="BE16" s="68">
        <f>Sheet4!BE15</f>
        <v>1</v>
      </c>
      <c r="BF16" s="68">
        <f>Sheet4!BF15</f>
        <v>1</v>
      </c>
      <c r="BG16" s="68">
        <f>Sheet4!BG15</f>
        <v>1</v>
      </c>
      <c r="BH16" s="68">
        <f>Sheet4!BH15</f>
        <v>1</v>
      </c>
      <c r="BI16" s="68">
        <f>Sheet4!BI15</f>
        <v>1</v>
      </c>
      <c r="BJ16" s="68">
        <f>Sheet4!BJ15</f>
        <v>1</v>
      </c>
      <c r="BK16" s="68">
        <f>Sheet4!BK15</f>
        <v>1</v>
      </c>
      <c r="BL16" s="68">
        <f>Sheet4!BL15</f>
        <v>1</v>
      </c>
      <c r="BM16" s="68">
        <f>Sheet4!BM15</f>
        <v>1</v>
      </c>
      <c r="BN16" s="68">
        <f>Sheet4!BN15</f>
        <v>1</v>
      </c>
      <c r="BO16" s="68">
        <f>Sheet4!BO15</f>
        <v>1</v>
      </c>
      <c r="BP16" s="68">
        <f>Sheet4!BP15</f>
        <v>1</v>
      </c>
      <c r="BQ16" s="68">
        <f>Sheet4!BQ15</f>
        <v>1</v>
      </c>
      <c r="BR16" s="68">
        <f>Sheet4!BR15</f>
        <v>1</v>
      </c>
      <c r="BS16" s="68">
        <f>Sheet4!BS15</f>
        <v>1</v>
      </c>
      <c r="BT16" s="68">
        <f>Sheet4!BT15</f>
        <v>1</v>
      </c>
      <c r="BU16" s="68">
        <f>Sheet4!BU15</f>
        <v>1</v>
      </c>
      <c r="BV16" s="68">
        <f>Sheet4!BV15</f>
        <v>1</v>
      </c>
      <c r="BW16" s="68">
        <f>Sheet4!BW15</f>
        <v>1</v>
      </c>
      <c r="BX16" s="68">
        <f>Sheet4!BX15</f>
        <v>1</v>
      </c>
      <c r="BY16" s="68">
        <f>Sheet4!BY15</f>
        <v>1</v>
      </c>
      <c r="BZ16" s="68">
        <f>Sheet4!BZ15</f>
        <v>1</v>
      </c>
      <c r="CA16" s="68">
        <f>Sheet4!CA15</f>
        <v>1</v>
      </c>
      <c r="CB16" s="68">
        <f>Sheet4!CB15</f>
        <v>1</v>
      </c>
      <c r="CC16" s="68">
        <f>Sheet4!CC15</f>
        <v>1</v>
      </c>
      <c r="CD16" s="68">
        <f>Sheet4!CD15</f>
        <v>1</v>
      </c>
      <c r="CE16" s="68">
        <f>Sheet4!CE15</f>
        <v>1</v>
      </c>
      <c r="CF16" s="68">
        <f>Sheet4!CF15</f>
        <v>1</v>
      </c>
      <c r="CG16" s="68">
        <f>Sheet4!CG15</f>
        <v>1</v>
      </c>
      <c r="CH16" s="68">
        <f>Sheet4!CH15</f>
        <v>1</v>
      </c>
      <c r="CI16" s="68">
        <f>Sheet4!CI15</f>
        <v>1</v>
      </c>
      <c r="CJ16" s="68">
        <f>Sheet4!CJ15</f>
        <v>1</v>
      </c>
      <c r="CK16" s="68">
        <f>Sheet4!CK15</f>
        <v>1</v>
      </c>
      <c r="CL16" s="68">
        <f>Sheet4!CL15</f>
        <v>1</v>
      </c>
      <c r="CM16" s="68">
        <f>Sheet4!CM15</f>
        <v>1</v>
      </c>
      <c r="CN16" s="68">
        <f>Sheet4!CN15</f>
        <v>1</v>
      </c>
      <c r="CO16" s="68">
        <f>Sheet4!CO15</f>
        <v>1</v>
      </c>
      <c r="CP16" s="68">
        <f>Sheet4!CP15</f>
        <v>1</v>
      </c>
      <c r="CQ16" s="68">
        <f>Sheet4!CQ15</f>
        <v>1</v>
      </c>
      <c r="CR16" s="68">
        <f>Sheet4!CR15</f>
        <v>1</v>
      </c>
      <c r="CS16" s="68">
        <f>Sheet4!CS15</f>
        <v>1</v>
      </c>
      <c r="CT16" s="68">
        <f>Sheet4!CT15</f>
        <v>1</v>
      </c>
      <c r="CU16" s="68">
        <f>Sheet4!CU15</f>
        <v>1</v>
      </c>
      <c r="CV16" s="68">
        <f>Sheet4!CV15</f>
        <v>1</v>
      </c>
      <c r="CW16" s="68">
        <f>Sheet4!CW15</f>
        <v>1</v>
      </c>
      <c r="CX16" s="68">
        <f>Sheet4!CX15</f>
        <v>1</v>
      </c>
      <c r="CY16" s="68">
        <f>Sheet4!CY15</f>
        <v>1</v>
      </c>
      <c r="CZ16" s="68">
        <f>Sheet4!CZ15</f>
        <v>1</v>
      </c>
      <c r="DA16" s="68">
        <f>Sheet4!DA15</f>
        <v>1</v>
      </c>
      <c r="DB16" s="68">
        <f>Sheet4!DB15</f>
        <v>1</v>
      </c>
      <c r="DC16" s="68">
        <f>Sheet4!DC15</f>
        <v>1</v>
      </c>
      <c r="DD16" s="68">
        <f>Sheet4!DD15</f>
        <v>1</v>
      </c>
      <c r="DE16" s="68">
        <f>Sheet4!DE15</f>
        <v>1</v>
      </c>
      <c r="DF16" s="68">
        <f>Sheet4!DF15</f>
        <v>1</v>
      </c>
      <c r="DG16" s="68">
        <f>Sheet4!DG15</f>
        <v>1</v>
      </c>
      <c r="DH16" s="68">
        <f>Sheet4!DH15</f>
        <v>0</v>
      </c>
      <c r="DI16" s="68">
        <f>Sheet4!DI15</f>
        <v>0</v>
      </c>
      <c r="DJ16" s="68">
        <f>Sheet4!DJ15</f>
        <v>0</v>
      </c>
      <c r="DK16" s="68">
        <f>Sheet4!DK15</f>
        <v>0</v>
      </c>
      <c r="DL16" s="68">
        <f>Sheet4!DL15</f>
        <v>0</v>
      </c>
      <c r="DM16" s="68">
        <f>Sheet4!DM15</f>
        <v>0</v>
      </c>
      <c r="DN16" s="68">
        <f>Sheet4!DN15</f>
        <v>0</v>
      </c>
      <c r="DO16" s="68">
        <f>Sheet4!DO15</f>
        <v>0</v>
      </c>
      <c r="DP16" s="68">
        <f>Sheet4!DP15</f>
        <v>0</v>
      </c>
      <c r="DQ16" s="68">
        <f>Sheet4!DQ15</f>
        <v>0</v>
      </c>
    </row>
    <row r="17" spans="1:121" ht="14.4" x14ac:dyDescent="0.3">
      <c r="A17" s="40">
        <f>Sheet4!A16</f>
        <v>14</v>
      </c>
      <c r="B17" s="40" t="str">
        <f>Sheet4!B16</f>
        <v>አስራት ኩሳ</v>
      </c>
      <c r="C17" s="26">
        <f>Sheet4!C16</f>
        <v>21000</v>
      </c>
      <c r="D17" s="68">
        <f>Sheet4!D16</f>
        <v>1</v>
      </c>
      <c r="E17" s="68">
        <f>Sheet4!E16</f>
        <v>1</v>
      </c>
      <c r="F17" s="68">
        <f>Sheet4!F16</f>
        <v>1</v>
      </c>
      <c r="G17" s="68">
        <f>Sheet4!G16</f>
        <v>1</v>
      </c>
      <c r="H17" s="68">
        <f>Sheet4!H16</f>
        <v>1</v>
      </c>
      <c r="I17" s="68">
        <f>Sheet4!I16</f>
        <v>1</v>
      </c>
      <c r="J17" s="68">
        <f>Sheet4!J16</f>
        <v>1</v>
      </c>
      <c r="K17" s="68">
        <f>Sheet4!K16</f>
        <v>1</v>
      </c>
      <c r="L17" s="68">
        <f>Sheet4!L16</f>
        <v>1</v>
      </c>
      <c r="M17" s="68">
        <f>Sheet4!M16</f>
        <v>1</v>
      </c>
      <c r="N17" s="68">
        <f>Sheet4!N16</f>
        <v>1</v>
      </c>
      <c r="O17" s="68">
        <f>Sheet4!O16</f>
        <v>1</v>
      </c>
      <c r="P17" s="68">
        <f>Sheet4!P16</f>
        <v>1</v>
      </c>
      <c r="Q17" s="68">
        <f>Sheet4!Q16</f>
        <v>1</v>
      </c>
      <c r="R17" s="68">
        <f>Sheet4!R16</f>
        <v>1</v>
      </c>
      <c r="S17" s="68">
        <f>Sheet4!S16</f>
        <v>1</v>
      </c>
      <c r="T17" s="68">
        <f>Sheet4!T16</f>
        <v>1</v>
      </c>
      <c r="U17" s="68">
        <f>Sheet4!U16</f>
        <v>1</v>
      </c>
      <c r="V17" s="68">
        <f>Sheet4!V16</f>
        <v>1</v>
      </c>
      <c r="W17" s="68">
        <f>Sheet4!W16</f>
        <v>0</v>
      </c>
      <c r="X17" s="68">
        <f>Sheet4!X16</f>
        <v>2</v>
      </c>
      <c r="Y17" s="68">
        <f>Sheet4!Y16</f>
        <v>1</v>
      </c>
      <c r="Z17" s="68">
        <f>Sheet4!Z16</f>
        <v>1</v>
      </c>
      <c r="AA17" s="68">
        <f>Sheet4!AA16</f>
        <v>1</v>
      </c>
      <c r="AB17" s="68">
        <f>Sheet4!AB16</f>
        <v>1</v>
      </c>
      <c r="AC17" s="68">
        <f>Sheet4!AC16</f>
        <v>1</v>
      </c>
      <c r="AD17" s="68">
        <f>Sheet4!AD16</f>
        <v>1</v>
      </c>
      <c r="AE17" s="68">
        <f>Sheet4!AE16</f>
        <v>0</v>
      </c>
      <c r="AF17" s="68">
        <f>Sheet4!AF16</f>
        <v>2</v>
      </c>
      <c r="AG17" s="68">
        <f>Sheet4!AG16</f>
        <v>1</v>
      </c>
      <c r="AH17" s="68">
        <f>Sheet4!AH16</f>
        <v>1</v>
      </c>
      <c r="AI17" s="68">
        <f>Sheet4!AI16</f>
        <v>0</v>
      </c>
      <c r="AJ17" s="68">
        <f>Sheet4!AJ16</f>
        <v>2</v>
      </c>
      <c r="AK17" s="68">
        <f>Sheet4!AK16</f>
        <v>1</v>
      </c>
      <c r="AL17" s="68">
        <f>Sheet4!AL16</f>
        <v>1</v>
      </c>
      <c r="AM17" s="68">
        <f>Sheet4!AM16</f>
        <v>0</v>
      </c>
      <c r="AN17" s="68">
        <f>Sheet4!AN16</f>
        <v>2</v>
      </c>
      <c r="AO17" s="68">
        <f>Sheet4!AO16</f>
        <v>1</v>
      </c>
      <c r="AP17" s="68">
        <f>Sheet4!AP16</f>
        <v>1</v>
      </c>
      <c r="AQ17" s="68">
        <f>Sheet4!AQ16</f>
        <v>1</v>
      </c>
      <c r="AR17" s="68">
        <f>Sheet4!AR16</f>
        <v>1</v>
      </c>
      <c r="AS17" s="68">
        <f>Sheet4!AS16</f>
        <v>1</v>
      </c>
      <c r="AT17" s="68">
        <f>Sheet4!AT16</f>
        <v>1</v>
      </c>
      <c r="AU17" s="68">
        <f>Sheet4!AU16</f>
        <v>1</v>
      </c>
      <c r="AV17" s="68">
        <f>Sheet4!AV16</f>
        <v>0</v>
      </c>
      <c r="AW17" s="68">
        <f>Sheet4!AW16</f>
        <v>1</v>
      </c>
      <c r="AX17" s="68">
        <f>Sheet4!AX16</f>
        <v>1</v>
      </c>
      <c r="AY17" s="68">
        <f>Sheet4!AY16</f>
        <v>2</v>
      </c>
      <c r="AZ17" s="68">
        <f>Sheet4!AZ16</f>
        <v>1</v>
      </c>
      <c r="BA17" s="68">
        <f>Sheet4!BA16</f>
        <v>1</v>
      </c>
      <c r="BB17" s="68">
        <f>Sheet4!BB16</f>
        <v>1</v>
      </c>
      <c r="BC17" s="68">
        <f>Sheet4!BC16</f>
        <v>1</v>
      </c>
      <c r="BD17" s="68">
        <f>Sheet4!BD16</f>
        <v>1</v>
      </c>
      <c r="BE17" s="68">
        <f>Sheet4!BE16</f>
        <v>1</v>
      </c>
      <c r="BF17" s="68">
        <f>Sheet4!BF16</f>
        <v>1</v>
      </c>
      <c r="BG17" s="68">
        <f>Sheet4!BG16</f>
        <v>0</v>
      </c>
      <c r="BH17" s="68">
        <f>Sheet4!BH16</f>
        <v>2</v>
      </c>
      <c r="BI17" s="68">
        <f>Sheet4!BI16</f>
        <v>1</v>
      </c>
      <c r="BJ17" s="68">
        <f>Sheet4!BJ16</f>
        <v>1</v>
      </c>
      <c r="BK17" s="68">
        <f>Sheet4!BK16</f>
        <v>0</v>
      </c>
      <c r="BL17" s="68">
        <f>Sheet4!BL16</f>
        <v>2</v>
      </c>
      <c r="BM17" s="68">
        <f>Sheet4!BM16</f>
        <v>1</v>
      </c>
      <c r="BN17" s="68">
        <f>Sheet4!BN16</f>
        <v>1</v>
      </c>
      <c r="BO17" s="68">
        <f>Sheet4!BO16</f>
        <v>0</v>
      </c>
      <c r="BP17" s="68">
        <f>Sheet4!BP16</f>
        <v>2</v>
      </c>
      <c r="BQ17" s="68">
        <f>Sheet4!BQ16</f>
        <v>0</v>
      </c>
      <c r="BR17" s="68">
        <f>Sheet4!BR16</f>
        <v>1</v>
      </c>
      <c r="BS17" s="68">
        <f>Sheet4!BS16</f>
        <v>1</v>
      </c>
      <c r="BT17" s="68">
        <f>Sheet4!BT16</f>
        <v>2</v>
      </c>
      <c r="BU17" s="68">
        <f>Sheet4!BU16</f>
        <v>1</v>
      </c>
      <c r="BV17" s="68">
        <f>Sheet4!BV16</f>
        <v>1</v>
      </c>
      <c r="BW17" s="68">
        <f>Sheet4!BW16</f>
        <v>0</v>
      </c>
      <c r="BX17" s="68">
        <f>Sheet4!BX16</f>
        <v>2</v>
      </c>
      <c r="BY17" s="68">
        <f>Sheet4!BY16</f>
        <v>0</v>
      </c>
      <c r="BZ17" s="68">
        <f>Sheet4!BZ16</f>
        <v>2</v>
      </c>
      <c r="CA17" s="68">
        <f>Sheet4!CA16</f>
        <v>1</v>
      </c>
      <c r="CB17" s="68">
        <f>Sheet4!CB16</f>
        <v>1</v>
      </c>
      <c r="CC17" s="68">
        <f>Sheet4!CC16</f>
        <v>1</v>
      </c>
      <c r="CD17" s="68">
        <f>Sheet4!CD16</f>
        <v>0</v>
      </c>
      <c r="CE17" s="68">
        <f>Sheet4!CE16</f>
        <v>2</v>
      </c>
      <c r="CF17" s="68">
        <f>Sheet4!CF16</f>
        <v>0</v>
      </c>
      <c r="CG17" s="68">
        <f>Sheet4!CG16</f>
        <v>1</v>
      </c>
      <c r="CH17" s="68">
        <f>Sheet4!CH16</f>
        <v>2</v>
      </c>
      <c r="CI17" s="68">
        <f>Sheet4!CI16</f>
        <v>1</v>
      </c>
      <c r="CJ17" s="68">
        <f>Sheet4!CJ16</f>
        <v>1</v>
      </c>
      <c r="CK17" s="68">
        <f>Sheet4!CK16</f>
        <v>1</v>
      </c>
      <c r="CL17" s="68">
        <f>Sheet4!CL16</f>
        <v>0</v>
      </c>
      <c r="CM17" s="68">
        <f>Sheet4!CM16</f>
        <v>2</v>
      </c>
      <c r="CN17" s="68">
        <f>Sheet4!CN16</f>
        <v>1</v>
      </c>
      <c r="CO17" s="68">
        <f>Sheet4!CO16</f>
        <v>0</v>
      </c>
      <c r="CP17" s="68">
        <f>Sheet4!CP16</f>
        <v>2</v>
      </c>
      <c r="CQ17" s="68">
        <f>Sheet4!CQ16</f>
        <v>0</v>
      </c>
      <c r="CR17" s="68">
        <f>Sheet4!CR16</f>
        <v>2</v>
      </c>
      <c r="CS17" s="68">
        <f>Sheet4!CS16</f>
        <v>0</v>
      </c>
      <c r="CT17" s="68">
        <f>Sheet4!CT16</f>
        <v>0</v>
      </c>
      <c r="CU17" s="68">
        <f>Sheet4!CU16</f>
        <v>0</v>
      </c>
      <c r="CV17" s="68">
        <f>Sheet4!CV16</f>
        <v>3</v>
      </c>
      <c r="CW17" s="68">
        <f>Sheet4!CW16</f>
        <v>0</v>
      </c>
      <c r="CX17" s="68">
        <f>Sheet4!CX16</f>
        <v>0</v>
      </c>
      <c r="CY17" s="68">
        <f>Sheet4!CY16</f>
        <v>0</v>
      </c>
      <c r="CZ17" s="68">
        <f>Sheet4!CZ16</f>
        <v>5</v>
      </c>
      <c r="DA17" s="68">
        <f>Sheet4!DA16</f>
        <v>1</v>
      </c>
      <c r="DB17" s="68">
        <f>Sheet4!DB16</f>
        <v>0</v>
      </c>
      <c r="DC17" s="68">
        <f>Sheet4!DC16</f>
        <v>0</v>
      </c>
      <c r="DD17" s="68">
        <f>Sheet4!DD16</f>
        <v>2</v>
      </c>
      <c r="DE17" s="68">
        <f>Sheet4!DE16</f>
        <v>0</v>
      </c>
      <c r="DF17" s="68">
        <f>Sheet4!DF16</f>
        <v>2</v>
      </c>
      <c r="DG17" s="68">
        <f>Sheet4!DG16</f>
        <v>0</v>
      </c>
      <c r="DH17" s="68">
        <f>Sheet4!DH16</f>
        <v>0</v>
      </c>
      <c r="DI17" s="68">
        <f>Sheet4!DI16</f>
        <v>0</v>
      </c>
      <c r="DJ17" s="68">
        <f>Sheet4!DJ16</f>
        <v>0</v>
      </c>
      <c r="DK17" s="68">
        <f>Sheet4!DK16</f>
        <v>0</v>
      </c>
      <c r="DL17" s="68">
        <f>Sheet4!DL16</f>
        <v>0</v>
      </c>
      <c r="DM17" s="68">
        <f>Sheet4!DM16</f>
        <v>0</v>
      </c>
      <c r="DN17" s="68">
        <f>Sheet4!DN16</f>
        <v>0</v>
      </c>
      <c r="DO17" s="68">
        <f>Sheet4!DO16</f>
        <v>0</v>
      </c>
      <c r="DP17" s="68">
        <f>Sheet4!DP16</f>
        <v>0</v>
      </c>
      <c r="DQ17" s="68">
        <f>Sheet4!DQ16</f>
        <v>0</v>
      </c>
    </row>
    <row r="18" spans="1:121" ht="14.4" x14ac:dyDescent="0.3">
      <c r="A18" s="40">
        <f>Sheet4!A17</f>
        <v>15</v>
      </c>
      <c r="B18" s="40" t="str">
        <f>Sheet4!B17</f>
        <v xml:space="preserve">አበራ ዩሐንስ </v>
      </c>
      <c r="C18" s="26">
        <f>Sheet4!C17</f>
        <v>21000</v>
      </c>
      <c r="D18" s="68">
        <f>Sheet4!D17</f>
        <v>1</v>
      </c>
      <c r="E18" s="68">
        <f>Sheet4!E17</f>
        <v>1</v>
      </c>
      <c r="F18" s="68">
        <f>Sheet4!F17</f>
        <v>1</v>
      </c>
      <c r="G18" s="68">
        <f>Sheet4!G17</f>
        <v>1</v>
      </c>
      <c r="H18" s="68">
        <f>Sheet4!H17</f>
        <v>1</v>
      </c>
      <c r="I18" s="68">
        <f>Sheet4!I17</f>
        <v>1</v>
      </c>
      <c r="J18" s="68">
        <f>Sheet4!J17</f>
        <v>1</v>
      </c>
      <c r="K18" s="68">
        <f>Sheet4!K17</f>
        <v>1</v>
      </c>
      <c r="L18" s="68">
        <f>Sheet4!L17</f>
        <v>1</v>
      </c>
      <c r="M18" s="68">
        <f>Sheet4!M17</f>
        <v>1</v>
      </c>
      <c r="N18" s="68">
        <f>Sheet4!N17</f>
        <v>1</v>
      </c>
      <c r="O18" s="68">
        <f>Sheet4!O17</f>
        <v>1</v>
      </c>
      <c r="P18" s="68">
        <f>Sheet4!P17</f>
        <v>1</v>
      </c>
      <c r="Q18" s="68">
        <f>Sheet4!Q17</f>
        <v>1</v>
      </c>
      <c r="R18" s="68">
        <f>Sheet4!R17</f>
        <v>1</v>
      </c>
      <c r="S18" s="68">
        <f>Sheet4!S17</f>
        <v>1</v>
      </c>
      <c r="T18" s="68">
        <f>Sheet4!T17</f>
        <v>1</v>
      </c>
      <c r="U18" s="68">
        <f>Sheet4!U17</f>
        <v>1</v>
      </c>
      <c r="V18" s="68">
        <f>Sheet4!V17</f>
        <v>1</v>
      </c>
      <c r="W18" s="68">
        <f>Sheet4!W17</f>
        <v>1</v>
      </c>
      <c r="X18" s="68">
        <f>Sheet4!X17</f>
        <v>1</v>
      </c>
      <c r="Y18" s="68">
        <f>Sheet4!Y17</f>
        <v>1</v>
      </c>
      <c r="Z18" s="68">
        <f>Sheet4!Z17</f>
        <v>1</v>
      </c>
      <c r="AA18" s="68">
        <f>Sheet4!AA17</f>
        <v>1</v>
      </c>
      <c r="AB18" s="68">
        <f>Sheet4!AB17</f>
        <v>1</v>
      </c>
      <c r="AC18" s="68">
        <f>Sheet4!AC17</f>
        <v>1</v>
      </c>
      <c r="AD18" s="68">
        <f>Sheet4!AD17</f>
        <v>1</v>
      </c>
      <c r="AE18" s="68">
        <f>Sheet4!AE17</f>
        <v>1</v>
      </c>
      <c r="AF18" s="68">
        <f>Sheet4!AF17</f>
        <v>1</v>
      </c>
      <c r="AG18" s="68">
        <f>Sheet4!AG17</f>
        <v>1</v>
      </c>
      <c r="AH18" s="68">
        <f>Sheet4!AH17</f>
        <v>1</v>
      </c>
      <c r="AI18" s="68">
        <f>Sheet4!AI17</f>
        <v>1</v>
      </c>
      <c r="AJ18" s="68">
        <f>Sheet4!AJ17</f>
        <v>1</v>
      </c>
      <c r="AK18" s="68">
        <f>Sheet4!AK17</f>
        <v>1</v>
      </c>
      <c r="AL18" s="68">
        <f>Sheet4!AL17</f>
        <v>1</v>
      </c>
      <c r="AM18" s="68">
        <f>Sheet4!AM17</f>
        <v>1</v>
      </c>
      <c r="AN18" s="68">
        <f>Sheet4!AN17</f>
        <v>1</v>
      </c>
      <c r="AO18" s="68">
        <f>Sheet4!AO17</f>
        <v>1</v>
      </c>
      <c r="AP18" s="68">
        <f>Sheet4!AP17</f>
        <v>1</v>
      </c>
      <c r="AQ18" s="68">
        <f>Sheet4!AQ17</f>
        <v>1</v>
      </c>
      <c r="AR18" s="68">
        <f>Sheet4!AR17</f>
        <v>1</v>
      </c>
      <c r="AS18" s="68">
        <f>Sheet4!AS17</f>
        <v>1</v>
      </c>
      <c r="AT18" s="68">
        <f>Sheet4!AT17</f>
        <v>1</v>
      </c>
      <c r="AU18" s="68">
        <f>Sheet4!AU17</f>
        <v>0</v>
      </c>
      <c r="AV18" s="68">
        <f>Sheet4!AV17</f>
        <v>0</v>
      </c>
      <c r="AW18" s="68">
        <f>Sheet4!AW17</f>
        <v>0</v>
      </c>
      <c r="AX18" s="68">
        <f>Sheet4!AX17</f>
        <v>1</v>
      </c>
      <c r="AY18" s="68">
        <f>Sheet4!AY17</f>
        <v>1</v>
      </c>
      <c r="AZ18" s="68">
        <f>Sheet4!AZ17</f>
        <v>3</v>
      </c>
      <c r="BA18" s="68">
        <f>Sheet4!BA17</f>
        <v>1</v>
      </c>
      <c r="BB18" s="68">
        <f>Sheet4!BB17</f>
        <v>2</v>
      </c>
      <c r="BC18" s="68">
        <f>Sheet4!BC17</f>
        <v>1</v>
      </c>
      <c r="BD18" s="68">
        <f>Sheet4!BD17</f>
        <v>1</v>
      </c>
      <c r="BE18" s="68">
        <f>Sheet4!BE17</f>
        <v>1</v>
      </c>
      <c r="BF18" s="68">
        <f>Sheet4!BF17</f>
        <v>1</v>
      </c>
      <c r="BG18" s="68">
        <f>Sheet4!BG17</f>
        <v>1</v>
      </c>
      <c r="BH18" s="68">
        <f>Sheet4!BH17</f>
        <v>1</v>
      </c>
      <c r="BI18" s="68">
        <f>Sheet4!BI17</f>
        <v>1</v>
      </c>
      <c r="BJ18" s="68">
        <f>Sheet4!BJ17</f>
        <v>1</v>
      </c>
      <c r="BK18" s="68">
        <f>Sheet4!BK17</f>
        <v>1</v>
      </c>
      <c r="BL18" s="68">
        <f>Sheet4!BL17</f>
        <v>0</v>
      </c>
      <c r="BM18" s="68">
        <f>Sheet4!BM17</f>
        <v>0</v>
      </c>
      <c r="BN18" s="68">
        <f>Sheet4!BN17</f>
        <v>0</v>
      </c>
      <c r="BO18" s="68">
        <f>Sheet4!BO17</f>
        <v>1</v>
      </c>
      <c r="BP18" s="68">
        <f>Sheet4!BP17</f>
        <v>0</v>
      </c>
      <c r="BQ18" s="68">
        <f>Sheet4!BQ17</f>
        <v>0</v>
      </c>
      <c r="BR18" s="68">
        <f>Sheet4!BR17</f>
        <v>2</v>
      </c>
      <c r="BS18" s="68">
        <f>Sheet4!BS17</f>
        <v>1</v>
      </c>
      <c r="BT18" s="68">
        <f>Sheet4!BT17</f>
        <v>1</v>
      </c>
      <c r="BU18" s="68">
        <f>Sheet4!BU17</f>
        <v>0</v>
      </c>
      <c r="BV18" s="68">
        <f>Sheet4!BV17</f>
        <v>0</v>
      </c>
      <c r="BW18" s="68">
        <f>Sheet4!BW17</f>
        <v>0</v>
      </c>
      <c r="BX18" s="68">
        <f>Sheet4!BX17</f>
        <v>0</v>
      </c>
      <c r="BY18" s="68">
        <f>Sheet4!BY17</f>
        <v>0</v>
      </c>
      <c r="BZ18" s="68">
        <f>Sheet4!BZ17</f>
        <v>0</v>
      </c>
      <c r="CA18" s="68">
        <f>Sheet4!CA17</f>
        <v>0</v>
      </c>
      <c r="CB18" s="68">
        <f>Sheet4!CB17</f>
        <v>0</v>
      </c>
      <c r="CC18" s="68">
        <f>Sheet4!CC17</f>
        <v>1</v>
      </c>
      <c r="CD18" s="68">
        <f>Sheet4!CD17</f>
        <v>0</v>
      </c>
      <c r="CE18" s="68">
        <f>Sheet4!CE17</f>
        <v>0</v>
      </c>
      <c r="CF18" s="68">
        <f>Sheet4!CF17</f>
        <v>0</v>
      </c>
      <c r="CG18" s="68">
        <f>Sheet4!CG17</f>
        <v>0</v>
      </c>
      <c r="CH18" s="68">
        <f>Sheet4!CH17</f>
        <v>0</v>
      </c>
      <c r="CI18" s="68">
        <f>Sheet4!CI17</f>
        <v>0</v>
      </c>
      <c r="CJ18" s="68">
        <f>Sheet4!CJ17</f>
        <v>0</v>
      </c>
      <c r="CK18" s="68">
        <f>Sheet4!CK17</f>
        <v>0</v>
      </c>
      <c r="CL18" s="68">
        <f>Sheet4!CL17</f>
        <v>0</v>
      </c>
      <c r="CM18" s="68">
        <f>Sheet4!CM17</f>
        <v>0</v>
      </c>
      <c r="CN18" s="68">
        <f>Sheet4!CN17</f>
        <v>0</v>
      </c>
      <c r="CO18" s="68">
        <f>Sheet4!CO17</f>
        <v>12</v>
      </c>
      <c r="CP18" s="68">
        <f>Sheet4!CP17</f>
        <v>5</v>
      </c>
      <c r="CQ18" s="68">
        <f>Sheet4!CQ17</f>
        <v>5</v>
      </c>
      <c r="CR18" s="68">
        <f>Sheet4!CR17</f>
        <v>0</v>
      </c>
      <c r="CS18" s="68">
        <f>Sheet4!CS17</f>
        <v>0</v>
      </c>
      <c r="CT18" s="68">
        <f>Sheet4!CT17</f>
        <v>0</v>
      </c>
      <c r="CU18" s="68">
        <f>Sheet4!CU17</f>
        <v>0</v>
      </c>
      <c r="CV18" s="68">
        <f>Sheet4!CV17</f>
        <v>0</v>
      </c>
      <c r="CW18" s="68">
        <f>Sheet4!CW17</f>
        <v>0</v>
      </c>
      <c r="CX18" s="68">
        <f>Sheet4!CX17</f>
        <v>0</v>
      </c>
      <c r="CY18" s="68">
        <f>Sheet4!CY17</f>
        <v>0</v>
      </c>
      <c r="CZ18" s="68">
        <f>Sheet4!CZ17</f>
        <v>0</v>
      </c>
      <c r="DA18" s="68">
        <f>Sheet4!DA17</f>
        <v>0</v>
      </c>
      <c r="DB18" s="68">
        <f>Sheet4!DB17</f>
        <v>0</v>
      </c>
      <c r="DC18" s="68">
        <f>Sheet4!DC17</f>
        <v>0</v>
      </c>
      <c r="DD18" s="68">
        <f>Sheet4!DD17</f>
        <v>0</v>
      </c>
      <c r="DE18" s="68">
        <f>Sheet4!DE17</f>
        <v>0</v>
      </c>
      <c r="DF18" s="68">
        <f>Sheet4!DF17</f>
        <v>0</v>
      </c>
      <c r="DG18" s="68">
        <f>Sheet4!DG17</f>
        <v>0</v>
      </c>
      <c r="DH18" s="68">
        <f>Sheet4!DH17</f>
        <v>0</v>
      </c>
      <c r="DI18" s="68">
        <f>Sheet4!DI17</f>
        <v>0</v>
      </c>
      <c r="DJ18" s="68">
        <f>Sheet4!DJ17</f>
        <v>0</v>
      </c>
      <c r="DK18" s="68">
        <f>Sheet4!DK17</f>
        <v>0</v>
      </c>
      <c r="DL18" s="68">
        <f>Sheet4!DL17</f>
        <v>0</v>
      </c>
      <c r="DM18" s="68">
        <f>Sheet4!DM17</f>
        <v>0</v>
      </c>
      <c r="DN18" s="68">
        <f>Sheet4!DN17</f>
        <v>0</v>
      </c>
      <c r="DO18" s="68">
        <f>Sheet4!DO17</f>
        <v>0</v>
      </c>
      <c r="DP18" s="68">
        <f>Sheet4!DP17</f>
        <v>0</v>
      </c>
      <c r="DQ18" s="68">
        <f>Sheet4!DQ17</f>
        <v>0</v>
      </c>
    </row>
    <row r="19" spans="1:121" ht="14.4" x14ac:dyDescent="0.3">
      <c r="A19" s="40">
        <f>Sheet4!A18</f>
        <v>16</v>
      </c>
      <c r="B19" s="40" t="str">
        <f>Sheet4!B18</f>
        <v>አለማየሁ ገዛህኝ</v>
      </c>
      <c r="C19" s="26">
        <f>Sheet4!C18</f>
        <v>21000</v>
      </c>
      <c r="D19" s="68">
        <f>Sheet4!D18</f>
        <v>1</v>
      </c>
      <c r="E19" s="68">
        <f>Sheet4!E18</f>
        <v>1</v>
      </c>
      <c r="F19" s="68">
        <f>Sheet4!F18</f>
        <v>1</v>
      </c>
      <c r="G19" s="68">
        <f>Sheet4!G18</f>
        <v>1</v>
      </c>
      <c r="H19" s="68">
        <f>Sheet4!H18</f>
        <v>1</v>
      </c>
      <c r="I19" s="68">
        <f>Sheet4!I18</f>
        <v>1</v>
      </c>
      <c r="J19" s="68">
        <f>Sheet4!J18</f>
        <v>1</v>
      </c>
      <c r="K19" s="68">
        <f>Sheet4!K18</f>
        <v>1</v>
      </c>
      <c r="L19" s="68">
        <f>Sheet4!L18</f>
        <v>1</v>
      </c>
      <c r="M19" s="68">
        <f>Sheet4!M18</f>
        <v>1</v>
      </c>
      <c r="N19" s="68">
        <f>Sheet4!N18</f>
        <v>1</v>
      </c>
      <c r="O19" s="68">
        <f>Sheet4!O18</f>
        <v>1</v>
      </c>
      <c r="P19" s="68">
        <f>Sheet4!P18</f>
        <v>1</v>
      </c>
      <c r="Q19" s="68">
        <f>Sheet4!Q18</f>
        <v>1</v>
      </c>
      <c r="R19" s="68">
        <f>Sheet4!R18</f>
        <v>1</v>
      </c>
      <c r="S19" s="68">
        <f>Sheet4!S18</f>
        <v>1</v>
      </c>
      <c r="T19" s="68">
        <f>Sheet4!T18</f>
        <v>1</v>
      </c>
      <c r="U19" s="68">
        <f>Sheet4!U18</f>
        <v>1</v>
      </c>
      <c r="V19" s="68">
        <f>Sheet4!V18</f>
        <v>1</v>
      </c>
      <c r="W19" s="68">
        <f>Sheet4!W18</f>
        <v>1</v>
      </c>
      <c r="X19" s="68">
        <f>Sheet4!X18</f>
        <v>1</v>
      </c>
      <c r="Y19" s="68">
        <f>Sheet4!Y18</f>
        <v>1</v>
      </c>
      <c r="Z19" s="68">
        <f>Sheet4!Z18</f>
        <v>1</v>
      </c>
      <c r="AA19" s="68">
        <f>Sheet4!AA18</f>
        <v>1</v>
      </c>
      <c r="AB19" s="68">
        <f>Sheet4!AB18</f>
        <v>1</v>
      </c>
      <c r="AC19" s="68">
        <f>Sheet4!AC18</f>
        <v>1</v>
      </c>
      <c r="AD19" s="68">
        <f>Sheet4!AD18</f>
        <v>1</v>
      </c>
      <c r="AE19" s="68">
        <f>Sheet4!AE18</f>
        <v>1</v>
      </c>
      <c r="AF19" s="68">
        <f>Sheet4!AF18</f>
        <v>1</v>
      </c>
      <c r="AG19" s="68">
        <f>Sheet4!AG18</f>
        <v>1</v>
      </c>
      <c r="AH19" s="68">
        <f>Sheet4!AH18</f>
        <v>1</v>
      </c>
      <c r="AI19" s="68">
        <f>Sheet4!AI18</f>
        <v>1</v>
      </c>
      <c r="AJ19" s="68">
        <f>Sheet4!AJ18</f>
        <v>1</v>
      </c>
      <c r="AK19" s="68">
        <f>Sheet4!AK18</f>
        <v>1</v>
      </c>
      <c r="AL19" s="68">
        <f>Sheet4!AL18</f>
        <v>1</v>
      </c>
      <c r="AM19" s="68">
        <f>Sheet4!AM18</f>
        <v>1</v>
      </c>
      <c r="AN19" s="68">
        <f>Sheet4!AN18</f>
        <v>1</v>
      </c>
      <c r="AO19" s="68">
        <f>Sheet4!AO18</f>
        <v>1</v>
      </c>
      <c r="AP19" s="68">
        <f>Sheet4!AP18</f>
        <v>1</v>
      </c>
      <c r="AQ19" s="68">
        <f>Sheet4!AQ18</f>
        <v>1</v>
      </c>
      <c r="AR19" s="68">
        <f>Sheet4!AR18</f>
        <v>1</v>
      </c>
      <c r="AS19" s="68">
        <f>Sheet4!AS18</f>
        <v>1</v>
      </c>
      <c r="AT19" s="68">
        <f>Sheet4!AT18</f>
        <v>1</v>
      </c>
      <c r="AU19" s="68">
        <f>Sheet4!AU18</f>
        <v>1</v>
      </c>
      <c r="AV19" s="68">
        <f>Sheet4!AV18</f>
        <v>1</v>
      </c>
      <c r="AW19" s="68">
        <f>Sheet4!AW18</f>
        <v>1</v>
      </c>
      <c r="AX19" s="68">
        <f>Sheet4!AX18</f>
        <v>1</v>
      </c>
      <c r="AY19" s="68">
        <f>Sheet4!AY18</f>
        <v>1</v>
      </c>
      <c r="AZ19" s="68">
        <f>Sheet4!AZ18</f>
        <v>1</v>
      </c>
      <c r="BA19" s="68">
        <f>Sheet4!BA18</f>
        <v>1</v>
      </c>
      <c r="BB19" s="68">
        <f>Sheet4!BB18</f>
        <v>1</v>
      </c>
      <c r="BC19" s="68">
        <f>Sheet4!BC18</f>
        <v>0</v>
      </c>
      <c r="BD19" s="68">
        <f>Sheet4!BD18</f>
        <v>2</v>
      </c>
      <c r="BE19" s="68">
        <f>Sheet4!BE18</f>
        <v>1</v>
      </c>
      <c r="BF19" s="68">
        <f>Sheet4!BF18</f>
        <v>1</v>
      </c>
      <c r="BG19" s="68">
        <f>Sheet4!BG18</f>
        <v>1</v>
      </c>
      <c r="BH19" s="68">
        <f>Sheet4!BH18</f>
        <v>1</v>
      </c>
      <c r="BI19" s="68">
        <f>Sheet4!BI18</f>
        <v>1</v>
      </c>
      <c r="BJ19" s="68">
        <f>Sheet4!BJ18</f>
        <v>1</v>
      </c>
      <c r="BK19" s="68">
        <f>Sheet4!BK18</f>
        <v>1</v>
      </c>
      <c r="BL19" s="68">
        <f>Sheet4!BL18</f>
        <v>1</v>
      </c>
      <c r="BM19" s="68">
        <f>Sheet4!BM18</f>
        <v>1</v>
      </c>
      <c r="BN19" s="68">
        <f>Sheet4!BN18</f>
        <v>1</v>
      </c>
      <c r="BO19" s="68">
        <f>Sheet4!BO18</f>
        <v>1</v>
      </c>
      <c r="BP19" s="68">
        <f>Sheet4!BP18</f>
        <v>1</v>
      </c>
      <c r="BQ19" s="68">
        <f>Sheet4!BQ18</f>
        <v>1</v>
      </c>
      <c r="BR19" s="68">
        <f>Sheet4!BR18</f>
        <v>1</v>
      </c>
      <c r="BS19" s="68">
        <f>Sheet4!BS18</f>
        <v>1</v>
      </c>
      <c r="BT19" s="68">
        <f>Sheet4!BT18</f>
        <v>1</v>
      </c>
      <c r="BU19" s="68">
        <f>Sheet4!BU18</f>
        <v>1</v>
      </c>
      <c r="BV19" s="68">
        <f>Sheet4!BV18</f>
        <v>1</v>
      </c>
      <c r="BW19" s="68">
        <f>Sheet4!BW18</f>
        <v>1</v>
      </c>
      <c r="BX19" s="68">
        <f>Sheet4!BX18</f>
        <v>1</v>
      </c>
      <c r="BY19" s="68">
        <f>Sheet4!BY18</f>
        <v>1</v>
      </c>
      <c r="BZ19" s="68">
        <f>Sheet4!BZ18</f>
        <v>1</v>
      </c>
      <c r="CA19" s="68">
        <f>Sheet4!CA18</f>
        <v>1</v>
      </c>
      <c r="CB19" s="68">
        <f>Sheet4!CB18</f>
        <v>1</v>
      </c>
      <c r="CC19" s="68">
        <f>Sheet4!CC18</f>
        <v>1</v>
      </c>
      <c r="CD19" s="68">
        <f>Sheet4!CD18</f>
        <v>1</v>
      </c>
      <c r="CE19" s="68">
        <f>Sheet4!CE18</f>
        <v>1</v>
      </c>
      <c r="CF19" s="68">
        <f>Sheet4!CF18</f>
        <v>1</v>
      </c>
      <c r="CG19" s="68">
        <f>Sheet4!CG18</f>
        <v>1</v>
      </c>
      <c r="CH19" s="68">
        <f>Sheet4!CH18</f>
        <v>1</v>
      </c>
      <c r="CI19" s="68">
        <f>Sheet4!CI18</f>
        <v>1</v>
      </c>
      <c r="CJ19" s="68">
        <f>Sheet4!CJ18</f>
        <v>1</v>
      </c>
      <c r="CK19" s="68">
        <f>Sheet4!CK18</f>
        <v>1</v>
      </c>
      <c r="CL19" s="68">
        <f>Sheet4!CL18</f>
        <v>1</v>
      </c>
      <c r="CM19" s="68">
        <f>Sheet4!CM18</f>
        <v>1</v>
      </c>
      <c r="CN19" s="68">
        <f>Sheet4!CN18</f>
        <v>1</v>
      </c>
      <c r="CO19" s="68">
        <f>Sheet4!CO18</f>
        <v>0</v>
      </c>
      <c r="CP19" s="68">
        <f>Sheet4!CP18</f>
        <v>2</v>
      </c>
      <c r="CQ19" s="68">
        <f>Sheet4!CQ18</f>
        <v>1</v>
      </c>
      <c r="CR19" s="68">
        <f>Sheet4!CR18</f>
        <v>1</v>
      </c>
      <c r="CS19" s="68">
        <f>Sheet4!CS18</f>
        <v>1</v>
      </c>
      <c r="CT19" s="68">
        <f>Sheet4!CT18</f>
        <v>1</v>
      </c>
      <c r="CU19" s="68">
        <f>Sheet4!CU18</f>
        <v>1</v>
      </c>
      <c r="CV19" s="68">
        <f>Sheet4!CV18</f>
        <v>1</v>
      </c>
      <c r="CW19" s="68">
        <f>Sheet4!CW18</f>
        <v>1</v>
      </c>
      <c r="CX19" s="68">
        <f>Sheet4!CX18</f>
        <v>1</v>
      </c>
      <c r="CY19" s="68">
        <f>Sheet4!CY18</f>
        <v>1</v>
      </c>
      <c r="CZ19" s="68">
        <f>Sheet4!CZ18</f>
        <v>1</v>
      </c>
      <c r="DA19" s="68">
        <f>Sheet4!DA18</f>
        <v>1</v>
      </c>
      <c r="DB19" s="68">
        <f>Sheet4!DB18</f>
        <v>1</v>
      </c>
      <c r="DC19" s="68">
        <f>Sheet4!DC18</f>
        <v>1</v>
      </c>
      <c r="DD19" s="68">
        <f>Sheet4!DD18</f>
        <v>1</v>
      </c>
      <c r="DE19" s="68">
        <f>Sheet4!DE18</f>
        <v>1</v>
      </c>
      <c r="DF19" s="68">
        <f>Sheet4!DF18</f>
        <v>1</v>
      </c>
      <c r="DG19" s="68">
        <f>Sheet4!DG18</f>
        <v>1</v>
      </c>
      <c r="DH19" s="68">
        <f>Sheet4!DH18</f>
        <v>0</v>
      </c>
      <c r="DI19" s="68">
        <f>Sheet4!DI18</f>
        <v>0</v>
      </c>
      <c r="DJ19" s="68">
        <f>Sheet4!DJ18</f>
        <v>0</v>
      </c>
      <c r="DK19" s="68">
        <f>Sheet4!DK18</f>
        <v>0</v>
      </c>
      <c r="DL19" s="68">
        <f>Sheet4!DL18</f>
        <v>0</v>
      </c>
      <c r="DM19" s="68">
        <f>Sheet4!DM18</f>
        <v>0</v>
      </c>
      <c r="DN19" s="68">
        <f>Sheet4!DN18</f>
        <v>0</v>
      </c>
      <c r="DO19" s="68">
        <f>Sheet4!DO18</f>
        <v>0</v>
      </c>
      <c r="DP19" s="68">
        <f>Sheet4!DP18</f>
        <v>0</v>
      </c>
      <c r="DQ19" s="68">
        <f>Sheet4!DQ18</f>
        <v>0</v>
      </c>
    </row>
    <row r="20" spans="1:121" ht="14.4" x14ac:dyDescent="0.3">
      <c r="A20" s="40">
        <f>Sheet4!A19</f>
        <v>17</v>
      </c>
      <c r="B20" s="40" t="str">
        <f>Sheet4!B19</f>
        <v>እንግዳ ካሳዬ</v>
      </c>
      <c r="C20" s="26">
        <f>Sheet4!C19</f>
        <v>21000</v>
      </c>
      <c r="D20" s="68">
        <f>Sheet4!D19</f>
        <v>1</v>
      </c>
      <c r="E20" s="68">
        <f>Sheet4!E19</f>
        <v>1</v>
      </c>
      <c r="F20" s="68">
        <f>Sheet4!F19</f>
        <v>1</v>
      </c>
      <c r="G20" s="68">
        <f>Sheet4!G19</f>
        <v>1</v>
      </c>
      <c r="H20" s="68">
        <f>Sheet4!H19</f>
        <v>1</v>
      </c>
      <c r="I20" s="68">
        <f>Sheet4!I19</f>
        <v>1</v>
      </c>
      <c r="J20" s="68">
        <f>Sheet4!J19</f>
        <v>1</v>
      </c>
      <c r="K20" s="68">
        <f>Sheet4!K19</f>
        <v>1</v>
      </c>
      <c r="L20" s="68">
        <f>Sheet4!L19</f>
        <v>1</v>
      </c>
      <c r="M20" s="68">
        <f>Sheet4!M19</f>
        <v>1</v>
      </c>
      <c r="N20" s="68">
        <f>Sheet4!N19</f>
        <v>1</v>
      </c>
      <c r="O20" s="68">
        <f>Sheet4!O19</f>
        <v>1</v>
      </c>
      <c r="P20" s="68">
        <f>Sheet4!P19</f>
        <v>1</v>
      </c>
      <c r="Q20" s="68">
        <f>Sheet4!Q19</f>
        <v>1</v>
      </c>
      <c r="R20" s="68">
        <f>Sheet4!R19</f>
        <v>1</v>
      </c>
      <c r="S20" s="68">
        <f>Sheet4!S19</f>
        <v>1</v>
      </c>
      <c r="T20" s="68">
        <f>Sheet4!T19</f>
        <v>1</v>
      </c>
      <c r="U20" s="68">
        <f>Sheet4!U19</f>
        <v>1</v>
      </c>
      <c r="V20" s="68">
        <f>Sheet4!V19</f>
        <v>1</v>
      </c>
      <c r="W20" s="68">
        <f>Sheet4!W19</f>
        <v>1</v>
      </c>
      <c r="X20" s="68">
        <f>Sheet4!X19</f>
        <v>1</v>
      </c>
      <c r="Y20" s="68">
        <f>Sheet4!Y19</f>
        <v>1</v>
      </c>
      <c r="Z20" s="68">
        <f>Sheet4!Z19</f>
        <v>1</v>
      </c>
      <c r="AA20" s="68">
        <f>Sheet4!AA19</f>
        <v>0</v>
      </c>
      <c r="AB20" s="68">
        <f>Sheet4!AB19</f>
        <v>2</v>
      </c>
      <c r="AC20" s="68">
        <f>Sheet4!AC19</f>
        <v>1</v>
      </c>
      <c r="AD20" s="68">
        <f>Sheet4!AD19</f>
        <v>1</v>
      </c>
      <c r="AE20" s="68">
        <f>Sheet4!AE19</f>
        <v>1</v>
      </c>
      <c r="AF20" s="68">
        <f>Sheet4!AF19</f>
        <v>1</v>
      </c>
      <c r="AG20" s="68">
        <f>Sheet4!AG19</f>
        <v>1</v>
      </c>
      <c r="AH20" s="68">
        <f>Sheet4!AH19</f>
        <v>1</v>
      </c>
      <c r="AI20" s="68">
        <f>Sheet4!AI19</f>
        <v>1</v>
      </c>
      <c r="AJ20" s="68">
        <f>Sheet4!AJ19</f>
        <v>1</v>
      </c>
      <c r="AK20" s="68">
        <f>Sheet4!AK19</f>
        <v>1</v>
      </c>
      <c r="AL20" s="68">
        <f>Sheet4!AL19</f>
        <v>1</v>
      </c>
      <c r="AM20" s="68">
        <f>Sheet4!AM19</f>
        <v>1</v>
      </c>
      <c r="AN20" s="68">
        <f>Sheet4!AN19</f>
        <v>1</v>
      </c>
      <c r="AO20" s="68">
        <f>Sheet4!AO19</f>
        <v>1</v>
      </c>
      <c r="AP20" s="68">
        <f>Sheet4!AP19</f>
        <v>1</v>
      </c>
      <c r="AQ20" s="68">
        <f>Sheet4!AQ19</f>
        <v>1</v>
      </c>
      <c r="AR20" s="68">
        <f>Sheet4!AR19</f>
        <v>1</v>
      </c>
      <c r="AS20" s="68">
        <f>Sheet4!AS19</f>
        <v>1</v>
      </c>
      <c r="AT20" s="68">
        <f>Sheet4!AT19</f>
        <v>1</v>
      </c>
      <c r="AU20" s="68">
        <f>Sheet4!AU19</f>
        <v>1</v>
      </c>
      <c r="AV20" s="68">
        <f>Sheet4!AV19</f>
        <v>1</v>
      </c>
      <c r="AW20" s="68">
        <f>Sheet4!AW19</f>
        <v>1</v>
      </c>
      <c r="AX20" s="68">
        <f>Sheet4!AX19</f>
        <v>1</v>
      </c>
      <c r="AY20" s="68">
        <f>Sheet4!AY19</f>
        <v>1</v>
      </c>
      <c r="AZ20" s="68">
        <f>Sheet4!AZ19</f>
        <v>1</v>
      </c>
      <c r="BA20" s="68">
        <f>Sheet4!BA19</f>
        <v>1</v>
      </c>
      <c r="BB20" s="68">
        <f>Sheet4!BB19</f>
        <v>1</v>
      </c>
      <c r="BC20" s="68">
        <f>Sheet4!BC19</f>
        <v>1</v>
      </c>
      <c r="BD20" s="68">
        <f>Sheet4!BD19</f>
        <v>1</v>
      </c>
      <c r="BE20" s="68">
        <f>Sheet4!BE19</f>
        <v>0</v>
      </c>
      <c r="BF20" s="68">
        <f>Sheet4!BF19</f>
        <v>1</v>
      </c>
      <c r="BG20" s="68">
        <f>Sheet4!BG19</f>
        <v>1</v>
      </c>
      <c r="BH20" s="68">
        <f>Sheet4!BH19</f>
        <v>1</v>
      </c>
      <c r="BI20" s="68">
        <f>Sheet4!BI19</f>
        <v>1</v>
      </c>
      <c r="BJ20" s="68">
        <f>Sheet4!BJ19</f>
        <v>1</v>
      </c>
      <c r="BK20" s="68">
        <f>Sheet4!BK19</f>
        <v>1</v>
      </c>
      <c r="BL20" s="68">
        <f>Sheet4!BL19</f>
        <v>1</v>
      </c>
      <c r="BM20" s="68">
        <f>Sheet4!BM19</f>
        <v>0</v>
      </c>
      <c r="BN20" s="68">
        <f>Sheet4!BN19</f>
        <v>2</v>
      </c>
      <c r="BO20" s="68">
        <f>Sheet4!BO19</f>
        <v>1</v>
      </c>
      <c r="BP20" s="68">
        <f>Sheet4!BP19</f>
        <v>1</v>
      </c>
      <c r="BQ20" s="68">
        <f>Sheet4!BQ19</f>
        <v>1</v>
      </c>
      <c r="BR20" s="68">
        <f>Sheet4!BR19</f>
        <v>1</v>
      </c>
      <c r="BS20" s="68">
        <f>Sheet4!BS19</f>
        <v>1</v>
      </c>
      <c r="BT20" s="68">
        <f>Sheet4!BT19</f>
        <v>1</v>
      </c>
      <c r="BU20" s="68">
        <f>Sheet4!BU19</f>
        <v>1</v>
      </c>
      <c r="BV20" s="68">
        <f>Sheet4!BV19</f>
        <v>1</v>
      </c>
      <c r="BW20" s="68">
        <f>Sheet4!BW19</f>
        <v>1</v>
      </c>
      <c r="BX20" s="68">
        <f>Sheet4!BX19</f>
        <v>1</v>
      </c>
      <c r="BY20" s="68">
        <f>Sheet4!BY19</f>
        <v>1</v>
      </c>
      <c r="BZ20" s="68">
        <f>Sheet4!BZ19</f>
        <v>1</v>
      </c>
      <c r="CA20" s="68">
        <f>Sheet4!CA19</f>
        <v>0</v>
      </c>
      <c r="CB20" s="68">
        <f>Sheet4!CB19</f>
        <v>2</v>
      </c>
      <c r="CC20" s="68">
        <f>Sheet4!CC19</f>
        <v>1</v>
      </c>
      <c r="CD20" s="68">
        <f>Sheet4!CD19</f>
        <v>0</v>
      </c>
      <c r="CE20" s="68">
        <f>Sheet4!CE19</f>
        <v>1</v>
      </c>
      <c r="CF20" s="68">
        <f>Sheet4!CF19</f>
        <v>0</v>
      </c>
      <c r="CG20" s="68">
        <f>Sheet4!CG19</f>
        <v>1</v>
      </c>
      <c r="CH20" s="68">
        <f>Sheet4!CH19</f>
        <v>1</v>
      </c>
      <c r="CI20" s="68">
        <f>Sheet4!CI19</f>
        <v>1</v>
      </c>
      <c r="CJ20" s="68">
        <f>Sheet4!CJ19</f>
        <v>1</v>
      </c>
      <c r="CK20" s="68">
        <f>Sheet4!CK19</f>
        <v>0</v>
      </c>
      <c r="CL20" s="68">
        <f>Sheet4!CL19</f>
        <v>2</v>
      </c>
      <c r="CM20" s="68">
        <f>Sheet4!CM19</f>
        <v>1</v>
      </c>
      <c r="CN20" s="68">
        <f>Sheet4!CN19</f>
        <v>1</v>
      </c>
      <c r="CO20" s="68">
        <f>Sheet4!CO19</f>
        <v>0</v>
      </c>
      <c r="CP20" s="68">
        <f>Sheet4!CP19</f>
        <v>1</v>
      </c>
      <c r="CQ20" s="68">
        <f>Sheet4!CQ19</f>
        <v>1</v>
      </c>
      <c r="CR20" s="68">
        <f>Sheet4!CR19</f>
        <v>1</v>
      </c>
      <c r="CS20" s="68">
        <f>Sheet4!CS19</f>
        <v>1</v>
      </c>
      <c r="CT20" s="68">
        <f>Sheet4!CT19</f>
        <v>1</v>
      </c>
      <c r="CU20" s="68">
        <f>Sheet4!CU19</f>
        <v>1</v>
      </c>
      <c r="CV20" s="68">
        <f>Sheet4!CV19</f>
        <v>0</v>
      </c>
      <c r="CW20" s="68">
        <f>Sheet4!CW19</f>
        <v>1</v>
      </c>
      <c r="CX20" s="68">
        <f>Sheet4!CX19</f>
        <v>0</v>
      </c>
      <c r="CY20" s="68">
        <f>Sheet4!CY19</f>
        <v>0</v>
      </c>
      <c r="CZ20" s="68">
        <f>Sheet4!CZ19</f>
        <v>1</v>
      </c>
      <c r="DA20" s="68">
        <f>Sheet4!DA19</f>
        <v>1</v>
      </c>
      <c r="DB20" s="68">
        <f>Sheet4!DB19</f>
        <v>1</v>
      </c>
      <c r="DC20" s="68">
        <f>Sheet4!DC19</f>
        <v>0</v>
      </c>
      <c r="DD20" s="68">
        <f>Sheet4!DD19</f>
        <v>1</v>
      </c>
      <c r="DE20" s="68">
        <f>Sheet4!DE19</f>
        <v>1</v>
      </c>
      <c r="DF20" s="68">
        <f>Sheet4!DF19</f>
        <v>1</v>
      </c>
      <c r="DG20" s="68">
        <f>Sheet4!DG19</f>
        <v>1</v>
      </c>
      <c r="DH20" s="68">
        <f>Sheet4!DH19</f>
        <v>0</v>
      </c>
      <c r="DI20" s="68">
        <f>Sheet4!DI19</f>
        <v>0</v>
      </c>
      <c r="DJ20" s="68">
        <f>Sheet4!DJ19</f>
        <v>0</v>
      </c>
      <c r="DK20" s="68">
        <f>Sheet4!DK19</f>
        <v>0</v>
      </c>
      <c r="DL20" s="68">
        <f>Sheet4!DL19</f>
        <v>0</v>
      </c>
      <c r="DM20" s="68">
        <f>Sheet4!DM19</f>
        <v>0</v>
      </c>
      <c r="DN20" s="68">
        <f>Sheet4!DN19</f>
        <v>0</v>
      </c>
      <c r="DO20" s="68">
        <f>Sheet4!DO19</f>
        <v>0</v>
      </c>
      <c r="DP20" s="68">
        <f>Sheet4!DP19</f>
        <v>0</v>
      </c>
      <c r="DQ20" s="68">
        <f>Sheet4!DQ19</f>
        <v>0</v>
      </c>
    </row>
    <row r="21" spans="1:121" ht="15.75" customHeight="1" x14ac:dyDescent="0.3">
      <c r="A21" s="40">
        <f>Sheet4!A20</f>
        <v>18</v>
      </c>
      <c r="B21" s="40" t="str">
        <f>Sheet4!B20</f>
        <v>ህዝቄል ጴጥሮስ</v>
      </c>
      <c r="C21" s="26">
        <f>Sheet4!C20</f>
        <v>21000</v>
      </c>
      <c r="D21" s="68">
        <f>Sheet4!D20</f>
        <v>1</v>
      </c>
      <c r="E21" s="68">
        <f>Sheet4!E20</f>
        <v>1</v>
      </c>
      <c r="F21" s="68">
        <f>Sheet4!F20</f>
        <v>1</v>
      </c>
      <c r="G21" s="68">
        <f>Sheet4!G20</f>
        <v>1</v>
      </c>
      <c r="H21" s="68">
        <f>Sheet4!H20</f>
        <v>1</v>
      </c>
      <c r="I21" s="68">
        <f>Sheet4!I20</f>
        <v>1</v>
      </c>
      <c r="J21" s="68">
        <f>Sheet4!J20</f>
        <v>1</v>
      </c>
      <c r="K21" s="68">
        <f>Sheet4!K20</f>
        <v>1</v>
      </c>
      <c r="L21" s="68">
        <f>Sheet4!L20</f>
        <v>1</v>
      </c>
      <c r="M21" s="68">
        <f>Sheet4!M20</f>
        <v>1</v>
      </c>
      <c r="N21" s="68">
        <f>Sheet4!N20</f>
        <v>1</v>
      </c>
      <c r="O21" s="68">
        <f>Sheet4!O20</f>
        <v>1</v>
      </c>
      <c r="P21" s="68">
        <f>Sheet4!P20</f>
        <v>1</v>
      </c>
      <c r="Q21" s="68">
        <f>Sheet4!Q20</f>
        <v>1</v>
      </c>
      <c r="R21" s="68">
        <f>Sheet4!R20</f>
        <v>1</v>
      </c>
      <c r="S21" s="68">
        <f>Sheet4!S20</f>
        <v>1</v>
      </c>
      <c r="T21" s="68">
        <f>Sheet4!T20</f>
        <v>1</v>
      </c>
      <c r="U21" s="68">
        <f>Sheet4!U20</f>
        <v>1</v>
      </c>
      <c r="V21" s="68">
        <f>Sheet4!V20</f>
        <v>1</v>
      </c>
      <c r="W21" s="68">
        <f>Sheet4!W20</f>
        <v>1</v>
      </c>
      <c r="X21" s="68">
        <f>Sheet4!X20</f>
        <v>1</v>
      </c>
      <c r="Y21" s="68">
        <f>Sheet4!Y20</f>
        <v>1</v>
      </c>
      <c r="Z21" s="68">
        <f>Sheet4!Z20</f>
        <v>1</v>
      </c>
      <c r="AA21" s="68">
        <f>Sheet4!AA20</f>
        <v>1</v>
      </c>
      <c r="AB21" s="68">
        <f>Sheet4!AB20</f>
        <v>1</v>
      </c>
      <c r="AC21" s="68">
        <f>Sheet4!AC20</f>
        <v>1</v>
      </c>
      <c r="AD21" s="68">
        <f>Sheet4!AD20</f>
        <v>1</v>
      </c>
      <c r="AE21" s="68">
        <f>Sheet4!AE20</f>
        <v>1</v>
      </c>
      <c r="AF21" s="68">
        <f>Sheet4!AF20</f>
        <v>1</v>
      </c>
      <c r="AG21" s="68">
        <f>Sheet4!AG20</f>
        <v>1</v>
      </c>
      <c r="AH21" s="68">
        <f>Sheet4!AH20</f>
        <v>1</v>
      </c>
      <c r="AI21" s="68">
        <f>Sheet4!AI20</f>
        <v>1</v>
      </c>
      <c r="AJ21" s="68">
        <f>Sheet4!AJ20</f>
        <v>1</v>
      </c>
      <c r="AK21" s="68">
        <f>Sheet4!AK20</f>
        <v>0</v>
      </c>
      <c r="AL21" s="68">
        <f>Sheet4!AL20</f>
        <v>2</v>
      </c>
      <c r="AM21" s="68">
        <f>Sheet4!AM20</f>
        <v>1</v>
      </c>
      <c r="AN21" s="68">
        <f>Sheet4!AN20</f>
        <v>1</v>
      </c>
      <c r="AO21" s="68">
        <f>Sheet4!AO20</f>
        <v>1</v>
      </c>
      <c r="AP21" s="68">
        <f>Sheet4!AP20</f>
        <v>1</v>
      </c>
      <c r="AQ21" s="68">
        <f>Sheet4!AQ20</f>
        <v>1</v>
      </c>
      <c r="AR21" s="68">
        <f>Sheet4!AR20</f>
        <v>1</v>
      </c>
      <c r="AS21" s="68">
        <f>Sheet4!AS20</f>
        <v>1</v>
      </c>
      <c r="AT21" s="68">
        <f>Sheet4!AT20</f>
        <v>1</v>
      </c>
      <c r="AU21" s="68">
        <f>Sheet4!AU20</f>
        <v>1</v>
      </c>
      <c r="AV21" s="68">
        <f>Sheet4!AV20</f>
        <v>1</v>
      </c>
      <c r="AW21" s="68">
        <f>Sheet4!AW20</f>
        <v>1</v>
      </c>
      <c r="AX21" s="68">
        <f>Sheet4!AX20</f>
        <v>1</v>
      </c>
      <c r="AY21" s="68">
        <f>Sheet4!AY20</f>
        <v>1</v>
      </c>
      <c r="AZ21" s="68">
        <f>Sheet4!AZ20</f>
        <v>1</v>
      </c>
      <c r="BA21" s="68">
        <f>Sheet4!BA20</f>
        <v>1</v>
      </c>
      <c r="BB21" s="68">
        <f>Sheet4!BB20</f>
        <v>1</v>
      </c>
      <c r="BC21" s="68">
        <f>Sheet4!BC20</f>
        <v>1</v>
      </c>
      <c r="BD21" s="68">
        <f>Sheet4!BD20</f>
        <v>1</v>
      </c>
      <c r="BE21" s="68">
        <f>Sheet4!BE20</f>
        <v>1</v>
      </c>
      <c r="BF21" s="68">
        <f>Sheet4!BF20</f>
        <v>1</v>
      </c>
      <c r="BG21" s="68">
        <f>Sheet4!BG20</f>
        <v>1</v>
      </c>
      <c r="BH21" s="68">
        <f>Sheet4!BH20</f>
        <v>1</v>
      </c>
      <c r="BI21" s="68">
        <f>Sheet4!BI20</f>
        <v>1</v>
      </c>
      <c r="BJ21" s="68">
        <f>Sheet4!BJ20</f>
        <v>1</v>
      </c>
      <c r="BK21" s="68">
        <f>Sheet4!BK20</f>
        <v>1</v>
      </c>
      <c r="BL21" s="68">
        <f>Sheet4!BL20</f>
        <v>1</v>
      </c>
      <c r="BM21" s="68">
        <f>Sheet4!BM20</f>
        <v>1</v>
      </c>
      <c r="BN21" s="68">
        <f>Sheet4!BN20</f>
        <v>1</v>
      </c>
      <c r="BO21" s="68">
        <f>Sheet4!BO20</f>
        <v>1</v>
      </c>
      <c r="BP21" s="68">
        <f>Sheet4!BP20</f>
        <v>0</v>
      </c>
      <c r="BQ21" s="68">
        <f>Sheet4!BQ20</f>
        <v>1</v>
      </c>
      <c r="BR21" s="68">
        <f>Sheet4!BR20</f>
        <v>1</v>
      </c>
      <c r="BS21" s="68">
        <f>Sheet4!BS20</f>
        <v>1</v>
      </c>
      <c r="BT21" s="68">
        <f>Sheet4!BT20</f>
        <v>1</v>
      </c>
      <c r="BU21" s="68">
        <f>Sheet4!BU20</f>
        <v>1</v>
      </c>
      <c r="BV21" s="68">
        <f>Sheet4!BV20</f>
        <v>1</v>
      </c>
      <c r="BW21" s="68">
        <f>Sheet4!BW20</f>
        <v>1</v>
      </c>
      <c r="BX21" s="68">
        <f>Sheet4!BX20</f>
        <v>1</v>
      </c>
      <c r="BY21" s="68">
        <f>Sheet4!BY20</f>
        <v>1</v>
      </c>
      <c r="BZ21" s="68">
        <f>Sheet4!BZ20</f>
        <v>1</v>
      </c>
      <c r="CA21" s="68">
        <f>Sheet4!CA20</f>
        <v>1</v>
      </c>
      <c r="CB21" s="68">
        <f>Sheet4!CB20</f>
        <v>1</v>
      </c>
      <c r="CC21" s="68">
        <f>Sheet4!CC20</f>
        <v>1</v>
      </c>
      <c r="CD21" s="68">
        <f>Sheet4!CD20</f>
        <v>0</v>
      </c>
      <c r="CE21" s="68">
        <f>Sheet4!CE20</f>
        <v>2</v>
      </c>
      <c r="CF21" s="68">
        <f>Sheet4!CF20</f>
        <v>1</v>
      </c>
      <c r="CG21" s="68">
        <f>Sheet4!CG20</f>
        <v>1</v>
      </c>
      <c r="CH21" s="68">
        <f>Sheet4!CH20</f>
        <v>1</v>
      </c>
      <c r="CI21" s="68">
        <f>Sheet4!CI20</f>
        <v>1</v>
      </c>
      <c r="CJ21" s="68">
        <f>Sheet4!CJ20</f>
        <v>1</v>
      </c>
      <c r="CK21" s="68">
        <f>Sheet4!CK20</f>
        <v>0</v>
      </c>
      <c r="CL21" s="68">
        <f>Sheet4!CL20</f>
        <v>2</v>
      </c>
      <c r="CM21" s="68">
        <f>Sheet4!CM20</f>
        <v>1</v>
      </c>
      <c r="CN21" s="68">
        <f>Sheet4!CN20</f>
        <v>1</v>
      </c>
      <c r="CO21" s="68">
        <f>Sheet4!CO20</f>
        <v>1</v>
      </c>
      <c r="CP21" s="68">
        <f>Sheet4!CP20</f>
        <v>1</v>
      </c>
      <c r="CQ21" s="68">
        <f>Sheet4!CQ20</f>
        <v>1</v>
      </c>
      <c r="CR21" s="68">
        <f>Sheet4!CR20</f>
        <v>0</v>
      </c>
      <c r="CS21" s="68">
        <f>Sheet4!CS20</f>
        <v>1</v>
      </c>
      <c r="CT21" s="68">
        <f>Sheet4!CT20</f>
        <v>1</v>
      </c>
      <c r="CU21" s="68">
        <f>Sheet4!CU20</f>
        <v>1</v>
      </c>
      <c r="CV21" s="68">
        <f>Sheet4!CV20</f>
        <v>1</v>
      </c>
      <c r="CW21" s="68">
        <f>Sheet4!CW20</f>
        <v>1</v>
      </c>
      <c r="CX21" s="68">
        <f>Sheet4!CX20</f>
        <v>1</v>
      </c>
      <c r="CY21" s="68">
        <f>Sheet4!CY20</f>
        <v>1</v>
      </c>
      <c r="CZ21" s="68">
        <f>Sheet4!CZ20</f>
        <v>1</v>
      </c>
      <c r="DA21" s="68">
        <f>Sheet4!DA20</f>
        <v>1</v>
      </c>
      <c r="DB21" s="68">
        <f>Sheet4!DB20</f>
        <v>0</v>
      </c>
      <c r="DC21" s="68">
        <f>Sheet4!DC20</f>
        <v>2</v>
      </c>
      <c r="DD21" s="68">
        <f>Sheet4!DD20</f>
        <v>0</v>
      </c>
      <c r="DE21" s="68">
        <f>Sheet4!DE20</f>
        <v>2</v>
      </c>
      <c r="DF21" s="68">
        <f>Sheet4!DF20</f>
        <v>0</v>
      </c>
      <c r="DG21" s="68">
        <f>Sheet4!DG20</f>
        <v>2</v>
      </c>
      <c r="DH21" s="68">
        <f>Sheet4!DH20</f>
        <v>0</v>
      </c>
      <c r="DI21" s="68">
        <f>Sheet4!DI20</f>
        <v>0</v>
      </c>
      <c r="DJ21" s="68">
        <f>Sheet4!DJ20</f>
        <v>0</v>
      </c>
      <c r="DK21" s="68">
        <f>Sheet4!DK20</f>
        <v>0</v>
      </c>
      <c r="DL21" s="68">
        <f>Sheet4!DL20</f>
        <v>0</v>
      </c>
      <c r="DM21" s="68">
        <f>Sheet4!DM20</f>
        <v>0</v>
      </c>
      <c r="DN21" s="68">
        <f>Sheet4!DN20</f>
        <v>0</v>
      </c>
      <c r="DO21" s="68">
        <f>Sheet4!DO20</f>
        <v>0</v>
      </c>
      <c r="DP21" s="68">
        <f>Sheet4!DP20</f>
        <v>0</v>
      </c>
      <c r="DQ21" s="68">
        <f>Sheet4!DQ20</f>
        <v>0</v>
      </c>
    </row>
    <row r="22" spans="1:121" ht="15.75" customHeight="1" x14ac:dyDescent="0.3">
      <c r="A22" s="40">
        <f>Sheet4!A21</f>
        <v>19</v>
      </c>
      <c r="B22" s="40" t="str">
        <f>Sheet4!B21</f>
        <v xml:space="preserve">አንተነህ ግዛዉ </v>
      </c>
      <c r="C22" s="26">
        <f>Sheet4!C21</f>
        <v>10500</v>
      </c>
      <c r="D22" s="40">
        <f>(Sheet4!D21/2)</f>
        <v>0.5</v>
      </c>
      <c r="E22" s="40">
        <f>(Sheet4!E21/2)</f>
        <v>0.5</v>
      </c>
      <c r="F22" s="40">
        <f>(Sheet4!F21/2)</f>
        <v>0.5</v>
      </c>
      <c r="G22" s="40">
        <f>(Sheet4!G21/2)</f>
        <v>0.5</v>
      </c>
      <c r="H22" s="40">
        <f>(Sheet4!H21/2)</f>
        <v>0.5</v>
      </c>
      <c r="I22" s="40">
        <f>(Sheet4!I21/2)</f>
        <v>0.5</v>
      </c>
      <c r="J22" s="40">
        <f>(Sheet4!J21/2)</f>
        <v>0.5</v>
      </c>
      <c r="K22" s="40">
        <f>(Sheet4!K21/2)</f>
        <v>0.5</v>
      </c>
      <c r="L22" s="40">
        <f>(Sheet4!L21/2)</f>
        <v>0.5</v>
      </c>
      <c r="M22" s="40">
        <f>(Sheet4!M21/2)</f>
        <v>0.5</v>
      </c>
      <c r="N22" s="40">
        <f>(Sheet4!N21/2)</f>
        <v>0.5</v>
      </c>
      <c r="O22" s="40">
        <f>(Sheet4!O21/2)</f>
        <v>0.5</v>
      </c>
      <c r="P22" s="40">
        <f>(Sheet4!P21/2)</f>
        <v>0.5</v>
      </c>
      <c r="Q22" s="40">
        <f>(Sheet4!Q21/2)</f>
        <v>0.5</v>
      </c>
      <c r="R22" s="40">
        <f>(Sheet4!R21/2)</f>
        <v>0.5</v>
      </c>
      <c r="S22" s="40">
        <f>(Sheet4!S21/2)</f>
        <v>0.5</v>
      </c>
      <c r="T22" s="40">
        <f>(Sheet4!T21/2)</f>
        <v>0.5</v>
      </c>
      <c r="U22" s="40">
        <f>(Sheet4!U21/2)</f>
        <v>0.5</v>
      </c>
      <c r="V22" s="40">
        <f>(Sheet4!V21/2)</f>
        <v>0.5</v>
      </c>
      <c r="W22" s="40">
        <f>(Sheet4!W21/2)</f>
        <v>0.5</v>
      </c>
      <c r="X22" s="40">
        <f>(Sheet4!X21/2)</f>
        <v>0.5</v>
      </c>
      <c r="Y22" s="40">
        <f>(Sheet4!Y21/2)</f>
        <v>0</v>
      </c>
      <c r="Z22" s="40">
        <f>(Sheet4!Z21/2)</f>
        <v>1</v>
      </c>
      <c r="AA22" s="40">
        <f>(Sheet4!AA21/2)</f>
        <v>0.5</v>
      </c>
      <c r="AB22" s="40">
        <f>(Sheet4!AB21/2)</f>
        <v>0.5</v>
      </c>
      <c r="AC22" s="40">
        <f>(Sheet4!AC21/2)</f>
        <v>0.5</v>
      </c>
      <c r="AD22" s="40">
        <f>(Sheet4!AD21/2)</f>
        <v>0</v>
      </c>
      <c r="AE22" s="40">
        <f>(Sheet4!AE21/2)</f>
        <v>0.5</v>
      </c>
      <c r="AF22" s="40">
        <f>(Sheet4!AF21/2)</f>
        <v>1</v>
      </c>
      <c r="AG22" s="40">
        <f>(Sheet4!AG21/2)</f>
        <v>0.5</v>
      </c>
      <c r="AH22" s="40">
        <f>(Sheet4!AH21/2)</f>
        <v>0.5</v>
      </c>
      <c r="AI22" s="40">
        <f>(Sheet4!AI21/2)</f>
        <v>0</v>
      </c>
      <c r="AJ22" s="40">
        <f>(Sheet4!AJ21/2)</f>
        <v>1</v>
      </c>
      <c r="AK22" s="40">
        <f>(Sheet4!AK21/2)</f>
        <v>0.5</v>
      </c>
      <c r="AL22" s="40">
        <f>(Sheet4!AL21/2)</f>
        <v>0.5</v>
      </c>
      <c r="AM22" s="40">
        <f>(Sheet4!AM21/2)</f>
        <v>0.5</v>
      </c>
      <c r="AN22" s="40">
        <f>(Sheet4!AN21/2)</f>
        <v>0.5</v>
      </c>
      <c r="AO22" s="40">
        <f>(Sheet4!AO21/2)</f>
        <v>0.5</v>
      </c>
      <c r="AP22" s="40">
        <f>(Sheet4!AP21/2)</f>
        <v>0</v>
      </c>
      <c r="AQ22" s="40">
        <f>(Sheet4!AQ21/2)</f>
        <v>0.5</v>
      </c>
      <c r="AR22" s="40">
        <f>(Sheet4!AR21/2)</f>
        <v>1</v>
      </c>
      <c r="AS22" s="40">
        <f>(Sheet4!AS21/2)</f>
        <v>0</v>
      </c>
      <c r="AT22" s="40">
        <f>(Sheet4!AT21/2)</f>
        <v>1</v>
      </c>
      <c r="AU22" s="40">
        <f>(Sheet4!AU21/2)</f>
        <v>0.5</v>
      </c>
      <c r="AV22" s="40">
        <f>(Sheet4!AV21/2)</f>
        <v>0.5</v>
      </c>
      <c r="AW22" s="40">
        <f>(Sheet4!AW21/2)</f>
        <v>0.5</v>
      </c>
      <c r="AX22" s="40">
        <f>(Sheet4!AX21/2)</f>
        <v>0.5</v>
      </c>
      <c r="AY22" s="40">
        <f>(Sheet4!AY21/2)</f>
        <v>0</v>
      </c>
      <c r="AZ22" s="40">
        <f>(Sheet4!AZ21/2)</f>
        <v>0.5</v>
      </c>
      <c r="BA22" s="40">
        <f>(Sheet4!BA21/2)</f>
        <v>0.5</v>
      </c>
      <c r="BB22" s="40">
        <f>(Sheet4!BB21/2)</f>
        <v>0.5</v>
      </c>
      <c r="BC22" s="40">
        <f>(Sheet4!BC21/2)</f>
        <v>0.5</v>
      </c>
      <c r="BD22" s="40">
        <f>(Sheet4!BD21/2)</f>
        <v>0.5</v>
      </c>
      <c r="BE22" s="40">
        <f>(Sheet4!BE21/2)</f>
        <v>0.5</v>
      </c>
      <c r="BF22" s="40">
        <f>(Sheet4!BF21/2)</f>
        <v>0.5</v>
      </c>
      <c r="BG22" s="40">
        <f>(Sheet4!BG21/2)</f>
        <v>0.5</v>
      </c>
      <c r="BH22" s="40">
        <f>(Sheet4!BH21/2)</f>
        <v>0.5</v>
      </c>
      <c r="BI22" s="40">
        <f>(Sheet4!BI21/2)</f>
        <v>0.5</v>
      </c>
      <c r="BJ22" s="40">
        <f>(Sheet4!BJ21/2)</f>
        <v>0.5</v>
      </c>
      <c r="BK22" s="40">
        <f>(Sheet4!BK21/2)</f>
        <v>0.5</v>
      </c>
      <c r="BL22" s="40">
        <f>(Sheet4!BL21/2)</f>
        <v>0.5</v>
      </c>
      <c r="BM22" s="40">
        <f>(Sheet4!BM21/2)</f>
        <v>0.5</v>
      </c>
      <c r="BN22" s="40">
        <f>(Sheet4!BN21/2)</f>
        <v>0.5</v>
      </c>
      <c r="BO22" s="40">
        <f>(Sheet4!BO21/2)</f>
        <v>0</v>
      </c>
      <c r="BP22" s="40">
        <f>(Sheet4!BP21/2)</f>
        <v>1</v>
      </c>
      <c r="BQ22" s="40">
        <f>(Sheet4!BQ21/2)</f>
        <v>0.5</v>
      </c>
      <c r="BR22" s="40">
        <f>(Sheet4!BR21/2)</f>
        <v>0.5</v>
      </c>
      <c r="BS22" s="40">
        <f>(Sheet4!BS21/2)</f>
        <v>0</v>
      </c>
      <c r="BT22" s="40">
        <f>(Sheet4!BT21/2)</f>
        <v>1</v>
      </c>
      <c r="BU22" s="40">
        <f>(Sheet4!BU21/2)</f>
        <v>0</v>
      </c>
      <c r="BV22" s="40">
        <f>(Sheet4!BV21/2)</f>
        <v>1</v>
      </c>
      <c r="BW22" s="40">
        <f>(Sheet4!BW21/2)</f>
        <v>0.5</v>
      </c>
      <c r="BX22" s="40">
        <f>(Sheet4!BX21/2)</f>
        <v>0.5</v>
      </c>
      <c r="BY22" s="40">
        <f>(Sheet4!BY21/2)</f>
        <v>0.5</v>
      </c>
      <c r="BZ22" s="40">
        <f>(Sheet4!BZ21/2)</f>
        <v>0.5</v>
      </c>
      <c r="CA22" s="40">
        <f>(Sheet4!CA21/2)</f>
        <v>0.5</v>
      </c>
      <c r="CB22" s="40">
        <f>(Sheet4!CB21/2)</f>
        <v>0.5</v>
      </c>
      <c r="CC22" s="40">
        <f>(Sheet4!CC21/2)</f>
        <v>0.5</v>
      </c>
      <c r="CD22" s="40">
        <f>(Sheet4!CD21/2)</f>
        <v>0</v>
      </c>
      <c r="CE22" s="40">
        <f>(Sheet4!CE21/2)</f>
        <v>0.5</v>
      </c>
      <c r="CF22" s="40">
        <f>(Sheet4!CF21/2)</f>
        <v>0.5</v>
      </c>
      <c r="CG22" s="40">
        <f>(Sheet4!CG21/2)</f>
        <v>0.5</v>
      </c>
      <c r="CH22" s="40">
        <f>(Sheet4!CH21/2)</f>
        <v>0</v>
      </c>
      <c r="CI22" s="40">
        <f>(Sheet4!CI21/2)</f>
        <v>1</v>
      </c>
      <c r="CJ22" s="40">
        <f>(Sheet4!CJ21/2)</f>
        <v>0.5</v>
      </c>
      <c r="CK22" s="40">
        <f>(Sheet4!CK21/2)</f>
        <v>0.5</v>
      </c>
      <c r="CL22" s="40">
        <f>(Sheet4!CL21/2)</f>
        <v>0.5</v>
      </c>
      <c r="CM22" s="40">
        <f>(Sheet4!CM21/2)</f>
        <v>0.5</v>
      </c>
      <c r="CN22" s="40">
        <f>(Sheet4!CN21/2)</f>
        <v>0.5</v>
      </c>
      <c r="CO22" s="40">
        <f>(Sheet4!CO21/2)</f>
        <v>0.5</v>
      </c>
      <c r="CP22" s="40">
        <f>(Sheet4!CP21/2)</f>
        <v>0.5</v>
      </c>
      <c r="CQ22" s="40">
        <f>(Sheet4!CQ21/2)</f>
        <v>0.5</v>
      </c>
      <c r="CR22" s="40">
        <f>(Sheet4!CR21/2)</f>
        <v>0.5</v>
      </c>
      <c r="CS22" s="40">
        <f>(Sheet4!CS21/2)</f>
        <v>0.5</v>
      </c>
      <c r="CT22" s="40">
        <f>(Sheet4!CT21/2)</f>
        <v>0.5</v>
      </c>
      <c r="CU22" s="40">
        <f>(Sheet4!CU21/2)</f>
        <v>0.5</v>
      </c>
      <c r="CV22" s="40">
        <f>(Sheet4!CV21/2)</f>
        <v>0.5</v>
      </c>
      <c r="CW22" s="40">
        <f>(Sheet4!CW21/2)</f>
        <v>0</v>
      </c>
      <c r="CX22" s="40">
        <f>(Sheet4!CX21/2)</f>
        <v>1</v>
      </c>
      <c r="CY22" s="40">
        <f>(Sheet4!CY21/2)</f>
        <v>0</v>
      </c>
      <c r="CZ22" s="40">
        <f>(Sheet4!CZ21/2)</f>
        <v>1</v>
      </c>
      <c r="DA22" s="40">
        <f>(Sheet4!DA21/2)</f>
        <v>0.5</v>
      </c>
      <c r="DB22" s="40">
        <f>(Sheet4!DB21/2)</f>
        <v>0</v>
      </c>
      <c r="DC22" s="40">
        <f>(Sheet4!DC21/2)</f>
        <v>0</v>
      </c>
      <c r="DD22" s="40">
        <f>(Sheet4!DD21/2)</f>
        <v>1</v>
      </c>
      <c r="DE22" s="40">
        <f>(Sheet4!DE21/2)</f>
        <v>0.5</v>
      </c>
      <c r="DF22" s="40">
        <f>(Sheet4!DF21/2)</f>
        <v>0.5</v>
      </c>
      <c r="DG22" s="40">
        <f>(Sheet4!DG21/2)</f>
        <v>0.5</v>
      </c>
      <c r="DH22" s="40">
        <f>(Sheet4!DH21/2)</f>
        <v>0</v>
      </c>
      <c r="DI22" s="40">
        <f>(Sheet4!DI21/2)</f>
        <v>0</v>
      </c>
      <c r="DJ22" s="40">
        <f>(Sheet4!DJ21/2)</f>
        <v>0</v>
      </c>
      <c r="DK22" s="40">
        <f>(Sheet4!DK21/2)</f>
        <v>0</v>
      </c>
      <c r="DL22" s="40">
        <f>(Sheet4!DL21/2)</f>
        <v>0</v>
      </c>
      <c r="DM22" s="40">
        <f>(Sheet4!DM21/2)</f>
        <v>0</v>
      </c>
      <c r="DN22" s="40">
        <f>(Sheet4!DN21/2)</f>
        <v>0</v>
      </c>
      <c r="DO22" s="40">
        <f>(Sheet4!DO21/2)</f>
        <v>0</v>
      </c>
      <c r="DP22" s="40">
        <f>(Sheet4!DP21/2)</f>
        <v>0</v>
      </c>
      <c r="DQ22" s="40">
        <f>(Sheet4!DQ21/2)</f>
        <v>0</v>
      </c>
    </row>
    <row r="23" spans="1:121" ht="15.75" customHeight="1" x14ac:dyDescent="0.3">
      <c r="A23" s="40">
        <f>Sheet4!A22</f>
        <v>19</v>
      </c>
      <c r="B23" s="40" t="str">
        <f>Sheet4!B22</f>
        <v>አለማየሁ ገዛህኝ</v>
      </c>
      <c r="C23" s="26">
        <f>Sheet4!C22</f>
        <v>10500</v>
      </c>
      <c r="D23" s="40">
        <f>(Sheet4!D22/2)</f>
        <v>0.5</v>
      </c>
      <c r="E23" s="40">
        <f>(Sheet4!E22/2)</f>
        <v>0.5</v>
      </c>
      <c r="F23" s="40">
        <f>(Sheet4!F22/2)</f>
        <v>0.5</v>
      </c>
      <c r="G23" s="40">
        <f>(Sheet4!G22/2)</f>
        <v>0.5</v>
      </c>
      <c r="H23" s="40">
        <f>(Sheet4!H22/2)</f>
        <v>0.5</v>
      </c>
      <c r="I23" s="40">
        <f>(Sheet4!I22/2)</f>
        <v>0.5</v>
      </c>
      <c r="J23" s="40">
        <f>(Sheet4!J22/2)</f>
        <v>0.5</v>
      </c>
      <c r="K23" s="40">
        <f>(Sheet4!K22/2)</f>
        <v>0.5</v>
      </c>
      <c r="L23" s="40">
        <f>(Sheet4!L22/2)</f>
        <v>0.5</v>
      </c>
      <c r="M23" s="40">
        <f>(Sheet4!M22/2)</f>
        <v>0.5</v>
      </c>
      <c r="N23" s="40">
        <f>(Sheet4!N22/2)</f>
        <v>0.5</v>
      </c>
      <c r="O23" s="40">
        <f>(Sheet4!O22/2)</f>
        <v>0.5</v>
      </c>
      <c r="P23" s="40">
        <f>(Sheet4!P22/2)</f>
        <v>0.5</v>
      </c>
      <c r="Q23" s="40">
        <f>(Sheet4!Q22/2)</f>
        <v>0.5</v>
      </c>
      <c r="R23" s="40">
        <f>(Sheet4!R22/2)</f>
        <v>0.5</v>
      </c>
      <c r="S23" s="40">
        <f>(Sheet4!S22/2)</f>
        <v>0.5</v>
      </c>
      <c r="T23" s="40">
        <f>(Sheet4!T22/2)</f>
        <v>0.5</v>
      </c>
      <c r="U23" s="40">
        <f>(Sheet4!U22/2)</f>
        <v>0.5</v>
      </c>
      <c r="V23" s="40">
        <f>(Sheet4!V22/2)</f>
        <v>0.5</v>
      </c>
      <c r="W23" s="40">
        <f>(Sheet4!W22/2)</f>
        <v>0.5</v>
      </c>
      <c r="X23" s="40">
        <f>(Sheet4!X22/2)</f>
        <v>0.5</v>
      </c>
      <c r="Y23" s="40">
        <f>(Sheet4!Y22/2)</f>
        <v>0.5</v>
      </c>
      <c r="Z23" s="40">
        <f>(Sheet4!Z22/2)</f>
        <v>0.5</v>
      </c>
      <c r="AA23" s="40">
        <f>(Sheet4!AA22/2)</f>
        <v>0.5</v>
      </c>
      <c r="AB23" s="40">
        <f>(Sheet4!AB22/2)</f>
        <v>0.5</v>
      </c>
      <c r="AC23" s="40">
        <f>(Sheet4!AC22/2)</f>
        <v>0.5</v>
      </c>
      <c r="AD23" s="40">
        <f>(Sheet4!AD22/2)</f>
        <v>0.5</v>
      </c>
      <c r="AE23" s="40">
        <f>(Sheet4!AE22/2)</f>
        <v>0.5</v>
      </c>
      <c r="AF23" s="40">
        <f>(Sheet4!AF22/2)</f>
        <v>0.5</v>
      </c>
      <c r="AG23" s="40">
        <f>(Sheet4!AG22/2)</f>
        <v>0.5</v>
      </c>
      <c r="AH23" s="40">
        <f>(Sheet4!AH22/2)</f>
        <v>0.5</v>
      </c>
      <c r="AI23" s="40">
        <f>(Sheet4!AI22/2)</f>
        <v>0.5</v>
      </c>
      <c r="AJ23" s="40">
        <f>(Sheet4!AJ22/2)</f>
        <v>0.5</v>
      </c>
      <c r="AK23" s="40">
        <f>(Sheet4!AK22/2)</f>
        <v>0.5</v>
      </c>
      <c r="AL23" s="40">
        <f>(Sheet4!AL22/2)</f>
        <v>0.5</v>
      </c>
      <c r="AM23" s="40">
        <f>(Sheet4!AM22/2)</f>
        <v>0.5</v>
      </c>
      <c r="AN23" s="40">
        <f>(Sheet4!AN22/2)</f>
        <v>0.5</v>
      </c>
      <c r="AO23" s="40">
        <f>(Sheet4!AO22/2)</f>
        <v>0.5</v>
      </c>
      <c r="AP23" s="40">
        <f>(Sheet4!AP22/2)</f>
        <v>0.5</v>
      </c>
      <c r="AQ23" s="40">
        <f>(Sheet4!AQ22/2)</f>
        <v>0.5</v>
      </c>
      <c r="AR23" s="40">
        <f>(Sheet4!AR22/2)</f>
        <v>0.5</v>
      </c>
      <c r="AS23" s="40">
        <f>(Sheet4!AS22/2)</f>
        <v>0.5</v>
      </c>
      <c r="AT23" s="40">
        <f>(Sheet4!AT22/2)</f>
        <v>0.5</v>
      </c>
      <c r="AU23" s="40">
        <f>(Sheet4!AU22/2)</f>
        <v>0.5</v>
      </c>
      <c r="AV23" s="40">
        <f>(Sheet4!AV22/2)</f>
        <v>0.5</v>
      </c>
      <c r="AW23" s="40">
        <f>(Sheet4!AW22/2)</f>
        <v>0.5</v>
      </c>
      <c r="AX23" s="40">
        <f>(Sheet4!AX22/2)</f>
        <v>0.5</v>
      </c>
      <c r="AY23" s="40">
        <f>(Sheet4!AY22/2)</f>
        <v>0.5</v>
      </c>
      <c r="AZ23" s="40">
        <f>(Sheet4!AZ22/2)</f>
        <v>0.5</v>
      </c>
      <c r="BA23" s="40">
        <f>(Sheet4!BA22/2)</f>
        <v>0.5</v>
      </c>
      <c r="BB23" s="40">
        <f>(Sheet4!BB22/2)</f>
        <v>0.5</v>
      </c>
      <c r="BC23" s="40">
        <f>(Sheet4!BC22/2)</f>
        <v>0</v>
      </c>
      <c r="BD23" s="40">
        <f>(Sheet4!BD22/2)</f>
        <v>1</v>
      </c>
      <c r="BE23" s="40">
        <f>(Sheet4!BE22/2)</f>
        <v>0.5</v>
      </c>
      <c r="BF23" s="40">
        <f>(Sheet4!BF22/2)</f>
        <v>0.5</v>
      </c>
      <c r="BG23" s="40">
        <f>(Sheet4!BG22/2)</f>
        <v>0.5</v>
      </c>
      <c r="BH23" s="40">
        <f>(Sheet4!BH22/2)</f>
        <v>0.5</v>
      </c>
      <c r="BI23" s="40">
        <f>(Sheet4!BI22/2)</f>
        <v>0.5</v>
      </c>
      <c r="BJ23" s="40">
        <f>(Sheet4!BJ22/2)</f>
        <v>0.5</v>
      </c>
      <c r="BK23" s="40">
        <f>(Sheet4!BK22/2)</f>
        <v>0.5</v>
      </c>
      <c r="BL23" s="40">
        <f>(Sheet4!BL22/2)</f>
        <v>0.5</v>
      </c>
      <c r="BM23" s="40">
        <f>(Sheet4!BM22/2)</f>
        <v>0.5</v>
      </c>
      <c r="BN23" s="40">
        <f>(Sheet4!BN22/2)</f>
        <v>0.5</v>
      </c>
      <c r="BO23" s="40">
        <f>(Sheet4!BO22/2)</f>
        <v>0.5</v>
      </c>
      <c r="BP23" s="40">
        <f>(Sheet4!BP22/2)</f>
        <v>0.5</v>
      </c>
      <c r="BQ23" s="40">
        <f>(Sheet4!BQ22/2)</f>
        <v>0.5</v>
      </c>
      <c r="BR23" s="40">
        <f>(Sheet4!BR22/2)</f>
        <v>0.5</v>
      </c>
      <c r="BS23" s="40">
        <f>(Sheet4!BS22/2)</f>
        <v>0.5</v>
      </c>
      <c r="BT23" s="40">
        <f>(Sheet4!BT22/2)</f>
        <v>0.5</v>
      </c>
      <c r="BU23" s="40">
        <f>(Sheet4!BU22/2)</f>
        <v>0.5</v>
      </c>
      <c r="BV23" s="40">
        <f>(Sheet4!BV22/2)</f>
        <v>0.5</v>
      </c>
      <c r="BW23" s="40">
        <f>(Sheet4!BW22/2)</f>
        <v>0.5</v>
      </c>
      <c r="BX23" s="40">
        <f>(Sheet4!BX22/2)</f>
        <v>0.5</v>
      </c>
      <c r="BY23" s="40">
        <f>(Sheet4!BY22/2)</f>
        <v>0.5</v>
      </c>
      <c r="BZ23" s="40">
        <f>(Sheet4!BZ22/2)</f>
        <v>0.5</v>
      </c>
      <c r="CA23" s="40">
        <f>(Sheet4!CA22/2)</f>
        <v>0.5</v>
      </c>
      <c r="CB23" s="40">
        <f>(Sheet4!CB22/2)</f>
        <v>0.5</v>
      </c>
      <c r="CC23" s="40">
        <f>(Sheet4!CC22/2)</f>
        <v>0.5</v>
      </c>
      <c r="CD23" s="40">
        <f>(Sheet4!CD22/2)</f>
        <v>0.5</v>
      </c>
      <c r="CE23" s="40">
        <f>(Sheet4!CE22/2)</f>
        <v>0.5</v>
      </c>
      <c r="CF23" s="40">
        <f>(Sheet4!CF22/2)</f>
        <v>0.5</v>
      </c>
      <c r="CG23" s="40">
        <f>(Sheet4!CG22/2)</f>
        <v>0.5</v>
      </c>
      <c r="CH23" s="40">
        <f>(Sheet4!CH22/2)</f>
        <v>0.5</v>
      </c>
      <c r="CI23" s="40">
        <f>(Sheet4!CI22/2)</f>
        <v>0.5</v>
      </c>
      <c r="CJ23" s="40">
        <f>(Sheet4!CJ22/2)</f>
        <v>0.5</v>
      </c>
      <c r="CK23" s="40">
        <f>(Sheet4!CK22/2)</f>
        <v>0.5</v>
      </c>
      <c r="CL23" s="40">
        <f>(Sheet4!CL22/2)</f>
        <v>0.5</v>
      </c>
      <c r="CM23" s="40">
        <f>(Sheet4!CM22/2)</f>
        <v>0.5</v>
      </c>
      <c r="CN23" s="40">
        <f>(Sheet4!CN22/2)</f>
        <v>0.5</v>
      </c>
      <c r="CO23" s="40">
        <f>(Sheet4!CO22/2)</f>
        <v>0</v>
      </c>
      <c r="CP23" s="40">
        <f>(Sheet4!CP22/2)</f>
        <v>0.5</v>
      </c>
      <c r="CQ23" s="40">
        <f>(Sheet4!CQ22/2)</f>
        <v>0.5</v>
      </c>
      <c r="CR23" s="40">
        <f>(Sheet4!CR22/2)</f>
        <v>0.5</v>
      </c>
      <c r="CS23" s="40">
        <f>(Sheet4!CS22/2)</f>
        <v>1</v>
      </c>
      <c r="CT23" s="40">
        <f>(Sheet4!CT22/2)</f>
        <v>0.5</v>
      </c>
      <c r="CU23" s="40">
        <f>(Sheet4!CU22/2)</f>
        <v>0.5</v>
      </c>
      <c r="CV23" s="40">
        <f>(Sheet4!CV22/2)</f>
        <v>0.5</v>
      </c>
      <c r="CW23" s="40">
        <f>(Sheet4!CW22/2)</f>
        <v>0.5</v>
      </c>
      <c r="CX23" s="40">
        <f>(Sheet4!CX22/2)</f>
        <v>0.5</v>
      </c>
      <c r="CY23" s="40">
        <f>(Sheet4!CY22/2)</f>
        <v>0.5</v>
      </c>
      <c r="CZ23" s="40">
        <f>(Sheet4!CZ22/2)</f>
        <v>0.5</v>
      </c>
      <c r="DA23" s="40">
        <f>(Sheet4!DA22/2)</f>
        <v>0.5</v>
      </c>
      <c r="DB23" s="40">
        <f>(Sheet4!DB22/2)</f>
        <v>0.5</v>
      </c>
      <c r="DC23" s="40">
        <f>(Sheet4!DC22/2)</f>
        <v>0.5</v>
      </c>
      <c r="DD23" s="40">
        <f>(Sheet4!DD22/2)</f>
        <v>0.5</v>
      </c>
      <c r="DE23" s="40">
        <f>(Sheet4!DE22/2)</f>
        <v>0.5</v>
      </c>
      <c r="DF23" s="40">
        <f>(Sheet4!DF22/2)</f>
        <v>0.5</v>
      </c>
      <c r="DG23" s="40">
        <f>(Sheet4!DG22/2)</f>
        <v>0.5</v>
      </c>
      <c r="DH23" s="40">
        <f>(Sheet4!DH22/2)</f>
        <v>0</v>
      </c>
      <c r="DI23" s="40">
        <f>(Sheet4!DI22/2)</f>
        <v>0</v>
      </c>
      <c r="DJ23" s="40">
        <f>(Sheet4!DJ22/2)</f>
        <v>0</v>
      </c>
      <c r="DK23" s="40">
        <f>(Sheet4!DK22/2)</f>
        <v>0</v>
      </c>
      <c r="DL23" s="40">
        <f>(Sheet4!DL22/2)</f>
        <v>0</v>
      </c>
      <c r="DM23" s="40">
        <f>(Sheet4!DM22/2)</f>
        <v>0</v>
      </c>
      <c r="DN23" s="40">
        <f>(Sheet4!DN22/2)</f>
        <v>0</v>
      </c>
      <c r="DO23" s="40">
        <f>(Sheet4!DO22/2)</f>
        <v>0</v>
      </c>
      <c r="DP23" s="40">
        <f>(Sheet4!DP22/2)</f>
        <v>0</v>
      </c>
      <c r="DQ23" s="40">
        <f>(Sheet4!DQ22/2)</f>
        <v>0</v>
      </c>
    </row>
    <row r="24" spans="1:121" ht="15.75" customHeight="1" x14ac:dyDescent="0.3">
      <c r="A24" s="40">
        <f>Sheet4!A23</f>
        <v>20</v>
      </c>
      <c r="B24" s="40" t="str">
        <f>Sheet4!B23</f>
        <v>ሻምበል ቦንጃ</v>
      </c>
      <c r="C24" s="26">
        <f>Sheet4!C23</f>
        <v>21000</v>
      </c>
      <c r="D24" s="68">
        <f>Sheet4!D23</f>
        <v>1</v>
      </c>
      <c r="E24" s="68">
        <f>Sheet4!E23</f>
        <v>1</v>
      </c>
      <c r="F24" s="68">
        <f>Sheet4!F23</f>
        <v>1</v>
      </c>
      <c r="G24" s="68">
        <f>Sheet4!G23</f>
        <v>1</v>
      </c>
      <c r="H24" s="68">
        <f>Sheet4!H23</f>
        <v>1</v>
      </c>
      <c r="I24" s="68">
        <f>Sheet4!I23</f>
        <v>1</v>
      </c>
      <c r="J24" s="68">
        <f>Sheet4!J23</f>
        <v>1</v>
      </c>
      <c r="K24" s="68">
        <f>Sheet4!K23</f>
        <v>1</v>
      </c>
      <c r="L24" s="68">
        <f>Sheet4!L23</f>
        <v>1</v>
      </c>
      <c r="M24" s="68">
        <f>Sheet4!M23</f>
        <v>1</v>
      </c>
      <c r="N24" s="68">
        <f>Sheet4!N23</f>
        <v>1</v>
      </c>
      <c r="O24" s="68">
        <f>Sheet4!O23</f>
        <v>1</v>
      </c>
      <c r="P24" s="68">
        <f>Sheet4!P23</f>
        <v>1</v>
      </c>
      <c r="Q24" s="68">
        <f>Sheet4!Q23</f>
        <v>1</v>
      </c>
      <c r="R24" s="68">
        <f>Sheet4!R23</f>
        <v>1</v>
      </c>
      <c r="S24" s="68">
        <f>Sheet4!S23</f>
        <v>1</v>
      </c>
      <c r="T24" s="68">
        <f>Sheet4!T23</f>
        <v>1</v>
      </c>
      <c r="U24" s="68">
        <f>Sheet4!U23</f>
        <v>1</v>
      </c>
      <c r="V24" s="68">
        <f>Sheet4!V23</f>
        <v>1</v>
      </c>
      <c r="W24" s="68">
        <f>Sheet4!W23</f>
        <v>1</v>
      </c>
      <c r="X24" s="68">
        <f>Sheet4!X23</f>
        <v>1</v>
      </c>
      <c r="Y24" s="68">
        <f>Sheet4!Y23</f>
        <v>1</v>
      </c>
      <c r="Z24" s="68">
        <f>Sheet4!Z23</f>
        <v>1</v>
      </c>
      <c r="AA24" s="68">
        <f>Sheet4!AA23</f>
        <v>1</v>
      </c>
      <c r="AB24" s="68">
        <f>Sheet4!AB23</f>
        <v>1</v>
      </c>
      <c r="AC24" s="68">
        <f>Sheet4!AC23</f>
        <v>1</v>
      </c>
      <c r="AD24" s="68">
        <f>Sheet4!AD23</f>
        <v>1</v>
      </c>
      <c r="AE24" s="68">
        <f>Sheet4!AE23</f>
        <v>0</v>
      </c>
      <c r="AF24" s="68">
        <f>Sheet4!AF23</f>
        <v>2</v>
      </c>
      <c r="AG24" s="68">
        <f>Sheet4!AG23</f>
        <v>1</v>
      </c>
      <c r="AH24" s="68">
        <f>Sheet4!AH23</f>
        <v>1</v>
      </c>
      <c r="AI24" s="68">
        <f>Sheet4!AI23</f>
        <v>1</v>
      </c>
      <c r="AJ24" s="68">
        <f>Sheet4!AJ23</f>
        <v>1</v>
      </c>
      <c r="AK24" s="68">
        <f>Sheet4!AK23</f>
        <v>1</v>
      </c>
      <c r="AL24" s="68">
        <f>Sheet4!AL23</f>
        <v>0</v>
      </c>
      <c r="AM24" s="68">
        <f>Sheet4!AM23</f>
        <v>2</v>
      </c>
      <c r="AN24" s="68">
        <f>Sheet4!AN23</f>
        <v>1</v>
      </c>
      <c r="AO24" s="68">
        <f>Sheet4!AO23</f>
        <v>1</v>
      </c>
      <c r="AP24" s="68">
        <f>Sheet4!AP23</f>
        <v>1</v>
      </c>
      <c r="AQ24" s="68">
        <f>Sheet4!AQ23</f>
        <v>1</v>
      </c>
      <c r="AR24" s="68">
        <f>Sheet4!AR23</f>
        <v>0</v>
      </c>
      <c r="AS24" s="68">
        <f>Sheet4!AS23</f>
        <v>2</v>
      </c>
      <c r="AT24" s="68">
        <f>Sheet4!AT23</f>
        <v>0</v>
      </c>
      <c r="AU24" s="68">
        <f>Sheet4!AU23</f>
        <v>2</v>
      </c>
      <c r="AV24" s="68">
        <f>Sheet4!AV23</f>
        <v>1</v>
      </c>
      <c r="AW24" s="68">
        <f>Sheet4!AW23</f>
        <v>1</v>
      </c>
      <c r="AX24" s="68">
        <f>Sheet4!AX23</f>
        <v>0</v>
      </c>
      <c r="AY24" s="68">
        <f>Sheet4!AY23</f>
        <v>2</v>
      </c>
      <c r="AZ24" s="68">
        <f>Sheet4!AZ23</f>
        <v>0</v>
      </c>
      <c r="BA24" s="68">
        <f>Sheet4!BA23</f>
        <v>2</v>
      </c>
      <c r="BB24" s="68">
        <f>Sheet4!BB23</f>
        <v>1</v>
      </c>
      <c r="BC24" s="68">
        <f>Sheet4!BC23</f>
        <v>0</v>
      </c>
      <c r="BD24" s="68">
        <f>Sheet4!BD23</f>
        <v>2</v>
      </c>
      <c r="BE24" s="68">
        <f>Sheet4!BE23</f>
        <v>0</v>
      </c>
      <c r="BF24" s="68">
        <f>Sheet4!BF23</f>
        <v>2</v>
      </c>
      <c r="BG24" s="68">
        <f>Sheet4!BG23</f>
        <v>1</v>
      </c>
      <c r="BH24" s="68">
        <f>Sheet4!BH23</f>
        <v>1</v>
      </c>
      <c r="BI24" s="68">
        <f>Sheet4!BI23</f>
        <v>1</v>
      </c>
      <c r="BJ24" s="68">
        <f>Sheet4!BJ23</f>
        <v>1</v>
      </c>
      <c r="BK24" s="68">
        <f>Sheet4!BK23</f>
        <v>1</v>
      </c>
      <c r="BL24" s="68">
        <f>Sheet4!BL23</f>
        <v>1</v>
      </c>
      <c r="BM24" s="68">
        <f>Sheet4!BM23</f>
        <v>0</v>
      </c>
      <c r="BN24" s="68">
        <f>Sheet4!BN23</f>
        <v>2</v>
      </c>
      <c r="BO24" s="68">
        <f>Sheet4!BO23</f>
        <v>1</v>
      </c>
      <c r="BP24" s="68">
        <f>Sheet4!BP23</f>
        <v>1</v>
      </c>
      <c r="BQ24" s="68">
        <f>Sheet4!BQ23</f>
        <v>0</v>
      </c>
      <c r="BR24" s="68">
        <f>Sheet4!BR23</f>
        <v>2</v>
      </c>
      <c r="BS24" s="68">
        <f>Sheet4!BS23</f>
        <v>1</v>
      </c>
      <c r="BT24" s="68">
        <f>Sheet4!BT23</f>
        <v>0</v>
      </c>
      <c r="BU24" s="68">
        <f>Sheet4!BU23</f>
        <v>0</v>
      </c>
      <c r="BV24" s="68">
        <f>Sheet4!BV23</f>
        <v>3</v>
      </c>
      <c r="BW24" s="68">
        <f>Sheet4!BW23</f>
        <v>0</v>
      </c>
      <c r="BX24" s="68">
        <f>Sheet4!BX23</f>
        <v>2</v>
      </c>
      <c r="BY24" s="68">
        <f>Sheet4!BY23</f>
        <v>0</v>
      </c>
      <c r="BZ24" s="68">
        <f>Sheet4!BZ23</f>
        <v>0</v>
      </c>
      <c r="CA24" s="68">
        <f>Sheet4!CA23</f>
        <v>3</v>
      </c>
      <c r="CB24" s="68">
        <f>Sheet4!CB23</f>
        <v>1</v>
      </c>
      <c r="CC24" s="68">
        <f>Sheet4!CC23</f>
        <v>1</v>
      </c>
      <c r="CD24" s="68">
        <f>Sheet4!CD23</f>
        <v>0</v>
      </c>
      <c r="CE24" s="68">
        <f>Sheet4!CE23</f>
        <v>0</v>
      </c>
      <c r="CF24" s="68">
        <f>Sheet4!CF23</f>
        <v>3</v>
      </c>
      <c r="CG24" s="68">
        <f>Sheet4!CG23</f>
        <v>1</v>
      </c>
      <c r="CH24" s="68">
        <f>Sheet4!CH23</f>
        <v>1</v>
      </c>
      <c r="CI24" s="68">
        <f>Sheet4!CI23</f>
        <v>1</v>
      </c>
      <c r="CJ24" s="68">
        <f>Sheet4!CJ23</f>
        <v>0</v>
      </c>
      <c r="CK24" s="68">
        <f>Sheet4!CK23</f>
        <v>0</v>
      </c>
      <c r="CL24" s="68">
        <f>Sheet4!CL23</f>
        <v>2</v>
      </c>
      <c r="CM24" s="68">
        <f>Sheet4!CM23</f>
        <v>0</v>
      </c>
      <c r="CN24" s="68">
        <f>Sheet4!CN23</f>
        <v>0</v>
      </c>
      <c r="CO24" s="68">
        <f>Sheet4!CO23</f>
        <v>2</v>
      </c>
      <c r="CP24" s="68">
        <f>Sheet4!CP23</f>
        <v>0</v>
      </c>
      <c r="CQ24" s="68">
        <f>Sheet4!CQ23</f>
        <v>2</v>
      </c>
      <c r="CR24" s="68">
        <f>Sheet4!CR23</f>
        <v>1</v>
      </c>
      <c r="CS24" s="68">
        <f>Sheet4!CS23</f>
        <v>0</v>
      </c>
      <c r="CT24" s="68">
        <f>Sheet4!CT23</f>
        <v>2</v>
      </c>
      <c r="CU24" s="68">
        <f>Sheet4!CU23</f>
        <v>0</v>
      </c>
      <c r="CV24" s="68">
        <f>Sheet4!CV23</f>
        <v>2</v>
      </c>
      <c r="CW24" s="68">
        <f>Sheet4!CW23</f>
        <v>0</v>
      </c>
      <c r="CX24" s="68">
        <f>Sheet4!CX23</f>
        <v>2</v>
      </c>
      <c r="CY24" s="68">
        <f>Sheet4!CY23</f>
        <v>0</v>
      </c>
      <c r="CZ24" s="68">
        <f>Sheet4!CZ23</f>
        <v>2</v>
      </c>
      <c r="DA24" s="68">
        <f>Sheet4!DA23</f>
        <v>1</v>
      </c>
      <c r="DB24" s="68">
        <f>Sheet4!DB23</f>
        <v>0</v>
      </c>
      <c r="DC24" s="68">
        <f>Sheet4!DC23</f>
        <v>2</v>
      </c>
      <c r="DD24" s="68">
        <f>Sheet4!DD23</f>
        <v>0</v>
      </c>
      <c r="DE24" s="68">
        <f>Sheet4!DE23</f>
        <v>2</v>
      </c>
      <c r="DF24" s="68">
        <f>Sheet4!DF23</f>
        <v>0</v>
      </c>
      <c r="DG24" s="68">
        <f>Sheet4!DG23</f>
        <v>2</v>
      </c>
      <c r="DH24" s="68">
        <f>Sheet4!DH23</f>
        <v>0</v>
      </c>
      <c r="DI24" s="68">
        <f>Sheet4!DI23</f>
        <v>0</v>
      </c>
      <c r="DJ24" s="68">
        <f>Sheet4!DJ23</f>
        <v>0</v>
      </c>
      <c r="DK24" s="68">
        <f>Sheet4!DK23</f>
        <v>0</v>
      </c>
      <c r="DL24" s="68">
        <f>Sheet4!DL23</f>
        <v>0</v>
      </c>
      <c r="DM24" s="68">
        <f>Sheet4!DM23</f>
        <v>0</v>
      </c>
      <c r="DN24" s="68">
        <f>Sheet4!DN23</f>
        <v>0</v>
      </c>
      <c r="DO24" s="68">
        <f>Sheet4!DO23</f>
        <v>0</v>
      </c>
      <c r="DP24" s="68">
        <f>Sheet4!DP23</f>
        <v>0</v>
      </c>
      <c r="DQ24" s="68">
        <f>Sheet4!DQ23</f>
        <v>0</v>
      </c>
    </row>
    <row r="25" spans="1:121" ht="15.75" customHeight="1" x14ac:dyDescent="0.3">
      <c r="A25" s="40">
        <f>Sheet4!A24</f>
        <v>21</v>
      </c>
      <c r="B25" s="40" t="str">
        <f>Sheet4!B24</f>
        <v>ማተጎ አመኖ</v>
      </c>
      <c r="C25" s="26">
        <f>Sheet4!C24</f>
        <v>21000</v>
      </c>
      <c r="D25" s="68">
        <f>Sheet4!D24</f>
        <v>1</v>
      </c>
      <c r="E25" s="68">
        <f>Sheet4!E24</f>
        <v>1</v>
      </c>
      <c r="F25" s="68">
        <f>Sheet4!F24</f>
        <v>1</v>
      </c>
      <c r="G25" s="68">
        <f>Sheet4!G24</f>
        <v>1</v>
      </c>
      <c r="H25" s="68">
        <f>Sheet4!H24</f>
        <v>1</v>
      </c>
      <c r="I25" s="68">
        <f>Sheet4!I24</f>
        <v>1</v>
      </c>
      <c r="J25" s="68">
        <f>Sheet4!J24</f>
        <v>1</v>
      </c>
      <c r="K25" s="68">
        <f>Sheet4!K24</f>
        <v>1</v>
      </c>
      <c r="L25" s="68">
        <f>Sheet4!L24</f>
        <v>1</v>
      </c>
      <c r="M25" s="68">
        <f>Sheet4!M24</f>
        <v>1</v>
      </c>
      <c r="N25" s="68">
        <f>Sheet4!N24</f>
        <v>1</v>
      </c>
      <c r="O25" s="68">
        <f>Sheet4!O24</f>
        <v>1</v>
      </c>
      <c r="P25" s="68">
        <f>Sheet4!P24</f>
        <v>1</v>
      </c>
      <c r="Q25" s="68">
        <f>Sheet4!Q24</f>
        <v>1</v>
      </c>
      <c r="R25" s="68">
        <f>Sheet4!R24</f>
        <v>1</v>
      </c>
      <c r="S25" s="68">
        <f>Sheet4!S24</f>
        <v>1</v>
      </c>
      <c r="T25" s="68">
        <f>Sheet4!T24</f>
        <v>1</v>
      </c>
      <c r="U25" s="68">
        <f>Sheet4!U24</f>
        <v>1</v>
      </c>
      <c r="V25" s="68">
        <f>Sheet4!V24</f>
        <v>1</v>
      </c>
      <c r="W25" s="68">
        <f>Sheet4!W24</f>
        <v>0</v>
      </c>
      <c r="X25" s="68">
        <f>Sheet4!X24</f>
        <v>2</v>
      </c>
      <c r="Y25" s="68">
        <f>Sheet4!Y24</f>
        <v>1</v>
      </c>
      <c r="Z25" s="68">
        <f>Sheet4!Z24</f>
        <v>1</v>
      </c>
      <c r="AA25" s="68">
        <f>Sheet4!AA24</f>
        <v>0</v>
      </c>
      <c r="AB25" s="68">
        <f>Sheet4!AB24</f>
        <v>2</v>
      </c>
      <c r="AC25" s="68">
        <f>Sheet4!AC24</f>
        <v>1</v>
      </c>
      <c r="AD25" s="68">
        <f>Sheet4!AD24</f>
        <v>1</v>
      </c>
      <c r="AE25" s="68">
        <f>Sheet4!AE24</f>
        <v>0</v>
      </c>
      <c r="AF25" s="68">
        <f>Sheet4!AF24</f>
        <v>2</v>
      </c>
      <c r="AG25" s="68">
        <f>Sheet4!AG24</f>
        <v>1</v>
      </c>
      <c r="AH25" s="68">
        <f>Sheet4!AH24</f>
        <v>1</v>
      </c>
      <c r="AI25" s="68">
        <f>Sheet4!AI24</f>
        <v>0</v>
      </c>
      <c r="AJ25" s="68">
        <f>Sheet4!AJ24</f>
        <v>2</v>
      </c>
      <c r="AK25" s="68">
        <f>Sheet4!AK24</f>
        <v>1</v>
      </c>
      <c r="AL25" s="68">
        <f>Sheet4!AL24</f>
        <v>1</v>
      </c>
      <c r="AM25" s="68">
        <f>Sheet4!AM24</f>
        <v>1</v>
      </c>
      <c r="AN25" s="68">
        <f>Sheet4!AN24</f>
        <v>1</v>
      </c>
      <c r="AO25" s="68">
        <f>Sheet4!AO24</f>
        <v>1</v>
      </c>
      <c r="AP25" s="68">
        <f>Sheet4!AP24</f>
        <v>1</v>
      </c>
      <c r="AQ25" s="68">
        <f>Sheet4!AQ24</f>
        <v>1</v>
      </c>
      <c r="AR25" s="68">
        <f>Sheet4!AR24</f>
        <v>1</v>
      </c>
      <c r="AS25" s="68">
        <f>Sheet4!AS24</f>
        <v>1</v>
      </c>
      <c r="AT25" s="68">
        <f>Sheet4!AT24</f>
        <v>1</v>
      </c>
      <c r="AU25" s="68">
        <f>Sheet4!AU24</f>
        <v>1</v>
      </c>
      <c r="AV25" s="68">
        <f>Sheet4!AV24</f>
        <v>1</v>
      </c>
      <c r="AW25" s="68">
        <f>Sheet4!AW24</f>
        <v>1</v>
      </c>
      <c r="AX25" s="68">
        <f>Sheet4!AX24</f>
        <v>1</v>
      </c>
      <c r="AY25" s="68">
        <f>Sheet4!AY24</f>
        <v>0</v>
      </c>
      <c r="AZ25" s="68">
        <f>Sheet4!AZ24</f>
        <v>2</v>
      </c>
      <c r="BA25" s="68">
        <f>Sheet4!BA24</f>
        <v>1</v>
      </c>
      <c r="BB25" s="68">
        <f>Sheet4!BB24</f>
        <v>1</v>
      </c>
      <c r="BC25" s="68">
        <f>Sheet4!BC24</f>
        <v>0</v>
      </c>
      <c r="BD25" s="68">
        <f>Sheet4!BD24</f>
        <v>2</v>
      </c>
      <c r="BE25" s="68">
        <f>Sheet4!BE24</f>
        <v>1</v>
      </c>
      <c r="BF25" s="68">
        <f>Sheet4!BF24</f>
        <v>1</v>
      </c>
      <c r="BG25" s="68">
        <f>Sheet4!BG24</f>
        <v>0</v>
      </c>
      <c r="BH25" s="68">
        <f>Sheet4!BH24</f>
        <v>2</v>
      </c>
      <c r="BI25" s="68">
        <f>Sheet4!BI24</f>
        <v>1</v>
      </c>
      <c r="BJ25" s="68">
        <f>Sheet4!BJ24</f>
        <v>1</v>
      </c>
      <c r="BK25" s="68">
        <f>Sheet4!BK24</f>
        <v>0</v>
      </c>
      <c r="BL25" s="68">
        <f>Sheet4!BL24</f>
        <v>2</v>
      </c>
      <c r="BM25" s="68">
        <f>Sheet4!BM24</f>
        <v>1</v>
      </c>
      <c r="BN25" s="68">
        <f>Sheet4!BN24</f>
        <v>1</v>
      </c>
      <c r="BO25" s="68">
        <f>Sheet4!BO24</f>
        <v>0</v>
      </c>
      <c r="BP25" s="68">
        <f>Sheet4!BP24</f>
        <v>2</v>
      </c>
      <c r="BQ25" s="68">
        <f>Sheet4!BQ24</f>
        <v>1</v>
      </c>
      <c r="BR25" s="68">
        <f>Sheet4!BR24</f>
        <v>1</v>
      </c>
      <c r="BS25" s="68">
        <f>Sheet4!BS24</f>
        <v>0</v>
      </c>
      <c r="BT25" s="68">
        <f>Sheet4!BT24</f>
        <v>1</v>
      </c>
      <c r="BU25" s="68">
        <f>Sheet4!BU24</f>
        <v>1</v>
      </c>
      <c r="BV25" s="68">
        <f>Sheet4!BV24</f>
        <v>2</v>
      </c>
      <c r="BW25" s="68">
        <f>Sheet4!BW24</f>
        <v>1</v>
      </c>
      <c r="BX25" s="68">
        <f>Sheet4!BX24</f>
        <v>1</v>
      </c>
      <c r="BY25" s="68">
        <f>Sheet4!BY24</f>
        <v>1</v>
      </c>
      <c r="BZ25" s="68">
        <f>Sheet4!BZ24</f>
        <v>1</v>
      </c>
      <c r="CA25" s="68">
        <f>Sheet4!CA24</f>
        <v>1</v>
      </c>
      <c r="CB25" s="68">
        <f>Sheet4!CB24</f>
        <v>1</v>
      </c>
      <c r="CC25" s="68">
        <f>Sheet4!CC24</f>
        <v>1</v>
      </c>
      <c r="CD25" s="68">
        <f>Sheet4!CD24</f>
        <v>0</v>
      </c>
      <c r="CE25" s="68">
        <f>Sheet4!CE24</f>
        <v>1</v>
      </c>
      <c r="CF25" s="68">
        <f>Sheet4!CF24</f>
        <v>1</v>
      </c>
      <c r="CG25" s="68">
        <f>Sheet4!CG24</f>
        <v>1</v>
      </c>
      <c r="CH25" s="68">
        <f>Sheet4!CH24</f>
        <v>1</v>
      </c>
      <c r="CI25" s="68">
        <f>Sheet4!CI24</f>
        <v>1</v>
      </c>
      <c r="CJ25" s="68">
        <f>Sheet4!CJ24</f>
        <v>1</v>
      </c>
      <c r="CK25" s="68">
        <f>Sheet4!CK24</f>
        <v>1</v>
      </c>
      <c r="CL25" s="68">
        <f>Sheet4!CL24</f>
        <v>1</v>
      </c>
      <c r="CM25" s="68">
        <f>Sheet4!CM24</f>
        <v>1</v>
      </c>
      <c r="CN25" s="68">
        <f>Sheet4!CN24</f>
        <v>1</v>
      </c>
      <c r="CO25" s="68">
        <f>Sheet4!CO24</f>
        <v>1</v>
      </c>
      <c r="CP25" s="68">
        <f>Sheet4!CP24</f>
        <v>2</v>
      </c>
      <c r="CQ25" s="68">
        <f>Sheet4!CQ24</f>
        <v>0</v>
      </c>
      <c r="CR25" s="68">
        <f>Sheet4!CR24</f>
        <v>1</v>
      </c>
      <c r="CS25" s="68">
        <f>Sheet4!CS24</f>
        <v>1</v>
      </c>
      <c r="CT25" s="68">
        <f>Sheet4!CT24</f>
        <v>1</v>
      </c>
      <c r="CU25" s="68">
        <f>Sheet4!CU24</f>
        <v>1</v>
      </c>
      <c r="CV25" s="68">
        <f>Sheet4!CV24</f>
        <v>1</v>
      </c>
      <c r="CW25" s="68">
        <f>Sheet4!CW24</f>
        <v>1</v>
      </c>
      <c r="CX25" s="68">
        <f>Sheet4!CX24</f>
        <v>1</v>
      </c>
      <c r="CY25" s="68">
        <f>Sheet4!CY24</f>
        <v>0</v>
      </c>
      <c r="CZ25" s="68">
        <f>Sheet4!CZ24</f>
        <v>1</v>
      </c>
      <c r="DA25" s="68">
        <f>Sheet4!DA24</f>
        <v>1</v>
      </c>
      <c r="DB25" s="68">
        <f>Sheet4!DB24</f>
        <v>1</v>
      </c>
      <c r="DC25" s="68">
        <f>Sheet4!DC24</f>
        <v>0</v>
      </c>
      <c r="DD25" s="68">
        <f>Sheet4!DD24</f>
        <v>2</v>
      </c>
      <c r="DE25" s="68">
        <f>Sheet4!DE24</f>
        <v>1</v>
      </c>
      <c r="DF25" s="68">
        <f>Sheet4!DF24</f>
        <v>1</v>
      </c>
      <c r="DG25" s="68">
        <f>Sheet4!DG24</f>
        <v>1</v>
      </c>
      <c r="DH25" s="68">
        <f>Sheet4!DH24</f>
        <v>0</v>
      </c>
      <c r="DI25" s="68">
        <f>Sheet4!DI24</f>
        <v>0</v>
      </c>
      <c r="DJ25" s="68">
        <f>Sheet4!DJ24</f>
        <v>0</v>
      </c>
      <c r="DK25" s="68">
        <f>Sheet4!DK24</f>
        <v>0</v>
      </c>
      <c r="DL25" s="68">
        <f>Sheet4!DL24</f>
        <v>0</v>
      </c>
      <c r="DM25" s="68">
        <f>Sheet4!DM24</f>
        <v>0</v>
      </c>
      <c r="DN25" s="68">
        <f>Sheet4!DN24</f>
        <v>0</v>
      </c>
      <c r="DO25" s="68">
        <f>Sheet4!DO24</f>
        <v>0</v>
      </c>
      <c r="DP25" s="68">
        <f>Sheet4!DP24</f>
        <v>0</v>
      </c>
      <c r="DQ25" s="68">
        <f>Sheet4!DQ24</f>
        <v>0</v>
      </c>
    </row>
    <row r="26" spans="1:121" ht="15.75" customHeight="1" x14ac:dyDescent="0.3">
      <c r="A26" s="40">
        <f>Sheet4!A25</f>
        <v>22</v>
      </c>
      <c r="B26" s="40" t="str">
        <f>Sheet4!B25</f>
        <v>ማሩ እርቅይሁን</v>
      </c>
      <c r="C26" s="26">
        <f>Sheet4!C25</f>
        <v>21000</v>
      </c>
      <c r="D26" s="68">
        <f>Sheet4!D25</f>
        <v>1</v>
      </c>
      <c r="E26" s="68">
        <f>Sheet4!E25</f>
        <v>1</v>
      </c>
      <c r="F26" s="68">
        <f>Sheet4!F25</f>
        <v>1</v>
      </c>
      <c r="G26" s="68">
        <f>Sheet4!G25</f>
        <v>1</v>
      </c>
      <c r="H26" s="68">
        <f>Sheet4!H25</f>
        <v>1</v>
      </c>
      <c r="I26" s="68">
        <f>Sheet4!I25</f>
        <v>1</v>
      </c>
      <c r="J26" s="68">
        <f>Sheet4!J25</f>
        <v>1</v>
      </c>
      <c r="K26" s="68">
        <f>Sheet4!K25</f>
        <v>1</v>
      </c>
      <c r="L26" s="68">
        <f>Sheet4!L25</f>
        <v>1</v>
      </c>
      <c r="M26" s="68">
        <f>Sheet4!M25</f>
        <v>1</v>
      </c>
      <c r="N26" s="68">
        <f>Sheet4!N25</f>
        <v>1</v>
      </c>
      <c r="O26" s="68">
        <f>Sheet4!O25</f>
        <v>1</v>
      </c>
      <c r="P26" s="68">
        <f>Sheet4!P25</f>
        <v>1</v>
      </c>
      <c r="Q26" s="68">
        <f>Sheet4!Q25</f>
        <v>1</v>
      </c>
      <c r="R26" s="68">
        <f>Sheet4!R25</f>
        <v>1</v>
      </c>
      <c r="S26" s="68">
        <f>Sheet4!S25</f>
        <v>1</v>
      </c>
      <c r="T26" s="68">
        <f>Sheet4!T25</f>
        <v>1</v>
      </c>
      <c r="U26" s="68">
        <f>Sheet4!U25</f>
        <v>1</v>
      </c>
      <c r="V26" s="68">
        <f>Sheet4!V25</f>
        <v>1</v>
      </c>
      <c r="W26" s="68">
        <f>Sheet4!W25</f>
        <v>1</v>
      </c>
      <c r="X26" s="68">
        <f>Sheet4!X25</f>
        <v>1</v>
      </c>
      <c r="Y26" s="68">
        <f>Sheet4!Y25</f>
        <v>1</v>
      </c>
      <c r="Z26" s="68">
        <f>Sheet4!Z25</f>
        <v>1</v>
      </c>
      <c r="AA26" s="68">
        <f>Sheet4!AA25</f>
        <v>1</v>
      </c>
      <c r="AB26" s="68">
        <f>Sheet4!AB25</f>
        <v>1</v>
      </c>
      <c r="AC26" s="68">
        <f>Sheet4!AC25</f>
        <v>1</v>
      </c>
      <c r="AD26" s="68">
        <f>Sheet4!AD25</f>
        <v>1</v>
      </c>
      <c r="AE26" s="68">
        <f>Sheet4!AE25</f>
        <v>1</v>
      </c>
      <c r="AF26" s="68">
        <f>Sheet4!AF25</f>
        <v>1</v>
      </c>
      <c r="AG26" s="68">
        <f>Sheet4!AG25</f>
        <v>1</v>
      </c>
      <c r="AH26" s="68">
        <f>Sheet4!AH25</f>
        <v>1</v>
      </c>
      <c r="AI26" s="68">
        <f>Sheet4!AI25</f>
        <v>1</v>
      </c>
      <c r="AJ26" s="68">
        <f>Sheet4!AJ25</f>
        <v>1</v>
      </c>
      <c r="AK26" s="68">
        <f>Sheet4!AK25</f>
        <v>1</v>
      </c>
      <c r="AL26" s="68">
        <f>Sheet4!AL25</f>
        <v>1</v>
      </c>
      <c r="AM26" s="68">
        <f>Sheet4!AM25</f>
        <v>1</v>
      </c>
      <c r="AN26" s="68">
        <f>Sheet4!AN25</f>
        <v>1</v>
      </c>
      <c r="AO26" s="68">
        <f>Sheet4!AO25</f>
        <v>0</v>
      </c>
      <c r="AP26" s="68">
        <f>Sheet4!AP25</f>
        <v>2</v>
      </c>
      <c r="AQ26" s="68">
        <f>Sheet4!AQ25</f>
        <v>1</v>
      </c>
      <c r="AR26" s="68">
        <f>Sheet4!AR25</f>
        <v>1</v>
      </c>
      <c r="AS26" s="68">
        <f>Sheet4!AS25</f>
        <v>1</v>
      </c>
      <c r="AT26" s="68">
        <f>Sheet4!AT25</f>
        <v>1</v>
      </c>
      <c r="AU26" s="68">
        <f>Sheet4!AU25</f>
        <v>1</v>
      </c>
      <c r="AV26" s="68">
        <f>Sheet4!AV25</f>
        <v>1</v>
      </c>
      <c r="AW26" s="68">
        <f>Sheet4!AW25</f>
        <v>1</v>
      </c>
      <c r="AX26" s="68">
        <f>Sheet4!AX25</f>
        <v>1</v>
      </c>
      <c r="AY26" s="68">
        <f>Sheet4!AY25</f>
        <v>1</v>
      </c>
      <c r="AZ26" s="68">
        <f>Sheet4!AZ25</f>
        <v>1</v>
      </c>
      <c r="BA26" s="68">
        <f>Sheet4!BA25</f>
        <v>1</v>
      </c>
      <c r="BB26" s="68">
        <f>Sheet4!BB25</f>
        <v>1</v>
      </c>
      <c r="BC26" s="68">
        <f>Sheet4!BC25</f>
        <v>1</v>
      </c>
      <c r="BD26" s="68">
        <f>Sheet4!BD25</f>
        <v>1</v>
      </c>
      <c r="BE26" s="68">
        <f>Sheet4!BE25</f>
        <v>1</v>
      </c>
      <c r="BF26" s="68">
        <f>Sheet4!BF25</f>
        <v>1</v>
      </c>
      <c r="BG26" s="68">
        <f>Sheet4!BG25</f>
        <v>1</v>
      </c>
      <c r="BH26" s="68">
        <f>Sheet4!BH25</f>
        <v>1</v>
      </c>
      <c r="BI26" s="68">
        <f>Sheet4!BI25</f>
        <v>1</v>
      </c>
      <c r="BJ26" s="68">
        <f>Sheet4!BJ25</f>
        <v>1</v>
      </c>
      <c r="BK26" s="68">
        <f>Sheet4!BK25</f>
        <v>1</v>
      </c>
      <c r="BL26" s="68">
        <f>Sheet4!BL25</f>
        <v>1</v>
      </c>
      <c r="BM26" s="68">
        <f>Sheet4!BM25</f>
        <v>0</v>
      </c>
      <c r="BN26" s="68">
        <f>Sheet4!BN25</f>
        <v>2</v>
      </c>
      <c r="BO26" s="68">
        <f>Sheet4!BO25</f>
        <v>1</v>
      </c>
      <c r="BP26" s="68">
        <f>Sheet4!BP25</f>
        <v>1</v>
      </c>
      <c r="BQ26" s="68">
        <f>Sheet4!BQ25</f>
        <v>1</v>
      </c>
      <c r="BR26" s="68">
        <f>Sheet4!BR25</f>
        <v>1</v>
      </c>
      <c r="BS26" s="68">
        <f>Sheet4!BS25</f>
        <v>1</v>
      </c>
      <c r="BT26" s="68">
        <f>Sheet4!BT25</f>
        <v>1</v>
      </c>
      <c r="BU26" s="68">
        <f>Sheet4!BU25</f>
        <v>1</v>
      </c>
      <c r="BV26" s="68">
        <f>Sheet4!BV25</f>
        <v>1</v>
      </c>
      <c r="BW26" s="68">
        <f>Sheet4!BW25</f>
        <v>1</v>
      </c>
      <c r="BX26" s="68">
        <f>Sheet4!BX25</f>
        <v>1</v>
      </c>
      <c r="BY26" s="68">
        <f>Sheet4!BY25</f>
        <v>1</v>
      </c>
      <c r="BZ26" s="68">
        <f>Sheet4!BZ25</f>
        <v>1</v>
      </c>
      <c r="CA26" s="68">
        <f>Sheet4!CA25</f>
        <v>1</v>
      </c>
      <c r="CB26" s="68">
        <f>Sheet4!CB25</f>
        <v>1</v>
      </c>
      <c r="CC26" s="68">
        <f>Sheet4!CC25</f>
        <v>1</v>
      </c>
      <c r="CD26" s="68">
        <f>Sheet4!CD25</f>
        <v>0</v>
      </c>
      <c r="CE26" s="68">
        <f>Sheet4!CE25</f>
        <v>2</v>
      </c>
      <c r="CF26" s="68">
        <f>Sheet4!CF25</f>
        <v>1</v>
      </c>
      <c r="CG26" s="68">
        <f>Sheet4!CG25</f>
        <v>1</v>
      </c>
      <c r="CH26" s="68">
        <f>Sheet4!CH25</f>
        <v>1</v>
      </c>
      <c r="CI26" s="68">
        <f>Sheet4!CI25</f>
        <v>1</v>
      </c>
      <c r="CJ26" s="68">
        <f>Sheet4!CJ25</f>
        <v>1</v>
      </c>
      <c r="CK26" s="68">
        <f>Sheet4!CK25</f>
        <v>1</v>
      </c>
      <c r="CL26" s="68">
        <f>Sheet4!CL25</f>
        <v>1</v>
      </c>
      <c r="CM26" s="68">
        <f>Sheet4!CM25</f>
        <v>1</v>
      </c>
      <c r="CN26" s="68">
        <f>Sheet4!CN25</f>
        <v>1</v>
      </c>
      <c r="CO26" s="68">
        <f>Sheet4!CO25</f>
        <v>1</v>
      </c>
      <c r="CP26" s="68">
        <f>Sheet4!CP25</f>
        <v>1</v>
      </c>
      <c r="CQ26" s="68">
        <f>Sheet4!CQ25</f>
        <v>1</v>
      </c>
      <c r="CR26" s="68">
        <f>Sheet4!CR25</f>
        <v>1</v>
      </c>
      <c r="CS26" s="68">
        <f>Sheet4!CS25</f>
        <v>1</v>
      </c>
      <c r="CT26" s="68">
        <f>Sheet4!CT25</f>
        <v>1</v>
      </c>
      <c r="CU26" s="68">
        <f>Sheet4!CU25</f>
        <v>1</v>
      </c>
      <c r="CV26" s="68">
        <f>Sheet4!CV25</f>
        <v>1</v>
      </c>
      <c r="CW26" s="68">
        <f>Sheet4!CW25</f>
        <v>1</v>
      </c>
      <c r="CX26" s="68">
        <f>Sheet4!CX25</f>
        <v>1</v>
      </c>
      <c r="CY26" s="68">
        <f>Sheet4!CY25</f>
        <v>1</v>
      </c>
      <c r="CZ26" s="68">
        <f>Sheet4!CZ25</f>
        <v>1</v>
      </c>
      <c r="DA26" s="68">
        <f>Sheet4!DA25</f>
        <v>1</v>
      </c>
      <c r="DB26" s="68">
        <f>Sheet4!DB25</f>
        <v>1</v>
      </c>
      <c r="DC26" s="68">
        <f>Sheet4!DC25</f>
        <v>1</v>
      </c>
      <c r="DD26" s="68">
        <f>Sheet4!DD25</f>
        <v>1</v>
      </c>
      <c r="DE26" s="68">
        <f>Sheet4!DE25</f>
        <v>1</v>
      </c>
      <c r="DF26" s="68">
        <f>Sheet4!DF25</f>
        <v>1</v>
      </c>
      <c r="DG26" s="68">
        <f>Sheet4!DG25</f>
        <v>1</v>
      </c>
      <c r="DH26" s="68">
        <f>Sheet4!DH25</f>
        <v>0</v>
      </c>
      <c r="DI26" s="68">
        <f>Sheet4!DI25</f>
        <v>0</v>
      </c>
      <c r="DJ26" s="68">
        <f>Sheet4!DJ25</f>
        <v>0</v>
      </c>
      <c r="DK26" s="68">
        <f>Sheet4!DK25</f>
        <v>0</v>
      </c>
      <c r="DL26" s="68">
        <f>Sheet4!DL25</f>
        <v>0</v>
      </c>
      <c r="DM26" s="68">
        <f>Sheet4!DM25</f>
        <v>0</v>
      </c>
      <c r="DN26" s="68">
        <f>Sheet4!DN25</f>
        <v>0</v>
      </c>
      <c r="DO26" s="68">
        <f>Sheet4!DO25</f>
        <v>0</v>
      </c>
      <c r="DP26" s="68">
        <f>Sheet4!DP25</f>
        <v>0</v>
      </c>
      <c r="DQ26" s="68">
        <f>Sheet4!DQ25</f>
        <v>0</v>
      </c>
    </row>
    <row r="27" spans="1:121" ht="15.75" customHeight="1" x14ac:dyDescent="0.3">
      <c r="A27" s="40">
        <f>Sheet4!A26</f>
        <v>23</v>
      </c>
      <c r="B27" s="40" t="str">
        <f>Sheet4!B26</f>
        <v>ደረጀ ታደግ</v>
      </c>
      <c r="C27" s="26">
        <f>Sheet4!C26</f>
        <v>21000</v>
      </c>
      <c r="D27" s="68">
        <f>Sheet4!D26</f>
        <v>1</v>
      </c>
      <c r="E27" s="68">
        <f>Sheet4!E26</f>
        <v>1</v>
      </c>
      <c r="F27" s="68">
        <f>Sheet4!F26</f>
        <v>1</v>
      </c>
      <c r="G27" s="68">
        <f>Sheet4!G26</f>
        <v>1</v>
      </c>
      <c r="H27" s="68">
        <f>Sheet4!H26</f>
        <v>1</v>
      </c>
      <c r="I27" s="68">
        <f>Sheet4!I26</f>
        <v>1</v>
      </c>
      <c r="J27" s="68">
        <f>Sheet4!J26</f>
        <v>1</v>
      </c>
      <c r="K27" s="68">
        <f>Sheet4!K26</f>
        <v>1</v>
      </c>
      <c r="L27" s="68">
        <f>Sheet4!L26</f>
        <v>1</v>
      </c>
      <c r="M27" s="68">
        <f>Sheet4!M26</f>
        <v>1</v>
      </c>
      <c r="N27" s="68">
        <f>Sheet4!N26</f>
        <v>1</v>
      </c>
      <c r="O27" s="68">
        <f>Sheet4!O26</f>
        <v>1</v>
      </c>
      <c r="P27" s="68">
        <f>Sheet4!P26</f>
        <v>1</v>
      </c>
      <c r="Q27" s="68">
        <f>Sheet4!Q26</f>
        <v>1</v>
      </c>
      <c r="R27" s="68">
        <f>Sheet4!R26</f>
        <v>1</v>
      </c>
      <c r="S27" s="68">
        <f>Sheet4!S26</f>
        <v>1</v>
      </c>
      <c r="T27" s="68">
        <f>Sheet4!T26</f>
        <v>1</v>
      </c>
      <c r="U27" s="68">
        <f>Sheet4!U26</f>
        <v>1</v>
      </c>
      <c r="V27" s="68">
        <f>Sheet4!V26</f>
        <v>1</v>
      </c>
      <c r="W27" s="68">
        <f>Sheet4!W26</f>
        <v>1</v>
      </c>
      <c r="X27" s="68">
        <f>Sheet4!X26</f>
        <v>1</v>
      </c>
      <c r="Y27" s="68">
        <f>Sheet4!Y26</f>
        <v>1</v>
      </c>
      <c r="Z27" s="68">
        <f>Sheet4!Z26</f>
        <v>1</v>
      </c>
      <c r="AA27" s="68">
        <f>Sheet4!AA26</f>
        <v>1</v>
      </c>
      <c r="AB27" s="68">
        <f>Sheet4!AB26</f>
        <v>1</v>
      </c>
      <c r="AC27" s="68">
        <f>Sheet4!AC26</f>
        <v>1</v>
      </c>
      <c r="AD27" s="68">
        <f>Sheet4!AD26</f>
        <v>1</v>
      </c>
      <c r="AE27" s="68">
        <f>Sheet4!AE26</f>
        <v>0</v>
      </c>
      <c r="AF27" s="68">
        <f>Sheet4!AF26</f>
        <v>2</v>
      </c>
      <c r="AG27" s="68">
        <f>Sheet4!AG26</f>
        <v>1</v>
      </c>
      <c r="AH27" s="68">
        <f>Sheet4!AH26</f>
        <v>1</v>
      </c>
      <c r="AI27" s="68">
        <f>Sheet4!AI26</f>
        <v>1</v>
      </c>
      <c r="AJ27" s="68">
        <f>Sheet4!AJ26</f>
        <v>1</v>
      </c>
      <c r="AK27" s="68">
        <f>Sheet4!AK26</f>
        <v>1</v>
      </c>
      <c r="AL27" s="68">
        <f>Sheet4!AL26</f>
        <v>1</v>
      </c>
      <c r="AM27" s="68">
        <f>Sheet4!AM26</f>
        <v>1</v>
      </c>
      <c r="AN27" s="68">
        <f>Sheet4!AN26</f>
        <v>1</v>
      </c>
      <c r="AO27" s="68">
        <f>Sheet4!AO26</f>
        <v>1</v>
      </c>
      <c r="AP27" s="68">
        <f>Sheet4!AP26</f>
        <v>1</v>
      </c>
      <c r="AQ27" s="68">
        <f>Sheet4!AQ26</f>
        <v>1</v>
      </c>
      <c r="AR27" s="68">
        <f>Sheet4!AR26</f>
        <v>1</v>
      </c>
      <c r="AS27" s="68">
        <f>Sheet4!AS26</f>
        <v>1</v>
      </c>
      <c r="AT27" s="68">
        <f>Sheet4!AT26</f>
        <v>1</v>
      </c>
      <c r="AU27" s="68">
        <f>Sheet4!AU26</f>
        <v>1</v>
      </c>
      <c r="AV27" s="68">
        <f>Sheet4!AV26</f>
        <v>1</v>
      </c>
      <c r="AW27" s="68">
        <f>Sheet4!AW26</f>
        <v>1</v>
      </c>
      <c r="AX27" s="68">
        <f>Sheet4!AX26</f>
        <v>1</v>
      </c>
      <c r="AY27" s="68">
        <f>Sheet4!AY26</f>
        <v>0</v>
      </c>
      <c r="AZ27" s="68">
        <f>Sheet4!AZ26</f>
        <v>2</v>
      </c>
      <c r="BA27" s="68">
        <f>Sheet4!BA26</f>
        <v>1</v>
      </c>
      <c r="BB27" s="68">
        <f>Sheet4!BB26</f>
        <v>1</v>
      </c>
      <c r="BC27" s="68">
        <f>Sheet4!BC26</f>
        <v>1</v>
      </c>
      <c r="BD27" s="68">
        <f>Sheet4!BD26</f>
        <v>1</v>
      </c>
      <c r="BE27" s="68">
        <f>Sheet4!BE26</f>
        <v>1</v>
      </c>
      <c r="BF27" s="68">
        <f>Sheet4!BF26</f>
        <v>1</v>
      </c>
      <c r="BG27" s="68">
        <f>Sheet4!BG26</f>
        <v>1</v>
      </c>
      <c r="BH27" s="68">
        <f>Sheet4!BH26</f>
        <v>1</v>
      </c>
      <c r="BI27" s="68">
        <f>Sheet4!BI26</f>
        <v>1</v>
      </c>
      <c r="BJ27" s="68">
        <f>Sheet4!BJ26</f>
        <v>1</v>
      </c>
      <c r="BK27" s="68">
        <f>Sheet4!BK26</f>
        <v>1</v>
      </c>
      <c r="BL27" s="68">
        <f>Sheet4!BL26</f>
        <v>1</v>
      </c>
      <c r="BM27" s="68">
        <f>Sheet4!BM26</f>
        <v>1</v>
      </c>
      <c r="BN27" s="68">
        <f>Sheet4!BN26</f>
        <v>1</v>
      </c>
      <c r="BO27" s="68">
        <f>Sheet4!BO26</f>
        <v>1</v>
      </c>
      <c r="BP27" s="68">
        <f>Sheet4!BP26</f>
        <v>1</v>
      </c>
      <c r="BQ27" s="68">
        <f>Sheet4!BQ26</f>
        <v>1</v>
      </c>
      <c r="BR27" s="68">
        <f>Sheet4!BR26</f>
        <v>1</v>
      </c>
      <c r="BS27" s="68">
        <f>Sheet4!BS26</f>
        <v>0</v>
      </c>
      <c r="BT27" s="68">
        <f>Sheet4!BT26</f>
        <v>2</v>
      </c>
      <c r="BU27" s="68">
        <f>Sheet4!BU26</f>
        <v>1</v>
      </c>
      <c r="BV27" s="68">
        <f>Sheet4!BV26</f>
        <v>1</v>
      </c>
      <c r="BW27" s="68">
        <f>Sheet4!BW26</f>
        <v>0</v>
      </c>
      <c r="BX27" s="68">
        <f>Sheet4!BX26</f>
        <v>1</v>
      </c>
      <c r="BY27" s="68">
        <f>Sheet4!BY26</f>
        <v>1</v>
      </c>
      <c r="BZ27" s="68">
        <f>Sheet4!BZ26</f>
        <v>1</v>
      </c>
      <c r="CA27" s="68">
        <f>Sheet4!CA26</f>
        <v>1</v>
      </c>
      <c r="CB27" s="68">
        <f>Sheet4!CB26</f>
        <v>1</v>
      </c>
      <c r="CC27" s="68">
        <f>Sheet4!CC26</f>
        <v>1</v>
      </c>
      <c r="CD27" s="68">
        <f>Sheet4!CD26</f>
        <v>1</v>
      </c>
      <c r="CE27" s="68">
        <f>Sheet4!CE26</f>
        <v>1</v>
      </c>
      <c r="CF27" s="68">
        <f>Sheet4!CF26</f>
        <v>1</v>
      </c>
      <c r="CG27" s="68">
        <f>Sheet4!CG26</f>
        <v>1</v>
      </c>
      <c r="CH27" s="68">
        <f>Sheet4!CH26</f>
        <v>1</v>
      </c>
      <c r="CI27" s="68">
        <f>Sheet4!CI26</f>
        <v>1</v>
      </c>
      <c r="CJ27" s="68">
        <f>Sheet4!CJ26</f>
        <v>0</v>
      </c>
      <c r="CK27" s="68">
        <f>Sheet4!CK26</f>
        <v>2</v>
      </c>
      <c r="CL27" s="68">
        <f>Sheet4!CL26</f>
        <v>1</v>
      </c>
      <c r="CM27" s="68">
        <f>Sheet4!CM26</f>
        <v>1</v>
      </c>
      <c r="CN27" s="68">
        <f>Sheet4!CN26</f>
        <v>0</v>
      </c>
      <c r="CO27" s="68">
        <f>Sheet4!CO26</f>
        <v>0</v>
      </c>
      <c r="CP27" s="68">
        <f>Sheet4!CP26</f>
        <v>3</v>
      </c>
      <c r="CQ27" s="68">
        <f>Sheet4!CQ26</f>
        <v>1</v>
      </c>
      <c r="CR27" s="68">
        <f>Sheet4!CR26</f>
        <v>0</v>
      </c>
      <c r="CS27" s="68">
        <f>Sheet4!CS26</f>
        <v>1</v>
      </c>
      <c r="CT27" s="68">
        <f>Sheet4!CT26</f>
        <v>1</v>
      </c>
      <c r="CU27" s="68">
        <f>Sheet4!CU26</f>
        <v>1</v>
      </c>
      <c r="CV27" s="68">
        <f>Sheet4!CV26</f>
        <v>1</v>
      </c>
      <c r="CW27" s="68">
        <f>Sheet4!CW26</f>
        <v>1</v>
      </c>
      <c r="CX27" s="68">
        <f>Sheet4!CX26</f>
        <v>1</v>
      </c>
      <c r="CY27" s="68">
        <f>Sheet4!CY26</f>
        <v>1</v>
      </c>
      <c r="CZ27" s="68">
        <f>Sheet4!CZ26</f>
        <v>0</v>
      </c>
      <c r="DA27" s="68">
        <f>Sheet4!DA26</f>
        <v>0</v>
      </c>
      <c r="DB27" s="68">
        <f>Sheet4!DB26</f>
        <v>1</v>
      </c>
      <c r="DC27" s="68">
        <f>Sheet4!DC26</f>
        <v>0</v>
      </c>
      <c r="DD27" s="68">
        <f>Sheet4!DD26</f>
        <v>1</v>
      </c>
      <c r="DE27" s="68">
        <f>Sheet4!DE26</f>
        <v>1</v>
      </c>
      <c r="DF27" s="68">
        <f>Sheet4!DF26</f>
        <v>1</v>
      </c>
      <c r="DG27" s="68">
        <f>Sheet4!DG26</f>
        <v>1</v>
      </c>
      <c r="DH27" s="68">
        <f>Sheet4!DH26</f>
        <v>0</v>
      </c>
      <c r="DI27" s="68">
        <f>Sheet4!DI26</f>
        <v>0</v>
      </c>
      <c r="DJ27" s="68">
        <f>Sheet4!DJ26</f>
        <v>0</v>
      </c>
      <c r="DK27" s="68">
        <f>Sheet4!DK26</f>
        <v>0</v>
      </c>
      <c r="DL27" s="68">
        <f>Sheet4!DL26</f>
        <v>0</v>
      </c>
      <c r="DM27" s="68">
        <f>Sheet4!DM26</f>
        <v>0</v>
      </c>
      <c r="DN27" s="68">
        <f>Sheet4!DN26</f>
        <v>0</v>
      </c>
      <c r="DO27" s="68">
        <f>Sheet4!DO26</f>
        <v>0</v>
      </c>
      <c r="DP27" s="68">
        <f>Sheet4!DP26</f>
        <v>0</v>
      </c>
      <c r="DQ27" s="68">
        <f>Sheet4!DQ26</f>
        <v>0</v>
      </c>
    </row>
    <row r="28" spans="1:121" ht="15.75" customHeight="1" x14ac:dyDescent="0.3">
      <c r="A28" s="40">
        <f>Sheet4!A27</f>
        <v>24</v>
      </c>
      <c r="B28" s="40" t="str">
        <f>Sheet4!B27</f>
        <v>ስንቅነሽ ጃራ</v>
      </c>
      <c r="C28" s="26">
        <f>Sheet4!C27</f>
        <v>21000</v>
      </c>
      <c r="D28" s="68">
        <f>Sheet4!D27</f>
        <v>1</v>
      </c>
      <c r="E28" s="68">
        <f>Sheet4!E27</f>
        <v>1</v>
      </c>
      <c r="F28" s="68">
        <f>Sheet4!F27</f>
        <v>1</v>
      </c>
      <c r="G28" s="68">
        <f>Sheet4!G27</f>
        <v>1</v>
      </c>
      <c r="H28" s="68">
        <f>Sheet4!H27</f>
        <v>1</v>
      </c>
      <c r="I28" s="68">
        <f>Sheet4!I27</f>
        <v>1</v>
      </c>
      <c r="J28" s="68">
        <f>Sheet4!J27</f>
        <v>1</v>
      </c>
      <c r="K28" s="68">
        <f>Sheet4!K27</f>
        <v>1</v>
      </c>
      <c r="L28" s="68">
        <f>Sheet4!L27</f>
        <v>1</v>
      </c>
      <c r="M28" s="68">
        <f>Sheet4!M27</f>
        <v>1</v>
      </c>
      <c r="N28" s="68">
        <f>Sheet4!N27</f>
        <v>1</v>
      </c>
      <c r="O28" s="68">
        <f>Sheet4!O27</f>
        <v>1</v>
      </c>
      <c r="P28" s="68">
        <f>Sheet4!P27</f>
        <v>1</v>
      </c>
      <c r="Q28" s="68">
        <f>Sheet4!Q27</f>
        <v>1</v>
      </c>
      <c r="R28" s="68">
        <f>Sheet4!R27</f>
        <v>1</v>
      </c>
      <c r="S28" s="68">
        <f>Sheet4!S27</f>
        <v>1</v>
      </c>
      <c r="T28" s="68">
        <f>Sheet4!T27</f>
        <v>1</v>
      </c>
      <c r="U28" s="68">
        <f>Sheet4!U27</f>
        <v>1</v>
      </c>
      <c r="V28" s="68">
        <f>Sheet4!V27</f>
        <v>1</v>
      </c>
      <c r="W28" s="68">
        <f>Sheet4!W27</f>
        <v>1</v>
      </c>
      <c r="X28" s="68">
        <f>Sheet4!X27</f>
        <v>1</v>
      </c>
      <c r="Y28" s="68">
        <f>Sheet4!Y27</f>
        <v>0</v>
      </c>
      <c r="Z28" s="68">
        <f>Sheet4!Z27</f>
        <v>2</v>
      </c>
      <c r="AA28" s="68">
        <f>Sheet4!AA27</f>
        <v>0</v>
      </c>
      <c r="AB28" s="68">
        <f>Sheet4!AB27</f>
        <v>2</v>
      </c>
      <c r="AC28" s="68">
        <f>Sheet4!AC27</f>
        <v>0</v>
      </c>
      <c r="AD28" s="68">
        <f>Sheet4!AD27</f>
        <v>1</v>
      </c>
      <c r="AE28" s="68">
        <f>Sheet4!AE27</f>
        <v>2</v>
      </c>
      <c r="AF28" s="68">
        <f>Sheet4!AF27</f>
        <v>1</v>
      </c>
      <c r="AG28" s="68">
        <f>Sheet4!AG27</f>
        <v>1</v>
      </c>
      <c r="AH28" s="68">
        <f>Sheet4!AH27</f>
        <v>1</v>
      </c>
      <c r="AI28" s="68">
        <f>Sheet4!AI27</f>
        <v>1</v>
      </c>
      <c r="AJ28" s="68">
        <f>Sheet4!AJ27</f>
        <v>1</v>
      </c>
      <c r="AK28" s="68">
        <f>Sheet4!AK27</f>
        <v>1</v>
      </c>
      <c r="AL28" s="68">
        <f>Sheet4!AL27</f>
        <v>1</v>
      </c>
      <c r="AM28" s="68">
        <f>Sheet4!AM27</f>
        <v>1</v>
      </c>
      <c r="AN28" s="68">
        <f>Sheet4!AN27</f>
        <v>1</v>
      </c>
      <c r="AO28" s="68">
        <f>Sheet4!AO27</f>
        <v>1</v>
      </c>
      <c r="AP28" s="68">
        <f>Sheet4!AP27</f>
        <v>1</v>
      </c>
      <c r="AQ28" s="68">
        <f>Sheet4!AQ27</f>
        <v>1</v>
      </c>
      <c r="AR28" s="68">
        <f>Sheet4!AR27</f>
        <v>1</v>
      </c>
      <c r="AS28" s="68">
        <f>Sheet4!AS27</f>
        <v>1</v>
      </c>
      <c r="AT28" s="68">
        <f>Sheet4!AT27</f>
        <v>1</v>
      </c>
      <c r="AU28" s="68">
        <f>Sheet4!AU27</f>
        <v>1</v>
      </c>
      <c r="AV28" s="68">
        <f>Sheet4!AV27</f>
        <v>1</v>
      </c>
      <c r="AW28" s="68">
        <f>Sheet4!AW27</f>
        <v>1</v>
      </c>
      <c r="AX28" s="68">
        <f>Sheet4!AX27</f>
        <v>1</v>
      </c>
      <c r="AY28" s="68">
        <f>Sheet4!AY27</f>
        <v>1</v>
      </c>
      <c r="AZ28" s="68">
        <f>Sheet4!AZ27</f>
        <v>1</v>
      </c>
      <c r="BA28" s="68">
        <f>Sheet4!BA27</f>
        <v>1</v>
      </c>
      <c r="BB28" s="68">
        <f>Sheet4!BB27</f>
        <v>1</v>
      </c>
      <c r="BC28" s="68">
        <f>Sheet4!BC27</f>
        <v>1</v>
      </c>
      <c r="BD28" s="68">
        <f>Sheet4!BD27</f>
        <v>1</v>
      </c>
      <c r="BE28" s="68">
        <f>Sheet4!BE27</f>
        <v>1</v>
      </c>
      <c r="BF28" s="68">
        <f>Sheet4!BF27</f>
        <v>1</v>
      </c>
      <c r="BG28" s="68">
        <f>Sheet4!BG27</f>
        <v>0</v>
      </c>
      <c r="BH28" s="68">
        <f>Sheet4!BH27</f>
        <v>2</v>
      </c>
      <c r="BI28" s="68">
        <f>Sheet4!BI27</f>
        <v>1</v>
      </c>
      <c r="BJ28" s="68">
        <f>Sheet4!BJ27</f>
        <v>1</v>
      </c>
      <c r="BK28" s="68">
        <f>Sheet4!BK27</f>
        <v>1</v>
      </c>
      <c r="BL28" s="68">
        <f>Sheet4!BL27</f>
        <v>1</v>
      </c>
      <c r="BM28" s="68">
        <f>Sheet4!BM27</f>
        <v>0</v>
      </c>
      <c r="BN28" s="68">
        <f>Sheet4!BN27</f>
        <v>2</v>
      </c>
      <c r="BO28" s="68">
        <f>Sheet4!BO27</f>
        <v>1</v>
      </c>
      <c r="BP28" s="68">
        <f>Sheet4!BP27</f>
        <v>1</v>
      </c>
      <c r="BQ28" s="68">
        <f>Sheet4!BQ27</f>
        <v>1</v>
      </c>
      <c r="BR28" s="68">
        <f>Sheet4!BR27</f>
        <v>1</v>
      </c>
      <c r="BS28" s="68">
        <f>Sheet4!BS27</f>
        <v>1</v>
      </c>
      <c r="BT28" s="68">
        <f>Sheet4!BT27</f>
        <v>1</v>
      </c>
      <c r="BU28" s="68">
        <f>Sheet4!BU27</f>
        <v>1</v>
      </c>
      <c r="BV28" s="68">
        <f>Sheet4!BV27</f>
        <v>1</v>
      </c>
      <c r="BW28" s="68">
        <f>Sheet4!BW27</f>
        <v>1</v>
      </c>
      <c r="BX28" s="68">
        <f>Sheet4!BX27</f>
        <v>1</v>
      </c>
      <c r="BY28" s="68">
        <f>Sheet4!BY27</f>
        <v>1</v>
      </c>
      <c r="BZ28" s="68">
        <f>Sheet4!BZ27</f>
        <v>1</v>
      </c>
      <c r="CA28" s="68">
        <f>Sheet4!CA27</f>
        <v>1</v>
      </c>
      <c r="CB28" s="68">
        <f>Sheet4!CB27</f>
        <v>1</v>
      </c>
      <c r="CC28" s="68">
        <f>Sheet4!CC27</f>
        <v>1</v>
      </c>
      <c r="CD28" s="68">
        <f>Sheet4!CD27</f>
        <v>0</v>
      </c>
      <c r="CE28" s="68">
        <f>Sheet4!CE27</f>
        <v>2</v>
      </c>
      <c r="CF28" s="68">
        <f>Sheet4!CF27</f>
        <v>1</v>
      </c>
      <c r="CG28" s="68">
        <f>Sheet4!CG27</f>
        <v>1</v>
      </c>
      <c r="CH28" s="68">
        <f>Sheet4!CH27</f>
        <v>1</v>
      </c>
      <c r="CI28" s="68">
        <f>Sheet4!CI27</f>
        <v>1</v>
      </c>
      <c r="CJ28" s="68">
        <f>Sheet4!CJ27</f>
        <v>1</v>
      </c>
      <c r="CK28" s="68">
        <f>Sheet4!CK27</f>
        <v>1</v>
      </c>
      <c r="CL28" s="68">
        <f>Sheet4!CL27</f>
        <v>1</v>
      </c>
      <c r="CM28" s="68">
        <f>Sheet4!CM27</f>
        <v>1</v>
      </c>
      <c r="CN28" s="68">
        <f>Sheet4!CN27</f>
        <v>1</v>
      </c>
      <c r="CO28" s="68">
        <f>Sheet4!CO27</f>
        <v>1</v>
      </c>
      <c r="CP28" s="68">
        <f>Sheet4!CP27</f>
        <v>1</v>
      </c>
      <c r="CQ28" s="68">
        <f>Sheet4!CQ27</f>
        <v>1</v>
      </c>
      <c r="CR28" s="68">
        <f>Sheet4!CR27</f>
        <v>1</v>
      </c>
      <c r="CS28" s="68">
        <f>Sheet4!CS27</f>
        <v>1</v>
      </c>
      <c r="CT28" s="68">
        <f>Sheet4!CT27</f>
        <v>1</v>
      </c>
      <c r="CU28" s="68">
        <f>Sheet4!CU27</f>
        <v>1</v>
      </c>
      <c r="CV28" s="68">
        <f>Sheet4!CV27</f>
        <v>1</v>
      </c>
      <c r="CW28" s="68">
        <f>Sheet4!CW27</f>
        <v>1</v>
      </c>
      <c r="CX28" s="68">
        <f>Sheet4!CX27</f>
        <v>1</v>
      </c>
      <c r="CY28" s="68">
        <f>Sheet4!CY27</f>
        <v>1</v>
      </c>
      <c r="CZ28" s="68">
        <f>Sheet4!CZ27</f>
        <v>1</v>
      </c>
      <c r="DA28" s="68">
        <f>Sheet4!DA27</f>
        <v>1</v>
      </c>
      <c r="DB28" s="68">
        <f>Sheet4!DB27</f>
        <v>1</v>
      </c>
      <c r="DC28" s="68">
        <f>Sheet4!DC27</f>
        <v>1</v>
      </c>
      <c r="DD28" s="68">
        <f>Sheet4!DD27</f>
        <v>1</v>
      </c>
      <c r="DE28" s="68">
        <f>Sheet4!DE27</f>
        <v>1</v>
      </c>
      <c r="DF28" s="68">
        <f>Sheet4!DF27</f>
        <v>1</v>
      </c>
      <c r="DG28" s="68">
        <f>Sheet4!DG27</f>
        <v>1</v>
      </c>
      <c r="DH28" s="68">
        <f>Sheet4!DH27</f>
        <v>0</v>
      </c>
      <c r="DI28" s="68">
        <f>Sheet4!DI27</f>
        <v>0</v>
      </c>
      <c r="DJ28" s="68">
        <f>Sheet4!DJ27</f>
        <v>0</v>
      </c>
      <c r="DK28" s="68">
        <f>Sheet4!DK27</f>
        <v>0</v>
      </c>
      <c r="DL28" s="68">
        <f>Sheet4!DL27</f>
        <v>0</v>
      </c>
      <c r="DM28" s="68">
        <f>Sheet4!DM27</f>
        <v>0</v>
      </c>
      <c r="DN28" s="68">
        <f>Sheet4!DN27</f>
        <v>0</v>
      </c>
      <c r="DO28" s="68">
        <f>Sheet4!DO27</f>
        <v>0</v>
      </c>
      <c r="DP28" s="68">
        <f>Sheet4!DP27</f>
        <v>0</v>
      </c>
      <c r="DQ28" s="68">
        <f>Sheet4!DQ27</f>
        <v>0</v>
      </c>
    </row>
    <row r="29" spans="1:121" ht="15.75" customHeight="1" x14ac:dyDescent="0.3">
      <c r="A29" s="40">
        <f>Sheet4!A28</f>
        <v>25</v>
      </c>
      <c r="B29" s="40" t="str">
        <f>Sheet4!B28</f>
        <v>ይድነቃቸው ወ/መስቀል</v>
      </c>
      <c r="C29" s="26">
        <f>Sheet4!C28</f>
        <v>21000</v>
      </c>
      <c r="D29" s="68">
        <f>Sheet4!D28</f>
        <v>1</v>
      </c>
      <c r="E29" s="68">
        <f>Sheet4!E28</f>
        <v>1</v>
      </c>
      <c r="F29" s="68">
        <f>Sheet4!F28</f>
        <v>1</v>
      </c>
      <c r="G29" s="68">
        <f>Sheet4!G28</f>
        <v>1</v>
      </c>
      <c r="H29" s="68">
        <f>Sheet4!H28</f>
        <v>1</v>
      </c>
      <c r="I29" s="68">
        <f>Sheet4!I28</f>
        <v>1</v>
      </c>
      <c r="J29" s="68">
        <f>Sheet4!J28</f>
        <v>1</v>
      </c>
      <c r="K29" s="68">
        <f>Sheet4!K28</f>
        <v>1</v>
      </c>
      <c r="L29" s="68">
        <f>Sheet4!L28</f>
        <v>1</v>
      </c>
      <c r="M29" s="68">
        <f>Sheet4!M28</f>
        <v>1</v>
      </c>
      <c r="N29" s="68">
        <f>Sheet4!N28</f>
        <v>1</v>
      </c>
      <c r="O29" s="68">
        <f>Sheet4!O28</f>
        <v>1</v>
      </c>
      <c r="P29" s="68">
        <f>Sheet4!P28</f>
        <v>1</v>
      </c>
      <c r="Q29" s="68">
        <f>Sheet4!Q28</f>
        <v>1</v>
      </c>
      <c r="R29" s="68">
        <f>Sheet4!R28</f>
        <v>1</v>
      </c>
      <c r="S29" s="68">
        <f>Sheet4!S28</f>
        <v>1</v>
      </c>
      <c r="T29" s="68">
        <f>Sheet4!T28</f>
        <v>1</v>
      </c>
      <c r="U29" s="68">
        <f>Sheet4!U28</f>
        <v>1</v>
      </c>
      <c r="V29" s="68">
        <f>Sheet4!V28</f>
        <v>1</v>
      </c>
      <c r="W29" s="68">
        <f>Sheet4!W28</f>
        <v>1</v>
      </c>
      <c r="X29" s="68">
        <f>Sheet4!X28</f>
        <v>1</v>
      </c>
      <c r="Y29" s="68">
        <f>Sheet4!Y28</f>
        <v>1</v>
      </c>
      <c r="Z29" s="68">
        <f>Sheet4!Z28</f>
        <v>1</v>
      </c>
      <c r="AA29" s="68">
        <f>Sheet4!AA28</f>
        <v>1</v>
      </c>
      <c r="AB29" s="68">
        <f>Sheet4!AB28</f>
        <v>1</v>
      </c>
      <c r="AC29" s="68">
        <f>Sheet4!AC28</f>
        <v>1</v>
      </c>
      <c r="AD29" s="68">
        <f>Sheet4!AD28</f>
        <v>1</v>
      </c>
      <c r="AE29" s="68">
        <f>Sheet4!AE28</f>
        <v>1</v>
      </c>
      <c r="AF29" s="68">
        <f>Sheet4!AF28</f>
        <v>1</v>
      </c>
      <c r="AG29" s="68">
        <f>Sheet4!AG28</f>
        <v>1</v>
      </c>
      <c r="AH29" s="68">
        <f>Sheet4!AH28</f>
        <v>1</v>
      </c>
      <c r="AI29" s="68">
        <f>Sheet4!AI28</f>
        <v>1</v>
      </c>
      <c r="AJ29" s="68">
        <f>Sheet4!AJ28</f>
        <v>1</v>
      </c>
      <c r="AK29" s="68">
        <f>Sheet4!AK28</f>
        <v>1</v>
      </c>
      <c r="AL29" s="68">
        <f>Sheet4!AL28</f>
        <v>1</v>
      </c>
      <c r="AM29" s="68">
        <f>Sheet4!AM28</f>
        <v>1</v>
      </c>
      <c r="AN29" s="68">
        <f>Sheet4!AN28</f>
        <v>1</v>
      </c>
      <c r="AO29" s="68">
        <f>Sheet4!AO28</f>
        <v>1</v>
      </c>
      <c r="AP29" s="68">
        <f>Sheet4!AP28</f>
        <v>1</v>
      </c>
      <c r="AQ29" s="68">
        <f>Sheet4!AQ28</f>
        <v>1</v>
      </c>
      <c r="AR29" s="68">
        <f>Sheet4!AR28</f>
        <v>0</v>
      </c>
      <c r="AS29" s="68">
        <f>Sheet4!AS28</f>
        <v>2</v>
      </c>
      <c r="AT29" s="68">
        <f>Sheet4!AT28</f>
        <v>0</v>
      </c>
      <c r="AU29" s="68">
        <f>Sheet4!AU28</f>
        <v>2</v>
      </c>
      <c r="AV29" s="68">
        <f>Sheet4!AV28</f>
        <v>1</v>
      </c>
      <c r="AW29" s="68">
        <f>Sheet4!AW28</f>
        <v>0</v>
      </c>
      <c r="AX29" s="68">
        <f>Sheet4!AX28</f>
        <v>2</v>
      </c>
      <c r="AY29" s="68">
        <f>Sheet4!AY28</f>
        <v>1</v>
      </c>
      <c r="AZ29" s="68">
        <f>Sheet4!AZ28</f>
        <v>1</v>
      </c>
      <c r="BA29" s="68">
        <f>Sheet4!BA28</f>
        <v>1</v>
      </c>
      <c r="BB29" s="68">
        <f>Sheet4!BB28</f>
        <v>1</v>
      </c>
      <c r="BC29" s="68">
        <f>Sheet4!BC28</f>
        <v>1</v>
      </c>
      <c r="BD29" s="68">
        <f>Sheet4!BD28</f>
        <v>0</v>
      </c>
      <c r="BE29" s="68">
        <f>Sheet4!BE28</f>
        <v>2</v>
      </c>
      <c r="BF29" s="68">
        <f>Sheet4!BF28</f>
        <v>1</v>
      </c>
      <c r="BG29" s="68">
        <f>Sheet4!BG28</f>
        <v>0</v>
      </c>
      <c r="BH29" s="68">
        <f>Sheet4!BH28</f>
        <v>2</v>
      </c>
      <c r="BI29" s="68">
        <f>Sheet4!BI28</f>
        <v>1</v>
      </c>
      <c r="BJ29" s="68">
        <f>Sheet4!BJ28</f>
        <v>1</v>
      </c>
      <c r="BK29" s="68">
        <f>Sheet4!BK28</f>
        <v>1</v>
      </c>
      <c r="BL29" s="68">
        <f>Sheet4!BL28</f>
        <v>1</v>
      </c>
      <c r="BM29" s="68">
        <f>Sheet4!BM28</f>
        <v>0</v>
      </c>
      <c r="BN29" s="68">
        <f>Sheet4!BN28</f>
        <v>2</v>
      </c>
      <c r="BO29" s="68">
        <f>Sheet4!BO28</f>
        <v>0</v>
      </c>
      <c r="BP29" s="68">
        <f>Sheet4!BP28</f>
        <v>2</v>
      </c>
      <c r="BQ29" s="68">
        <f>Sheet4!BQ28</f>
        <v>1</v>
      </c>
      <c r="BR29" s="68">
        <f>Sheet4!BR28</f>
        <v>1</v>
      </c>
      <c r="BS29" s="68">
        <f>Sheet4!BS28</f>
        <v>1</v>
      </c>
      <c r="BT29" s="68">
        <f>Sheet4!BT28</f>
        <v>1</v>
      </c>
      <c r="BU29" s="68">
        <f>Sheet4!BU28</f>
        <v>1</v>
      </c>
      <c r="BV29" s="68">
        <f>Sheet4!BV28</f>
        <v>1</v>
      </c>
      <c r="BW29" s="68">
        <f>Sheet4!BW28</f>
        <v>1</v>
      </c>
      <c r="BX29" s="68">
        <f>Sheet4!BX28</f>
        <v>1</v>
      </c>
      <c r="BY29" s="68">
        <f>Sheet4!BY28</f>
        <v>1</v>
      </c>
      <c r="BZ29" s="68">
        <f>Sheet4!BZ28</f>
        <v>0</v>
      </c>
      <c r="CA29" s="68">
        <f>Sheet4!CA28</f>
        <v>2</v>
      </c>
      <c r="CB29" s="68">
        <f>Sheet4!CB28</f>
        <v>0</v>
      </c>
      <c r="CC29" s="68">
        <f>Sheet4!CC28</f>
        <v>2</v>
      </c>
      <c r="CD29" s="68">
        <f>Sheet4!CD28</f>
        <v>1</v>
      </c>
      <c r="CE29" s="68">
        <f>Sheet4!CE28</f>
        <v>1</v>
      </c>
      <c r="CF29" s="68">
        <f>Sheet4!CF28</f>
        <v>0</v>
      </c>
      <c r="CG29" s="68">
        <f>Sheet4!CG28</f>
        <v>2</v>
      </c>
      <c r="CH29" s="68">
        <f>Sheet4!CH28</f>
        <v>0</v>
      </c>
      <c r="CI29" s="68">
        <f>Sheet4!CI28</f>
        <v>2</v>
      </c>
      <c r="CJ29" s="68">
        <f>Sheet4!CJ28</f>
        <v>1</v>
      </c>
      <c r="CK29" s="68">
        <f>Sheet4!CK28</f>
        <v>1</v>
      </c>
      <c r="CL29" s="68">
        <f>Sheet4!CL28</f>
        <v>1</v>
      </c>
      <c r="CM29" s="68">
        <f>Sheet4!CM28</f>
        <v>1</v>
      </c>
      <c r="CN29" s="68">
        <f>Sheet4!CN28</f>
        <v>1</v>
      </c>
      <c r="CO29" s="68">
        <f>Sheet4!CO28</f>
        <v>1</v>
      </c>
      <c r="CP29" s="68">
        <f>Sheet4!CP28</f>
        <v>0</v>
      </c>
      <c r="CQ29" s="68">
        <f>Sheet4!CQ28</f>
        <v>2</v>
      </c>
      <c r="CR29" s="68">
        <f>Sheet4!CR28</f>
        <v>1</v>
      </c>
      <c r="CS29" s="68">
        <f>Sheet4!CS28</f>
        <v>1</v>
      </c>
      <c r="CT29" s="68">
        <f>Sheet4!CT28</f>
        <v>1</v>
      </c>
      <c r="CU29" s="68">
        <f>Sheet4!CU28</f>
        <v>1</v>
      </c>
      <c r="CV29" s="68">
        <f>Sheet4!CV28</f>
        <v>1</v>
      </c>
      <c r="CW29" s="68">
        <f>Sheet4!CW28</f>
        <v>1</v>
      </c>
      <c r="CX29" s="68">
        <f>Sheet4!CX28</f>
        <v>1</v>
      </c>
      <c r="CY29" s="68">
        <f>Sheet4!CY28</f>
        <v>1</v>
      </c>
      <c r="CZ29" s="68">
        <f>Sheet4!CZ28</f>
        <v>1</v>
      </c>
      <c r="DA29" s="68">
        <f>Sheet4!DA28</f>
        <v>1</v>
      </c>
      <c r="DB29" s="68">
        <f>Sheet4!DB28</f>
        <v>1</v>
      </c>
      <c r="DC29" s="68">
        <f>Sheet4!DC28</f>
        <v>1</v>
      </c>
      <c r="DD29" s="68">
        <f>Sheet4!DD28</f>
        <v>1</v>
      </c>
      <c r="DE29" s="68">
        <f>Sheet4!DE28</f>
        <v>1</v>
      </c>
      <c r="DF29" s="68">
        <f>Sheet4!DF28</f>
        <v>1</v>
      </c>
      <c r="DG29" s="68">
        <f>Sheet4!DG28</f>
        <v>1</v>
      </c>
      <c r="DH29" s="68">
        <f>Sheet4!DH28</f>
        <v>0</v>
      </c>
      <c r="DI29" s="68">
        <f>Sheet4!DI28</f>
        <v>0</v>
      </c>
      <c r="DJ29" s="68">
        <f>Sheet4!DJ28</f>
        <v>0</v>
      </c>
      <c r="DK29" s="68">
        <f>Sheet4!DK28</f>
        <v>0</v>
      </c>
      <c r="DL29" s="68">
        <f>Sheet4!DL28</f>
        <v>0</v>
      </c>
      <c r="DM29" s="68">
        <f>Sheet4!DM28</f>
        <v>0</v>
      </c>
      <c r="DN29" s="68">
        <f>Sheet4!DN28</f>
        <v>0</v>
      </c>
      <c r="DO29" s="68">
        <f>Sheet4!DO28</f>
        <v>0</v>
      </c>
      <c r="DP29" s="68">
        <f>Sheet4!DP28</f>
        <v>0</v>
      </c>
      <c r="DQ29" s="68">
        <f>Sheet4!DQ28</f>
        <v>0</v>
      </c>
    </row>
    <row r="30" spans="1:121" ht="15.75" customHeight="1" x14ac:dyDescent="0.3">
      <c r="A30" s="40">
        <f>Sheet4!A29</f>
        <v>26</v>
      </c>
      <c r="B30" s="40" t="str">
        <f>Sheet4!B29</f>
        <v>ፈትለወርቅ ታደሰ</v>
      </c>
      <c r="C30" s="26">
        <f>Sheet4!C29</f>
        <v>21000</v>
      </c>
      <c r="D30" s="68">
        <f>Sheet4!D29</f>
        <v>1</v>
      </c>
      <c r="E30" s="68">
        <f>Sheet4!E29</f>
        <v>1</v>
      </c>
      <c r="F30" s="68">
        <f>Sheet4!F29</f>
        <v>1</v>
      </c>
      <c r="G30" s="68">
        <f>Sheet4!G29</f>
        <v>1</v>
      </c>
      <c r="H30" s="68">
        <f>Sheet4!H29</f>
        <v>1</v>
      </c>
      <c r="I30" s="68">
        <f>Sheet4!I29</f>
        <v>1</v>
      </c>
      <c r="J30" s="68">
        <f>Sheet4!J29</f>
        <v>1</v>
      </c>
      <c r="K30" s="68">
        <f>Sheet4!K29</f>
        <v>1</v>
      </c>
      <c r="L30" s="68">
        <f>Sheet4!L29</f>
        <v>1</v>
      </c>
      <c r="M30" s="68">
        <f>Sheet4!M29</f>
        <v>1</v>
      </c>
      <c r="N30" s="68">
        <f>Sheet4!N29</f>
        <v>1</v>
      </c>
      <c r="O30" s="68">
        <f>Sheet4!O29</f>
        <v>1</v>
      </c>
      <c r="P30" s="68">
        <f>Sheet4!P29</f>
        <v>1</v>
      </c>
      <c r="Q30" s="68">
        <f>Sheet4!Q29</f>
        <v>1</v>
      </c>
      <c r="R30" s="68">
        <f>Sheet4!R29</f>
        <v>1</v>
      </c>
      <c r="S30" s="68">
        <f>Sheet4!S29</f>
        <v>1</v>
      </c>
      <c r="T30" s="68">
        <f>Sheet4!T29</f>
        <v>1</v>
      </c>
      <c r="U30" s="68">
        <f>Sheet4!U29</f>
        <v>1</v>
      </c>
      <c r="V30" s="68">
        <f>Sheet4!V29</f>
        <v>1</v>
      </c>
      <c r="W30" s="68">
        <f>Sheet4!W29</f>
        <v>1</v>
      </c>
      <c r="X30" s="68">
        <f>Sheet4!X29</f>
        <v>1</v>
      </c>
      <c r="Y30" s="68">
        <f>Sheet4!Y29</f>
        <v>1</v>
      </c>
      <c r="Z30" s="68">
        <f>Sheet4!Z29</f>
        <v>1</v>
      </c>
      <c r="AA30" s="68">
        <f>Sheet4!AA29</f>
        <v>1</v>
      </c>
      <c r="AB30" s="68">
        <f>Sheet4!AB29</f>
        <v>1</v>
      </c>
      <c r="AC30" s="68">
        <f>Sheet4!AC29</f>
        <v>1</v>
      </c>
      <c r="AD30" s="68">
        <f>Sheet4!AD29</f>
        <v>1</v>
      </c>
      <c r="AE30" s="68">
        <f>Sheet4!AE29</f>
        <v>1</v>
      </c>
      <c r="AF30" s="68">
        <f>Sheet4!AF29</f>
        <v>1</v>
      </c>
      <c r="AG30" s="68">
        <f>Sheet4!AG29</f>
        <v>1</v>
      </c>
      <c r="AH30" s="68">
        <f>Sheet4!AH29</f>
        <v>1</v>
      </c>
      <c r="AI30" s="68">
        <f>Sheet4!AI29</f>
        <v>1</v>
      </c>
      <c r="AJ30" s="68">
        <f>Sheet4!AJ29</f>
        <v>1</v>
      </c>
      <c r="AK30" s="68">
        <f>Sheet4!AK29</f>
        <v>1</v>
      </c>
      <c r="AL30" s="68">
        <f>Sheet4!AL29</f>
        <v>1</v>
      </c>
      <c r="AM30" s="68">
        <f>Sheet4!AM29</f>
        <v>1</v>
      </c>
      <c r="AN30" s="68">
        <f>Sheet4!AN29</f>
        <v>1</v>
      </c>
      <c r="AO30" s="68">
        <f>Sheet4!AO29</f>
        <v>1</v>
      </c>
      <c r="AP30" s="68">
        <f>Sheet4!AP29</f>
        <v>1</v>
      </c>
      <c r="AQ30" s="68">
        <f>Sheet4!AQ29</f>
        <v>1</v>
      </c>
      <c r="AR30" s="68">
        <f>Sheet4!AR29</f>
        <v>0</v>
      </c>
      <c r="AS30" s="68">
        <f>Sheet4!AS29</f>
        <v>2</v>
      </c>
      <c r="AT30" s="68">
        <f>Sheet4!AT29</f>
        <v>0</v>
      </c>
      <c r="AU30" s="68">
        <f>Sheet4!AU29</f>
        <v>2</v>
      </c>
      <c r="AV30" s="68">
        <f>Sheet4!AV29</f>
        <v>1</v>
      </c>
      <c r="AW30" s="68">
        <f>Sheet4!AW29</f>
        <v>0</v>
      </c>
      <c r="AX30" s="68">
        <f>Sheet4!AX29</f>
        <v>2</v>
      </c>
      <c r="AY30" s="68">
        <f>Sheet4!AY29</f>
        <v>1</v>
      </c>
      <c r="AZ30" s="68">
        <f>Sheet4!AZ29</f>
        <v>1</v>
      </c>
      <c r="BA30" s="68">
        <f>Sheet4!BA29</f>
        <v>1</v>
      </c>
      <c r="BB30" s="68">
        <f>Sheet4!BB29</f>
        <v>1</v>
      </c>
      <c r="BC30" s="68">
        <f>Sheet4!BC29</f>
        <v>1</v>
      </c>
      <c r="BD30" s="68">
        <f>Sheet4!BD29</f>
        <v>0</v>
      </c>
      <c r="BE30" s="68">
        <f>Sheet4!BE29</f>
        <v>2</v>
      </c>
      <c r="BF30" s="68">
        <f>Sheet4!BF29</f>
        <v>1</v>
      </c>
      <c r="BG30" s="68">
        <f>Sheet4!BG29</f>
        <v>0</v>
      </c>
      <c r="BH30" s="68">
        <f>Sheet4!BH29</f>
        <v>2</v>
      </c>
      <c r="BI30" s="68">
        <f>Sheet4!BI29</f>
        <v>1</v>
      </c>
      <c r="BJ30" s="68">
        <f>Sheet4!BJ29</f>
        <v>1</v>
      </c>
      <c r="BK30" s="68">
        <f>Sheet4!BK29</f>
        <v>1</v>
      </c>
      <c r="BL30" s="68">
        <f>Sheet4!BL29</f>
        <v>1</v>
      </c>
      <c r="BM30" s="68">
        <f>Sheet4!BM29</f>
        <v>0</v>
      </c>
      <c r="BN30" s="68">
        <f>Sheet4!BN29</f>
        <v>2</v>
      </c>
      <c r="BO30" s="68">
        <f>Sheet4!BO29</f>
        <v>0</v>
      </c>
      <c r="BP30" s="68">
        <f>Sheet4!BP29</f>
        <v>2</v>
      </c>
      <c r="BQ30" s="68">
        <f>Sheet4!BQ29</f>
        <v>1</v>
      </c>
      <c r="BR30" s="68">
        <f>Sheet4!BR29</f>
        <v>1</v>
      </c>
      <c r="BS30" s="68">
        <f>Sheet4!BS29</f>
        <v>1</v>
      </c>
      <c r="BT30" s="68">
        <f>Sheet4!BT29</f>
        <v>1</v>
      </c>
      <c r="BU30" s="68">
        <f>Sheet4!BU29</f>
        <v>1</v>
      </c>
      <c r="BV30" s="68">
        <f>Sheet4!BV29</f>
        <v>1</v>
      </c>
      <c r="BW30" s="68">
        <f>Sheet4!BW29</f>
        <v>1</v>
      </c>
      <c r="BX30" s="68">
        <f>Sheet4!BX29</f>
        <v>1</v>
      </c>
      <c r="BY30" s="68">
        <f>Sheet4!BY29</f>
        <v>1</v>
      </c>
      <c r="BZ30" s="68">
        <f>Sheet4!BZ29</f>
        <v>0</v>
      </c>
      <c r="CA30" s="68">
        <f>Sheet4!CA29</f>
        <v>2</v>
      </c>
      <c r="CB30" s="68">
        <f>Sheet4!CB29</f>
        <v>0</v>
      </c>
      <c r="CC30" s="68">
        <f>Sheet4!CC29</f>
        <v>2</v>
      </c>
      <c r="CD30" s="68">
        <f>Sheet4!CD29</f>
        <v>1</v>
      </c>
      <c r="CE30" s="68">
        <f>Sheet4!CE29</f>
        <v>1</v>
      </c>
      <c r="CF30" s="68">
        <f>Sheet4!CF29</f>
        <v>0</v>
      </c>
      <c r="CG30" s="68">
        <f>Sheet4!CG29</f>
        <v>2</v>
      </c>
      <c r="CH30" s="68">
        <f>Sheet4!CH29</f>
        <v>0</v>
      </c>
      <c r="CI30" s="68">
        <f>Sheet4!CI29</f>
        <v>2</v>
      </c>
      <c r="CJ30" s="68">
        <f>Sheet4!CJ29</f>
        <v>1</v>
      </c>
      <c r="CK30" s="68">
        <f>Sheet4!CK29</f>
        <v>1</v>
      </c>
      <c r="CL30" s="68">
        <f>Sheet4!CL29</f>
        <v>1</v>
      </c>
      <c r="CM30" s="68">
        <f>Sheet4!CM29</f>
        <v>1</v>
      </c>
      <c r="CN30" s="68">
        <f>Sheet4!CN29</f>
        <v>1</v>
      </c>
      <c r="CO30" s="68">
        <f>Sheet4!CO29</f>
        <v>1</v>
      </c>
      <c r="CP30" s="68">
        <f>Sheet4!CP29</f>
        <v>0</v>
      </c>
      <c r="CQ30" s="68">
        <f>Sheet4!CQ29</f>
        <v>2</v>
      </c>
      <c r="CR30" s="68">
        <f>Sheet4!CR29</f>
        <v>1</v>
      </c>
      <c r="CS30" s="68">
        <f>Sheet4!CS29</f>
        <v>1</v>
      </c>
      <c r="CT30" s="68">
        <f>Sheet4!CT29</f>
        <v>1</v>
      </c>
      <c r="CU30" s="68">
        <f>Sheet4!CU29</f>
        <v>1</v>
      </c>
      <c r="CV30" s="68">
        <f>Sheet4!CV29</f>
        <v>1</v>
      </c>
      <c r="CW30" s="68">
        <f>Sheet4!CW29</f>
        <v>1</v>
      </c>
      <c r="CX30" s="68">
        <f>Sheet4!CX29</f>
        <v>1</v>
      </c>
      <c r="CY30" s="68">
        <f>Sheet4!CY29</f>
        <v>1</v>
      </c>
      <c r="CZ30" s="68">
        <f>Sheet4!CZ29</f>
        <v>1</v>
      </c>
      <c r="DA30" s="68">
        <f>Sheet4!DA29</f>
        <v>1</v>
      </c>
      <c r="DB30" s="68">
        <f>Sheet4!DB29</f>
        <v>1</v>
      </c>
      <c r="DC30" s="68">
        <f>Sheet4!DC29</f>
        <v>1</v>
      </c>
      <c r="DD30" s="68">
        <f>Sheet4!DD29</f>
        <v>1</v>
      </c>
      <c r="DE30" s="68">
        <f>Sheet4!DE29</f>
        <v>1</v>
      </c>
      <c r="DF30" s="68">
        <f>Sheet4!DF29</f>
        <v>1</v>
      </c>
      <c r="DG30" s="68">
        <f>Sheet4!DG29</f>
        <v>1</v>
      </c>
      <c r="DH30" s="68">
        <f>Sheet4!DH29</f>
        <v>0</v>
      </c>
      <c r="DI30" s="68">
        <f>Sheet4!DI29</f>
        <v>0</v>
      </c>
      <c r="DJ30" s="68">
        <f>Sheet4!DJ29</f>
        <v>0</v>
      </c>
      <c r="DK30" s="68">
        <f>Sheet4!DK29</f>
        <v>0</v>
      </c>
      <c r="DL30" s="68">
        <f>Sheet4!DL29</f>
        <v>0</v>
      </c>
      <c r="DM30" s="68">
        <f>Sheet4!DM29</f>
        <v>0</v>
      </c>
      <c r="DN30" s="68">
        <f>Sheet4!DN29</f>
        <v>0</v>
      </c>
      <c r="DO30" s="68">
        <f>Sheet4!DO29</f>
        <v>0</v>
      </c>
      <c r="DP30" s="68">
        <f>Sheet4!DP29</f>
        <v>0</v>
      </c>
      <c r="DQ30" s="68">
        <f>Sheet4!DQ29</f>
        <v>0</v>
      </c>
    </row>
    <row r="31" spans="1:121" ht="15.75" customHeight="1" x14ac:dyDescent="0.3">
      <c r="A31" s="40">
        <f>Sheet4!A30</f>
        <v>27</v>
      </c>
      <c r="B31" s="40" t="str">
        <f>Sheet4!B30</f>
        <v>አንተነህ ግዛዉ</v>
      </c>
      <c r="C31" s="26">
        <f>Sheet4!C30</f>
        <v>21000</v>
      </c>
      <c r="D31" s="68">
        <f>Sheet4!D30</f>
        <v>1</v>
      </c>
      <c r="E31" s="68">
        <f>Sheet4!E30</f>
        <v>1</v>
      </c>
      <c r="F31" s="68">
        <f>Sheet4!F30</f>
        <v>1</v>
      </c>
      <c r="G31" s="68">
        <f>Sheet4!G30</f>
        <v>1</v>
      </c>
      <c r="H31" s="68">
        <f>Sheet4!H30</f>
        <v>1</v>
      </c>
      <c r="I31" s="68">
        <f>Sheet4!I30</f>
        <v>1</v>
      </c>
      <c r="J31" s="68">
        <f>Sheet4!J30</f>
        <v>1</v>
      </c>
      <c r="K31" s="68">
        <f>Sheet4!K30</f>
        <v>1</v>
      </c>
      <c r="L31" s="68">
        <f>Sheet4!L30</f>
        <v>1</v>
      </c>
      <c r="M31" s="68">
        <f>Sheet4!M30</f>
        <v>1</v>
      </c>
      <c r="N31" s="68">
        <f>Sheet4!N30</f>
        <v>1</v>
      </c>
      <c r="O31" s="68">
        <f>Sheet4!O30</f>
        <v>1</v>
      </c>
      <c r="P31" s="68">
        <f>Sheet4!P30</f>
        <v>1</v>
      </c>
      <c r="Q31" s="68">
        <f>Sheet4!Q30</f>
        <v>1</v>
      </c>
      <c r="R31" s="68">
        <f>Sheet4!R30</f>
        <v>1</v>
      </c>
      <c r="S31" s="68">
        <f>Sheet4!S30</f>
        <v>1</v>
      </c>
      <c r="T31" s="68">
        <f>Sheet4!T30</f>
        <v>1</v>
      </c>
      <c r="U31" s="68">
        <f>Sheet4!U30</f>
        <v>1</v>
      </c>
      <c r="V31" s="68">
        <f>Sheet4!V30</f>
        <v>1</v>
      </c>
      <c r="W31" s="68">
        <f>Sheet4!W30</f>
        <v>1</v>
      </c>
      <c r="X31" s="68">
        <f>Sheet4!X30</f>
        <v>1</v>
      </c>
      <c r="Y31" s="68">
        <f>Sheet4!Y30</f>
        <v>0</v>
      </c>
      <c r="Z31" s="68">
        <f>Sheet4!Z30</f>
        <v>2</v>
      </c>
      <c r="AA31" s="68">
        <f>Sheet4!AA30</f>
        <v>1</v>
      </c>
      <c r="AB31" s="68">
        <f>Sheet4!AB30</f>
        <v>1</v>
      </c>
      <c r="AC31" s="68">
        <f>Sheet4!AC30</f>
        <v>1</v>
      </c>
      <c r="AD31" s="68">
        <f>Sheet4!AD30</f>
        <v>0</v>
      </c>
      <c r="AE31" s="68">
        <f>Sheet4!AE30</f>
        <v>1</v>
      </c>
      <c r="AF31" s="68">
        <f>Sheet4!AF30</f>
        <v>2</v>
      </c>
      <c r="AG31" s="68">
        <f>Sheet4!AG30</f>
        <v>1</v>
      </c>
      <c r="AH31" s="68">
        <f>Sheet4!AH30</f>
        <v>1</v>
      </c>
      <c r="AI31" s="68">
        <f>Sheet4!AI30</f>
        <v>0</v>
      </c>
      <c r="AJ31" s="68">
        <f>Sheet4!AJ30</f>
        <v>2</v>
      </c>
      <c r="AK31" s="68">
        <f>Sheet4!AK30</f>
        <v>1</v>
      </c>
      <c r="AL31" s="68">
        <f>Sheet4!AL30</f>
        <v>1</v>
      </c>
      <c r="AM31" s="68">
        <f>Sheet4!AM30</f>
        <v>1</v>
      </c>
      <c r="AN31" s="68">
        <f>Sheet4!AN30</f>
        <v>1</v>
      </c>
      <c r="AO31" s="68">
        <f>Sheet4!AO30</f>
        <v>1</v>
      </c>
      <c r="AP31" s="68">
        <f>Sheet4!AP30</f>
        <v>0</v>
      </c>
      <c r="AQ31" s="68">
        <f>Sheet4!AQ30</f>
        <v>2</v>
      </c>
      <c r="AR31" s="68">
        <f>Sheet4!AR30</f>
        <v>1</v>
      </c>
      <c r="AS31" s="68">
        <f>Sheet4!AS30</f>
        <v>0</v>
      </c>
      <c r="AT31" s="68">
        <f>Sheet4!AT30</f>
        <v>2</v>
      </c>
      <c r="AU31" s="68">
        <f>Sheet4!AU30</f>
        <v>1</v>
      </c>
      <c r="AV31" s="68">
        <f>Sheet4!AV30</f>
        <v>1</v>
      </c>
      <c r="AW31" s="68">
        <f>Sheet4!AW30</f>
        <v>1</v>
      </c>
      <c r="AX31" s="68">
        <f>Sheet4!AX30</f>
        <v>1</v>
      </c>
      <c r="AY31" s="68">
        <f>Sheet4!AY30</f>
        <v>0</v>
      </c>
      <c r="AZ31" s="68">
        <f>Sheet4!AZ30</f>
        <v>1</v>
      </c>
      <c r="BA31" s="68">
        <f>Sheet4!BA30</f>
        <v>1</v>
      </c>
      <c r="BB31" s="68">
        <f>Sheet4!BB30</f>
        <v>1</v>
      </c>
      <c r="BC31" s="68">
        <f>Sheet4!BC30</f>
        <v>1</v>
      </c>
      <c r="BD31" s="68">
        <f>Sheet4!BD30</f>
        <v>1</v>
      </c>
      <c r="BE31" s="68">
        <f>Sheet4!BE30</f>
        <v>1</v>
      </c>
      <c r="BF31" s="68">
        <f>Sheet4!BF30</f>
        <v>1</v>
      </c>
      <c r="BG31" s="68">
        <f>Sheet4!BG30</f>
        <v>1</v>
      </c>
      <c r="BH31" s="68">
        <f>Sheet4!BH30</f>
        <v>1</v>
      </c>
      <c r="BI31" s="68">
        <f>Sheet4!BI30</f>
        <v>1</v>
      </c>
      <c r="BJ31" s="68">
        <f>Sheet4!BJ30</f>
        <v>1</v>
      </c>
      <c r="BK31" s="68">
        <f>Sheet4!BK30</f>
        <v>1</v>
      </c>
      <c r="BL31" s="68">
        <f>Sheet4!BL30</f>
        <v>1</v>
      </c>
      <c r="BM31" s="68">
        <f>Sheet4!BM30</f>
        <v>1</v>
      </c>
      <c r="BN31" s="68">
        <f>Sheet4!BN30</f>
        <v>1</v>
      </c>
      <c r="BO31" s="68">
        <f>Sheet4!BO30</f>
        <v>0</v>
      </c>
      <c r="BP31" s="68">
        <f>Sheet4!BP30</f>
        <v>2</v>
      </c>
      <c r="BQ31" s="68">
        <f>Sheet4!BQ30</f>
        <v>1</v>
      </c>
      <c r="BR31" s="68">
        <f>Sheet4!BR30</f>
        <v>1</v>
      </c>
      <c r="BS31" s="68">
        <f>Sheet4!BS30</f>
        <v>0</v>
      </c>
      <c r="BT31" s="68">
        <f>Sheet4!BT30</f>
        <v>2</v>
      </c>
      <c r="BU31" s="68">
        <f>Sheet4!BU30</f>
        <v>0</v>
      </c>
      <c r="BV31" s="68">
        <f>Sheet4!BV30</f>
        <v>2</v>
      </c>
      <c r="BW31" s="68">
        <f>Sheet4!BW30</f>
        <v>1</v>
      </c>
      <c r="BX31" s="68">
        <f>Sheet4!BX30</f>
        <v>1</v>
      </c>
      <c r="BY31" s="68">
        <f>Sheet4!BY30</f>
        <v>1</v>
      </c>
      <c r="BZ31" s="68">
        <f>Sheet4!BZ30</f>
        <v>1</v>
      </c>
      <c r="CA31" s="68">
        <f>Sheet4!CA30</f>
        <v>1</v>
      </c>
      <c r="CB31" s="68">
        <f>Sheet4!CB30</f>
        <v>1</v>
      </c>
      <c r="CC31" s="68">
        <f>Sheet4!CC30</f>
        <v>1</v>
      </c>
      <c r="CD31" s="68">
        <f>Sheet4!CD30</f>
        <v>0</v>
      </c>
      <c r="CE31" s="68">
        <f>Sheet4!CE30</f>
        <v>1</v>
      </c>
      <c r="CF31" s="68">
        <f>Sheet4!CF30</f>
        <v>1</v>
      </c>
      <c r="CG31" s="68">
        <f>Sheet4!CG30</f>
        <v>1</v>
      </c>
      <c r="CH31" s="68">
        <f>Sheet4!CH30</f>
        <v>0</v>
      </c>
      <c r="CI31" s="68">
        <f>Sheet4!CI30</f>
        <v>2</v>
      </c>
      <c r="CJ31" s="68">
        <f>Sheet4!CJ30</f>
        <v>1</v>
      </c>
      <c r="CK31" s="68">
        <f>Sheet4!CK30</f>
        <v>1</v>
      </c>
      <c r="CL31" s="68">
        <f>Sheet4!CL30</f>
        <v>1</v>
      </c>
      <c r="CM31" s="68">
        <f>Sheet4!CM30</f>
        <v>1</v>
      </c>
      <c r="CN31" s="68">
        <f>Sheet4!CN30</f>
        <v>1</v>
      </c>
      <c r="CO31" s="68">
        <f>Sheet4!CO30</f>
        <v>1</v>
      </c>
      <c r="CP31" s="68">
        <f>Sheet4!CP30</f>
        <v>1</v>
      </c>
      <c r="CQ31" s="68">
        <f>Sheet4!CQ30</f>
        <v>1</v>
      </c>
      <c r="CR31" s="68">
        <f>Sheet4!CR30</f>
        <v>1</v>
      </c>
      <c r="CS31" s="68">
        <f>Sheet4!CS30</f>
        <v>1</v>
      </c>
      <c r="CT31" s="68">
        <f>Sheet4!CT30</f>
        <v>1</v>
      </c>
      <c r="CU31" s="68">
        <f>Sheet4!CU30</f>
        <v>1</v>
      </c>
      <c r="CV31" s="68">
        <f>Sheet4!CV30</f>
        <v>1</v>
      </c>
      <c r="CW31" s="68">
        <f>Sheet4!CW30</f>
        <v>0</v>
      </c>
      <c r="CX31" s="68">
        <f>Sheet4!CX30</f>
        <v>2</v>
      </c>
      <c r="CY31" s="68">
        <f>Sheet4!CY30</f>
        <v>0</v>
      </c>
      <c r="CZ31" s="68">
        <f>Sheet4!CZ30</f>
        <v>2</v>
      </c>
      <c r="DA31" s="68">
        <f>Sheet4!DA30</f>
        <v>1</v>
      </c>
      <c r="DB31" s="68">
        <f>Sheet4!DB30</f>
        <v>0</v>
      </c>
      <c r="DC31" s="68">
        <f>Sheet4!DC30</f>
        <v>0</v>
      </c>
      <c r="DD31" s="68">
        <f>Sheet4!DD30</f>
        <v>2</v>
      </c>
      <c r="DE31" s="68">
        <f>Sheet4!DE30</f>
        <v>1</v>
      </c>
      <c r="DF31" s="68">
        <f>Sheet4!DF30</f>
        <v>1</v>
      </c>
      <c r="DG31" s="68">
        <f>Sheet4!DG30</f>
        <v>1</v>
      </c>
      <c r="DH31" s="68">
        <f>Sheet4!DH30</f>
        <v>0</v>
      </c>
      <c r="DI31" s="68">
        <f>Sheet4!DI30</f>
        <v>0</v>
      </c>
      <c r="DJ31" s="68">
        <f>Sheet4!DJ30</f>
        <v>0</v>
      </c>
      <c r="DK31" s="68">
        <f>Sheet4!DK30</f>
        <v>0</v>
      </c>
      <c r="DL31" s="68">
        <f>Sheet4!DL30</f>
        <v>0</v>
      </c>
      <c r="DM31" s="68">
        <f>Sheet4!DM30</f>
        <v>0</v>
      </c>
      <c r="DN31" s="68">
        <f>Sheet4!DN30</f>
        <v>0</v>
      </c>
      <c r="DO31" s="68">
        <f>Sheet4!DO30</f>
        <v>0</v>
      </c>
      <c r="DP31" s="68">
        <f>Sheet4!DP30</f>
        <v>0</v>
      </c>
      <c r="DQ31" s="68">
        <f>Sheet4!DQ30</f>
        <v>0</v>
      </c>
    </row>
    <row r="32" spans="1:121" ht="15.75" customHeight="1" x14ac:dyDescent="0.3">
      <c r="A32" s="40">
        <f>Sheet4!A31</f>
        <v>28</v>
      </c>
      <c r="B32" s="40" t="str">
        <f>Sheet4!B31</f>
        <v>ግርማ አበበ</v>
      </c>
      <c r="C32" s="26">
        <f>Sheet4!C31</f>
        <v>21000</v>
      </c>
      <c r="D32" s="68">
        <f>Sheet4!D31</f>
        <v>0</v>
      </c>
      <c r="E32" s="68">
        <f>Sheet4!E31</f>
        <v>0</v>
      </c>
      <c r="F32" s="68">
        <f>Sheet4!F31</f>
        <v>0</v>
      </c>
      <c r="G32" s="68">
        <f>Sheet4!G31</f>
        <v>0</v>
      </c>
      <c r="H32" s="68">
        <f>Sheet4!H31</f>
        <v>0</v>
      </c>
      <c r="I32" s="68">
        <f>Sheet4!I31</f>
        <v>0</v>
      </c>
      <c r="J32" s="68">
        <f>Sheet4!J31</f>
        <v>0</v>
      </c>
      <c r="K32" s="68">
        <f>Sheet4!K31</f>
        <v>0</v>
      </c>
      <c r="L32" s="68">
        <f>Sheet4!L31</f>
        <v>0</v>
      </c>
      <c r="M32" s="68">
        <f>Sheet4!M31</f>
        <v>0</v>
      </c>
      <c r="N32" s="68">
        <f>Sheet4!N31</f>
        <v>0</v>
      </c>
      <c r="O32" s="68">
        <f>Sheet4!O31</f>
        <v>0</v>
      </c>
      <c r="P32" s="68">
        <f>Sheet4!P31</f>
        <v>0</v>
      </c>
      <c r="Q32" s="68">
        <f>Sheet4!Q31</f>
        <v>0</v>
      </c>
      <c r="R32" s="68">
        <f>Sheet4!R31</f>
        <v>0</v>
      </c>
      <c r="S32" s="68">
        <f>Sheet4!S31</f>
        <v>0</v>
      </c>
      <c r="T32" s="68">
        <f>Sheet4!T31</f>
        <v>0</v>
      </c>
      <c r="U32" s="68">
        <f>Sheet4!U31</f>
        <v>0</v>
      </c>
      <c r="V32" s="68">
        <f>Sheet4!V31</f>
        <v>0</v>
      </c>
      <c r="W32" s="68">
        <f>Sheet4!W31</f>
        <v>0</v>
      </c>
      <c r="X32" s="68">
        <f>Sheet4!X31</f>
        <v>0</v>
      </c>
      <c r="Y32" s="68">
        <f>Sheet4!Y31</f>
        <v>0</v>
      </c>
      <c r="Z32" s="68">
        <f>Sheet4!Z31</f>
        <v>0</v>
      </c>
      <c r="AA32" s="68">
        <f>Sheet4!AA31</f>
        <v>0</v>
      </c>
      <c r="AB32" s="68">
        <f>Sheet4!AB31</f>
        <v>0</v>
      </c>
      <c r="AC32" s="68">
        <f>Sheet4!AC31</f>
        <v>0</v>
      </c>
      <c r="AD32" s="68">
        <f>Sheet4!AD31</f>
        <v>0</v>
      </c>
      <c r="AE32" s="68">
        <f>Sheet4!AE31</f>
        <v>0</v>
      </c>
      <c r="AF32" s="68">
        <f>Sheet4!AF31</f>
        <v>0</v>
      </c>
      <c r="AG32" s="68">
        <f>Sheet4!AG31</f>
        <v>0</v>
      </c>
      <c r="AH32" s="68">
        <f>Sheet4!AH31</f>
        <v>0</v>
      </c>
      <c r="AI32" s="68">
        <f>Sheet4!AI31</f>
        <v>0</v>
      </c>
      <c r="AJ32" s="68">
        <f>Sheet4!AJ31</f>
        <v>0</v>
      </c>
      <c r="AK32" s="68">
        <f>Sheet4!AK31</f>
        <v>0</v>
      </c>
      <c r="AL32" s="68">
        <f>Sheet4!AL31</f>
        <v>0</v>
      </c>
      <c r="AM32" s="68">
        <f>Sheet4!AM31</f>
        <v>0</v>
      </c>
      <c r="AN32" s="68">
        <f>Sheet4!AN31</f>
        <v>0</v>
      </c>
      <c r="AO32" s="68">
        <f>Sheet4!AO31</f>
        <v>0</v>
      </c>
      <c r="AP32" s="68">
        <f>Sheet4!AP31</f>
        <v>0</v>
      </c>
      <c r="AQ32" s="68">
        <f>Sheet4!AQ31</f>
        <v>0</v>
      </c>
      <c r="AR32" s="68">
        <f>Sheet4!AR31</f>
        <v>0</v>
      </c>
      <c r="AS32" s="68">
        <f>Sheet4!AS31</f>
        <v>0</v>
      </c>
      <c r="AT32" s="68">
        <f>Sheet4!AT31</f>
        <v>0</v>
      </c>
      <c r="AU32" s="68">
        <f>Sheet4!AU31</f>
        <v>0</v>
      </c>
      <c r="AV32" s="68">
        <f>Sheet4!AV31</f>
        <v>0</v>
      </c>
      <c r="AW32" s="68">
        <f>Sheet4!AW31</f>
        <v>0</v>
      </c>
      <c r="AX32" s="68">
        <f>Sheet4!AX31</f>
        <v>0</v>
      </c>
      <c r="AY32" s="68">
        <f>Sheet4!AY31</f>
        <v>0</v>
      </c>
      <c r="AZ32" s="68">
        <f>Sheet4!AZ31</f>
        <v>0</v>
      </c>
      <c r="BA32" s="68">
        <f>Sheet4!BA31</f>
        <v>0</v>
      </c>
      <c r="BB32" s="68">
        <f>Sheet4!BB31</f>
        <v>0</v>
      </c>
      <c r="BC32" s="68">
        <f>Sheet4!BC31</f>
        <v>0</v>
      </c>
      <c r="BD32" s="68">
        <f>Sheet4!BD31</f>
        <v>0</v>
      </c>
      <c r="BE32" s="68">
        <f>Sheet4!BE31</f>
        <v>0</v>
      </c>
      <c r="BF32" s="68">
        <f>Sheet4!BF31</f>
        <v>0</v>
      </c>
      <c r="BG32" s="68">
        <f>Sheet4!BG31</f>
        <v>0</v>
      </c>
      <c r="BH32" s="68">
        <f>Sheet4!BH31</f>
        <v>0</v>
      </c>
      <c r="BI32" s="68">
        <f>Sheet4!BI31</f>
        <v>0</v>
      </c>
      <c r="BJ32" s="68">
        <f>Sheet4!BJ31</f>
        <v>0</v>
      </c>
      <c r="BK32" s="68">
        <f>Sheet4!BK31</f>
        <v>0</v>
      </c>
      <c r="BL32" s="68">
        <f>Sheet4!BL31</f>
        <v>0</v>
      </c>
      <c r="BM32" s="68">
        <f>Sheet4!BM31</f>
        <v>0</v>
      </c>
      <c r="BN32" s="68">
        <f>Sheet4!BN31</f>
        <v>0</v>
      </c>
      <c r="BO32" s="68">
        <f>Sheet4!BO31</f>
        <v>0</v>
      </c>
      <c r="BP32" s="68">
        <f>Sheet4!BP31</f>
        <v>0</v>
      </c>
      <c r="BQ32" s="68">
        <f>Sheet4!BQ31</f>
        <v>0</v>
      </c>
      <c r="BR32" s="68">
        <f>Sheet4!BR31</f>
        <v>0</v>
      </c>
      <c r="BS32" s="68">
        <f>Sheet4!BS31</f>
        <v>0</v>
      </c>
      <c r="BT32" s="68">
        <f>Sheet4!BT31</f>
        <v>0</v>
      </c>
      <c r="BU32" s="68">
        <f>Sheet4!BU31</f>
        <v>0</v>
      </c>
      <c r="BV32" s="68">
        <f>Sheet4!BV31</f>
        <v>0</v>
      </c>
      <c r="BW32" s="68">
        <f>Sheet4!BW31</f>
        <v>0</v>
      </c>
      <c r="BX32" s="68">
        <f>Sheet4!BX31</f>
        <v>0</v>
      </c>
      <c r="BY32" s="68">
        <f>Sheet4!BY31</f>
        <v>0</v>
      </c>
      <c r="BZ32" s="68">
        <f>Sheet4!BZ31</f>
        <v>0</v>
      </c>
      <c r="CA32" s="68">
        <f>Sheet4!CA31</f>
        <v>0</v>
      </c>
      <c r="CB32" s="68">
        <f>Sheet4!CB31</f>
        <v>0</v>
      </c>
      <c r="CC32" s="68">
        <f>Sheet4!CC31</f>
        <v>0</v>
      </c>
      <c r="CD32" s="68">
        <f>Sheet4!CD31</f>
        <v>0</v>
      </c>
      <c r="CE32" s="68">
        <f>Sheet4!CE31</f>
        <v>0</v>
      </c>
      <c r="CF32" s="68">
        <f>Sheet4!CF31</f>
        <v>0</v>
      </c>
      <c r="CG32" s="68">
        <f>Sheet4!CG31</f>
        <v>0</v>
      </c>
      <c r="CH32" s="68">
        <f>Sheet4!CH31</f>
        <v>0</v>
      </c>
      <c r="CI32" s="68">
        <f>Sheet4!CI31</f>
        <v>0</v>
      </c>
      <c r="CJ32" s="68">
        <f>Sheet4!CJ31</f>
        <v>0</v>
      </c>
      <c r="CK32" s="68">
        <f>Sheet4!CK31</f>
        <v>0</v>
      </c>
      <c r="CL32" s="68">
        <f>Sheet4!CL31</f>
        <v>0</v>
      </c>
      <c r="CM32" s="68">
        <f>Sheet4!CM31</f>
        <v>0</v>
      </c>
      <c r="CN32" s="68">
        <f>Sheet4!CN31</f>
        <v>0</v>
      </c>
      <c r="CO32" s="68">
        <f>Sheet4!CO31</f>
        <v>0</v>
      </c>
      <c r="CP32" s="68">
        <f>Sheet4!CP31</f>
        <v>0</v>
      </c>
      <c r="CQ32" s="68">
        <f>Sheet4!CQ31</f>
        <v>0</v>
      </c>
      <c r="CR32" s="68">
        <f>Sheet4!CR31</f>
        <v>0</v>
      </c>
      <c r="CS32" s="68">
        <f>Sheet4!CS31</f>
        <v>0</v>
      </c>
      <c r="CT32" s="68">
        <f>Sheet4!CT31</f>
        <v>0</v>
      </c>
      <c r="CU32" s="68">
        <f>Sheet4!CU31</f>
        <v>0</v>
      </c>
      <c r="CV32" s="68">
        <f>Sheet4!CV31</f>
        <v>0</v>
      </c>
      <c r="CW32" s="68">
        <f>Sheet4!CW31</f>
        <v>0</v>
      </c>
      <c r="CX32" s="68">
        <f>Sheet4!CX31</f>
        <v>0</v>
      </c>
      <c r="CY32" s="68">
        <f>Sheet4!CY31</f>
        <v>0</v>
      </c>
      <c r="CZ32" s="68">
        <f>Sheet4!CZ31</f>
        <v>0</v>
      </c>
      <c r="DA32" s="68">
        <f>Sheet4!DA31</f>
        <v>0</v>
      </c>
      <c r="DB32" s="68">
        <f>Sheet4!DB31</f>
        <v>0</v>
      </c>
      <c r="DC32" s="68">
        <f>Sheet4!DC31</f>
        <v>0</v>
      </c>
      <c r="DD32" s="68">
        <f>Sheet4!DD31</f>
        <v>0</v>
      </c>
      <c r="DE32" s="68">
        <f>Sheet4!DE31</f>
        <v>0</v>
      </c>
      <c r="DF32" s="68">
        <f>Sheet4!DF31</f>
        <v>0</v>
      </c>
      <c r="DG32" s="68">
        <f>Sheet4!DG31</f>
        <v>0</v>
      </c>
      <c r="DH32" s="68">
        <f>Sheet4!DH31</f>
        <v>0</v>
      </c>
      <c r="DI32" s="68">
        <f>Sheet4!DI31</f>
        <v>0</v>
      </c>
      <c r="DJ32" s="68">
        <f>Sheet4!DJ31</f>
        <v>0</v>
      </c>
      <c r="DK32" s="68">
        <f>Sheet4!DK31</f>
        <v>0</v>
      </c>
      <c r="DL32" s="68">
        <f>Sheet4!DL31</f>
        <v>0</v>
      </c>
      <c r="DM32" s="68">
        <f>Sheet4!DM31</f>
        <v>0</v>
      </c>
      <c r="DN32" s="68">
        <f>Sheet4!DN31</f>
        <v>0</v>
      </c>
      <c r="DO32" s="68">
        <f>Sheet4!DO31</f>
        <v>0</v>
      </c>
      <c r="DP32" s="68">
        <f>Sheet4!DP31</f>
        <v>0</v>
      </c>
      <c r="DQ32" s="68">
        <f>Sheet4!DQ31</f>
        <v>0</v>
      </c>
    </row>
    <row r="33" spans="1:121" ht="15.75" customHeight="1" x14ac:dyDescent="0.3">
      <c r="A33" s="40">
        <f>Sheet4!A32</f>
        <v>29</v>
      </c>
      <c r="B33" s="40" t="str">
        <f>Sheet4!B32</f>
        <v>መስፍን መንግስቱ</v>
      </c>
      <c r="C33" s="26">
        <f>Sheet4!C32</f>
        <v>21000</v>
      </c>
      <c r="D33" s="68">
        <f>Sheet4!D32</f>
        <v>1</v>
      </c>
      <c r="E33" s="68">
        <f>Sheet4!E32</f>
        <v>1</v>
      </c>
      <c r="F33" s="68">
        <f>Sheet4!F32</f>
        <v>1</v>
      </c>
      <c r="G33" s="68">
        <f>Sheet4!G32</f>
        <v>1</v>
      </c>
      <c r="H33" s="68">
        <f>Sheet4!H32</f>
        <v>1</v>
      </c>
      <c r="I33" s="68">
        <f>Sheet4!I32</f>
        <v>1</v>
      </c>
      <c r="J33" s="68">
        <f>Sheet4!J32</f>
        <v>1</v>
      </c>
      <c r="K33" s="68">
        <f>Sheet4!K32</f>
        <v>1</v>
      </c>
      <c r="L33" s="68">
        <f>Sheet4!L32</f>
        <v>1</v>
      </c>
      <c r="M33" s="68">
        <f>Sheet4!M32</f>
        <v>1</v>
      </c>
      <c r="N33" s="68">
        <f>Sheet4!N32</f>
        <v>1</v>
      </c>
      <c r="O33" s="68">
        <f>Sheet4!O32</f>
        <v>1</v>
      </c>
      <c r="P33" s="68">
        <f>Sheet4!P32</f>
        <v>1</v>
      </c>
      <c r="Q33" s="68">
        <f>Sheet4!Q32</f>
        <v>1</v>
      </c>
      <c r="R33" s="68">
        <f>Sheet4!R32</f>
        <v>1</v>
      </c>
      <c r="S33" s="68">
        <f>Sheet4!S32</f>
        <v>1</v>
      </c>
      <c r="T33" s="68">
        <f>Sheet4!T32</f>
        <v>1</v>
      </c>
      <c r="U33" s="68">
        <f>Sheet4!U32</f>
        <v>1</v>
      </c>
      <c r="V33" s="68">
        <f>Sheet4!V32</f>
        <v>1</v>
      </c>
      <c r="W33" s="68">
        <f>Sheet4!W32</f>
        <v>1</v>
      </c>
      <c r="X33" s="68">
        <f>Sheet4!X32</f>
        <v>1</v>
      </c>
      <c r="Y33" s="68">
        <f>Sheet4!Y32</f>
        <v>1</v>
      </c>
      <c r="Z33" s="68">
        <f>Sheet4!Z32</f>
        <v>1</v>
      </c>
      <c r="AA33" s="68">
        <f>Sheet4!AA32</f>
        <v>1</v>
      </c>
      <c r="AB33" s="68">
        <f>Sheet4!AB32</f>
        <v>1</v>
      </c>
      <c r="AC33" s="68">
        <f>Sheet4!AC32</f>
        <v>1</v>
      </c>
      <c r="AD33" s="68">
        <f>Sheet4!AD32</f>
        <v>0</v>
      </c>
      <c r="AE33" s="68">
        <f>Sheet4!AE32</f>
        <v>2</v>
      </c>
      <c r="AF33" s="68">
        <f>Sheet4!AF32</f>
        <v>1</v>
      </c>
      <c r="AG33" s="68">
        <f>Sheet4!AG32</f>
        <v>1</v>
      </c>
      <c r="AH33" s="68">
        <f>Sheet4!AH32</f>
        <v>1</v>
      </c>
      <c r="AI33" s="68">
        <f>Sheet4!AI32</f>
        <v>1</v>
      </c>
      <c r="AJ33" s="68">
        <f>Sheet4!AJ32</f>
        <v>1</v>
      </c>
      <c r="AK33" s="68">
        <f>Sheet4!AK32</f>
        <v>1</v>
      </c>
      <c r="AL33" s="68">
        <f>Sheet4!AL32</f>
        <v>1</v>
      </c>
      <c r="AM33" s="68">
        <f>Sheet4!AM32</f>
        <v>1</v>
      </c>
      <c r="AN33" s="68">
        <f>Sheet4!AN32</f>
        <v>1</v>
      </c>
      <c r="AO33" s="68">
        <f>Sheet4!AO32</f>
        <v>1</v>
      </c>
      <c r="AP33" s="68">
        <f>Sheet4!AP32</f>
        <v>1</v>
      </c>
      <c r="AQ33" s="68">
        <f>Sheet4!AQ32</f>
        <v>1</v>
      </c>
      <c r="AR33" s="68">
        <f>Sheet4!AR32</f>
        <v>1</v>
      </c>
      <c r="AS33" s="68">
        <f>Sheet4!AS32</f>
        <v>1</v>
      </c>
      <c r="AT33" s="68">
        <f>Sheet4!AT32</f>
        <v>1</v>
      </c>
      <c r="AU33" s="68">
        <f>Sheet4!AU32</f>
        <v>1</v>
      </c>
      <c r="AV33" s="68">
        <f>Sheet4!AV32</f>
        <v>1</v>
      </c>
      <c r="AW33" s="68">
        <f>Sheet4!AW32</f>
        <v>1</v>
      </c>
      <c r="AX33" s="68">
        <f>Sheet4!AX32</f>
        <v>1</v>
      </c>
      <c r="AY33" s="68">
        <f>Sheet4!AY32</f>
        <v>1</v>
      </c>
      <c r="AZ33" s="68">
        <f>Sheet4!AZ32</f>
        <v>1</v>
      </c>
      <c r="BA33" s="68">
        <f>Sheet4!BA32</f>
        <v>1</v>
      </c>
      <c r="BB33" s="68">
        <f>Sheet4!BB32</f>
        <v>0</v>
      </c>
      <c r="BC33" s="68">
        <f>Sheet4!BC32</f>
        <v>2</v>
      </c>
      <c r="BD33" s="68">
        <f>Sheet4!BD32</f>
        <v>1</v>
      </c>
      <c r="BE33" s="68">
        <f>Sheet4!BE32</f>
        <v>1</v>
      </c>
      <c r="BF33" s="68">
        <f>Sheet4!BF32</f>
        <v>1</v>
      </c>
      <c r="BG33" s="68">
        <f>Sheet4!BG32</f>
        <v>0</v>
      </c>
      <c r="BH33" s="68">
        <f>Sheet4!BH32</f>
        <v>1</v>
      </c>
      <c r="BI33" s="68">
        <f>Sheet4!BI32</f>
        <v>1</v>
      </c>
      <c r="BJ33" s="68">
        <f>Sheet4!BJ32</f>
        <v>2</v>
      </c>
      <c r="BK33" s="68">
        <f>Sheet4!BK32</f>
        <v>0</v>
      </c>
      <c r="BL33" s="68">
        <f>Sheet4!BL32</f>
        <v>2</v>
      </c>
      <c r="BM33" s="68">
        <f>Sheet4!BM32</f>
        <v>0</v>
      </c>
      <c r="BN33" s="68">
        <f>Sheet4!BN32</f>
        <v>1</v>
      </c>
      <c r="BO33" s="68">
        <f>Sheet4!BO32</f>
        <v>0</v>
      </c>
      <c r="BP33" s="68">
        <f>Sheet4!BP32</f>
        <v>2</v>
      </c>
      <c r="BQ33" s="68">
        <f>Sheet4!BQ32</f>
        <v>1</v>
      </c>
      <c r="BR33" s="68">
        <f>Sheet4!BR32</f>
        <v>0</v>
      </c>
      <c r="BS33" s="68">
        <f>Sheet4!BS32</f>
        <v>2</v>
      </c>
      <c r="BT33" s="68">
        <f>Sheet4!BT32</f>
        <v>1</v>
      </c>
      <c r="BU33" s="68">
        <f>Sheet4!BU32</f>
        <v>0</v>
      </c>
      <c r="BV33" s="68">
        <f>Sheet4!BV32</f>
        <v>0</v>
      </c>
      <c r="BW33" s="68">
        <f>Sheet4!BW32</f>
        <v>3</v>
      </c>
      <c r="BX33" s="68">
        <f>Sheet4!BX32</f>
        <v>0</v>
      </c>
      <c r="BY33" s="68">
        <f>Sheet4!BY32</f>
        <v>0</v>
      </c>
      <c r="BZ33" s="68">
        <f>Sheet4!BZ32</f>
        <v>2</v>
      </c>
      <c r="CA33" s="68">
        <f>Sheet4!CA32</f>
        <v>2</v>
      </c>
      <c r="CB33" s="68">
        <f>Sheet4!CB32</f>
        <v>1</v>
      </c>
      <c r="CC33" s="68">
        <f>Sheet4!CC32</f>
        <v>1</v>
      </c>
      <c r="CD33" s="68">
        <f>Sheet4!CD32</f>
        <v>0</v>
      </c>
      <c r="CE33" s="68">
        <f>Sheet4!CE32</f>
        <v>2</v>
      </c>
      <c r="CF33" s="68">
        <f>Sheet4!CF32</f>
        <v>0</v>
      </c>
      <c r="CG33" s="68">
        <f>Sheet4!CG32</f>
        <v>3</v>
      </c>
      <c r="CH33" s="68">
        <f>Sheet4!CH32</f>
        <v>0</v>
      </c>
      <c r="CI33" s="68">
        <f>Sheet4!CI32</f>
        <v>2</v>
      </c>
      <c r="CJ33" s="68">
        <f>Sheet4!CJ32</f>
        <v>1</v>
      </c>
      <c r="CK33" s="68">
        <f>Sheet4!CK32</f>
        <v>1</v>
      </c>
      <c r="CL33" s="68">
        <f>Sheet4!CL32</f>
        <v>0</v>
      </c>
      <c r="CM33" s="68">
        <f>Sheet4!CM32</f>
        <v>2</v>
      </c>
      <c r="CN33" s="68">
        <f>Sheet4!CN32</f>
        <v>1</v>
      </c>
      <c r="CO33" s="68">
        <f>Sheet4!CO32</f>
        <v>1</v>
      </c>
      <c r="CP33" s="68">
        <f>Sheet4!CP32</f>
        <v>1</v>
      </c>
      <c r="CQ33" s="68">
        <f>Sheet4!CQ32</f>
        <v>0</v>
      </c>
      <c r="CR33" s="68">
        <f>Sheet4!CR32</f>
        <v>2</v>
      </c>
      <c r="CS33" s="68">
        <f>Sheet4!CS32</f>
        <v>1</v>
      </c>
      <c r="CT33" s="68">
        <f>Sheet4!CT32</f>
        <v>0</v>
      </c>
      <c r="CU33" s="68">
        <f>Sheet4!CU32</f>
        <v>0</v>
      </c>
      <c r="CV33" s="68">
        <f>Sheet4!CV32</f>
        <v>0</v>
      </c>
      <c r="CW33" s="68">
        <f>Sheet4!CW32</f>
        <v>0</v>
      </c>
      <c r="CX33" s="68">
        <f>Sheet4!CX32</f>
        <v>0</v>
      </c>
      <c r="CY33" s="68">
        <f>Sheet4!CY32</f>
        <v>0</v>
      </c>
      <c r="CZ33" s="68">
        <f>Sheet4!CZ32</f>
        <v>3</v>
      </c>
      <c r="DA33" s="68">
        <f>Sheet4!DA32</f>
        <v>4</v>
      </c>
      <c r="DB33" s="68">
        <f>Sheet4!DB32</f>
        <v>0</v>
      </c>
      <c r="DC33" s="68">
        <f>Sheet4!DC32</f>
        <v>0</v>
      </c>
      <c r="DD33" s="68">
        <f>Sheet4!DD32</f>
        <v>0</v>
      </c>
      <c r="DE33" s="68">
        <f>Sheet4!DE32</f>
        <v>0</v>
      </c>
      <c r="DF33" s="68">
        <f>Sheet4!DF32</f>
        <v>3</v>
      </c>
      <c r="DG33" s="68">
        <f>Sheet4!DG32</f>
        <v>0</v>
      </c>
      <c r="DH33" s="68">
        <f>Sheet4!DH32</f>
        <v>0</v>
      </c>
      <c r="DI33" s="68">
        <f>Sheet4!DI32</f>
        <v>0</v>
      </c>
      <c r="DJ33" s="68">
        <f>Sheet4!DJ32</f>
        <v>0</v>
      </c>
      <c r="DK33" s="68">
        <f>Sheet4!DK32</f>
        <v>0</v>
      </c>
      <c r="DL33" s="68">
        <f>Sheet4!DL32</f>
        <v>0</v>
      </c>
      <c r="DM33" s="68">
        <f>Sheet4!DM32</f>
        <v>0</v>
      </c>
      <c r="DN33" s="68">
        <f>Sheet4!DN32</f>
        <v>0</v>
      </c>
      <c r="DO33" s="68">
        <f>Sheet4!DO32</f>
        <v>0</v>
      </c>
      <c r="DP33" s="68">
        <f>Sheet4!DP32</f>
        <v>0</v>
      </c>
      <c r="DQ33" s="68">
        <f>Sheet4!DQ32</f>
        <v>0</v>
      </c>
    </row>
    <row r="34" spans="1:121" ht="15.75" customHeight="1" x14ac:dyDescent="0.3">
      <c r="A34" s="40">
        <f>Sheet4!A33</f>
        <v>30</v>
      </c>
      <c r="B34" s="40" t="str">
        <f>Sheet4!B33</f>
        <v>እሱባለው ስለሺ</v>
      </c>
      <c r="C34" s="26">
        <f>Sheet4!C33</f>
        <v>21000</v>
      </c>
      <c r="D34" s="68">
        <f>Sheet4!D33</f>
        <v>1</v>
      </c>
      <c r="E34" s="68">
        <f>Sheet4!E33</f>
        <v>1</v>
      </c>
      <c r="F34" s="68">
        <f>Sheet4!F33</f>
        <v>1</v>
      </c>
      <c r="G34" s="68">
        <f>Sheet4!G33</f>
        <v>1</v>
      </c>
      <c r="H34" s="68">
        <f>Sheet4!H33</f>
        <v>1</v>
      </c>
      <c r="I34" s="68">
        <f>Sheet4!I33</f>
        <v>1</v>
      </c>
      <c r="J34" s="68">
        <f>Sheet4!J33</f>
        <v>1</v>
      </c>
      <c r="K34" s="68">
        <f>Sheet4!K33</f>
        <v>1</v>
      </c>
      <c r="L34" s="68">
        <f>Sheet4!L33</f>
        <v>1</v>
      </c>
      <c r="M34" s="68">
        <f>Sheet4!M33</f>
        <v>1</v>
      </c>
      <c r="N34" s="68">
        <f>Sheet4!N33</f>
        <v>1</v>
      </c>
      <c r="O34" s="68">
        <f>Sheet4!O33</f>
        <v>1</v>
      </c>
      <c r="P34" s="68">
        <f>Sheet4!P33</f>
        <v>1</v>
      </c>
      <c r="Q34" s="68">
        <f>Sheet4!Q33</f>
        <v>1</v>
      </c>
      <c r="R34" s="68">
        <f>Sheet4!R33</f>
        <v>1</v>
      </c>
      <c r="S34" s="68">
        <f>Sheet4!S33</f>
        <v>1</v>
      </c>
      <c r="T34" s="68">
        <f>Sheet4!T33</f>
        <v>1</v>
      </c>
      <c r="U34" s="68">
        <f>Sheet4!U33</f>
        <v>1</v>
      </c>
      <c r="V34" s="68">
        <f>Sheet4!V33</f>
        <v>1</v>
      </c>
      <c r="W34" s="68">
        <f>Sheet4!W33</f>
        <v>1</v>
      </c>
      <c r="X34" s="68">
        <f>Sheet4!X33</f>
        <v>1</v>
      </c>
      <c r="Y34" s="68">
        <f>Sheet4!Y33</f>
        <v>1</v>
      </c>
      <c r="Z34" s="68">
        <f>Sheet4!Z33</f>
        <v>1</v>
      </c>
      <c r="AA34" s="68">
        <f>Sheet4!AA33</f>
        <v>1</v>
      </c>
      <c r="AB34" s="68">
        <f>Sheet4!AB33</f>
        <v>1</v>
      </c>
      <c r="AC34" s="68">
        <f>Sheet4!AC33</f>
        <v>1</v>
      </c>
      <c r="AD34" s="68">
        <f>Sheet4!AD33</f>
        <v>1</v>
      </c>
      <c r="AE34" s="68">
        <f>Sheet4!AE33</f>
        <v>1</v>
      </c>
      <c r="AF34" s="68">
        <f>Sheet4!AF33</f>
        <v>1</v>
      </c>
      <c r="AG34" s="68">
        <f>Sheet4!AG33</f>
        <v>1</v>
      </c>
      <c r="AH34" s="68">
        <f>Sheet4!AH33</f>
        <v>1</v>
      </c>
      <c r="AI34" s="68">
        <f>Sheet4!AI33</f>
        <v>1</v>
      </c>
      <c r="AJ34" s="68">
        <f>Sheet4!AJ33</f>
        <v>1</v>
      </c>
      <c r="AK34" s="68">
        <f>Sheet4!AK33</f>
        <v>1</v>
      </c>
      <c r="AL34" s="68">
        <f>Sheet4!AL33</f>
        <v>1</v>
      </c>
      <c r="AM34" s="68">
        <f>Sheet4!AM33</f>
        <v>1</v>
      </c>
      <c r="AN34" s="68">
        <f>Sheet4!AN33</f>
        <v>1</v>
      </c>
      <c r="AO34" s="68">
        <f>Sheet4!AO33</f>
        <v>1</v>
      </c>
      <c r="AP34" s="68">
        <f>Sheet4!AP33</f>
        <v>1</v>
      </c>
      <c r="AQ34" s="68">
        <f>Sheet4!AQ33</f>
        <v>1</v>
      </c>
      <c r="AR34" s="68">
        <f>Sheet4!AR33</f>
        <v>1</v>
      </c>
      <c r="AS34" s="68">
        <f>Sheet4!AS33</f>
        <v>1</v>
      </c>
      <c r="AT34" s="68">
        <f>Sheet4!AT33</f>
        <v>1</v>
      </c>
      <c r="AU34" s="68">
        <f>Sheet4!AU33</f>
        <v>1</v>
      </c>
      <c r="AV34" s="68">
        <f>Sheet4!AV33</f>
        <v>1</v>
      </c>
      <c r="AW34" s="68">
        <f>Sheet4!AW33</f>
        <v>1</v>
      </c>
      <c r="AX34" s="68">
        <f>Sheet4!AX33</f>
        <v>1</v>
      </c>
      <c r="AY34" s="68">
        <f>Sheet4!AY33</f>
        <v>1</v>
      </c>
      <c r="AZ34" s="68">
        <f>Sheet4!AZ33</f>
        <v>1</v>
      </c>
      <c r="BA34" s="68">
        <f>Sheet4!BA33</f>
        <v>1</v>
      </c>
      <c r="BB34" s="68">
        <f>Sheet4!BB33</f>
        <v>1</v>
      </c>
      <c r="BC34" s="68">
        <f>Sheet4!BC33</f>
        <v>1</v>
      </c>
      <c r="BD34" s="68">
        <f>Sheet4!BD33</f>
        <v>1</v>
      </c>
      <c r="BE34" s="68">
        <f>Sheet4!BE33</f>
        <v>1</v>
      </c>
      <c r="BF34" s="68">
        <f>Sheet4!BF33</f>
        <v>1</v>
      </c>
      <c r="BG34" s="68">
        <f>Sheet4!BG33</f>
        <v>1</v>
      </c>
      <c r="BH34" s="68">
        <f>Sheet4!BH33</f>
        <v>1</v>
      </c>
      <c r="BI34" s="68">
        <f>Sheet4!BI33</f>
        <v>1</v>
      </c>
      <c r="BJ34" s="68">
        <f>Sheet4!BJ33</f>
        <v>1</v>
      </c>
      <c r="BK34" s="68">
        <f>Sheet4!BK33</f>
        <v>1</v>
      </c>
      <c r="BL34" s="68">
        <f>Sheet4!BL33</f>
        <v>1</v>
      </c>
      <c r="BM34" s="68">
        <f>Sheet4!BM33</f>
        <v>0</v>
      </c>
      <c r="BN34" s="68">
        <f>Sheet4!BN33</f>
        <v>1</v>
      </c>
      <c r="BO34" s="68">
        <f>Sheet4!BO33</f>
        <v>1</v>
      </c>
      <c r="BP34" s="68">
        <f>Sheet4!BP33</f>
        <v>0</v>
      </c>
      <c r="BQ34" s="68">
        <f>Sheet4!BQ33</f>
        <v>2</v>
      </c>
      <c r="BR34" s="68">
        <f>Sheet4!BR33</f>
        <v>1</v>
      </c>
      <c r="BS34" s="68">
        <f>Sheet4!BS33</f>
        <v>0</v>
      </c>
      <c r="BT34" s="68">
        <f>Sheet4!BT33</f>
        <v>1</v>
      </c>
      <c r="BU34" s="68">
        <f>Sheet4!BU33</f>
        <v>1</v>
      </c>
      <c r="BV34" s="68">
        <f>Sheet4!BV33</f>
        <v>1</v>
      </c>
      <c r="BW34" s="68">
        <f>Sheet4!BW33</f>
        <v>0</v>
      </c>
      <c r="BX34" s="68">
        <f>Sheet4!BX33</f>
        <v>2</v>
      </c>
      <c r="BY34" s="68">
        <f>Sheet4!BY33</f>
        <v>0</v>
      </c>
      <c r="BZ34" s="68">
        <f>Sheet4!BZ33</f>
        <v>0</v>
      </c>
      <c r="CA34" s="68">
        <f>Sheet4!CA33</f>
        <v>2</v>
      </c>
      <c r="CB34" s="68">
        <f>Sheet4!CB33</f>
        <v>0</v>
      </c>
      <c r="CC34" s="68">
        <f>Sheet4!CC33</f>
        <v>2</v>
      </c>
      <c r="CD34" s="68">
        <f>Sheet4!CD33</f>
        <v>0</v>
      </c>
      <c r="CE34" s="68">
        <f>Sheet4!CE33</f>
        <v>2</v>
      </c>
      <c r="CF34" s="68">
        <f>Sheet4!CF33</f>
        <v>0</v>
      </c>
      <c r="CG34" s="68">
        <f>Sheet4!CG33</f>
        <v>2</v>
      </c>
      <c r="CH34" s="68">
        <f>Sheet4!CH33</f>
        <v>0</v>
      </c>
      <c r="CI34" s="68">
        <f>Sheet4!CI33</f>
        <v>2</v>
      </c>
      <c r="CJ34" s="68">
        <f>Sheet4!CJ33</f>
        <v>0</v>
      </c>
      <c r="CK34" s="68">
        <f>Sheet4!CK33</f>
        <v>0</v>
      </c>
      <c r="CL34" s="68">
        <f>Sheet4!CL33</f>
        <v>2</v>
      </c>
      <c r="CM34" s="68">
        <f>Sheet4!CM33</f>
        <v>0</v>
      </c>
      <c r="CN34" s="68">
        <f>Sheet4!CN33</f>
        <v>0</v>
      </c>
      <c r="CO34" s="68">
        <f>Sheet4!CO33</f>
        <v>2</v>
      </c>
      <c r="CP34" s="68">
        <f>Sheet4!CP33</f>
        <v>0</v>
      </c>
      <c r="CQ34" s="68">
        <f>Sheet4!CQ33</f>
        <v>1</v>
      </c>
      <c r="CR34" s="68">
        <f>Sheet4!CR33</f>
        <v>0</v>
      </c>
      <c r="CS34" s="68">
        <f>Sheet4!CS33</f>
        <v>0</v>
      </c>
      <c r="CT34" s="68">
        <f>Sheet4!CT33</f>
        <v>0</v>
      </c>
      <c r="CU34" s="68">
        <f>Sheet4!CU33</f>
        <v>2</v>
      </c>
      <c r="CV34" s="68">
        <f>Sheet4!CV33</f>
        <v>2</v>
      </c>
      <c r="CW34" s="68">
        <f>Sheet4!CW33</f>
        <v>0</v>
      </c>
      <c r="CX34" s="68">
        <f>Sheet4!CX33</f>
        <v>1</v>
      </c>
      <c r="CY34" s="68">
        <f>Sheet4!CY33</f>
        <v>0</v>
      </c>
      <c r="CZ34" s="68">
        <f>Sheet4!CZ33</f>
        <v>1</v>
      </c>
      <c r="DA34" s="68">
        <f>Sheet4!DA33</f>
        <v>0</v>
      </c>
      <c r="DB34" s="68">
        <f>Sheet4!DB33</f>
        <v>0</v>
      </c>
      <c r="DC34" s="68">
        <f>Sheet4!DC33</f>
        <v>0</v>
      </c>
      <c r="DD34" s="68">
        <f>Sheet4!DD33</f>
        <v>0</v>
      </c>
      <c r="DE34" s="68">
        <f>Sheet4!DE33</f>
        <v>0</v>
      </c>
      <c r="DF34" s="68">
        <f>Sheet4!DF33</f>
        <v>0</v>
      </c>
      <c r="DG34" s="68">
        <f>Sheet4!DG33</f>
        <v>0</v>
      </c>
      <c r="DH34" s="68">
        <f>Sheet4!DH33</f>
        <v>0</v>
      </c>
      <c r="DI34" s="68">
        <f>Sheet4!DI33</f>
        <v>0</v>
      </c>
      <c r="DJ34" s="68">
        <f>Sheet4!DJ33</f>
        <v>0</v>
      </c>
      <c r="DK34" s="68">
        <f>Sheet4!DK33</f>
        <v>0</v>
      </c>
      <c r="DL34" s="68">
        <f>Sheet4!DL33</f>
        <v>0</v>
      </c>
      <c r="DM34" s="68">
        <f>Sheet4!DM33</f>
        <v>0</v>
      </c>
      <c r="DN34" s="68">
        <f>Sheet4!DN33</f>
        <v>0</v>
      </c>
      <c r="DO34" s="68">
        <f>Sheet4!DO33</f>
        <v>0</v>
      </c>
      <c r="DP34" s="68">
        <f>Sheet4!DP33</f>
        <v>0</v>
      </c>
      <c r="DQ34" s="68">
        <f>Sheet4!DQ33</f>
        <v>0</v>
      </c>
    </row>
    <row r="35" spans="1:121" ht="15.75" customHeight="1" x14ac:dyDescent="0.3">
      <c r="A35" s="40">
        <f>Sheet4!A34</f>
        <v>31</v>
      </c>
      <c r="B35" s="40" t="str">
        <f>Sheet4!B34</f>
        <v>ከፈለኝ ፃዲቁ</v>
      </c>
      <c r="C35" s="26">
        <f>Sheet4!C34</f>
        <v>21000</v>
      </c>
      <c r="D35" s="68">
        <f>Sheet4!D34</f>
        <v>0</v>
      </c>
      <c r="E35" s="68">
        <f>Sheet4!E34</f>
        <v>0</v>
      </c>
      <c r="F35" s="68">
        <f>Sheet4!F34</f>
        <v>0</v>
      </c>
      <c r="G35" s="68">
        <f>Sheet4!G34</f>
        <v>0</v>
      </c>
      <c r="H35" s="68">
        <f>Sheet4!H34</f>
        <v>0</v>
      </c>
      <c r="I35" s="68">
        <f>Sheet4!I34</f>
        <v>0</v>
      </c>
      <c r="J35" s="68">
        <f>Sheet4!J34</f>
        <v>0</v>
      </c>
      <c r="K35" s="68">
        <f>Sheet4!K34</f>
        <v>0</v>
      </c>
      <c r="L35" s="68">
        <f>Sheet4!L34</f>
        <v>0</v>
      </c>
      <c r="M35" s="68">
        <f>Sheet4!M34</f>
        <v>0</v>
      </c>
      <c r="N35" s="68">
        <f>Sheet4!N34</f>
        <v>0</v>
      </c>
      <c r="O35" s="68">
        <f>Sheet4!O34</f>
        <v>0</v>
      </c>
      <c r="P35" s="68">
        <f>Sheet4!P34</f>
        <v>0</v>
      </c>
      <c r="Q35" s="68">
        <f>Sheet4!Q34</f>
        <v>0</v>
      </c>
      <c r="R35" s="68">
        <f>Sheet4!R34</f>
        <v>0</v>
      </c>
      <c r="S35" s="68">
        <f>Sheet4!S34</f>
        <v>0</v>
      </c>
      <c r="T35" s="68">
        <f>Sheet4!T34</f>
        <v>0</v>
      </c>
      <c r="U35" s="68">
        <f>Sheet4!U34</f>
        <v>0</v>
      </c>
      <c r="V35" s="68">
        <f>Sheet4!V34</f>
        <v>0</v>
      </c>
      <c r="W35" s="68">
        <f>Sheet4!W34</f>
        <v>0</v>
      </c>
      <c r="X35" s="68">
        <f>Sheet4!X34</f>
        <v>0</v>
      </c>
      <c r="Y35" s="68">
        <f>Sheet4!Y34</f>
        <v>0</v>
      </c>
      <c r="Z35" s="68">
        <f>Sheet4!Z34</f>
        <v>0</v>
      </c>
      <c r="AA35" s="68">
        <f>Sheet4!AA34</f>
        <v>0</v>
      </c>
      <c r="AB35" s="68">
        <f>Sheet4!AB34</f>
        <v>0</v>
      </c>
      <c r="AC35" s="68">
        <f>Sheet4!AC34</f>
        <v>0</v>
      </c>
      <c r="AD35" s="68">
        <f>Sheet4!AD34</f>
        <v>0</v>
      </c>
      <c r="AE35" s="68">
        <f>Sheet4!AE34</f>
        <v>0</v>
      </c>
      <c r="AF35" s="68">
        <f>Sheet4!AF34</f>
        <v>0</v>
      </c>
      <c r="AG35" s="68">
        <f>Sheet4!AG34</f>
        <v>0</v>
      </c>
      <c r="AH35" s="68">
        <f>Sheet4!AH34</f>
        <v>0</v>
      </c>
      <c r="AI35" s="68">
        <f>Sheet4!AI34</f>
        <v>0</v>
      </c>
      <c r="AJ35" s="68">
        <f>Sheet4!AJ34</f>
        <v>0</v>
      </c>
      <c r="AK35" s="68">
        <f>Sheet4!AK34</f>
        <v>0</v>
      </c>
      <c r="AL35" s="68">
        <f>Sheet4!AL34</f>
        <v>0</v>
      </c>
      <c r="AM35" s="68">
        <f>Sheet4!AM34</f>
        <v>0</v>
      </c>
      <c r="AN35" s="68">
        <f>Sheet4!AN34</f>
        <v>0</v>
      </c>
      <c r="AO35" s="68">
        <f>Sheet4!AO34</f>
        <v>0</v>
      </c>
      <c r="AP35" s="68">
        <f>Sheet4!AP34</f>
        <v>0</v>
      </c>
      <c r="AQ35" s="68">
        <f>Sheet4!AQ34</f>
        <v>0</v>
      </c>
      <c r="AR35" s="68">
        <f>Sheet4!AR34</f>
        <v>0</v>
      </c>
      <c r="AS35" s="68">
        <f>Sheet4!AS34</f>
        <v>0</v>
      </c>
      <c r="AT35" s="68">
        <f>Sheet4!AT34</f>
        <v>0</v>
      </c>
      <c r="AU35" s="68">
        <f>Sheet4!AU34</f>
        <v>0</v>
      </c>
      <c r="AV35" s="68">
        <f>Sheet4!AV34</f>
        <v>0</v>
      </c>
      <c r="AW35" s="68">
        <f>Sheet4!AW34</f>
        <v>0</v>
      </c>
      <c r="AX35" s="68">
        <f>Sheet4!AX34</f>
        <v>0</v>
      </c>
      <c r="AY35" s="68">
        <f>Sheet4!AY34</f>
        <v>0</v>
      </c>
      <c r="AZ35" s="68">
        <f>Sheet4!AZ34</f>
        <v>0</v>
      </c>
      <c r="BA35" s="68">
        <f>Sheet4!BA34</f>
        <v>0</v>
      </c>
      <c r="BB35" s="68">
        <f>Sheet4!BB34</f>
        <v>0</v>
      </c>
      <c r="BC35" s="68">
        <f>Sheet4!BC34</f>
        <v>0</v>
      </c>
      <c r="BD35" s="68">
        <f>Sheet4!BD34</f>
        <v>0</v>
      </c>
      <c r="BE35" s="68">
        <f>Sheet4!BE34</f>
        <v>0</v>
      </c>
      <c r="BF35" s="68">
        <f>Sheet4!BF34</f>
        <v>0</v>
      </c>
      <c r="BG35" s="68">
        <f>Sheet4!BG34</f>
        <v>0</v>
      </c>
      <c r="BH35" s="68">
        <f>Sheet4!BH34</f>
        <v>0</v>
      </c>
      <c r="BI35" s="68">
        <f>Sheet4!BI34</f>
        <v>0</v>
      </c>
      <c r="BJ35" s="68">
        <f>Sheet4!BJ34</f>
        <v>0</v>
      </c>
      <c r="BK35" s="68">
        <f>Sheet4!BK34</f>
        <v>0</v>
      </c>
      <c r="BL35" s="68">
        <f>Sheet4!BL34</f>
        <v>0</v>
      </c>
      <c r="BM35" s="68">
        <f>Sheet4!BM34</f>
        <v>0</v>
      </c>
      <c r="BN35" s="68">
        <f>Sheet4!BN34</f>
        <v>0</v>
      </c>
      <c r="BO35" s="68">
        <f>Sheet4!BO34</f>
        <v>0</v>
      </c>
      <c r="BP35" s="68">
        <f>Sheet4!BP34</f>
        <v>0</v>
      </c>
      <c r="BQ35" s="68">
        <f>Sheet4!BQ34</f>
        <v>0</v>
      </c>
      <c r="BR35" s="68">
        <f>Sheet4!BR34</f>
        <v>0</v>
      </c>
      <c r="BS35" s="68">
        <f>Sheet4!BS34</f>
        <v>0</v>
      </c>
      <c r="BT35" s="68">
        <f>Sheet4!BT34</f>
        <v>0</v>
      </c>
      <c r="BU35" s="68">
        <f>Sheet4!BU34</f>
        <v>0</v>
      </c>
      <c r="BV35" s="68">
        <f>Sheet4!BV34</f>
        <v>0</v>
      </c>
      <c r="BW35" s="68">
        <f>Sheet4!BW34</f>
        <v>0</v>
      </c>
      <c r="BX35" s="68">
        <f>Sheet4!BX34</f>
        <v>0</v>
      </c>
      <c r="BY35" s="68">
        <f>Sheet4!BY34</f>
        <v>0</v>
      </c>
      <c r="BZ35" s="68">
        <f>Sheet4!BZ34</f>
        <v>0</v>
      </c>
      <c r="CA35" s="68">
        <f>Sheet4!CA34</f>
        <v>0</v>
      </c>
      <c r="CB35" s="68">
        <f>Sheet4!CB34</f>
        <v>0</v>
      </c>
      <c r="CC35" s="68">
        <f>Sheet4!CC34</f>
        <v>0</v>
      </c>
      <c r="CD35" s="68">
        <f>Sheet4!CD34</f>
        <v>0</v>
      </c>
      <c r="CE35" s="68">
        <f>Sheet4!CE34</f>
        <v>0</v>
      </c>
      <c r="CF35" s="68">
        <f>Sheet4!CF34</f>
        <v>0</v>
      </c>
      <c r="CG35" s="68">
        <f>Sheet4!CG34</f>
        <v>0</v>
      </c>
      <c r="CH35" s="68">
        <f>Sheet4!CH34</f>
        <v>0</v>
      </c>
      <c r="CI35" s="68">
        <f>Sheet4!CI34</f>
        <v>0</v>
      </c>
      <c r="CJ35" s="68">
        <f>Sheet4!CJ34</f>
        <v>0</v>
      </c>
      <c r="CK35" s="68">
        <f>Sheet4!CK34</f>
        <v>0</v>
      </c>
      <c r="CL35" s="68">
        <f>Sheet4!CL34</f>
        <v>0</v>
      </c>
      <c r="CM35" s="68">
        <f>Sheet4!CM34</f>
        <v>0</v>
      </c>
      <c r="CN35" s="68">
        <f>Sheet4!CN34</f>
        <v>0</v>
      </c>
      <c r="CO35" s="68">
        <f>Sheet4!CO34</f>
        <v>0</v>
      </c>
      <c r="CP35" s="68">
        <f>Sheet4!CP34</f>
        <v>0</v>
      </c>
      <c r="CQ35" s="68">
        <f>Sheet4!CQ34</f>
        <v>0</v>
      </c>
      <c r="CR35" s="68">
        <f>Sheet4!CR34</f>
        <v>0</v>
      </c>
      <c r="CS35" s="68">
        <f>Sheet4!CS34</f>
        <v>0</v>
      </c>
      <c r="CT35" s="68">
        <f>Sheet4!CT34</f>
        <v>0</v>
      </c>
      <c r="CU35" s="68">
        <f>Sheet4!CU34</f>
        <v>0</v>
      </c>
      <c r="CV35" s="68">
        <f>Sheet4!CV34</f>
        <v>0</v>
      </c>
      <c r="CW35" s="68">
        <f>Sheet4!CW34</f>
        <v>0</v>
      </c>
      <c r="CX35" s="68">
        <f>Sheet4!CX34</f>
        <v>0</v>
      </c>
      <c r="CY35" s="68">
        <f>Sheet4!CY34</f>
        <v>0</v>
      </c>
      <c r="CZ35" s="68">
        <f>Sheet4!CZ34</f>
        <v>0</v>
      </c>
      <c r="DA35" s="68">
        <f>Sheet4!DA34</f>
        <v>0</v>
      </c>
      <c r="DB35" s="68">
        <f>Sheet4!DB34</f>
        <v>0</v>
      </c>
      <c r="DC35" s="68">
        <f>Sheet4!DC34</f>
        <v>0</v>
      </c>
      <c r="DD35" s="68">
        <f>Sheet4!DD34</f>
        <v>0</v>
      </c>
      <c r="DE35" s="68">
        <f>Sheet4!DE34</f>
        <v>0</v>
      </c>
      <c r="DF35" s="68">
        <f>Sheet4!DF34</f>
        <v>0</v>
      </c>
      <c r="DG35" s="68">
        <f>Sheet4!DG34</f>
        <v>0</v>
      </c>
      <c r="DH35" s="68">
        <f>Sheet4!DH34</f>
        <v>0</v>
      </c>
      <c r="DI35" s="68">
        <f>Sheet4!DI34</f>
        <v>0</v>
      </c>
      <c r="DJ35" s="68">
        <f>Sheet4!DJ34</f>
        <v>0</v>
      </c>
      <c r="DK35" s="68">
        <f>Sheet4!DK34</f>
        <v>0</v>
      </c>
      <c r="DL35" s="68">
        <f>Sheet4!DL34</f>
        <v>0</v>
      </c>
      <c r="DM35" s="68">
        <f>Sheet4!DM34</f>
        <v>0</v>
      </c>
      <c r="DN35" s="68">
        <f>Sheet4!DN34</f>
        <v>0</v>
      </c>
      <c r="DO35" s="68">
        <f>Sheet4!DO34</f>
        <v>0</v>
      </c>
      <c r="DP35" s="68">
        <f>Sheet4!DP34</f>
        <v>0</v>
      </c>
      <c r="DQ35" s="68">
        <f>Sheet4!DQ34</f>
        <v>0</v>
      </c>
    </row>
    <row r="36" spans="1:121" ht="15.75" customHeight="1" x14ac:dyDescent="0.3">
      <c r="A36" s="40">
        <f>Sheet4!A35</f>
        <v>32</v>
      </c>
      <c r="B36" s="40" t="str">
        <f>Sheet4!B35</f>
        <v>ዳንኤል ጎሌ</v>
      </c>
      <c r="C36" s="26">
        <f>Sheet4!C35</f>
        <v>21000</v>
      </c>
      <c r="D36" s="68">
        <f>Sheet4!D35</f>
        <v>1</v>
      </c>
      <c r="E36" s="68">
        <f>Sheet4!E35</f>
        <v>1</v>
      </c>
      <c r="F36" s="68">
        <f>Sheet4!F35</f>
        <v>1</v>
      </c>
      <c r="G36" s="68">
        <f>Sheet4!G35</f>
        <v>1</v>
      </c>
      <c r="H36" s="68">
        <f>Sheet4!H35</f>
        <v>1</v>
      </c>
      <c r="I36" s="68">
        <f>Sheet4!I35</f>
        <v>1</v>
      </c>
      <c r="J36" s="68">
        <f>Sheet4!J35</f>
        <v>1</v>
      </c>
      <c r="K36" s="68">
        <f>Sheet4!K35</f>
        <v>1</v>
      </c>
      <c r="L36" s="68">
        <f>Sheet4!L35</f>
        <v>1</v>
      </c>
      <c r="M36" s="68">
        <f>Sheet4!M35</f>
        <v>1</v>
      </c>
      <c r="N36" s="68">
        <f>Sheet4!N35</f>
        <v>1</v>
      </c>
      <c r="O36" s="68">
        <f>Sheet4!O35</f>
        <v>1</v>
      </c>
      <c r="P36" s="68">
        <f>Sheet4!P35</f>
        <v>1</v>
      </c>
      <c r="Q36" s="68">
        <f>Sheet4!Q35</f>
        <v>1</v>
      </c>
      <c r="R36" s="68">
        <f>Sheet4!R35</f>
        <v>1</v>
      </c>
      <c r="S36" s="68">
        <f>Sheet4!S35</f>
        <v>1</v>
      </c>
      <c r="T36" s="68">
        <f>Sheet4!T35</f>
        <v>1</v>
      </c>
      <c r="U36" s="68">
        <f>Sheet4!U35</f>
        <v>1</v>
      </c>
      <c r="V36" s="68">
        <f>Sheet4!V35</f>
        <v>1</v>
      </c>
      <c r="W36" s="68">
        <f>Sheet4!W35</f>
        <v>1</v>
      </c>
      <c r="X36" s="68">
        <f>Sheet4!X35</f>
        <v>1</v>
      </c>
      <c r="Y36" s="68">
        <f>Sheet4!Y35</f>
        <v>1</v>
      </c>
      <c r="Z36" s="68">
        <f>Sheet4!Z35</f>
        <v>1</v>
      </c>
      <c r="AA36" s="68">
        <f>Sheet4!AA35</f>
        <v>1</v>
      </c>
      <c r="AB36" s="68">
        <f>Sheet4!AB35</f>
        <v>1</v>
      </c>
      <c r="AC36" s="68">
        <f>Sheet4!AC35</f>
        <v>1</v>
      </c>
      <c r="AD36" s="68">
        <f>Sheet4!AD35</f>
        <v>1</v>
      </c>
      <c r="AE36" s="68">
        <f>Sheet4!AE35</f>
        <v>1</v>
      </c>
      <c r="AF36" s="68">
        <f>Sheet4!AF35</f>
        <v>1</v>
      </c>
      <c r="AG36" s="68">
        <f>Sheet4!AG35</f>
        <v>1</v>
      </c>
      <c r="AH36" s="68">
        <f>Sheet4!AH35</f>
        <v>1</v>
      </c>
      <c r="AI36" s="68">
        <f>Sheet4!AI35</f>
        <v>1</v>
      </c>
      <c r="AJ36" s="68">
        <f>Sheet4!AJ35</f>
        <v>1</v>
      </c>
      <c r="AK36" s="68">
        <f>Sheet4!AK35</f>
        <v>1</v>
      </c>
      <c r="AL36" s="68">
        <f>Sheet4!AL35</f>
        <v>1</v>
      </c>
      <c r="AM36" s="68">
        <f>Sheet4!AM35</f>
        <v>1</v>
      </c>
      <c r="AN36" s="68">
        <f>Sheet4!AN35</f>
        <v>1</v>
      </c>
      <c r="AO36" s="68">
        <f>Sheet4!AO35</f>
        <v>1</v>
      </c>
      <c r="AP36" s="68">
        <f>Sheet4!AP35</f>
        <v>1</v>
      </c>
      <c r="AQ36" s="68">
        <f>Sheet4!AQ35</f>
        <v>1</v>
      </c>
      <c r="AR36" s="68">
        <f>Sheet4!AR35</f>
        <v>1</v>
      </c>
      <c r="AS36" s="68">
        <f>Sheet4!AS35</f>
        <v>1</v>
      </c>
      <c r="AT36" s="68">
        <f>Sheet4!AT35</f>
        <v>1</v>
      </c>
      <c r="AU36" s="68">
        <f>Sheet4!AU35</f>
        <v>1</v>
      </c>
      <c r="AV36" s="68">
        <f>Sheet4!AV35</f>
        <v>1</v>
      </c>
      <c r="AW36" s="68">
        <f>Sheet4!AW35</f>
        <v>1</v>
      </c>
      <c r="AX36" s="68">
        <f>Sheet4!AX35</f>
        <v>1</v>
      </c>
      <c r="AY36" s="68">
        <f>Sheet4!AY35</f>
        <v>1</v>
      </c>
      <c r="AZ36" s="68">
        <f>Sheet4!AZ35</f>
        <v>1</v>
      </c>
      <c r="BA36" s="68">
        <f>Sheet4!BA35</f>
        <v>1</v>
      </c>
      <c r="BB36" s="68">
        <f>Sheet4!BB35</f>
        <v>1</v>
      </c>
      <c r="BC36" s="68">
        <f>Sheet4!BC35</f>
        <v>1</v>
      </c>
      <c r="BD36" s="68">
        <f>Sheet4!BD35</f>
        <v>1</v>
      </c>
      <c r="BE36" s="68">
        <f>Sheet4!BE35</f>
        <v>1</v>
      </c>
      <c r="BF36" s="68">
        <f>Sheet4!BF35</f>
        <v>1</v>
      </c>
      <c r="BG36" s="68">
        <f>Sheet4!BG35</f>
        <v>1</v>
      </c>
      <c r="BH36" s="68">
        <f>Sheet4!BH35</f>
        <v>1</v>
      </c>
      <c r="BI36" s="68">
        <f>Sheet4!BI35</f>
        <v>1</v>
      </c>
      <c r="BJ36" s="68">
        <f>Sheet4!BJ35</f>
        <v>1</v>
      </c>
      <c r="BK36" s="68">
        <f>Sheet4!BK35</f>
        <v>1</v>
      </c>
      <c r="BL36" s="68">
        <f>Sheet4!BL35</f>
        <v>1</v>
      </c>
      <c r="BM36" s="68">
        <f>Sheet4!BM35</f>
        <v>1</v>
      </c>
      <c r="BN36" s="68">
        <f>Sheet4!BN35</f>
        <v>1</v>
      </c>
      <c r="BO36" s="68">
        <f>Sheet4!BO35</f>
        <v>1</v>
      </c>
      <c r="BP36" s="68">
        <f>Sheet4!BP35</f>
        <v>1</v>
      </c>
      <c r="BQ36" s="68">
        <f>Sheet4!BQ35</f>
        <v>1</v>
      </c>
      <c r="BR36" s="68">
        <f>Sheet4!BR35</f>
        <v>1</v>
      </c>
      <c r="BS36" s="68">
        <f>Sheet4!BS35</f>
        <v>1</v>
      </c>
      <c r="BT36" s="68">
        <f>Sheet4!BT35</f>
        <v>1</v>
      </c>
      <c r="BU36" s="68">
        <f>Sheet4!BU35</f>
        <v>1</v>
      </c>
      <c r="BV36" s="68">
        <f>Sheet4!BV35</f>
        <v>1</v>
      </c>
      <c r="BW36" s="68">
        <f>Sheet4!BW35</f>
        <v>1</v>
      </c>
      <c r="BX36" s="68">
        <f>Sheet4!BX35</f>
        <v>1</v>
      </c>
      <c r="BY36" s="68">
        <f>Sheet4!BY35</f>
        <v>1</v>
      </c>
      <c r="BZ36" s="68">
        <f>Sheet4!BZ35</f>
        <v>1</v>
      </c>
      <c r="CA36" s="68">
        <f>Sheet4!CA35</f>
        <v>1</v>
      </c>
      <c r="CB36" s="68">
        <f>Sheet4!CB35</f>
        <v>1</v>
      </c>
      <c r="CC36" s="68">
        <f>Sheet4!CC35</f>
        <v>1</v>
      </c>
      <c r="CD36" s="68">
        <f>Sheet4!CD35</f>
        <v>1</v>
      </c>
      <c r="CE36" s="68">
        <f>Sheet4!CE35</f>
        <v>1</v>
      </c>
      <c r="CF36" s="68">
        <f>Sheet4!CF35</f>
        <v>1</v>
      </c>
      <c r="CG36" s="68">
        <f>Sheet4!CG35</f>
        <v>0</v>
      </c>
      <c r="CH36" s="68">
        <f>Sheet4!CH35</f>
        <v>2</v>
      </c>
      <c r="CI36" s="68">
        <f>Sheet4!CI35</f>
        <v>1</v>
      </c>
      <c r="CJ36" s="68">
        <f>Sheet4!CJ35</f>
        <v>1</v>
      </c>
      <c r="CK36" s="68">
        <f>Sheet4!CK35</f>
        <v>1</v>
      </c>
      <c r="CL36" s="68">
        <f>Sheet4!CL35</f>
        <v>1</v>
      </c>
      <c r="CM36" s="68">
        <f>Sheet4!CM35</f>
        <v>1</v>
      </c>
      <c r="CN36" s="68">
        <f>Sheet4!CN35</f>
        <v>1</v>
      </c>
      <c r="CO36" s="68">
        <f>Sheet4!CO35</f>
        <v>1</v>
      </c>
      <c r="CP36" s="68">
        <f>Sheet4!CP35</f>
        <v>1</v>
      </c>
      <c r="CQ36" s="68">
        <f>Sheet4!CQ35</f>
        <v>1</v>
      </c>
      <c r="CR36" s="68">
        <f>Sheet4!CR35</f>
        <v>1</v>
      </c>
      <c r="CS36" s="68">
        <f>Sheet4!CS35</f>
        <v>1</v>
      </c>
      <c r="CT36" s="68">
        <f>Sheet4!CT35</f>
        <v>1</v>
      </c>
      <c r="CU36" s="68">
        <f>Sheet4!CU35</f>
        <v>1</v>
      </c>
      <c r="CV36" s="68">
        <f>Sheet4!CV35</f>
        <v>1</v>
      </c>
      <c r="CW36" s="68">
        <f>Sheet4!CW35</f>
        <v>1</v>
      </c>
      <c r="CX36" s="68">
        <f>Sheet4!CX35</f>
        <v>1</v>
      </c>
      <c r="CY36" s="68">
        <f>Sheet4!CY35</f>
        <v>1</v>
      </c>
      <c r="CZ36" s="68">
        <f>Sheet4!CZ35</f>
        <v>1</v>
      </c>
      <c r="DA36" s="68">
        <f>Sheet4!DA35</f>
        <v>1</v>
      </c>
      <c r="DB36" s="68">
        <f>Sheet4!DB35</f>
        <v>1</v>
      </c>
      <c r="DC36" s="68">
        <f>Sheet4!DC35</f>
        <v>1</v>
      </c>
      <c r="DD36" s="68">
        <f>Sheet4!DD35</f>
        <v>1</v>
      </c>
      <c r="DE36" s="68">
        <f>Sheet4!DE35</f>
        <v>1</v>
      </c>
      <c r="DF36" s="68">
        <f>Sheet4!DF35</f>
        <v>1</v>
      </c>
      <c r="DG36" s="68">
        <f>Sheet4!DG35</f>
        <v>1</v>
      </c>
      <c r="DH36" s="68">
        <f>Sheet4!DH35</f>
        <v>0</v>
      </c>
      <c r="DI36" s="68">
        <f>Sheet4!DI35</f>
        <v>0</v>
      </c>
      <c r="DJ36" s="68">
        <f>Sheet4!DJ35</f>
        <v>0</v>
      </c>
      <c r="DK36" s="68">
        <f>Sheet4!DK35</f>
        <v>0</v>
      </c>
      <c r="DL36" s="68">
        <f>Sheet4!DL35</f>
        <v>0</v>
      </c>
      <c r="DM36" s="68">
        <f>Sheet4!DM35</f>
        <v>0</v>
      </c>
      <c r="DN36" s="68">
        <f>Sheet4!DN35</f>
        <v>0</v>
      </c>
      <c r="DO36" s="68">
        <f>Sheet4!DO35</f>
        <v>0</v>
      </c>
      <c r="DP36" s="68">
        <f>Sheet4!DP35</f>
        <v>0</v>
      </c>
      <c r="DQ36" s="68">
        <f>Sheet4!DQ35</f>
        <v>0</v>
      </c>
    </row>
    <row r="37" spans="1:121" ht="15.75" customHeight="1" x14ac:dyDescent="0.3">
      <c r="A37" s="40">
        <f>Sheet4!A36</f>
        <v>33</v>
      </c>
      <c r="B37" s="40" t="str">
        <f>Sheet4!B36</f>
        <v>አየነዉ ፀጋዩ</v>
      </c>
      <c r="C37" s="26">
        <f>Sheet4!C36</f>
        <v>21000</v>
      </c>
      <c r="D37" s="68">
        <f>Sheet4!D36</f>
        <v>1</v>
      </c>
      <c r="E37" s="68">
        <f>Sheet4!E36</f>
        <v>1</v>
      </c>
      <c r="F37" s="68">
        <f>Sheet4!F36</f>
        <v>1</v>
      </c>
      <c r="G37" s="68">
        <f>Sheet4!G36</f>
        <v>1</v>
      </c>
      <c r="H37" s="68">
        <f>Sheet4!H36</f>
        <v>1</v>
      </c>
      <c r="I37" s="68">
        <f>Sheet4!I36</f>
        <v>1</v>
      </c>
      <c r="J37" s="68">
        <f>Sheet4!J36</f>
        <v>1</v>
      </c>
      <c r="K37" s="68">
        <f>Sheet4!K36</f>
        <v>1</v>
      </c>
      <c r="L37" s="68">
        <f>Sheet4!L36</f>
        <v>1</v>
      </c>
      <c r="M37" s="68">
        <f>Sheet4!M36</f>
        <v>1</v>
      </c>
      <c r="N37" s="68">
        <f>Sheet4!N36</f>
        <v>1</v>
      </c>
      <c r="O37" s="68">
        <f>Sheet4!O36</f>
        <v>1</v>
      </c>
      <c r="P37" s="68">
        <f>Sheet4!P36</f>
        <v>1</v>
      </c>
      <c r="Q37" s="68">
        <f>Sheet4!Q36</f>
        <v>1</v>
      </c>
      <c r="R37" s="68">
        <f>Sheet4!R36</f>
        <v>1</v>
      </c>
      <c r="S37" s="68">
        <f>Sheet4!S36</f>
        <v>1</v>
      </c>
      <c r="T37" s="68">
        <f>Sheet4!T36</f>
        <v>1</v>
      </c>
      <c r="U37" s="68">
        <f>Sheet4!U36</f>
        <v>1</v>
      </c>
      <c r="V37" s="68">
        <f>Sheet4!V36</f>
        <v>1</v>
      </c>
      <c r="W37" s="68">
        <f>Sheet4!W36</f>
        <v>1</v>
      </c>
      <c r="X37" s="68">
        <f>Sheet4!X36</f>
        <v>1</v>
      </c>
      <c r="Y37" s="68">
        <f>Sheet4!Y36</f>
        <v>1</v>
      </c>
      <c r="Z37" s="68">
        <f>Sheet4!Z36</f>
        <v>1</v>
      </c>
      <c r="AA37" s="68">
        <f>Sheet4!AA36</f>
        <v>1</v>
      </c>
      <c r="AB37" s="68">
        <f>Sheet4!AB36</f>
        <v>1</v>
      </c>
      <c r="AC37" s="68">
        <f>Sheet4!AC36</f>
        <v>1</v>
      </c>
      <c r="AD37" s="68">
        <f>Sheet4!AD36</f>
        <v>1</v>
      </c>
      <c r="AE37" s="68">
        <f>Sheet4!AE36</f>
        <v>1</v>
      </c>
      <c r="AF37" s="68">
        <f>Sheet4!AF36</f>
        <v>1</v>
      </c>
      <c r="AG37" s="68">
        <f>Sheet4!AG36</f>
        <v>1</v>
      </c>
      <c r="AH37" s="68">
        <f>Sheet4!AH36</f>
        <v>1</v>
      </c>
      <c r="AI37" s="68">
        <f>Sheet4!AI36</f>
        <v>1</v>
      </c>
      <c r="AJ37" s="68">
        <f>Sheet4!AJ36</f>
        <v>1</v>
      </c>
      <c r="AK37" s="68">
        <f>Sheet4!AK36</f>
        <v>1</v>
      </c>
      <c r="AL37" s="68">
        <f>Sheet4!AL36</f>
        <v>1</v>
      </c>
      <c r="AM37" s="68">
        <f>Sheet4!AM36</f>
        <v>1</v>
      </c>
      <c r="AN37" s="68">
        <f>Sheet4!AN36</f>
        <v>1</v>
      </c>
      <c r="AO37" s="68">
        <f>Sheet4!AO36</f>
        <v>1</v>
      </c>
      <c r="AP37" s="68">
        <f>Sheet4!AP36</f>
        <v>1</v>
      </c>
      <c r="AQ37" s="68">
        <f>Sheet4!AQ36</f>
        <v>1</v>
      </c>
      <c r="AR37" s="68">
        <f>Sheet4!AR36</f>
        <v>1</v>
      </c>
      <c r="AS37" s="68">
        <f>Sheet4!AS36</f>
        <v>1</v>
      </c>
      <c r="AT37" s="68">
        <f>Sheet4!AT36</f>
        <v>1</v>
      </c>
      <c r="AU37" s="68">
        <f>Sheet4!AU36</f>
        <v>1</v>
      </c>
      <c r="AV37" s="68">
        <f>Sheet4!AV36</f>
        <v>1</v>
      </c>
      <c r="AW37" s="68">
        <f>Sheet4!AW36</f>
        <v>1</v>
      </c>
      <c r="AX37" s="68">
        <f>Sheet4!AX36</f>
        <v>1</v>
      </c>
      <c r="AY37" s="68">
        <f>Sheet4!AY36</f>
        <v>1</v>
      </c>
      <c r="AZ37" s="68">
        <f>Sheet4!AZ36</f>
        <v>1</v>
      </c>
      <c r="BA37" s="68">
        <f>Sheet4!BA36</f>
        <v>1</v>
      </c>
      <c r="BB37" s="68">
        <f>Sheet4!BB36</f>
        <v>1</v>
      </c>
      <c r="BC37" s="68">
        <f>Sheet4!BC36</f>
        <v>1</v>
      </c>
      <c r="BD37" s="68">
        <f>Sheet4!BD36</f>
        <v>1</v>
      </c>
      <c r="BE37" s="68">
        <f>Sheet4!BE36</f>
        <v>1</v>
      </c>
      <c r="BF37" s="68">
        <f>Sheet4!BF36</f>
        <v>0</v>
      </c>
      <c r="BG37" s="68">
        <f>Sheet4!BG36</f>
        <v>2</v>
      </c>
      <c r="BH37" s="68">
        <f>Sheet4!BH36</f>
        <v>0</v>
      </c>
      <c r="BI37" s="68">
        <f>Sheet4!BI36</f>
        <v>2</v>
      </c>
      <c r="BJ37" s="68">
        <f>Sheet4!BJ36</f>
        <v>1</v>
      </c>
      <c r="BK37" s="68">
        <f>Sheet4!BK36</f>
        <v>1</v>
      </c>
      <c r="BL37" s="68">
        <f>Sheet4!BL36</f>
        <v>1</v>
      </c>
      <c r="BM37" s="68">
        <f>Sheet4!BM36</f>
        <v>0</v>
      </c>
      <c r="BN37" s="68">
        <f>Sheet4!BN36</f>
        <v>2</v>
      </c>
      <c r="BO37" s="68">
        <f>Sheet4!BO36</f>
        <v>1</v>
      </c>
      <c r="BP37" s="68">
        <f>Sheet4!BP36</f>
        <v>1</v>
      </c>
      <c r="BQ37" s="68">
        <f>Sheet4!BQ36</f>
        <v>0</v>
      </c>
      <c r="BR37" s="68">
        <f>Sheet4!BR36</f>
        <v>2</v>
      </c>
      <c r="BS37" s="68">
        <f>Sheet4!BS36</f>
        <v>1</v>
      </c>
      <c r="BT37" s="68">
        <f>Sheet4!BT36</f>
        <v>0</v>
      </c>
      <c r="BU37" s="68">
        <f>Sheet4!BU36</f>
        <v>2</v>
      </c>
      <c r="BV37" s="68">
        <f>Sheet4!BV36</f>
        <v>0</v>
      </c>
      <c r="BW37" s="68">
        <f>Sheet4!BW36</f>
        <v>2</v>
      </c>
      <c r="BX37" s="68">
        <f>Sheet4!BX36</f>
        <v>1</v>
      </c>
      <c r="BY37" s="68">
        <f>Sheet4!BY36</f>
        <v>1</v>
      </c>
      <c r="BZ37" s="68">
        <f>Sheet4!BZ36</f>
        <v>0</v>
      </c>
      <c r="CA37" s="68">
        <f>Sheet4!CA36</f>
        <v>0</v>
      </c>
      <c r="CB37" s="68">
        <f>Sheet4!CB36</f>
        <v>3</v>
      </c>
      <c r="CC37" s="68">
        <f>Sheet4!CC36</f>
        <v>0</v>
      </c>
      <c r="CD37" s="68">
        <f>Sheet4!CD36</f>
        <v>0</v>
      </c>
      <c r="CE37" s="68">
        <f>Sheet4!CE36</f>
        <v>2</v>
      </c>
      <c r="CF37" s="68">
        <f>Sheet4!CF36</f>
        <v>1</v>
      </c>
      <c r="CG37" s="68">
        <f>Sheet4!CG36</f>
        <v>1</v>
      </c>
      <c r="CH37" s="68">
        <f>Sheet4!CH36</f>
        <v>0</v>
      </c>
      <c r="CI37" s="68">
        <f>Sheet4!CI36</f>
        <v>0</v>
      </c>
      <c r="CJ37" s="68">
        <f>Sheet4!CJ36</f>
        <v>3</v>
      </c>
      <c r="CK37" s="68">
        <f>Sheet4!CK36</f>
        <v>0</v>
      </c>
      <c r="CL37" s="68">
        <f>Sheet4!CL36</f>
        <v>0</v>
      </c>
      <c r="CM37" s="68">
        <f>Sheet4!CM36</f>
        <v>2</v>
      </c>
      <c r="CN37" s="68">
        <f>Sheet4!CN36</f>
        <v>0</v>
      </c>
      <c r="CO37" s="68">
        <f>Sheet4!CO36</f>
        <v>2</v>
      </c>
      <c r="CP37" s="68">
        <f>Sheet4!CP36</f>
        <v>0</v>
      </c>
      <c r="CQ37" s="68">
        <f>Sheet4!CQ36</f>
        <v>2</v>
      </c>
      <c r="CR37" s="68">
        <f>Sheet4!CR36</f>
        <v>0</v>
      </c>
      <c r="CS37" s="68">
        <f>Sheet4!CS36</f>
        <v>2</v>
      </c>
      <c r="CT37" s="68">
        <f>Sheet4!CT36</f>
        <v>0</v>
      </c>
      <c r="CU37" s="68">
        <f>Sheet4!CU36</f>
        <v>0</v>
      </c>
      <c r="CV37" s="68">
        <f>Sheet4!CV36</f>
        <v>3</v>
      </c>
      <c r="CW37" s="68">
        <f>Sheet4!CW36</f>
        <v>0</v>
      </c>
      <c r="CX37" s="68">
        <f>Sheet4!CX36</f>
        <v>0</v>
      </c>
      <c r="CY37" s="68">
        <f>Sheet4!CY36</f>
        <v>0</v>
      </c>
      <c r="CZ37" s="68">
        <f>Sheet4!CZ36</f>
        <v>4</v>
      </c>
      <c r="DA37" s="68">
        <f>Sheet4!DA36</f>
        <v>0</v>
      </c>
      <c r="DB37" s="68">
        <f>Sheet4!DB36</f>
        <v>0</v>
      </c>
      <c r="DC37" s="68">
        <f>Sheet4!DC36</f>
        <v>0</v>
      </c>
      <c r="DD37" s="68">
        <f>Sheet4!DD36</f>
        <v>0</v>
      </c>
      <c r="DE37" s="68">
        <f>Sheet4!DE36</f>
        <v>4</v>
      </c>
      <c r="DF37" s="68">
        <f>Sheet4!DF36</f>
        <v>2</v>
      </c>
      <c r="DG37" s="68">
        <f>Sheet4!DG36</f>
        <v>0</v>
      </c>
      <c r="DH37" s="68">
        <f>Sheet4!DH36</f>
        <v>0</v>
      </c>
      <c r="DI37" s="68">
        <f>Sheet4!DI36</f>
        <v>0</v>
      </c>
      <c r="DJ37" s="68">
        <f>Sheet4!DJ36</f>
        <v>0</v>
      </c>
      <c r="DK37" s="68">
        <f>Sheet4!DK36</f>
        <v>0</v>
      </c>
      <c r="DL37" s="68">
        <f>Sheet4!DL36</f>
        <v>0</v>
      </c>
      <c r="DM37" s="68">
        <f>Sheet4!DM36</f>
        <v>0</v>
      </c>
      <c r="DN37" s="68">
        <f>Sheet4!DN36</f>
        <v>0</v>
      </c>
      <c r="DO37" s="68">
        <f>Sheet4!DO36</f>
        <v>0</v>
      </c>
      <c r="DP37" s="68">
        <f>Sheet4!DP36</f>
        <v>0</v>
      </c>
      <c r="DQ37" s="68">
        <f>Sheet4!DQ36</f>
        <v>0</v>
      </c>
    </row>
    <row r="38" spans="1:121" ht="15.75" customHeight="1" x14ac:dyDescent="0.3">
      <c r="A38" s="40">
        <f>Sheet4!A37</f>
        <v>34</v>
      </c>
      <c r="B38" s="40" t="str">
        <f>Sheet4!B37</f>
        <v>ደሊል ፍሬው</v>
      </c>
      <c r="C38" s="26">
        <f>Sheet4!C37</f>
        <v>21000</v>
      </c>
      <c r="D38" s="68">
        <f>Sheet4!D37</f>
        <v>1</v>
      </c>
      <c r="E38" s="68">
        <f>Sheet4!E37</f>
        <v>1</v>
      </c>
      <c r="F38" s="68">
        <f>Sheet4!F37</f>
        <v>1</v>
      </c>
      <c r="G38" s="68">
        <f>Sheet4!G37</f>
        <v>1</v>
      </c>
      <c r="H38" s="68">
        <f>Sheet4!H37</f>
        <v>1</v>
      </c>
      <c r="I38" s="68">
        <f>Sheet4!I37</f>
        <v>1</v>
      </c>
      <c r="J38" s="68">
        <f>Sheet4!J37</f>
        <v>1</v>
      </c>
      <c r="K38" s="68">
        <f>Sheet4!K37</f>
        <v>1</v>
      </c>
      <c r="L38" s="68">
        <f>Sheet4!L37</f>
        <v>1</v>
      </c>
      <c r="M38" s="68">
        <f>Sheet4!M37</f>
        <v>1</v>
      </c>
      <c r="N38" s="68">
        <f>Sheet4!N37</f>
        <v>1</v>
      </c>
      <c r="O38" s="68">
        <f>Sheet4!O37</f>
        <v>1</v>
      </c>
      <c r="P38" s="68">
        <f>Sheet4!P37</f>
        <v>1</v>
      </c>
      <c r="Q38" s="68">
        <f>Sheet4!Q37</f>
        <v>1</v>
      </c>
      <c r="R38" s="68">
        <f>Sheet4!R37</f>
        <v>1</v>
      </c>
      <c r="S38" s="68">
        <f>Sheet4!S37</f>
        <v>1</v>
      </c>
      <c r="T38" s="68">
        <f>Sheet4!T37</f>
        <v>1</v>
      </c>
      <c r="U38" s="68">
        <f>Sheet4!U37</f>
        <v>1</v>
      </c>
      <c r="V38" s="68">
        <f>Sheet4!V37</f>
        <v>1</v>
      </c>
      <c r="W38" s="68">
        <f>Sheet4!W37</f>
        <v>1</v>
      </c>
      <c r="X38" s="68">
        <f>Sheet4!X37</f>
        <v>1</v>
      </c>
      <c r="Y38" s="68">
        <f>Sheet4!Y37</f>
        <v>1</v>
      </c>
      <c r="Z38" s="68">
        <f>Sheet4!Z37</f>
        <v>1</v>
      </c>
      <c r="AA38" s="68">
        <f>Sheet4!AA37</f>
        <v>0</v>
      </c>
      <c r="AB38" s="68">
        <f>Sheet4!AB37</f>
        <v>2</v>
      </c>
      <c r="AC38" s="68">
        <f>Sheet4!AC37</f>
        <v>1</v>
      </c>
      <c r="AD38" s="68">
        <f>Sheet4!AD37</f>
        <v>1</v>
      </c>
      <c r="AE38" s="68">
        <f>Sheet4!AE37</f>
        <v>1</v>
      </c>
      <c r="AF38" s="68">
        <f>Sheet4!AF37</f>
        <v>1</v>
      </c>
      <c r="AG38" s="68">
        <f>Sheet4!AG37</f>
        <v>1</v>
      </c>
      <c r="AH38" s="68">
        <f>Sheet4!AH37</f>
        <v>1</v>
      </c>
      <c r="AI38" s="68">
        <f>Sheet4!AI37</f>
        <v>1</v>
      </c>
      <c r="AJ38" s="68">
        <f>Sheet4!AJ37</f>
        <v>1</v>
      </c>
      <c r="AK38" s="68">
        <f>Sheet4!AK37</f>
        <v>1</v>
      </c>
      <c r="AL38" s="68">
        <f>Sheet4!AL37</f>
        <v>1</v>
      </c>
      <c r="AM38" s="68">
        <f>Sheet4!AM37</f>
        <v>1</v>
      </c>
      <c r="AN38" s="68">
        <f>Sheet4!AN37</f>
        <v>1</v>
      </c>
      <c r="AO38" s="68">
        <f>Sheet4!AO37</f>
        <v>1</v>
      </c>
      <c r="AP38" s="68">
        <f>Sheet4!AP37</f>
        <v>1</v>
      </c>
      <c r="AQ38" s="68">
        <f>Sheet4!AQ37</f>
        <v>1</v>
      </c>
      <c r="AR38" s="68">
        <f>Sheet4!AR37</f>
        <v>1</v>
      </c>
      <c r="AS38" s="68">
        <f>Sheet4!AS37</f>
        <v>1</v>
      </c>
      <c r="AT38" s="68">
        <f>Sheet4!AT37</f>
        <v>1</v>
      </c>
      <c r="AU38" s="68">
        <f>Sheet4!AU37</f>
        <v>1</v>
      </c>
      <c r="AV38" s="68">
        <f>Sheet4!AV37</f>
        <v>1</v>
      </c>
      <c r="AW38" s="68">
        <f>Sheet4!AW37</f>
        <v>1</v>
      </c>
      <c r="AX38" s="68">
        <f>Sheet4!AX37</f>
        <v>1</v>
      </c>
      <c r="AY38" s="68">
        <f>Sheet4!AY37</f>
        <v>1</v>
      </c>
      <c r="AZ38" s="68">
        <f>Sheet4!AZ37</f>
        <v>1</v>
      </c>
      <c r="BA38" s="68">
        <f>Sheet4!BA37</f>
        <v>1</v>
      </c>
      <c r="BB38" s="68">
        <f>Sheet4!BB37</f>
        <v>1</v>
      </c>
      <c r="BC38" s="68">
        <f>Sheet4!BC37</f>
        <v>1</v>
      </c>
      <c r="BD38" s="68">
        <f>Sheet4!BD37</f>
        <v>1</v>
      </c>
      <c r="BE38" s="68">
        <f>Sheet4!BE37</f>
        <v>1</v>
      </c>
      <c r="BF38" s="68">
        <f>Sheet4!BF37</f>
        <v>1</v>
      </c>
      <c r="BG38" s="68">
        <f>Sheet4!BG37</f>
        <v>1</v>
      </c>
      <c r="BH38" s="68">
        <f>Sheet4!BH37</f>
        <v>1</v>
      </c>
      <c r="BI38" s="68">
        <f>Sheet4!BI37</f>
        <v>1</v>
      </c>
      <c r="BJ38" s="68">
        <f>Sheet4!BJ37</f>
        <v>1</v>
      </c>
      <c r="BK38" s="68">
        <f>Sheet4!BK37</f>
        <v>1</v>
      </c>
      <c r="BL38" s="68">
        <f>Sheet4!BL37</f>
        <v>1</v>
      </c>
      <c r="BM38" s="68">
        <f>Sheet4!BM37</f>
        <v>1</v>
      </c>
      <c r="BN38" s="68">
        <f>Sheet4!BN37</f>
        <v>1</v>
      </c>
      <c r="BO38" s="68">
        <f>Sheet4!BO37</f>
        <v>1</v>
      </c>
      <c r="BP38" s="68">
        <f>Sheet4!BP37</f>
        <v>1</v>
      </c>
      <c r="BQ38" s="68">
        <f>Sheet4!BQ37</f>
        <v>1</v>
      </c>
      <c r="BR38" s="68">
        <f>Sheet4!BR37</f>
        <v>1</v>
      </c>
      <c r="BS38" s="68">
        <f>Sheet4!BS37</f>
        <v>1</v>
      </c>
      <c r="BT38" s="68">
        <f>Sheet4!BT37</f>
        <v>1</v>
      </c>
      <c r="BU38" s="68">
        <f>Sheet4!BU37</f>
        <v>1</v>
      </c>
      <c r="BV38" s="68">
        <f>Sheet4!BV37</f>
        <v>1</v>
      </c>
      <c r="BW38" s="68">
        <f>Sheet4!BW37</f>
        <v>1</v>
      </c>
      <c r="BX38" s="68">
        <f>Sheet4!BX37</f>
        <v>1</v>
      </c>
      <c r="BY38" s="68">
        <f>Sheet4!BY37</f>
        <v>1</v>
      </c>
      <c r="BZ38" s="68">
        <f>Sheet4!BZ37</f>
        <v>1</v>
      </c>
      <c r="CA38" s="68">
        <f>Sheet4!CA37</f>
        <v>1</v>
      </c>
      <c r="CB38" s="68">
        <f>Sheet4!CB37</f>
        <v>1</v>
      </c>
      <c r="CC38" s="68">
        <f>Sheet4!CC37</f>
        <v>1</v>
      </c>
      <c r="CD38" s="68">
        <f>Sheet4!CD37</f>
        <v>1</v>
      </c>
      <c r="CE38" s="68">
        <f>Sheet4!CE37</f>
        <v>1</v>
      </c>
      <c r="CF38" s="68">
        <f>Sheet4!CF37</f>
        <v>1</v>
      </c>
      <c r="CG38" s="68">
        <f>Sheet4!CG37</f>
        <v>1</v>
      </c>
      <c r="CH38" s="68">
        <f>Sheet4!CH37</f>
        <v>1</v>
      </c>
      <c r="CI38" s="68">
        <f>Sheet4!CI37</f>
        <v>1</v>
      </c>
      <c r="CJ38" s="68">
        <f>Sheet4!CJ37</f>
        <v>1</v>
      </c>
      <c r="CK38" s="68">
        <f>Sheet4!CK37</f>
        <v>1</v>
      </c>
      <c r="CL38" s="68">
        <f>Sheet4!CL37</f>
        <v>1</v>
      </c>
      <c r="CM38" s="68">
        <f>Sheet4!CM37</f>
        <v>1</v>
      </c>
      <c r="CN38" s="68">
        <f>Sheet4!CN37</f>
        <v>1</v>
      </c>
      <c r="CO38" s="68">
        <f>Sheet4!CO37</f>
        <v>1</v>
      </c>
      <c r="CP38" s="68">
        <f>Sheet4!CP37</f>
        <v>1</v>
      </c>
      <c r="CQ38" s="68">
        <f>Sheet4!CQ37</f>
        <v>1</v>
      </c>
      <c r="CR38" s="68">
        <f>Sheet4!CR37</f>
        <v>1</v>
      </c>
      <c r="CS38" s="68">
        <f>Sheet4!CS37</f>
        <v>0</v>
      </c>
      <c r="CT38" s="68">
        <f>Sheet4!CT37</f>
        <v>2</v>
      </c>
      <c r="CU38" s="68">
        <f>Sheet4!CU37</f>
        <v>1</v>
      </c>
      <c r="CV38" s="68">
        <f>Sheet4!CV37</f>
        <v>1</v>
      </c>
      <c r="CW38" s="68">
        <f>Sheet4!CW37</f>
        <v>1</v>
      </c>
      <c r="CX38" s="68">
        <f>Sheet4!CX37</f>
        <v>1</v>
      </c>
      <c r="CY38" s="68">
        <f>Sheet4!CY37</f>
        <v>1</v>
      </c>
      <c r="CZ38" s="68">
        <f>Sheet4!CZ37</f>
        <v>1</v>
      </c>
      <c r="DA38" s="68">
        <f>Sheet4!DA37</f>
        <v>1</v>
      </c>
      <c r="DB38" s="68">
        <f>Sheet4!DB37</f>
        <v>1</v>
      </c>
      <c r="DC38" s="68">
        <f>Sheet4!DC37</f>
        <v>1</v>
      </c>
      <c r="DD38" s="68">
        <f>Sheet4!DD37</f>
        <v>1</v>
      </c>
      <c r="DE38" s="68">
        <f>Sheet4!DE37</f>
        <v>1</v>
      </c>
      <c r="DF38" s="68">
        <f>Sheet4!DF37</f>
        <v>1</v>
      </c>
      <c r="DG38" s="68">
        <f>Sheet4!DG37</f>
        <v>1</v>
      </c>
      <c r="DH38" s="68">
        <f>Sheet4!DH37</f>
        <v>0</v>
      </c>
      <c r="DI38" s="68">
        <f>Sheet4!DI37</f>
        <v>0</v>
      </c>
      <c r="DJ38" s="68">
        <f>Sheet4!DJ37</f>
        <v>0</v>
      </c>
      <c r="DK38" s="68">
        <f>Sheet4!DK37</f>
        <v>0</v>
      </c>
      <c r="DL38" s="68">
        <f>Sheet4!DL37</f>
        <v>0</v>
      </c>
      <c r="DM38" s="68">
        <f>Sheet4!DM37</f>
        <v>0</v>
      </c>
      <c r="DN38" s="68">
        <f>Sheet4!DN37</f>
        <v>0</v>
      </c>
      <c r="DO38" s="68">
        <f>Sheet4!DO37</f>
        <v>0</v>
      </c>
      <c r="DP38" s="68">
        <f>Sheet4!DP37</f>
        <v>0</v>
      </c>
      <c r="DQ38" s="68">
        <f>Sheet4!DQ37</f>
        <v>0</v>
      </c>
    </row>
    <row r="39" spans="1:121" ht="15.75" customHeight="1" x14ac:dyDescent="0.3">
      <c r="A39" s="40">
        <f>Sheet4!A38</f>
        <v>35</v>
      </c>
      <c r="B39" s="40" t="str">
        <f>Sheet4!B38</f>
        <v>ኤርሚያስ ሲራ</v>
      </c>
      <c r="C39" s="26">
        <f>Sheet4!C38</f>
        <v>21000</v>
      </c>
      <c r="D39" s="68">
        <f>Sheet4!D38</f>
        <v>1</v>
      </c>
      <c r="E39" s="68">
        <f>Sheet4!E38</f>
        <v>1</v>
      </c>
      <c r="F39" s="68">
        <f>Sheet4!F38</f>
        <v>1</v>
      </c>
      <c r="G39" s="68">
        <f>Sheet4!G38</f>
        <v>1</v>
      </c>
      <c r="H39" s="68">
        <f>Sheet4!H38</f>
        <v>1</v>
      </c>
      <c r="I39" s="68">
        <f>Sheet4!I38</f>
        <v>1</v>
      </c>
      <c r="J39" s="68">
        <f>Sheet4!J38</f>
        <v>1</v>
      </c>
      <c r="K39" s="68">
        <f>Sheet4!K38</f>
        <v>1</v>
      </c>
      <c r="L39" s="68">
        <f>Sheet4!L38</f>
        <v>1</v>
      </c>
      <c r="M39" s="68">
        <f>Sheet4!M38</f>
        <v>1</v>
      </c>
      <c r="N39" s="68">
        <f>Sheet4!N38</f>
        <v>1</v>
      </c>
      <c r="O39" s="68">
        <f>Sheet4!O38</f>
        <v>1</v>
      </c>
      <c r="P39" s="68">
        <f>Sheet4!P38</f>
        <v>1</v>
      </c>
      <c r="Q39" s="68">
        <f>Sheet4!Q38</f>
        <v>1</v>
      </c>
      <c r="R39" s="68">
        <f>Sheet4!R38</f>
        <v>1</v>
      </c>
      <c r="S39" s="68">
        <f>Sheet4!S38</f>
        <v>1</v>
      </c>
      <c r="T39" s="68">
        <f>Sheet4!T38</f>
        <v>1</v>
      </c>
      <c r="U39" s="68">
        <f>Sheet4!U38</f>
        <v>1</v>
      </c>
      <c r="V39" s="68">
        <f>Sheet4!V38</f>
        <v>1</v>
      </c>
      <c r="W39" s="68">
        <f>Sheet4!W38</f>
        <v>1</v>
      </c>
      <c r="X39" s="68">
        <f>Sheet4!X38</f>
        <v>1</v>
      </c>
      <c r="Y39" s="68">
        <f>Sheet4!Y38</f>
        <v>1</v>
      </c>
      <c r="Z39" s="68">
        <f>Sheet4!Z38</f>
        <v>1</v>
      </c>
      <c r="AA39" s="68">
        <f>Sheet4!AA38</f>
        <v>1</v>
      </c>
      <c r="AB39" s="68">
        <f>Sheet4!AB38</f>
        <v>1</v>
      </c>
      <c r="AC39" s="68">
        <f>Sheet4!AC38</f>
        <v>1</v>
      </c>
      <c r="AD39" s="68">
        <f>Sheet4!AD38</f>
        <v>1</v>
      </c>
      <c r="AE39" s="68">
        <f>Sheet4!AE38</f>
        <v>1</v>
      </c>
      <c r="AF39" s="68">
        <f>Sheet4!AF38</f>
        <v>1</v>
      </c>
      <c r="AG39" s="68">
        <f>Sheet4!AG38</f>
        <v>1</v>
      </c>
      <c r="AH39" s="68">
        <f>Sheet4!AH38</f>
        <v>1</v>
      </c>
      <c r="AI39" s="68">
        <f>Sheet4!AI38</f>
        <v>1</v>
      </c>
      <c r="AJ39" s="68">
        <f>Sheet4!AJ38</f>
        <v>1</v>
      </c>
      <c r="AK39" s="68">
        <f>Sheet4!AK38</f>
        <v>1</v>
      </c>
      <c r="AL39" s="68">
        <f>Sheet4!AL38</f>
        <v>1</v>
      </c>
      <c r="AM39" s="68">
        <f>Sheet4!AM38</f>
        <v>1</v>
      </c>
      <c r="AN39" s="68">
        <f>Sheet4!AN38</f>
        <v>1</v>
      </c>
      <c r="AO39" s="68">
        <f>Sheet4!AO38</f>
        <v>1</v>
      </c>
      <c r="AP39" s="68">
        <f>Sheet4!AP38</f>
        <v>1</v>
      </c>
      <c r="AQ39" s="68">
        <f>Sheet4!AQ38</f>
        <v>0</v>
      </c>
      <c r="AR39" s="68">
        <f>Sheet4!AR38</f>
        <v>2</v>
      </c>
      <c r="AS39" s="68">
        <f>Sheet4!AS38</f>
        <v>1</v>
      </c>
      <c r="AT39" s="68">
        <f>Sheet4!AT38</f>
        <v>1</v>
      </c>
      <c r="AU39" s="68">
        <f>Sheet4!AU38</f>
        <v>1</v>
      </c>
      <c r="AV39" s="68">
        <f>Sheet4!AV38</f>
        <v>1</v>
      </c>
      <c r="AW39" s="68">
        <f>Sheet4!AW38</f>
        <v>1</v>
      </c>
      <c r="AX39" s="68">
        <f>Sheet4!AX38</f>
        <v>1</v>
      </c>
      <c r="AY39" s="68">
        <f>Sheet4!AY38</f>
        <v>1</v>
      </c>
      <c r="AZ39" s="68">
        <f>Sheet4!AZ38</f>
        <v>1</v>
      </c>
      <c r="BA39" s="68">
        <f>Sheet4!BA38</f>
        <v>1</v>
      </c>
      <c r="BB39" s="68">
        <f>Sheet4!BB38</f>
        <v>1</v>
      </c>
      <c r="BC39" s="68">
        <f>Sheet4!BC38</f>
        <v>1</v>
      </c>
      <c r="BD39" s="68">
        <f>Sheet4!BD38</f>
        <v>0</v>
      </c>
      <c r="BE39" s="68">
        <f>Sheet4!BE38</f>
        <v>1</v>
      </c>
      <c r="BF39" s="68">
        <f>Sheet4!BF38</f>
        <v>1</v>
      </c>
      <c r="BG39" s="68">
        <f>Sheet4!BG38</f>
        <v>2</v>
      </c>
      <c r="BH39" s="68">
        <f>Sheet4!BH38</f>
        <v>0</v>
      </c>
      <c r="BI39" s="68">
        <f>Sheet4!BI38</f>
        <v>1</v>
      </c>
      <c r="BJ39" s="68">
        <f>Sheet4!BJ38</f>
        <v>1</v>
      </c>
      <c r="BK39" s="68">
        <f>Sheet4!BK38</f>
        <v>1</v>
      </c>
      <c r="BL39" s="68">
        <f>Sheet4!BL38</f>
        <v>1</v>
      </c>
      <c r="BM39" s="68">
        <f>Sheet4!BM38</f>
        <v>1</v>
      </c>
      <c r="BN39" s="68">
        <f>Sheet4!BN38</f>
        <v>1</v>
      </c>
      <c r="BO39" s="68">
        <f>Sheet4!BO38</f>
        <v>1</v>
      </c>
      <c r="BP39" s="68">
        <f>Sheet4!BP38</f>
        <v>0</v>
      </c>
      <c r="BQ39" s="68">
        <f>Sheet4!BQ38</f>
        <v>2</v>
      </c>
      <c r="BR39" s="68">
        <f>Sheet4!BR38</f>
        <v>1</v>
      </c>
      <c r="BS39" s="68">
        <f>Sheet4!BS38</f>
        <v>0</v>
      </c>
      <c r="BT39" s="68">
        <f>Sheet4!BT38</f>
        <v>2</v>
      </c>
      <c r="BU39" s="68">
        <f>Sheet4!BU38</f>
        <v>1</v>
      </c>
      <c r="BV39" s="68">
        <f>Sheet4!BV38</f>
        <v>0</v>
      </c>
      <c r="BW39" s="68">
        <f>Sheet4!BW38</f>
        <v>1</v>
      </c>
      <c r="BX39" s="68">
        <f>Sheet4!BX38</f>
        <v>1</v>
      </c>
      <c r="BY39" s="68">
        <f>Sheet4!BY38</f>
        <v>1</v>
      </c>
      <c r="BZ39" s="68">
        <f>Sheet4!BZ38</f>
        <v>0</v>
      </c>
      <c r="CA39" s="68">
        <f>Sheet4!CA38</f>
        <v>2</v>
      </c>
      <c r="CB39" s="68">
        <f>Sheet4!CB38</f>
        <v>1</v>
      </c>
      <c r="CC39" s="68">
        <f>Sheet4!CC38</f>
        <v>0</v>
      </c>
      <c r="CD39" s="68">
        <f>Sheet4!CD38</f>
        <v>2</v>
      </c>
      <c r="CE39" s="68">
        <f>Sheet4!CE38</f>
        <v>0</v>
      </c>
      <c r="CF39" s="68">
        <f>Sheet4!CF38</f>
        <v>0</v>
      </c>
      <c r="CG39" s="68">
        <f>Sheet4!CG38</f>
        <v>2</v>
      </c>
      <c r="CH39" s="68">
        <f>Sheet4!CH38</f>
        <v>2</v>
      </c>
      <c r="CI39" s="68">
        <f>Sheet4!CI38</f>
        <v>1</v>
      </c>
      <c r="CJ39" s="68">
        <f>Sheet4!CJ38</f>
        <v>1</v>
      </c>
      <c r="CK39" s="68">
        <f>Sheet4!CK38</f>
        <v>1</v>
      </c>
      <c r="CL39" s="68">
        <f>Sheet4!CL38</f>
        <v>0</v>
      </c>
      <c r="CM39" s="68">
        <f>Sheet4!CM38</f>
        <v>0</v>
      </c>
      <c r="CN39" s="68">
        <f>Sheet4!CN38</f>
        <v>0</v>
      </c>
      <c r="CO39" s="68">
        <f>Sheet4!CO38</f>
        <v>2</v>
      </c>
      <c r="CP39" s="68">
        <f>Sheet4!CP38</f>
        <v>0</v>
      </c>
      <c r="CQ39" s="68">
        <f>Sheet4!CQ38</f>
        <v>1</v>
      </c>
      <c r="CR39" s="68">
        <f>Sheet4!CR38</f>
        <v>1</v>
      </c>
      <c r="CS39" s="68">
        <f>Sheet4!CS38</f>
        <v>2</v>
      </c>
      <c r="CT39" s="68">
        <f>Sheet4!CT38</f>
        <v>0</v>
      </c>
      <c r="CU39" s="68">
        <f>Sheet4!CU38</f>
        <v>2</v>
      </c>
      <c r="CV39" s="68">
        <f>Sheet4!CV38</f>
        <v>0</v>
      </c>
      <c r="CW39" s="68">
        <f>Sheet4!CW38</f>
        <v>2</v>
      </c>
      <c r="CX39" s="68">
        <f>Sheet4!CX38</f>
        <v>1</v>
      </c>
      <c r="CY39" s="68">
        <f>Sheet4!CY38</f>
        <v>0</v>
      </c>
      <c r="CZ39" s="68">
        <f>Sheet4!CZ38</f>
        <v>2</v>
      </c>
      <c r="DA39" s="68">
        <f>Sheet4!DA38</f>
        <v>0</v>
      </c>
      <c r="DB39" s="68">
        <f>Sheet4!DB38</f>
        <v>0</v>
      </c>
      <c r="DC39" s="68">
        <f>Sheet4!DC38</f>
        <v>2</v>
      </c>
      <c r="DD39" s="68">
        <f>Sheet4!DD38</f>
        <v>0</v>
      </c>
      <c r="DE39" s="68">
        <f>Sheet4!DE38</f>
        <v>0</v>
      </c>
      <c r="DF39" s="68">
        <f>Sheet4!DF38</f>
        <v>2</v>
      </c>
      <c r="DG39" s="68">
        <f>Sheet4!DG38</f>
        <v>0</v>
      </c>
      <c r="DH39" s="68">
        <f>Sheet4!DH38</f>
        <v>0</v>
      </c>
      <c r="DI39" s="68">
        <f>Sheet4!DI38</f>
        <v>0</v>
      </c>
      <c r="DJ39" s="68">
        <f>Sheet4!DJ38</f>
        <v>0</v>
      </c>
      <c r="DK39" s="68">
        <f>Sheet4!DK38</f>
        <v>0</v>
      </c>
      <c r="DL39" s="68">
        <f>Sheet4!DL38</f>
        <v>0</v>
      </c>
      <c r="DM39" s="68">
        <f>Sheet4!DM38</f>
        <v>0</v>
      </c>
      <c r="DN39" s="68">
        <f>Sheet4!DN38</f>
        <v>0</v>
      </c>
      <c r="DO39" s="68">
        <f>Sheet4!DO38</f>
        <v>0</v>
      </c>
      <c r="DP39" s="68">
        <f>Sheet4!DP38</f>
        <v>0</v>
      </c>
      <c r="DQ39" s="68">
        <f>Sheet4!DQ38</f>
        <v>0</v>
      </c>
    </row>
    <row r="40" spans="1:121" ht="15.75" customHeight="1" x14ac:dyDescent="0.3">
      <c r="A40" s="40">
        <f>Sheet4!A39</f>
        <v>36</v>
      </c>
      <c r="B40" s="40" t="str">
        <f>Sheet4!B39</f>
        <v>ቢልቢሎ ቢንቤ</v>
      </c>
      <c r="C40" s="26">
        <f>Sheet4!C39</f>
        <v>21000</v>
      </c>
      <c r="D40" s="68">
        <f>Sheet4!D39</f>
        <v>1</v>
      </c>
      <c r="E40" s="68">
        <f>Sheet4!E39</f>
        <v>1</v>
      </c>
      <c r="F40" s="68">
        <f>Sheet4!F39</f>
        <v>1</v>
      </c>
      <c r="G40" s="68">
        <f>Sheet4!G39</f>
        <v>1</v>
      </c>
      <c r="H40" s="68">
        <f>Sheet4!H39</f>
        <v>1</v>
      </c>
      <c r="I40" s="68">
        <f>Sheet4!I39</f>
        <v>1</v>
      </c>
      <c r="J40" s="68">
        <f>Sheet4!J39</f>
        <v>1</v>
      </c>
      <c r="K40" s="68">
        <f>Sheet4!K39</f>
        <v>1</v>
      </c>
      <c r="L40" s="68">
        <f>Sheet4!L39</f>
        <v>1</v>
      </c>
      <c r="M40" s="68">
        <f>Sheet4!M39</f>
        <v>1</v>
      </c>
      <c r="N40" s="68">
        <f>Sheet4!N39</f>
        <v>1</v>
      </c>
      <c r="O40" s="68">
        <f>Sheet4!O39</f>
        <v>1</v>
      </c>
      <c r="P40" s="68">
        <f>Sheet4!P39</f>
        <v>1</v>
      </c>
      <c r="Q40" s="68">
        <f>Sheet4!Q39</f>
        <v>1</v>
      </c>
      <c r="R40" s="68">
        <f>Sheet4!R39</f>
        <v>1</v>
      </c>
      <c r="S40" s="68">
        <f>Sheet4!S39</f>
        <v>1</v>
      </c>
      <c r="T40" s="68">
        <f>Sheet4!T39</f>
        <v>1</v>
      </c>
      <c r="U40" s="68">
        <f>Sheet4!U39</f>
        <v>1</v>
      </c>
      <c r="V40" s="68">
        <f>Sheet4!V39</f>
        <v>1</v>
      </c>
      <c r="W40" s="68">
        <f>Sheet4!W39</f>
        <v>1</v>
      </c>
      <c r="X40" s="68">
        <f>Sheet4!X39</f>
        <v>1</v>
      </c>
      <c r="Y40" s="68">
        <f>Sheet4!Y39</f>
        <v>1</v>
      </c>
      <c r="Z40" s="68">
        <f>Sheet4!Z39</f>
        <v>1</v>
      </c>
      <c r="AA40" s="68">
        <f>Sheet4!AA39</f>
        <v>1</v>
      </c>
      <c r="AB40" s="68">
        <f>Sheet4!AB39</f>
        <v>1</v>
      </c>
      <c r="AC40" s="68">
        <f>Sheet4!AC39</f>
        <v>1</v>
      </c>
      <c r="AD40" s="68">
        <f>Sheet4!AD39</f>
        <v>1</v>
      </c>
      <c r="AE40" s="68">
        <f>Sheet4!AE39</f>
        <v>1</v>
      </c>
      <c r="AF40" s="68">
        <f>Sheet4!AF39</f>
        <v>1</v>
      </c>
      <c r="AG40" s="68">
        <f>Sheet4!AG39</f>
        <v>0</v>
      </c>
      <c r="AH40" s="68">
        <f>Sheet4!AH39</f>
        <v>2</v>
      </c>
      <c r="AI40" s="68">
        <f>Sheet4!AI39</f>
        <v>1</v>
      </c>
      <c r="AJ40" s="68">
        <f>Sheet4!AJ39</f>
        <v>1</v>
      </c>
      <c r="AK40" s="68">
        <f>Sheet4!AK39</f>
        <v>0</v>
      </c>
      <c r="AL40" s="68">
        <f>Sheet4!AL39</f>
        <v>2</v>
      </c>
      <c r="AM40" s="68">
        <f>Sheet4!AM39</f>
        <v>1</v>
      </c>
      <c r="AN40" s="68">
        <f>Sheet4!AN39</f>
        <v>1</v>
      </c>
      <c r="AO40" s="68">
        <f>Sheet4!AO39</f>
        <v>1</v>
      </c>
      <c r="AP40" s="68">
        <f>Sheet4!AP39</f>
        <v>1</v>
      </c>
      <c r="AQ40" s="68">
        <f>Sheet4!AQ39</f>
        <v>1</v>
      </c>
      <c r="AR40" s="68">
        <f>Sheet4!AR39</f>
        <v>0</v>
      </c>
      <c r="AS40" s="68">
        <f>Sheet4!AS39</f>
        <v>2</v>
      </c>
      <c r="AT40" s="68">
        <f>Sheet4!AT39</f>
        <v>0</v>
      </c>
      <c r="AU40" s="68">
        <f>Sheet4!AU39</f>
        <v>2</v>
      </c>
      <c r="AV40" s="68">
        <f>Sheet4!AV39</f>
        <v>0</v>
      </c>
      <c r="AW40" s="68">
        <f>Sheet4!AW39</f>
        <v>2</v>
      </c>
      <c r="AX40" s="68">
        <f>Sheet4!AX39</f>
        <v>0</v>
      </c>
      <c r="AY40" s="68">
        <f>Sheet4!AY39</f>
        <v>2</v>
      </c>
      <c r="AZ40" s="68">
        <f>Sheet4!AZ39</f>
        <v>1</v>
      </c>
      <c r="BA40" s="68">
        <f>Sheet4!BA39</f>
        <v>0</v>
      </c>
      <c r="BB40" s="68">
        <f>Sheet4!BB39</f>
        <v>2</v>
      </c>
      <c r="BC40" s="68">
        <f>Sheet4!BC39</f>
        <v>1</v>
      </c>
      <c r="BD40" s="68">
        <f>Sheet4!BD39</f>
        <v>1</v>
      </c>
      <c r="BE40" s="68">
        <f>Sheet4!BE39</f>
        <v>0</v>
      </c>
      <c r="BF40" s="68">
        <f>Sheet4!BF39</f>
        <v>2</v>
      </c>
      <c r="BG40" s="68">
        <f>Sheet4!BG39</f>
        <v>0</v>
      </c>
      <c r="BH40" s="68">
        <f>Sheet4!BH39</f>
        <v>2</v>
      </c>
      <c r="BI40" s="68">
        <f>Sheet4!BI39</f>
        <v>0</v>
      </c>
      <c r="BJ40" s="68">
        <f>Sheet4!BJ39</f>
        <v>2</v>
      </c>
      <c r="BK40" s="68">
        <f>Sheet4!BK39</f>
        <v>0</v>
      </c>
      <c r="BL40" s="68">
        <f>Sheet4!BL39</f>
        <v>0</v>
      </c>
      <c r="BM40" s="68">
        <f>Sheet4!BM39</f>
        <v>0</v>
      </c>
      <c r="BN40" s="68">
        <f>Sheet4!BN39</f>
        <v>5</v>
      </c>
      <c r="BO40" s="68">
        <f>Sheet4!BO39</f>
        <v>0</v>
      </c>
      <c r="BP40" s="68">
        <f>Sheet4!BP39</f>
        <v>1</v>
      </c>
      <c r="BQ40" s="68">
        <f>Sheet4!BQ39</f>
        <v>0</v>
      </c>
      <c r="BR40" s="68">
        <f>Sheet4!BR39</f>
        <v>0</v>
      </c>
      <c r="BS40" s="68">
        <f>Sheet4!BS39</f>
        <v>2</v>
      </c>
      <c r="BT40" s="68">
        <f>Sheet4!BT39</f>
        <v>2</v>
      </c>
      <c r="BU40" s="68">
        <f>Sheet4!BU39</f>
        <v>1</v>
      </c>
      <c r="BV40" s="68">
        <f>Sheet4!BV39</f>
        <v>1</v>
      </c>
      <c r="BW40" s="68">
        <f>Sheet4!BW39</f>
        <v>0</v>
      </c>
      <c r="BX40" s="68">
        <f>Sheet4!BX39</f>
        <v>2</v>
      </c>
      <c r="BY40" s="68">
        <f>Sheet4!BY39</f>
        <v>0</v>
      </c>
      <c r="BZ40" s="68">
        <f>Sheet4!BZ39</f>
        <v>2</v>
      </c>
      <c r="CA40" s="68">
        <f>Sheet4!CA39</f>
        <v>1</v>
      </c>
      <c r="CB40" s="68">
        <f>Sheet4!CB39</f>
        <v>0</v>
      </c>
      <c r="CC40" s="68">
        <f>Sheet4!CC39</f>
        <v>2</v>
      </c>
      <c r="CD40" s="68">
        <f>Sheet4!CD39</f>
        <v>0</v>
      </c>
      <c r="CE40" s="68">
        <f>Sheet4!CE39</f>
        <v>2</v>
      </c>
      <c r="CF40" s="68">
        <f>Sheet4!CF39</f>
        <v>0</v>
      </c>
      <c r="CG40" s="68">
        <f>Sheet4!CG39</f>
        <v>2</v>
      </c>
      <c r="CH40" s="68">
        <f>Sheet4!CH39</f>
        <v>0</v>
      </c>
      <c r="CI40" s="68">
        <f>Sheet4!CI39</f>
        <v>2</v>
      </c>
      <c r="CJ40" s="68">
        <f>Sheet4!CJ39</f>
        <v>0</v>
      </c>
      <c r="CK40" s="68">
        <f>Sheet4!CK39</f>
        <v>2</v>
      </c>
      <c r="CL40" s="68">
        <f>Sheet4!CL39</f>
        <v>0</v>
      </c>
      <c r="CM40" s="68">
        <f>Sheet4!CM39</f>
        <v>2</v>
      </c>
      <c r="CN40" s="68">
        <f>Sheet4!CN39</f>
        <v>1</v>
      </c>
      <c r="CO40" s="68">
        <f>Sheet4!CO39</f>
        <v>1</v>
      </c>
      <c r="CP40" s="68">
        <f>Sheet4!CP39</f>
        <v>1</v>
      </c>
      <c r="CQ40" s="68">
        <f>Sheet4!CQ39</f>
        <v>0</v>
      </c>
      <c r="CR40" s="68">
        <f>Sheet4!CR39</f>
        <v>0</v>
      </c>
      <c r="CS40" s="68">
        <f>Sheet4!CS39</f>
        <v>2</v>
      </c>
      <c r="CT40" s="68">
        <f>Sheet4!CT39</f>
        <v>2</v>
      </c>
      <c r="CU40" s="68">
        <f>Sheet4!CU39</f>
        <v>0</v>
      </c>
      <c r="CV40" s="68">
        <f>Sheet4!CV39</f>
        <v>0</v>
      </c>
      <c r="CW40" s="68">
        <f>Sheet4!CW39</f>
        <v>2</v>
      </c>
      <c r="CX40" s="68">
        <f>Sheet4!CX39</f>
        <v>0</v>
      </c>
      <c r="CY40" s="68">
        <f>Sheet4!CY39</f>
        <v>3</v>
      </c>
      <c r="CZ40" s="68">
        <f>Sheet4!CZ39</f>
        <v>0</v>
      </c>
      <c r="DA40" s="68">
        <f>Sheet4!DA39</f>
        <v>0</v>
      </c>
      <c r="DB40" s="68">
        <f>Sheet4!DB39</f>
        <v>3</v>
      </c>
      <c r="DC40" s="68">
        <f>Sheet4!DC39</f>
        <v>0</v>
      </c>
      <c r="DD40" s="68">
        <f>Sheet4!DD39</f>
        <v>2</v>
      </c>
      <c r="DE40" s="68">
        <f>Sheet4!DE39</f>
        <v>0</v>
      </c>
      <c r="DF40" s="68">
        <f>Sheet4!DF39</f>
        <v>2</v>
      </c>
      <c r="DG40" s="68">
        <f>Sheet4!DG39</f>
        <v>0</v>
      </c>
      <c r="DH40" s="68">
        <f>Sheet4!DH39</f>
        <v>0</v>
      </c>
      <c r="DI40" s="68">
        <f>Sheet4!DI39</f>
        <v>0</v>
      </c>
      <c r="DJ40" s="68">
        <f>Sheet4!DJ39</f>
        <v>0</v>
      </c>
      <c r="DK40" s="68">
        <f>Sheet4!DK39</f>
        <v>0</v>
      </c>
      <c r="DL40" s="68">
        <f>Sheet4!DL39</f>
        <v>0</v>
      </c>
      <c r="DM40" s="68">
        <f>Sheet4!DM39</f>
        <v>0</v>
      </c>
      <c r="DN40" s="68">
        <f>Sheet4!DN39</f>
        <v>0</v>
      </c>
      <c r="DO40" s="68">
        <f>Sheet4!DO39</f>
        <v>0</v>
      </c>
      <c r="DP40" s="68">
        <f>Sheet4!DP39</f>
        <v>0</v>
      </c>
      <c r="DQ40" s="68">
        <f>Sheet4!DQ39</f>
        <v>0</v>
      </c>
    </row>
    <row r="41" spans="1:121" ht="15.75" customHeight="1" x14ac:dyDescent="0.3">
      <c r="A41" s="40">
        <f>Sheet4!A40</f>
        <v>37</v>
      </c>
      <c r="B41" s="40" t="str">
        <f>Sheet4!B40</f>
        <v>ስንቅነሽ ጃራ</v>
      </c>
      <c r="C41" s="26">
        <f>Sheet4!C40</f>
        <v>21000</v>
      </c>
      <c r="D41" s="68">
        <f>Sheet4!D40</f>
        <v>1</v>
      </c>
      <c r="E41" s="68">
        <f>Sheet4!E40</f>
        <v>1</v>
      </c>
      <c r="F41" s="68">
        <f>Sheet4!F40</f>
        <v>1</v>
      </c>
      <c r="G41" s="68">
        <f>Sheet4!G40</f>
        <v>1</v>
      </c>
      <c r="H41" s="68">
        <f>Sheet4!H40</f>
        <v>1</v>
      </c>
      <c r="I41" s="68">
        <f>Sheet4!I40</f>
        <v>1</v>
      </c>
      <c r="J41" s="68">
        <f>Sheet4!J40</f>
        <v>1</v>
      </c>
      <c r="K41" s="68">
        <f>Sheet4!K40</f>
        <v>1</v>
      </c>
      <c r="L41" s="68">
        <f>Sheet4!L40</f>
        <v>1</v>
      </c>
      <c r="M41" s="68">
        <f>Sheet4!M40</f>
        <v>1</v>
      </c>
      <c r="N41" s="68">
        <f>Sheet4!N40</f>
        <v>1</v>
      </c>
      <c r="O41" s="68">
        <f>Sheet4!O40</f>
        <v>1</v>
      </c>
      <c r="P41" s="68">
        <f>Sheet4!P40</f>
        <v>1</v>
      </c>
      <c r="Q41" s="68">
        <f>Sheet4!Q40</f>
        <v>1</v>
      </c>
      <c r="R41" s="68">
        <f>Sheet4!R40</f>
        <v>1</v>
      </c>
      <c r="S41" s="68">
        <f>Sheet4!S40</f>
        <v>1</v>
      </c>
      <c r="T41" s="68">
        <f>Sheet4!T40</f>
        <v>1</v>
      </c>
      <c r="U41" s="68">
        <f>Sheet4!U40</f>
        <v>1</v>
      </c>
      <c r="V41" s="68">
        <f>Sheet4!V40</f>
        <v>1</v>
      </c>
      <c r="W41" s="68">
        <f>Sheet4!W40</f>
        <v>1</v>
      </c>
      <c r="X41" s="68">
        <f>Sheet4!X40</f>
        <v>1</v>
      </c>
      <c r="Y41" s="68">
        <f>Sheet4!Y40</f>
        <v>0</v>
      </c>
      <c r="Z41" s="68">
        <f>Sheet4!Z40</f>
        <v>2</v>
      </c>
      <c r="AA41" s="68">
        <f>Sheet4!AA40</f>
        <v>0</v>
      </c>
      <c r="AB41" s="68">
        <f>Sheet4!AB40</f>
        <v>2</v>
      </c>
      <c r="AC41" s="68">
        <f>Sheet4!AC40</f>
        <v>0</v>
      </c>
      <c r="AD41" s="68">
        <f>Sheet4!AD40</f>
        <v>2</v>
      </c>
      <c r="AE41" s="68">
        <f>Sheet4!AE40</f>
        <v>1</v>
      </c>
      <c r="AF41" s="68">
        <f>Sheet4!AF40</f>
        <v>1</v>
      </c>
      <c r="AG41" s="68">
        <f>Sheet4!AG40</f>
        <v>1</v>
      </c>
      <c r="AH41" s="68">
        <f>Sheet4!AH40</f>
        <v>1</v>
      </c>
      <c r="AI41" s="68">
        <f>Sheet4!AI40</f>
        <v>1</v>
      </c>
      <c r="AJ41" s="68">
        <f>Sheet4!AJ40</f>
        <v>1</v>
      </c>
      <c r="AK41" s="68">
        <f>Sheet4!AK40</f>
        <v>1</v>
      </c>
      <c r="AL41" s="68">
        <f>Sheet4!AL40</f>
        <v>1</v>
      </c>
      <c r="AM41" s="68">
        <f>Sheet4!AM40</f>
        <v>1</v>
      </c>
      <c r="AN41" s="68">
        <f>Sheet4!AN40</f>
        <v>1</v>
      </c>
      <c r="AO41" s="68">
        <f>Sheet4!AO40</f>
        <v>1</v>
      </c>
      <c r="AP41" s="68">
        <f>Sheet4!AP40</f>
        <v>0</v>
      </c>
      <c r="AQ41" s="68">
        <f>Sheet4!AQ40</f>
        <v>2</v>
      </c>
      <c r="AR41" s="68">
        <f>Sheet4!AR40</f>
        <v>1</v>
      </c>
      <c r="AS41" s="68">
        <f>Sheet4!AS40</f>
        <v>1</v>
      </c>
      <c r="AT41" s="68">
        <f>Sheet4!AT40</f>
        <v>0</v>
      </c>
      <c r="AU41" s="68">
        <f>Sheet4!AU40</f>
        <v>0</v>
      </c>
      <c r="AV41" s="68">
        <f>Sheet4!AV40</f>
        <v>3</v>
      </c>
      <c r="AW41" s="68">
        <f>Sheet4!AW40</f>
        <v>1</v>
      </c>
      <c r="AX41" s="68">
        <f>Sheet4!AX40</f>
        <v>1</v>
      </c>
      <c r="AY41" s="68">
        <f>Sheet4!AY40</f>
        <v>1</v>
      </c>
      <c r="AZ41" s="68">
        <f>Sheet4!AZ40</f>
        <v>1</v>
      </c>
      <c r="BA41" s="68">
        <f>Sheet4!BA40</f>
        <v>0</v>
      </c>
      <c r="BB41" s="68">
        <f>Sheet4!BB40</f>
        <v>2</v>
      </c>
      <c r="BC41" s="68">
        <f>Sheet4!BC40</f>
        <v>1</v>
      </c>
      <c r="BD41" s="68">
        <f>Sheet4!BD40</f>
        <v>1</v>
      </c>
      <c r="BE41" s="68">
        <f>Sheet4!BE40</f>
        <v>1</v>
      </c>
      <c r="BF41" s="68">
        <f>Sheet4!BF40</f>
        <v>1</v>
      </c>
      <c r="BG41" s="68">
        <f>Sheet4!BG40</f>
        <v>1</v>
      </c>
      <c r="BH41" s="68">
        <f>Sheet4!BH40</f>
        <v>1</v>
      </c>
      <c r="BI41" s="68">
        <f>Sheet4!BI40</f>
        <v>0</v>
      </c>
      <c r="BJ41" s="68">
        <f>Sheet4!BJ40</f>
        <v>2</v>
      </c>
      <c r="BK41" s="68">
        <f>Sheet4!BK40</f>
        <v>1</v>
      </c>
      <c r="BL41" s="68">
        <f>Sheet4!BL40</f>
        <v>1</v>
      </c>
      <c r="BM41" s="68">
        <f>Sheet4!BM40</f>
        <v>0</v>
      </c>
      <c r="BN41" s="68">
        <f>Sheet4!BN40</f>
        <v>0</v>
      </c>
      <c r="BO41" s="68">
        <f>Sheet4!BO40</f>
        <v>3</v>
      </c>
      <c r="BP41" s="68">
        <f>Sheet4!BP40</f>
        <v>1</v>
      </c>
      <c r="BQ41" s="68">
        <f>Sheet4!BQ40</f>
        <v>1</v>
      </c>
      <c r="BR41" s="68">
        <f>Sheet4!BR40</f>
        <v>0</v>
      </c>
      <c r="BS41" s="68">
        <f>Sheet4!BS40</f>
        <v>2</v>
      </c>
      <c r="BT41" s="68">
        <f>Sheet4!BT40</f>
        <v>1</v>
      </c>
      <c r="BU41" s="68">
        <f>Sheet4!BU40</f>
        <v>0</v>
      </c>
      <c r="BV41" s="68">
        <f>Sheet4!BV40</f>
        <v>2</v>
      </c>
      <c r="BW41" s="68">
        <f>Sheet4!BW40</f>
        <v>0</v>
      </c>
      <c r="BX41" s="68">
        <f>Sheet4!BX40</f>
        <v>2</v>
      </c>
      <c r="BY41" s="68">
        <f>Sheet4!BY40</f>
        <v>0</v>
      </c>
      <c r="BZ41" s="68">
        <f>Sheet4!BZ40</f>
        <v>2</v>
      </c>
      <c r="CA41" s="68">
        <f>Sheet4!CA40</f>
        <v>1</v>
      </c>
      <c r="CB41" s="68">
        <f>Sheet4!CB40</f>
        <v>0</v>
      </c>
      <c r="CC41" s="68">
        <f>Sheet4!CC40</f>
        <v>0</v>
      </c>
      <c r="CD41" s="68">
        <f>Sheet4!CD40</f>
        <v>3</v>
      </c>
      <c r="CE41" s="68">
        <f>Sheet4!CE40</f>
        <v>0</v>
      </c>
      <c r="CF41" s="68">
        <f>Sheet4!CF40</f>
        <v>2</v>
      </c>
      <c r="CG41" s="68">
        <f>Sheet4!CG40</f>
        <v>1</v>
      </c>
      <c r="CH41" s="68">
        <f>Sheet4!CH40</f>
        <v>0</v>
      </c>
      <c r="CI41" s="68">
        <f>Sheet4!CI40</f>
        <v>2</v>
      </c>
      <c r="CJ41" s="68">
        <f>Sheet4!CJ40</f>
        <v>1</v>
      </c>
      <c r="CK41" s="68">
        <f>Sheet4!CK40</f>
        <v>1</v>
      </c>
      <c r="CL41" s="68">
        <f>Sheet4!CL40</f>
        <v>1</v>
      </c>
      <c r="CM41" s="68">
        <f>Sheet4!CM40</f>
        <v>1</v>
      </c>
      <c r="CN41" s="68">
        <f>Sheet4!CN40</f>
        <v>0</v>
      </c>
      <c r="CO41" s="68">
        <f>Sheet4!CO40</f>
        <v>2</v>
      </c>
      <c r="CP41" s="68">
        <f>Sheet4!CP40</f>
        <v>0</v>
      </c>
      <c r="CQ41" s="68">
        <f>Sheet4!CQ40</f>
        <v>2</v>
      </c>
      <c r="CR41" s="68">
        <f>Sheet4!CR40</f>
        <v>1</v>
      </c>
      <c r="CS41" s="68">
        <f>Sheet4!CS40</f>
        <v>1</v>
      </c>
      <c r="CT41" s="68">
        <f>Sheet4!CT40</f>
        <v>0</v>
      </c>
      <c r="CU41" s="68">
        <f>Sheet4!CU40</f>
        <v>0</v>
      </c>
      <c r="CV41" s="68">
        <f>Sheet4!CV40</f>
        <v>3</v>
      </c>
      <c r="CW41" s="68">
        <f>Sheet4!CW40</f>
        <v>1</v>
      </c>
      <c r="CX41" s="68">
        <f>Sheet4!CX40</f>
        <v>1</v>
      </c>
      <c r="CY41" s="68">
        <f>Sheet4!CY40</f>
        <v>1</v>
      </c>
      <c r="CZ41" s="68">
        <f>Sheet4!CZ40</f>
        <v>1</v>
      </c>
      <c r="DA41" s="68">
        <f>Sheet4!DA40</f>
        <v>1</v>
      </c>
      <c r="DB41" s="68">
        <f>Sheet4!DB40</f>
        <v>0</v>
      </c>
      <c r="DC41" s="68">
        <f>Sheet4!DC40</f>
        <v>2</v>
      </c>
      <c r="DD41" s="68">
        <f>Sheet4!DD40</f>
        <v>0</v>
      </c>
      <c r="DE41" s="68">
        <f>Sheet4!DE40</f>
        <v>2</v>
      </c>
      <c r="DF41" s="68">
        <f>Sheet4!DF40</f>
        <v>1</v>
      </c>
      <c r="DG41" s="68">
        <f>Sheet4!DG40</f>
        <v>0</v>
      </c>
      <c r="DH41" s="68">
        <f>Sheet4!DH40</f>
        <v>0</v>
      </c>
      <c r="DI41" s="68">
        <f>Sheet4!DI40</f>
        <v>0</v>
      </c>
      <c r="DJ41" s="68">
        <f>Sheet4!DJ40</f>
        <v>0</v>
      </c>
      <c r="DK41" s="68">
        <f>Sheet4!DK40</f>
        <v>0</v>
      </c>
      <c r="DL41" s="68">
        <f>Sheet4!DL40</f>
        <v>0</v>
      </c>
      <c r="DM41" s="68">
        <f>Sheet4!DM40</f>
        <v>0</v>
      </c>
      <c r="DN41" s="68">
        <f>Sheet4!DN40</f>
        <v>0</v>
      </c>
      <c r="DO41" s="68">
        <f>Sheet4!DO40</f>
        <v>0</v>
      </c>
      <c r="DP41" s="68">
        <f>Sheet4!DP40</f>
        <v>0</v>
      </c>
      <c r="DQ41" s="68">
        <f>Sheet4!DQ40</f>
        <v>0</v>
      </c>
    </row>
    <row r="42" spans="1:121" ht="15.75" customHeight="1" x14ac:dyDescent="0.3">
      <c r="A42" s="40">
        <f>Sheet4!A41</f>
        <v>38</v>
      </c>
      <c r="B42" s="40" t="str">
        <f>Sheet4!B41</f>
        <v>ሰለሞን ብርቄ</v>
      </c>
      <c r="C42" s="26">
        <f>Sheet4!C41</f>
        <v>21000</v>
      </c>
      <c r="D42" s="68">
        <f>Sheet4!D41</f>
        <v>1</v>
      </c>
      <c r="E42" s="68">
        <f>Sheet4!E41</f>
        <v>1</v>
      </c>
      <c r="F42" s="68">
        <f>Sheet4!F41</f>
        <v>1</v>
      </c>
      <c r="G42" s="68">
        <f>Sheet4!G41</f>
        <v>1</v>
      </c>
      <c r="H42" s="68">
        <f>Sheet4!H41</f>
        <v>1</v>
      </c>
      <c r="I42" s="68">
        <f>Sheet4!I41</f>
        <v>1</v>
      </c>
      <c r="J42" s="68">
        <f>Sheet4!J41</f>
        <v>1</v>
      </c>
      <c r="K42" s="68">
        <f>Sheet4!K41</f>
        <v>1</v>
      </c>
      <c r="L42" s="68">
        <f>Sheet4!L41</f>
        <v>1</v>
      </c>
      <c r="M42" s="68">
        <f>Sheet4!M41</f>
        <v>1</v>
      </c>
      <c r="N42" s="68">
        <f>Sheet4!N41</f>
        <v>1</v>
      </c>
      <c r="O42" s="68">
        <f>Sheet4!O41</f>
        <v>1</v>
      </c>
      <c r="P42" s="68">
        <f>Sheet4!P41</f>
        <v>1</v>
      </c>
      <c r="Q42" s="68">
        <f>Sheet4!Q41</f>
        <v>1</v>
      </c>
      <c r="R42" s="68">
        <f>Sheet4!R41</f>
        <v>1</v>
      </c>
      <c r="S42" s="68">
        <f>Sheet4!S41</f>
        <v>1</v>
      </c>
      <c r="T42" s="68">
        <f>Sheet4!T41</f>
        <v>1</v>
      </c>
      <c r="U42" s="68">
        <f>Sheet4!U41</f>
        <v>1</v>
      </c>
      <c r="V42" s="68">
        <f>Sheet4!V41</f>
        <v>1</v>
      </c>
      <c r="W42" s="68">
        <f>Sheet4!W41</f>
        <v>1</v>
      </c>
      <c r="X42" s="68">
        <f>Sheet4!X41</f>
        <v>1</v>
      </c>
      <c r="Y42" s="68">
        <f>Sheet4!Y41</f>
        <v>1</v>
      </c>
      <c r="Z42" s="68">
        <f>Sheet4!Z41</f>
        <v>1</v>
      </c>
      <c r="AA42" s="68">
        <f>Sheet4!AA41</f>
        <v>1</v>
      </c>
      <c r="AB42" s="68">
        <f>Sheet4!AB41</f>
        <v>1</v>
      </c>
      <c r="AC42" s="68">
        <f>Sheet4!AC41</f>
        <v>1</v>
      </c>
      <c r="AD42" s="68">
        <f>Sheet4!AD41</f>
        <v>1</v>
      </c>
      <c r="AE42" s="68">
        <f>Sheet4!AE41</f>
        <v>1</v>
      </c>
      <c r="AF42" s="68">
        <f>Sheet4!AF41</f>
        <v>1</v>
      </c>
      <c r="AG42" s="68">
        <f>Sheet4!AG41</f>
        <v>1</v>
      </c>
      <c r="AH42" s="68">
        <f>Sheet4!AH41</f>
        <v>1</v>
      </c>
      <c r="AI42" s="68">
        <f>Sheet4!AI41</f>
        <v>1</v>
      </c>
      <c r="AJ42" s="68">
        <f>Sheet4!AJ41</f>
        <v>1</v>
      </c>
      <c r="AK42" s="68">
        <f>Sheet4!AK41</f>
        <v>1</v>
      </c>
      <c r="AL42" s="68">
        <f>Sheet4!AL41</f>
        <v>1</v>
      </c>
      <c r="AM42" s="68">
        <f>Sheet4!AM41</f>
        <v>1</v>
      </c>
      <c r="AN42" s="68">
        <f>Sheet4!AN41</f>
        <v>1</v>
      </c>
      <c r="AO42" s="68">
        <f>Sheet4!AO41</f>
        <v>1</v>
      </c>
      <c r="AP42" s="68">
        <f>Sheet4!AP41</f>
        <v>1</v>
      </c>
      <c r="AQ42" s="68">
        <f>Sheet4!AQ41</f>
        <v>1</v>
      </c>
      <c r="AR42" s="68">
        <f>Sheet4!AR41</f>
        <v>1</v>
      </c>
      <c r="AS42" s="68">
        <f>Sheet4!AS41</f>
        <v>1</v>
      </c>
      <c r="AT42" s="68">
        <f>Sheet4!AT41</f>
        <v>1</v>
      </c>
      <c r="AU42" s="68">
        <f>Sheet4!AU41</f>
        <v>1</v>
      </c>
      <c r="AV42" s="68">
        <f>Sheet4!AV41</f>
        <v>1</v>
      </c>
      <c r="AW42" s="68">
        <f>Sheet4!AW41</f>
        <v>1</v>
      </c>
      <c r="AX42" s="68">
        <f>Sheet4!AX41</f>
        <v>1</v>
      </c>
      <c r="AY42" s="68">
        <f>Sheet4!AY41</f>
        <v>1</v>
      </c>
      <c r="AZ42" s="68">
        <f>Sheet4!AZ41</f>
        <v>1</v>
      </c>
      <c r="BA42" s="68">
        <f>Sheet4!BA41</f>
        <v>1</v>
      </c>
      <c r="BB42" s="68">
        <f>Sheet4!BB41</f>
        <v>1</v>
      </c>
      <c r="BC42" s="68">
        <f>Sheet4!BC41</f>
        <v>1</v>
      </c>
      <c r="BD42" s="68">
        <f>Sheet4!BD41</f>
        <v>1</v>
      </c>
      <c r="BE42" s="68">
        <f>Sheet4!BE41</f>
        <v>1</v>
      </c>
      <c r="BF42" s="68">
        <f>Sheet4!BF41</f>
        <v>1</v>
      </c>
      <c r="BG42" s="68">
        <f>Sheet4!BG41</f>
        <v>1</v>
      </c>
      <c r="BH42" s="68">
        <f>Sheet4!BH41</f>
        <v>1</v>
      </c>
      <c r="BI42" s="68">
        <f>Sheet4!BI41</f>
        <v>1</v>
      </c>
      <c r="BJ42" s="68">
        <f>Sheet4!BJ41</f>
        <v>1</v>
      </c>
      <c r="BK42" s="68">
        <f>Sheet4!BK41</f>
        <v>1</v>
      </c>
      <c r="BL42" s="68">
        <f>Sheet4!BL41</f>
        <v>1</v>
      </c>
      <c r="BM42" s="68">
        <f>Sheet4!BM41</f>
        <v>1</v>
      </c>
      <c r="BN42" s="68">
        <f>Sheet4!BN41</f>
        <v>1</v>
      </c>
      <c r="BO42" s="68">
        <f>Sheet4!BO41</f>
        <v>1</v>
      </c>
      <c r="BP42" s="68">
        <f>Sheet4!BP41</f>
        <v>1</v>
      </c>
      <c r="BQ42" s="68">
        <f>Sheet4!BQ41</f>
        <v>1</v>
      </c>
      <c r="BR42" s="68">
        <f>Sheet4!BR41</f>
        <v>1</v>
      </c>
      <c r="BS42" s="68">
        <f>Sheet4!BS41</f>
        <v>1</v>
      </c>
      <c r="BT42" s="68">
        <f>Sheet4!BT41</f>
        <v>1</v>
      </c>
      <c r="BU42" s="68">
        <f>Sheet4!BU41</f>
        <v>1</v>
      </c>
      <c r="BV42" s="68">
        <f>Sheet4!BV41</f>
        <v>1</v>
      </c>
      <c r="BW42" s="68">
        <f>Sheet4!BW41</f>
        <v>1</v>
      </c>
      <c r="BX42" s="68">
        <f>Sheet4!BX41</f>
        <v>1</v>
      </c>
      <c r="BY42" s="68">
        <f>Sheet4!BY41</f>
        <v>1</v>
      </c>
      <c r="BZ42" s="68">
        <f>Sheet4!BZ41</f>
        <v>1</v>
      </c>
      <c r="CA42" s="68">
        <f>Sheet4!CA41</f>
        <v>1</v>
      </c>
      <c r="CB42" s="68">
        <f>Sheet4!CB41</f>
        <v>1</v>
      </c>
      <c r="CC42" s="68">
        <f>Sheet4!CC41</f>
        <v>0</v>
      </c>
      <c r="CD42" s="68">
        <f>Sheet4!CD41</f>
        <v>2</v>
      </c>
      <c r="CE42" s="68">
        <f>Sheet4!CE41</f>
        <v>1</v>
      </c>
      <c r="CF42" s="68">
        <f>Sheet4!CF41</f>
        <v>1</v>
      </c>
      <c r="CG42" s="68">
        <f>Sheet4!CG41</f>
        <v>1</v>
      </c>
      <c r="CH42" s="68">
        <f>Sheet4!CH41</f>
        <v>1</v>
      </c>
      <c r="CI42" s="68">
        <f>Sheet4!CI41</f>
        <v>1</v>
      </c>
      <c r="CJ42" s="68">
        <f>Sheet4!CJ41</f>
        <v>1</v>
      </c>
      <c r="CK42" s="68">
        <f>Sheet4!CK41</f>
        <v>1</v>
      </c>
      <c r="CL42" s="68">
        <f>Sheet4!CL41</f>
        <v>1</v>
      </c>
      <c r="CM42" s="68">
        <f>Sheet4!CM41</f>
        <v>1</v>
      </c>
      <c r="CN42" s="68">
        <f>Sheet4!CN41</f>
        <v>1</v>
      </c>
      <c r="CO42" s="68">
        <f>Sheet4!CO41</f>
        <v>1</v>
      </c>
      <c r="CP42" s="68">
        <f>Sheet4!CP41</f>
        <v>1</v>
      </c>
      <c r="CQ42" s="68">
        <f>Sheet4!CQ41</f>
        <v>1</v>
      </c>
      <c r="CR42" s="68">
        <f>Sheet4!CR41</f>
        <v>1</v>
      </c>
      <c r="CS42" s="68">
        <f>Sheet4!CS41</f>
        <v>1</v>
      </c>
      <c r="CT42" s="68">
        <f>Sheet4!CT41</f>
        <v>1</v>
      </c>
      <c r="CU42" s="68">
        <f>Sheet4!CU41</f>
        <v>1</v>
      </c>
      <c r="CV42" s="68">
        <f>Sheet4!CV41</f>
        <v>1</v>
      </c>
      <c r="CW42" s="68">
        <f>Sheet4!CW41</f>
        <v>0</v>
      </c>
      <c r="CX42" s="68">
        <f>Sheet4!CX41</f>
        <v>1</v>
      </c>
      <c r="CY42" s="68">
        <f>Sheet4!CY41</f>
        <v>0</v>
      </c>
      <c r="CZ42" s="68">
        <f>Sheet4!CZ41</f>
        <v>0</v>
      </c>
      <c r="DA42" s="68">
        <f>Sheet4!DA41</f>
        <v>1</v>
      </c>
      <c r="DB42" s="68">
        <f>Sheet4!DB41</f>
        <v>1</v>
      </c>
      <c r="DC42" s="68">
        <f>Sheet4!DC41</f>
        <v>0</v>
      </c>
      <c r="DD42" s="68">
        <f>Sheet4!DD41</f>
        <v>1</v>
      </c>
      <c r="DE42" s="68">
        <f>Sheet4!DE41</f>
        <v>1</v>
      </c>
      <c r="DF42" s="68">
        <f>Sheet4!DF41</f>
        <v>1</v>
      </c>
      <c r="DG42" s="68">
        <f>Sheet4!DG41</f>
        <v>1</v>
      </c>
      <c r="DH42" s="68">
        <f>Sheet4!DH41</f>
        <v>0</v>
      </c>
      <c r="DI42" s="68">
        <f>Sheet4!DI41</f>
        <v>0</v>
      </c>
      <c r="DJ42" s="68">
        <f>Sheet4!DJ41</f>
        <v>0</v>
      </c>
      <c r="DK42" s="68">
        <f>Sheet4!DK41</f>
        <v>0</v>
      </c>
      <c r="DL42" s="68">
        <f>Sheet4!DL41</f>
        <v>0</v>
      </c>
      <c r="DM42" s="68">
        <f>Sheet4!DM41</f>
        <v>0</v>
      </c>
      <c r="DN42" s="68">
        <f>Sheet4!DN41</f>
        <v>0</v>
      </c>
      <c r="DO42" s="68">
        <f>Sheet4!DO41</f>
        <v>0</v>
      </c>
      <c r="DP42" s="68">
        <f>Sheet4!DP41</f>
        <v>0</v>
      </c>
      <c r="DQ42" s="68">
        <f>Sheet4!DQ41</f>
        <v>0</v>
      </c>
    </row>
    <row r="43" spans="1:121" ht="15.75" customHeight="1" x14ac:dyDescent="0.3">
      <c r="A43" s="40">
        <f>Sheet4!A42</f>
        <v>39</v>
      </c>
      <c r="B43" s="40" t="str">
        <f>Sheet4!B42</f>
        <v>ሲሳይ ባህሩ</v>
      </c>
      <c r="C43" s="26">
        <f>Sheet4!C42</f>
        <v>21000</v>
      </c>
      <c r="D43" s="68">
        <f>Sheet4!D42</f>
        <v>1</v>
      </c>
      <c r="E43" s="68">
        <f>Sheet4!E42</f>
        <v>1</v>
      </c>
      <c r="F43" s="68">
        <f>Sheet4!F42</f>
        <v>1</v>
      </c>
      <c r="G43" s="68">
        <f>Sheet4!G42</f>
        <v>1</v>
      </c>
      <c r="H43" s="68">
        <f>Sheet4!H42</f>
        <v>1</v>
      </c>
      <c r="I43" s="68">
        <f>Sheet4!I42</f>
        <v>1</v>
      </c>
      <c r="J43" s="68">
        <f>Sheet4!J42</f>
        <v>1</v>
      </c>
      <c r="K43" s="68">
        <f>Sheet4!K42</f>
        <v>1</v>
      </c>
      <c r="L43" s="68">
        <f>Sheet4!L42</f>
        <v>1</v>
      </c>
      <c r="M43" s="68">
        <f>Sheet4!M42</f>
        <v>1</v>
      </c>
      <c r="N43" s="68">
        <f>Sheet4!N42</f>
        <v>1</v>
      </c>
      <c r="O43" s="68">
        <f>Sheet4!O42</f>
        <v>1</v>
      </c>
      <c r="P43" s="68">
        <f>Sheet4!P42</f>
        <v>1</v>
      </c>
      <c r="Q43" s="68">
        <f>Sheet4!Q42</f>
        <v>1</v>
      </c>
      <c r="R43" s="68">
        <f>Sheet4!R42</f>
        <v>1</v>
      </c>
      <c r="S43" s="68">
        <f>Sheet4!S42</f>
        <v>1</v>
      </c>
      <c r="T43" s="68">
        <f>Sheet4!T42</f>
        <v>1</v>
      </c>
      <c r="U43" s="68">
        <f>Sheet4!U42</f>
        <v>1</v>
      </c>
      <c r="V43" s="68">
        <f>Sheet4!V42</f>
        <v>1</v>
      </c>
      <c r="W43" s="68">
        <f>Sheet4!W42</f>
        <v>1</v>
      </c>
      <c r="X43" s="68">
        <f>Sheet4!X42</f>
        <v>1</v>
      </c>
      <c r="Y43" s="68">
        <f>Sheet4!Y42</f>
        <v>1</v>
      </c>
      <c r="Z43" s="68">
        <f>Sheet4!Z42</f>
        <v>1</v>
      </c>
      <c r="AA43" s="68">
        <f>Sheet4!AA42</f>
        <v>1</v>
      </c>
      <c r="AB43" s="68">
        <f>Sheet4!AB42</f>
        <v>1</v>
      </c>
      <c r="AC43" s="68">
        <f>Sheet4!AC42</f>
        <v>1</v>
      </c>
      <c r="AD43" s="68">
        <f>Sheet4!AD42</f>
        <v>1</v>
      </c>
      <c r="AE43" s="68">
        <f>Sheet4!AE42</f>
        <v>1</v>
      </c>
      <c r="AF43" s="68">
        <f>Sheet4!AF42</f>
        <v>1</v>
      </c>
      <c r="AG43" s="68">
        <f>Sheet4!AG42</f>
        <v>1</v>
      </c>
      <c r="AH43" s="68">
        <f>Sheet4!AH42</f>
        <v>1</v>
      </c>
      <c r="AI43" s="68">
        <f>Sheet4!AI42</f>
        <v>1</v>
      </c>
      <c r="AJ43" s="68">
        <f>Sheet4!AJ42</f>
        <v>1</v>
      </c>
      <c r="AK43" s="68">
        <f>Sheet4!AK42</f>
        <v>1</v>
      </c>
      <c r="AL43" s="68">
        <f>Sheet4!AL42</f>
        <v>1</v>
      </c>
      <c r="AM43" s="68">
        <f>Sheet4!AM42</f>
        <v>1</v>
      </c>
      <c r="AN43" s="68">
        <f>Sheet4!AN42</f>
        <v>1</v>
      </c>
      <c r="AO43" s="68">
        <f>Sheet4!AO42</f>
        <v>1</v>
      </c>
      <c r="AP43" s="68">
        <f>Sheet4!AP42</f>
        <v>1</v>
      </c>
      <c r="AQ43" s="68">
        <f>Sheet4!AQ42</f>
        <v>1</v>
      </c>
      <c r="AR43" s="68">
        <f>Sheet4!AR42</f>
        <v>1</v>
      </c>
      <c r="AS43" s="68">
        <f>Sheet4!AS42</f>
        <v>1</v>
      </c>
      <c r="AT43" s="68">
        <f>Sheet4!AT42</f>
        <v>1</v>
      </c>
      <c r="AU43" s="68">
        <f>Sheet4!AU42</f>
        <v>1</v>
      </c>
      <c r="AV43" s="68">
        <f>Sheet4!AV42</f>
        <v>1</v>
      </c>
      <c r="AW43" s="68">
        <f>Sheet4!AW42</f>
        <v>1</v>
      </c>
      <c r="AX43" s="68">
        <f>Sheet4!AX42</f>
        <v>1</v>
      </c>
      <c r="AY43" s="68">
        <f>Sheet4!AY42</f>
        <v>1</v>
      </c>
      <c r="AZ43" s="68">
        <f>Sheet4!AZ42</f>
        <v>1</v>
      </c>
      <c r="BA43" s="68">
        <f>Sheet4!BA42</f>
        <v>1</v>
      </c>
      <c r="BB43" s="68">
        <f>Sheet4!BB42</f>
        <v>1</v>
      </c>
      <c r="BC43" s="68">
        <f>Sheet4!BC42</f>
        <v>1</v>
      </c>
      <c r="BD43" s="68">
        <f>Sheet4!BD42</f>
        <v>1</v>
      </c>
      <c r="BE43" s="68">
        <f>Sheet4!BE42</f>
        <v>1</v>
      </c>
      <c r="BF43" s="68">
        <f>Sheet4!BF42</f>
        <v>1</v>
      </c>
      <c r="BG43" s="68">
        <f>Sheet4!BG42</f>
        <v>1</v>
      </c>
      <c r="BH43" s="68">
        <f>Sheet4!BH42</f>
        <v>1</v>
      </c>
      <c r="BI43" s="68">
        <f>Sheet4!BI42</f>
        <v>1</v>
      </c>
      <c r="BJ43" s="68">
        <f>Sheet4!BJ42</f>
        <v>1</v>
      </c>
      <c r="BK43" s="68">
        <f>Sheet4!BK42</f>
        <v>1</v>
      </c>
      <c r="BL43" s="68">
        <f>Sheet4!BL42</f>
        <v>1</v>
      </c>
      <c r="BM43" s="68">
        <f>Sheet4!BM42</f>
        <v>1</v>
      </c>
      <c r="BN43" s="68">
        <f>Sheet4!BN42</f>
        <v>1</v>
      </c>
      <c r="BO43" s="68">
        <f>Sheet4!BO42</f>
        <v>1</v>
      </c>
      <c r="BP43" s="68">
        <f>Sheet4!BP42</f>
        <v>1</v>
      </c>
      <c r="BQ43" s="68">
        <f>Sheet4!BQ42</f>
        <v>1</v>
      </c>
      <c r="BR43" s="68">
        <f>Sheet4!BR42</f>
        <v>1</v>
      </c>
      <c r="BS43" s="68">
        <f>Sheet4!BS42</f>
        <v>1</v>
      </c>
      <c r="BT43" s="68">
        <f>Sheet4!BT42</f>
        <v>1</v>
      </c>
      <c r="BU43" s="68">
        <f>Sheet4!BU42</f>
        <v>1</v>
      </c>
      <c r="BV43" s="68">
        <f>Sheet4!BV42</f>
        <v>1</v>
      </c>
      <c r="BW43" s="68">
        <f>Sheet4!BW42</f>
        <v>1</v>
      </c>
      <c r="BX43" s="68">
        <f>Sheet4!BX42</f>
        <v>1</v>
      </c>
      <c r="BY43" s="68">
        <f>Sheet4!BY42</f>
        <v>1</v>
      </c>
      <c r="BZ43" s="68">
        <f>Sheet4!BZ42</f>
        <v>1</v>
      </c>
      <c r="CA43" s="68">
        <f>Sheet4!CA42</f>
        <v>1</v>
      </c>
      <c r="CB43" s="68">
        <f>Sheet4!CB42</f>
        <v>1</v>
      </c>
      <c r="CC43" s="68">
        <f>Sheet4!CC42</f>
        <v>1</v>
      </c>
      <c r="CD43" s="68">
        <f>Sheet4!CD42</f>
        <v>1</v>
      </c>
      <c r="CE43" s="68">
        <f>Sheet4!CE42</f>
        <v>1</v>
      </c>
      <c r="CF43" s="68">
        <f>Sheet4!CF42</f>
        <v>1</v>
      </c>
      <c r="CG43" s="68">
        <f>Sheet4!CG42</f>
        <v>1</v>
      </c>
      <c r="CH43" s="68">
        <f>Sheet4!CH42</f>
        <v>1</v>
      </c>
      <c r="CI43" s="68">
        <f>Sheet4!CI42</f>
        <v>1</v>
      </c>
      <c r="CJ43" s="68">
        <f>Sheet4!CJ42</f>
        <v>1</v>
      </c>
      <c r="CK43" s="68">
        <f>Sheet4!CK42</f>
        <v>1</v>
      </c>
      <c r="CL43" s="68">
        <f>Sheet4!CL42</f>
        <v>1</v>
      </c>
      <c r="CM43" s="68">
        <f>Sheet4!CM42</f>
        <v>1</v>
      </c>
      <c r="CN43" s="68">
        <f>Sheet4!CN42</f>
        <v>1</v>
      </c>
      <c r="CO43" s="68">
        <f>Sheet4!CO42</f>
        <v>1</v>
      </c>
      <c r="CP43" s="68">
        <f>Sheet4!CP42</f>
        <v>1</v>
      </c>
      <c r="CQ43" s="68">
        <f>Sheet4!CQ42</f>
        <v>1</v>
      </c>
      <c r="CR43" s="68">
        <f>Sheet4!CR42</f>
        <v>1</v>
      </c>
      <c r="CS43" s="68">
        <f>Sheet4!CS42</f>
        <v>1</v>
      </c>
      <c r="CT43" s="68">
        <f>Sheet4!CT42</f>
        <v>1</v>
      </c>
      <c r="CU43" s="68">
        <f>Sheet4!CU42</f>
        <v>1</v>
      </c>
      <c r="CV43" s="68">
        <f>Sheet4!CV42</f>
        <v>1</v>
      </c>
      <c r="CW43" s="68">
        <f>Sheet4!CW42</f>
        <v>1</v>
      </c>
      <c r="CX43" s="68">
        <f>Sheet4!CX42</f>
        <v>1</v>
      </c>
      <c r="CY43" s="68">
        <f>Sheet4!CY42</f>
        <v>1</v>
      </c>
      <c r="CZ43" s="68">
        <f>Sheet4!CZ42</f>
        <v>1</v>
      </c>
      <c r="DA43" s="68">
        <f>Sheet4!DA42</f>
        <v>1</v>
      </c>
      <c r="DB43" s="68">
        <f>Sheet4!DB42</f>
        <v>1</v>
      </c>
      <c r="DC43" s="68">
        <f>Sheet4!DC42</f>
        <v>1</v>
      </c>
      <c r="DD43" s="68">
        <f>Sheet4!DD42</f>
        <v>1</v>
      </c>
      <c r="DE43" s="68">
        <f>Sheet4!DE42</f>
        <v>1</v>
      </c>
      <c r="DF43" s="68">
        <f>Sheet4!DF42</f>
        <v>1</v>
      </c>
      <c r="DG43" s="68">
        <f>Sheet4!DG42</f>
        <v>1</v>
      </c>
      <c r="DH43" s="68">
        <f>Sheet4!DH42</f>
        <v>0</v>
      </c>
      <c r="DI43" s="68">
        <f>Sheet4!DI42</f>
        <v>0</v>
      </c>
      <c r="DJ43" s="68">
        <f>Sheet4!DJ42</f>
        <v>0</v>
      </c>
      <c r="DK43" s="68">
        <f>Sheet4!DK42</f>
        <v>0</v>
      </c>
      <c r="DL43" s="68">
        <f>Sheet4!DL42</f>
        <v>0</v>
      </c>
      <c r="DM43" s="68">
        <f>Sheet4!DM42</f>
        <v>0</v>
      </c>
      <c r="DN43" s="68">
        <f>Sheet4!DN42</f>
        <v>0</v>
      </c>
      <c r="DO43" s="68">
        <f>Sheet4!DO42</f>
        <v>0</v>
      </c>
      <c r="DP43" s="68">
        <f>Sheet4!DP42</f>
        <v>0</v>
      </c>
      <c r="DQ43" s="68">
        <f>Sheet4!DQ42</f>
        <v>0</v>
      </c>
    </row>
    <row r="44" spans="1:121" ht="15.75" customHeight="1" x14ac:dyDescent="0.3">
      <c r="A44" s="40">
        <f>Sheet4!A43</f>
        <v>40</v>
      </c>
      <c r="B44" s="40" t="str">
        <f>Sheet4!B43</f>
        <v xml:space="preserve">ሽታዬ ቦንጌ </v>
      </c>
      <c r="C44" s="26">
        <f>Sheet4!C43</f>
        <v>21000</v>
      </c>
      <c r="D44" s="68">
        <f>Sheet4!D43</f>
        <v>1</v>
      </c>
      <c r="E44" s="68">
        <f>Sheet4!E43</f>
        <v>1</v>
      </c>
      <c r="F44" s="68">
        <f>Sheet4!F43</f>
        <v>1</v>
      </c>
      <c r="G44" s="68">
        <f>Sheet4!G43</f>
        <v>1</v>
      </c>
      <c r="H44" s="68">
        <f>Sheet4!H43</f>
        <v>1</v>
      </c>
      <c r="I44" s="68">
        <f>Sheet4!I43</f>
        <v>1</v>
      </c>
      <c r="J44" s="68">
        <f>Sheet4!J43</f>
        <v>1</v>
      </c>
      <c r="K44" s="68">
        <f>Sheet4!K43</f>
        <v>1</v>
      </c>
      <c r="L44" s="68">
        <f>Sheet4!L43</f>
        <v>1</v>
      </c>
      <c r="M44" s="68">
        <f>Sheet4!M43</f>
        <v>1</v>
      </c>
      <c r="N44" s="68">
        <f>Sheet4!N43</f>
        <v>1</v>
      </c>
      <c r="O44" s="68">
        <f>Sheet4!O43</f>
        <v>1</v>
      </c>
      <c r="P44" s="68">
        <f>Sheet4!P43</f>
        <v>1</v>
      </c>
      <c r="Q44" s="68">
        <f>Sheet4!Q43</f>
        <v>1</v>
      </c>
      <c r="R44" s="68">
        <f>Sheet4!R43</f>
        <v>1</v>
      </c>
      <c r="S44" s="68">
        <f>Sheet4!S43</f>
        <v>1</v>
      </c>
      <c r="T44" s="68">
        <f>Sheet4!T43</f>
        <v>1</v>
      </c>
      <c r="U44" s="68">
        <f>Sheet4!U43</f>
        <v>1</v>
      </c>
      <c r="V44" s="68">
        <f>Sheet4!V43</f>
        <v>1</v>
      </c>
      <c r="W44" s="68">
        <f>Sheet4!W43</f>
        <v>1</v>
      </c>
      <c r="X44" s="68">
        <f>Sheet4!X43</f>
        <v>1</v>
      </c>
      <c r="Y44" s="68">
        <f>Sheet4!Y43</f>
        <v>1</v>
      </c>
      <c r="Z44" s="68">
        <f>Sheet4!Z43</f>
        <v>1</v>
      </c>
      <c r="AA44" s="68">
        <f>Sheet4!AA43</f>
        <v>1</v>
      </c>
      <c r="AB44" s="68">
        <f>Sheet4!AB43</f>
        <v>1</v>
      </c>
      <c r="AC44" s="68">
        <f>Sheet4!AC43</f>
        <v>1</v>
      </c>
      <c r="AD44" s="68">
        <f>Sheet4!AD43</f>
        <v>1</v>
      </c>
      <c r="AE44" s="68">
        <f>Sheet4!AE43</f>
        <v>1</v>
      </c>
      <c r="AF44" s="68">
        <f>Sheet4!AF43</f>
        <v>1</v>
      </c>
      <c r="AG44" s="68">
        <f>Sheet4!AG43</f>
        <v>1</v>
      </c>
      <c r="AH44" s="68">
        <f>Sheet4!AH43</f>
        <v>1</v>
      </c>
      <c r="AI44" s="68">
        <f>Sheet4!AI43</f>
        <v>1</v>
      </c>
      <c r="AJ44" s="68">
        <f>Sheet4!AJ43</f>
        <v>1</v>
      </c>
      <c r="AK44" s="68">
        <f>Sheet4!AK43</f>
        <v>1</v>
      </c>
      <c r="AL44" s="68">
        <f>Sheet4!AL43</f>
        <v>1</v>
      </c>
      <c r="AM44" s="68">
        <f>Sheet4!AM43</f>
        <v>0</v>
      </c>
      <c r="AN44" s="68">
        <f>Sheet4!AN43</f>
        <v>2</v>
      </c>
      <c r="AO44" s="68">
        <f>Sheet4!AO43</f>
        <v>1</v>
      </c>
      <c r="AP44" s="68">
        <f>Sheet4!AP43</f>
        <v>1</v>
      </c>
      <c r="AQ44" s="68">
        <f>Sheet4!AQ43</f>
        <v>0</v>
      </c>
      <c r="AR44" s="68">
        <f>Sheet4!AR43</f>
        <v>2</v>
      </c>
      <c r="AS44" s="68">
        <f>Sheet4!AS43</f>
        <v>1</v>
      </c>
      <c r="AT44" s="68">
        <f>Sheet4!AT43</f>
        <v>1</v>
      </c>
      <c r="AU44" s="68">
        <f>Sheet4!AU43</f>
        <v>1</v>
      </c>
      <c r="AV44" s="68">
        <f>Sheet4!AV43</f>
        <v>1</v>
      </c>
      <c r="AW44" s="68">
        <f>Sheet4!AW43</f>
        <v>1</v>
      </c>
      <c r="AX44" s="68">
        <f>Sheet4!AX43</f>
        <v>0</v>
      </c>
      <c r="AY44" s="68">
        <f>Sheet4!AY43</f>
        <v>1</v>
      </c>
      <c r="AZ44" s="68">
        <f>Sheet4!AZ43</f>
        <v>1</v>
      </c>
      <c r="BA44" s="68">
        <f>Sheet4!BA43</f>
        <v>1</v>
      </c>
      <c r="BB44" s="68">
        <f>Sheet4!BB43</f>
        <v>1</v>
      </c>
      <c r="BC44" s="68">
        <f>Sheet4!BC43</f>
        <v>1</v>
      </c>
      <c r="BD44" s="68">
        <f>Sheet4!BD43</f>
        <v>1</v>
      </c>
      <c r="BE44" s="68">
        <f>Sheet4!BE43</f>
        <v>1</v>
      </c>
      <c r="BF44" s="68">
        <f>Sheet4!BF43</f>
        <v>1</v>
      </c>
      <c r="BG44" s="68">
        <f>Sheet4!BG43</f>
        <v>1</v>
      </c>
      <c r="BH44" s="68">
        <f>Sheet4!BH43</f>
        <v>1</v>
      </c>
      <c r="BI44" s="68">
        <f>Sheet4!BI43</f>
        <v>1</v>
      </c>
      <c r="BJ44" s="68">
        <f>Sheet4!BJ43</f>
        <v>1</v>
      </c>
      <c r="BK44" s="68">
        <f>Sheet4!BK43</f>
        <v>1</v>
      </c>
      <c r="BL44" s="68">
        <f>Sheet4!BL43</f>
        <v>1</v>
      </c>
      <c r="BM44" s="68">
        <f>Sheet4!BM43</f>
        <v>1</v>
      </c>
      <c r="BN44" s="68">
        <f>Sheet4!BN43</f>
        <v>1</v>
      </c>
      <c r="BO44" s="68">
        <f>Sheet4!BO43</f>
        <v>1</v>
      </c>
      <c r="BP44" s="68">
        <f>Sheet4!BP43</f>
        <v>1</v>
      </c>
      <c r="BQ44" s="68">
        <f>Sheet4!BQ43</f>
        <v>1</v>
      </c>
      <c r="BR44" s="68">
        <f>Sheet4!BR43</f>
        <v>1</v>
      </c>
      <c r="BS44" s="68">
        <f>Sheet4!BS43</f>
        <v>1</v>
      </c>
      <c r="BT44" s="68">
        <f>Sheet4!BT43</f>
        <v>1</v>
      </c>
      <c r="BU44" s="68">
        <f>Sheet4!BU43</f>
        <v>1</v>
      </c>
      <c r="BV44" s="68">
        <f>Sheet4!BV43</f>
        <v>1</v>
      </c>
      <c r="BW44" s="68">
        <f>Sheet4!BW43</f>
        <v>1</v>
      </c>
      <c r="BX44" s="68">
        <f>Sheet4!BX43</f>
        <v>1</v>
      </c>
      <c r="BY44" s="68">
        <f>Sheet4!BY43</f>
        <v>1</v>
      </c>
      <c r="BZ44" s="68">
        <f>Sheet4!BZ43</f>
        <v>1</v>
      </c>
      <c r="CA44" s="68">
        <f>Sheet4!CA43</f>
        <v>1</v>
      </c>
      <c r="CB44" s="68">
        <f>Sheet4!CB43</f>
        <v>1</v>
      </c>
      <c r="CC44" s="68">
        <f>Sheet4!CC43</f>
        <v>1</v>
      </c>
      <c r="CD44" s="68">
        <f>Sheet4!CD43</f>
        <v>1</v>
      </c>
      <c r="CE44" s="68">
        <f>Sheet4!CE43</f>
        <v>1</v>
      </c>
      <c r="CF44" s="68">
        <f>Sheet4!CF43</f>
        <v>1</v>
      </c>
      <c r="CG44" s="68">
        <f>Sheet4!CG43</f>
        <v>0</v>
      </c>
      <c r="CH44" s="68">
        <f>Sheet4!CH43</f>
        <v>2</v>
      </c>
      <c r="CI44" s="68">
        <f>Sheet4!CI43</f>
        <v>1</v>
      </c>
      <c r="CJ44" s="68">
        <f>Sheet4!CJ43</f>
        <v>1</v>
      </c>
      <c r="CK44" s="68">
        <f>Sheet4!CK43</f>
        <v>0</v>
      </c>
      <c r="CL44" s="68">
        <f>Sheet4!CL43</f>
        <v>1</v>
      </c>
      <c r="CM44" s="68">
        <f>Sheet4!CM43</f>
        <v>1</v>
      </c>
      <c r="CN44" s="68">
        <f>Sheet4!CN43</f>
        <v>1</v>
      </c>
      <c r="CO44" s="68">
        <f>Sheet4!CO43</f>
        <v>1</v>
      </c>
      <c r="CP44" s="68">
        <f>Sheet4!CP43</f>
        <v>0</v>
      </c>
      <c r="CQ44" s="68">
        <f>Sheet4!CQ43</f>
        <v>2</v>
      </c>
      <c r="CR44" s="68">
        <f>Sheet4!CR43</f>
        <v>0</v>
      </c>
      <c r="CS44" s="68">
        <f>Sheet4!CS43</f>
        <v>2</v>
      </c>
      <c r="CT44" s="68">
        <f>Sheet4!CT43</f>
        <v>0</v>
      </c>
      <c r="CU44" s="68">
        <f>Sheet4!CU43</f>
        <v>2</v>
      </c>
      <c r="CV44" s="68">
        <f>Sheet4!CV43</f>
        <v>1</v>
      </c>
      <c r="CW44" s="68">
        <f>Sheet4!CW43</f>
        <v>1</v>
      </c>
      <c r="CX44" s="68">
        <f>Sheet4!CX43</f>
        <v>1</v>
      </c>
      <c r="CY44" s="68">
        <f>Sheet4!CY43</f>
        <v>1</v>
      </c>
      <c r="CZ44" s="68">
        <f>Sheet4!CZ43</f>
        <v>1</v>
      </c>
      <c r="DA44" s="68">
        <f>Sheet4!DA43</f>
        <v>1</v>
      </c>
      <c r="DB44" s="68">
        <f>Sheet4!DB43</f>
        <v>0</v>
      </c>
      <c r="DC44" s="68">
        <f>Sheet4!DC43</f>
        <v>1</v>
      </c>
      <c r="DD44" s="68">
        <f>Sheet4!DD43</f>
        <v>1</v>
      </c>
      <c r="DE44" s="68">
        <f>Sheet4!DE43</f>
        <v>1</v>
      </c>
      <c r="DF44" s="68">
        <f>Sheet4!DF43</f>
        <v>1</v>
      </c>
      <c r="DG44" s="68">
        <f>Sheet4!DG43</f>
        <v>1</v>
      </c>
      <c r="DH44" s="68">
        <f>Sheet4!DH43</f>
        <v>0</v>
      </c>
      <c r="DI44" s="68">
        <f>Sheet4!DI43</f>
        <v>0</v>
      </c>
      <c r="DJ44" s="68">
        <f>Sheet4!DJ43</f>
        <v>0</v>
      </c>
      <c r="DK44" s="68">
        <f>Sheet4!DK43</f>
        <v>0</v>
      </c>
      <c r="DL44" s="68">
        <f>Sheet4!DL43</f>
        <v>0</v>
      </c>
      <c r="DM44" s="68">
        <f>Sheet4!DM43</f>
        <v>0</v>
      </c>
      <c r="DN44" s="68">
        <f>Sheet4!DN43</f>
        <v>0</v>
      </c>
      <c r="DO44" s="68">
        <f>Sheet4!DO43</f>
        <v>0</v>
      </c>
      <c r="DP44" s="68">
        <f>Sheet4!DP43</f>
        <v>0</v>
      </c>
      <c r="DQ44" s="68">
        <f>Sheet4!DQ43</f>
        <v>0</v>
      </c>
    </row>
    <row r="45" spans="1:121" ht="15.75" customHeight="1" x14ac:dyDescent="0.3">
      <c r="A45" s="40">
        <f>Sheet4!A44</f>
        <v>41</v>
      </c>
      <c r="B45" s="40" t="str">
        <f>Sheet4!B44</f>
        <v>ኡሬሳ ኡርሳ</v>
      </c>
      <c r="C45" s="26">
        <f>Sheet4!C44</f>
        <v>21000</v>
      </c>
      <c r="D45" s="68">
        <f>Sheet4!D44</f>
        <v>1</v>
      </c>
      <c r="E45" s="68">
        <f>Sheet4!E44</f>
        <v>1</v>
      </c>
      <c r="F45" s="68">
        <f>Sheet4!F44</f>
        <v>1</v>
      </c>
      <c r="G45" s="68">
        <f>Sheet4!G44</f>
        <v>1</v>
      </c>
      <c r="H45" s="68">
        <f>Sheet4!H44</f>
        <v>1</v>
      </c>
      <c r="I45" s="68">
        <f>Sheet4!I44</f>
        <v>1</v>
      </c>
      <c r="J45" s="68">
        <f>Sheet4!J44</f>
        <v>1</v>
      </c>
      <c r="K45" s="68">
        <f>Sheet4!K44</f>
        <v>1</v>
      </c>
      <c r="L45" s="68">
        <f>Sheet4!L44</f>
        <v>1</v>
      </c>
      <c r="M45" s="68">
        <f>Sheet4!M44</f>
        <v>1</v>
      </c>
      <c r="N45" s="68">
        <f>Sheet4!N44</f>
        <v>1</v>
      </c>
      <c r="O45" s="68">
        <f>Sheet4!O44</f>
        <v>1</v>
      </c>
      <c r="P45" s="68">
        <f>Sheet4!P44</f>
        <v>1</v>
      </c>
      <c r="Q45" s="68">
        <f>Sheet4!Q44</f>
        <v>1</v>
      </c>
      <c r="R45" s="68">
        <f>Sheet4!R44</f>
        <v>1</v>
      </c>
      <c r="S45" s="68">
        <f>Sheet4!S44</f>
        <v>1</v>
      </c>
      <c r="T45" s="68">
        <f>Sheet4!T44</f>
        <v>1</v>
      </c>
      <c r="U45" s="68">
        <f>Sheet4!U44</f>
        <v>1</v>
      </c>
      <c r="V45" s="68">
        <f>Sheet4!V44</f>
        <v>1</v>
      </c>
      <c r="W45" s="68">
        <f>Sheet4!W44</f>
        <v>1</v>
      </c>
      <c r="X45" s="68">
        <f>Sheet4!X44</f>
        <v>1</v>
      </c>
      <c r="Y45" s="68">
        <f>Sheet4!Y44</f>
        <v>1</v>
      </c>
      <c r="Z45" s="68">
        <f>Sheet4!Z44</f>
        <v>1</v>
      </c>
      <c r="AA45" s="68">
        <f>Sheet4!AA44</f>
        <v>1</v>
      </c>
      <c r="AB45" s="68">
        <f>Sheet4!AB44</f>
        <v>1</v>
      </c>
      <c r="AC45" s="68">
        <f>Sheet4!AC44</f>
        <v>1</v>
      </c>
      <c r="AD45" s="68">
        <f>Sheet4!AD44</f>
        <v>1</v>
      </c>
      <c r="AE45" s="68">
        <f>Sheet4!AE44</f>
        <v>0</v>
      </c>
      <c r="AF45" s="68">
        <f>Sheet4!AF44</f>
        <v>2</v>
      </c>
      <c r="AG45" s="68">
        <f>Sheet4!AG44</f>
        <v>1</v>
      </c>
      <c r="AH45" s="68">
        <f>Sheet4!AH44</f>
        <v>1</v>
      </c>
      <c r="AI45" s="68">
        <f>Sheet4!AI44</f>
        <v>1</v>
      </c>
      <c r="AJ45" s="68">
        <f>Sheet4!AJ44</f>
        <v>1</v>
      </c>
      <c r="AK45" s="68">
        <f>Sheet4!AK44</f>
        <v>1</v>
      </c>
      <c r="AL45" s="68">
        <f>Sheet4!AL44</f>
        <v>0</v>
      </c>
      <c r="AM45" s="68">
        <f>Sheet4!AM44</f>
        <v>2</v>
      </c>
      <c r="AN45" s="68">
        <f>Sheet4!AN44</f>
        <v>1</v>
      </c>
      <c r="AO45" s="68">
        <f>Sheet4!AO44</f>
        <v>1</v>
      </c>
      <c r="AP45" s="68">
        <f>Sheet4!AP44</f>
        <v>1</v>
      </c>
      <c r="AQ45" s="68">
        <f>Sheet4!AQ44</f>
        <v>1</v>
      </c>
      <c r="AR45" s="68">
        <f>Sheet4!AR44</f>
        <v>0</v>
      </c>
      <c r="AS45" s="68">
        <f>Sheet4!AS44</f>
        <v>2</v>
      </c>
      <c r="AT45" s="68">
        <f>Sheet4!AT44</f>
        <v>0</v>
      </c>
      <c r="AU45" s="68">
        <f>Sheet4!AU44</f>
        <v>2</v>
      </c>
      <c r="AV45" s="68">
        <f>Sheet4!AV44</f>
        <v>1</v>
      </c>
      <c r="AW45" s="68">
        <f>Sheet4!AW44</f>
        <v>1</v>
      </c>
      <c r="AX45" s="68">
        <f>Sheet4!AX44</f>
        <v>0</v>
      </c>
      <c r="AY45" s="68">
        <f>Sheet4!AY44</f>
        <v>2</v>
      </c>
      <c r="AZ45" s="68">
        <f>Sheet4!AZ44</f>
        <v>0</v>
      </c>
      <c r="BA45" s="68">
        <f>Sheet4!BA44</f>
        <v>2</v>
      </c>
      <c r="BB45" s="68">
        <f>Sheet4!BB44</f>
        <v>1</v>
      </c>
      <c r="BC45" s="68">
        <f>Sheet4!BC44</f>
        <v>0</v>
      </c>
      <c r="BD45" s="68">
        <f>Sheet4!BD44</f>
        <v>2</v>
      </c>
      <c r="BE45" s="68">
        <f>Sheet4!BE44</f>
        <v>0</v>
      </c>
      <c r="BF45" s="68">
        <f>Sheet4!BF44</f>
        <v>2</v>
      </c>
      <c r="BG45" s="68">
        <f>Sheet4!BG44</f>
        <v>1</v>
      </c>
      <c r="BH45" s="68">
        <f>Sheet4!BH44</f>
        <v>1</v>
      </c>
      <c r="BI45" s="68">
        <f>Sheet4!BI44</f>
        <v>1</v>
      </c>
      <c r="BJ45" s="68">
        <f>Sheet4!BJ44</f>
        <v>1</v>
      </c>
      <c r="BK45" s="68">
        <f>Sheet4!BK44</f>
        <v>1</v>
      </c>
      <c r="BL45" s="68">
        <f>Sheet4!BL44</f>
        <v>1</v>
      </c>
      <c r="BM45" s="68">
        <f>Sheet4!BM44</f>
        <v>0</v>
      </c>
      <c r="BN45" s="68">
        <f>Sheet4!BN44</f>
        <v>2</v>
      </c>
      <c r="BO45" s="68">
        <f>Sheet4!BO44</f>
        <v>1</v>
      </c>
      <c r="BP45" s="68">
        <f>Sheet4!BP44</f>
        <v>1</v>
      </c>
      <c r="BQ45" s="68">
        <f>Sheet4!BQ44</f>
        <v>0</v>
      </c>
      <c r="BR45" s="68">
        <f>Sheet4!BR44</f>
        <v>2</v>
      </c>
      <c r="BS45" s="68">
        <f>Sheet4!BS44</f>
        <v>1</v>
      </c>
      <c r="BT45" s="68">
        <f>Sheet4!BT44</f>
        <v>0</v>
      </c>
      <c r="BU45" s="68">
        <f>Sheet4!BU44</f>
        <v>0</v>
      </c>
      <c r="BV45" s="68">
        <f>Sheet4!BV44</f>
        <v>3</v>
      </c>
      <c r="BW45" s="68">
        <f>Sheet4!BW44</f>
        <v>0</v>
      </c>
      <c r="BX45" s="68">
        <f>Sheet4!BX44</f>
        <v>2</v>
      </c>
      <c r="BY45" s="68">
        <f>Sheet4!BY44</f>
        <v>0</v>
      </c>
      <c r="BZ45" s="68">
        <f>Sheet4!BZ44</f>
        <v>0</v>
      </c>
      <c r="CA45" s="68">
        <f>Sheet4!CA44</f>
        <v>3</v>
      </c>
      <c r="CB45" s="68">
        <f>Sheet4!CB44</f>
        <v>1</v>
      </c>
      <c r="CC45" s="68">
        <f>Sheet4!CC44</f>
        <v>1</v>
      </c>
      <c r="CD45" s="68">
        <f>Sheet4!CD44</f>
        <v>0</v>
      </c>
      <c r="CE45" s="68">
        <f>Sheet4!CE44</f>
        <v>0</v>
      </c>
      <c r="CF45" s="68">
        <f>Sheet4!CF44</f>
        <v>3</v>
      </c>
      <c r="CG45" s="68">
        <f>Sheet4!CG44</f>
        <v>1</v>
      </c>
      <c r="CH45" s="68">
        <f>Sheet4!CH44</f>
        <v>1</v>
      </c>
      <c r="CI45" s="68">
        <f>Sheet4!CI44</f>
        <v>1</v>
      </c>
      <c r="CJ45" s="68">
        <f>Sheet4!CJ44</f>
        <v>0</v>
      </c>
      <c r="CK45" s="68">
        <f>Sheet4!CK44</f>
        <v>0</v>
      </c>
      <c r="CL45" s="68">
        <f>Sheet4!CL44</f>
        <v>2</v>
      </c>
      <c r="CM45" s="68">
        <f>Sheet4!CM44</f>
        <v>0</v>
      </c>
      <c r="CN45" s="68">
        <f>Sheet4!CN44</f>
        <v>0</v>
      </c>
      <c r="CO45" s="68">
        <f>Sheet4!CO44</f>
        <v>2</v>
      </c>
      <c r="CP45" s="68">
        <f>Sheet4!CP44</f>
        <v>0</v>
      </c>
      <c r="CQ45" s="68">
        <f>Sheet4!CQ44</f>
        <v>2</v>
      </c>
      <c r="CR45" s="68">
        <f>Sheet4!CR44</f>
        <v>1</v>
      </c>
      <c r="CS45" s="68">
        <f>Sheet4!CS44</f>
        <v>0</v>
      </c>
      <c r="CT45" s="68">
        <f>Sheet4!CT44</f>
        <v>2</v>
      </c>
      <c r="CU45" s="68">
        <f>Sheet4!CU44</f>
        <v>0</v>
      </c>
      <c r="CV45" s="68">
        <f>Sheet4!CV44</f>
        <v>2</v>
      </c>
      <c r="CW45" s="68">
        <f>Sheet4!CW44</f>
        <v>0</v>
      </c>
      <c r="CX45" s="68">
        <f>Sheet4!CX44</f>
        <v>2</v>
      </c>
      <c r="CY45" s="68">
        <f>Sheet4!CY44</f>
        <v>0</v>
      </c>
      <c r="CZ45" s="68">
        <f>Sheet4!CZ44</f>
        <v>2</v>
      </c>
      <c r="DA45" s="68">
        <f>Sheet4!DA44</f>
        <v>1</v>
      </c>
      <c r="DB45" s="68">
        <f>Sheet4!DB44</f>
        <v>0</v>
      </c>
      <c r="DC45" s="68">
        <f>Sheet4!DC44</f>
        <v>2</v>
      </c>
      <c r="DD45" s="68">
        <f>Sheet4!DD44</f>
        <v>0</v>
      </c>
      <c r="DE45" s="68">
        <f>Sheet4!DE44</f>
        <v>2</v>
      </c>
      <c r="DF45" s="68">
        <f>Sheet4!DF44</f>
        <v>0</v>
      </c>
      <c r="DG45" s="68">
        <f>Sheet4!DG44</f>
        <v>2</v>
      </c>
      <c r="DH45" s="68">
        <f>Sheet4!DH44</f>
        <v>0</v>
      </c>
      <c r="DI45" s="68">
        <f>Sheet4!DI44</f>
        <v>0</v>
      </c>
      <c r="DJ45" s="68">
        <f>Sheet4!DJ44</f>
        <v>0</v>
      </c>
      <c r="DK45" s="68">
        <f>Sheet4!DK44</f>
        <v>0</v>
      </c>
      <c r="DL45" s="68">
        <f>Sheet4!DL44</f>
        <v>0</v>
      </c>
      <c r="DM45" s="68">
        <f>Sheet4!DM44</f>
        <v>0</v>
      </c>
      <c r="DN45" s="68">
        <f>Sheet4!DN44</f>
        <v>0</v>
      </c>
      <c r="DO45" s="68">
        <f>Sheet4!DO44</f>
        <v>0</v>
      </c>
      <c r="DP45" s="68">
        <f>Sheet4!DP44</f>
        <v>0</v>
      </c>
      <c r="DQ45" s="68">
        <f>Sheet4!DQ44</f>
        <v>0</v>
      </c>
    </row>
    <row r="46" spans="1:121" ht="15.75" customHeight="1" x14ac:dyDescent="0.3">
      <c r="A46" s="40">
        <f>Sheet4!A45</f>
        <v>42</v>
      </c>
      <c r="B46" s="40" t="str">
        <f>Sheet4!B45</f>
        <v>አሸናፊ ጨመረ</v>
      </c>
      <c r="C46" s="26">
        <f>Sheet4!C45</f>
        <v>21000</v>
      </c>
      <c r="D46" s="68">
        <f>Sheet4!D45</f>
        <v>1</v>
      </c>
      <c r="E46" s="68">
        <f>Sheet4!E45</f>
        <v>1</v>
      </c>
      <c r="F46" s="68">
        <f>Sheet4!F45</f>
        <v>1</v>
      </c>
      <c r="G46" s="68">
        <f>Sheet4!G45</f>
        <v>1</v>
      </c>
      <c r="H46" s="68">
        <f>Sheet4!H45</f>
        <v>1</v>
      </c>
      <c r="I46" s="68">
        <f>Sheet4!I45</f>
        <v>1</v>
      </c>
      <c r="J46" s="68">
        <f>Sheet4!J45</f>
        <v>1</v>
      </c>
      <c r="K46" s="68">
        <f>Sheet4!K45</f>
        <v>1</v>
      </c>
      <c r="L46" s="68">
        <f>Sheet4!L45</f>
        <v>1</v>
      </c>
      <c r="M46" s="68">
        <f>Sheet4!M45</f>
        <v>1</v>
      </c>
      <c r="N46" s="68">
        <f>Sheet4!N45</f>
        <v>1</v>
      </c>
      <c r="O46" s="68">
        <f>Sheet4!O45</f>
        <v>1</v>
      </c>
      <c r="P46" s="68">
        <f>Sheet4!P45</f>
        <v>1</v>
      </c>
      <c r="Q46" s="68">
        <f>Sheet4!Q45</f>
        <v>1</v>
      </c>
      <c r="R46" s="68">
        <f>Sheet4!R45</f>
        <v>1</v>
      </c>
      <c r="S46" s="68">
        <f>Sheet4!S45</f>
        <v>1</v>
      </c>
      <c r="T46" s="68">
        <f>Sheet4!T45</f>
        <v>1</v>
      </c>
      <c r="U46" s="68">
        <f>Sheet4!U45</f>
        <v>1</v>
      </c>
      <c r="V46" s="68">
        <f>Sheet4!V45</f>
        <v>1</v>
      </c>
      <c r="W46" s="68">
        <f>Sheet4!W45</f>
        <v>1</v>
      </c>
      <c r="X46" s="68">
        <f>Sheet4!X45</f>
        <v>1</v>
      </c>
      <c r="Y46" s="68">
        <f>Sheet4!Y45</f>
        <v>1</v>
      </c>
      <c r="Z46" s="68">
        <f>Sheet4!Z45</f>
        <v>1</v>
      </c>
      <c r="AA46" s="68">
        <f>Sheet4!AA45</f>
        <v>1</v>
      </c>
      <c r="AB46" s="68">
        <f>Sheet4!AB45</f>
        <v>1</v>
      </c>
      <c r="AC46" s="68">
        <f>Sheet4!AC45</f>
        <v>1</v>
      </c>
      <c r="AD46" s="68">
        <f>Sheet4!AD45</f>
        <v>1</v>
      </c>
      <c r="AE46" s="68">
        <f>Sheet4!AE45</f>
        <v>1</v>
      </c>
      <c r="AF46" s="68">
        <f>Sheet4!AF45</f>
        <v>1</v>
      </c>
      <c r="AG46" s="68">
        <f>Sheet4!AG45</f>
        <v>1</v>
      </c>
      <c r="AH46" s="68">
        <f>Sheet4!AH45</f>
        <v>1</v>
      </c>
      <c r="AI46" s="68">
        <f>Sheet4!AI45</f>
        <v>1</v>
      </c>
      <c r="AJ46" s="68">
        <f>Sheet4!AJ45</f>
        <v>1</v>
      </c>
      <c r="AK46" s="68">
        <f>Sheet4!AK45</f>
        <v>1</v>
      </c>
      <c r="AL46" s="68">
        <f>Sheet4!AL45</f>
        <v>1</v>
      </c>
      <c r="AM46" s="68">
        <f>Sheet4!AM45</f>
        <v>1</v>
      </c>
      <c r="AN46" s="68">
        <f>Sheet4!AN45</f>
        <v>1</v>
      </c>
      <c r="AO46" s="68">
        <f>Sheet4!AO45</f>
        <v>1</v>
      </c>
      <c r="AP46" s="68">
        <f>Sheet4!AP45</f>
        <v>1</v>
      </c>
      <c r="AQ46" s="68">
        <f>Sheet4!AQ45</f>
        <v>1</v>
      </c>
      <c r="AR46" s="68">
        <f>Sheet4!AR45</f>
        <v>1</v>
      </c>
      <c r="AS46" s="68">
        <f>Sheet4!AS45</f>
        <v>1</v>
      </c>
      <c r="AT46" s="68">
        <f>Sheet4!AT45</f>
        <v>1</v>
      </c>
      <c r="AU46" s="68">
        <f>Sheet4!AU45</f>
        <v>1</v>
      </c>
      <c r="AV46" s="68">
        <f>Sheet4!AV45</f>
        <v>1</v>
      </c>
      <c r="AW46" s="68">
        <f>Sheet4!AW45</f>
        <v>1</v>
      </c>
      <c r="AX46" s="68">
        <f>Sheet4!AX45</f>
        <v>1</v>
      </c>
      <c r="AY46" s="68">
        <f>Sheet4!AY45</f>
        <v>1</v>
      </c>
      <c r="AZ46" s="68">
        <f>Sheet4!AZ45</f>
        <v>1</v>
      </c>
      <c r="BA46" s="68">
        <f>Sheet4!BA45</f>
        <v>1</v>
      </c>
      <c r="BB46" s="68">
        <f>Sheet4!BB45</f>
        <v>1</v>
      </c>
      <c r="BC46" s="68">
        <f>Sheet4!BC45</f>
        <v>1</v>
      </c>
      <c r="BD46" s="68">
        <f>Sheet4!BD45</f>
        <v>1</v>
      </c>
      <c r="BE46" s="68">
        <f>Sheet4!BE45</f>
        <v>1</v>
      </c>
      <c r="BF46" s="68">
        <f>Sheet4!BF45</f>
        <v>1</v>
      </c>
      <c r="BG46" s="68">
        <f>Sheet4!BG45</f>
        <v>1</v>
      </c>
      <c r="BH46" s="68">
        <f>Sheet4!BH45</f>
        <v>1</v>
      </c>
      <c r="BI46" s="68">
        <f>Sheet4!BI45</f>
        <v>1</v>
      </c>
      <c r="BJ46" s="68">
        <f>Sheet4!BJ45</f>
        <v>1</v>
      </c>
      <c r="BK46" s="68">
        <f>Sheet4!BK45</f>
        <v>1</v>
      </c>
      <c r="BL46" s="68">
        <f>Sheet4!BL45</f>
        <v>1</v>
      </c>
      <c r="BM46" s="68">
        <f>Sheet4!BM45</f>
        <v>1</v>
      </c>
      <c r="BN46" s="68">
        <f>Sheet4!BN45</f>
        <v>1</v>
      </c>
      <c r="BO46" s="68">
        <f>Sheet4!BO45</f>
        <v>1</v>
      </c>
      <c r="BP46" s="68">
        <f>Sheet4!BP45</f>
        <v>1</v>
      </c>
      <c r="BQ46" s="68">
        <f>Sheet4!BQ45</f>
        <v>1</v>
      </c>
      <c r="BR46" s="68">
        <f>Sheet4!BR45</f>
        <v>1</v>
      </c>
      <c r="BS46" s="68">
        <f>Sheet4!BS45</f>
        <v>1</v>
      </c>
      <c r="BT46" s="68">
        <f>Sheet4!BT45</f>
        <v>1</v>
      </c>
      <c r="BU46" s="68">
        <f>Sheet4!BU45</f>
        <v>1</v>
      </c>
      <c r="BV46" s="68">
        <f>Sheet4!BV45</f>
        <v>1</v>
      </c>
      <c r="BW46" s="68">
        <f>Sheet4!BW45</f>
        <v>1</v>
      </c>
      <c r="BX46" s="68">
        <f>Sheet4!BX45</f>
        <v>0</v>
      </c>
      <c r="BY46" s="68">
        <f>Sheet4!BY45</f>
        <v>2</v>
      </c>
      <c r="BZ46" s="68">
        <f>Sheet4!BZ45</f>
        <v>1</v>
      </c>
      <c r="CA46" s="68">
        <f>Sheet4!CA45</f>
        <v>1</v>
      </c>
      <c r="CB46" s="68">
        <f>Sheet4!CB45</f>
        <v>1</v>
      </c>
      <c r="CC46" s="68">
        <f>Sheet4!CC45</f>
        <v>1</v>
      </c>
      <c r="CD46" s="68">
        <f>Sheet4!CD45</f>
        <v>1</v>
      </c>
      <c r="CE46" s="68">
        <f>Sheet4!CE45</f>
        <v>0</v>
      </c>
      <c r="CF46" s="68">
        <f>Sheet4!CF45</f>
        <v>1</v>
      </c>
      <c r="CG46" s="68">
        <f>Sheet4!CG45</f>
        <v>1</v>
      </c>
      <c r="CH46" s="68">
        <f>Sheet4!CH45</f>
        <v>1</v>
      </c>
      <c r="CI46" s="68">
        <f>Sheet4!CI45</f>
        <v>1</v>
      </c>
      <c r="CJ46" s="68">
        <f>Sheet4!CJ45</f>
        <v>1</v>
      </c>
      <c r="CK46" s="68">
        <f>Sheet4!CK45</f>
        <v>1</v>
      </c>
      <c r="CL46" s="68">
        <f>Sheet4!CL45</f>
        <v>1</v>
      </c>
      <c r="CM46" s="68">
        <f>Sheet4!CM45</f>
        <v>1</v>
      </c>
      <c r="CN46" s="68">
        <f>Sheet4!CN45</f>
        <v>1</v>
      </c>
      <c r="CO46" s="68">
        <f>Sheet4!CO45</f>
        <v>1</v>
      </c>
      <c r="CP46" s="68">
        <f>Sheet4!CP45</f>
        <v>1</v>
      </c>
      <c r="CQ46" s="68">
        <f>Sheet4!CQ45</f>
        <v>1</v>
      </c>
      <c r="CR46" s="68">
        <f>Sheet4!CR45</f>
        <v>1</v>
      </c>
      <c r="CS46" s="68">
        <f>Sheet4!CS45</f>
        <v>1</v>
      </c>
      <c r="CT46" s="68">
        <f>Sheet4!CT45</f>
        <v>1</v>
      </c>
      <c r="CU46" s="68">
        <f>Sheet4!CU45</f>
        <v>1</v>
      </c>
      <c r="CV46" s="68">
        <f>Sheet4!CV45</f>
        <v>1</v>
      </c>
      <c r="CW46" s="68">
        <f>Sheet4!CW45</f>
        <v>1</v>
      </c>
      <c r="CX46" s="68">
        <f>Sheet4!CX45</f>
        <v>1</v>
      </c>
      <c r="CY46" s="68">
        <f>Sheet4!CY45</f>
        <v>1</v>
      </c>
      <c r="CZ46" s="68">
        <f>Sheet4!CZ45</f>
        <v>0</v>
      </c>
      <c r="DA46" s="68">
        <f>Sheet4!DA45</f>
        <v>1</v>
      </c>
      <c r="DB46" s="68">
        <f>Sheet4!DB45</f>
        <v>0</v>
      </c>
      <c r="DC46" s="68">
        <f>Sheet4!DC45</f>
        <v>2</v>
      </c>
      <c r="DD46" s="68">
        <f>Sheet4!DD45</f>
        <v>1</v>
      </c>
      <c r="DE46" s="68">
        <f>Sheet4!DE45</f>
        <v>0</v>
      </c>
      <c r="DF46" s="68">
        <f>Sheet4!DF45</f>
        <v>1</v>
      </c>
      <c r="DG46" s="68">
        <f>Sheet4!DG45</f>
        <v>0</v>
      </c>
      <c r="DH46" s="68">
        <f>Sheet4!DH45</f>
        <v>0</v>
      </c>
      <c r="DI46" s="68">
        <f>Sheet4!DI45</f>
        <v>0</v>
      </c>
      <c r="DJ46" s="68">
        <f>Sheet4!DJ45</f>
        <v>0</v>
      </c>
      <c r="DK46" s="68">
        <f>Sheet4!DK45</f>
        <v>0</v>
      </c>
      <c r="DL46" s="68">
        <f>Sheet4!DL45</f>
        <v>0</v>
      </c>
      <c r="DM46" s="68">
        <f>Sheet4!DM45</f>
        <v>0</v>
      </c>
      <c r="DN46" s="68">
        <f>Sheet4!DN45</f>
        <v>0</v>
      </c>
      <c r="DO46" s="68">
        <f>Sheet4!DO45</f>
        <v>0</v>
      </c>
      <c r="DP46" s="68">
        <f>Sheet4!DP45</f>
        <v>0</v>
      </c>
      <c r="DQ46" s="68">
        <f>Sheet4!DQ45</f>
        <v>0</v>
      </c>
    </row>
    <row r="47" spans="1:121" ht="15.75" customHeight="1" x14ac:dyDescent="0.3">
      <c r="A47" s="40">
        <f>Sheet4!A46</f>
        <v>43</v>
      </c>
      <c r="B47" s="40" t="str">
        <f>Sheet4!B46</f>
        <v>አሸናፊ ጨመረ</v>
      </c>
      <c r="C47" s="26">
        <f>Sheet4!C46</f>
        <v>21000</v>
      </c>
      <c r="D47" s="68">
        <f>Sheet4!D46</f>
        <v>1</v>
      </c>
      <c r="E47" s="68">
        <f>Sheet4!E46</f>
        <v>1</v>
      </c>
      <c r="F47" s="68">
        <f>Sheet4!F46</f>
        <v>1</v>
      </c>
      <c r="G47" s="68">
        <f>Sheet4!G46</f>
        <v>1</v>
      </c>
      <c r="H47" s="68">
        <f>Sheet4!H46</f>
        <v>1</v>
      </c>
      <c r="I47" s="68">
        <f>Sheet4!I46</f>
        <v>1</v>
      </c>
      <c r="J47" s="68">
        <f>Sheet4!J46</f>
        <v>1</v>
      </c>
      <c r="K47" s="68">
        <f>Sheet4!K46</f>
        <v>1</v>
      </c>
      <c r="L47" s="68">
        <f>Sheet4!L46</f>
        <v>1</v>
      </c>
      <c r="M47" s="68">
        <f>Sheet4!M46</f>
        <v>1</v>
      </c>
      <c r="N47" s="68">
        <f>Sheet4!N46</f>
        <v>1</v>
      </c>
      <c r="O47" s="68">
        <f>Sheet4!O46</f>
        <v>1</v>
      </c>
      <c r="P47" s="68">
        <f>Sheet4!P46</f>
        <v>1</v>
      </c>
      <c r="Q47" s="68">
        <f>Sheet4!Q46</f>
        <v>1</v>
      </c>
      <c r="R47" s="68">
        <f>Sheet4!R46</f>
        <v>1</v>
      </c>
      <c r="S47" s="68">
        <f>Sheet4!S46</f>
        <v>1</v>
      </c>
      <c r="T47" s="68">
        <f>Sheet4!T46</f>
        <v>1</v>
      </c>
      <c r="U47" s="68">
        <f>Sheet4!U46</f>
        <v>1</v>
      </c>
      <c r="V47" s="68">
        <f>Sheet4!V46</f>
        <v>1</v>
      </c>
      <c r="W47" s="68">
        <f>Sheet4!W46</f>
        <v>1</v>
      </c>
      <c r="X47" s="68">
        <f>Sheet4!X46</f>
        <v>1</v>
      </c>
      <c r="Y47" s="68">
        <f>Sheet4!Y46</f>
        <v>1</v>
      </c>
      <c r="Z47" s="68">
        <f>Sheet4!Z46</f>
        <v>1</v>
      </c>
      <c r="AA47" s="68">
        <f>Sheet4!AA46</f>
        <v>1</v>
      </c>
      <c r="AB47" s="68">
        <f>Sheet4!AB46</f>
        <v>1</v>
      </c>
      <c r="AC47" s="68">
        <f>Sheet4!AC46</f>
        <v>1</v>
      </c>
      <c r="AD47" s="68">
        <f>Sheet4!AD46</f>
        <v>1</v>
      </c>
      <c r="AE47" s="68">
        <f>Sheet4!AE46</f>
        <v>1</v>
      </c>
      <c r="AF47" s="68">
        <f>Sheet4!AF46</f>
        <v>1</v>
      </c>
      <c r="AG47" s="68">
        <f>Sheet4!AG46</f>
        <v>1</v>
      </c>
      <c r="AH47" s="68">
        <f>Sheet4!AH46</f>
        <v>1</v>
      </c>
      <c r="AI47" s="68">
        <f>Sheet4!AI46</f>
        <v>1</v>
      </c>
      <c r="AJ47" s="68">
        <f>Sheet4!AJ46</f>
        <v>1</v>
      </c>
      <c r="AK47" s="68">
        <f>Sheet4!AK46</f>
        <v>1</v>
      </c>
      <c r="AL47" s="68">
        <f>Sheet4!AL46</f>
        <v>1</v>
      </c>
      <c r="AM47" s="68">
        <f>Sheet4!AM46</f>
        <v>1</v>
      </c>
      <c r="AN47" s="68">
        <f>Sheet4!AN46</f>
        <v>1</v>
      </c>
      <c r="AO47" s="68">
        <f>Sheet4!AO46</f>
        <v>1</v>
      </c>
      <c r="AP47" s="68">
        <f>Sheet4!AP46</f>
        <v>1</v>
      </c>
      <c r="AQ47" s="68">
        <f>Sheet4!AQ46</f>
        <v>1</v>
      </c>
      <c r="AR47" s="68">
        <f>Sheet4!AR46</f>
        <v>1</v>
      </c>
      <c r="AS47" s="68">
        <f>Sheet4!AS46</f>
        <v>1</v>
      </c>
      <c r="AT47" s="68">
        <f>Sheet4!AT46</f>
        <v>1</v>
      </c>
      <c r="AU47" s="68">
        <f>Sheet4!AU46</f>
        <v>1</v>
      </c>
      <c r="AV47" s="68">
        <f>Sheet4!AV46</f>
        <v>1</v>
      </c>
      <c r="AW47" s="68">
        <f>Sheet4!AW46</f>
        <v>1</v>
      </c>
      <c r="AX47" s="68">
        <f>Sheet4!AX46</f>
        <v>1</v>
      </c>
      <c r="AY47" s="68">
        <f>Sheet4!AY46</f>
        <v>1</v>
      </c>
      <c r="AZ47" s="68">
        <f>Sheet4!AZ46</f>
        <v>1</v>
      </c>
      <c r="BA47" s="68">
        <f>Sheet4!BA46</f>
        <v>1</v>
      </c>
      <c r="BB47" s="68">
        <f>Sheet4!BB46</f>
        <v>1</v>
      </c>
      <c r="BC47" s="68">
        <f>Sheet4!BC46</f>
        <v>1</v>
      </c>
      <c r="BD47" s="68">
        <f>Sheet4!BD46</f>
        <v>1</v>
      </c>
      <c r="BE47" s="68">
        <f>Sheet4!BE46</f>
        <v>1</v>
      </c>
      <c r="BF47" s="68">
        <f>Sheet4!BF46</f>
        <v>1</v>
      </c>
      <c r="BG47" s="68">
        <f>Sheet4!BG46</f>
        <v>1</v>
      </c>
      <c r="BH47" s="68">
        <f>Sheet4!BH46</f>
        <v>1</v>
      </c>
      <c r="BI47" s="68">
        <f>Sheet4!BI46</f>
        <v>1</v>
      </c>
      <c r="BJ47" s="68">
        <f>Sheet4!BJ46</f>
        <v>1</v>
      </c>
      <c r="BK47" s="68">
        <f>Sheet4!BK46</f>
        <v>1</v>
      </c>
      <c r="BL47" s="68">
        <f>Sheet4!BL46</f>
        <v>1</v>
      </c>
      <c r="BM47" s="68">
        <f>Sheet4!BM46</f>
        <v>1</v>
      </c>
      <c r="BN47" s="68">
        <f>Sheet4!BN46</f>
        <v>1</v>
      </c>
      <c r="BO47" s="68">
        <f>Sheet4!BO46</f>
        <v>1</v>
      </c>
      <c r="BP47" s="68">
        <f>Sheet4!BP46</f>
        <v>1</v>
      </c>
      <c r="BQ47" s="68">
        <f>Sheet4!BQ46</f>
        <v>1</v>
      </c>
      <c r="BR47" s="68">
        <f>Sheet4!BR46</f>
        <v>1</v>
      </c>
      <c r="BS47" s="68">
        <f>Sheet4!BS46</f>
        <v>1</v>
      </c>
      <c r="BT47" s="68">
        <f>Sheet4!BT46</f>
        <v>1</v>
      </c>
      <c r="BU47" s="68">
        <f>Sheet4!BU46</f>
        <v>1</v>
      </c>
      <c r="BV47" s="68">
        <f>Sheet4!BV46</f>
        <v>1</v>
      </c>
      <c r="BW47" s="68">
        <f>Sheet4!BW46</f>
        <v>1</v>
      </c>
      <c r="BX47" s="68">
        <f>Sheet4!BX46</f>
        <v>0</v>
      </c>
      <c r="BY47" s="68">
        <f>Sheet4!BY46</f>
        <v>2</v>
      </c>
      <c r="BZ47" s="68">
        <f>Sheet4!BZ46</f>
        <v>1</v>
      </c>
      <c r="CA47" s="68">
        <f>Sheet4!CA46</f>
        <v>1</v>
      </c>
      <c r="CB47" s="68">
        <f>Sheet4!CB46</f>
        <v>1</v>
      </c>
      <c r="CC47" s="68">
        <f>Sheet4!CC46</f>
        <v>1</v>
      </c>
      <c r="CD47" s="68">
        <f>Sheet4!CD46</f>
        <v>1</v>
      </c>
      <c r="CE47" s="68">
        <f>Sheet4!CE46</f>
        <v>0</v>
      </c>
      <c r="CF47" s="68">
        <f>Sheet4!CF46</f>
        <v>1</v>
      </c>
      <c r="CG47" s="68">
        <f>Sheet4!CG46</f>
        <v>1</v>
      </c>
      <c r="CH47" s="68">
        <f>Sheet4!CH46</f>
        <v>1</v>
      </c>
      <c r="CI47" s="68">
        <f>Sheet4!CI46</f>
        <v>1</v>
      </c>
      <c r="CJ47" s="68">
        <f>Sheet4!CJ46</f>
        <v>1</v>
      </c>
      <c r="CK47" s="68">
        <f>Sheet4!CK46</f>
        <v>1</v>
      </c>
      <c r="CL47" s="68">
        <f>Sheet4!CL46</f>
        <v>1</v>
      </c>
      <c r="CM47" s="68">
        <f>Sheet4!CM46</f>
        <v>1</v>
      </c>
      <c r="CN47" s="68">
        <f>Sheet4!CN46</f>
        <v>1</v>
      </c>
      <c r="CO47" s="68">
        <f>Sheet4!CO46</f>
        <v>1</v>
      </c>
      <c r="CP47" s="68">
        <f>Sheet4!CP46</f>
        <v>1</v>
      </c>
      <c r="CQ47" s="68">
        <f>Sheet4!CQ46</f>
        <v>1</v>
      </c>
      <c r="CR47" s="68">
        <f>Sheet4!CR46</f>
        <v>1</v>
      </c>
      <c r="CS47" s="68">
        <f>Sheet4!CS46</f>
        <v>1</v>
      </c>
      <c r="CT47" s="68">
        <f>Sheet4!CT46</f>
        <v>1</v>
      </c>
      <c r="CU47" s="68">
        <f>Sheet4!CU46</f>
        <v>1</v>
      </c>
      <c r="CV47" s="68">
        <f>Sheet4!CV46</f>
        <v>1</v>
      </c>
      <c r="CW47" s="68">
        <f>Sheet4!CW46</f>
        <v>1</v>
      </c>
      <c r="CX47" s="68">
        <f>Sheet4!CX46</f>
        <v>1</v>
      </c>
      <c r="CY47" s="68">
        <f>Sheet4!CY46</f>
        <v>1</v>
      </c>
      <c r="CZ47" s="68">
        <f>Sheet4!CZ46</f>
        <v>0</v>
      </c>
      <c r="DA47" s="68">
        <f>Sheet4!DA46</f>
        <v>1</v>
      </c>
      <c r="DB47" s="68">
        <f>Sheet4!DB46</f>
        <v>0</v>
      </c>
      <c r="DC47" s="68">
        <f>Sheet4!DC46</f>
        <v>2</v>
      </c>
      <c r="DD47" s="68">
        <f>Sheet4!DD46</f>
        <v>1</v>
      </c>
      <c r="DE47" s="68">
        <f>Sheet4!DE46</f>
        <v>0</v>
      </c>
      <c r="DF47" s="68">
        <f>Sheet4!DF46</f>
        <v>1</v>
      </c>
      <c r="DG47" s="68">
        <f>Sheet4!DG46</f>
        <v>0</v>
      </c>
      <c r="DH47" s="68">
        <f>Sheet4!DH46</f>
        <v>0</v>
      </c>
      <c r="DI47" s="68">
        <f>Sheet4!DI46</f>
        <v>0</v>
      </c>
      <c r="DJ47" s="68">
        <f>Sheet4!DJ46</f>
        <v>0</v>
      </c>
      <c r="DK47" s="68">
        <f>Sheet4!DK46</f>
        <v>0</v>
      </c>
      <c r="DL47" s="68">
        <f>Sheet4!DL46</f>
        <v>0</v>
      </c>
      <c r="DM47" s="68">
        <f>Sheet4!DM46</f>
        <v>0</v>
      </c>
      <c r="DN47" s="68">
        <f>Sheet4!DN46</f>
        <v>0</v>
      </c>
      <c r="DO47" s="68">
        <f>Sheet4!DO46</f>
        <v>0</v>
      </c>
      <c r="DP47" s="68">
        <f>Sheet4!DP46</f>
        <v>0</v>
      </c>
      <c r="DQ47" s="68">
        <f>Sheet4!DQ46</f>
        <v>0</v>
      </c>
    </row>
    <row r="48" spans="1:121" ht="15.75" customHeight="1" x14ac:dyDescent="0.3">
      <c r="A48" s="40">
        <f>Sheet4!A47</f>
        <v>44</v>
      </c>
      <c r="B48" s="40" t="str">
        <f>Sheet4!B47</f>
        <v>አሸናፊ ጨመረ</v>
      </c>
      <c r="C48" s="26">
        <f>Sheet4!C47</f>
        <v>21000</v>
      </c>
      <c r="D48" s="68">
        <f>Sheet4!D47</f>
        <v>1</v>
      </c>
      <c r="E48" s="68">
        <f>Sheet4!E47</f>
        <v>1</v>
      </c>
      <c r="F48" s="68">
        <f>Sheet4!F47</f>
        <v>1</v>
      </c>
      <c r="G48" s="68">
        <f>Sheet4!G47</f>
        <v>1</v>
      </c>
      <c r="H48" s="68">
        <f>Sheet4!H47</f>
        <v>1</v>
      </c>
      <c r="I48" s="68">
        <f>Sheet4!I47</f>
        <v>1</v>
      </c>
      <c r="J48" s="68">
        <f>Sheet4!J47</f>
        <v>1</v>
      </c>
      <c r="K48" s="68">
        <f>Sheet4!K47</f>
        <v>1</v>
      </c>
      <c r="L48" s="68">
        <f>Sheet4!L47</f>
        <v>1</v>
      </c>
      <c r="M48" s="68">
        <f>Sheet4!M47</f>
        <v>1</v>
      </c>
      <c r="N48" s="68">
        <f>Sheet4!N47</f>
        <v>1</v>
      </c>
      <c r="O48" s="68">
        <f>Sheet4!O47</f>
        <v>1</v>
      </c>
      <c r="P48" s="68">
        <f>Sheet4!P47</f>
        <v>1</v>
      </c>
      <c r="Q48" s="68">
        <f>Sheet4!Q47</f>
        <v>1</v>
      </c>
      <c r="R48" s="68">
        <f>Sheet4!R47</f>
        <v>1</v>
      </c>
      <c r="S48" s="68">
        <f>Sheet4!S47</f>
        <v>1</v>
      </c>
      <c r="T48" s="68">
        <f>Sheet4!T47</f>
        <v>1</v>
      </c>
      <c r="U48" s="68">
        <f>Sheet4!U47</f>
        <v>1</v>
      </c>
      <c r="V48" s="68">
        <f>Sheet4!V47</f>
        <v>1</v>
      </c>
      <c r="W48" s="68">
        <f>Sheet4!W47</f>
        <v>1</v>
      </c>
      <c r="X48" s="68">
        <f>Sheet4!X47</f>
        <v>1</v>
      </c>
      <c r="Y48" s="68">
        <f>Sheet4!Y47</f>
        <v>1</v>
      </c>
      <c r="Z48" s="68">
        <f>Sheet4!Z47</f>
        <v>1</v>
      </c>
      <c r="AA48" s="68">
        <f>Sheet4!AA47</f>
        <v>1</v>
      </c>
      <c r="AB48" s="68">
        <f>Sheet4!AB47</f>
        <v>1</v>
      </c>
      <c r="AC48" s="68">
        <f>Sheet4!AC47</f>
        <v>1</v>
      </c>
      <c r="AD48" s="68">
        <f>Sheet4!AD47</f>
        <v>1</v>
      </c>
      <c r="AE48" s="68">
        <f>Sheet4!AE47</f>
        <v>1</v>
      </c>
      <c r="AF48" s="68">
        <f>Sheet4!AF47</f>
        <v>1</v>
      </c>
      <c r="AG48" s="68">
        <f>Sheet4!AG47</f>
        <v>1</v>
      </c>
      <c r="AH48" s="68">
        <f>Sheet4!AH47</f>
        <v>1</v>
      </c>
      <c r="AI48" s="68">
        <f>Sheet4!AI47</f>
        <v>1</v>
      </c>
      <c r="AJ48" s="68">
        <f>Sheet4!AJ47</f>
        <v>1</v>
      </c>
      <c r="AK48" s="68">
        <f>Sheet4!AK47</f>
        <v>1</v>
      </c>
      <c r="AL48" s="68">
        <f>Sheet4!AL47</f>
        <v>1</v>
      </c>
      <c r="AM48" s="68">
        <f>Sheet4!AM47</f>
        <v>1</v>
      </c>
      <c r="AN48" s="68">
        <f>Sheet4!AN47</f>
        <v>1</v>
      </c>
      <c r="AO48" s="68">
        <f>Sheet4!AO47</f>
        <v>1</v>
      </c>
      <c r="AP48" s="68">
        <f>Sheet4!AP47</f>
        <v>1</v>
      </c>
      <c r="AQ48" s="68">
        <f>Sheet4!AQ47</f>
        <v>1</v>
      </c>
      <c r="AR48" s="68">
        <f>Sheet4!AR47</f>
        <v>1</v>
      </c>
      <c r="AS48" s="68">
        <f>Sheet4!AS47</f>
        <v>1</v>
      </c>
      <c r="AT48" s="68">
        <f>Sheet4!AT47</f>
        <v>1</v>
      </c>
      <c r="AU48" s="68">
        <f>Sheet4!AU47</f>
        <v>1</v>
      </c>
      <c r="AV48" s="68">
        <f>Sheet4!AV47</f>
        <v>1</v>
      </c>
      <c r="AW48" s="68">
        <f>Sheet4!AW47</f>
        <v>1</v>
      </c>
      <c r="AX48" s="68">
        <f>Sheet4!AX47</f>
        <v>1</v>
      </c>
      <c r="AY48" s="68">
        <f>Sheet4!AY47</f>
        <v>1</v>
      </c>
      <c r="AZ48" s="68">
        <f>Sheet4!AZ47</f>
        <v>1</v>
      </c>
      <c r="BA48" s="68">
        <f>Sheet4!BA47</f>
        <v>1</v>
      </c>
      <c r="BB48" s="68">
        <f>Sheet4!BB47</f>
        <v>1</v>
      </c>
      <c r="BC48" s="68">
        <f>Sheet4!BC47</f>
        <v>1</v>
      </c>
      <c r="BD48" s="68">
        <f>Sheet4!BD47</f>
        <v>1</v>
      </c>
      <c r="BE48" s="68">
        <f>Sheet4!BE47</f>
        <v>1</v>
      </c>
      <c r="BF48" s="68">
        <f>Sheet4!BF47</f>
        <v>1</v>
      </c>
      <c r="BG48" s="68">
        <f>Sheet4!BG47</f>
        <v>1</v>
      </c>
      <c r="BH48" s="68">
        <f>Sheet4!BH47</f>
        <v>1</v>
      </c>
      <c r="BI48" s="68">
        <f>Sheet4!BI47</f>
        <v>1</v>
      </c>
      <c r="BJ48" s="68">
        <f>Sheet4!BJ47</f>
        <v>1</v>
      </c>
      <c r="BK48" s="68">
        <f>Sheet4!BK47</f>
        <v>1</v>
      </c>
      <c r="BL48" s="68">
        <f>Sheet4!BL47</f>
        <v>1</v>
      </c>
      <c r="BM48" s="68">
        <f>Sheet4!BM47</f>
        <v>1</v>
      </c>
      <c r="BN48" s="68">
        <f>Sheet4!BN47</f>
        <v>1</v>
      </c>
      <c r="BO48" s="68">
        <f>Sheet4!BO47</f>
        <v>1</v>
      </c>
      <c r="BP48" s="68">
        <f>Sheet4!BP47</f>
        <v>1</v>
      </c>
      <c r="BQ48" s="68">
        <f>Sheet4!BQ47</f>
        <v>1</v>
      </c>
      <c r="BR48" s="68">
        <f>Sheet4!BR47</f>
        <v>1</v>
      </c>
      <c r="BS48" s="68">
        <f>Sheet4!BS47</f>
        <v>1</v>
      </c>
      <c r="BT48" s="68">
        <f>Sheet4!BT47</f>
        <v>1</v>
      </c>
      <c r="BU48" s="68">
        <f>Sheet4!BU47</f>
        <v>1</v>
      </c>
      <c r="BV48" s="68">
        <f>Sheet4!BV47</f>
        <v>1</v>
      </c>
      <c r="BW48" s="68">
        <f>Sheet4!BW47</f>
        <v>1</v>
      </c>
      <c r="BX48" s="68">
        <f>Sheet4!BX47</f>
        <v>0</v>
      </c>
      <c r="BY48" s="68">
        <f>Sheet4!BY47</f>
        <v>2</v>
      </c>
      <c r="BZ48" s="68">
        <f>Sheet4!BZ47</f>
        <v>1</v>
      </c>
      <c r="CA48" s="68">
        <f>Sheet4!CA47</f>
        <v>1</v>
      </c>
      <c r="CB48" s="68">
        <f>Sheet4!CB47</f>
        <v>1</v>
      </c>
      <c r="CC48" s="68">
        <f>Sheet4!CC47</f>
        <v>1</v>
      </c>
      <c r="CD48" s="68">
        <f>Sheet4!CD47</f>
        <v>1</v>
      </c>
      <c r="CE48" s="68">
        <f>Sheet4!CE47</f>
        <v>0</v>
      </c>
      <c r="CF48" s="68">
        <f>Sheet4!CF47</f>
        <v>1</v>
      </c>
      <c r="CG48" s="68">
        <f>Sheet4!CG47</f>
        <v>1</v>
      </c>
      <c r="CH48" s="68">
        <f>Sheet4!CH47</f>
        <v>1</v>
      </c>
      <c r="CI48" s="68">
        <f>Sheet4!CI47</f>
        <v>1</v>
      </c>
      <c r="CJ48" s="68">
        <f>Sheet4!CJ47</f>
        <v>1</v>
      </c>
      <c r="CK48" s="68">
        <f>Sheet4!CK47</f>
        <v>1</v>
      </c>
      <c r="CL48" s="68">
        <f>Sheet4!CL47</f>
        <v>1</v>
      </c>
      <c r="CM48" s="68">
        <f>Sheet4!CM47</f>
        <v>1</v>
      </c>
      <c r="CN48" s="68">
        <f>Sheet4!CN47</f>
        <v>1</v>
      </c>
      <c r="CO48" s="68">
        <f>Sheet4!CO47</f>
        <v>1</v>
      </c>
      <c r="CP48" s="68">
        <f>Sheet4!CP47</f>
        <v>1</v>
      </c>
      <c r="CQ48" s="68">
        <f>Sheet4!CQ47</f>
        <v>1</v>
      </c>
      <c r="CR48" s="68">
        <f>Sheet4!CR47</f>
        <v>1</v>
      </c>
      <c r="CS48" s="68">
        <f>Sheet4!CS47</f>
        <v>1</v>
      </c>
      <c r="CT48" s="68">
        <f>Sheet4!CT47</f>
        <v>1</v>
      </c>
      <c r="CU48" s="68">
        <f>Sheet4!CU47</f>
        <v>1</v>
      </c>
      <c r="CV48" s="68">
        <f>Sheet4!CV47</f>
        <v>1</v>
      </c>
      <c r="CW48" s="68">
        <f>Sheet4!CW47</f>
        <v>1</v>
      </c>
      <c r="CX48" s="68">
        <f>Sheet4!CX47</f>
        <v>1</v>
      </c>
      <c r="CY48" s="68">
        <f>Sheet4!CY47</f>
        <v>1</v>
      </c>
      <c r="CZ48" s="68">
        <f>Sheet4!CZ47</f>
        <v>0</v>
      </c>
      <c r="DA48" s="68">
        <f>Sheet4!DA47</f>
        <v>1</v>
      </c>
      <c r="DB48" s="68">
        <f>Sheet4!DB47</f>
        <v>0</v>
      </c>
      <c r="DC48" s="68">
        <f>Sheet4!DC47</f>
        <v>2</v>
      </c>
      <c r="DD48" s="68">
        <f>Sheet4!DD47</f>
        <v>1</v>
      </c>
      <c r="DE48" s="68">
        <f>Sheet4!DE47</f>
        <v>0</v>
      </c>
      <c r="DF48" s="68">
        <f>Sheet4!DF47</f>
        <v>1</v>
      </c>
      <c r="DG48" s="68">
        <f>Sheet4!DG47</f>
        <v>0</v>
      </c>
      <c r="DH48" s="68">
        <f>Sheet4!DH47</f>
        <v>0</v>
      </c>
      <c r="DI48" s="68">
        <f>Sheet4!DI47</f>
        <v>0</v>
      </c>
      <c r="DJ48" s="68">
        <f>Sheet4!DJ47</f>
        <v>0</v>
      </c>
      <c r="DK48" s="68">
        <f>Sheet4!DK47</f>
        <v>0</v>
      </c>
      <c r="DL48" s="68">
        <f>Sheet4!DL47</f>
        <v>0</v>
      </c>
      <c r="DM48" s="68">
        <f>Sheet4!DM47</f>
        <v>0</v>
      </c>
      <c r="DN48" s="68">
        <f>Sheet4!DN47</f>
        <v>0</v>
      </c>
      <c r="DO48" s="68">
        <f>Sheet4!DO47</f>
        <v>0</v>
      </c>
      <c r="DP48" s="68">
        <f>Sheet4!DP47</f>
        <v>0</v>
      </c>
      <c r="DQ48" s="68">
        <f>Sheet4!DQ47</f>
        <v>0</v>
      </c>
    </row>
    <row r="49" spans="1:121" ht="15.75" customHeight="1" x14ac:dyDescent="0.3">
      <c r="A49" s="40">
        <f>Sheet4!A48</f>
        <v>45</v>
      </c>
      <c r="B49" s="40" t="str">
        <f>Sheet4!B48</f>
        <v>አሸናፊ ጨመረ</v>
      </c>
      <c r="C49" s="26">
        <f>Sheet4!C48</f>
        <v>21000</v>
      </c>
      <c r="D49" s="68">
        <f>Sheet4!D48</f>
        <v>1</v>
      </c>
      <c r="E49" s="68">
        <f>Sheet4!E48</f>
        <v>1</v>
      </c>
      <c r="F49" s="68">
        <f>Sheet4!F48</f>
        <v>1</v>
      </c>
      <c r="G49" s="68">
        <f>Sheet4!G48</f>
        <v>1</v>
      </c>
      <c r="H49" s="68">
        <f>Sheet4!H48</f>
        <v>1</v>
      </c>
      <c r="I49" s="68">
        <f>Sheet4!I48</f>
        <v>1</v>
      </c>
      <c r="J49" s="68">
        <f>Sheet4!J48</f>
        <v>1</v>
      </c>
      <c r="K49" s="68">
        <f>Sheet4!K48</f>
        <v>1</v>
      </c>
      <c r="L49" s="68">
        <f>Sheet4!L48</f>
        <v>1</v>
      </c>
      <c r="M49" s="68">
        <f>Sheet4!M48</f>
        <v>1</v>
      </c>
      <c r="N49" s="68">
        <f>Sheet4!N48</f>
        <v>1</v>
      </c>
      <c r="O49" s="68">
        <f>Sheet4!O48</f>
        <v>1</v>
      </c>
      <c r="P49" s="68">
        <f>Sheet4!P48</f>
        <v>1</v>
      </c>
      <c r="Q49" s="68">
        <f>Sheet4!Q48</f>
        <v>1</v>
      </c>
      <c r="R49" s="68">
        <f>Sheet4!R48</f>
        <v>1</v>
      </c>
      <c r="S49" s="68">
        <f>Sheet4!S48</f>
        <v>1</v>
      </c>
      <c r="T49" s="68">
        <f>Sheet4!T48</f>
        <v>1</v>
      </c>
      <c r="U49" s="68">
        <f>Sheet4!U48</f>
        <v>1</v>
      </c>
      <c r="V49" s="68">
        <f>Sheet4!V48</f>
        <v>1</v>
      </c>
      <c r="W49" s="68">
        <f>Sheet4!W48</f>
        <v>1</v>
      </c>
      <c r="X49" s="68">
        <f>Sheet4!X48</f>
        <v>1</v>
      </c>
      <c r="Y49" s="68">
        <f>Sheet4!Y48</f>
        <v>1</v>
      </c>
      <c r="Z49" s="68">
        <f>Sheet4!Z48</f>
        <v>1</v>
      </c>
      <c r="AA49" s="68">
        <f>Sheet4!AA48</f>
        <v>1</v>
      </c>
      <c r="AB49" s="68">
        <f>Sheet4!AB48</f>
        <v>1</v>
      </c>
      <c r="AC49" s="68">
        <f>Sheet4!AC48</f>
        <v>1</v>
      </c>
      <c r="AD49" s="68">
        <f>Sheet4!AD48</f>
        <v>1</v>
      </c>
      <c r="AE49" s="68">
        <f>Sheet4!AE48</f>
        <v>1</v>
      </c>
      <c r="AF49" s="68">
        <f>Sheet4!AF48</f>
        <v>1</v>
      </c>
      <c r="AG49" s="68">
        <f>Sheet4!AG48</f>
        <v>1</v>
      </c>
      <c r="AH49" s="68">
        <f>Sheet4!AH48</f>
        <v>1</v>
      </c>
      <c r="AI49" s="68">
        <f>Sheet4!AI48</f>
        <v>1</v>
      </c>
      <c r="AJ49" s="68">
        <f>Sheet4!AJ48</f>
        <v>1</v>
      </c>
      <c r="AK49" s="68">
        <f>Sheet4!AK48</f>
        <v>1</v>
      </c>
      <c r="AL49" s="68">
        <f>Sheet4!AL48</f>
        <v>1</v>
      </c>
      <c r="AM49" s="68">
        <f>Sheet4!AM48</f>
        <v>1</v>
      </c>
      <c r="AN49" s="68">
        <f>Sheet4!AN48</f>
        <v>1</v>
      </c>
      <c r="AO49" s="68">
        <f>Sheet4!AO48</f>
        <v>1</v>
      </c>
      <c r="AP49" s="68">
        <f>Sheet4!AP48</f>
        <v>1</v>
      </c>
      <c r="AQ49" s="68">
        <f>Sheet4!AQ48</f>
        <v>1</v>
      </c>
      <c r="AR49" s="68">
        <f>Sheet4!AR48</f>
        <v>1</v>
      </c>
      <c r="AS49" s="68">
        <f>Sheet4!AS48</f>
        <v>1</v>
      </c>
      <c r="AT49" s="68">
        <f>Sheet4!AT48</f>
        <v>1</v>
      </c>
      <c r="AU49" s="68">
        <f>Sheet4!AU48</f>
        <v>1</v>
      </c>
      <c r="AV49" s="68">
        <f>Sheet4!AV48</f>
        <v>1</v>
      </c>
      <c r="AW49" s="68">
        <f>Sheet4!AW48</f>
        <v>1</v>
      </c>
      <c r="AX49" s="68">
        <f>Sheet4!AX48</f>
        <v>1</v>
      </c>
      <c r="AY49" s="68">
        <f>Sheet4!AY48</f>
        <v>1</v>
      </c>
      <c r="AZ49" s="68">
        <f>Sheet4!AZ48</f>
        <v>1</v>
      </c>
      <c r="BA49" s="68">
        <f>Sheet4!BA48</f>
        <v>1</v>
      </c>
      <c r="BB49" s="68">
        <f>Sheet4!BB48</f>
        <v>1</v>
      </c>
      <c r="BC49" s="68">
        <f>Sheet4!BC48</f>
        <v>1</v>
      </c>
      <c r="BD49" s="68">
        <f>Sheet4!BD48</f>
        <v>1</v>
      </c>
      <c r="BE49" s="68">
        <f>Sheet4!BE48</f>
        <v>1</v>
      </c>
      <c r="BF49" s="68">
        <f>Sheet4!BF48</f>
        <v>1</v>
      </c>
      <c r="BG49" s="68">
        <f>Sheet4!BG48</f>
        <v>1</v>
      </c>
      <c r="BH49" s="68">
        <f>Sheet4!BH48</f>
        <v>1</v>
      </c>
      <c r="BI49" s="68">
        <f>Sheet4!BI48</f>
        <v>1</v>
      </c>
      <c r="BJ49" s="68">
        <f>Sheet4!BJ48</f>
        <v>1</v>
      </c>
      <c r="BK49" s="68">
        <f>Sheet4!BK48</f>
        <v>1</v>
      </c>
      <c r="BL49" s="68">
        <f>Sheet4!BL48</f>
        <v>1</v>
      </c>
      <c r="BM49" s="68">
        <f>Sheet4!BM48</f>
        <v>1</v>
      </c>
      <c r="BN49" s="68">
        <f>Sheet4!BN48</f>
        <v>1</v>
      </c>
      <c r="BO49" s="68">
        <f>Sheet4!BO48</f>
        <v>1</v>
      </c>
      <c r="BP49" s="68">
        <f>Sheet4!BP48</f>
        <v>1</v>
      </c>
      <c r="BQ49" s="68">
        <f>Sheet4!BQ48</f>
        <v>1</v>
      </c>
      <c r="BR49" s="68">
        <f>Sheet4!BR48</f>
        <v>1</v>
      </c>
      <c r="BS49" s="68">
        <f>Sheet4!BS48</f>
        <v>1</v>
      </c>
      <c r="BT49" s="68">
        <f>Sheet4!BT48</f>
        <v>1</v>
      </c>
      <c r="BU49" s="68">
        <f>Sheet4!BU48</f>
        <v>1</v>
      </c>
      <c r="BV49" s="68">
        <f>Sheet4!BV48</f>
        <v>1</v>
      </c>
      <c r="BW49" s="68">
        <f>Sheet4!BW48</f>
        <v>1</v>
      </c>
      <c r="BX49" s="68">
        <f>Sheet4!BX48</f>
        <v>0</v>
      </c>
      <c r="BY49" s="68">
        <f>Sheet4!BY48</f>
        <v>2</v>
      </c>
      <c r="BZ49" s="68">
        <f>Sheet4!BZ48</f>
        <v>1</v>
      </c>
      <c r="CA49" s="68">
        <f>Sheet4!CA48</f>
        <v>1</v>
      </c>
      <c r="CB49" s="68">
        <f>Sheet4!CB48</f>
        <v>1</v>
      </c>
      <c r="CC49" s="68">
        <f>Sheet4!CC48</f>
        <v>1</v>
      </c>
      <c r="CD49" s="68">
        <f>Sheet4!CD48</f>
        <v>1</v>
      </c>
      <c r="CE49" s="68">
        <f>Sheet4!CE48</f>
        <v>0</v>
      </c>
      <c r="CF49" s="68">
        <f>Sheet4!CF48</f>
        <v>1</v>
      </c>
      <c r="CG49" s="68">
        <f>Sheet4!CG48</f>
        <v>1</v>
      </c>
      <c r="CH49" s="68">
        <f>Sheet4!CH48</f>
        <v>1</v>
      </c>
      <c r="CI49" s="68">
        <f>Sheet4!CI48</f>
        <v>1</v>
      </c>
      <c r="CJ49" s="68">
        <f>Sheet4!CJ48</f>
        <v>1</v>
      </c>
      <c r="CK49" s="68">
        <f>Sheet4!CK48</f>
        <v>1</v>
      </c>
      <c r="CL49" s="68">
        <f>Sheet4!CL48</f>
        <v>1</v>
      </c>
      <c r="CM49" s="68">
        <f>Sheet4!CM48</f>
        <v>1</v>
      </c>
      <c r="CN49" s="68">
        <f>Sheet4!CN48</f>
        <v>1</v>
      </c>
      <c r="CO49" s="68">
        <f>Sheet4!CO48</f>
        <v>1</v>
      </c>
      <c r="CP49" s="68">
        <f>Sheet4!CP48</f>
        <v>1</v>
      </c>
      <c r="CQ49" s="68">
        <f>Sheet4!CQ48</f>
        <v>1</v>
      </c>
      <c r="CR49" s="68">
        <f>Sheet4!CR48</f>
        <v>1</v>
      </c>
      <c r="CS49" s="68">
        <f>Sheet4!CS48</f>
        <v>1</v>
      </c>
      <c r="CT49" s="68">
        <f>Sheet4!CT48</f>
        <v>1</v>
      </c>
      <c r="CU49" s="68">
        <f>Sheet4!CU48</f>
        <v>1</v>
      </c>
      <c r="CV49" s="68">
        <f>Sheet4!CV48</f>
        <v>1</v>
      </c>
      <c r="CW49" s="68">
        <f>Sheet4!CW48</f>
        <v>1</v>
      </c>
      <c r="CX49" s="68">
        <f>Sheet4!CX48</f>
        <v>1</v>
      </c>
      <c r="CY49" s="68">
        <f>Sheet4!CY48</f>
        <v>1</v>
      </c>
      <c r="CZ49" s="68">
        <f>Sheet4!CZ48</f>
        <v>0</v>
      </c>
      <c r="DA49" s="68">
        <f>Sheet4!DA48</f>
        <v>1</v>
      </c>
      <c r="DB49" s="68">
        <f>Sheet4!DB48</f>
        <v>0</v>
      </c>
      <c r="DC49" s="68">
        <f>Sheet4!DC48</f>
        <v>2</v>
      </c>
      <c r="DD49" s="68">
        <f>Sheet4!DD48</f>
        <v>1</v>
      </c>
      <c r="DE49" s="68">
        <f>Sheet4!DE48</f>
        <v>0</v>
      </c>
      <c r="DF49" s="68">
        <f>Sheet4!DF48</f>
        <v>1</v>
      </c>
      <c r="DG49" s="68">
        <f>Sheet4!DG48</f>
        <v>0</v>
      </c>
      <c r="DH49" s="68">
        <f>Sheet4!DH48</f>
        <v>0</v>
      </c>
      <c r="DI49" s="68">
        <f>Sheet4!DI48</f>
        <v>0</v>
      </c>
      <c r="DJ49" s="68">
        <f>Sheet4!DJ48</f>
        <v>0</v>
      </c>
      <c r="DK49" s="68">
        <f>Sheet4!DK48</f>
        <v>0</v>
      </c>
      <c r="DL49" s="68">
        <f>Sheet4!DL48</f>
        <v>0</v>
      </c>
      <c r="DM49" s="68">
        <f>Sheet4!DM48</f>
        <v>0</v>
      </c>
      <c r="DN49" s="68">
        <f>Sheet4!DN48</f>
        <v>0</v>
      </c>
      <c r="DO49" s="68">
        <f>Sheet4!DO48</f>
        <v>0</v>
      </c>
      <c r="DP49" s="68">
        <f>Sheet4!DP48</f>
        <v>0</v>
      </c>
      <c r="DQ49" s="68">
        <f>Sheet4!DQ48</f>
        <v>0</v>
      </c>
    </row>
    <row r="50" spans="1:121" ht="15.75" customHeight="1" x14ac:dyDescent="0.3">
      <c r="A50" s="40">
        <f>Sheet4!A49</f>
        <v>46</v>
      </c>
      <c r="B50" s="40" t="str">
        <f>Sheet4!B49</f>
        <v>ማሩ ዱቤ</v>
      </c>
      <c r="C50" s="26">
        <f>Sheet4!C49</f>
        <v>21000</v>
      </c>
      <c r="D50" s="68">
        <f>Sheet4!D49</f>
        <v>1</v>
      </c>
      <c r="E50" s="68">
        <f>Sheet4!E49</f>
        <v>1</v>
      </c>
      <c r="F50" s="68">
        <f>Sheet4!F49</f>
        <v>1</v>
      </c>
      <c r="G50" s="68">
        <f>Sheet4!G49</f>
        <v>1</v>
      </c>
      <c r="H50" s="68">
        <f>Sheet4!H49</f>
        <v>1</v>
      </c>
      <c r="I50" s="68">
        <f>Sheet4!I49</f>
        <v>1</v>
      </c>
      <c r="J50" s="68">
        <f>Sheet4!J49</f>
        <v>1</v>
      </c>
      <c r="K50" s="68">
        <f>Sheet4!K49</f>
        <v>1</v>
      </c>
      <c r="L50" s="68">
        <f>Sheet4!L49</f>
        <v>1</v>
      </c>
      <c r="M50" s="68">
        <f>Sheet4!M49</f>
        <v>1</v>
      </c>
      <c r="N50" s="68">
        <f>Sheet4!N49</f>
        <v>1</v>
      </c>
      <c r="O50" s="68">
        <f>Sheet4!O49</f>
        <v>1</v>
      </c>
      <c r="P50" s="68">
        <f>Sheet4!P49</f>
        <v>1</v>
      </c>
      <c r="Q50" s="68">
        <f>Sheet4!Q49</f>
        <v>1</v>
      </c>
      <c r="R50" s="68">
        <f>Sheet4!R49</f>
        <v>1</v>
      </c>
      <c r="S50" s="68">
        <f>Sheet4!S49</f>
        <v>1</v>
      </c>
      <c r="T50" s="68">
        <f>Sheet4!T49</f>
        <v>1</v>
      </c>
      <c r="U50" s="68">
        <f>Sheet4!U49</f>
        <v>1</v>
      </c>
      <c r="V50" s="68">
        <f>Sheet4!V49</f>
        <v>1</v>
      </c>
      <c r="W50" s="68">
        <f>Sheet4!W49</f>
        <v>1</v>
      </c>
      <c r="X50" s="68">
        <f>Sheet4!X49</f>
        <v>1</v>
      </c>
      <c r="Y50" s="68">
        <f>Sheet4!Y49</f>
        <v>1</v>
      </c>
      <c r="Z50" s="68">
        <f>Sheet4!Z49</f>
        <v>1</v>
      </c>
      <c r="AA50" s="68">
        <f>Sheet4!AA49</f>
        <v>1</v>
      </c>
      <c r="AB50" s="68">
        <f>Sheet4!AB49</f>
        <v>1</v>
      </c>
      <c r="AC50" s="68">
        <f>Sheet4!AC49</f>
        <v>1</v>
      </c>
      <c r="AD50" s="68">
        <f>Sheet4!AD49</f>
        <v>1</v>
      </c>
      <c r="AE50" s="68">
        <f>Sheet4!AE49</f>
        <v>1</v>
      </c>
      <c r="AF50" s="68">
        <f>Sheet4!AF49</f>
        <v>1</v>
      </c>
      <c r="AG50" s="68">
        <f>Sheet4!AG49</f>
        <v>1</v>
      </c>
      <c r="AH50" s="68">
        <f>Sheet4!AH49</f>
        <v>1</v>
      </c>
      <c r="AI50" s="68">
        <f>Sheet4!AI49</f>
        <v>1</v>
      </c>
      <c r="AJ50" s="68">
        <f>Sheet4!AJ49</f>
        <v>1</v>
      </c>
      <c r="AK50" s="68">
        <f>Sheet4!AK49</f>
        <v>1</v>
      </c>
      <c r="AL50" s="68">
        <f>Sheet4!AL49</f>
        <v>1</v>
      </c>
      <c r="AM50" s="68">
        <f>Sheet4!AM49</f>
        <v>1</v>
      </c>
      <c r="AN50" s="68">
        <f>Sheet4!AN49</f>
        <v>1</v>
      </c>
      <c r="AO50" s="68">
        <f>Sheet4!AO49</f>
        <v>1</v>
      </c>
      <c r="AP50" s="68">
        <f>Sheet4!AP49</f>
        <v>1</v>
      </c>
      <c r="AQ50" s="68">
        <f>Sheet4!AQ49</f>
        <v>1</v>
      </c>
      <c r="AR50" s="68">
        <f>Sheet4!AR49</f>
        <v>1</v>
      </c>
      <c r="AS50" s="68">
        <f>Sheet4!AS49</f>
        <v>1</v>
      </c>
      <c r="AT50" s="68">
        <f>Sheet4!AT49</f>
        <v>1</v>
      </c>
      <c r="AU50" s="68">
        <f>Sheet4!AU49</f>
        <v>1</v>
      </c>
      <c r="AV50" s="68">
        <f>Sheet4!AV49</f>
        <v>1</v>
      </c>
      <c r="AW50" s="68">
        <f>Sheet4!AW49</f>
        <v>1</v>
      </c>
      <c r="AX50" s="68">
        <f>Sheet4!AX49</f>
        <v>1</v>
      </c>
      <c r="AY50" s="68">
        <f>Sheet4!AY49</f>
        <v>1</v>
      </c>
      <c r="AZ50" s="68">
        <f>Sheet4!AZ49</f>
        <v>1</v>
      </c>
      <c r="BA50" s="68">
        <f>Sheet4!BA49</f>
        <v>1</v>
      </c>
      <c r="BB50" s="68">
        <f>Sheet4!BB49</f>
        <v>1</v>
      </c>
      <c r="BC50" s="68">
        <f>Sheet4!BC49</f>
        <v>1</v>
      </c>
      <c r="BD50" s="68">
        <f>Sheet4!BD49</f>
        <v>1</v>
      </c>
      <c r="BE50" s="68">
        <f>Sheet4!BE49</f>
        <v>1</v>
      </c>
      <c r="BF50" s="68">
        <f>Sheet4!BF49</f>
        <v>1</v>
      </c>
      <c r="BG50" s="68">
        <f>Sheet4!BG49</f>
        <v>1</v>
      </c>
      <c r="BH50" s="68">
        <f>Sheet4!BH49</f>
        <v>1</v>
      </c>
      <c r="BI50" s="68">
        <f>Sheet4!BI49</f>
        <v>1</v>
      </c>
      <c r="BJ50" s="68">
        <f>Sheet4!BJ49</f>
        <v>1</v>
      </c>
      <c r="BK50" s="68">
        <f>Sheet4!BK49</f>
        <v>1</v>
      </c>
      <c r="BL50" s="68">
        <f>Sheet4!BL49</f>
        <v>1</v>
      </c>
      <c r="BM50" s="68">
        <f>Sheet4!BM49</f>
        <v>0</v>
      </c>
      <c r="BN50" s="68">
        <f>Sheet4!BN49</f>
        <v>2</v>
      </c>
      <c r="BO50" s="68">
        <f>Sheet4!BO49</f>
        <v>1</v>
      </c>
      <c r="BP50" s="68">
        <f>Sheet4!BP49</f>
        <v>1</v>
      </c>
      <c r="BQ50" s="68">
        <f>Sheet4!BQ49</f>
        <v>1</v>
      </c>
      <c r="BR50" s="68">
        <f>Sheet4!BR49</f>
        <v>1</v>
      </c>
      <c r="BS50" s="68">
        <f>Sheet4!BS49</f>
        <v>1</v>
      </c>
      <c r="BT50" s="68">
        <f>Sheet4!BT49</f>
        <v>1</v>
      </c>
      <c r="BU50" s="68">
        <f>Sheet4!BU49</f>
        <v>1</v>
      </c>
      <c r="BV50" s="68">
        <f>Sheet4!BV49</f>
        <v>1</v>
      </c>
      <c r="BW50" s="68">
        <f>Sheet4!BW49</f>
        <v>1</v>
      </c>
      <c r="BX50" s="68">
        <f>Sheet4!BX49</f>
        <v>1</v>
      </c>
      <c r="BY50" s="68">
        <f>Sheet4!BY49</f>
        <v>1</v>
      </c>
      <c r="BZ50" s="68">
        <f>Sheet4!BZ49</f>
        <v>1</v>
      </c>
      <c r="CA50" s="68">
        <f>Sheet4!CA49</f>
        <v>1</v>
      </c>
      <c r="CB50" s="68">
        <f>Sheet4!CB49</f>
        <v>1</v>
      </c>
      <c r="CC50" s="68">
        <f>Sheet4!CC49</f>
        <v>1</v>
      </c>
      <c r="CD50" s="68">
        <f>Sheet4!CD49</f>
        <v>1</v>
      </c>
      <c r="CE50" s="68">
        <f>Sheet4!CE49</f>
        <v>1</v>
      </c>
      <c r="CF50" s="68">
        <f>Sheet4!CF49</f>
        <v>1</v>
      </c>
      <c r="CG50" s="68">
        <f>Sheet4!CG49</f>
        <v>1</v>
      </c>
      <c r="CH50" s="68">
        <f>Sheet4!CH49</f>
        <v>1</v>
      </c>
      <c r="CI50" s="68">
        <f>Sheet4!CI49</f>
        <v>1</v>
      </c>
      <c r="CJ50" s="68">
        <f>Sheet4!CJ49</f>
        <v>1</v>
      </c>
      <c r="CK50" s="68">
        <f>Sheet4!CK49</f>
        <v>1</v>
      </c>
      <c r="CL50" s="68">
        <f>Sheet4!CL49</f>
        <v>1</v>
      </c>
      <c r="CM50" s="68">
        <f>Sheet4!CM49</f>
        <v>1</v>
      </c>
      <c r="CN50" s="68">
        <f>Sheet4!CN49</f>
        <v>1</v>
      </c>
      <c r="CO50" s="68">
        <f>Sheet4!CO49</f>
        <v>1</v>
      </c>
      <c r="CP50" s="68">
        <f>Sheet4!CP49</f>
        <v>1</v>
      </c>
      <c r="CQ50" s="68">
        <f>Sheet4!CQ49</f>
        <v>1</v>
      </c>
      <c r="CR50" s="68">
        <f>Sheet4!CR49</f>
        <v>1</v>
      </c>
      <c r="CS50" s="68">
        <f>Sheet4!CS49</f>
        <v>1</v>
      </c>
      <c r="CT50" s="68">
        <f>Sheet4!CT49</f>
        <v>1</v>
      </c>
      <c r="CU50" s="68">
        <f>Sheet4!CU49</f>
        <v>1</v>
      </c>
      <c r="CV50" s="68">
        <f>Sheet4!CV49</f>
        <v>1</v>
      </c>
      <c r="CW50" s="68">
        <f>Sheet4!CW49</f>
        <v>1</v>
      </c>
      <c r="CX50" s="68">
        <f>Sheet4!CX49</f>
        <v>1</v>
      </c>
      <c r="CY50" s="68">
        <f>Sheet4!CY49</f>
        <v>1</v>
      </c>
      <c r="CZ50" s="68">
        <f>Sheet4!CZ49</f>
        <v>1</v>
      </c>
      <c r="DA50" s="68">
        <f>Sheet4!DA49</f>
        <v>1</v>
      </c>
      <c r="DB50" s="68">
        <f>Sheet4!DB49</f>
        <v>1</v>
      </c>
      <c r="DC50" s="68">
        <f>Sheet4!DC49</f>
        <v>1</v>
      </c>
      <c r="DD50" s="68">
        <f>Sheet4!DD49</f>
        <v>1</v>
      </c>
      <c r="DE50" s="68">
        <f>Sheet4!DE49</f>
        <v>1</v>
      </c>
      <c r="DF50" s="68">
        <f>Sheet4!DF49</f>
        <v>1</v>
      </c>
      <c r="DG50" s="68">
        <f>Sheet4!DG49</f>
        <v>1</v>
      </c>
      <c r="DH50" s="68">
        <f>Sheet4!DH49</f>
        <v>0</v>
      </c>
      <c r="DI50" s="68">
        <f>Sheet4!DI49</f>
        <v>0</v>
      </c>
      <c r="DJ50" s="68">
        <f>Sheet4!DJ49</f>
        <v>0</v>
      </c>
      <c r="DK50" s="68">
        <f>Sheet4!DK49</f>
        <v>0</v>
      </c>
      <c r="DL50" s="68">
        <f>Sheet4!DL49</f>
        <v>0</v>
      </c>
      <c r="DM50" s="68">
        <f>Sheet4!DM49</f>
        <v>0</v>
      </c>
      <c r="DN50" s="68">
        <f>Sheet4!DN49</f>
        <v>0</v>
      </c>
      <c r="DO50" s="68">
        <f>Sheet4!DO49</f>
        <v>0</v>
      </c>
      <c r="DP50" s="68">
        <f>Sheet4!DP49</f>
        <v>0</v>
      </c>
      <c r="DQ50" s="68">
        <f>Sheet4!DQ49</f>
        <v>0</v>
      </c>
    </row>
    <row r="51" spans="1:121" ht="15.75" customHeight="1" x14ac:dyDescent="0.3">
      <c r="A51" s="40">
        <f>Sheet4!A50</f>
        <v>47</v>
      </c>
      <c r="B51" s="40" t="str">
        <f>Sheet4!B50</f>
        <v xml:space="preserve">ሞገስ ግርማ </v>
      </c>
      <c r="C51" s="26">
        <f>Sheet4!C50</f>
        <v>21000</v>
      </c>
      <c r="D51" s="68">
        <f>Sheet4!D50</f>
        <v>1</v>
      </c>
      <c r="E51" s="68">
        <f>Sheet4!E50</f>
        <v>1</v>
      </c>
      <c r="F51" s="68">
        <f>Sheet4!F50</f>
        <v>1</v>
      </c>
      <c r="G51" s="68">
        <f>Sheet4!G50</f>
        <v>1</v>
      </c>
      <c r="H51" s="68">
        <f>Sheet4!H50</f>
        <v>1</v>
      </c>
      <c r="I51" s="68">
        <f>Sheet4!I50</f>
        <v>1</v>
      </c>
      <c r="J51" s="68">
        <f>Sheet4!J50</f>
        <v>1</v>
      </c>
      <c r="K51" s="68">
        <f>Sheet4!K50</f>
        <v>1</v>
      </c>
      <c r="L51" s="68">
        <f>Sheet4!L50</f>
        <v>1</v>
      </c>
      <c r="M51" s="68">
        <f>Sheet4!M50</f>
        <v>1</v>
      </c>
      <c r="N51" s="68">
        <f>Sheet4!N50</f>
        <v>1</v>
      </c>
      <c r="O51" s="68">
        <f>Sheet4!O50</f>
        <v>1</v>
      </c>
      <c r="P51" s="68">
        <f>Sheet4!P50</f>
        <v>1</v>
      </c>
      <c r="Q51" s="68">
        <f>Sheet4!Q50</f>
        <v>1</v>
      </c>
      <c r="R51" s="68">
        <f>Sheet4!R50</f>
        <v>1</v>
      </c>
      <c r="S51" s="68">
        <f>Sheet4!S50</f>
        <v>1</v>
      </c>
      <c r="T51" s="68">
        <f>Sheet4!T50</f>
        <v>1</v>
      </c>
      <c r="U51" s="68">
        <f>Sheet4!U50</f>
        <v>1</v>
      </c>
      <c r="V51" s="68">
        <f>Sheet4!V50</f>
        <v>1</v>
      </c>
      <c r="W51" s="68">
        <f>Sheet4!W50</f>
        <v>1</v>
      </c>
      <c r="X51" s="68">
        <f>Sheet4!X50</f>
        <v>1</v>
      </c>
      <c r="Y51" s="68">
        <f>Sheet4!Y50</f>
        <v>1</v>
      </c>
      <c r="Z51" s="68">
        <f>Sheet4!Z50</f>
        <v>1</v>
      </c>
      <c r="AA51" s="68">
        <f>Sheet4!AA50</f>
        <v>1</v>
      </c>
      <c r="AB51" s="68">
        <f>Sheet4!AB50</f>
        <v>1</v>
      </c>
      <c r="AC51" s="68">
        <f>Sheet4!AC50</f>
        <v>1</v>
      </c>
      <c r="AD51" s="68">
        <f>Sheet4!AD50</f>
        <v>1</v>
      </c>
      <c r="AE51" s="68">
        <f>Sheet4!AE50</f>
        <v>1</v>
      </c>
      <c r="AF51" s="68">
        <f>Sheet4!AF50</f>
        <v>1</v>
      </c>
      <c r="AG51" s="68">
        <f>Sheet4!AG50</f>
        <v>1</v>
      </c>
      <c r="AH51" s="68">
        <f>Sheet4!AH50</f>
        <v>1</v>
      </c>
      <c r="AI51" s="68">
        <f>Sheet4!AI50</f>
        <v>1</v>
      </c>
      <c r="AJ51" s="68">
        <f>Sheet4!AJ50</f>
        <v>1</v>
      </c>
      <c r="AK51" s="68">
        <f>Sheet4!AK50</f>
        <v>1</v>
      </c>
      <c r="AL51" s="68">
        <f>Sheet4!AL50</f>
        <v>1</v>
      </c>
      <c r="AM51" s="68">
        <f>Sheet4!AM50</f>
        <v>1</v>
      </c>
      <c r="AN51" s="68">
        <f>Sheet4!AN50</f>
        <v>1</v>
      </c>
      <c r="AO51" s="68">
        <f>Sheet4!AO50</f>
        <v>1</v>
      </c>
      <c r="AP51" s="68">
        <f>Sheet4!AP50</f>
        <v>1</v>
      </c>
      <c r="AQ51" s="68">
        <f>Sheet4!AQ50</f>
        <v>1</v>
      </c>
      <c r="AR51" s="68">
        <f>Sheet4!AR50</f>
        <v>1</v>
      </c>
      <c r="AS51" s="68">
        <f>Sheet4!AS50</f>
        <v>1</v>
      </c>
      <c r="AT51" s="68">
        <f>Sheet4!AT50</f>
        <v>1</v>
      </c>
      <c r="AU51" s="68">
        <f>Sheet4!AU50</f>
        <v>1</v>
      </c>
      <c r="AV51" s="68">
        <f>Sheet4!AV50</f>
        <v>1</v>
      </c>
      <c r="AW51" s="68">
        <f>Sheet4!AW50</f>
        <v>1</v>
      </c>
      <c r="AX51" s="68">
        <f>Sheet4!AX50</f>
        <v>1</v>
      </c>
      <c r="AY51" s="68">
        <f>Sheet4!AY50</f>
        <v>0</v>
      </c>
      <c r="AZ51" s="68">
        <f>Sheet4!AZ50</f>
        <v>2</v>
      </c>
      <c r="BA51" s="68">
        <f>Sheet4!BA50</f>
        <v>1</v>
      </c>
      <c r="BB51" s="68">
        <f>Sheet4!BB50</f>
        <v>1</v>
      </c>
      <c r="BC51" s="68">
        <f>Sheet4!BC50</f>
        <v>1</v>
      </c>
      <c r="BD51" s="68">
        <f>Sheet4!BD50</f>
        <v>1</v>
      </c>
      <c r="BE51" s="68">
        <f>Sheet4!BE50</f>
        <v>1</v>
      </c>
      <c r="BF51" s="68">
        <f>Sheet4!BF50</f>
        <v>1</v>
      </c>
      <c r="BG51" s="68">
        <f>Sheet4!BG50</f>
        <v>1</v>
      </c>
      <c r="BH51" s="68">
        <f>Sheet4!BH50</f>
        <v>1</v>
      </c>
      <c r="BI51" s="68">
        <f>Sheet4!BI50</f>
        <v>1</v>
      </c>
      <c r="BJ51" s="68">
        <f>Sheet4!BJ50</f>
        <v>1</v>
      </c>
      <c r="BK51" s="68">
        <f>Sheet4!BK50</f>
        <v>1</v>
      </c>
      <c r="BL51" s="68">
        <f>Sheet4!BL50</f>
        <v>1</v>
      </c>
      <c r="BM51" s="68">
        <f>Sheet4!BM50</f>
        <v>0</v>
      </c>
      <c r="BN51" s="68">
        <f>Sheet4!BN50</f>
        <v>2</v>
      </c>
      <c r="BO51" s="68">
        <f>Sheet4!BO50</f>
        <v>1</v>
      </c>
      <c r="BP51" s="68">
        <f>Sheet4!BP50</f>
        <v>1</v>
      </c>
      <c r="BQ51" s="68">
        <f>Sheet4!BQ50</f>
        <v>1</v>
      </c>
      <c r="BR51" s="68">
        <f>Sheet4!BR50</f>
        <v>1</v>
      </c>
      <c r="BS51" s="68">
        <f>Sheet4!BS50</f>
        <v>1</v>
      </c>
      <c r="BT51" s="68">
        <f>Sheet4!BT50</f>
        <v>1</v>
      </c>
      <c r="BU51" s="68">
        <f>Sheet4!BU50</f>
        <v>1</v>
      </c>
      <c r="BV51" s="68">
        <f>Sheet4!BV50</f>
        <v>1</v>
      </c>
      <c r="BW51" s="68">
        <f>Sheet4!BW50</f>
        <v>1</v>
      </c>
      <c r="BX51" s="68">
        <f>Sheet4!BX50</f>
        <v>1</v>
      </c>
      <c r="BY51" s="68">
        <f>Sheet4!BY50</f>
        <v>1</v>
      </c>
      <c r="BZ51" s="68">
        <f>Sheet4!BZ50</f>
        <v>1</v>
      </c>
      <c r="CA51" s="68">
        <f>Sheet4!CA50</f>
        <v>1</v>
      </c>
      <c r="CB51" s="68">
        <f>Sheet4!CB50</f>
        <v>1</v>
      </c>
      <c r="CC51" s="68">
        <f>Sheet4!CC50</f>
        <v>1</v>
      </c>
      <c r="CD51" s="68">
        <f>Sheet4!CD50</f>
        <v>1</v>
      </c>
      <c r="CE51" s="68">
        <f>Sheet4!CE50</f>
        <v>1</v>
      </c>
      <c r="CF51" s="68">
        <f>Sheet4!CF50</f>
        <v>1</v>
      </c>
      <c r="CG51" s="68">
        <f>Sheet4!CG50</f>
        <v>1</v>
      </c>
      <c r="CH51" s="68">
        <f>Sheet4!CH50</f>
        <v>1</v>
      </c>
      <c r="CI51" s="68">
        <f>Sheet4!CI50</f>
        <v>1</v>
      </c>
      <c r="CJ51" s="68">
        <f>Sheet4!CJ50</f>
        <v>1</v>
      </c>
      <c r="CK51" s="68">
        <f>Sheet4!CK50</f>
        <v>1</v>
      </c>
      <c r="CL51" s="68">
        <f>Sheet4!CL50</f>
        <v>1</v>
      </c>
      <c r="CM51" s="68">
        <f>Sheet4!CM50</f>
        <v>0</v>
      </c>
      <c r="CN51" s="68">
        <f>Sheet4!CN50</f>
        <v>1</v>
      </c>
      <c r="CO51" s="68">
        <f>Sheet4!CO50</f>
        <v>1</v>
      </c>
      <c r="CP51" s="68">
        <f>Sheet4!CP50</f>
        <v>1</v>
      </c>
      <c r="CQ51" s="68">
        <f>Sheet4!CQ50</f>
        <v>1</v>
      </c>
      <c r="CR51" s="68">
        <f>Sheet4!CR50</f>
        <v>0</v>
      </c>
      <c r="CS51" s="68">
        <f>Sheet4!CS50</f>
        <v>2</v>
      </c>
      <c r="CT51" s="68">
        <f>Sheet4!CT50</f>
        <v>1</v>
      </c>
      <c r="CU51" s="68">
        <f>Sheet4!CU50</f>
        <v>1</v>
      </c>
      <c r="CV51" s="68">
        <f>Sheet4!CV50</f>
        <v>1</v>
      </c>
      <c r="CW51" s="68">
        <f>Sheet4!CW50</f>
        <v>1</v>
      </c>
      <c r="CX51" s="68">
        <f>Sheet4!CX50</f>
        <v>1</v>
      </c>
      <c r="CY51" s="68">
        <f>Sheet4!CY50</f>
        <v>1</v>
      </c>
      <c r="CZ51" s="68">
        <f>Sheet4!CZ50</f>
        <v>1</v>
      </c>
      <c r="DA51" s="68">
        <f>Sheet4!DA50</f>
        <v>1</v>
      </c>
      <c r="DB51" s="68">
        <f>Sheet4!DB50</f>
        <v>1</v>
      </c>
      <c r="DC51" s="68">
        <f>Sheet4!DC50</f>
        <v>1</v>
      </c>
      <c r="DD51" s="68">
        <f>Sheet4!DD50</f>
        <v>1</v>
      </c>
      <c r="DE51" s="68">
        <f>Sheet4!DE50</f>
        <v>1</v>
      </c>
      <c r="DF51" s="68">
        <f>Sheet4!DF50</f>
        <v>1</v>
      </c>
      <c r="DG51" s="68">
        <f>Sheet4!DG50</f>
        <v>1</v>
      </c>
      <c r="DH51" s="68">
        <f>Sheet4!DH50</f>
        <v>0</v>
      </c>
      <c r="DI51" s="68">
        <f>Sheet4!DI50</f>
        <v>0</v>
      </c>
      <c r="DJ51" s="68">
        <f>Sheet4!DJ50</f>
        <v>0</v>
      </c>
      <c r="DK51" s="68">
        <f>Sheet4!DK50</f>
        <v>0</v>
      </c>
      <c r="DL51" s="68">
        <f>Sheet4!DL50</f>
        <v>0</v>
      </c>
      <c r="DM51" s="68">
        <f>Sheet4!DM50</f>
        <v>0</v>
      </c>
      <c r="DN51" s="68">
        <f>Sheet4!DN50</f>
        <v>0</v>
      </c>
      <c r="DO51" s="68">
        <f>Sheet4!DO50</f>
        <v>0</v>
      </c>
      <c r="DP51" s="68">
        <f>Sheet4!DP50</f>
        <v>0</v>
      </c>
      <c r="DQ51" s="68">
        <f>Sheet4!DQ50</f>
        <v>0</v>
      </c>
    </row>
    <row r="52" spans="1:121" ht="15.75" customHeight="1" x14ac:dyDescent="0.3">
      <c r="A52" s="40">
        <f>Sheet4!A51</f>
        <v>48</v>
      </c>
      <c r="B52" s="40" t="str">
        <f>Sheet4!B51</f>
        <v>ደርጋሶ ደንዴ</v>
      </c>
      <c r="C52" s="26">
        <f>Sheet4!C51</f>
        <v>21000</v>
      </c>
      <c r="D52" s="68">
        <f>Sheet4!D51</f>
        <v>1</v>
      </c>
      <c r="E52" s="68">
        <f>Sheet4!E51</f>
        <v>1</v>
      </c>
      <c r="F52" s="68">
        <f>Sheet4!F51</f>
        <v>1</v>
      </c>
      <c r="G52" s="68">
        <f>Sheet4!G51</f>
        <v>1</v>
      </c>
      <c r="H52" s="68">
        <f>Sheet4!H51</f>
        <v>1</v>
      </c>
      <c r="I52" s="68">
        <f>Sheet4!I51</f>
        <v>1</v>
      </c>
      <c r="J52" s="68">
        <f>Sheet4!J51</f>
        <v>1</v>
      </c>
      <c r="K52" s="68">
        <f>Sheet4!K51</f>
        <v>1</v>
      </c>
      <c r="L52" s="68">
        <f>Sheet4!L51</f>
        <v>1</v>
      </c>
      <c r="M52" s="68">
        <f>Sheet4!M51</f>
        <v>1</v>
      </c>
      <c r="N52" s="68">
        <f>Sheet4!N51</f>
        <v>1</v>
      </c>
      <c r="O52" s="68">
        <f>Sheet4!O51</f>
        <v>1</v>
      </c>
      <c r="P52" s="68">
        <f>Sheet4!P51</f>
        <v>1</v>
      </c>
      <c r="Q52" s="68">
        <f>Sheet4!Q51</f>
        <v>1</v>
      </c>
      <c r="R52" s="68">
        <f>Sheet4!R51</f>
        <v>1</v>
      </c>
      <c r="S52" s="68">
        <f>Sheet4!S51</f>
        <v>1</v>
      </c>
      <c r="T52" s="68">
        <f>Sheet4!T51</f>
        <v>1</v>
      </c>
      <c r="U52" s="68">
        <f>Sheet4!U51</f>
        <v>1</v>
      </c>
      <c r="V52" s="68">
        <f>Sheet4!V51</f>
        <v>1</v>
      </c>
      <c r="W52" s="68">
        <f>Sheet4!W51</f>
        <v>1</v>
      </c>
      <c r="X52" s="68">
        <f>Sheet4!X51</f>
        <v>1</v>
      </c>
      <c r="Y52" s="68">
        <f>Sheet4!Y51</f>
        <v>1</v>
      </c>
      <c r="Z52" s="68">
        <f>Sheet4!Z51</f>
        <v>1</v>
      </c>
      <c r="AA52" s="68">
        <f>Sheet4!AA51</f>
        <v>1</v>
      </c>
      <c r="AB52" s="68">
        <f>Sheet4!AB51</f>
        <v>1</v>
      </c>
      <c r="AC52" s="68">
        <f>Sheet4!AC51</f>
        <v>1</v>
      </c>
      <c r="AD52" s="68">
        <f>Sheet4!AD51</f>
        <v>1</v>
      </c>
      <c r="AE52" s="68">
        <f>Sheet4!AE51</f>
        <v>1</v>
      </c>
      <c r="AF52" s="68">
        <f>Sheet4!AF51</f>
        <v>1</v>
      </c>
      <c r="AG52" s="68">
        <f>Sheet4!AG51</f>
        <v>1</v>
      </c>
      <c r="AH52" s="68">
        <f>Sheet4!AH51</f>
        <v>1</v>
      </c>
      <c r="AI52" s="68">
        <f>Sheet4!AI51</f>
        <v>1</v>
      </c>
      <c r="AJ52" s="68">
        <f>Sheet4!AJ51</f>
        <v>1</v>
      </c>
      <c r="AK52" s="68">
        <f>Sheet4!AK51</f>
        <v>0</v>
      </c>
      <c r="AL52" s="68">
        <f>Sheet4!AL51</f>
        <v>2</v>
      </c>
      <c r="AM52" s="68">
        <f>Sheet4!AM51</f>
        <v>1</v>
      </c>
      <c r="AN52" s="68">
        <f>Sheet4!AN51</f>
        <v>0</v>
      </c>
      <c r="AO52" s="68">
        <f>Sheet4!AO51</f>
        <v>2</v>
      </c>
      <c r="AP52" s="68">
        <f>Sheet4!AP51</f>
        <v>0</v>
      </c>
      <c r="AQ52" s="68">
        <f>Sheet4!AQ51</f>
        <v>2</v>
      </c>
      <c r="AR52" s="68">
        <f>Sheet4!AR51</f>
        <v>1</v>
      </c>
      <c r="AS52" s="68">
        <f>Sheet4!AS51</f>
        <v>0</v>
      </c>
      <c r="AT52" s="68">
        <f>Sheet4!AT51</f>
        <v>2</v>
      </c>
      <c r="AU52" s="68">
        <f>Sheet4!AU51</f>
        <v>0</v>
      </c>
      <c r="AV52" s="68">
        <f>Sheet4!AV51</f>
        <v>2</v>
      </c>
      <c r="AW52" s="68">
        <f>Sheet4!AW51</f>
        <v>0</v>
      </c>
      <c r="AX52" s="68">
        <f>Sheet4!AX51</f>
        <v>1</v>
      </c>
      <c r="AY52" s="68">
        <f>Sheet4!AY51</f>
        <v>1</v>
      </c>
      <c r="AZ52" s="68">
        <f>Sheet4!AZ51</f>
        <v>1</v>
      </c>
      <c r="BA52" s="68">
        <f>Sheet4!BA51</f>
        <v>1</v>
      </c>
      <c r="BB52" s="68">
        <f>Sheet4!BB51</f>
        <v>1</v>
      </c>
      <c r="BC52" s="68">
        <f>Sheet4!BC51</f>
        <v>2</v>
      </c>
      <c r="BD52" s="68">
        <f>Sheet4!BD51</f>
        <v>0</v>
      </c>
      <c r="BE52" s="68">
        <f>Sheet4!BE51</f>
        <v>1</v>
      </c>
      <c r="BF52" s="68">
        <f>Sheet4!BF51</f>
        <v>1</v>
      </c>
      <c r="BG52" s="68">
        <f>Sheet4!BG51</f>
        <v>1</v>
      </c>
      <c r="BH52" s="68">
        <f>Sheet4!BH51</f>
        <v>1</v>
      </c>
      <c r="BI52" s="68">
        <f>Sheet4!BI51</f>
        <v>1</v>
      </c>
      <c r="BJ52" s="68">
        <f>Sheet4!BJ51</f>
        <v>1</v>
      </c>
      <c r="BK52" s="68">
        <f>Sheet4!BK51</f>
        <v>1</v>
      </c>
      <c r="BL52" s="68">
        <f>Sheet4!BL51</f>
        <v>1</v>
      </c>
      <c r="BM52" s="68">
        <f>Sheet4!BM51</f>
        <v>1</v>
      </c>
      <c r="BN52" s="68">
        <f>Sheet4!BN51</f>
        <v>1</v>
      </c>
      <c r="BO52" s="68">
        <f>Sheet4!BO51</f>
        <v>0</v>
      </c>
      <c r="BP52" s="68">
        <f>Sheet4!BP51</f>
        <v>2</v>
      </c>
      <c r="BQ52" s="68">
        <f>Sheet4!BQ51</f>
        <v>1</v>
      </c>
      <c r="BR52" s="68">
        <f>Sheet4!BR51</f>
        <v>1</v>
      </c>
      <c r="BS52" s="68">
        <f>Sheet4!BS51</f>
        <v>1</v>
      </c>
      <c r="BT52" s="68">
        <f>Sheet4!BT51</f>
        <v>1</v>
      </c>
      <c r="BU52" s="68">
        <f>Sheet4!BU51</f>
        <v>1</v>
      </c>
      <c r="BV52" s="68">
        <f>Sheet4!BV51</f>
        <v>1</v>
      </c>
      <c r="BW52" s="68">
        <f>Sheet4!BW51</f>
        <v>0</v>
      </c>
      <c r="BX52" s="68">
        <f>Sheet4!BX51</f>
        <v>0</v>
      </c>
      <c r="BY52" s="68">
        <f>Sheet4!BY51</f>
        <v>0</v>
      </c>
      <c r="BZ52" s="68">
        <f>Sheet4!BZ51</f>
        <v>0</v>
      </c>
      <c r="CA52" s="68">
        <f>Sheet4!CA51</f>
        <v>5</v>
      </c>
      <c r="CB52" s="68">
        <f>Sheet4!CB51</f>
        <v>0</v>
      </c>
      <c r="CC52" s="68">
        <f>Sheet4!CC51</f>
        <v>0</v>
      </c>
      <c r="CD52" s="68">
        <f>Sheet4!CD51</f>
        <v>0</v>
      </c>
      <c r="CE52" s="68">
        <f>Sheet4!CE51</f>
        <v>3</v>
      </c>
      <c r="CF52" s="68">
        <f>Sheet4!CF51</f>
        <v>0</v>
      </c>
      <c r="CG52" s="68">
        <f>Sheet4!CG51</f>
        <v>3</v>
      </c>
      <c r="CH52" s="68">
        <f>Sheet4!CH51</f>
        <v>0</v>
      </c>
      <c r="CI52" s="68">
        <f>Sheet4!CI51</f>
        <v>2</v>
      </c>
      <c r="CJ52" s="68">
        <f>Sheet4!CJ51</f>
        <v>0</v>
      </c>
      <c r="CK52" s="68">
        <f>Sheet4!CK51</f>
        <v>0</v>
      </c>
      <c r="CL52" s="68">
        <f>Sheet4!CL51</f>
        <v>0</v>
      </c>
      <c r="CM52" s="68">
        <f>Sheet4!CM51</f>
        <v>4</v>
      </c>
      <c r="CN52" s="68">
        <f>Sheet4!CN51</f>
        <v>0</v>
      </c>
      <c r="CO52" s="68">
        <f>Sheet4!CO51</f>
        <v>0</v>
      </c>
      <c r="CP52" s="68">
        <f>Sheet4!CP51</f>
        <v>0</v>
      </c>
      <c r="CQ52" s="68">
        <f>Sheet4!CQ51</f>
        <v>0</v>
      </c>
      <c r="CR52" s="68">
        <f>Sheet4!CR51</f>
        <v>5</v>
      </c>
      <c r="CS52" s="68">
        <f>Sheet4!CS51</f>
        <v>0</v>
      </c>
      <c r="CT52" s="68">
        <f>Sheet4!CT51</f>
        <v>0</v>
      </c>
      <c r="CU52" s="68">
        <f>Sheet4!CU51</f>
        <v>0</v>
      </c>
      <c r="CV52" s="68">
        <f>Sheet4!CV51</f>
        <v>0</v>
      </c>
      <c r="CW52" s="68">
        <f>Sheet4!CW51</f>
        <v>4</v>
      </c>
      <c r="CX52" s="68">
        <f>Sheet4!CX51</f>
        <v>0</v>
      </c>
      <c r="CY52" s="68">
        <f>Sheet4!CY51</f>
        <v>0</v>
      </c>
      <c r="CZ52" s="68">
        <f>Sheet4!CZ51</f>
        <v>3</v>
      </c>
      <c r="DA52" s="68">
        <f>Sheet4!DA51</f>
        <v>0</v>
      </c>
      <c r="DB52" s="68">
        <f>Sheet4!DB51</f>
        <v>0</v>
      </c>
      <c r="DC52" s="68">
        <f>Sheet4!DC51</f>
        <v>0</v>
      </c>
      <c r="DD52" s="68">
        <f>Sheet4!DD51</f>
        <v>0</v>
      </c>
      <c r="DE52" s="68">
        <f>Sheet4!DE51</f>
        <v>5</v>
      </c>
      <c r="DF52" s="68">
        <f>Sheet4!DF51</f>
        <v>0</v>
      </c>
      <c r="DG52" s="68">
        <f>Sheet4!DG51</f>
        <v>0</v>
      </c>
      <c r="DH52" s="68">
        <f>Sheet4!DH51</f>
        <v>0</v>
      </c>
      <c r="DI52" s="68">
        <f>Sheet4!DI51</f>
        <v>0</v>
      </c>
      <c r="DJ52" s="68">
        <f>Sheet4!DJ51</f>
        <v>0</v>
      </c>
      <c r="DK52" s="68">
        <f>Sheet4!DK51</f>
        <v>0</v>
      </c>
      <c r="DL52" s="68">
        <f>Sheet4!DL51</f>
        <v>0</v>
      </c>
      <c r="DM52" s="68">
        <f>Sheet4!DM51</f>
        <v>0</v>
      </c>
      <c r="DN52" s="68">
        <f>Sheet4!DN51</f>
        <v>0</v>
      </c>
      <c r="DO52" s="68">
        <f>Sheet4!DO51</f>
        <v>0</v>
      </c>
      <c r="DP52" s="68">
        <f>Sheet4!DP51</f>
        <v>0</v>
      </c>
      <c r="DQ52" s="68">
        <f>Sheet4!DQ51</f>
        <v>0</v>
      </c>
    </row>
    <row r="53" spans="1:121" ht="15.75" customHeight="1" x14ac:dyDescent="0.3">
      <c r="A53" s="40">
        <f>Sheet4!A52</f>
        <v>49</v>
      </c>
      <c r="B53" s="40" t="str">
        <f>Sheet4!B52</f>
        <v>ተረፈ ዓለሙ</v>
      </c>
      <c r="C53" s="26">
        <f>Sheet4!C52</f>
        <v>21000</v>
      </c>
      <c r="D53" s="68">
        <f>Sheet4!D52</f>
        <v>1</v>
      </c>
      <c r="E53" s="68">
        <f>Sheet4!E52</f>
        <v>1</v>
      </c>
      <c r="F53" s="68">
        <f>Sheet4!F52</f>
        <v>1</v>
      </c>
      <c r="G53" s="68">
        <f>Sheet4!G52</f>
        <v>1</v>
      </c>
      <c r="H53" s="68">
        <f>Sheet4!H52</f>
        <v>1</v>
      </c>
      <c r="I53" s="68">
        <f>Sheet4!I52</f>
        <v>1</v>
      </c>
      <c r="J53" s="68">
        <f>Sheet4!J52</f>
        <v>1</v>
      </c>
      <c r="K53" s="68">
        <f>Sheet4!K52</f>
        <v>1</v>
      </c>
      <c r="L53" s="68">
        <f>Sheet4!L52</f>
        <v>1</v>
      </c>
      <c r="M53" s="68">
        <f>Sheet4!M52</f>
        <v>1</v>
      </c>
      <c r="N53" s="68">
        <f>Sheet4!N52</f>
        <v>1</v>
      </c>
      <c r="O53" s="68">
        <f>Sheet4!O52</f>
        <v>1</v>
      </c>
      <c r="P53" s="68">
        <f>Sheet4!P52</f>
        <v>1</v>
      </c>
      <c r="Q53" s="68">
        <f>Sheet4!Q52</f>
        <v>1</v>
      </c>
      <c r="R53" s="68">
        <f>Sheet4!R52</f>
        <v>1</v>
      </c>
      <c r="S53" s="68">
        <f>Sheet4!S52</f>
        <v>1</v>
      </c>
      <c r="T53" s="68">
        <f>Sheet4!T52</f>
        <v>1</v>
      </c>
      <c r="U53" s="68">
        <f>Sheet4!U52</f>
        <v>1</v>
      </c>
      <c r="V53" s="68">
        <f>Sheet4!V52</f>
        <v>1</v>
      </c>
      <c r="W53" s="68">
        <f>Sheet4!W52</f>
        <v>0</v>
      </c>
      <c r="X53" s="68">
        <f>Sheet4!X52</f>
        <v>2</v>
      </c>
      <c r="Y53" s="68">
        <f>Sheet4!Y52</f>
        <v>1</v>
      </c>
      <c r="Z53" s="68">
        <f>Sheet4!Z52</f>
        <v>1</v>
      </c>
      <c r="AA53" s="68">
        <f>Sheet4!AA52</f>
        <v>1</v>
      </c>
      <c r="AB53" s="68">
        <f>Sheet4!AB52</f>
        <v>1</v>
      </c>
      <c r="AC53" s="68">
        <f>Sheet4!AC52</f>
        <v>1</v>
      </c>
      <c r="AD53" s="68">
        <f>Sheet4!AD52</f>
        <v>1</v>
      </c>
      <c r="AE53" s="68">
        <f>Sheet4!AE52</f>
        <v>1</v>
      </c>
      <c r="AF53" s="68">
        <f>Sheet4!AF52</f>
        <v>1</v>
      </c>
      <c r="AG53" s="68">
        <f>Sheet4!AG52</f>
        <v>1</v>
      </c>
      <c r="AH53" s="68">
        <f>Sheet4!AH52</f>
        <v>1</v>
      </c>
      <c r="AI53" s="68">
        <f>Sheet4!AI52</f>
        <v>1</v>
      </c>
      <c r="AJ53" s="68">
        <f>Sheet4!AJ52</f>
        <v>1</v>
      </c>
      <c r="AK53" s="68">
        <f>Sheet4!AK52</f>
        <v>1</v>
      </c>
      <c r="AL53" s="68">
        <f>Sheet4!AL52</f>
        <v>1</v>
      </c>
      <c r="AM53" s="68">
        <f>Sheet4!AM52</f>
        <v>1</v>
      </c>
      <c r="AN53" s="68">
        <f>Sheet4!AN52</f>
        <v>1</v>
      </c>
      <c r="AO53" s="68">
        <f>Sheet4!AO52</f>
        <v>1</v>
      </c>
      <c r="AP53" s="68">
        <f>Sheet4!AP52</f>
        <v>1</v>
      </c>
      <c r="AQ53" s="68">
        <f>Sheet4!AQ52</f>
        <v>1</v>
      </c>
      <c r="AR53" s="68">
        <f>Sheet4!AR52</f>
        <v>1</v>
      </c>
      <c r="AS53" s="68">
        <f>Sheet4!AS52</f>
        <v>1</v>
      </c>
      <c r="AT53" s="68">
        <f>Sheet4!AT52</f>
        <v>1</v>
      </c>
      <c r="AU53" s="68">
        <f>Sheet4!AU52</f>
        <v>1</v>
      </c>
      <c r="AV53" s="68">
        <f>Sheet4!AV52</f>
        <v>1</v>
      </c>
      <c r="AW53" s="68">
        <f>Sheet4!AW52</f>
        <v>1</v>
      </c>
      <c r="AX53" s="68">
        <f>Sheet4!AX52</f>
        <v>1</v>
      </c>
      <c r="AY53" s="68">
        <f>Sheet4!AY52</f>
        <v>1</v>
      </c>
      <c r="AZ53" s="68">
        <f>Sheet4!AZ52</f>
        <v>1</v>
      </c>
      <c r="BA53" s="68">
        <f>Sheet4!BA52</f>
        <v>1</v>
      </c>
      <c r="BB53" s="68">
        <f>Sheet4!BB52</f>
        <v>1</v>
      </c>
      <c r="BC53" s="68">
        <f>Sheet4!BC52</f>
        <v>1</v>
      </c>
      <c r="BD53" s="68">
        <f>Sheet4!BD52</f>
        <v>1</v>
      </c>
      <c r="BE53" s="68">
        <f>Sheet4!BE52</f>
        <v>1</v>
      </c>
      <c r="BF53" s="68">
        <f>Sheet4!BF52</f>
        <v>1</v>
      </c>
      <c r="BG53" s="68">
        <f>Sheet4!BG52</f>
        <v>1</v>
      </c>
      <c r="BH53" s="68">
        <f>Sheet4!BH52</f>
        <v>1</v>
      </c>
      <c r="BI53" s="68">
        <f>Sheet4!BI52</f>
        <v>0</v>
      </c>
      <c r="BJ53" s="68">
        <f>Sheet4!BJ52</f>
        <v>1</v>
      </c>
      <c r="BK53" s="68">
        <f>Sheet4!BK52</f>
        <v>2</v>
      </c>
      <c r="BL53" s="68">
        <f>Sheet4!BL52</f>
        <v>1</v>
      </c>
      <c r="BM53" s="68">
        <f>Sheet4!BM52</f>
        <v>0</v>
      </c>
      <c r="BN53" s="68">
        <f>Sheet4!BN52</f>
        <v>2</v>
      </c>
      <c r="BO53" s="68">
        <f>Sheet4!BO52</f>
        <v>0</v>
      </c>
      <c r="BP53" s="68">
        <f>Sheet4!BP52</f>
        <v>2</v>
      </c>
      <c r="BQ53" s="68">
        <f>Sheet4!BQ52</f>
        <v>1</v>
      </c>
      <c r="BR53" s="68">
        <f>Sheet4!BR52</f>
        <v>1</v>
      </c>
      <c r="BS53" s="68">
        <f>Sheet4!BS52</f>
        <v>1</v>
      </c>
      <c r="BT53" s="68">
        <f>Sheet4!BT52</f>
        <v>1</v>
      </c>
      <c r="BU53" s="68">
        <f>Sheet4!BU52</f>
        <v>1</v>
      </c>
      <c r="BV53" s="68">
        <f>Sheet4!BV52</f>
        <v>1</v>
      </c>
      <c r="BW53" s="68">
        <f>Sheet4!BW52</f>
        <v>1</v>
      </c>
      <c r="BX53" s="68">
        <f>Sheet4!BX52</f>
        <v>1</v>
      </c>
      <c r="BY53" s="68">
        <f>Sheet4!BY52</f>
        <v>0</v>
      </c>
      <c r="BZ53" s="68">
        <f>Sheet4!BZ52</f>
        <v>2</v>
      </c>
      <c r="CA53" s="68">
        <f>Sheet4!CA52</f>
        <v>1</v>
      </c>
      <c r="CB53" s="68">
        <f>Sheet4!CB52</f>
        <v>0</v>
      </c>
      <c r="CC53" s="68">
        <f>Sheet4!CC52</f>
        <v>2</v>
      </c>
      <c r="CD53" s="68">
        <f>Sheet4!CD52</f>
        <v>0</v>
      </c>
      <c r="CE53" s="68">
        <f>Sheet4!CE52</f>
        <v>2</v>
      </c>
      <c r="CF53" s="68">
        <f>Sheet4!CF52</f>
        <v>1</v>
      </c>
      <c r="CG53" s="68">
        <f>Sheet4!CG52</f>
        <v>1</v>
      </c>
      <c r="CH53" s="68">
        <f>Sheet4!CH52</f>
        <v>1</v>
      </c>
      <c r="CI53" s="68">
        <f>Sheet4!CI52</f>
        <v>1</v>
      </c>
      <c r="CJ53" s="68">
        <f>Sheet4!CJ52</f>
        <v>1</v>
      </c>
      <c r="CK53" s="68">
        <f>Sheet4!CK52</f>
        <v>1</v>
      </c>
      <c r="CL53" s="68">
        <f>Sheet4!CL52</f>
        <v>1</v>
      </c>
      <c r="CM53" s="68">
        <f>Sheet4!CM52</f>
        <v>0</v>
      </c>
      <c r="CN53" s="68">
        <f>Sheet4!CN52</f>
        <v>2</v>
      </c>
      <c r="CO53" s="68">
        <f>Sheet4!CO52</f>
        <v>1</v>
      </c>
      <c r="CP53" s="68">
        <f>Sheet4!CP52</f>
        <v>1</v>
      </c>
      <c r="CQ53" s="68">
        <f>Sheet4!CQ52</f>
        <v>0</v>
      </c>
      <c r="CR53" s="68">
        <f>Sheet4!CR52</f>
        <v>2</v>
      </c>
      <c r="CS53" s="68">
        <f>Sheet4!CS52</f>
        <v>0</v>
      </c>
      <c r="CT53" s="68">
        <f>Sheet4!CT52</f>
        <v>2</v>
      </c>
      <c r="CU53" s="68">
        <f>Sheet4!CU52</f>
        <v>1</v>
      </c>
      <c r="CV53" s="68">
        <f>Sheet4!CV52</f>
        <v>0</v>
      </c>
      <c r="CW53" s="68">
        <f>Sheet4!CW52</f>
        <v>2</v>
      </c>
      <c r="CX53" s="68">
        <f>Sheet4!CX52</f>
        <v>1</v>
      </c>
      <c r="CY53" s="68">
        <f>Sheet4!CY52</f>
        <v>0</v>
      </c>
      <c r="CZ53" s="68">
        <f>Sheet4!CZ52</f>
        <v>2</v>
      </c>
      <c r="DA53" s="68">
        <f>Sheet4!DA52</f>
        <v>1</v>
      </c>
      <c r="DB53" s="68">
        <f>Sheet4!DB52</f>
        <v>1</v>
      </c>
      <c r="DC53" s="68">
        <f>Sheet4!DC52</f>
        <v>1</v>
      </c>
      <c r="DD53" s="68">
        <f>Sheet4!DD52</f>
        <v>1</v>
      </c>
      <c r="DE53" s="68">
        <f>Sheet4!DE52</f>
        <v>1</v>
      </c>
      <c r="DF53" s="68">
        <f>Sheet4!DF52</f>
        <v>1</v>
      </c>
      <c r="DG53" s="68">
        <f>Sheet4!DG52</f>
        <v>1</v>
      </c>
      <c r="DH53" s="68">
        <f>Sheet4!DH52</f>
        <v>0</v>
      </c>
      <c r="DI53" s="68">
        <f>Sheet4!DI52</f>
        <v>0</v>
      </c>
      <c r="DJ53" s="68">
        <f>Sheet4!DJ52</f>
        <v>0</v>
      </c>
      <c r="DK53" s="68">
        <f>Sheet4!DK52</f>
        <v>0</v>
      </c>
      <c r="DL53" s="68">
        <f>Sheet4!DL52</f>
        <v>0</v>
      </c>
      <c r="DM53" s="68">
        <f>Sheet4!DM52</f>
        <v>0</v>
      </c>
      <c r="DN53" s="68">
        <f>Sheet4!DN52</f>
        <v>0</v>
      </c>
      <c r="DO53" s="68">
        <f>Sheet4!DO52</f>
        <v>0</v>
      </c>
      <c r="DP53" s="68">
        <f>Sheet4!DP52</f>
        <v>0</v>
      </c>
      <c r="DQ53" s="68">
        <f>Sheet4!DQ52</f>
        <v>0</v>
      </c>
    </row>
    <row r="54" spans="1:121" ht="15.75" customHeight="1" x14ac:dyDescent="0.3">
      <c r="A54" s="40">
        <f>Sheet4!A53</f>
        <v>50</v>
      </c>
      <c r="B54" s="40" t="str">
        <f>Sheet4!B53</f>
        <v>ሀብታሙ አበራ</v>
      </c>
      <c r="C54" s="26">
        <f>Sheet4!C53</f>
        <v>21000</v>
      </c>
      <c r="D54" s="68">
        <f>Sheet4!D53</f>
        <v>1</v>
      </c>
      <c r="E54" s="68">
        <f>Sheet4!E53</f>
        <v>1</v>
      </c>
      <c r="F54" s="68">
        <f>Sheet4!F53</f>
        <v>1</v>
      </c>
      <c r="G54" s="68">
        <f>Sheet4!G53</f>
        <v>1</v>
      </c>
      <c r="H54" s="68">
        <f>Sheet4!H53</f>
        <v>1</v>
      </c>
      <c r="I54" s="68">
        <f>Sheet4!I53</f>
        <v>1</v>
      </c>
      <c r="J54" s="68">
        <f>Sheet4!J53</f>
        <v>1</v>
      </c>
      <c r="K54" s="68">
        <f>Sheet4!K53</f>
        <v>1</v>
      </c>
      <c r="L54" s="68">
        <f>Sheet4!L53</f>
        <v>1</v>
      </c>
      <c r="M54" s="68">
        <f>Sheet4!M53</f>
        <v>1</v>
      </c>
      <c r="N54" s="68">
        <f>Sheet4!N53</f>
        <v>1</v>
      </c>
      <c r="O54" s="68">
        <f>Sheet4!O53</f>
        <v>1</v>
      </c>
      <c r="P54" s="68">
        <f>Sheet4!P53</f>
        <v>1</v>
      </c>
      <c r="Q54" s="68">
        <f>Sheet4!Q53</f>
        <v>1</v>
      </c>
      <c r="R54" s="68">
        <f>Sheet4!R53</f>
        <v>1</v>
      </c>
      <c r="S54" s="68">
        <f>Sheet4!S53</f>
        <v>1</v>
      </c>
      <c r="T54" s="68">
        <f>Sheet4!T53</f>
        <v>1</v>
      </c>
      <c r="U54" s="68">
        <f>Sheet4!U53</f>
        <v>1</v>
      </c>
      <c r="V54" s="68">
        <f>Sheet4!V53</f>
        <v>1</v>
      </c>
      <c r="W54" s="68">
        <f>Sheet4!W53</f>
        <v>1</v>
      </c>
      <c r="X54" s="68">
        <f>Sheet4!X53</f>
        <v>1</v>
      </c>
      <c r="Y54" s="68">
        <f>Sheet4!Y53</f>
        <v>1</v>
      </c>
      <c r="Z54" s="68">
        <f>Sheet4!Z53</f>
        <v>1</v>
      </c>
      <c r="AA54" s="68">
        <f>Sheet4!AA53</f>
        <v>0</v>
      </c>
      <c r="AB54" s="68">
        <f>Sheet4!AB53</f>
        <v>2</v>
      </c>
      <c r="AC54" s="68">
        <f>Sheet4!AC53</f>
        <v>1</v>
      </c>
      <c r="AD54" s="68">
        <f>Sheet4!AD53</f>
        <v>1</v>
      </c>
      <c r="AE54" s="68">
        <f>Sheet4!AE53</f>
        <v>1</v>
      </c>
      <c r="AF54" s="68">
        <f>Sheet4!AF53</f>
        <v>1</v>
      </c>
      <c r="AG54" s="68">
        <f>Sheet4!AG53</f>
        <v>1</v>
      </c>
      <c r="AH54" s="68">
        <f>Sheet4!AH53</f>
        <v>1</v>
      </c>
      <c r="AI54" s="68">
        <f>Sheet4!AI53</f>
        <v>1</v>
      </c>
      <c r="AJ54" s="68">
        <f>Sheet4!AJ53</f>
        <v>1</v>
      </c>
      <c r="AK54" s="68">
        <f>Sheet4!AK53</f>
        <v>1</v>
      </c>
      <c r="AL54" s="68">
        <f>Sheet4!AL53</f>
        <v>1</v>
      </c>
      <c r="AM54" s="68">
        <f>Sheet4!AM53</f>
        <v>1</v>
      </c>
      <c r="AN54" s="68">
        <f>Sheet4!AN53</f>
        <v>1</v>
      </c>
      <c r="AO54" s="68">
        <f>Sheet4!AO53</f>
        <v>1</v>
      </c>
      <c r="AP54" s="68">
        <f>Sheet4!AP53</f>
        <v>1</v>
      </c>
      <c r="AQ54" s="68">
        <f>Sheet4!AQ53</f>
        <v>1</v>
      </c>
      <c r="AR54" s="68">
        <f>Sheet4!AR53</f>
        <v>1</v>
      </c>
      <c r="AS54" s="68">
        <f>Sheet4!AS53</f>
        <v>1</v>
      </c>
      <c r="AT54" s="68">
        <f>Sheet4!AT53</f>
        <v>1</v>
      </c>
      <c r="AU54" s="68">
        <f>Sheet4!AU53</f>
        <v>1</v>
      </c>
      <c r="AV54" s="68">
        <f>Sheet4!AV53</f>
        <v>0</v>
      </c>
      <c r="AW54" s="68">
        <f>Sheet4!AW53</f>
        <v>2</v>
      </c>
      <c r="AX54" s="68">
        <f>Sheet4!AX53</f>
        <v>1</v>
      </c>
      <c r="AY54" s="68">
        <f>Sheet4!AY53</f>
        <v>1</v>
      </c>
      <c r="AZ54" s="68">
        <f>Sheet4!AZ53</f>
        <v>0</v>
      </c>
      <c r="BA54" s="68">
        <f>Sheet4!BA53</f>
        <v>2</v>
      </c>
      <c r="BB54" s="68">
        <f>Sheet4!BB53</f>
        <v>0</v>
      </c>
      <c r="BC54" s="68">
        <f>Sheet4!BC53</f>
        <v>2</v>
      </c>
      <c r="BD54" s="68">
        <f>Sheet4!BD53</f>
        <v>0</v>
      </c>
      <c r="BE54" s="68">
        <f>Sheet4!BE53</f>
        <v>2</v>
      </c>
      <c r="BF54" s="68">
        <f>Sheet4!BF53</f>
        <v>1</v>
      </c>
      <c r="BG54" s="68">
        <f>Sheet4!BG53</f>
        <v>1</v>
      </c>
      <c r="BH54" s="68">
        <f>Sheet4!BH53</f>
        <v>0</v>
      </c>
      <c r="BI54" s="68">
        <f>Sheet4!BI53</f>
        <v>2</v>
      </c>
      <c r="BJ54" s="68">
        <f>Sheet4!BJ53</f>
        <v>1</v>
      </c>
      <c r="BK54" s="68">
        <f>Sheet4!BK53</f>
        <v>0</v>
      </c>
      <c r="BL54" s="68">
        <f>Sheet4!BL53</f>
        <v>2</v>
      </c>
      <c r="BM54" s="68">
        <f>Sheet4!BM53</f>
        <v>1</v>
      </c>
      <c r="BN54" s="68">
        <f>Sheet4!BN53</f>
        <v>0</v>
      </c>
      <c r="BO54" s="68">
        <f>Sheet4!BO53</f>
        <v>0</v>
      </c>
      <c r="BP54" s="68">
        <f>Sheet4!BP53</f>
        <v>2</v>
      </c>
      <c r="BQ54" s="68">
        <f>Sheet4!BQ53</f>
        <v>0</v>
      </c>
      <c r="BR54" s="68">
        <f>Sheet4!BR53</f>
        <v>1</v>
      </c>
      <c r="BS54" s="68">
        <f>Sheet4!BS53</f>
        <v>0</v>
      </c>
      <c r="BT54" s="68">
        <f>Sheet4!BT53</f>
        <v>1</v>
      </c>
      <c r="BU54" s="68">
        <f>Sheet4!BU53</f>
        <v>1</v>
      </c>
      <c r="BV54" s="68">
        <f>Sheet4!BV53</f>
        <v>1</v>
      </c>
      <c r="BW54" s="68">
        <f>Sheet4!BW53</f>
        <v>1</v>
      </c>
      <c r="BX54" s="68">
        <f>Sheet4!BX53</f>
        <v>1</v>
      </c>
      <c r="BY54" s="68">
        <f>Sheet4!BY53</f>
        <v>1</v>
      </c>
      <c r="BZ54" s="68">
        <f>Sheet4!BZ53</f>
        <v>1</v>
      </c>
      <c r="CA54" s="68">
        <f>Sheet4!CA53</f>
        <v>1</v>
      </c>
      <c r="CB54" s="68">
        <f>Sheet4!CB53</f>
        <v>1</v>
      </c>
      <c r="CC54" s="68">
        <f>Sheet4!CC53</f>
        <v>1</v>
      </c>
      <c r="CD54" s="68">
        <f>Sheet4!CD53</f>
        <v>1</v>
      </c>
      <c r="CE54" s="68">
        <f>Sheet4!CE53</f>
        <v>1</v>
      </c>
      <c r="CF54" s="68">
        <f>Sheet4!CF53</f>
        <v>1</v>
      </c>
      <c r="CG54" s="68">
        <f>Sheet4!CG53</f>
        <v>1</v>
      </c>
      <c r="CH54" s="68">
        <f>Sheet4!CH53</f>
        <v>1</v>
      </c>
      <c r="CI54" s="68">
        <f>Sheet4!CI53</f>
        <v>1</v>
      </c>
      <c r="CJ54" s="68">
        <f>Sheet4!CJ53</f>
        <v>1</v>
      </c>
      <c r="CK54" s="68">
        <f>Sheet4!CK53</f>
        <v>0</v>
      </c>
      <c r="CL54" s="68">
        <f>Sheet4!CL53</f>
        <v>1</v>
      </c>
      <c r="CM54" s="68">
        <f>Sheet4!CM53</f>
        <v>0</v>
      </c>
      <c r="CN54" s="68">
        <f>Sheet4!CN53</f>
        <v>2</v>
      </c>
      <c r="CO54" s="68">
        <f>Sheet4!CO53</f>
        <v>1</v>
      </c>
      <c r="CP54" s="68">
        <f>Sheet4!CP53</f>
        <v>1</v>
      </c>
      <c r="CQ54" s="68">
        <f>Sheet4!CQ53</f>
        <v>1</v>
      </c>
      <c r="CR54" s="68">
        <f>Sheet4!CR53</f>
        <v>1</v>
      </c>
      <c r="CS54" s="68">
        <f>Sheet4!CS53</f>
        <v>1</v>
      </c>
      <c r="CT54" s="68">
        <f>Sheet4!CT53</f>
        <v>1</v>
      </c>
      <c r="CU54" s="68">
        <f>Sheet4!CU53</f>
        <v>1</v>
      </c>
      <c r="CV54" s="68">
        <f>Sheet4!CV53</f>
        <v>1</v>
      </c>
      <c r="CW54" s="68">
        <f>Sheet4!CW53</f>
        <v>1</v>
      </c>
      <c r="CX54" s="68">
        <f>Sheet4!CX53</f>
        <v>1</v>
      </c>
      <c r="CY54" s="68">
        <f>Sheet4!CY53</f>
        <v>1</v>
      </c>
      <c r="CZ54" s="68">
        <f>Sheet4!CZ53</f>
        <v>1</v>
      </c>
      <c r="DA54" s="68">
        <f>Sheet4!DA53</f>
        <v>1</v>
      </c>
      <c r="DB54" s="68">
        <f>Sheet4!DB53</f>
        <v>1</v>
      </c>
      <c r="DC54" s="68">
        <f>Sheet4!DC53</f>
        <v>1</v>
      </c>
      <c r="DD54" s="68">
        <f>Sheet4!DD53</f>
        <v>1</v>
      </c>
      <c r="DE54" s="68">
        <f>Sheet4!DE53</f>
        <v>1</v>
      </c>
      <c r="DF54" s="68">
        <f>Sheet4!DF53</f>
        <v>1</v>
      </c>
      <c r="DG54" s="68">
        <f>Sheet4!DG53</f>
        <v>1</v>
      </c>
      <c r="DH54" s="68">
        <f>Sheet4!DH53</f>
        <v>0</v>
      </c>
      <c r="DI54" s="68">
        <f>Sheet4!DI53</f>
        <v>0</v>
      </c>
      <c r="DJ54" s="68">
        <f>Sheet4!DJ53</f>
        <v>0</v>
      </c>
      <c r="DK54" s="68">
        <f>Sheet4!DK53</f>
        <v>0</v>
      </c>
      <c r="DL54" s="68">
        <f>Sheet4!DL53</f>
        <v>0</v>
      </c>
      <c r="DM54" s="68">
        <f>Sheet4!DM53</f>
        <v>0</v>
      </c>
      <c r="DN54" s="68">
        <f>Sheet4!DN53</f>
        <v>0</v>
      </c>
      <c r="DO54" s="68">
        <f>Sheet4!DO53</f>
        <v>0</v>
      </c>
      <c r="DP54" s="68">
        <f>Sheet4!DP53</f>
        <v>0</v>
      </c>
      <c r="DQ54" s="68">
        <f>Sheet4!DQ53</f>
        <v>0</v>
      </c>
    </row>
    <row r="55" spans="1:121" ht="15.75" customHeight="1" x14ac:dyDescent="0.3">
      <c r="A55" s="40">
        <f>Sheet4!A54</f>
        <v>51</v>
      </c>
      <c r="B55" s="40" t="str">
        <f>Sheet4!B54</f>
        <v>ሳምሶን ጀማል</v>
      </c>
      <c r="C55" s="26">
        <f>Sheet4!C54</f>
        <v>21000</v>
      </c>
      <c r="D55" s="68">
        <f>Sheet4!D54</f>
        <v>1</v>
      </c>
      <c r="E55" s="68">
        <f>Sheet4!E54</f>
        <v>1</v>
      </c>
      <c r="F55" s="68">
        <f>Sheet4!F54</f>
        <v>1</v>
      </c>
      <c r="G55" s="68">
        <f>Sheet4!G54</f>
        <v>1</v>
      </c>
      <c r="H55" s="68">
        <f>Sheet4!H54</f>
        <v>1</v>
      </c>
      <c r="I55" s="68">
        <f>Sheet4!I54</f>
        <v>1</v>
      </c>
      <c r="J55" s="68">
        <f>Sheet4!J54</f>
        <v>1</v>
      </c>
      <c r="K55" s="68">
        <f>Sheet4!K54</f>
        <v>1</v>
      </c>
      <c r="L55" s="68">
        <f>Sheet4!L54</f>
        <v>1</v>
      </c>
      <c r="M55" s="68">
        <f>Sheet4!M54</f>
        <v>1</v>
      </c>
      <c r="N55" s="68">
        <f>Sheet4!N54</f>
        <v>1</v>
      </c>
      <c r="O55" s="68">
        <f>Sheet4!O54</f>
        <v>1</v>
      </c>
      <c r="P55" s="68">
        <f>Sheet4!P54</f>
        <v>1</v>
      </c>
      <c r="Q55" s="68">
        <f>Sheet4!Q54</f>
        <v>1</v>
      </c>
      <c r="R55" s="68">
        <f>Sheet4!R54</f>
        <v>1</v>
      </c>
      <c r="S55" s="68">
        <f>Sheet4!S54</f>
        <v>1</v>
      </c>
      <c r="T55" s="68">
        <f>Sheet4!T54</f>
        <v>1</v>
      </c>
      <c r="U55" s="68">
        <f>Sheet4!U54</f>
        <v>1</v>
      </c>
      <c r="V55" s="68">
        <f>Sheet4!V54</f>
        <v>1</v>
      </c>
      <c r="W55" s="68">
        <f>Sheet4!W54</f>
        <v>1</v>
      </c>
      <c r="X55" s="68">
        <f>Sheet4!X54</f>
        <v>1</v>
      </c>
      <c r="Y55" s="68">
        <f>Sheet4!Y54</f>
        <v>1</v>
      </c>
      <c r="Z55" s="68">
        <f>Sheet4!Z54</f>
        <v>1</v>
      </c>
      <c r="AA55" s="68">
        <f>Sheet4!AA54</f>
        <v>1</v>
      </c>
      <c r="AB55" s="68">
        <f>Sheet4!AB54</f>
        <v>1</v>
      </c>
      <c r="AC55" s="68">
        <f>Sheet4!AC54</f>
        <v>1</v>
      </c>
      <c r="AD55" s="68">
        <f>Sheet4!AD54</f>
        <v>1</v>
      </c>
      <c r="AE55" s="68">
        <f>Sheet4!AE54</f>
        <v>1</v>
      </c>
      <c r="AF55" s="68">
        <f>Sheet4!AF54</f>
        <v>1</v>
      </c>
      <c r="AG55" s="68">
        <f>Sheet4!AG54</f>
        <v>1</v>
      </c>
      <c r="AH55" s="68">
        <f>Sheet4!AH54</f>
        <v>0</v>
      </c>
      <c r="AI55" s="68">
        <f>Sheet4!AI54</f>
        <v>2</v>
      </c>
      <c r="AJ55" s="68">
        <f>Sheet4!AJ54</f>
        <v>0</v>
      </c>
      <c r="AK55" s="68">
        <f>Sheet4!AK54</f>
        <v>2</v>
      </c>
      <c r="AL55" s="68">
        <f>Sheet4!AL54</f>
        <v>0</v>
      </c>
      <c r="AM55" s="68">
        <f>Sheet4!AM54</f>
        <v>2</v>
      </c>
      <c r="AN55" s="68">
        <f>Sheet4!AN54</f>
        <v>0</v>
      </c>
      <c r="AO55" s="68">
        <f>Sheet4!AO54</f>
        <v>2</v>
      </c>
      <c r="AP55" s="68">
        <f>Sheet4!AP54</f>
        <v>1</v>
      </c>
      <c r="AQ55" s="68">
        <f>Sheet4!AQ54</f>
        <v>1</v>
      </c>
      <c r="AR55" s="68">
        <f>Sheet4!AR54</f>
        <v>0</v>
      </c>
      <c r="AS55" s="68">
        <f>Sheet4!AS54</f>
        <v>2</v>
      </c>
      <c r="AT55" s="68">
        <f>Sheet4!AT54</f>
        <v>1</v>
      </c>
      <c r="AU55" s="68">
        <f>Sheet4!AU54</f>
        <v>0</v>
      </c>
      <c r="AV55" s="68">
        <f>Sheet4!AV54</f>
        <v>0</v>
      </c>
      <c r="AW55" s="68">
        <f>Sheet4!AW54</f>
        <v>0</v>
      </c>
      <c r="AX55" s="68">
        <f>Sheet4!AX54</f>
        <v>0</v>
      </c>
      <c r="AY55" s="68">
        <f>Sheet4!AY54</f>
        <v>0</v>
      </c>
      <c r="AZ55" s="68">
        <f>Sheet4!AZ54</f>
        <v>5</v>
      </c>
      <c r="BA55" s="68">
        <f>Sheet4!BA54</f>
        <v>0</v>
      </c>
      <c r="BB55" s="68">
        <f>Sheet4!BB54</f>
        <v>3</v>
      </c>
      <c r="BC55" s="68">
        <f>Sheet4!BC54</f>
        <v>1</v>
      </c>
      <c r="BD55" s="68">
        <f>Sheet4!BD54</f>
        <v>1</v>
      </c>
      <c r="BE55" s="68">
        <f>Sheet4!BE54</f>
        <v>1</v>
      </c>
      <c r="BF55" s="68">
        <f>Sheet4!BF54</f>
        <v>1</v>
      </c>
      <c r="BG55" s="68">
        <f>Sheet4!BG54</f>
        <v>0</v>
      </c>
      <c r="BH55" s="68">
        <f>Sheet4!BH54</f>
        <v>2</v>
      </c>
      <c r="BI55" s="68">
        <f>Sheet4!BI54</f>
        <v>0</v>
      </c>
      <c r="BJ55" s="68">
        <f>Sheet4!BJ54</f>
        <v>1</v>
      </c>
      <c r="BK55" s="68">
        <f>Sheet4!BK54</f>
        <v>1</v>
      </c>
      <c r="BL55" s="68">
        <f>Sheet4!BL54</f>
        <v>2</v>
      </c>
      <c r="BM55" s="68">
        <f>Sheet4!BM54</f>
        <v>1</v>
      </c>
      <c r="BN55" s="68">
        <f>Sheet4!BN54</f>
        <v>1</v>
      </c>
      <c r="BO55" s="68">
        <f>Sheet4!BO54</f>
        <v>1</v>
      </c>
      <c r="BP55" s="68">
        <f>Sheet4!BP54</f>
        <v>0</v>
      </c>
      <c r="BQ55" s="68">
        <f>Sheet4!BQ54</f>
        <v>2</v>
      </c>
      <c r="BR55" s="68">
        <f>Sheet4!BR54</f>
        <v>1</v>
      </c>
      <c r="BS55" s="68">
        <f>Sheet4!BS54</f>
        <v>1</v>
      </c>
      <c r="BT55" s="68">
        <f>Sheet4!BT54</f>
        <v>0</v>
      </c>
      <c r="BU55" s="68">
        <f>Sheet4!BU54</f>
        <v>2</v>
      </c>
      <c r="BV55" s="68">
        <f>Sheet4!BV54</f>
        <v>1</v>
      </c>
      <c r="BW55" s="68">
        <f>Sheet4!BW54</f>
        <v>1</v>
      </c>
      <c r="BX55" s="68">
        <f>Sheet4!BX54</f>
        <v>1</v>
      </c>
      <c r="BY55" s="68">
        <f>Sheet4!BY54</f>
        <v>1</v>
      </c>
      <c r="BZ55" s="68">
        <f>Sheet4!BZ54</f>
        <v>0</v>
      </c>
      <c r="CA55" s="68">
        <f>Sheet4!CA54</f>
        <v>2</v>
      </c>
      <c r="CB55" s="68">
        <f>Sheet4!CB54</f>
        <v>0</v>
      </c>
      <c r="CC55" s="68">
        <f>Sheet4!CC54</f>
        <v>2</v>
      </c>
      <c r="CD55" s="68">
        <f>Sheet4!CD54</f>
        <v>0</v>
      </c>
      <c r="CE55" s="68">
        <f>Sheet4!CE54</f>
        <v>2</v>
      </c>
      <c r="CF55" s="68">
        <f>Sheet4!CF54</f>
        <v>0</v>
      </c>
      <c r="CG55" s="68">
        <f>Sheet4!CG54</f>
        <v>2</v>
      </c>
      <c r="CH55" s="68">
        <f>Sheet4!CH54</f>
        <v>0</v>
      </c>
      <c r="CI55" s="68">
        <f>Sheet4!CI54</f>
        <v>2</v>
      </c>
      <c r="CJ55" s="68">
        <f>Sheet4!CJ54</f>
        <v>1</v>
      </c>
      <c r="CK55" s="68">
        <f>Sheet4!CK54</f>
        <v>1</v>
      </c>
      <c r="CL55" s="68">
        <f>Sheet4!CL54</f>
        <v>1</v>
      </c>
      <c r="CM55" s="68">
        <f>Sheet4!CM54</f>
        <v>1</v>
      </c>
      <c r="CN55" s="68">
        <f>Sheet4!CN54</f>
        <v>0</v>
      </c>
      <c r="CO55" s="68">
        <f>Sheet4!CO54</f>
        <v>0</v>
      </c>
      <c r="CP55" s="68">
        <f>Sheet4!CP54</f>
        <v>2</v>
      </c>
      <c r="CQ55" s="68">
        <f>Sheet4!CQ54</f>
        <v>2</v>
      </c>
      <c r="CR55" s="68">
        <f>Sheet4!CR54</f>
        <v>0</v>
      </c>
      <c r="CS55" s="68">
        <f>Sheet4!CS54</f>
        <v>2</v>
      </c>
      <c r="CT55" s="68">
        <f>Sheet4!CT54</f>
        <v>1</v>
      </c>
      <c r="CU55" s="68">
        <f>Sheet4!CU54</f>
        <v>0</v>
      </c>
      <c r="CV55" s="68">
        <f>Sheet4!CV54</f>
        <v>0</v>
      </c>
      <c r="CW55" s="68">
        <f>Sheet4!CW54</f>
        <v>0</v>
      </c>
      <c r="CX55" s="68">
        <f>Sheet4!CX54</f>
        <v>0</v>
      </c>
      <c r="CY55" s="68">
        <f>Sheet4!CY54</f>
        <v>0</v>
      </c>
      <c r="CZ55" s="68">
        <f>Sheet4!CZ54</f>
        <v>5</v>
      </c>
      <c r="DA55" s="68">
        <f>Sheet4!DA54</f>
        <v>2</v>
      </c>
      <c r="DB55" s="68">
        <f>Sheet4!DB54</f>
        <v>0</v>
      </c>
      <c r="DC55" s="68">
        <f>Sheet4!DC54</f>
        <v>2</v>
      </c>
      <c r="DD55" s="68">
        <f>Sheet4!DD54</f>
        <v>1</v>
      </c>
      <c r="DE55" s="68">
        <f>Sheet4!DE54</f>
        <v>0</v>
      </c>
      <c r="DF55" s="68">
        <f>Sheet4!DF54</f>
        <v>2</v>
      </c>
      <c r="DG55" s="68">
        <f>Sheet4!DG54</f>
        <v>0</v>
      </c>
      <c r="DH55" s="68">
        <f>Sheet4!DH54</f>
        <v>0</v>
      </c>
      <c r="DI55" s="68">
        <f>Sheet4!DI54</f>
        <v>0</v>
      </c>
      <c r="DJ55" s="68">
        <f>Sheet4!DJ54</f>
        <v>0</v>
      </c>
      <c r="DK55" s="68">
        <f>Sheet4!DK54</f>
        <v>0</v>
      </c>
      <c r="DL55" s="68">
        <f>Sheet4!DL54</f>
        <v>0</v>
      </c>
      <c r="DM55" s="68">
        <f>Sheet4!DM54</f>
        <v>0</v>
      </c>
      <c r="DN55" s="68">
        <f>Sheet4!DN54</f>
        <v>0</v>
      </c>
      <c r="DO55" s="68">
        <f>Sheet4!DO54</f>
        <v>0</v>
      </c>
      <c r="DP55" s="68">
        <f>Sheet4!DP54</f>
        <v>0</v>
      </c>
      <c r="DQ55" s="68">
        <f>Sheet4!DQ54</f>
        <v>0</v>
      </c>
    </row>
    <row r="56" spans="1:121" ht="15.75" customHeight="1" x14ac:dyDescent="0.3">
      <c r="A56" s="40">
        <f>Sheet4!A55</f>
        <v>52</v>
      </c>
      <c r="B56" s="40" t="str">
        <f>Sheet4!B55</f>
        <v>ኤርሚያስ ፊሎ</v>
      </c>
      <c r="C56" s="26">
        <f>Sheet4!C55</f>
        <v>21000</v>
      </c>
      <c r="D56" s="68">
        <f>Sheet4!D55</f>
        <v>1</v>
      </c>
      <c r="E56" s="68">
        <f>Sheet4!E55</f>
        <v>1</v>
      </c>
      <c r="F56" s="68">
        <f>Sheet4!F55</f>
        <v>1</v>
      </c>
      <c r="G56" s="68">
        <f>Sheet4!G55</f>
        <v>1</v>
      </c>
      <c r="H56" s="68">
        <f>Sheet4!H55</f>
        <v>1</v>
      </c>
      <c r="I56" s="68">
        <f>Sheet4!I55</f>
        <v>1</v>
      </c>
      <c r="J56" s="68">
        <f>Sheet4!J55</f>
        <v>1</v>
      </c>
      <c r="K56" s="68">
        <f>Sheet4!K55</f>
        <v>1</v>
      </c>
      <c r="L56" s="68">
        <f>Sheet4!L55</f>
        <v>1</v>
      </c>
      <c r="M56" s="68">
        <f>Sheet4!M55</f>
        <v>1</v>
      </c>
      <c r="N56" s="68">
        <f>Sheet4!N55</f>
        <v>1</v>
      </c>
      <c r="O56" s="68">
        <f>Sheet4!O55</f>
        <v>1</v>
      </c>
      <c r="P56" s="68">
        <f>Sheet4!P55</f>
        <v>1</v>
      </c>
      <c r="Q56" s="68">
        <f>Sheet4!Q55</f>
        <v>1</v>
      </c>
      <c r="R56" s="68">
        <f>Sheet4!R55</f>
        <v>1</v>
      </c>
      <c r="S56" s="68">
        <f>Sheet4!S55</f>
        <v>1</v>
      </c>
      <c r="T56" s="68">
        <f>Sheet4!T55</f>
        <v>1</v>
      </c>
      <c r="U56" s="68">
        <f>Sheet4!U55</f>
        <v>1</v>
      </c>
      <c r="V56" s="68">
        <f>Sheet4!V55</f>
        <v>1</v>
      </c>
      <c r="W56" s="68">
        <f>Sheet4!W55</f>
        <v>1</v>
      </c>
      <c r="X56" s="68">
        <f>Sheet4!X55</f>
        <v>1</v>
      </c>
      <c r="Y56" s="68">
        <f>Sheet4!Y55</f>
        <v>1</v>
      </c>
      <c r="Z56" s="68">
        <f>Sheet4!Z55</f>
        <v>1</v>
      </c>
      <c r="AA56" s="68">
        <f>Sheet4!AA55</f>
        <v>1</v>
      </c>
      <c r="AB56" s="68">
        <f>Sheet4!AB55</f>
        <v>1</v>
      </c>
      <c r="AC56" s="68">
        <f>Sheet4!AC55</f>
        <v>1</v>
      </c>
      <c r="AD56" s="68">
        <f>Sheet4!AD55</f>
        <v>1</v>
      </c>
      <c r="AE56" s="68">
        <f>Sheet4!AE55</f>
        <v>1</v>
      </c>
      <c r="AF56" s="68">
        <f>Sheet4!AF55</f>
        <v>1</v>
      </c>
      <c r="AG56" s="68">
        <f>Sheet4!AG55</f>
        <v>1</v>
      </c>
      <c r="AH56" s="68">
        <f>Sheet4!AH55</f>
        <v>1</v>
      </c>
      <c r="AI56" s="68">
        <f>Sheet4!AI55</f>
        <v>1</v>
      </c>
      <c r="AJ56" s="68">
        <f>Sheet4!AJ55</f>
        <v>1</v>
      </c>
      <c r="AK56" s="68">
        <f>Sheet4!AK55</f>
        <v>1</v>
      </c>
      <c r="AL56" s="68">
        <f>Sheet4!AL55</f>
        <v>1</v>
      </c>
      <c r="AM56" s="68">
        <f>Sheet4!AM55</f>
        <v>1</v>
      </c>
      <c r="AN56" s="68">
        <f>Sheet4!AN55</f>
        <v>1</v>
      </c>
      <c r="AO56" s="68">
        <f>Sheet4!AO55</f>
        <v>1</v>
      </c>
      <c r="AP56" s="68">
        <f>Sheet4!AP55</f>
        <v>1</v>
      </c>
      <c r="AQ56" s="68">
        <f>Sheet4!AQ55</f>
        <v>1</v>
      </c>
      <c r="AR56" s="68">
        <f>Sheet4!AR55</f>
        <v>1</v>
      </c>
      <c r="AS56" s="68">
        <f>Sheet4!AS55</f>
        <v>1</v>
      </c>
      <c r="AT56" s="68">
        <f>Sheet4!AT55</f>
        <v>1</v>
      </c>
      <c r="AU56" s="68">
        <f>Sheet4!AU55</f>
        <v>0</v>
      </c>
      <c r="AV56" s="68">
        <f>Sheet4!AV55</f>
        <v>2</v>
      </c>
      <c r="AW56" s="68">
        <f>Sheet4!AW55</f>
        <v>1</v>
      </c>
      <c r="AX56" s="68">
        <f>Sheet4!AX55</f>
        <v>1</v>
      </c>
      <c r="AY56" s="68">
        <f>Sheet4!AY55</f>
        <v>1</v>
      </c>
      <c r="AZ56" s="68">
        <f>Sheet4!AZ55</f>
        <v>1</v>
      </c>
      <c r="BA56" s="68">
        <f>Sheet4!BA55</f>
        <v>1</v>
      </c>
      <c r="BB56" s="68">
        <f>Sheet4!BB55</f>
        <v>0</v>
      </c>
      <c r="BC56" s="68">
        <f>Sheet4!BC55</f>
        <v>2</v>
      </c>
      <c r="BD56" s="68">
        <f>Sheet4!BD55</f>
        <v>1</v>
      </c>
      <c r="BE56" s="68">
        <f>Sheet4!BE55</f>
        <v>1</v>
      </c>
      <c r="BF56" s="68">
        <f>Sheet4!BF55</f>
        <v>1</v>
      </c>
      <c r="BG56" s="68">
        <f>Sheet4!BG55</f>
        <v>0</v>
      </c>
      <c r="BH56" s="68">
        <f>Sheet4!BH55</f>
        <v>2</v>
      </c>
      <c r="BI56" s="68">
        <f>Sheet4!BI55</f>
        <v>1</v>
      </c>
      <c r="BJ56" s="68">
        <f>Sheet4!BJ55</f>
        <v>0</v>
      </c>
      <c r="BK56" s="68">
        <f>Sheet4!BK55</f>
        <v>2</v>
      </c>
      <c r="BL56" s="68">
        <f>Sheet4!BL55</f>
        <v>1</v>
      </c>
      <c r="BM56" s="68">
        <f>Sheet4!BM55</f>
        <v>1</v>
      </c>
      <c r="BN56" s="68">
        <f>Sheet4!BN55</f>
        <v>1</v>
      </c>
      <c r="BO56" s="68">
        <f>Sheet4!BO55</f>
        <v>1</v>
      </c>
      <c r="BP56" s="68">
        <f>Sheet4!BP55</f>
        <v>1</v>
      </c>
      <c r="BQ56" s="68">
        <f>Sheet4!BQ55</f>
        <v>1</v>
      </c>
      <c r="BR56" s="68">
        <f>Sheet4!BR55</f>
        <v>1</v>
      </c>
      <c r="BS56" s="68">
        <f>Sheet4!BS55</f>
        <v>1</v>
      </c>
      <c r="BT56" s="68">
        <f>Sheet4!BT55</f>
        <v>1</v>
      </c>
      <c r="BU56" s="68">
        <f>Sheet4!BU55</f>
        <v>1</v>
      </c>
      <c r="BV56" s="68">
        <f>Sheet4!BV55</f>
        <v>1</v>
      </c>
      <c r="BW56" s="68">
        <f>Sheet4!BW55</f>
        <v>1</v>
      </c>
      <c r="BX56" s="68">
        <f>Sheet4!BX55</f>
        <v>1</v>
      </c>
      <c r="BY56" s="68">
        <f>Sheet4!BY55</f>
        <v>1</v>
      </c>
      <c r="BZ56" s="68">
        <f>Sheet4!BZ55</f>
        <v>1</v>
      </c>
      <c r="CA56" s="68">
        <f>Sheet4!CA55</f>
        <v>1</v>
      </c>
      <c r="CB56" s="68">
        <f>Sheet4!CB55</f>
        <v>1</v>
      </c>
      <c r="CC56" s="68">
        <f>Sheet4!CC55</f>
        <v>1</v>
      </c>
      <c r="CD56" s="68">
        <f>Sheet4!CD55</f>
        <v>1</v>
      </c>
      <c r="CE56" s="68">
        <f>Sheet4!CE55</f>
        <v>1</v>
      </c>
      <c r="CF56" s="68">
        <f>Sheet4!CF55</f>
        <v>0</v>
      </c>
      <c r="CG56" s="68">
        <f>Sheet4!CG55</f>
        <v>1</v>
      </c>
      <c r="CH56" s="68">
        <f>Sheet4!CH55</f>
        <v>1</v>
      </c>
      <c r="CI56" s="68">
        <f>Sheet4!CI55</f>
        <v>1</v>
      </c>
      <c r="CJ56" s="68">
        <f>Sheet4!CJ55</f>
        <v>1</v>
      </c>
      <c r="CK56" s="68">
        <f>Sheet4!CK55</f>
        <v>1</v>
      </c>
      <c r="CL56" s="68">
        <f>Sheet4!CL55</f>
        <v>1</v>
      </c>
      <c r="CM56" s="68">
        <f>Sheet4!CM55</f>
        <v>1</v>
      </c>
      <c r="CN56" s="68">
        <f>Sheet4!CN55</f>
        <v>1</v>
      </c>
      <c r="CO56" s="68">
        <f>Sheet4!CO55</f>
        <v>1</v>
      </c>
      <c r="CP56" s="68">
        <f>Sheet4!CP55</f>
        <v>1</v>
      </c>
      <c r="CQ56" s="68">
        <f>Sheet4!CQ55</f>
        <v>1</v>
      </c>
      <c r="CR56" s="68">
        <f>Sheet4!CR55</f>
        <v>1</v>
      </c>
      <c r="CS56" s="68">
        <f>Sheet4!CS55</f>
        <v>1</v>
      </c>
      <c r="CT56" s="68">
        <f>Sheet4!CT55</f>
        <v>1</v>
      </c>
      <c r="CU56" s="68">
        <f>Sheet4!CU55</f>
        <v>1</v>
      </c>
      <c r="CV56" s="68">
        <f>Sheet4!CV55</f>
        <v>0</v>
      </c>
      <c r="CW56" s="68">
        <f>Sheet4!CW55</f>
        <v>2</v>
      </c>
      <c r="CX56" s="68">
        <f>Sheet4!CX55</f>
        <v>1</v>
      </c>
      <c r="CY56" s="68">
        <f>Sheet4!CY55</f>
        <v>1</v>
      </c>
      <c r="CZ56" s="68">
        <f>Sheet4!CZ55</f>
        <v>1</v>
      </c>
      <c r="DA56" s="68">
        <f>Sheet4!DA55</f>
        <v>1</v>
      </c>
      <c r="DB56" s="68">
        <f>Sheet4!DB55</f>
        <v>1</v>
      </c>
      <c r="DC56" s="68">
        <f>Sheet4!DC55</f>
        <v>1</v>
      </c>
      <c r="DD56" s="68">
        <f>Sheet4!DD55</f>
        <v>1</v>
      </c>
      <c r="DE56" s="68">
        <f>Sheet4!DE55</f>
        <v>0</v>
      </c>
      <c r="DF56" s="68">
        <f>Sheet4!DF55</f>
        <v>1</v>
      </c>
      <c r="DG56" s="68">
        <f>Sheet4!DG55</f>
        <v>1</v>
      </c>
      <c r="DH56" s="68">
        <f>Sheet4!DH55</f>
        <v>0</v>
      </c>
      <c r="DI56" s="68">
        <f>Sheet4!DI55</f>
        <v>0</v>
      </c>
      <c r="DJ56" s="68">
        <f>Sheet4!DJ55</f>
        <v>0</v>
      </c>
      <c r="DK56" s="68">
        <f>Sheet4!DK55</f>
        <v>0</v>
      </c>
      <c r="DL56" s="68">
        <f>Sheet4!DL55</f>
        <v>0</v>
      </c>
      <c r="DM56" s="68">
        <f>Sheet4!DM55</f>
        <v>0</v>
      </c>
      <c r="DN56" s="68">
        <f>Sheet4!DN55</f>
        <v>0</v>
      </c>
      <c r="DO56" s="68">
        <f>Sheet4!DO55</f>
        <v>0</v>
      </c>
      <c r="DP56" s="68">
        <f>Sheet4!DP55</f>
        <v>0</v>
      </c>
      <c r="DQ56" s="68">
        <f>Sheet4!DQ55</f>
        <v>0</v>
      </c>
    </row>
    <row r="57" spans="1:121" ht="15.75" customHeight="1" x14ac:dyDescent="0.3">
      <c r="A57" s="40">
        <f>Sheet4!A56</f>
        <v>53</v>
      </c>
      <c r="B57" s="40" t="str">
        <f>Sheet4!B56</f>
        <v>ሙሴ ዳንኤል</v>
      </c>
      <c r="C57" s="26">
        <f>Sheet4!C56</f>
        <v>21000</v>
      </c>
      <c r="D57" s="68">
        <f>Sheet4!D56</f>
        <v>1</v>
      </c>
      <c r="E57" s="68">
        <f>Sheet4!E56</f>
        <v>1</v>
      </c>
      <c r="F57" s="68">
        <f>Sheet4!F56</f>
        <v>1</v>
      </c>
      <c r="G57" s="68">
        <f>Sheet4!G56</f>
        <v>1</v>
      </c>
      <c r="H57" s="68">
        <f>Sheet4!H56</f>
        <v>1</v>
      </c>
      <c r="I57" s="68">
        <f>Sheet4!I56</f>
        <v>1</v>
      </c>
      <c r="J57" s="68">
        <f>Sheet4!J56</f>
        <v>1</v>
      </c>
      <c r="K57" s="68">
        <f>Sheet4!K56</f>
        <v>1</v>
      </c>
      <c r="L57" s="68">
        <f>Sheet4!L56</f>
        <v>1</v>
      </c>
      <c r="M57" s="68">
        <f>Sheet4!M56</f>
        <v>1</v>
      </c>
      <c r="N57" s="68">
        <f>Sheet4!N56</f>
        <v>1</v>
      </c>
      <c r="O57" s="68">
        <f>Sheet4!O56</f>
        <v>1</v>
      </c>
      <c r="P57" s="68">
        <f>Sheet4!P56</f>
        <v>1</v>
      </c>
      <c r="Q57" s="68">
        <f>Sheet4!Q56</f>
        <v>1</v>
      </c>
      <c r="R57" s="68">
        <f>Sheet4!R56</f>
        <v>1</v>
      </c>
      <c r="S57" s="68">
        <f>Sheet4!S56</f>
        <v>1</v>
      </c>
      <c r="T57" s="68">
        <f>Sheet4!T56</f>
        <v>1</v>
      </c>
      <c r="U57" s="68">
        <f>Sheet4!U56</f>
        <v>1</v>
      </c>
      <c r="V57" s="68">
        <f>Sheet4!V56</f>
        <v>1</v>
      </c>
      <c r="W57" s="68">
        <f>Sheet4!W56</f>
        <v>1</v>
      </c>
      <c r="X57" s="68">
        <f>Sheet4!X56</f>
        <v>1</v>
      </c>
      <c r="Y57" s="68">
        <f>Sheet4!Y56</f>
        <v>0</v>
      </c>
      <c r="Z57" s="68">
        <f>Sheet4!Z56</f>
        <v>2</v>
      </c>
      <c r="AA57" s="68">
        <f>Sheet4!AA56</f>
        <v>0</v>
      </c>
      <c r="AB57" s="68">
        <f>Sheet4!AB56</f>
        <v>2</v>
      </c>
      <c r="AC57" s="68">
        <f>Sheet4!AC56</f>
        <v>0</v>
      </c>
      <c r="AD57" s="68">
        <f>Sheet4!AD56</f>
        <v>2</v>
      </c>
      <c r="AE57" s="68">
        <f>Sheet4!AE56</f>
        <v>1</v>
      </c>
      <c r="AF57" s="68">
        <f>Sheet4!AF56</f>
        <v>0</v>
      </c>
      <c r="AG57" s="68">
        <f>Sheet4!AG56</f>
        <v>2</v>
      </c>
      <c r="AH57" s="68">
        <f>Sheet4!AH56</f>
        <v>1</v>
      </c>
      <c r="AI57" s="68">
        <f>Sheet4!AI56</f>
        <v>0</v>
      </c>
      <c r="AJ57" s="68">
        <f>Sheet4!AJ56</f>
        <v>0</v>
      </c>
      <c r="AK57" s="68">
        <f>Sheet4!AK56</f>
        <v>3</v>
      </c>
      <c r="AL57" s="68">
        <f>Sheet4!AL56</f>
        <v>1</v>
      </c>
      <c r="AM57" s="68">
        <f>Sheet4!AM56</f>
        <v>1</v>
      </c>
      <c r="AN57" s="68">
        <f>Sheet4!AN56</f>
        <v>0</v>
      </c>
      <c r="AO57" s="68">
        <f>Sheet4!AO56</f>
        <v>2</v>
      </c>
      <c r="AP57" s="68">
        <f>Sheet4!AP56</f>
        <v>1</v>
      </c>
      <c r="AQ57" s="68">
        <f>Sheet4!AQ56</f>
        <v>1</v>
      </c>
      <c r="AR57" s="68">
        <f>Sheet4!AR56</f>
        <v>1</v>
      </c>
      <c r="AS57" s="68">
        <f>Sheet4!AS56</f>
        <v>1</v>
      </c>
      <c r="AT57" s="68">
        <f>Sheet4!AT56</f>
        <v>1</v>
      </c>
      <c r="AU57" s="68">
        <f>Sheet4!AU56</f>
        <v>1</v>
      </c>
      <c r="AV57" s="68">
        <f>Sheet4!AV56</f>
        <v>1</v>
      </c>
      <c r="AW57" s="68">
        <f>Sheet4!AW56</f>
        <v>1</v>
      </c>
      <c r="AX57" s="68">
        <f>Sheet4!AX56</f>
        <v>1</v>
      </c>
      <c r="AY57" s="68">
        <f>Sheet4!AY56</f>
        <v>1</v>
      </c>
      <c r="AZ57" s="68">
        <f>Sheet4!AZ56</f>
        <v>1</v>
      </c>
      <c r="BA57" s="68">
        <f>Sheet4!BA56</f>
        <v>1</v>
      </c>
      <c r="BB57" s="68">
        <f>Sheet4!BB56</f>
        <v>1</v>
      </c>
      <c r="BC57" s="68">
        <f>Sheet4!BC56</f>
        <v>0</v>
      </c>
      <c r="BD57" s="68">
        <f>Sheet4!BD56</f>
        <v>2</v>
      </c>
      <c r="BE57" s="68">
        <f>Sheet4!BE56</f>
        <v>1</v>
      </c>
      <c r="BF57" s="68">
        <f>Sheet4!BF56</f>
        <v>1</v>
      </c>
      <c r="BG57" s="68">
        <f>Sheet4!BG56</f>
        <v>0</v>
      </c>
      <c r="BH57" s="68">
        <f>Sheet4!BH56</f>
        <v>2</v>
      </c>
      <c r="BI57" s="68">
        <f>Sheet4!BI56</f>
        <v>1</v>
      </c>
      <c r="BJ57" s="68">
        <f>Sheet4!BJ56</f>
        <v>1</v>
      </c>
      <c r="BK57" s="68">
        <f>Sheet4!BK56</f>
        <v>1</v>
      </c>
      <c r="BL57" s="68">
        <f>Sheet4!BL56</f>
        <v>1</v>
      </c>
      <c r="BM57" s="68">
        <f>Sheet4!BM56</f>
        <v>0</v>
      </c>
      <c r="BN57" s="68">
        <f>Sheet4!BN56</f>
        <v>2</v>
      </c>
      <c r="BO57" s="68">
        <f>Sheet4!BO56</f>
        <v>1</v>
      </c>
      <c r="BP57" s="68">
        <f>Sheet4!BP56</f>
        <v>1</v>
      </c>
      <c r="BQ57" s="68">
        <f>Sheet4!BQ56</f>
        <v>0</v>
      </c>
      <c r="BR57" s="68">
        <f>Sheet4!BR56</f>
        <v>2</v>
      </c>
      <c r="BS57" s="68">
        <f>Sheet4!BS56</f>
        <v>1</v>
      </c>
      <c r="BT57" s="68">
        <f>Sheet4!BT56</f>
        <v>1</v>
      </c>
      <c r="BU57" s="68">
        <f>Sheet4!BU56</f>
        <v>0</v>
      </c>
      <c r="BV57" s="68">
        <f>Sheet4!BV56</f>
        <v>0</v>
      </c>
      <c r="BW57" s="68">
        <f>Sheet4!BW56</f>
        <v>3</v>
      </c>
      <c r="BX57" s="68">
        <f>Sheet4!BX56</f>
        <v>0</v>
      </c>
      <c r="BY57" s="68">
        <f>Sheet4!BY56</f>
        <v>0</v>
      </c>
      <c r="BZ57" s="68">
        <f>Sheet4!BZ56</f>
        <v>2</v>
      </c>
      <c r="CA57" s="68">
        <f>Sheet4!CA56</f>
        <v>2</v>
      </c>
      <c r="CB57" s="68">
        <f>Sheet4!CB56</f>
        <v>1</v>
      </c>
      <c r="CC57" s="68">
        <f>Sheet4!CC56</f>
        <v>1</v>
      </c>
      <c r="CD57" s="68">
        <f>Sheet4!CD56</f>
        <v>0</v>
      </c>
      <c r="CE57" s="68">
        <f>Sheet4!CE56</f>
        <v>2</v>
      </c>
      <c r="CF57" s="68">
        <f>Sheet4!CF56</f>
        <v>0</v>
      </c>
      <c r="CG57" s="68">
        <f>Sheet4!CG56</f>
        <v>2</v>
      </c>
      <c r="CH57" s="68">
        <f>Sheet4!CH56</f>
        <v>0</v>
      </c>
      <c r="CI57" s="68">
        <f>Sheet4!CI56</f>
        <v>2</v>
      </c>
      <c r="CJ57" s="68">
        <f>Sheet4!CJ56</f>
        <v>0</v>
      </c>
      <c r="CK57" s="68">
        <f>Sheet4!CK56</f>
        <v>0</v>
      </c>
      <c r="CL57" s="68">
        <f>Sheet4!CL56</f>
        <v>2</v>
      </c>
      <c r="CM57" s="68">
        <f>Sheet4!CM56</f>
        <v>1</v>
      </c>
      <c r="CN57" s="68">
        <f>Sheet4!CN56</f>
        <v>1</v>
      </c>
      <c r="CO57" s="68">
        <f>Sheet4!CO56</f>
        <v>0</v>
      </c>
      <c r="CP57" s="68">
        <f>Sheet4!CP56</f>
        <v>2</v>
      </c>
      <c r="CQ57" s="68">
        <f>Sheet4!CQ56</f>
        <v>1</v>
      </c>
      <c r="CR57" s="68">
        <f>Sheet4!CR56</f>
        <v>1</v>
      </c>
      <c r="CS57" s="68">
        <f>Sheet4!CS56</f>
        <v>1</v>
      </c>
      <c r="CT57" s="68">
        <f>Sheet4!CT56</f>
        <v>0</v>
      </c>
      <c r="CU57" s="68">
        <f>Sheet4!CU56</f>
        <v>2</v>
      </c>
      <c r="CV57" s="68">
        <f>Sheet4!CV56</f>
        <v>1</v>
      </c>
      <c r="CW57" s="68">
        <f>Sheet4!CW56</f>
        <v>1</v>
      </c>
      <c r="CX57" s="68">
        <f>Sheet4!CX56</f>
        <v>0</v>
      </c>
      <c r="CY57" s="68">
        <f>Sheet4!CY56</f>
        <v>2</v>
      </c>
      <c r="CZ57" s="68">
        <f>Sheet4!CZ56</f>
        <v>1</v>
      </c>
      <c r="DA57" s="68">
        <f>Sheet4!DA56</f>
        <v>1</v>
      </c>
      <c r="DB57" s="68">
        <f>Sheet4!DB56</f>
        <v>0</v>
      </c>
      <c r="DC57" s="68">
        <f>Sheet4!DC56</f>
        <v>2</v>
      </c>
      <c r="DD57" s="68">
        <f>Sheet4!DD56</f>
        <v>1</v>
      </c>
      <c r="DE57" s="68">
        <f>Sheet4!DE56</f>
        <v>0</v>
      </c>
      <c r="DF57" s="68">
        <f>Sheet4!DF56</f>
        <v>0</v>
      </c>
      <c r="DG57" s="68">
        <f>Sheet4!DG56</f>
        <v>3</v>
      </c>
      <c r="DH57" s="68">
        <f>Sheet4!DH56</f>
        <v>0</v>
      </c>
      <c r="DI57" s="68">
        <f>Sheet4!DI56</f>
        <v>0</v>
      </c>
      <c r="DJ57" s="68">
        <f>Sheet4!DJ56</f>
        <v>0</v>
      </c>
      <c r="DK57" s="68">
        <f>Sheet4!DK56</f>
        <v>0</v>
      </c>
      <c r="DL57" s="68">
        <f>Sheet4!DL56</f>
        <v>0</v>
      </c>
      <c r="DM57" s="68">
        <f>Sheet4!DM56</f>
        <v>0</v>
      </c>
      <c r="DN57" s="68">
        <f>Sheet4!DN56</f>
        <v>0</v>
      </c>
      <c r="DO57" s="68">
        <f>Sheet4!DO56</f>
        <v>0</v>
      </c>
      <c r="DP57" s="68">
        <f>Sheet4!DP56</f>
        <v>0</v>
      </c>
      <c r="DQ57" s="68">
        <f>Sheet4!DQ56</f>
        <v>0</v>
      </c>
    </row>
    <row r="58" spans="1:121" ht="15.75" customHeight="1" x14ac:dyDescent="0.3">
      <c r="A58" s="40">
        <f>Sheet4!A57</f>
        <v>54</v>
      </c>
      <c r="B58" s="40" t="str">
        <f>Sheet4!B57</f>
        <v>ሽመልስ ሽብሩ</v>
      </c>
      <c r="C58" s="26">
        <f>Sheet4!C57</f>
        <v>21000</v>
      </c>
      <c r="D58" s="68">
        <f>Sheet4!D57</f>
        <v>1</v>
      </c>
      <c r="E58" s="68">
        <f>Sheet4!E57</f>
        <v>1</v>
      </c>
      <c r="F58" s="68">
        <f>Sheet4!F57</f>
        <v>1</v>
      </c>
      <c r="G58" s="68">
        <f>Sheet4!G57</f>
        <v>1</v>
      </c>
      <c r="H58" s="68">
        <f>Sheet4!H57</f>
        <v>1</v>
      </c>
      <c r="I58" s="68">
        <f>Sheet4!I57</f>
        <v>1</v>
      </c>
      <c r="J58" s="68">
        <f>Sheet4!J57</f>
        <v>1</v>
      </c>
      <c r="K58" s="68">
        <f>Sheet4!K57</f>
        <v>1</v>
      </c>
      <c r="L58" s="68">
        <f>Sheet4!L57</f>
        <v>1</v>
      </c>
      <c r="M58" s="68">
        <f>Sheet4!M57</f>
        <v>1</v>
      </c>
      <c r="N58" s="68">
        <f>Sheet4!N57</f>
        <v>1</v>
      </c>
      <c r="O58" s="68">
        <f>Sheet4!O57</f>
        <v>1</v>
      </c>
      <c r="P58" s="68">
        <f>Sheet4!P57</f>
        <v>1</v>
      </c>
      <c r="Q58" s="68">
        <f>Sheet4!Q57</f>
        <v>1</v>
      </c>
      <c r="R58" s="68">
        <f>Sheet4!R57</f>
        <v>1</v>
      </c>
      <c r="S58" s="68">
        <f>Sheet4!S57</f>
        <v>1</v>
      </c>
      <c r="T58" s="68">
        <f>Sheet4!T57</f>
        <v>1</v>
      </c>
      <c r="U58" s="68">
        <f>Sheet4!U57</f>
        <v>1</v>
      </c>
      <c r="V58" s="68">
        <f>Sheet4!V57</f>
        <v>1</v>
      </c>
      <c r="W58" s="68">
        <f>Sheet4!W57</f>
        <v>1</v>
      </c>
      <c r="X58" s="68">
        <f>Sheet4!X57</f>
        <v>1</v>
      </c>
      <c r="Y58" s="68">
        <f>Sheet4!Y57</f>
        <v>1</v>
      </c>
      <c r="Z58" s="68">
        <f>Sheet4!Z57</f>
        <v>1</v>
      </c>
      <c r="AA58" s="68">
        <f>Sheet4!AA57</f>
        <v>1</v>
      </c>
      <c r="AB58" s="68">
        <f>Sheet4!AB57</f>
        <v>1</v>
      </c>
      <c r="AC58" s="68">
        <f>Sheet4!AC57</f>
        <v>1</v>
      </c>
      <c r="AD58" s="68">
        <f>Sheet4!AD57</f>
        <v>1</v>
      </c>
      <c r="AE58" s="68">
        <f>Sheet4!AE57</f>
        <v>1</v>
      </c>
      <c r="AF58" s="68">
        <f>Sheet4!AF57</f>
        <v>1</v>
      </c>
      <c r="AG58" s="68">
        <f>Sheet4!AG57</f>
        <v>1</v>
      </c>
      <c r="AH58" s="68">
        <f>Sheet4!AH57</f>
        <v>1</v>
      </c>
      <c r="AI58" s="68">
        <f>Sheet4!AI57</f>
        <v>1</v>
      </c>
      <c r="AJ58" s="68">
        <f>Sheet4!AJ57</f>
        <v>0</v>
      </c>
      <c r="AK58" s="68">
        <f>Sheet4!AK57</f>
        <v>1</v>
      </c>
      <c r="AL58" s="68">
        <f>Sheet4!AL57</f>
        <v>0</v>
      </c>
      <c r="AM58" s="68">
        <f>Sheet4!AM57</f>
        <v>2</v>
      </c>
      <c r="AN58" s="68">
        <f>Sheet4!AN57</f>
        <v>1</v>
      </c>
      <c r="AO58" s="68">
        <f>Sheet4!AO57</f>
        <v>1</v>
      </c>
      <c r="AP58" s="68">
        <f>Sheet4!AP57</f>
        <v>0</v>
      </c>
      <c r="AQ58" s="68">
        <f>Sheet4!AQ57</f>
        <v>2</v>
      </c>
      <c r="AR58" s="68">
        <f>Sheet4!AR57</f>
        <v>0</v>
      </c>
      <c r="AS58" s="68">
        <f>Sheet4!AS57</f>
        <v>2</v>
      </c>
      <c r="AT58" s="68">
        <f>Sheet4!AT57</f>
        <v>1</v>
      </c>
      <c r="AU58" s="68">
        <f>Sheet4!AU57</f>
        <v>0</v>
      </c>
      <c r="AV58" s="68">
        <f>Sheet4!AV57</f>
        <v>0</v>
      </c>
      <c r="AW58" s="68">
        <f>Sheet4!AW57</f>
        <v>0</v>
      </c>
      <c r="AX58" s="68">
        <f>Sheet4!AX57</f>
        <v>0</v>
      </c>
      <c r="AY58" s="68">
        <f>Sheet4!AY57</f>
        <v>0</v>
      </c>
      <c r="AZ58" s="68">
        <f>Sheet4!AZ57</f>
        <v>0</v>
      </c>
      <c r="BA58" s="68">
        <f>Sheet4!BA57</f>
        <v>0</v>
      </c>
      <c r="BB58" s="68">
        <f>Sheet4!BB57</f>
        <v>0</v>
      </c>
      <c r="BC58" s="68">
        <f>Sheet4!BC57</f>
        <v>0</v>
      </c>
      <c r="BD58" s="68">
        <f>Sheet4!BD57</f>
        <v>0</v>
      </c>
      <c r="BE58" s="68">
        <f>Sheet4!BE57</f>
        <v>0</v>
      </c>
      <c r="BF58" s="68">
        <f>Sheet4!BF57</f>
        <v>0</v>
      </c>
      <c r="BG58" s="68">
        <f>Sheet4!BG57</f>
        <v>0</v>
      </c>
      <c r="BH58" s="68">
        <f>Sheet4!BH57</f>
        <v>0</v>
      </c>
      <c r="BI58" s="68">
        <f>Sheet4!BI57</f>
        <v>0</v>
      </c>
      <c r="BJ58" s="68">
        <f>Sheet4!BJ57</f>
        <v>0</v>
      </c>
      <c r="BK58" s="68">
        <f>Sheet4!BK57</f>
        <v>10</v>
      </c>
      <c r="BL58" s="68">
        <f>Sheet4!BL57</f>
        <v>0</v>
      </c>
      <c r="BM58" s="68">
        <f>Sheet4!BM57</f>
        <v>0</v>
      </c>
      <c r="BN58" s="68">
        <f>Sheet4!BN57</f>
        <v>0</v>
      </c>
      <c r="BO58" s="68">
        <f>Sheet4!BO57</f>
        <v>0</v>
      </c>
      <c r="BP58" s="68">
        <f>Sheet4!BP57</f>
        <v>8</v>
      </c>
      <c r="BQ58" s="68">
        <f>Sheet4!BQ57</f>
        <v>0</v>
      </c>
      <c r="BR58" s="68">
        <f>Sheet4!BR57</f>
        <v>0</v>
      </c>
      <c r="BS58" s="68">
        <f>Sheet4!BS57</f>
        <v>2</v>
      </c>
      <c r="BT58" s="68">
        <f>Sheet4!BT57</f>
        <v>0</v>
      </c>
      <c r="BU58" s="68">
        <f>Sheet4!BU57</f>
        <v>0</v>
      </c>
      <c r="BV58" s="68">
        <f>Sheet4!BV57</f>
        <v>1</v>
      </c>
      <c r="BW58" s="68">
        <f>Sheet4!BW57</f>
        <v>0</v>
      </c>
      <c r="BX58" s="68">
        <f>Sheet4!BX57</f>
        <v>0</v>
      </c>
      <c r="BY58" s="68">
        <f>Sheet4!BY57</f>
        <v>0</v>
      </c>
      <c r="BZ58" s="68">
        <f>Sheet4!BZ57</f>
        <v>0</v>
      </c>
      <c r="CA58" s="68">
        <f>Sheet4!CA57</f>
        <v>0</v>
      </c>
      <c r="CB58" s="68">
        <f>Sheet4!CB57</f>
        <v>0</v>
      </c>
      <c r="CC58" s="68">
        <f>Sheet4!CC57</f>
        <v>0</v>
      </c>
      <c r="CD58" s="68">
        <f>Sheet4!CD57</f>
        <v>0</v>
      </c>
      <c r="CE58" s="68">
        <f>Sheet4!CE57</f>
        <v>0</v>
      </c>
      <c r="CF58" s="68">
        <f>Sheet4!CF57</f>
        <v>0</v>
      </c>
      <c r="CG58" s="68">
        <f>Sheet4!CG57</f>
        <v>0</v>
      </c>
      <c r="CH58" s="68">
        <f>Sheet4!CH57</f>
        <v>0</v>
      </c>
      <c r="CI58" s="68">
        <f>Sheet4!CI57</f>
        <v>0</v>
      </c>
      <c r="CJ58" s="68">
        <f>Sheet4!CJ57</f>
        <v>14</v>
      </c>
      <c r="CK58" s="68">
        <f>Sheet4!CK57</f>
        <v>0</v>
      </c>
      <c r="CL58" s="68">
        <f>Sheet4!CL57</f>
        <v>0</v>
      </c>
      <c r="CM58" s="68">
        <f>Sheet4!CM57</f>
        <v>0</v>
      </c>
      <c r="CN58" s="68">
        <f>Sheet4!CN57</f>
        <v>0</v>
      </c>
      <c r="CO58" s="68">
        <f>Sheet4!CO57</f>
        <v>0</v>
      </c>
      <c r="CP58" s="68">
        <f>Sheet4!CP57</f>
        <v>0</v>
      </c>
      <c r="CQ58" s="68">
        <f>Sheet4!CQ57</f>
        <v>0</v>
      </c>
      <c r="CR58" s="68">
        <f>Sheet4!CR57</f>
        <v>0</v>
      </c>
      <c r="CS58" s="68">
        <f>Sheet4!CS57</f>
        <v>0</v>
      </c>
      <c r="CT58" s="68">
        <f>Sheet4!CT57</f>
        <v>0</v>
      </c>
      <c r="CU58" s="68">
        <f>Sheet4!CU57</f>
        <v>0</v>
      </c>
      <c r="CV58" s="68">
        <f>Sheet4!CV57</f>
        <v>0</v>
      </c>
      <c r="CW58" s="68">
        <f>Sheet4!CW57</f>
        <v>0</v>
      </c>
      <c r="CX58" s="68">
        <f>Sheet4!CX57</f>
        <v>0</v>
      </c>
      <c r="CY58" s="68">
        <f>Sheet4!CY57</f>
        <v>0</v>
      </c>
      <c r="CZ58" s="68">
        <f>Sheet4!CZ57</f>
        <v>0</v>
      </c>
      <c r="DA58" s="68">
        <f>Sheet4!DA57</f>
        <v>0</v>
      </c>
      <c r="DB58" s="68">
        <f>Sheet4!DB57</f>
        <v>0</v>
      </c>
      <c r="DC58" s="68">
        <f>Sheet4!DC57</f>
        <v>0</v>
      </c>
      <c r="DD58" s="68">
        <f>Sheet4!DD57</f>
        <v>0</v>
      </c>
      <c r="DE58" s="68">
        <f>Sheet4!DE57</f>
        <v>0</v>
      </c>
      <c r="DF58" s="68">
        <f>Sheet4!DF57</f>
        <v>0</v>
      </c>
      <c r="DG58" s="68">
        <f>Sheet4!DG57</f>
        <v>22</v>
      </c>
      <c r="DH58" s="68">
        <f>Sheet4!DH57</f>
        <v>0</v>
      </c>
      <c r="DI58" s="68">
        <f>Sheet4!DI57</f>
        <v>0</v>
      </c>
      <c r="DJ58" s="68">
        <f>Sheet4!DJ57</f>
        <v>0</v>
      </c>
      <c r="DK58" s="68">
        <f>Sheet4!DK57</f>
        <v>0</v>
      </c>
      <c r="DL58" s="68">
        <f>Sheet4!DL57</f>
        <v>0</v>
      </c>
      <c r="DM58" s="68">
        <f>Sheet4!DM57</f>
        <v>0</v>
      </c>
      <c r="DN58" s="68">
        <f>Sheet4!DN57</f>
        <v>0</v>
      </c>
      <c r="DO58" s="68">
        <f>Sheet4!DO57</f>
        <v>0</v>
      </c>
      <c r="DP58" s="68">
        <f>Sheet4!DP57</f>
        <v>0</v>
      </c>
      <c r="DQ58" s="68">
        <f>Sheet4!DQ57</f>
        <v>0</v>
      </c>
    </row>
    <row r="59" spans="1:121" ht="15.75" customHeight="1" x14ac:dyDescent="0.3">
      <c r="A59" s="40">
        <f>Sheet4!A58</f>
        <v>55</v>
      </c>
      <c r="B59" s="40" t="str">
        <f>Sheet4!B58</f>
        <v>ጌታቸው በቀለ</v>
      </c>
      <c r="C59" s="26">
        <f>Sheet4!C58</f>
        <v>21000</v>
      </c>
      <c r="D59" s="68">
        <f>Sheet4!D58</f>
        <v>1</v>
      </c>
      <c r="E59" s="68">
        <f>Sheet4!E58</f>
        <v>1</v>
      </c>
      <c r="F59" s="68">
        <f>Sheet4!F58</f>
        <v>1</v>
      </c>
      <c r="G59" s="68">
        <f>Sheet4!G58</f>
        <v>1</v>
      </c>
      <c r="H59" s="68">
        <f>Sheet4!H58</f>
        <v>1</v>
      </c>
      <c r="I59" s="68">
        <f>Sheet4!I58</f>
        <v>1</v>
      </c>
      <c r="J59" s="68">
        <f>Sheet4!J58</f>
        <v>1</v>
      </c>
      <c r="K59" s="68">
        <f>Sheet4!K58</f>
        <v>1</v>
      </c>
      <c r="L59" s="68">
        <f>Sheet4!L58</f>
        <v>1</v>
      </c>
      <c r="M59" s="68">
        <f>Sheet4!M58</f>
        <v>1</v>
      </c>
      <c r="N59" s="68">
        <f>Sheet4!N58</f>
        <v>1</v>
      </c>
      <c r="O59" s="68">
        <f>Sheet4!O58</f>
        <v>1</v>
      </c>
      <c r="P59" s="68">
        <f>Sheet4!P58</f>
        <v>1</v>
      </c>
      <c r="Q59" s="68">
        <f>Sheet4!Q58</f>
        <v>1</v>
      </c>
      <c r="R59" s="68">
        <f>Sheet4!R58</f>
        <v>1</v>
      </c>
      <c r="S59" s="68">
        <f>Sheet4!S58</f>
        <v>1</v>
      </c>
      <c r="T59" s="68">
        <f>Sheet4!T58</f>
        <v>1</v>
      </c>
      <c r="U59" s="68">
        <f>Sheet4!U58</f>
        <v>1</v>
      </c>
      <c r="V59" s="68">
        <f>Sheet4!V58</f>
        <v>1</v>
      </c>
      <c r="W59" s="68">
        <f>Sheet4!W58</f>
        <v>1</v>
      </c>
      <c r="X59" s="68">
        <f>Sheet4!X58</f>
        <v>1</v>
      </c>
      <c r="Y59" s="68">
        <f>Sheet4!Y58</f>
        <v>1</v>
      </c>
      <c r="Z59" s="68">
        <f>Sheet4!Z58</f>
        <v>1</v>
      </c>
      <c r="AA59" s="68">
        <f>Sheet4!AA58</f>
        <v>1</v>
      </c>
      <c r="AB59" s="68">
        <f>Sheet4!AB58</f>
        <v>1</v>
      </c>
      <c r="AC59" s="68">
        <f>Sheet4!AC58</f>
        <v>1</v>
      </c>
      <c r="AD59" s="68">
        <f>Sheet4!AD58</f>
        <v>0</v>
      </c>
      <c r="AE59" s="68">
        <f>Sheet4!AE58</f>
        <v>2</v>
      </c>
      <c r="AF59" s="68">
        <f>Sheet4!AF58</f>
        <v>1</v>
      </c>
      <c r="AG59" s="68">
        <f>Sheet4!AG58</f>
        <v>1</v>
      </c>
      <c r="AH59" s="68">
        <f>Sheet4!AH58</f>
        <v>1</v>
      </c>
      <c r="AI59" s="68">
        <f>Sheet4!AI58</f>
        <v>1</v>
      </c>
      <c r="AJ59" s="68">
        <f>Sheet4!AJ58</f>
        <v>1</v>
      </c>
      <c r="AK59" s="68">
        <f>Sheet4!AK58</f>
        <v>1</v>
      </c>
      <c r="AL59" s="68">
        <f>Sheet4!AL58</f>
        <v>1</v>
      </c>
      <c r="AM59" s="68">
        <f>Sheet4!AM58</f>
        <v>1</v>
      </c>
      <c r="AN59" s="68">
        <f>Sheet4!AN58</f>
        <v>1</v>
      </c>
      <c r="AO59" s="68">
        <f>Sheet4!AO58</f>
        <v>1</v>
      </c>
      <c r="AP59" s="68">
        <f>Sheet4!AP58</f>
        <v>1</v>
      </c>
      <c r="AQ59" s="68">
        <f>Sheet4!AQ58</f>
        <v>1</v>
      </c>
      <c r="AR59" s="68">
        <f>Sheet4!AR58</f>
        <v>1</v>
      </c>
      <c r="AS59" s="68">
        <f>Sheet4!AS58</f>
        <v>1</v>
      </c>
      <c r="AT59" s="68">
        <f>Sheet4!AT58</f>
        <v>1</v>
      </c>
      <c r="AU59" s="68">
        <f>Sheet4!AU58</f>
        <v>1</v>
      </c>
      <c r="AV59" s="68">
        <f>Sheet4!AV58</f>
        <v>1</v>
      </c>
      <c r="AW59" s="68">
        <f>Sheet4!AW58</f>
        <v>1</v>
      </c>
      <c r="AX59" s="68">
        <f>Sheet4!AX58</f>
        <v>1</v>
      </c>
      <c r="AY59" s="68">
        <f>Sheet4!AY58</f>
        <v>1</v>
      </c>
      <c r="AZ59" s="68">
        <f>Sheet4!AZ58</f>
        <v>1</v>
      </c>
      <c r="BA59" s="68">
        <f>Sheet4!BA58</f>
        <v>1</v>
      </c>
      <c r="BB59" s="68">
        <f>Sheet4!BB58</f>
        <v>1</v>
      </c>
      <c r="BC59" s="68">
        <f>Sheet4!BC58</f>
        <v>1</v>
      </c>
      <c r="BD59" s="68">
        <f>Sheet4!BD58</f>
        <v>1</v>
      </c>
      <c r="BE59" s="68">
        <f>Sheet4!BE58</f>
        <v>1</v>
      </c>
      <c r="BF59" s="68">
        <f>Sheet4!BF58</f>
        <v>1</v>
      </c>
      <c r="BG59" s="68">
        <f>Sheet4!BG58</f>
        <v>1</v>
      </c>
      <c r="BH59" s="68">
        <f>Sheet4!BH58</f>
        <v>1</v>
      </c>
      <c r="BI59" s="68">
        <f>Sheet4!BI58</f>
        <v>1</v>
      </c>
      <c r="BJ59" s="68">
        <f>Sheet4!BJ58</f>
        <v>1</v>
      </c>
      <c r="BK59" s="68">
        <f>Sheet4!BK58</f>
        <v>1</v>
      </c>
      <c r="BL59" s="68">
        <f>Sheet4!BL58</f>
        <v>1</v>
      </c>
      <c r="BM59" s="68">
        <f>Sheet4!BM58</f>
        <v>1</v>
      </c>
      <c r="BN59" s="68">
        <f>Sheet4!BN58</f>
        <v>1</v>
      </c>
      <c r="BO59" s="68">
        <f>Sheet4!BO58</f>
        <v>1</v>
      </c>
      <c r="BP59" s="68">
        <f>Sheet4!BP58</f>
        <v>1</v>
      </c>
      <c r="BQ59" s="68">
        <f>Sheet4!BQ58</f>
        <v>1</v>
      </c>
      <c r="BR59" s="68">
        <f>Sheet4!BR58</f>
        <v>1</v>
      </c>
      <c r="BS59" s="68">
        <f>Sheet4!BS58</f>
        <v>1</v>
      </c>
      <c r="BT59" s="68">
        <f>Sheet4!BT58</f>
        <v>1</v>
      </c>
      <c r="BU59" s="68">
        <f>Sheet4!BU58</f>
        <v>1</v>
      </c>
      <c r="BV59" s="68">
        <f>Sheet4!BV58</f>
        <v>0</v>
      </c>
      <c r="BW59" s="68">
        <f>Sheet4!BW58</f>
        <v>2</v>
      </c>
      <c r="BX59" s="68">
        <f>Sheet4!BX58</f>
        <v>1</v>
      </c>
      <c r="BY59" s="68">
        <f>Sheet4!BY58</f>
        <v>0</v>
      </c>
      <c r="BZ59" s="68">
        <f>Sheet4!BZ58</f>
        <v>1</v>
      </c>
      <c r="CA59" s="68">
        <f>Sheet4!CA58</f>
        <v>1</v>
      </c>
      <c r="CB59" s="68">
        <f>Sheet4!CB58</f>
        <v>1</v>
      </c>
      <c r="CC59" s="68">
        <f>Sheet4!CC58</f>
        <v>1</v>
      </c>
      <c r="CD59" s="68">
        <f>Sheet4!CD58</f>
        <v>1</v>
      </c>
      <c r="CE59" s="68">
        <f>Sheet4!CE58</f>
        <v>1</v>
      </c>
      <c r="CF59" s="68">
        <f>Sheet4!CF58</f>
        <v>1</v>
      </c>
      <c r="CG59" s="68">
        <f>Sheet4!CG58</f>
        <v>1</v>
      </c>
      <c r="CH59" s="68">
        <f>Sheet4!CH58</f>
        <v>1</v>
      </c>
      <c r="CI59" s="68">
        <f>Sheet4!CI58</f>
        <v>1</v>
      </c>
      <c r="CJ59" s="68">
        <f>Sheet4!CJ58</f>
        <v>1</v>
      </c>
      <c r="CK59" s="68">
        <f>Sheet4!CK58</f>
        <v>1</v>
      </c>
      <c r="CL59" s="68">
        <f>Sheet4!CL58</f>
        <v>0</v>
      </c>
      <c r="CM59" s="68">
        <f>Sheet4!CM58</f>
        <v>2</v>
      </c>
      <c r="CN59" s="68">
        <f>Sheet4!CN58</f>
        <v>1</v>
      </c>
      <c r="CO59" s="68">
        <f>Sheet4!CO58</f>
        <v>1</v>
      </c>
      <c r="CP59" s="68">
        <f>Sheet4!CP58</f>
        <v>1</v>
      </c>
      <c r="CQ59" s="68">
        <f>Sheet4!CQ58</f>
        <v>1</v>
      </c>
      <c r="CR59" s="68">
        <f>Sheet4!CR58</f>
        <v>1</v>
      </c>
      <c r="CS59" s="68">
        <f>Sheet4!CS58</f>
        <v>1</v>
      </c>
      <c r="CT59" s="68">
        <f>Sheet4!CT58</f>
        <v>1</v>
      </c>
      <c r="CU59" s="68">
        <f>Sheet4!CU58</f>
        <v>1</v>
      </c>
      <c r="CV59" s="68">
        <f>Sheet4!CV58</f>
        <v>1</v>
      </c>
      <c r="CW59" s="68">
        <f>Sheet4!CW58</f>
        <v>0</v>
      </c>
      <c r="CX59" s="68">
        <f>Sheet4!CX58</f>
        <v>2</v>
      </c>
      <c r="CY59" s="68">
        <f>Sheet4!CY58</f>
        <v>0</v>
      </c>
      <c r="CZ59" s="68">
        <f>Sheet4!CZ58</f>
        <v>2</v>
      </c>
      <c r="DA59" s="68">
        <f>Sheet4!DA58</f>
        <v>1</v>
      </c>
      <c r="DB59" s="68">
        <f>Sheet4!DB58</f>
        <v>0</v>
      </c>
      <c r="DC59" s="68">
        <f>Sheet4!DC58</f>
        <v>2</v>
      </c>
      <c r="DD59" s="68">
        <f>Sheet4!DD58</f>
        <v>1</v>
      </c>
      <c r="DE59" s="68">
        <f>Sheet4!DE58</f>
        <v>0</v>
      </c>
      <c r="DF59" s="68">
        <f>Sheet4!DF58</f>
        <v>2</v>
      </c>
      <c r="DG59" s="68">
        <f>Sheet4!DG58</f>
        <v>0</v>
      </c>
      <c r="DH59" s="68">
        <f>Sheet4!DH58</f>
        <v>0</v>
      </c>
      <c r="DI59" s="68">
        <f>Sheet4!DI58</f>
        <v>0</v>
      </c>
      <c r="DJ59" s="68">
        <f>Sheet4!DJ58</f>
        <v>0</v>
      </c>
      <c r="DK59" s="68">
        <f>Sheet4!DK58</f>
        <v>0</v>
      </c>
      <c r="DL59" s="68">
        <f>Sheet4!DL58</f>
        <v>0</v>
      </c>
      <c r="DM59" s="68">
        <f>Sheet4!DM58</f>
        <v>0</v>
      </c>
      <c r="DN59" s="68">
        <f>Sheet4!DN58</f>
        <v>0</v>
      </c>
      <c r="DO59" s="68">
        <f>Sheet4!DO58</f>
        <v>0</v>
      </c>
      <c r="DP59" s="68">
        <f>Sheet4!DP58</f>
        <v>0</v>
      </c>
      <c r="DQ59" s="68">
        <f>Sheet4!DQ58</f>
        <v>0</v>
      </c>
    </row>
    <row r="60" spans="1:121" ht="15.75" customHeight="1" x14ac:dyDescent="0.3">
      <c r="A60" s="40">
        <f>Sheet4!A59</f>
        <v>56</v>
      </c>
      <c r="B60" s="40" t="str">
        <f>Sheet4!B59</f>
        <v>ከፈለኝ ፃዲቁ</v>
      </c>
      <c r="C60" s="26">
        <f>Sheet4!C59</f>
        <v>21000</v>
      </c>
      <c r="D60" s="68">
        <f>Sheet4!D59</f>
        <v>0</v>
      </c>
      <c r="E60" s="68">
        <f>Sheet4!E59</f>
        <v>0</v>
      </c>
      <c r="F60" s="68">
        <f>Sheet4!F59</f>
        <v>0</v>
      </c>
      <c r="G60" s="68">
        <f>Sheet4!G59</f>
        <v>0</v>
      </c>
      <c r="H60" s="68">
        <f>Sheet4!H59</f>
        <v>0</v>
      </c>
      <c r="I60" s="68">
        <f>Sheet4!I59</f>
        <v>0</v>
      </c>
      <c r="J60" s="68">
        <f>Sheet4!J59</f>
        <v>0</v>
      </c>
      <c r="K60" s="68">
        <f>Sheet4!K59</f>
        <v>0</v>
      </c>
      <c r="L60" s="68">
        <f>Sheet4!L59</f>
        <v>0</v>
      </c>
      <c r="M60" s="68">
        <f>Sheet4!M59</f>
        <v>0</v>
      </c>
      <c r="N60" s="68">
        <f>Sheet4!N59</f>
        <v>0</v>
      </c>
      <c r="O60" s="68">
        <f>Sheet4!O59</f>
        <v>0</v>
      </c>
      <c r="P60" s="68">
        <f>Sheet4!P59</f>
        <v>0</v>
      </c>
      <c r="Q60" s="68">
        <f>Sheet4!Q59</f>
        <v>0</v>
      </c>
      <c r="R60" s="68">
        <f>Sheet4!R59</f>
        <v>0</v>
      </c>
      <c r="S60" s="68">
        <f>Sheet4!S59</f>
        <v>0</v>
      </c>
      <c r="T60" s="68">
        <f>Sheet4!T59</f>
        <v>0</v>
      </c>
      <c r="U60" s="68">
        <f>Sheet4!U59</f>
        <v>0</v>
      </c>
      <c r="V60" s="68">
        <f>Sheet4!V59</f>
        <v>0</v>
      </c>
      <c r="W60" s="68">
        <f>Sheet4!W59</f>
        <v>0</v>
      </c>
      <c r="X60" s="68">
        <f>Sheet4!X59</f>
        <v>0</v>
      </c>
      <c r="Y60" s="68">
        <f>Sheet4!Y59</f>
        <v>0</v>
      </c>
      <c r="Z60" s="68">
        <f>Sheet4!Z59</f>
        <v>0</v>
      </c>
      <c r="AA60" s="68">
        <f>Sheet4!AA59</f>
        <v>0</v>
      </c>
      <c r="AB60" s="68">
        <f>Sheet4!AB59</f>
        <v>0</v>
      </c>
      <c r="AC60" s="68">
        <f>Sheet4!AC59</f>
        <v>0</v>
      </c>
      <c r="AD60" s="68">
        <f>Sheet4!AD59</f>
        <v>0</v>
      </c>
      <c r="AE60" s="68">
        <f>Sheet4!AE59</f>
        <v>0</v>
      </c>
      <c r="AF60" s="68">
        <f>Sheet4!AF59</f>
        <v>0</v>
      </c>
      <c r="AG60" s="68">
        <f>Sheet4!AG59</f>
        <v>0</v>
      </c>
      <c r="AH60" s="68">
        <f>Sheet4!AH59</f>
        <v>0</v>
      </c>
      <c r="AI60" s="68">
        <f>Sheet4!AI59</f>
        <v>0</v>
      </c>
      <c r="AJ60" s="68">
        <f>Sheet4!AJ59</f>
        <v>0</v>
      </c>
      <c r="AK60" s="68">
        <f>Sheet4!AK59</f>
        <v>0</v>
      </c>
      <c r="AL60" s="68">
        <f>Sheet4!AL59</f>
        <v>0</v>
      </c>
      <c r="AM60" s="68">
        <f>Sheet4!AM59</f>
        <v>0</v>
      </c>
      <c r="AN60" s="68">
        <f>Sheet4!AN59</f>
        <v>0</v>
      </c>
      <c r="AO60" s="68">
        <f>Sheet4!AO59</f>
        <v>0</v>
      </c>
      <c r="AP60" s="68">
        <f>Sheet4!AP59</f>
        <v>0</v>
      </c>
      <c r="AQ60" s="68">
        <f>Sheet4!AQ59</f>
        <v>0</v>
      </c>
      <c r="AR60" s="68">
        <f>Sheet4!AR59</f>
        <v>0</v>
      </c>
      <c r="AS60" s="68">
        <f>Sheet4!AS59</f>
        <v>0</v>
      </c>
      <c r="AT60" s="68">
        <f>Sheet4!AT59</f>
        <v>0</v>
      </c>
      <c r="AU60" s="68">
        <f>Sheet4!AU59</f>
        <v>0</v>
      </c>
      <c r="AV60" s="68">
        <f>Sheet4!AV59</f>
        <v>0</v>
      </c>
      <c r="AW60" s="68">
        <f>Sheet4!AW59</f>
        <v>0</v>
      </c>
      <c r="AX60" s="68">
        <f>Sheet4!AX59</f>
        <v>0</v>
      </c>
      <c r="AY60" s="68">
        <f>Sheet4!AY59</f>
        <v>0</v>
      </c>
      <c r="AZ60" s="68">
        <f>Sheet4!AZ59</f>
        <v>0</v>
      </c>
      <c r="BA60" s="68">
        <f>Sheet4!BA59</f>
        <v>0</v>
      </c>
      <c r="BB60" s="68">
        <f>Sheet4!BB59</f>
        <v>0</v>
      </c>
      <c r="BC60" s="68">
        <f>Sheet4!BC59</f>
        <v>0</v>
      </c>
      <c r="BD60" s="68">
        <f>Sheet4!BD59</f>
        <v>0</v>
      </c>
      <c r="BE60" s="68">
        <f>Sheet4!BE59</f>
        <v>0</v>
      </c>
      <c r="BF60" s="68">
        <f>Sheet4!BF59</f>
        <v>0</v>
      </c>
      <c r="BG60" s="68">
        <f>Sheet4!BG59</f>
        <v>0</v>
      </c>
      <c r="BH60" s="68">
        <f>Sheet4!BH59</f>
        <v>0</v>
      </c>
      <c r="BI60" s="68">
        <f>Sheet4!BI59</f>
        <v>0</v>
      </c>
      <c r="BJ60" s="68">
        <f>Sheet4!BJ59</f>
        <v>0</v>
      </c>
      <c r="BK60" s="68">
        <f>Sheet4!BK59</f>
        <v>0</v>
      </c>
      <c r="BL60" s="68">
        <f>Sheet4!BL59</f>
        <v>0</v>
      </c>
      <c r="BM60" s="68">
        <f>Sheet4!BM59</f>
        <v>0</v>
      </c>
      <c r="BN60" s="68">
        <f>Sheet4!BN59</f>
        <v>0</v>
      </c>
      <c r="BO60" s="68">
        <f>Sheet4!BO59</f>
        <v>0</v>
      </c>
      <c r="BP60" s="68">
        <f>Sheet4!BP59</f>
        <v>0</v>
      </c>
      <c r="BQ60" s="68">
        <f>Sheet4!BQ59</f>
        <v>0</v>
      </c>
      <c r="BR60" s="68">
        <f>Sheet4!BR59</f>
        <v>0</v>
      </c>
      <c r="BS60" s="68">
        <f>Sheet4!BS59</f>
        <v>0</v>
      </c>
      <c r="BT60" s="68">
        <f>Sheet4!BT59</f>
        <v>0</v>
      </c>
      <c r="BU60" s="68">
        <f>Sheet4!BU59</f>
        <v>0</v>
      </c>
      <c r="BV60" s="68">
        <f>Sheet4!BV59</f>
        <v>0</v>
      </c>
      <c r="BW60" s="68">
        <f>Sheet4!BW59</f>
        <v>0</v>
      </c>
      <c r="BX60" s="68">
        <f>Sheet4!BX59</f>
        <v>0</v>
      </c>
      <c r="BY60" s="68">
        <f>Sheet4!BY59</f>
        <v>0</v>
      </c>
      <c r="BZ60" s="68">
        <f>Sheet4!BZ59</f>
        <v>0</v>
      </c>
      <c r="CA60" s="68">
        <f>Sheet4!CA59</f>
        <v>0</v>
      </c>
      <c r="CB60" s="68">
        <f>Sheet4!CB59</f>
        <v>0</v>
      </c>
      <c r="CC60" s="68">
        <f>Sheet4!CC59</f>
        <v>0</v>
      </c>
      <c r="CD60" s="68">
        <f>Sheet4!CD59</f>
        <v>0</v>
      </c>
      <c r="CE60" s="68">
        <f>Sheet4!CE59</f>
        <v>0</v>
      </c>
      <c r="CF60" s="68">
        <f>Sheet4!CF59</f>
        <v>0</v>
      </c>
      <c r="CG60" s="68">
        <f>Sheet4!CG59</f>
        <v>0</v>
      </c>
      <c r="CH60" s="68">
        <f>Sheet4!CH59</f>
        <v>0</v>
      </c>
      <c r="CI60" s="68">
        <f>Sheet4!CI59</f>
        <v>0</v>
      </c>
      <c r="CJ60" s="68">
        <f>Sheet4!CJ59</f>
        <v>0</v>
      </c>
      <c r="CK60" s="68">
        <f>Sheet4!CK59</f>
        <v>0</v>
      </c>
      <c r="CL60" s="68">
        <f>Sheet4!CL59</f>
        <v>0</v>
      </c>
      <c r="CM60" s="68">
        <f>Sheet4!CM59</f>
        <v>0</v>
      </c>
      <c r="CN60" s="68">
        <f>Sheet4!CN59</f>
        <v>0</v>
      </c>
      <c r="CO60" s="68">
        <f>Sheet4!CO59</f>
        <v>0</v>
      </c>
      <c r="CP60" s="68">
        <f>Sheet4!CP59</f>
        <v>0</v>
      </c>
      <c r="CQ60" s="68">
        <f>Sheet4!CQ59</f>
        <v>0</v>
      </c>
      <c r="CR60" s="68">
        <f>Sheet4!CR59</f>
        <v>0</v>
      </c>
      <c r="CS60" s="68">
        <f>Sheet4!CS59</f>
        <v>0</v>
      </c>
      <c r="CT60" s="68">
        <f>Sheet4!CT59</f>
        <v>0</v>
      </c>
      <c r="CU60" s="68">
        <f>Sheet4!CU59</f>
        <v>0</v>
      </c>
      <c r="CV60" s="68">
        <f>Sheet4!CV59</f>
        <v>0</v>
      </c>
      <c r="CW60" s="68">
        <f>Sheet4!CW59</f>
        <v>0</v>
      </c>
      <c r="CX60" s="68">
        <f>Sheet4!CX59</f>
        <v>0</v>
      </c>
      <c r="CY60" s="68">
        <f>Sheet4!CY59</f>
        <v>0</v>
      </c>
      <c r="CZ60" s="68">
        <f>Sheet4!CZ59</f>
        <v>0</v>
      </c>
      <c r="DA60" s="68">
        <f>Sheet4!DA59</f>
        <v>0</v>
      </c>
      <c r="DB60" s="68">
        <f>Sheet4!DB59</f>
        <v>0</v>
      </c>
      <c r="DC60" s="68">
        <f>Sheet4!DC59</f>
        <v>0</v>
      </c>
      <c r="DD60" s="68">
        <f>Sheet4!DD59</f>
        <v>0</v>
      </c>
      <c r="DE60" s="68">
        <f>Sheet4!DE59</f>
        <v>0</v>
      </c>
      <c r="DF60" s="68">
        <f>Sheet4!DF59</f>
        <v>0</v>
      </c>
      <c r="DG60" s="68">
        <f>Sheet4!DG59</f>
        <v>0</v>
      </c>
      <c r="DH60" s="68">
        <f>Sheet4!DH59</f>
        <v>0</v>
      </c>
      <c r="DI60" s="68">
        <f>Sheet4!DI59</f>
        <v>0</v>
      </c>
      <c r="DJ60" s="68">
        <f>Sheet4!DJ59</f>
        <v>0</v>
      </c>
      <c r="DK60" s="68">
        <f>Sheet4!DK59</f>
        <v>0</v>
      </c>
      <c r="DL60" s="68">
        <f>Sheet4!DL59</f>
        <v>0</v>
      </c>
      <c r="DM60" s="68">
        <f>Sheet4!DM59</f>
        <v>0</v>
      </c>
      <c r="DN60" s="68">
        <f>Sheet4!DN59</f>
        <v>0</v>
      </c>
      <c r="DO60" s="68">
        <f>Sheet4!DO59</f>
        <v>0</v>
      </c>
      <c r="DP60" s="68">
        <f>Sheet4!DP59</f>
        <v>0</v>
      </c>
      <c r="DQ60" s="68">
        <f>Sheet4!DQ59</f>
        <v>0</v>
      </c>
    </row>
    <row r="61" spans="1:121" ht="15.75" customHeight="1" x14ac:dyDescent="0.3">
      <c r="A61" s="40">
        <f>Sheet4!A60</f>
        <v>57</v>
      </c>
      <c r="B61" s="40" t="str">
        <f>Sheet4!B60</f>
        <v>ተዘራ ታመነ</v>
      </c>
      <c r="C61" s="26">
        <f>Sheet4!C60</f>
        <v>21000</v>
      </c>
      <c r="D61" s="68">
        <f>Sheet4!D60</f>
        <v>1</v>
      </c>
      <c r="E61" s="68">
        <f>Sheet4!E60</f>
        <v>1</v>
      </c>
      <c r="F61" s="68">
        <f>Sheet4!F60</f>
        <v>1</v>
      </c>
      <c r="G61" s="68">
        <f>Sheet4!G60</f>
        <v>1</v>
      </c>
      <c r="H61" s="68">
        <f>Sheet4!H60</f>
        <v>1</v>
      </c>
      <c r="I61" s="68">
        <f>Sheet4!I60</f>
        <v>1</v>
      </c>
      <c r="J61" s="68">
        <f>Sheet4!J60</f>
        <v>1</v>
      </c>
      <c r="K61" s="68">
        <f>Sheet4!K60</f>
        <v>1</v>
      </c>
      <c r="L61" s="68">
        <f>Sheet4!L60</f>
        <v>1</v>
      </c>
      <c r="M61" s="68">
        <f>Sheet4!M60</f>
        <v>1</v>
      </c>
      <c r="N61" s="68">
        <f>Sheet4!N60</f>
        <v>1</v>
      </c>
      <c r="O61" s="68">
        <f>Sheet4!O60</f>
        <v>1</v>
      </c>
      <c r="P61" s="68">
        <f>Sheet4!P60</f>
        <v>1</v>
      </c>
      <c r="Q61" s="68">
        <f>Sheet4!Q60</f>
        <v>1</v>
      </c>
      <c r="R61" s="68">
        <f>Sheet4!R60</f>
        <v>1</v>
      </c>
      <c r="S61" s="68">
        <f>Sheet4!S60</f>
        <v>1</v>
      </c>
      <c r="T61" s="68">
        <f>Sheet4!T60</f>
        <v>1</v>
      </c>
      <c r="U61" s="68">
        <f>Sheet4!U60</f>
        <v>1</v>
      </c>
      <c r="V61" s="68">
        <f>Sheet4!V60</f>
        <v>1</v>
      </c>
      <c r="W61" s="68">
        <f>Sheet4!W60</f>
        <v>1</v>
      </c>
      <c r="X61" s="68">
        <f>Sheet4!X60</f>
        <v>0</v>
      </c>
      <c r="Y61" s="68">
        <f>Sheet4!Y60</f>
        <v>0</v>
      </c>
      <c r="Z61" s="68">
        <f>Sheet4!Z60</f>
        <v>1</v>
      </c>
      <c r="AA61" s="68">
        <f>Sheet4!AA60</f>
        <v>0</v>
      </c>
      <c r="AB61" s="68">
        <f>Sheet4!AB60</f>
        <v>2</v>
      </c>
      <c r="AC61" s="68">
        <f>Sheet4!AC60</f>
        <v>0</v>
      </c>
      <c r="AD61" s="68">
        <f>Sheet4!AD60</f>
        <v>2</v>
      </c>
      <c r="AE61" s="68">
        <f>Sheet4!AE60</f>
        <v>0</v>
      </c>
      <c r="AF61" s="68">
        <f>Sheet4!AF60</f>
        <v>2</v>
      </c>
      <c r="AG61" s="68">
        <f>Sheet4!AG60</f>
        <v>0</v>
      </c>
      <c r="AH61" s="68">
        <f>Sheet4!AH60</f>
        <v>2</v>
      </c>
      <c r="AI61" s="68">
        <f>Sheet4!AI60</f>
        <v>0</v>
      </c>
      <c r="AJ61" s="68">
        <f>Sheet4!AJ60</f>
        <v>0</v>
      </c>
      <c r="AK61" s="68">
        <f>Sheet4!AK60</f>
        <v>3</v>
      </c>
      <c r="AL61" s="68">
        <f>Sheet4!AL60</f>
        <v>0</v>
      </c>
      <c r="AM61" s="68">
        <f>Sheet4!AM60</f>
        <v>2</v>
      </c>
      <c r="AN61" s="68">
        <f>Sheet4!AN60</f>
        <v>0</v>
      </c>
      <c r="AO61" s="68">
        <f>Sheet4!AO60</f>
        <v>2</v>
      </c>
      <c r="AP61" s="68">
        <f>Sheet4!AP60</f>
        <v>0</v>
      </c>
      <c r="AQ61" s="68">
        <f>Sheet4!AQ60</f>
        <v>2</v>
      </c>
      <c r="AR61" s="68">
        <f>Sheet4!AR60</f>
        <v>0</v>
      </c>
      <c r="AS61" s="68">
        <f>Sheet4!AS60</f>
        <v>2</v>
      </c>
      <c r="AT61" s="68">
        <f>Sheet4!AT60</f>
        <v>0</v>
      </c>
      <c r="AU61" s="68">
        <f>Sheet4!AU60</f>
        <v>2</v>
      </c>
      <c r="AV61" s="68">
        <f>Sheet4!AV60</f>
        <v>0</v>
      </c>
      <c r="AW61" s="68">
        <f>Sheet4!AW60</f>
        <v>0</v>
      </c>
      <c r="AX61" s="68">
        <f>Sheet4!AX60</f>
        <v>0</v>
      </c>
      <c r="AY61" s="68">
        <f>Sheet4!AY60</f>
        <v>2</v>
      </c>
      <c r="AZ61" s="68">
        <f>Sheet4!AZ60</f>
        <v>0</v>
      </c>
      <c r="BA61" s="68">
        <f>Sheet4!BA60</f>
        <v>0</v>
      </c>
      <c r="BB61" s="68">
        <f>Sheet4!BB60</f>
        <v>0</v>
      </c>
      <c r="BC61" s="68">
        <f>Sheet4!BC60</f>
        <v>0</v>
      </c>
      <c r="BD61" s="68">
        <f>Sheet4!BD60</f>
        <v>4</v>
      </c>
      <c r="BE61" s="68">
        <f>Sheet4!BE60</f>
        <v>0</v>
      </c>
      <c r="BF61" s="68">
        <f>Sheet4!BF60</f>
        <v>0</v>
      </c>
      <c r="BG61" s="68">
        <f>Sheet4!BG60</f>
        <v>0</v>
      </c>
      <c r="BH61" s="68">
        <f>Sheet4!BH60</f>
        <v>0</v>
      </c>
      <c r="BI61" s="68">
        <f>Sheet4!BI60</f>
        <v>0</v>
      </c>
      <c r="BJ61" s="68">
        <f>Sheet4!BJ60</f>
        <v>4</v>
      </c>
      <c r="BK61" s="68">
        <f>Sheet4!BK60</f>
        <v>0</v>
      </c>
      <c r="BL61" s="68">
        <f>Sheet4!BL60</f>
        <v>0</v>
      </c>
      <c r="BM61" s="68">
        <f>Sheet4!BM60</f>
        <v>0</v>
      </c>
      <c r="BN61" s="68">
        <f>Sheet4!BN60</f>
        <v>4</v>
      </c>
      <c r="BO61" s="68">
        <f>Sheet4!BO60</f>
        <v>0</v>
      </c>
      <c r="BP61" s="68">
        <f>Sheet4!BP60</f>
        <v>0</v>
      </c>
      <c r="BQ61" s="68">
        <f>Sheet4!BQ60</f>
        <v>3</v>
      </c>
      <c r="BR61" s="68">
        <f>Sheet4!BR60</f>
        <v>0</v>
      </c>
      <c r="BS61" s="68">
        <f>Sheet4!BS60</f>
        <v>5</v>
      </c>
      <c r="BT61" s="68">
        <f>Sheet4!BT60</f>
        <v>3</v>
      </c>
      <c r="BU61" s="68">
        <f>Sheet4!BU60</f>
        <v>0</v>
      </c>
      <c r="BV61" s="68">
        <f>Sheet4!BV60</f>
        <v>0</v>
      </c>
      <c r="BW61" s="68">
        <f>Sheet4!BW60</f>
        <v>0</v>
      </c>
      <c r="BX61" s="68">
        <f>Sheet4!BX60</f>
        <v>3</v>
      </c>
      <c r="BY61" s="68">
        <f>Sheet4!BY60</f>
        <v>0</v>
      </c>
      <c r="BZ61" s="68">
        <f>Sheet4!BZ60</f>
        <v>0</v>
      </c>
      <c r="CA61" s="68">
        <f>Sheet4!CA60</f>
        <v>0</v>
      </c>
      <c r="CB61" s="68">
        <f>Sheet4!CB60</f>
        <v>3</v>
      </c>
      <c r="CC61" s="68">
        <f>Sheet4!CC60</f>
        <v>0</v>
      </c>
      <c r="CD61" s="68">
        <f>Sheet4!CD60</f>
        <v>0</v>
      </c>
      <c r="CE61" s="68">
        <f>Sheet4!CE60</f>
        <v>0</v>
      </c>
      <c r="CF61" s="68">
        <f>Sheet4!CF60</f>
        <v>3</v>
      </c>
      <c r="CG61" s="68">
        <f>Sheet4!CG60</f>
        <v>0</v>
      </c>
      <c r="CH61" s="68">
        <f>Sheet4!CH60</f>
        <v>0</v>
      </c>
      <c r="CI61" s="68">
        <f>Sheet4!CI60</f>
        <v>3</v>
      </c>
      <c r="CJ61" s="68">
        <f>Sheet4!CJ60</f>
        <v>0</v>
      </c>
      <c r="CK61" s="68">
        <f>Sheet4!CK60</f>
        <v>0</v>
      </c>
      <c r="CL61" s="68">
        <f>Sheet4!CL60</f>
        <v>3</v>
      </c>
      <c r="CM61" s="68">
        <f>Sheet4!CM60</f>
        <v>0</v>
      </c>
      <c r="CN61" s="68">
        <f>Sheet4!CN60</f>
        <v>2</v>
      </c>
      <c r="CO61" s="68">
        <f>Sheet4!CO60</f>
        <v>0</v>
      </c>
      <c r="CP61" s="68">
        <f>Sheet4!CP60</f>
        <v>0</v>
      </c>
      <c r="CQ61" s="68">
        <f>Sheet4!CQ60</f>
        <v>2</v>
      </c>
      <c r="CR61" s="68">
        <f>Sheet4!CR60</f>
        <v>0</v>
      </c>
      <c r="CS61" s="68">
        <f>Sheet4!CS60</f>
        <v>0</v>
      </c>
      <c r="CT61" s="68">
        <f>Sheet4!CT60</f>
        <v>0</v>
      </c>
      <c r="CU61" s="68">
        <f>Sheet4!CU60</f>
        <v>4</v>
      </c>
      <c r="CV61" s="68">
        <f>Sheet4!CV60</f>
        <v>1</v>
      </c>
      <c r="CW61" s="68">
        <f>Sheet4!CW60</f>
        <v>0</v>
      </c>
      <c r="CX61" s="68">
        <f>Sheet4!CX60</f>
        <v>2</v>
      </c>
      <c r="CY61" s="68">
        <f>Sheet4!CY60</f>
        <v>0</v>
      </c>
      <c r="CZ61" s="68">
        <f>Sheet4!CZ60</f>
        <v>2</v>
      </c>
      <c r="DA61" s="68">
        <f>Sheet4!DA60</f>
        <v>1</v>
      </c>
      <c r="DB61" s="68">
        <f>Sheet4!DB60</f>
        <v>0</v>
      </c>
      <c r="DC61" s="68">
        <f>Sheet4!DC60</f>
        <v>0</v>
      </c>
      <c r="DD61" s="68">
        <f>Sheet4!DD60</f>
        <v>0</v>
      </c>
      <c r="DE61" s="68">
        <f>Sheet4!DE60</f>
        <v>3</v>
      </c>
      <c r="DF61" s="68">
        <f>Sheet4!DF60</f>
        <v>0</v>
      </c>
      <c r="DG61" s="68">
        <f>Sheet4!DG60</f>
        <v>0</v>
      </c>
      <c r="DH61" s="68">
        <f>Sheet4!DH60</f>
        <v>0</v>
      </c>
      <c r="DI61" s="68">
        <f>Sheet4!DI60</f>
        <v>0</v>
      </c>
      <c r="DJ61" s="68">
        <f>Sheet4!DJ60</f>
        <v>0</v>
      </c>
      <c r="DK61" s="68">
        <f>Sheet4!DK60</f>
        <v>0</v>
      </c>
      <c r="DL61" s="68">
        <f>Sheet4!DL60</f>
        <v>0</v>
      </c>
      <c r="DM61" s="68">
        <f>Sheet4!DM60</f>
        <v>0</v>
      </c>
      <c r="DN61" s="68">
        <f>Sheet4!DN60</f>
        <v>0</v>
      </c>
      <c r="DO61" s="68">
        <f>Sheet4!DO60</f>
        <v>0</v>
      </c>
      <c r="DP61" s="68">
        <f>Sheet4!DP60</f>
        <v>0</v>
      </c>
      <c r="DQ61" s="68">
        <f>Sheet4!DQ60</f>
        <v>0</v>
      </c>
    </row>
    <row r="62" spans="1:121" ht="15.75" customHeight="1" x14ac:dyDescent="0.3">
      <c r="A62" s="40">
        <f>Sheet4!A61</f>
        <v>58</v>
      </c>
      <c r="B62" s="40" t="str">
        <f>Sheet4!B61</f>
        <v>ሙሉስው ዘገየ</v>
      </c>
      <c r="C62" s="26">
        <f>Sheet4!C61</f>
        <v>21000</v>
      </c>
      <c r="D62" s="68">
        <f>Sheet4!D61</f>
        <v>1</v>
      </c>
      <c r="E62" s="68">
        <f>Sheet4!E61</f>
        <v>1</v>
      </c>
      <c r="F62" s="68">
        <f>Sheet4!F61</f>
        <v>1</v>
      </c>
      <c r="G62" s="68">
        <f>Sheet4!G61</f>
        <v>1</v>
      </c>
      <c r="H62" s="68">
        <f>Sheet4!H61</f>
        <v>1</v>
      </c>
      <c r="I62" s="68">
        <f>Sheet4!I61</f>
        <v>1</v>
      </c>
      <c r="J62" s="68">
        <f>Sheet4!J61</f>
        <v>1</v>
      </c>
      <c r="K62" s="68">
        <f>Sheet4!K61</f>
        <v>1</v>
      </c>
      <c r="L62" s="68">
        <f>Sheet4!L61</f>
        <v>1</v>
      </c>
      <c r="M62" s="68">
        <f>Sheet4!M61</f>
        <v>1</v>
      </c>
      <c r="N62" s="68">
        <f>Sheet4!N61</f>
        <v>1</v>
      </c>
      <c r="O62" s="68">
        <f>Sheet4!O61</f>
        <v>1</v>
      </c>
      <c r="P62" s="68">
        <f>Sheet4!P61</f>
        <v>1</v>
      </c>
      <c r="Q62" s="68">
        <f>Sheet4!Q61</f>
        <v>1</v>
      </c>
      <c r="R62" s="68">
        <f>Sheet4!R61</f>
        <v>1</v>
      </c>
      <c r="S62" s="68">
        <f>Sheet4!S61</f>
        <v>1</v>
      </c>
      <c r="T62" s="68">
        <f>Sheet4!T61</f>
        <v>1</v>
      </c>
      <c r="U62" s="68">
        <f>Sheet4!U61</f>
        <v>1</v>
      </c>
      <c r="V62" s="68">
        <f>Sheet4!V61</f>
        <v>1</v>
      </c>
      <c r="W62" s="68">
        <f>Sheet4!W61</f>
        <v>1</v>
      </c>
      <c r="X62" s="68">
        <f>Sheet4!X61</f>
        <v>1</v>
      </c>
      <c r="Y62" s="68">
        <f>Sheet4!Y61</f>
        <v>1</v>
      </c>
      <c r="Z62" s="68">
        <f>Sheet4!Z61</f>
        <v>1</v>
      </c>
      <c r="AA62" s="68">
        <f>Sheet4!AA61</f>
        <v>1</v>
      </c>
      <c r="AB62" s="68">
        <f>Sheet4!AB61</f>
        <v>1</v>
      </c>
      <c r="AC62" s="68">
        <f>Sheet4!AC61</f>
        <v>1</v>
      </c>
      <c r="AD62" s="68">
        <f>Sheet4!AD61</f>
        <v>1</v>
      </c>
      <c r="AE62" s="68">
        <f>Sheet4!AE61</f>
        <v>1</v>
      </c>
      <c r="AF62" s="68">
        <f>Sheet4!AF61</f>
        <v>1</v>
      </c>
      <c r="AG62" s="68">
        <f>Sheet4!AG61</f>
        <v>1</v>
      </c>
      <c r="AH62" s="68">
        <f>Sheet4!AH61</f>
        <v>1</v>
      </c>
      <c r="AI62" s="68">
        <f>Sheet4!AI61</f>
        <v>1</v>
      </c>
      <c r="AJ62" s="68">
        <f>Sheet4!AJ61</f>
        <v>1</v>
      </c>
      <c r="AK62" s="68">
        <f>Sheet4!AK61</f>
        <v>1</v>
      </c>
      <c r="AL62" s="68">
        <f>Sheet4!AL61</f>
        <v>1</v>
      </c>
      <c r="AM62" s="68">
        <f>Sheet4!AM61</f>
        <v>1</v>
      </c>
      <c r="AN62" s="68">
        <f>Sheet4!AN61</f>
        <v>1</v>
      </c>
      <c r="AO62" s="68">
        <f>Sheet4!AO61</f>
        <v>1</v>
      </c>
      <c r="AP62" s="68">
        <f>Sheet4!AP61</f>
        <v>1</v>
      </c>
      <c r="AQ62" s="68">
        <f>Sheet4!AQ61</f>
        <v>1</v>
      </c>
      <c r="AR62" s="68">
        <f>Sheet4!AR61</f>
        <v>1</v>
      </c>
      <c r="AS62" s="68">
        <f>Sheet4!AS61</f>
        <v>1</v>
      </c>
      <c r="AT62" s="68">
        <f>Sheet4!AT61</f>
        <v>1</v>
      </c>
      <c r="AU62" s="68">
        <f>Sheet4!AU61</f>
        <v>1</v>
      </c>
      <c r="AV62" s="68">
        <f>Sheet4!AV61</f>
        <v>1</v>
      </c>
      <c r="AW62" s="68">
        <f>Sheet4!AW61</f>
        <v>1</v>
      </c>
      <c r="AX62" s="68">
        <f>Sheet4!AX61</f>
        <v>1</v>
      </c>
      <c r="AY62" s="68">
        <f>Sheet4!AY61</f>
        <v>1</v>
      </c>
      <c r="AZ62" s="68">
        <f>Sheet4!AZ61</f>
        <v>1</v>
      </c>
      <c r="BA62" s="68">
        <f>Sheet4!BA61</f>
        <v>1</v>
      </c>
      <c r="BB62" s="68">
        <f>Sheet4!BB61</f>
        <v>1</v>
      </c>
      <c r="BC62" s="68">
        <f>Sheet4!BC61</f>
        <v>1</v>
      </c>
      <c r="BD62" s="68">
        <f>Sheet4!BD61</f>
        <v>1</v>
      </c>
      <c r="BE62" s="68">
        <f>Sheet4!BE61</f>
        <v>1</v>
      </c>
      <c r="BF62" s="68">
        <f>Sheet4!BF61</f>
        <v>1</v>
      </c>
      <c r="BG62" s="68">
        <f>Sheet4!BG61</f>
        <v>1</v>
      </c>
      <c r="BH62" s="68">
        <f>Sheet4!BH61</f>
        <v>1</v>
      </c>
      <c r="BI62" s="68">
        <f>Sheet4!BI61</f>
        <v>1</v>
      </c>
      <c r="BJ62" s="68">
        <f>Sheet4!BJ61</f>
        <v>1</v>
      </c>
      <c r="BK62" s="68">
        <f>Sheet4!BK61</f>
        <v>1</v>
      </c>
      <c r="BL62" s="68">
        <f>Sheet4!BL61</f>
        <v>1</v>
      </c>
      <c r="BM62" s="68">
        <f>Sheet4!BM61</f>
        <v>1</v>
      </c>
      <c r="BN62" s="68">
        <f>Sheet4!BN61</f>
        <v>1</v>
      </c>
      <c r="BO62" s="68">
        <f>Sheet4!BO61</f>
        <v>1</v>
      </c>
      <c r="BP62" s="68">
        <f>Sheet4!BP61</f>
        <v>1</v>
      </c>
      <c r="BQ62" s="68">
        <f>Sheet4!BQ61</f>
        <v>1</v>
      </c>
      <c r="BR62" s="68">
        <f>Sheet4!BR61</f>
        <v>1</v>
      </c>
      <c r="BS62" s="68">
        <f>Sheet4!BS61</f>
        <v>1</v>
      </c>
      <c r="BT62" s="68">
        <f>Sheet4!BT61</f>
        <v>1</v>
      </c>
      <c r="BU62" s="68">
        <f>Sheet4!BU61</f>
        <v>1</v>
      </c>
      <c r="BV62" s="68">
        <f>Sheet4!BV61</f>
        <v>1</v>
      </c>
      <c r="BW62" s="68">
        <f>Sheet4!BW61</f>
        <v>1</v>
      </c>
      <c r="BX62" s="68">
        <f>Sheet4!BX61</f>
        <v>1</v>
      </c>
      <c r="BY62" s="68">
        <f>Sheet4!BY61</f>
        <v>1</v>
      </c>
      <c r="BZ62" s="68">
        <f>Sheet4!BZ61</f>
        <v>1</v>
      </c>
      <c r="CA62" s="68">
        <f>Sheet4!CA61</f>
        <v>1</v>
      </c>
      <c r="CB62" s="68">
        <f>Sheet4!CB61</f>
        <v>1</v>
      </c>
      <c r="CC62" s="68">
        <f>Sheet4!CC61</f>
        <v>0</v>
      </c>
      <c r="CD62" s="68">
        <f>Sheet4!CD61</f>
        <v>1</v>
      </c>
      <c r="CE62" s="68">
        <f>Sheet4!CE61</f>
        <v>1</v>
      </c>
      <c r="CF62" s="68">
        <f>Sheet4!CF61</f>
        <v>1</v>
      </c>
      <c r="CG62" s="68">
        <f>Sheet4!CG61</f>
        <v>1</v>
      </c>
      <c r="CH62" s="68">
        <f>Sheet4!CH61</f>
        <v>1</v>
      </c>
      <c r="CI62" s="68">
        <f>Sheet4!CI61</f>
        <v>1</v>
      </c>
      <c r="CJ62" s="68">
        <f>Sheet4!CJ61</f>
        <v>1</v>
      </c>
      <c r="CK62" s="68">
        <f>Sheet4!CK61</f>
        <v>1</v>
      </c>
      <c r="CL62" s="68">
        <f>Sheet4!CL61</f>
        <v>1</v>
      </c>
      <c r="CM62" s="68">
        <f>Sheet4!CM61</f>
        <v>1</v>
      </c>
      <c r="CN62" s="68">
        <f>Sheet4!CN61</f>
        <v>2</v>
      </c>
      <c r="CO62" s="68">
        <f>Sheet4!CO61</f>
        <v>1</v>
      </c>
      <c r="CP62" s="68">
        <f>Sheet4!CP61</f>
        <v>1</v>
      </c>
      <c r="CQ62" s="68">
        <f>Sheet4!CQ61</f>
        <v>1</v>
      </c>
      <c r="CR62" s="68">
        <f>Sheet4!CR61</f>
        <v>0</v>
      </c>
      <c r="CS62" s="68">
        <f>Sheet4!CS61</f>
        <v>2</v>
      </c>
      <c r="CT62" s="68">
        <f>Sheet4!CT61</f>
        <v>1</v>
      </c>
      <c r="CU62" s="68">
        <f>Sheet4!CU61</f>
        <v>1</v>
      </c>
      <c r="CV62" s="68">
        <f>Sheet4!CV61</f>
        <v>0</v>
      </c>
      <c r="CW62" s="68">
        <f>Sheet4!CW61</f>
        <v>0</v>
      </c>
      <c r="CX62" s="68">
        <f>Sheet4!CX61</f>
        <v>1</v>
      </c>
      <c r="CY62" s="68">
        <f>Sheet4!CY61</f>
        <v>1</v>
      </c>
      <c r="CZ62" s="68">
        <f>Sheet4!CZ61</f>
        <v>1</v>
      </c>
      <c r="DA62" s="68">
        <f>Sheet4!DA61</f>
        <v>1</v>
      </c>
      <c r="DB62" s="68">
        <f>Sheet4!DB61</f>
        <v>1</v>
      </c>
      <c r="DC62" s="68">
        <f>Sheet4!DC61</f>
        <v>1</v>
      </c>
      <c r="DD62" s="68">
        <f>Sheet4!DD61</f>
        <v>1</v>
      </c>
      <c r="DE62" s="68">
        <f>Sheet4!DE61</f>
        <v>1</v>
      </c>
      <c r="DF62" s="68">
        <f>Sheet4!DF61</f>
        <v>1</v>
      </c>
      <c r="DG62" s="68">
        <f>Sheet4!DG61</f>
        <v>1</v>
      </c>
      <c r="DH62" s="68">
        <f>Sheet4!DH61</f>
        <v>0</v>
      </c>
      <c r="DI62" s="68">
        <f>Sheet4!DI61</f>
        <v>0</v>
      </c>
      <c r="DJ62" s="68">
        <f>Sheet4!DJ61</f>
        <v>0</v>
      </c>
      <c r="DK62" s="68">
        <f>Sheet4!DK61</f>
        <v>0</v>
      </c>
      <c r="DL62" s="68">
        <f>Sheet4!DL61</f>
        <v>0</v>
      </c>
      <c r="DM62" s="68">
        <f>Sheet4!DM61</f>
        <v>0</v>
      </c>
      <c r="DN62" s="68">
        <f>Sheet4!DN61</f>
        <v>0</v>
      </c>
      <c r="DO62" s="68">
        <f>Sheet4!DO61</f>
        <v>0</v>
      </c>
      <c r="DP62" s="68">
        <f>Sheet4!DP61</f>
        <v>0</v>
      </c>
      <c r="DQ62" s="68">
        <f>Sheet4!DQ61</f>
        <v>0</v>
      </c>
    </row>
    <row r="63" spans="1:121" ht="15.75" customHeight="1" x14ac:dyDescent="0.3">
      <c r="A63" s="40">
        <f>Sheet4!A62</f>
        <v>59</v>
      </c>
      <c r="B63" s="40" t="str">
        <f>Sheet4!B62</f>
        <v>ገነት ገ /ፃዲቅ</v>
      </c>
      <c r="C63" s="26">
        <f>Sheet4!C62</f>
        <v>21000</v>
      </c>
      <c r="D63" s="68">
        <f>Sheet4!D62</f>
        <v>1</v>
      </c>
      <c r="E63" s="68">
        <f>Sheet4!E62</f>
        <v>1</v>
      </c>
      <c r="F63" s="68">
        <f>Sheet4!F62</f>
        <v>1</v>
      </c>
      <c r="G63" s="68">
        <f>Sheet4!G62</f>
        <v>1</v>
      </c>
      <c r="H63" s="68">
        <f>Sheet4!H62</f>
        <v>1</v>
      </c>
      <c r="I63" s="68">
        <f>Sheet4!I62</f>
        <v>1</v>
      </c>
      <c r="J63" s="68">
        <f>Sheet4!J62</f>
        <v>1</v>
      </c>
      <c r="K63" s="68">
        <f>Sheet4!K62</f>
        <v>1</v>
      </c>
      <c r="L63" s="68">
        <f>Sheet4!L62</f>
        <v>1</v>
      </c>
      <c r="M63" s="68">
        <f>Sheet4!M62</f>
        <v>1</v>
      </c>
      <c r="N63" s="68">
        <f>Sheet4!N62</f>
        <v>1</v>
      </c>
      <c r="O63" s="68">
        <f>Sheet4!O62</f>
        <v>1</v>
      </c>
      <c r="P63" s="68">
        <f>Sheet4!P62</f>
        <v>1</v>
      </c>
      <c r="Q63" s="68">
        <f>Sheet4!Q62</f>
        <v>1</v>
      </c>
      <c r="R63" s="68">
        <f>Sheet4!R62</f>
        <v>1</v>
      </c>
      <c r="S63" s="68">
        <f>Sheet4!S62</f>
        <v>1</v>
      </c>
      <c r="T63" s="68">
        <f>Sheet4!T62</f>
        <v>1</v>
      </c>
      <c r="U63" s="68">
        <f>Sheet4!U62</f>
        <v>1</v>
      </c>
      <c r="V63" s="68">
        <f>Sheet4!V62</f>
        <v>1</v>
      </c>
      <c r="W63" s="68">
        <f>Sheet4!W62</f>
        <v>1</v>
      </c>
      <c r="X63" s="68">
        <f>Sheet4!X62</f>
        <v>1</v>
      </c>
      <c r="Y63" s="68">
        <f>Sheet4!Y62</f>
        <v>1</v>
      </c>
      <c r="Z63" s="68">
        <f>Sheet4!Z62</f>
        <v>1</v>
      </c>
      <c r="AA63" s="68">
        <f>Sheet4!AA62</f>
        <v>1</v>
      </c>
      <c r="AB63" s="68">
        <f>Sheet4!AB62</f>
        <v>1</v>
      </c>
      <c r="AC63" s="68">
        <f>Sheet4!AC62</f>
        <v>1</v>
      </c>
      <c r="AD63" s="68">
        <f>Sheet4!AD62</f>
        <v>1</v>
      </c>
      <c r="AE63" s="68">
        <f>Sheet4!AE62</f>
        <v>1</v>
      </c>
      <c r="AF63" s="68">
        <f>Sheet4!AF62</f>
        <v>1</v>
      </c>
      <c r="AG63" s="68">
        <f>Sheet4!AG62</f>
        <v>1</v>
      </c>
      <c r="AH63" s="68">
        <f>Sheet4!AH62</f>
        <v>1</v>
      </c>
      <c r="AI63" s="68">
        <f>Sheet4!AI62</f>
        <v>1</v>
      </c>
      <c r="AJ63" s="68">
        <f>Sheet4!AJ62</f>
        <v>1</v>
      </c>
      <c r="AK63" s="68">
        <f>Sheet4!AK62</f>
        <v>1</v>
      </c>
      <c r="AL63" s="68">
        <f>Sheet4!AL62</f>
        <v>1</v>
      </c>
      <c r="AM63" s="68">
        <f>Sheet4!AM62</f>
        <v>1</v>
      </c>
      <c r="AN63" s="68">
        <f>Sheet4!AN62</f>
        <v>1</v>
      </c>
      <c r="AO63" s="68">
        <f>Sheet4!AO62</f>
        <v>1</v>
      </c>
      <c r="AP63" s="68">
        <f>Sheet4!AP62</f>
        <v>1</v>
      </c>
      <c r="AQ63" s="68">
        <f>Sheet4!AQ62</f>
        <v>1</v>
      </c>
      <c r="AR63" s="68">
        <f>Sheet4!AR62</f>
        <v>1</v>
      </c>
      <c r="AS63" s="68">
        <f>Sheet4!AS62</f>
        <v>1</v>
      </c>
      <c r="AT63" s="68">
        <f>Sheet4!AT62</f>
        <v>1</v>
      </c>
      <c r="AU63" s="68">
        <f>Sheet4!AU62</f>
        <v>1</v>
      </c>
      <c r="AV63" s="68">
        <f>Sheet4!AV62</f>
        <v>1</v>
      </c>
      <c r="AW63" s="68">
        <f>Sheet4!AW62</f>
        <v>1</v>
      </c>
      <c r="AX63" s="68">
        <f>Sheet4!AX62</f>
        <v>1</v>
      </c>
      <c r="AY63" s="68">
        <f>Sheet4!AY62</f>
        <v>1</v>
      </c>
      <c r="AZ63" s="68">
        <f>Sheet4!AZ62</f>
        <v>1</v>
      </c>
      <c r="BA63" s="68">
        <f>Sheet4!BA62</f>
        <v>1</v>
      </c>
      <c r="BB63" s="68">
        <f>Sheet4!BB62</f>
        <v>1</v>
      </c>
      <c r="BC63" s="68">
        <f>Sheet4!BC62</f>
        <v>1</v>
      </c>
      <c r="BD63" s="68">
        <f>Sheet4!BD62</f>
        <v>1</v>
      </c>
      <c r="BE63" s="68">
        <f>Sheet4!BE62</f>
        <v>1</v>
      </c>
      <c r="BF63" s="68">
        <f>Sheet4!BF62</f>
        <v>1</v>
      </c>
      <c r="BG63" s="68">
        <f>Sheet4!BG62</f>
        <v>1</v>
      </c>
      <c r="BH63" s="68">
        <f>Sheet4!BH62</f>
        <v>1</v>
      </c>
      <c r="BI63" s="68">
        <f>Sheet4!BI62</f>
        <v>1</v>
      </c>
      <c r="BJ63" s="68">
        <f>Sheet4!BJ62</f>
        <v>1</v>
      </c>
      <c r="BK63" s="68">
        <f>Sheet4!BK62</f>
        <v>1</v>
      </c>
      <c r="BL63" s="68">
        <f>Sheet4!BL62</f>
        <v>1</v>
      </c>
      <c r="BM63" s="68">
        <f>Sheet4!BM62</f>
        <v>0</v>
      </c>
      <c r="BN63" s="68">
        <f>Sheet4!BN62</f>
        <v>2</v>
      </c>
      <c r="BO63" s="68">
        <f>Sheet4!BO62</f>
        <v>1</v>
      </c>
      <c r="BP63" s="68">
        <f>Sheet4!BP62</f>
        <v>1</v>
      </c>
      <c r="BQ63" s="68">
        <f>Sheet4!BQ62</f>
        <v>1</v>
      </c>
      <c r="BR63" s="68">
        <f>Sheet4!BR62</f>
        <v>1</v>
      </c>
      <c r="BS63" s="68">
        <f>Sheet4!BS62</f>
        <v>1</v>
      </c>
      <c r="BT63" s="68">
        <f>Sheet4!BT62</f>
        <v>1</v>
      </c>
      <c r="BU63" s="68">
        <f>Sheet4!BU62</f>
        <v>1</v>
      </c>
      <c r="BV63" s="68">
        <f>Sheet4!BV62</f>
        <v>1</v>
      </c>
      <c r="BW63" s="68">
        <f>Sheet4!BW62</f>
        <v>1</v>
      </c>
      <c r="BX63" s="68">
        <f>Sheet4!BX62</f>
        <v>1</v>
      </c>
      <c r="BY63" s="68">
        <f>Sheet4!BY62</f>
        <v>1</v>
      </c>
      <c r="BZ63" s="68">
        <f>Sheet4!BZ62</f>
        <v>1</v>
      </c>
      <c r="CA63" s="68">
        <f>Sheet4!CA62</f>
        <v>1</v>
      </c>
      <c r="CB63" s="68">
        <f>Sheet4!CB62</f>
        <v>1</v>
      </c>
      <c r="CC63" s="68">
        <f>Sheet4!CC62</f>
        <v>1</v>
      </c>
      <c r="CD63" s="68">
        <f>Sheet4!CD62</f>
        <v>1</v>
      </c>
      <c r="CE63" s="68">
        <f>Sheet4!CE62</f>
        <v>1</v>
      </c>
      <c r="CF63" s="68">
        <f>Sheet4!CF62</f>
        <v>1</v>
      </c>
      <c r="CG63" s="68">
        <f>Sheet4!CG62</f>
        <v>1</v>
      </c>
      <c r="CH63" s="68">
        <f>Sheet4!CH62</f>
        <v>1</v>
      </c>
      <c r="CI63" s="68">
        <f>Sheet4!CI62</f>
        <v>1</v>
      </c>
      <c r="CJ63" s="68">
        <f>Sheet4!CJ62</f>
        <v>1</v>
      </c>
      <c r="CK63" s="68">
        <f>Sheet4!CK62</f>
        <v>1</v>
      </c>
      <c r="CL63" s="68">
        <f>Sheet4!CL62</f>
        <v>1</v>
      </c>
      <c r="CM63" s="68">
        <f>Sheet4!CM62</f>
        <v>1</v>
      </c>
      <c r="CN63" s="68">
        <f>Sheet4!CN62</f>
        <v>1</v>
      </c>
      <c r="CO63" s="68">
        <f>Sheet4!CO62</f>
        <v>1</v>
      </c>
      <c r="CP63" s="68">
        <f>Sheet4!CP62</f>
        <v>1</v>
      </c>
      <c r="CQ63" s="68">
        <f>Sheet4!CQ62</f>
        <v>1</v>
      </c>
      <c r="CR63" s="68">
        <f>Sheet4!CR62</f>
        <v>1</v>
      </c>
      <c r="CS63" s="68">
        <f>Sheet4!CS62</f>
        <v>1</v>
      </c>
      <c r="CT63" s="68">
        <f>Sheet4!CT62</f>
        <v>1</v>
      </c>
      <c r="CU63" s="68">
        <f>Sheet4!CU62</f>
        <v>1</v>
      </c>
      <c r="CV63" s="68">
        <f>Sheet4!CV62</f>
        <v>1</v>
      </c>
      <c r="CW63" s="68">
        <f>Sheet4!CW62</f>
        <v>1</v>
      </c>
      <c r="CX63" s="68">
        <f>Sheet4!CX62</f>
        <v>1</v>
      </c>
      <c r="CY63" s="68">
        <f>Sheet4!CY62</f>
        <v>1</v>
      </c>
      <c r="CZ63" s="68">
        <f>Sheet4!CZ62</f>
        <v>1</v>
      </c>
      <c r="DA63" s="68">
        <f>Sheet4!DA62</f>
        <v>1</v>
      </c>
      <c r="DB63" s="68">
        <f>Sheet4!DB62</f>
        <v>1</v>
      </c>
      <c r="DC63" s="68">
        <f>Sheet4!DC62</f>
        <v>1</v>
      </c>
      <c r="DD63" s="68">
        <f>Sheet4!DD62</f>
        <v>1</v>
      </c>
      <c r="DE63" s="68">
        <f>Sheet4!DE62</f>
        <v>1</v>
      </c>
      <c r="DF63" s="68">
        <f>Sheet4!DF62</f>
        <v>1</v>
      </c>
      <c r="DG63" s="68">
        <f>Sheet4!DG62</f>
        <v>1</v>
      </c>
      <c r="DH63" s="68">
        <f>Sheet4!DH62</f>
        <v>0</v>
      </c>
      <c r="DI63" s="68">
        <f>Sheet4!DI62</f>
        <v>0</v>
      </c>
      <c r="DJ63" s="68">
        <f>Sheet4!DJ62</f>
        <v>0</v>
      </c>
      <c r="DK63" s="68">
        <f>Sheet4!DK62</f>
        <v>0</v>
      </c>
      <c r="DL63" s="68">
        <f>Sheet4!DL62</f>
        <v>0</v>
      </c>
      <c r="DM63" s="68">
        <f>Sheet4!DM62</f>
        <v>0</v>
      </c>
      <c r="DN63" s="68">
        <f>Sheet4!DN62</f>
        <v>0</v>
      </c>
      <c r="DO63" s="68">
        <f>Sheet4!DO62</f>
        <v>0</v>
      </c>
      <c r="DP63" s="68">
        <f>Sheet4!DP62</f>
        <v>0</v>
      </c>
      <c r="DQ63" s="68">
        <f>Sheet4!DQ62</f>
        <v>0</v>
      </c>
    </row>
    <row r="64" spans="1:121" ht="15.75" customHeight="1" x14ac:dyDescent="0.3">
      <c r="A64" s="40">
        <f>Sheet4!A63</f>
        <v>60</v>
      </c>
      <c r="B64" s="40" t="str">
        <f>Sheet4!B63</f>
        <v>አለሙ ሽመልስ</v>
      </c>
      <c r="C64" s="26">
        <f>Sheet4!C63</f>
        <v>21000</v>
      </c>
      <c r="D64" s="68">
        <f>Sheet4!D63</f>
        <v>1</v>
      </c>
      <c r="E64" s="68">
        <f>Sheet4!E63</f>
        <v>1</v>
      </c>
      <c r="F64" s="68">
        <f>Sheet4!F63</f>
        <v>1</v>
      </c>
      <c r="G64" s="68">
        <f>Sheet4!G63</f>
        <v>1</v>
      </c>
      <c r="H64" s="68">
        <f>Sheet4!H63</f>
        <v>1</v>
      </c>
      <c r="I64" s="68">
        <f>Sheet4!I63</f>
        <v>1</v>
      </c>
      <c r="J64" s="68">
        <f>Sheet4!J63</f>
        <v>1</v>
      </c>
      <c r="K64" s="68">
        <f>Sheet4!K63</f>
        <v>1</v>
      </c>
      <c r="L64" s="68">
        <f>Sheet4!L63</f>
        <v>1</v>
      </c>
      <c r="M64" s="68">
        <f>Sheet4!M63</f>
        <v>1</v>
      </c>
      <c r="N64" s="68">
        <f>Sheet4!N63</f>
        <v>1</v>
      </c>
      <c r="O64" s="68">
        <f>Sheet4!O63</f>
        <v>1</v>
      </c>
      <c r="P64" s="68">
        <f>Sheet4!P63</f>
        <v>1</v>
      </c>
      <c r="Q64" s="68">
        <f>Sheet4!Q63</f>
        <v>1</v>
      </c>
      <c r="R64" s="68">
        <f>Sheet4!R63</f>
        <v>1</v>
      </c>
      <c r="S64" s="68">
        <f>Sheet4!S63</f>
        <v>1</v>
      </c>
      <c r="T64" s="68">
        <f>Sheet4!T63</f>
        <v>1</v>
      </c>
      <c r="U64" s="68">
        <f>Sheet4!U63</f>
        <v>1</v>
      </c>
      <c r="V64" s="68">
        <f>Sheet4!V63</f>
        <v>1</v>
      </c>
      <c r="W64" s="68">
        <f>Sheet4!W63</f>
        <v>1</v>
      </c>
      <c r="X64" s="68">
        <f>Sheet4!X63</f>
        <v>1</v>
      </c>
      <c r="Y64" s="68">
        <f>Sheet4!Y63</f>
        <v>1</v>
      </c>
      <c r="Z64" s="68">
        <f>Sheet4!Z63</f>
        <v>1</v>
      </c>
      <c r="AA64" s="68">
        <f>Sheet4!AA63</f>
        <v>1</v>
      </c>
      <c r="AB64" s="68">
        <f>Sheet4!AB63</f>
        <v>1</v>
      </c>
      <c r="AC64" s="68">
        <f>Sheet4!AC63</f>
        <v>1</v>
      </c>
      <c r="AD64" s="68">
        <f>Sheet4!AD63</f>
        <v>1</v>
      </c>
      <c r="AE64" s="68">
        <f>Sheet4!AE63</f>
        <v>1</v>
      </c>
      <c r="AF64" s="68">
        <f>Sheet4!AF63</f>
        <v>0</v>
      </c>
      <c r="AG64" s="68">
        <f>Sheet4!AG63</f>
        <v>2</v>
      </c>
      <c r="AH64" s="68">
        <f>Sheet4!AH63</f>
        <v>1</v>
      </c>
      <c r="AI64" s="68">
        <f>Sheet4!AI63</f>
        <v>1</v>
      </c>
      <c r="AJ64" s="68">
        <f>Sheet4!AJ63</f>
        <v>1</v>
      </c>
      <c r="AK64" s="68">
        <f>Sheet4!AK63</f>
        <v>1</v>
      </c>
      <c r="AL64" s="68">
        <f>Sheet4!AL63</f>
        <v>1</v>
      </c>
      <c r="AM64" s="68">
        <f>Sheet4!AM63</f>
        <v>1</v>
      </c>
      <c r="AN64" s="68">
        <f>Sheet4!AN63</f>
        <v>1</v>
      </c>
      <c r="AO64" s="68">
        <f>Sheet4!AO63</f>
        <v>1</v>
      </c>
      <c r="AP64" s="68">
        <f>Sheet4!AP63</f>
        <v>1</v>
      </c>
      <c r="AQ64" s="68">
        <f>Sheet4!AQ63</f>
        <v>1</v>
      </c>
      <c r="AR64" s="68">
        <f>Sheet4!AR63</f>
        <v>1</v>
      </c>
      <c r="AS64" s="68">
        <f>Sheet4!AS63</f>
        <v>1</v>
      </c>
      <c r="AT64" s="68">
        <f>Sheet4!AT63</f>
        <v>1</v>
      </c>
      <c r="AU64" s="68">
        <f>Sheet4!AU63</f>
        <v>1</v>
      </c>
      <c r="AV64" s="68">
        <f>Sheet4!AV63</f>
        <v>1</v>
      </c>
      <c r="AW64" s="68">
        <f>Sheet4!AW63</f>
        <v>1</v>
      </c>
      <c r="AX64" s="68">
        <f>Sheet4!AX63</f>
        <v>1</v>
      </c>
      <c r="AY64" s="68">
        <f>Sheet4!AY63</f>
        <v>1</v>
      </c>
      <c r="AZ64" s="68">
        <f>Sheet4!AZ63</f>
        <v>1</v>
      </c>
      <c r="BA64" s="68">
        <f>Sheet4!BA63</f>
        <v>1</v>
      </c>
      <c r="BB64" s="68">
        <f>Sheet4!BB63</f>
        <v>1</v>
      </c>
      <c r="BC64" s="68">
        <f>Sheet4!BC63</f>
        <v>1</v>
      </c>
      <c r="BD64" s="68">
        <f>Sheet4!BD63</f>
        <v>1</v>
      </c>
      <c r="BE64" s="68">
        <f>Sheet4!BE63</f>
        <v>1</v>
      </c>
      <c r="BF64" s="68">
        <f>Sheet4!BF63</f>
        <v>1</v>
      </c>
      <c r="BG64" s="68">
        <f>Sheet4!BG63</f>
        <v>1</v>
      </c>
      <c r="BH64" s="68">
        <f>Sheet4!BH63</f>
        <v>1</v>
      </c>
      <c r="BI64" s="68">
        <f>Sheet4!BI63</f>
        <v>1</v>
      </c>
      <c r="BJ64" s="68">
        <f>Sheet4!BJ63</f>
        <v>1</v>
      </c>
      <c r="BK64" s="68">
        <f>Sheet4!BK63</f>
        <v>1</v>
      </c>
      <c r="BL64" s="68">
        <f>Sheet4!BL63</f>
        <v>1</v>
      </c>
      <c r="BM64" s="68">
        <f>Sheet4!BM63</f>
        <v>1</v>
      </c>
      <c r="BN64" s="68">
        <f>Sheet4!BN63</f>
        <v>1</v>
      </c>
      <c r="BO64" s="68">
        <f>Sheet4!BO63</f>
        <v>0</v>
      </c>
      <c r="BP64" s="68">
        <f>Sheet4!BP63</f>
        <v>2</v>
      </c>
      <c r="BQ64" s="68">
        <f>Sheet4!BQ63</f>
        <v>1</v>
      </c>
      <c r="BR64" s="68">
        <f>Sheet4!BR63</f>
        <v>1</v>
      </c>
      <c r="BS64" s="68">
        <f>Sheet4!BS63</f>
        <v>1</v>
      </c>
      <c r="BT64" s="68">
        <f>Sheet4!BT63</f>
        <v>1</v>
      </c>
      <c r="BU64" s="68">
        <f>Sheet4!BU63</f>
        <v>1</v>
      </c>
      <c r="BV64" s="68">
        <f>Sheet4!BV63</f>
        <v>1</v>
      </c>
      <c r="BW64" s="68">
        <f>Sheet4!BW63</f>
        <v>1</v>
      </c>
      <c r="BX64" s="68">
        <f>Sheet4!BX63</f>
        <v>1</v>
      </c>
      <c r="BY64" s="68">
        <f>Sheet4!BY63</f>
        <v>1</v>
      </c>
      <c r="BZ64" s="68">
        <f>Sheet4!BZ63</f>
        <v>1</v>
      </c>
      <c r="CA64" s="68">
        <f>Sheet4!CA63</f>
        <v>1</v>
      </c>
      <c r="CB64" s="68">
        <f>Sheet4!CB63</f>
        <v>1</v>
      </c>
      <c r="CC64" s="68">
        <f>Sheet4!CC63</f>
        <v>1</v>
      </c>
      <c r="CD64" s="68">
        <f>Sheet4!CD63</f>
        <v>1</v>
      </c>
      <c r="CE64" s="68">
        <f>Sheet4!CE63</f>
        <v>1</v>
      </c>
      <c r="CF64" s="68">
        <f>Sheet4!CF63</f>
        <v>1</v>
      </c>
      <c r="CG64" s="68">
        <f>Sheet4!CG63</f>
        <v>1</v>
      </c>
      <c r="CH64" s="68">
        <f>Sheet4!CH63</f>
        <v>1</v>
      </c>
      <c r="CI64" s="68">
        <f>Sheet4!CI63</f>
        <v>1</v>
      </c>
      <c r="CJ64" s="68">
        <f>Sheet4!CJ63</f>
        <v>1</v>
      </c>
      <c r="CK64" s="68">
        <f>Sheet4!CK63</f>
        <v>1</v>
      </c>
      <c r="CL64" s="68">
        <f>Sheet4!CL63</f>
        <v>1</v>
      </c>
      <c r="CM64" s="68">
        <f>Sheet4!CM63</f>
        <v>1</v>
      </c>
      <c r="CN64" s="68">
        <f>Sheet4!CN63</f>
        <v>1</v>
      </c>
      <c r="CO64" s="68">
        <f>Sheet4!CO63</f>
        <v>1</v>
      </c>
      <c r="CP64" s="68">
        <f>Sheet4!CP63</f>
        <v>1</v>
      </c>
      <c r="CQ64" s="68">
        <f>Sheet4!CQ63</f>
        <v>1</v>
      </c>
      <c r="CR64" s="68">
        <f>Sheet4!CR63</f>
        <v>1</v>
      </c>
      <c r="CS64" s="68">
        <f>Sheet4!CS63</f>
        <v>1</v>
      </c>
      <c r="CT64" s="68">
        <f>Sheet4!CT63</f>
        <v>1</v>
      </c>
      <c r="CU64" s="68">
        <f>Sheet4!CU63</f>
        <v>1</v>
      </c>
      <c r="CV64" s="68">
        <f>Sheet4!CV63</f>
        <v>1</v>
      </c>
      <c r="CW64" s="68">
        <f>Sheet4!CW63</f>
        <v>1</v>
      </c>
      <c r="CX64" s="68">
        <f>Sheet4!CX63</f>
        <v>1</v>
      </c>
      <c r="CY64" s="68">
        <f>Sheet4!CY63</f>
        <v>1</v>
      </c>
      <c r="CZ64" s="68">
        <f>Sheet4!CZ63</f>
        <v>1</v>
      </c>
      <c r="DA64" s="68">
        <f>Sheet4!DA63</f>
        <v>1</v>
      </c>
      <c r="DB64" s="68">
        <f>Sheet4!DB63</f>
        <v>1</v>
      </c>
      <c r="DC64" s="68">
        <f>Sheet4!DC63</f>
        <v>1</v>
      </c>
      <c r="DD64" s="68">
        <f>Sheet4!DD63</f>
        <v>1</v>
      </c>
      <c r="DE64" s="68">
        <f>Sheet4!DE63</f>
        <v>1</v>
      </c>
      <c r="DF64" s="68">
        <f>Sheet4!DF63</f>
        <v>1</v>
      </c>
      <c r="DG64" s="68">
        <f>Sheet4!DG63</f>
        <v>1</v>
      </c>
      <c r="DH64" s="68">
        <f>Sheet4!DH63</f>
        <v>0</v>
      </c>
      <c r="DI64" s="68">
        <f>Sheet4!DI63</f>
        <v>0</v>
      </c>
      <c r="DJ64" s="68">
        <f>Sheet4!DJ63</f>
        <v>0</v>
      </c>
      <c r="DK64" s="68">
        <f>Sheet4!DK63</f>
        <v>0</v>
      </c>
      <c r="DL64" s="68">
        <f>Sheet4!DL63</f>
        <v>0</v>
      </c>
      <c r="DM64" s="68">
        <f>Sheet4!DM63</f>
        <v>0</v>
      </c>
      <c r="DN64" s="68">
        <f>Sheet4!DN63</f>
        <v>0</v>
      </c>
      <c r="DO64" s="68">
        <f>Sheet4!DO63</f>
        <v>0</v>
      </c>
      <c r="DP64" s="68">
        <f>Sheet4!DP63</f>
        <v>0</v>
      </c>
      <c r="DQ64" s="68">
        <f>Sheet4!DQ63</f>
        <v>0</v>
      </c>
    </row>
    <row r="65" spans="1:121" ht="15.75" customHeight="1" x14ac:dyDescent="0.3">
      <c r="A65" s="40">
        <f>Sheet4!A64</f>
        <v>61</v>
      </c>
      <c r="B65" s="40" t="str">
        <f>Sheet4!B64</f>
        <v>አልማዝ ደምሴ</v>
      </c>
      <c r="C65" s="26">
        <f>Sheet4!C64</f>
        <v>21000</v>
      </c>
      <c r="D65" s="68">
        <f>Sheet4!D64</f>
        <v>1</v>
      </c>
      <c r="E65" s="68">
        <f>Sheet4!E64</f>
        <v>1</v>
      </c>
      <c r="F65" s="68">
        <f>Sheet4!F64</f>
        <v>1</v>
      </c>
      <c r="G65" s="68">
        <f>Sheet4!G64</f>
        <v>1</v>
      </c>
      <c r="H65" s="68">
        <f>Sheet4!H64</f>
        <v>1</v>
      </c>
      <c r="I65" s="68">
        <f>Sheet4!I64</f>
        <v>1</v>
      </c>
      <c r="J65" s="68">
        <f>Sheet4!J64</f>
        <v>1</v>
      </c>
      <c r="K65" s="68">
        <f>Sheet4!K64</f>
        <v>1</v>
      </c>
      <c r="L65" s="68">
        <f>Sheet4!L64</f>
        <v>1</v>
      </c>
      <c r="M65" s="68">
        <f>Sheet4!M64</f>
        <v>1</v>
      </c>
      <c r="N65" s="68">
        <f>Sheet4!N64</f>
        <v>1</v>
      </c>
      <c r="O65" s="68">
        <f>Sheet4!O64</f>
        <v>1</v>
      </c>
      <c r="P65" s="68">
        <f>Sheet4!P64</f>
        <v>1</v>
      </c>
      <c r="Q65" s="68">
        <f>Sheet4!Q64</f>
        <v>1</v>
      </c>
      <c r="R65" s="68">
        <f>Sheet4!R64</f>
        <v>1</v>
      </c>
      <c r="S65" s="68">
        <f>Sheet4!S64</f>
        <v>1</v>
      </c>
      <c r="T65" s="68">
        <f>Sheet4!T64</f>
        <v>1</v>
      </c>
      <c r="U65" s="68">
        <f>Sheet4!U64</f>
        <v>1</v>
      </c>
      <c r="V65" s="68">
        <f>Sheet4!V64</f>
        <v>1</v>
      </c>
      <c r="W65" s="68">
        <f>Sheet4!W64</f>
        <v>0</v>
      </c>
      <c r="X65" s="68">
        <f>Sheet4!X64</f>
        <v>0</v>
      </c>
      <c r="Y65" s="68">
        <f>Sheet4!Y64</f>
        <v>1</v>
      </c>
      <c r="Z65" s="68">
        <f>Sheet4!Z64</f>
        <v>0</v>
      </c>
      <c r="AA65" s="68">
        <f>Sheet4!AA64</f>
        <v>4</v>
      </c>
      <c r="AB65" s="68">
        <f>Sheet4!AB64</f>
        <v>1</v>
      </c>
      <c r="AC65" s="68">
        <f>Sheet4!AC64</f>
        <v>1</v>
      </c>
      <c r="AD65" s="68">
        <f>Sheet4!AD64</f>
        <v>1</v>
      </c>
      <c r="AE65" s="68">
        <f>Sheet4!AE64</f>
        <v>1</v>
      </c>
      <c r="AF65" s="68">
        <f>Sheet4!AF64</f>
        <v>1</v>
      </c>
      <c r="AG65" s="68">
        <f>Sheet4!AG64</f>
        <v>1</v>
      </c>
      <c r="AH65" s="68">
        <f>Sheet4!AH64</f>
        <v>1</v>
      </c>
      <c r="AI65" s="68">
        <f>Sheet4!AI64</f>
        <v>1</v>
      </c>
      <c r="AJ65" s="68">
        <f>Sheet4!AJ64</f>
        <v>1</v>
      </c>
      <c r="AK65" s="68">
        <f>Sheet4!AK64</f>
        <v>0</v>
      </c>
      <c r="AL65" s="68">
        <f>Sheet4!AL64</f>
        <v>2</v>
      </c>
      <c r="AM65" s="68">
        <f>Sheet4!AM64</f>
        <v>1</v>
      </c>
      <c r="AN65" s="68">
        <f>Sheet4!AN64</f>
        <v>1</v>
      </c>
      <c r="AO65" s="68">
        <f>Sheet4!AO64</f>
        <v>1</v>
      </c>
      <c r="AP65" s="68">
        <f>Sheet4!AP64</f>
        <v>1</v>
      </c>
      <c r="AQ65" s="68">
        <f>Sheet4!AQ64</f>
        <v>1</v>
      </c>
      <c r="AR65" s="68">
        <f>Sheet4!AR64</f>
        <v>0</v>
      </c>
      <c r="AS65" s="68">
        <f>Sheet4!AS64</f>
        <v>2</v>
      </c>
      <c r="AT65" s="68">
        <f>Sheet4!AT64</f>
        <v>1</v>
      </c>
      <c r="AU65" s="68">
        <f>Sheet4!AU64</f>
        <v>1</v>
      </c>
      <c r="AV65" s="68">
        <f>Sheet4!AV64</f>
        <v>1</v>
      </c>
      <c r="AW65" s="68">
        <f>Sheet4!AW64</f>
        <v>1</v>
      </c>
      <c r="AX65" s="68">
        <f>Sheet4!AX64</f>
        <v>1</v>
      </c>
      <c r="AY65" s="68">
        <f>Sheet4!AY64</f>
        <v>1</v>
      </c>
      <c r="AZ65" s="68">
        <f>Sheet4!AZ64</f>
        <v>1</v>
      </c>
      <c r="BA65" s="68">
        <f>Sheet4!BA64</f>
        <v>1</v>
      </c>
      <c r="BB65" s="68">
        <f>Sheet4!BB64</f>
        <v>1</v>
      </c>
      <c r="BC65" s="68">
        <f>Sheet4!BC64</f>
        <v>1</v>
      </c>
      <c r="BD65" s="68">
        <f>Sheet4!BD64</f>
        <v>1</v>
      </c>
      <c r="BE65" s="68">
        <f>Sheet4!BE64</f>
        <v>1</v>
      </c>
      <c r="BF65" s="68">
        <f>Sheet4!BF64</f>
        <v>1</v>
      </c>
      <c r="BG65" s="68">
        <f>Sheet4!BG64</f>
        <v>1</v>
      </c>
      <c r="BH65" s="68">
        <f>Sheet4!BH64</f>
        <v>1</v>
      </c>
      <c r="BI65" s="68">
        <f>Sheet4!BI64</f>
        <v>1</v>
      </c>
      <c r="BJ65" s="68">
        <f>Sheet4!BJ64</f>
        <v>1</v>
      </c>
      <c r="BK65" s="68">
        <f>Sheet4!BK64</f>
        <v>0</v>
      </c>
      <c r="BL65" s="68">
        <f>Sheet4!BL64</f>
        <v>2</v>
      </c>
      <c r="BM65" s="68">
        <f>Sheet4!BM64</f>
        <v>1</v>
      </c>
      <c r="BN65" s="68">
        <f>Sheet4!BN64</f>
        <v>0</v>
      </c>
      <c r="BO65" s="68">
        <f>Sheet4!BO64</f>
        <v>2</v>
      </c>
      <c r="BP65" s="68">
        <f>Sheet4!BP64</f>
        <v>1</v>
      </c>
      <c r="BQ65" s="68">
        <f>Sheet4!BQ64</f>
        <v>1</v>
      </c>
      <c r="BR65" s="68">
        <f>Sheet4!BR64</f>
        <v>1</v>
      </c>
      <c r="BS65" s="68">
        <f>Sheet4!BS64</f>
        <v>1</v>
      </c>
      <c r="BT65" s="68">
        <f>Sheet4!BT64</f>
        <v>1</v>
      </c>
      <c r="BU65" s="68">
        <f>Sheet4!BU64</f>
        <v>0</v>
      </c>
      <c r="BV65" s="68">
        <f>Sheet4!BV64</f>
        <v>1</v>
      </c>
      <c r="BW65" s="68">
        <f>Sheet4!BW64</f>
        <v>0</v>
      </c>
      <c r="BX65" s="68">
        <f>Sheet4!BX64</f>
        <v>1</v>
      </c>
      <c r="BY65" s="68">
        <f>Sheet4!BY64</f>
        <v>1</v>
      </c>
      <c r="BZ65" s="68">
        <f>Sheet4!BZ64</f>
        <v>1</v>
      </c>
      <c r="CA65" s="68">
        <f>Sheet4!CA64</f>
        <v>1</v>
      </c>
      <c r="CB65" s="68">
        <f>Sheet4!CB64</f>
        <v>1</v>
      </c>
      <c r="CC65" s="68">
        <f>Sheet4!CC64</f>
        <v>0</v>
      </c>
      <c r="CD65" s="68">
        <f>Sheet4!CD64</f>
        <v>2</v>
      </c>
      <c r="CE65" s="68">
        <f>Sheet4!CE64</f>
        <v>1</v>
      </c>
      <c r="CF65" s="68">
        <f>Sheet4!CF64</f>
        <v>1</v>
      </c>
      <c r="CG65" s="68">
        <f>Sheet4!CG64</f>
        <v>1</v>
      </c>
      <c r="CH65" s="68">
        <f>Sheet4!CH64</f>
        <v>1</v>
      </c>
      <c r="CI65" s="68">
        <f>Sheet4!CI64</f>
        <v>1</v>
      </c>
      <c r="CJ65" s="68">
        <f>Sheet4!CJ64</f>
        <v>1</v>
      </c>
      <c r="CK65" s="68">
        <f>Sheet4!CK64</f>
        <v>1</v>
      </c>
      <c r="CL65" s="68">
        <f>Sheet4!CL64</f>
        <v>1</v>
      </c>
      <c r="CM65" s="68">
        <f>Sheet4!CM64</f>
        <v>1</v>
      </c>
      <c r="CN65" s="68">
        <f>Sheet4!CN64</f>
        <v>2</v>
      </c>
      <c r="CO65" s="68">
        <f>Sheet4!CO64</f>
        <v>1</v>
      </c>
      <c r="CP65" s="68">
        <f>Sheet4!CP64</f>
        <v>1</v>
      </c>
      <c r="CQ65" s="68">
        <f>Sheet4!CQ64</f>
        <v>1</v>
      </c>
      <c r="CR65" s="68">
        <f>Sheet4!CR64</f>
        <v>0</v>
      </c>
      <c r="CS65" s="68">
        <f>Sheet4!CS64</f>
        <v>0</v>
      </c>
      <c r="CT65" s="68">
        <f>Sheet4!CT64</f>
        <v>1</v>
      </c>
      <c r="CU65" s="68">
        <f>Sheet4!CU64</f>
        <v>1</v>
      </c>
      <c r="CV65" s="68">
        <f>Sheet4!CV64</f>
        <v>0</v>
      </c>
      <c r="CW65" s="68">
        <f>Sheet4!CW64</f>
        <v>3</v>
      </c>
      <c r="CX65" s="68">
        <f>Sheet4!CX64</f>
        <v>1</v>
      </c>
      <c r="CY65" s="68">
        <f>Sheet4!CY64</f>
        <v>1</v>
      </c>
      <c r="CZ65" s="68">
        <f>Sheet4!CZ64</f>
        <v>1</v>
      </c>
      <c r="DA65" s="68">
        <f>Sheet4!DA64</f>
        <v>1</v>
      </c>
      <c r="DB65" s="68">
        <f>Sheet4!DB64</f>
        <v>0</v>
      </c>
      <c r="DC65" s="68">
        <f>Sheet4!DC64</f>
        <v>1</v>
      </c>
      <c r="DD65" s="68">
        <f>Sheet4!DD64</f>
        <v>1</v>
      </c>
      <c r="DE65" s="68">
        <f>Sheet4!DE64</f>
        <v>1</v>
      </c>
      <c r="DF65" s="68">
        <f>Sheet4!DF64</f>
        <v>0</v>
      </c>
      <c r="DG65" s="68">
        <f>Sheet4!DG64</f>
        <v>0</v>
      </c>
      <c r="DH65" s="68">
        <f>Sheet4!DH64</f>
        <v>0</v>
      </c>
      <c r="DI65" s="68">
        <f>Sheet4!DI64</f>
        <v>0</v>
      </c>
      <c r="DJ65" s="68">
        <f>Sheet4!DJ64</f>
        <v>0</v>
      </c>
      <c r="DK65" s="68">
        <f>Sheet4!DK64</f>
        <v>0</v>
      </c>
      <c r="DL65" s="68">
        <f>Sheet4!DL64</f>
        <v>0</v>
      </c>
      <c r="DM65" s="68">
        <f>Sheet4!DM64</f>
        <v>0</v>
      </c>
      <c r="DN65" s="68">
        <f>Sheet4!DN64</f>
        <v>0</v>
      </c>
      <c r="DO65" s="68">
        <f>Sheet4!DO64</f>
        <v>0</v>
      </c>
      <c r="DP65" s="68">
        <f>Sheet4!DP64</f>
        <v>0</v>
      </c>
      <c r="DQ65" s="68">
        <f>Sheet4!DQ64</f>
        <v>0</v>
      </c>
    </row>
    <row r="66" spans="1:121" ht="15.75" customHeight="1" x14ac:dyDescent="0.3">
      <c r="A66" s="40">
        <f>Sheet4!A65</f>
        <v>62</v>
      </c>
      <c r="B66" s="40" t="str">
        <f>Sheet4!B65</f>
        <v>ዳንኤል ጎሌ</v>
      </c>
      <c r="C66" s="26">
        <f>Sheet4!C65</f>
        <v>21000</v>
      </c>
      <c r="D66" s="68">
        <f>Sheet4!D65</f>
        <v>1</v>
      </c>
      <c r="E66" s="68">
        <f>Sheet4!E65</f>
        <v>1</v>
      </c>
      <c r="F66" s="68">
        <f>Sheet4!F65</f>
        <v>1</v>
      </c>
      <c r="G66" s="68">
        <f>Sheet4!G65</f>
        <v>1</v>
      </c>
      <c r="H66" s="68">
        <f>Sheet4!H65</f>
        <v>1</v>
      </c>
      <c r="I66" s="68">
        <f>Sheet4!I65</f>
        <v>1</v>
      </c>
      <c r="J66" s="68">
        <f>Sheet4!J65</f>
        <v>1</v>
      </c>
      <c r="K66" s="68">
        <f>Sheet4!K65</f>
        <v>1</v>
      </c>
      <c r="L66" s="68">
        <f>Sheet4!L65</f>
        <v>1</v>
      </c>
      <c r="M66" s="68">
        <f>Sheet4!M65</f>
        <v>1</v>
      </c>
      <c r="N66" s="68">
        <f>Sheet4!N65</f>
        <v>1</v>
      </c>
      <c r="O66" s="68">
        <f>Sheet4!O65</f>
        <v>1</v>
      </c>
      <c r="P66" s="68">
        <f>Sheet4!P65</f>
        <v>1</v>
      </c>
      <c r="Q66" s="68">
        <f>Sheet4!Q65</f>
        <v>1</v>
      </c>
      <c r="R66" s="68">
        <f>Sheet4!R65</f>
        <v>1</v>
      </c>
      <c r="S66" s="68">
        <f>Sheet4!S65</f>
        <v>1</v>
      </c>
      <c r="T66" s="68">
        <f>Sheet4!T65</f>
        <v>1</v>
      </c>
      <c r="U66" s="68">
        <f>Sheet4!U65</f>
        <v>1</v>
      </c>
      <c r="V66" s="68">
        <f>Sheet4!V65</f>
        <v>1</v>
      </c>
      <c r="W66" s="68">
        <f>Sheet4!W65</f>
        <v>1</v>
      </c>
      <c r="X66" s="68">
        <f>Sheet4!X65</f>
        <v>1</v>
      </c>
      <c r="Y66" s="68">
        <f>Sheet4!Y65</f>
        <v>1</v>
      </c>
      <c r="Z66" s="68">
        <f>Sheet4!Z65</f>
        <v>1</v>
      </c>
      <c r="AA66" s="68">
        <f>Sheet4!AA65</f>
        <v>1</v>
      </c>
      <c r="AB66" s="68">
        <f>Sheet4!AB65</f>
        <v>1</v>
      </c>
      <c r="AC66" s="68">
        <f>Sheet4!AC65</f>
        <v>1</v>
      </c>
      <c r="AD66" s="68">
        <f>Sheet4!AD65</f>
        <v>1</v>
      </c>
      <c r="AE66" s="68">
        <f>Sheet4!AE65</f>
        <v>1</v>
      </c>
      <c r="AF66" s="68">
        <f>Sheet4!AF65</f>
        <v>1</v>
      </c>
      <c r="AG66" s="68">
        <f>Sheet4!AG65</f>
        <v>1</v>
      </c>
      <c r="AH66" s="68">
        <f>Sheet4!AH65</f>
        <v>1</v>
      </c>
      <c r="AI66" s="68">
        <f>Sheet4!AI65</f>
        <v>1</v>
      </c>
      <c r="AJ66" s="68">
        <f>Sheet4!AJ65</f>
        <v>1</v>
      </c>
      <c r="AK66" s="68">
        <f>Sheet4!AK65</f>
        <v>1</v>
      </c>
      <c r="AL66" s="68">
        <f>Sheet4!AL65</f>
        <v>1</v>
      </c>
      <c r="AM66" s="68">
        <f>Sheet4!AM65</f>
        <v>1</v>
      </c>
      <c r="AN66" s="68">
        <f>Sheet4!AN65</f>
        <v>1</v>
      </c>
      <c r="AO66" s="68">
        <f>Sheet4!AO65</f>
        <v>1</v>
      </c>
      <c r="AP66" s="68">
        <f>Sheet4!AP65</f>
        <v>1</v>
      </c>
      <c r="AQ66" s="68">
        <f>Sheet4!AQ65</f>
        <v>1</v>
      </c>
      <c r="AR66" s="68">
        <f>Sheet4!AR65</f>
        <v>1</v>
      </c>
      <c r="AS66" s="68">
        <f>Sheet4!AS65</f>
        <v>1</v>
      </c>
      <c r="AT66" s="68">
        <f>Sheet4!AT65</f>
        <v>1</v>
      </c>
      <c r="AU66" s="68">
        <f>Sheet4!AU65</f>
        <v>1</v>
      </c>
      <c r="AV66" s="68">
        <f>Sheet4!AV65</f>
        <v>1</v>
      </c>
      <c r="AW66" s="68">
        <f>Sheet4!AW65</f>
        <v>1</v>
      </c>
      <c r="AX66" s="68">
        <f>Sheet4!AX65</f>
        <v>1</v>
      </c>
      <c r="AY66" s="68">
        <f>Sheet4!AY65</f>
        <v>1</v>
      </c>
      <c r="AZ66" s="68">
        <f>Sheet4!AZ65</f>
        <v>1</v>
      </c>
      <c r="BA66" s="68">
        <f>Sheet4!BA65</f>
        <v>1</v>
      </c>
      <c r="BB66" s="68">
        <f>Sheet4!BB65</f>
        <v>1</v>
      </c>
      <c r="BC66" s="68">
        <f>Sheet4!BC65</f>
        <v>1</v>
      </c>
      <c r="BD66" s="68">
        <f>Sheet4!BD65</f>
        <v>1</v>
      </c>
      <c r="BE66" s="68">
        <f>Sheet4!BE65</f>
        <v>1</v>
      </c>
      <c r="BF66" s="68">
        <f>Sheet4!BF65</f>
        <v>1</v>
      </c>
      <c r="BG66" s="68">
        <f>Sheet4!BG65</f>
        <v>1</v>
      </c>
      <c r="BH66" s="68">
        <f>Sheet4!BH65</f>
        <v>1</v>
      </c>
      <c r="BI66" s="68">
        <f>Sheet4!BI65</f>
        <v>1</v>
      </c>
      <c r="BJ66" s="68">
        <f>Sheet4!BJ65</f>
        <v>1</v>
      </c>
      <c r="BK66" s="68">
        <f>Sheet4!BK65</f>
        <v>1</v>
      </c>
      <c r="BL66" s="68">
        <f>Sheet4!BL65</f>
        <v>1</v>
      </c>
      <c r="BM66" s="68">
        <f>Sheet4!BM65</f>
        <v>1</v>
      </c>
      <c r="BN66" s="68">
        <f>Sheet4!BN65</f>
        <v>1</v>
      </c>
      <c r="BO66" s="68">
        <f>Sheet4!BO65</f>
        <v>1</v>
      </c>
      <c r="BP66" s="68">
        <f>Sheet4!BP65</f>
        <v>1</v>
      </c>
      <c r="BQ66" s="68">
        <f>Sheet4!BQ65</f>
        <v>1</v>
      </c>
      <c r="BR66" s="68">
        <f>Sheet4!BR65</f>
        <v>1</v>
      </c>
      <c r="BS66" s="68">
        <f>Sheet4!BS65</f>
        <v>1</v>
      </c>
      <c r="BT66" s="68">
        <f>Sheet4!BT65</f>
        <v>1</v>
      </c>
      <c r="BU66" s="68">
        <f>Sheet4!BU65</f>
        <v>1</v>
      </c>
      <c r="BV66" s="68">
        <f>Sheet4!BV65</f>
        <v>1</v>
      </c>
      <c r="BW66" s="68">
        <f>Sheet4!BW65</f>
        <v>1</v>
      </c>
      <c r="BX66" s="68">
        <f>Sheet4!BX65</f>
        <v>1</v>
      </c>
      <c r="BY66" s="68">
        <f>Sheet4!BY65</f>
        <v>1</v>
      </c>
      <c r="BZ66" s="68">
        <f>Sheet4!BZ65</f>
        <v>1</v>
      </c>
      <c r="CA66" s="68">
        <f>Sheet4!CA65</f>
        <v>1</v>
      </c>
      <c r="CB66" s="68">
        <f>Sheet4!CB65</f>
        <v>1</v>
      </c>
      <c r="CC66" s="68">
        <f>Sheet4!CC65</f>
        <v>1</v>
      </c>
      <c r="CD66" s="68">
        <f>Sheet4!CD65</f>
        <v>1</v>
      </c>
      <c r="CE66" s="68">
        <f>Sheet4!CE65</f>
        <v>1</v>
      </c>
      <c r="CF66" s="68">
        <f>Sheet4!CF65</f>
        <v>1</v>
      </c>
      <c r="CG66" s="68">
        <f>Sheet4!CG65</f>
        <v>0</v>
      </c>
      <c r="CH66" s="68">
        <f>Sheet4!CH65</f>
        <v>2</v>
      </c>
      <c r="CI66" s="68">
        <f>Sheet4!CI65</f>
        <v>1</v>
      </c>
      <c r="CJ66" s="68">
        <f>Sheet4!CJ65</f>
        <v>1</v>
      </c>
      <c r="CK66" s="68">
        <f>Sheet4!CK65</f>
        <v>1</v>
      </c>
      <c r="CL66" s="68">
        <f>Sheet4!CL65</f>
        <v>1</v>
      </c>
      <c r="CM66" s="68">
        <f>Sheet4!CM65</f>
        <v>1</v>
      </c>
      <c r="CN66" s="68">
        <f>Sheet4!CN65</f>
        <v>1</v>
      </c>
      <c r="CO66" s="68">
        <f>Sheet4!CO65</f>
        <v>1</v>
      </c>
      <c r="CP66" s="68">
        <f>Sheet4!CP65</f>
        <v>1</v>
      </c>
      <c r="CQ66" s="68">
        <f>Sheet4!CQ65</f>
        <v>1</v>
      </c>
      <c r="CR66" s="68">
        <f>Sheet4!CR65</f>
        <v>1</v>
      </c>
      <c r="CS66" s="68">
        <f>Sheet4!CS65</f>
        <v>1</v>
      </c>
      <c r="CT66" s="68">
        <f>Sheet4!CT65</f>
        <v>1</v>
      </c>
      <c r="CU66" s="68">
        <f>Sheet4!CU65</f>
        <v>1</v>
      </c>
      <c r="CV66" s="68">
        <f>Sheet4!CV65</f>
        <v>1</v>
      </c>
      <c r="CW66" s="68">
        <f>Sheet4!CW65</f>
        <v>1</v>
      </c>
      <c r="CX66" s="68">
        <f>Sheet4!CX65</f>
        <v>1</v>
      </c>
      <c r="CY66" s="68">
        <f>Sheet4!CY65</f>
        <v>1</v>
      </c>
      <c r="CZ66" s="68">
        <f>Sheet4!CZ65</f>
        <v>1</v>
      </c>
      <c r="DA66" s="68">
        <f>Sheet4!DA65</f>
        <v>1</v>
      </c>
      <c r="DB66" s="68">
        <f>Sheet4!DB65</f>
        <v>1</v>
      </c>
      <c r="DC66" s="68">
        <f>Sheet4!DC65</f>
        <v>1</v>
      </c>
      <c r="DD66" s="68">
        <f>Sheet4!DD65</f>
        <v>1</v>
      </c>
      <c r="DE66" s="68">
        <f>Sheet4!DE65</f>
        <v>1</v>
      </c>
      <c r="DF66" s="68">
        <f>Sheet4!DF65</f>
        <v>1</v>
      </c>
      <c r="DG66" s="68">
        <f>Sheet4!DG65</f>
        <v>1</v>
      </c>
      <c r="DH66" s="68">
        <f>Sheet4!DH65</f>
        <v>0</v>
      </c>
      <c r="DI66" s="68">
        <f>Sheet4!DI65</f>
        <v>0</v>
      </c>
      <c r="DJ66" s="68">
        <f>Sheet4!DJ65</f>
        <v>0</v>
      </c>
      <c r="DK66" s="68">
        <f>Sheet4!DK65</f>
        <v>0</v>
      </c>
      <c r="DL66" s="68">
        <f>Sheet4!DL65</f>
        <v>0</v>
      </c>
      <c r="DM66" s="68">
        <f>Sheet4!DM65</f>
        <v>0</v>
      </c>
      <c r="DN66" s="68">
        <f>Sheet4!DN65</f>
        <v>0</v>
      </c>
      <c r="DO66" s="68">
        <f>Sheet4!DO65</f>
        <v>0</v>
      </c>
      <c r="DP66" s="68">
        <f>Sheet4!DP65</f>
        <v>0</v>
      </c>
      <c r="DQ66" s="68">
        <f>Sheet4!DQ65</f>
        <v>0</v>
      </c>
    </row>
    <row r="67" spans="1:121" ht="15.75" customHeight="1" x14ac:dyDescent="0.3">
      <c r="A67" s="40">
        <f>Sheet4!A66</f>
        <v>63</v>
      </c>
      <c r="B67" s="40" t="str">
        <f>Sheet4!B66</f>
        <v>ፍቅሩ ሰጋሮ</v>
      </c>
      <c r="C67" s="26">
        <f>Sheet4!C66</f>
        <v>21000</v>
      </c>
      <c r="D67" s="68">
        <f>Sheet4!D66</f>
        <v>1</v>
      </c>
      <c r="E67" s="68">
        <f>Sheet4!E66</f>
        <v>1</v>
      </c>
      <c r="F67" s="68">
        <f>Sheet4!F66</f>
        <v>1</v>
      </c>
      <c r="G67" s="68">
        <f>Sheet4!G66</f>
        <v>1</v>
      </c>
      <c r="H67" s="68">
        <f>Sheet4!H66</f>
        <v>1</v>
      </c>
      <c r="I67" s="68">
        <f>Sheet4!I66</f>
        <v>1</v>
      </c>
      <c r="J67" s="68">
        <f>Sheet4!J66</f>
        <v>1</v>
      </c>
      <c r="K67" s="68">
        <f>Sheet4!K66</f>
        <v>1</v>
      </c>
      <c r="L67" s="68">
        <f>Sheet4!L66</f>
        <v>1</v>
      </c>
      <c r="M67" s="68">
        <f>Sheet4!M66</f>
        <v>1</v>
      </c>
      <c r="N67" s="68">
        <f>Sheet4!N66</f>
        <v>1</v>
      </c>
      <c r="O67" s="68">
        <f>Sheet4!O66</f>
        <v>1</v>
      </c>
      <c r="P67" s="68">
        <f>Sheet4!P66</f>
        <v>1</v>
      </c>
      <c r="Q67" s="68">
        <f>Sheet4!Q66</f>
        <v>1</v>
      </c>
      <c r="R67" s="68">
        <f>Sheet4!R66</f>
        <v>1</v>
      </c>
      <c r="S67" s="68">
        <f>Sheet4!S66</f>
        <v>1</v>
      </c>
      <c r="T67" s="68">
        <f>Sheet4!T66</f>
        <v>1</v>
      </c>
      <c r="U67" s="68">
        <f>Sheet4!U66</f>
        <v>1</v>
      </c>
      <c r="V67" s="68">
        <f>Sheet4!V66</f>
        <v>1</v>
      </c>
      <c r="W67" s="68">
        <f>Sheet4!W66</f>
        <v>1</v>
      </c>
      <c r="X67" s="68">
        <f>Sheet4!X66</f>
        <v>1</v>
      </c>
      <c r="Y67" s="68">
        <f>Sheet4!Y66</f>
        <v>1</v>
      </c>
      <c r="Z67" s="68">
        <f>Sheet4!Z66</f>
        <v>1</v>
      </c>
      <c r="AA67" s="68">
        <f>Sheet4!AA66</f>
        <v>0</v>
      </c>
      <c r="AB67" s="68">
        <f>Sheet4!AB66</f>
        <v>2</v>
      </c>
      <c r="AC67" s="68">
        <f>Sheet4!AC66</f>
        <v>1</v>
      </c>
      <c r="AD67" s="68">
        <f>Sheet4!AD66</f>
        <v>1</v>
      </c>
      <c r="AE67" s="68">
        <f>Sheet4!AE66</f>
        <v>1</v>
      </c>
      <c r="AF67" s="68">
        <f>Sheet4!AF66</f>
        <v>1</v>
      </c>
      <c r="AG67" s="68">
        <f>Sheet4!AG66</f>
        <v>1</v>
      </c>
      <c r="AH67" s="68">
        <f>Sheet4!AH66</f>
        <v>1</v>
      </c>
      <c r="AI67" s="68">
        <f>Sheet4!AI66</f>
        <v>1</v>
      </c>
      <c r="AJ67" s="68">
        <f>Sheet4!AJ66</f>
        <v>1</v>
      </c>
      <c r="AK67" s="68">
        <f>Sheet4!AK66</f>
        <v>1</v>
      </c>
      <c r="AL67" s="68">
        <f>Sheet4!AL66</f>
        <v>1</v>
      </c>
      <c r="AM67" s="68">
        <f>Sheet4!AM66</f>
        <v>1</v>
      </c>
      <c r="AN67" s="68">
        <f>Sheet4!AN66</f>
        <v>1</v>
      </c>
      <c r="AO67" s="68">
        <f>Sheet4!AO66</f>
        <v>1</v>
      </c>
      <c r="AP67" s="68">
        <f>Sheet4!AP66</f>
        <v>1</v>
      </c>
      <c r="AQ67" s="68">
        <f>Sheet4!AQ66</f>
        <v>1</v>
      </c>
      <c r="AR67" s="68">
        <f>Sheet4!AR66</f>
        <v>1</v>
      </c>
      <c r="AS67" s="68">
        <f>Sheet4!AS66</f>
        <v>1</v>
      </c>
      <c r="AT67" s="68">
        <f>Sheet4!AT66</f>
        <v>1</v>
      </c>
      <c r="AU67" s="68">
        <f>Sheet4!AU66</f>
        <v>1</v>
      </c>
      <c r="AV67" s="68">
        <f>Sheet4!AV66</f>
        <v>1</v>
      </c>
      <c r="AW67" s="68">
        <f>Sheet4!AW66</f>
        <v>1</v>
      </c>
      <c r="AX67" s="68">
        <f>Sheet4!AX66</f>
        <v>1</v>
      </c>
      <c r="AY67" s="68">
        <f>Sheet4!AY66</f>
        <v>1</v>
      </c>
      <c r="AZ67" s="68">
        <f>Sheet4!AZ66</f>
        <v>1</v>
      </c>
      <c r="BA67" s="68">
        <f>Sheet4!BA66</f>
        <v>1</v>
      </c>
      <c r="BB67" s="68">
        <f>Sheet4!BB66</f>
        <v>1</v>
      </c>
      <c r="BC67" s="68">
        <f>Sheet4!BC66</f>
        <v>1</v>
      </c>
      <c r="BD67" s="68">
        <f>Sheet4!BD66</f>
        <v>1</v>
      </c>
      <c r="BE67" s="68">
        <f>Sheet4!BE66</f>
        <v>1</v>
      </c>
      <c r="BF67" s="68">
        <f>Sheet4!BF66</f>
        <v>1</v>
      </c>
      <c r="BG67" s="68">
        <f>Sheet4!BG66</f>
        <v>1</v>
      </c>
      <c r="BH67" s="68">
        <f>Sheet4!BH66</f>
        <v>1</v>
      </c>
      <c r="BI67" s="68">
        <f>Sheet4!BI66</f>
        <v>1</v>
      </c>
      <c r="BJ67" s="68">
        <f>Sheet4!BJ66</f>
        <v>1</v>
      </c>
      <c r="BK67" s="68">
        <f>Sheet4!BK66</f>
        <v>1</v>
      </c>
      <c r="BL67" s="68">
        <f>Sheet4!BL66</f>
        <v>0</v>
      </c>
      <c r="BM67" s="68">
        <f>Sheet4!BM66</f>
        <v>0</v>
      </c>
      <c r="BN67" s="68">
        <f>Sheet4!BN66</f>
        <v>2</v>
      </c>
      <c r="BO67" s="68">
        <f>Sheet4!BO66</f>
        <v>0</v>
      </c>
      <c r="BP67" s="68">
        <f>Sheet4!BP66</f>
        <v>1</v>
      </c>
      <c r="BQ67" s="68">
        <f>Sheet4!BQ66</f>
        <v>1</v>
      </c>
      <c r="BR67" s="68">
        <f>Sheet4!BR66</f>
        <v>1</v>
      </c>
      <c r="BS67" s="68">
        <f>Sheet4!BS66</f>
        <v>0</v>
      </c>
      <c r="BT67" s="68">
        <f>Sheet4!BT66</f>
        <v>1</v>
      </c>
      <c r="BU67" s="68">
        <f>Sheet4!BU66</f>
        <v>0</v>
      </c>
      <c r="BV67" s="68">
        <f>Sheet4!BV66</f>
        <v>1</v>
      </c>
      <c r="BW67" s="68">
        <f>Sheet4!BW66</f>
        <v>1</v>
      </c>
      <c r="BX67" s="68">
        <f>Sheet4!BX66</f>
        <v>1</v>
      </c>
      <c r="BY67" s="68">
        <f>Sheet4!BY66</f>
        <v>1</v>
      </c>
      <c r="BZ67" s="68">
        <f>Sheet4!BZ66</f>
        <v>1</v>
      </c>
      <c r="CA67" s="68">
        <f>Sheet4!CA66</f>
        <v>1</v>
      </c>
      <c r="CB67" s="68">
        <f>Sheet4!CB66</f>
        <v>1</v>
      </c>
      <c r="CC67" s="68">
        <f>Sheet4!CC66</f>
        <v>1</v>
      </c>
      <c r="CD67" s="68">
        <f>Sheet4!CD66</f>
        <v>0</v>
      </c>
      <c r="CE67" s="68">
        <f>Sheet4!CE66</f>
        <v>1</v>
      </c>
      <c r="CF67" s="68">
        <f>Sheet4!CF66</f>
        <v>1</v>
      </c>
      <c r="CG67" s="68">
        <f>Sheet4!CG66</f>
        <v>1</v>
      </c>
      <c r="CH67" s="68">
        <f>Sheet4!CH66</f>
        <v>0</v>
      </c>
      <c r="CI67" s="68">
        <f>Sheet4!CI66</f>
        <v>2</v>
      </c>
      <c r="CJ67" s="68">
        <f>Sheet4!CJ66</f>
        <v>0</v>
      </c>
      <c r="CK67" s="68">
        <f>Sheet4!CK66</f>
        <v>2</v>
      </c>
      <c r="CL67" s="68">
        <f>Sheet4!CL66</f>
        <v>0</v>
      </c>
      <c r="CM67" s="68">
        <f>Sheet4!CM66</f>
        <v>2</v>
      </c>
      <c r="CN67" s="68">
        <f>Sheet4!CN66</f>
        <v>0</v>
      </c>
      <c r="CO67" s="68">
        <f>Sheet4!CO66</f>
        <v>2</v>
      </c>
      <c r="CP67" s="68">
        <f>Sheet4!CP66</f>
        <v>0</v>
      </c>
      <c r="CQ67" s="68">
        <f>Sheet4!CQ66</f>
        <v>2</v>
      </c>
      <c r="CR67" s="68">
        <f>Sheet4!CR66</f>
        <v>0</v>
      </c>
      <c r="CS67" s="68">
        <f>Sheet4!CS66</f>
        <v>2</v>
      </c>
      <c r="CT67" s="68">
        <f>Sheet4!CT66</f>
        <v>0</v>
      </c>
      <c r="CU67" s="68">
        <f>Sheet4!CU66</f>
        <v>1</v>
      </c>
      <c r="CV67" s="68">
        <f>Sheet4!CV66</f>
        <v>2</v>
      </c>
      <c r="CW67" s="68">
        <f>Sheet4!CW66</f>
        <v>0</v>
      </c>
      <c r="CX67" s="68">
        <f>Sheet4!CX66</f>
        <v>2</v>
      </c>
      <c r="CY67" s="68">
        <f>Sheet4!CY66</f>
        <v>0</v>
      </c>
      <c r="CZ67" s="68">
        <f>Sheet4!CZ66</f>
        <v>2</v>
      </c>
      <c r="DA67" s="68">
        <f>Sheet4!DA66</f>
        <v>0</v>
      </c>
      <c r="DB67" s="68">
        <f>Sheet4!DB66</f>
        <v>1</v>
      </c>
      <c r="DC67" s="68">
        <f>Sheet4!DC66</f>
        <v>2</v>
      </c>
      <c r="DD67" s="68">
        <f>Sheet4!DD66</f>
        <v>0</v>
      </c>
      <c r="DE67" s="68">
        <f>Sheet4!DE66</f>
        <v>2</v>
      </c>
      <c r="DF67" s="68">
        <f>Sheet4!DF66</f>
        <v>0</v>
      </c>
      <c r="DG67" s="68">
        <f>Sheet4!DG66</f>
        <v>1</v>
      </c>
      <c r="DH67" s="68">
        <f>Sheet4!DH66</f>
        <v>0</v>
      </c>
      <c r="DI67" s="68">
        <f>Sheet4!DI66</f>
        <v>0</v>
      </c>
      <c r="DJ67" s="68">
        <f>Sheet4!DJ66</f>
        <v>0</v>
      </c>
      <c r="DK67" s="68">
        <f>Sheet4!DK66</f>
        <v>0</v>
      </c>
      <c r="DL67" s="68">
        <f>Sheet4!DL66</f>
        <v>0</v>
      </c>
      <c r="DM67" s="68">
        <f>Sheet4!DM66</f>
        <v>0</v>
      </c>
      <c r="DN67" s="68">
        <f>Sheet4!DN66</f>
        <v>0</v>
      </c>
      <c r="DO67" s="68">
        <f>Sheet4!DO66</f>
        <v>0</v>
      </c>
      <c r="DP67" s="68">
        <f>Sheet4!DP66</f>
        <v>0</v>
      </c>
      <c r="DQ67" s="68">
        <f>Sheet4!DQ66</f>
        <v>0</v>
      </c>
    </row>
    <row r="68" spans="1:121" ht="15.75" customHeight="1" x14ac:dyDescent="0.3">
      <c r="A68" s="40">
        <f>Sheet4!A67</f>
        <v>64</v>
      </c>
      <c r="B68" s="40" t="str">
        <f>Sheet4!B67</f>
        <v xml:space="preserve">ቴዎድሮስ ጌታቸው </v>
      </c>
      <c r="C68" s="26">
        <f>Sheet4!C67</f>
        <v>21000</v>
      </c>
      <c r="D68" s="68">
        <f>Sheet4!D67</f>
        <v>1</v>
      </c>
      <c r="E68" s="68">
        <f>Sheet4!E67</f>
        <v>1</v>
      </c>
      <c r="F68" s="68">
        <f>Sheet4!F67</f>
        <v>1</v>
      </c>
      <c r="G68" s="68">
        <f>Sheet4!G67</f>
        <v>1</v>
      </c>
      <c r="H68" s="68">
        <f>Sheet4!H67</f>
        <v>1</v>
      </c>
      <c r="I68" s="68">
        <f>Sheet4!I67</f>
        <v>1</v>
      </c>
      <c r="J68" s="68">
        <f>Sheet4!J67</f>
        <v>1</v>
      </c>
      <c r="K68" s="68">
        <f>Sheet4!K67</f>
        <v>1</v>
      </c>
      <c r="L68" s="68">
        <f>Sheet4!L67</f>
        <v>1</v>
      </c>
      <c r="M68" s="68">
        <f>Sheet4!M67</f>
        <v>1</v>
      </c>
      <c r="N68" s="68">
        <f>Sheet4!N67</f>
        <v>1</v>
      </c>
      <c r="O68" s="68">
        <f>Sheet4!O67</f>
        <v>1</v>
      </c>
      <c r="P68" s="68">
        <f>Sheet4!P67</f>
        <v>1</v>
      </c>
      <c r="Q68" s="68">
        <f>Sheet4!Q67</f>
        <v>1</v>
      </c>
      <c r="R68" s="68">
        <f>Sheet4!R67</f>
        <v>1</v>
      </c>
      <c r="S68" s="68">
        <f>Sheet4!S67</f>
        <v>1</v>
      </c>
      <c r="T68" s="68">
        <f>Sheet4!T67</f>
        <v>1</v>
      </c>
      <c r="U68" s="68">
        <f>Sheet4!U67</f>
        <v>1</v>
      </c>
      <c r="V68" s="68">
        <f>Sheet4!V67</f>
        <v>1</v>
      </c>
      <c r="W68" s="68">
        <f>Sheet4!W67</f>
        <v>1</v>
      </c>
      <c r="X68" s="68">
        <f>Sheet4!X67</f>
        <v>1</v>
      </c>
      <c r="Y68" s="68">
        <f>Sheet4!Y67</f>
        <v>1</v>
      </c>
      <c r="Z68" s="68">
        <f>Sheet4!Z67</f>
        <v>1</v>
      </c>
      <c r="AA68" s="68">
        <f>Sheet4!AA67</f>
        <v>1</v>
      </c>
      <c r="AB68" s="68">
        <f>Sheet4!AB67</f>
        <v>1</v>
      </c>
      <c r="AC68" s="68">
        <f>Sheet4!AC67</f>
        <v>1</v>
      </c>
      <c r="AD68" s="68">
        <f>Sheet4!AD67</f>
        <v>1</v>
      </c>
      <c r="AE68" s="68">
        <f>Sheet4!AE67</f>
        <v>1</v>
      </c>
      <c r="AF68" s="68">
        <f>Sheet4!AF67</f>
        <v>1</v>
      </c>
      <c r="AG68" s="68">
        <f>Sheet4!AG67</f>
        <v>1</v>
      </c>
      <c r="AH68" s="68">
        <f>Sheet4!AH67</f>
        <v>1</v>
      </c>
      <c r="AI68" s="68">
        <f>Sheet4!AI67</f>
        <v>1</v>
      </c>
      <c r="AJ68" s="68">
        <f>Sheet4!AJ67</f>
        <v>1</v>
      </c>
      <c r="AK68" s="68">
        <f>Sheet4!AK67</f>
        <v>1</v>
      </c>
      <c r="AL68" s="68">
        <f>Sheet4!AL67</f>
        <v>1</v>
      </c>
      <c r="AM68" s="68">
        <f>Sheet4!AM67</f>
        <v>1</v>
      </c>
      <c r="AN68" s="68">
        <f>Sheet4!AN67</f>
        <v>1</v>
      </c>
      <c r="AO68" s="68">
        <f>Sheet4!AO67</f>
        <v>1</v>
      </c>
      <c r="AP68" s="68">
        <f>Sheet4!AP67</f>
        <v>1</v>
      </c>
      <c r="AQ68" s="68">
        <f>Sheet4!AQ67</f>
        <v>1</v>
      </c>
      <c r="AR68" s="68">
        <f>Sheet4!AR67</f>
        <v>1</v>
      </c>
      <c r="AS68" s="68">
        <f>Sheet4!AS67</f>
        <v>1</v>
      </c>
      <c r="AT68" s="68">
        <f>Sheet4!AT67</f>
        <v>1</v>
      </c>
      <c r="AU68" s="68">
        <f>Sheet4!AU67</f>
        <v>1</v>
      </c>
      <c r="AV68" s="68">
        <f>Sheet4!AV67</f>
        <v>1</v>
      </c>
      <c r="AW68" s="68">
        <f>Sheet4!AW67</f>
        <v>1</v>
      </c>
      <c r="AX68" s="68">
        <f>Sheet4!AX67</f>
        <v>1</v>
      </c>
      <c r="AY68" s="68">
        <f>Sheet4!AY67</f>
        <v>1</v>
      </c>
      <c r="AZ68" s="68">
        <f>Sheet4!AZ67</f>
        <v>1</v>
      </c>
      <c r="BA68" s="68">
        <f>Sheet4!BA67</f>
        <v>1</v>
      </c>
      <c r="BB68" s="68">
        <f>Sheet4!BB67</f>
        <v>1</v>
      </c>
      <c r="BC68" s="68">
        <f>Sheet4!BC67</f>
        <v>1</v>
      </c>
      <c r="BD68" s="68">
        <f>Sheet4!BD67</f>
        <v>1</v>
      </c>
      <c r="BE68" s="68">
        <f>Sheet4!BE67</f>
        <v>1</v>
      </c>
      <c r="BF68" s="68">
        <f>Sheet4!BF67</f>
        <v>1</v>
      </c>
      <c r="BG68" s="68">
        <f>Sheet4!BG67</f>
        <v>1</v>
      </c>
      <c r="BH68" s="68">
        <f>Sheet4!BH67</f>
        <v>1</v>
      </c>
      <c r="BI68" s="68">
        <f>Sheet4!BI67</f>
        <v>1</v>
      </c>
      <c r="BJ68" s="68">
        <f>Sheet4!BJ67</f>
        <v>0</v>
      </c>
      <c r="BK68" s="68">
        <f>Sheet4!BK67</f>
        <v>2</v>
      </c>
      <c r="BL68" s="68">
        <f>Sheet4!BL67</f>
        <v>1</v>
      </c>
      <c r="BM68" s="68">
        <f>Sheet4!BM67</f>
        <v>1</v>
      </c>
      <c r="BN68" s="68">
        <f>Sheet4!BN67</f>
        <v>1</v>
      </c>
      <c r="BO68" s="68">
        <f>Sheet4!BO67</f>
        <v>1</v>
      </c>
      <c r="BP68" s="68">
        <f>Sheet4!BP67</f>
        <v>1</v>
      </c>
      <c r="BQ68" s="68">
        <f>Sheet4!BQ67</f>
        <v>1</v>
      </c>
      <c r="BR68" s="68">
        <f>Sheet4!BR67</f>
        <v>1</v>
      </c>
      <c r="BS68" s="68">
        <f>Sheet4!BS67</f>
        <v>1</v>
      </c>
      <c r="BT68" s="68">
        <f>Sheet4!BT67</f>
        <v>1</v>
      </c>
      <c r="BU68" s="68">
        <f>Sheet4!BU67</f>
        <v>1</v>
      </c>
      <c r="BV68" s="68">
        <f>Sheet4!BV67</f>
        <v>1</v>
      </c>
      <c r="BW68" s="68">
        <f>Sheet4!BW67</f>
        <v>1</v>
      </c>
      <c r="BX68" s="68">
        <f>Sheet4!BX67</f>
        <v>1</v>
      </c>
      <c r="BY68" s="68">
        <f>Sheet4!BY67</f>
        <v>1</v>
      </c>
      <c r="BZ68" s="68">
        <f>Sheet4!BZ67</f>
        <v>1</v>
      </c>
      <c r="CA68" s="68">
        <f>Sheet4!CA67</f>
        <v>1</v>
      </c>
      <c r="CB68" s="68">
        <f>Sheet4!CB67</f>
        <v>1</v>
      </c>
      <c r="CC68" s="68">
        <f>Sheet4!CC67</f>
        <v>1</v>
      </c>
      <c r="CD68" s="68">
        <f>Sheet4!CD67</f>
        <v>1</v>
      </c>
      <c r="CE68" s="68">
        <f>Sheet4!CE67</f>
        <v>1</v>
      </c>
      <c r="CF68" s="68">
        <f>Sheet4!CF67</f>
        <v>1</v>
      </c>
      <c r="CG68" s="68">
        <f>Sheet4!CG67</f>
        <v>1</v>
      </c>
      <c r="CH68" s="68">
        <f>Sheet4!CH67</f>
        <v>1</v>
      </c>
      <c r="CI68" s="68">
        <f>Sheet4!CI67</f>
        <v>1</v>
      </c>
      <c r="CJ68" s="68">
        <f>Sheet4!CJ67</f>
        <v>1</v>
      </c>
      <c r="CK68" s="68">
        <f>Sheet4!CK67</f>
        <v>1</v>
      </c>
      <c r="CL68" s="68">
        <f>Sheet4!CL67</f>
        <v>1</v>
      </c>
      <c r="CM68" s="68">
        <f>Sheet4!CM67</f>
        <v>1</v>
      </c>
      <c r="CN68" s="68">
        <f>Sheet4!CN67</f>
        <v>1</v>
      </c>
      <c r="CO68" s="68">
        <f>Sheet4!CO67</f>
        <v>1</v>
      </c>
      <c r="CP68" s="68">
        <f>Sheet4!CP67</f>
        <v>1</v>
      </c>
      <c r="CQ68" s="68">
        <f>Sheet4!CQ67</f>
        <v>1</v>
      </c>
      <c r="CR68" s="68">
        <f>Sheet4!CR67</f>
        <v>1</v>
      </c>
      <c r="CS68" s="68">
        <f>Sheet4!CS67</f>
        <v>1</v>
      </c>
      <c r="CT68" s="68">
        <f>Sheet4!CT67</f>
        <v>1</v>
      </c>
      <c r="CU68" s="68">
        <f>Sheet4!CU67</f>
        <v>1</v>
      </c>
      <c r="CV68" s="68">
        <f>Sheet4!CV67</f>
        <v>1</v>
      </c>
      <c r="CW68" s="68">
        <f>Sheet4!CW67</f>
        <v>1</v>
      </c>
      <c r="CX68" s="68">
        <f>Sheet4!CX67</f>
        <v>1</v>
      </c>
      <c r="CY68" s="68">
        <f>Sheet4!CY67</f>
        <v>1</v>
      </c>
      <c r="CZ68" s="68">
        <f>Sheet4!CZ67</f>
        <v>1</v>
      </c>
      <c r="DA68" s="68">
        <f>Sheet4!DA67</f>
        <v>1</v>
      </c>
      <c r="DB68" s="68">
        <f>Sheet4!DB67</f>
        <v>1</v>
      </c>
      <c r="DC68" s="68">
        <f>Sheet4!DC67</f>
        <v>1</v>
      </c>
      <c r="DD68" s="68">
        <f>Sheet4!DD67</f>
        <v>1</v>
      </c>
      <c r="DE68" s="68">
        <f>Sheet4!DE67</f>
        <v>1</v>
      </c>
      <c r="DF68" s="68">
        <f>Sheet4!DF67</f>
        <v>1</v>
      </c>
      <c r="DG68" s="68">
        <f>Sheet4!DG67</f>
        <v>1</v>
      </c>
      <c r="DH68" s="68">
        <f>Sheet4!DH67</f>
        <v>0</v>
      </c>
      <c r="DI68" s="68">
        <f>Sheet4!DI67</f>
        <v>0</v>
      </c>
      <c r="DJ68" s="68">
        <f>Sheet4!DJ67</f>
        <v>0</v>
      </c>
      <c r="DK68" s="68">
        <f>Sheet4!DK67</f>
        <v>0</v>
      </c>
      <c r="DL68" s="68">
        <f>Sheet4!DL67</f>
        <v>0</v>
      </c>
      <c r="DM68" s="68">
        <f>Sheet4!DM67</f>
        <v>0</v>
      </c>
      <c r="DN68" s="68">
        <f>Sheet4!DN67</f>
        <v>0</v>
      </c>
      <c r="DO68" s="68">
        <f>Sheet4!DO67</f>
        <v>0</v>
      </c>
      <c r="DP68" s="68">
        <f>Sheet4!DP67</f>
        <v>0</v>
      </c>
      <c r="DQ68" s="68">
        <f>Sheet4!DQ67</f>
        <v>0</v>
      </c>
    </row>
    <row r="69" spans="1:121" ht="15.75" customHeight="1" x14ac:dyDescent="0.3">
      <c r="A69" s="40">
        <f>Sheet4!A68</f>
        <v>65</v>
      </c>
      <c r="B69" s="40" t="str">
        <f>Sheet4!B68</f>
        <v>ሀጊርሶ ጤሴጎ</v>
      </c>
      <c r="C69" s="26">
        <f>Sheet4!C68</f>
        <v>21000</v>
      </c>
      <c r="D69" s="68">
        <f>Sheet4!D68</f>
        <v>1</v>
      </c>
      <c r="E69" s="68">
        <f>Sheet4!E68</f>
        <v>1</v>
      </c>
      <c r="F69" s="68">
        <f>Sheet4!F68</f>
        <v>1</v>
      </c>
      <c r="G69" s="68">
        <f>Sheet4!G68</f>
        <v>1</v>
      </c>
      <c r="H69" s="68">
        <f>Sheet4!H68</f>
        <v>1</v>
      </c>
      <c r="I69" s="68">
        <f>Sheet4!I68</f>
        <v>1</v>
      </c>
      <c r="J69" s="68">
        <f>Sheet4!J68</f>
        <v>1</v>
      </c>
      <c r="K69" s="68">
        <f>Sheet4!K68</f>
        <v>1</v>
      </c>
      <c r="L69" s="68">
        <f>Sheet4!L68</f>
        <v>1</v>
      </c>
      <c r="M69" s="68">
        <f>Sheet4!M68</f>
        <v>1</v>
      </c>
      <c r="N69" s="68">
        <f>Sheet4!N68</f>
        <v>1</v>
      </c>
      <c r="O69" s="68">
        <f>Sheet4!O68</f>
        <v>1</v>
      </c>
      <c r="P69" s="68">
        <f>Sheet4!P68</f>
        <v>1</v>
      </c>
      <c r="Q69" s="68">
        <f>Sheet4!Q68</f>
        <v>1</v>
      </c>
      <c r="R69" s="68">
        <f>Sheet4!R68</f>
        <v>1</v>
      </c>
      <c r="S69" s="68">
        <f>Sheet4!S68</f>
        <v>1</v>
      </c>
      <c r="T69" s="68">
        <f>Sheet4!T68</f>
        <v>1</v>
      </c>
      <c r="U69" s="68">
        <f>Sheet4!U68</f>
        <v>1</v>
      </c>
      <c r="V69" s="68">
        <f>Sheet4!V68</f>
        <v>1</v>
      </c>
      <c r="W69" s="68">
        <f>Sheet4!W68</f>
        <v>1</v>
      </c>
      <c r="X69" s="68">
        <f>Sheet4!X68</f>
        <v>1</v>
      </c>
      <c r="Y69" s="68">
        <f>Sheet4!Y68</f>
        <v>1</v>
      </c>
      <c r="Z69" s="68">
        <f>Sheet4!Z68</f>
        <v>1</v>
      </c>
      <c r="AA69" s="68">
        <f>Sheet4!AA68</f>
        <v>1</v>
      </c>
      <c r="AB69" s="68">
        <f>Sheet4!AB68</f>
        <v>1</v>
      </c>
      <c r="AC69" s="68">
        <f>Sheet4!AC68</f>
        <v>1</v>
      </c>
      <c r="AD69" s="68">
        <f>Sheet4!AD68</f>
        <v>1</v>
      </c>
      <c r="AE69" s="68">
        <f>Sheet4!AE68</f>
        <v>1</v>
      </c>
      <c r="AF69" s="68">
        <f>Sheet4!AF68</f>
        <v>1</v>
      </c>
      <c r="AG69" s="68">
        <f>Sheet4!AG68</f>
        <v>1</v>
      </c>
      <c r="AH69" s="68">
        <f>Sheet4!AH68</f>
        <v>1</v>
      </c>
      <c r="AI69" s="68">
        <f>Sheet4!AI68</f>
        <v>1</v>
      </c>
      <c r="AJ69" s="68">
        <f>Sheet4!AJ68</f>
        <v>1</v>
      </c>
      <c r="AK69" s="68">
        <f>Sheet4!AK68</f>
        <v>0</v>
      </c>
      <c r="AL69" s="68">
        <f>Sheet4!AL68</f>
        <v>2</v>
      </c>
      <c r="AM69" s="68">
        <f>Sheet4!AM68</f>
        <v>1</v>
      </c>
      <c r="AN69" s="68">
        <f>Sheet4!AN68</f>
        <v>0</v>
      </c>
      <c r="AO69" s="68">
        <f>Sheet4!AO68</f>
        <v>1</v>
      </c>
      <c r="AP69" s="68">
        <f>Sheet4!AP68</f>
        <v>1</v>
      </c>
      <c r="AQ69" s="68">
        <f>Sheet4!AQ68</f>
        <v>1</v>
      </c>
      <c r="AR69" s="68">
        <f>Sheet4!AR68</f>
        <v>1</v>
      </c>
      <c r="AS69" s="68">
        <f>Sheet4!AS68</f>
        <v>1</v>
      </c>
      <c r="AT69" s="68">
        <f>Sheet4!AT68</f>
        <v>1</v>
      </c>
      <c r="AU69" s="68">
        <f>Sheet4!AU68</f>
        <v>0</v>
      </c>
      <c r="AV69" s="68">
        <f>Sheet4!AV68</f>
        <v>1</v>
      </c>
      <c r="AW69" s="68">
        <f>Sheet4!AW68</f>
        <v>2</v>
      </c>
      <c r="AX69" s="68">
        <f>Sheet4!AX68</f>
        <v>0</v>
      </c>
      <c r="AY69" s="68">
        <f>Sheet4!AY68</f>
        <v>1</v>
      </c>
      <c r="AZ69" s="68">
        <f>Sheet4!AZ68</f>
        <v>1</v>
      </c>
      <c r="BA69" s="68">
        <f>Sheet4!BA68</f>
        <v>1</v>
      </c>
      <c r="BB69" s="68">
        <f>Sheet4!BB68</f>
        <v>0</v>
      </c>
      <c r="BC69" s="68">
        <f>Sheet4!BC68</f>
        <v>2</v>
      </c>
      <c r="BD69" s="68">
        <f>Sheet4!BD68</f>
        <v>0</v>
      </c>
      <c r="BE69" s="68">
        <f>Sheet4!BE68</f>
        <v>1</v>
      </c>
      <c r="BF69" s="68">
        <f>Sheet4!BF68</f>
        <v>2</v>
      </c>
      <c r="BG69" s="68">
        <f>Sheet4!BG68</f>
        <v>1</v>
      </c>
      <c r="BH69" s="68">
        <f>Sheet4!BH68</f>
        <v>0</v>
      </c>
      <c r="BI69" s="68">
        <f>Sheet4!BI68</f>
        <v>1</v>
      </c>
      <c r="BJ69" s="68">
        <f>Sheet4!BJ68</f>
        <v>2</v>
      </c>
      <c r="BK69" s="68">
        <f>Sheet4!BK68</f>
        <v>1</v>
      </c>
      <c r="BL69" s="68">
        <f>Sheet4!BL68</f>
        <v>1</v>
      </c>
      <c r="BM69" s="68">
        <f>Sheet4!BM68</f>
        <v>0</v>
      </c>
      <c r="BN69" s="68">
        <f>Sheet4!BN68</f>
        <v>2</v>
      </c>
      <c r="BO69" s="68">
        <f>Sheet4!BO68</f>
        <v>1</v>
      </c>
      <c r="BP69" s="68">
        <f>Sheet4!BP68</f>
        <v>1</v>
      </c>
      <c r="BQ69" s="68">
        <f>Sheet4!BQ68</f>
        <v>0</v>
      </c>
      <c r="BR69" s="68">
        <f>Sheet4!BR68</f>
        <v>1</v>
      </c>
      <c r="BS69" s="68">
        <f>Sheet4!BS68</f>
        <v>2</v>
      </c>
      <c r="BT69" s="68">
        <f>Sheet4!BT68</f>
        <v>1</v>
      </c>
      <c r="BU69" s="68">
        <f>Sheet4!BU68</f>
        <v>1</v>
      </c>
      <c r="BV69" s="68">
        <f>Sheet4!BV68</f>
        <v>0</v>
      </c>
      <c r="BW69" s="68">
        <f>Sheet4!BW68</f>
        <v>1</v>
      </c>
      <c r="BX69" s="68">
        <f>Sheet4!BX68</f>
        <v>1</v>
      </c>
      <c r="BY69" s="68">
        <f>Sheet4!BY68</f>
        <v>1</v>
      </c>
      <c r="BZ69" s="68">
        <f>Sheet4!BZ68</f>
        <v>0</v>
      </c>
      <c r="CA69" s="68">
        <f>Sheet4!CA68</f>
        <v>0</v>
      </c>
      <c r="CB69" s="68">
        <f>Sheet4!CB68</f>
        <v>3</v>
      </c>
      <c r="CC69" s="68">
        <f>Sheet4!CC68</f>
        <v>0</v>
      </c>
      <c r="CD69" s="68">
        <f>Sheet4!CD68</f>
        <v>0</v>
      </c>
      <c r="CE69" s="68">
        <f>Sheet4!CE68</f>
        <v>3</v>
      </c>
      <c r="CF69" s="68">
        <f>Sheet4!CF68</f>
        <v>1</v>
      </c>
      <c r="CG69" s="68">
        <f>Sheet4!CG68</f>
        <v>1</v>
      </c>
      <c r="CH69" s="68">
        <f>Sheet4!CH68</f>
        <v>0</v>
      </c>
      <c r="CI69" s="68">
        <f>Sheet4!CI68</f>
        <v>1</v>
      </c>
      <c r="CJ69" s="68">
        <f>Sheet4!CJ68</f>
        <v>1</v>
      </c>
      <c r="CK69" s="68">
        <f>Sheet4!CK68</f>
        <v>0</v>
      </c>
      <c r="CL69" s="68">
        <f>Sheet4!CL68</f>
        <v>2</v>
      </c>
      <c r="CM69" s="68">
        <f>Sheet4!CM68</f>
        <v>0</v>
      </c>
      <c r="CN69" s="68">
        <f>Sheet4!CN68</f>
        <v>2</v>
      </c>
      <c r="CO69" s="68">
        <f>Sheet4!CO68</f>
        <v>1</v>
      </c>
      <c r="CP69" s="68">
        <f>Sheet4!CP68</f>
        <v>0</v>
      </c>
      <c r="CQ69" s="68">
        <f>Sheet4!CQ68</f>
        <v>1</v>
      </c>
      <c r="CR69" s="68">
        <f>Sheet4!CR68</f>
        <v>0</v>
      </c>
      <c r="CS69" s="68">
        <f>Sheet4!CS68</f>
        <v>2</v>
      </c>
      <c r="CT69" s="68">
        <f>Sheet4!CT68</f>
        <v>0</v>
      </c>
      <c r="CU69" s="68">
        <f>Sheet4!CU68</f>
        <v>3</v>
      </c>
      <c r="CV69" s="68">
        <f>Sheet4!CV68</f>
        <v>0</v>
      </c>
      <c r="CW69" s="68">
        <f>Sheet4!CW68</f>
        <v>2</v>
      </c>
      <c r="CX69" s="68">
        <f>Sheet4!CX68</f>
        <v>2</v>
      </c>
      <c r="CY69" s="68">
        <f>Sheet4!CY68</f>
        <v>0</v>
      </c>
      <c r="CZ69" s="68">
        <f>Sheet4!CZ68</f>
        <v>0</v>
      </c>
      <c r="DA69" s="68">
        <f>Sheet4!DA68</f>
        <v>2</v>
      </c>
      <c r="DB69" s="68">
        <f>Sheet4!DB68</f>
        <v>2</v>
      </c>
      <c r="DC69" s="68">
        <f>Sheet4!DC68</f>
        <v>1</v>
      </c>
      <c r="DD69" s="68">
        <f>Sheet4!DD68</f>
        <v>0</v>
      </c>
      <c r="DE69" s="68">
        <f>Sheet4!DE68</f>
        <v>0</v>
      </c>
      <c r="DF69" s="68">
        <f>Sheet4!DF68</f>
        <v>2</v>
      </c>
      <c r="DG69" s="68">
        <f>Sheet4!DG68</f>
        <v>0</v>
      </c>
      <c r="DH69" s="68">
        <f>Sheet4!DH68</f>
        <v>0</v>
      </c>
      <c r="DI69" s="68">
        <f>Sheet4!DI68</f>
        <v>0</v>
      </c>
      <c r="DJ69" s="68">
        <f>Sheet4!DJ68</f>
        <v>0</v>
      </c>
      <c r="DK69" s="68">
        <f>Sheet4!DK68</f>
        <v>0</v>
      </c>
      <c r="DL69" s="68">
        <f>Sheet4!DL68</f>
        <v>0</v>
      </c>
      <c r="DM69" s="68">
        <f>Sheet4!DM68</f>
        <v>0</v>
      </c>
      <c r="DN69" s="68">
        <f>Sheet4!DN68</f>
        <v>0</v>
      </c>
      <c r="DO69" s="68">
        <f>Sheet4!DO68</f>
        <v>0</v>
      </c>
      <c r="DP69" s="68">
        <f>Sheet4!DP68</f>
        <v>0</v>
      </c>
      <c r="DQ69" s="68">
        <f>Sheet4!DQ68</f>
        <v>0</v>
      </c>
    </row>
    <row r="70" spans="1:121" ht="15.75" customHeight="1" x14ac:dyDescent="0.3">
      <c r="A70" s="40">
        <f>Sheet4!A69</f>
        <v>66</v>
      </c>
      <c r="B70" s="40" t="str">
        <f>Sheet4!B69</f>
        <v>ለገሰ አሸናፊ</v>
      </c>
      <c r="C70" s="26">
        <f>Sheet4!C69</f>
        <v>21000</v>
      </c>
      <c r="D70" s="68">
        <f>Sheet4!D69</f>
        <v>1</v>
      </c>
      <c r="E70" s="68">
        <f>Sheet4!E69</f>
        <v>1</v>
      </c>
      <c r="F70" s="68">
        <f>Sheet4!F69</f>
        <v>1</v>
      </c>
      <c r="G70" s="68">
        <f>Sheet4!G69</f>
        <v>1</v>
      </c>
      <c r="H70" s="68">
        <f>Sheet4!H69</f>
        <v>1</v>
      </c>
      <c r="I70" s="68">
        <f>Sheet4!I69</f>
        <v>1</v>
      </c>
      <c r="J70" s="68">
        <f>Sheet4!J69</f>
        <v>1</v>
      </c>
      <c r="K70" s="68">
        <f>Sheet4!K69</f>
        <v>1</v>
      </c>
      <c r="L70" s="68">
        <f>Sheet4!L69</f>
        <v>1</v>
      </c>
      <c r="M70" s="68">
        <f>Sheet4!M69</f>
        <v>1</v>
      </c>
      <c r="N70" s="68">
        <f>Sheet4!N69</f>
        <v>1</v>
      </c>
      <c r="O70" s="68">
        <f>Sheet4!O69</f>
        <v>1</v>
      </c>
      <c r="P70" s="68">
        <f>Sheet4!P69</f>
        <v>1</v>
      </c>
      <c r="Q70" s="68">
        <f>Sheet4!Q69</f>
        <v>1</v>
      </c>
      <c r="R70" s="68">
        <f>Sheet4!R69</f>
        <v>1</v>
      </c>
      <c r="S70" s="68">
        <f>Sheet4!S69</f>
        <v>1</v>
      </c>
      <c r="T70" s="68">
        <f>Sheet4!T69</f>
        <v>1</v>
      </c>
      <c r="U70" s="68">
        <f>Sheet4!U69</f>
        <v>1</v>
      </c>
      <c r="V70" s="68">
        <f>Sheet4!V69</f>
        <v>1</v>
      </c>
      <c r="W70" s="68">
        <f>Sheet4!W69</f>
        <v>1</v>
      </c>
      <c r="X70" s="68">
        <f>Sheet4!X69</f>
        <v>1</v>
      </c>
      <c r="Y70" s="68">
        <f>Sheet4!Y69</f>
        <v>1</v>
      </c>
      <c r="Z70" s="68">
        <f>Sheet4!Z69</f>
        <v>1</v>
      </c>
      <c r="AA70" s="68">
        <f>Sheet4!AA69</f>
        <v>1</v>
      </c>
      <c r="AB70" s="68">
        <f>Sheet4!AB69</f>
        <v>1</v>
      </c>
      <c r="AC70" s="68">
        <f>Sheet4!AC69</f>
        <v>1</v>
      </c>
      <c r="AD70" s="68">
        <f>Sheet4!AD69</f>
        <v>1</v>
      </c>
      <c r="AE70" s="68">
        <f>Sheet4!AE69</f>
        <v>1</v>
      </c>
      <c r="AF70" s="68">
        <f>Sheet4!AF69</f>
        <v>1</v>
      </c>
      <c r="AG70" s="68">
        <f>Sheet4!AG69</f>
        <v>1</v>
      </c>
      <c r="AH70" s="68">
        <f>Sheet4!AH69</f>
        <v>1</v>
      </c>
      <c r="AI70" s="68">
        <f>Sheet4!AI69</f>
        <v>1</v>
      </c>
      <c r="AJ70" s="68">
        <f>Sheet4!AJ69</f>
        <v>1</v>
      </c>
      <c r="AK70" s="68">
        <f>Sheet4!AK69</f>
        <v>1</v>
      </c>
      <c r="AL70" s="68">
        <f>Sheet4!AL69</f>
        <v>1</v>
      </c>
      <c r="AM70" s="68">
        <f>Sheet4!AM69</f>
        <v>1</v>
      </c>
      <c r="AN70" s="68">
        <f>Sheet4!AN69</f>
        <v>1</v>
      </c>
      <c r="AO70" s="68">
        <f>Sheet4!AO69</f>
        <v>1</v>
      </c>
      <c r="AP70" s="68">
        <f>Sheet4!AP69</f>
        <v>1</v>
      </c>
      <c r="AQ70" s="68">
        <f>Sheet4!AQ69</f>
        <v>1</v>
      </c>
      <c r="AR70" s="68">
        <f>Sheet4!AR69</f>
        <v>1</v>
      </c>
      <c r="AS70" s="68">
        <f>Sheet4!AS69</f>
        <v>1</v>
      </c>
      <c r="AT70" s="68">
        <f>Sheet4!AT69</f>
        <v>1</v>
      </c>
      <c r="AU70" s="68">
        <f>Sheet4!AU69</f>
        <v>1</v>
      </c>
      <c r="AV70" s="68">
        <f>Sheet4!AV69</f>
        <v>1</v>
      </c>
      <c r="AW70" s="68">
        <f>Sheet4!AW69</f>
        <v>1</v>
      </c>
      <c r="AX70" s="68">
        <f>Sheet4!AX69</f>
        <v>1</v>
      </c>
      <c r="AY70" s="68">
        <f>Sheet4!AY69</f>
        <v>1</v>
      </c>
      <c r="AZ70" s="68">
        <f>Sheet4!AZ69</f>
        <v>1</v>
      </c>
      <c r="BA70" s="68">
        <f>Sheet4!BA69</f>
        <v>1</v>
      </c>
      <c r="BB70" s="68">
        <f>Sheet4!BB69</f>
        <v>1</v>
      </c>
      <c r="BC70" s="68">
        <f>Sheet4!BC69</f>
        <v>1</v>
      </c>
      <c r="BD70" s="68">
        <f>Sheet4!BD69</f>
        <v>0</v>
      </c>
      <c r="BE70" s="68">
        <f>Sheet4!BE69</f>
        <v>0</v>
      </c>
      <c r="BF70" s="68">
        <f>Sheet4!BF69</f>
        <v>0</v>
      </c>
      <c r="BG70" s="68">
        <f>Sheet4!BG69</f>
        <v>0</v>
      </c>
      <c r="BH70" s="68">
        <f>Sheet4!BH69</f>
        <v>0</v>
      </c>
      <c r="BI70" s="68">
        <f>Sheet4!BI69</f>
        <v>0</v>
      </c>
      <c r="BJ70" s="68">
        <f>Sheet4!BJ69</f>
        <v>0</v>
      </c>
      <c r="BK70" s="68">
        <f>Sheet4!BK69</f>
        <v>0</v>
      </c>
      <c r="BL70" s="68">
        <f>Sheet4!BL69</f>
        <v>0</v>
      </c>
      <c r="BM70" s="68">
        <f>Sheet4!BM69</f>
        <v>0</v>
      </c>
      <c r="BN70" s="68">
        <f>Sheet4!BN69</f>
        <v>0</v>
      </c>
      <c r="BO70" s="68">
        <f>Sheet4!BO69</f>
        <v>0</v>
      </c>
      <c r="BP70" s="68">
        <f>Sheet4!BP69</f>
        <v>0</v>
      </c>
      <c r="BQ70" s="68">
        <f>Sheet4!BQ69</f>
        <v>0</v>
      </c>
      <c r="BR70" s="68">
        <f>Sheet4!BR69</f>
        <v>0</v>
      </c>
      <c r="BS70" s="68">
        <f>Sheet4!BS69</f>
        <v>0</v>
      </c>
      <c r="BT70" s="68">
        <f>Sheet4!BT69</f>
        <v>0</v>
      </c>
      <c r="BU70" s="68">
        <f>Sheet4!BU69</f>
        <v>1</v>
      </c>
      <c r="BV70" s="68">
        <f>Sheet4!BV69</f>
        <v>0</v>
      </c>
      <c r="BW70" s="68">
        <f>Sheet4!BW69</f>
        <v>0</v>
      </c>
      <c r="BX70" s="68">
        <f>Sheet4!BX69</f>
        <v>0</v>
      </c>
      <c r="BY70" s="68">
        <f>Sheet4!BY69</f>
        <v>0</v>
      </c>
      <c r="BZ70" s="68">
        <f>Sheet4!BZ69</f>
        <v>0</v>
      </c>
      <c r="CA70" s="68">
        <f>Sheet4!CA69</f>
        <v>0</v>
      </c>
      <c r="CB70" s="68">
        <f>Sheet4!CB69</f>
        <v>0</v>
      </c>
      <c r="CC70" s="68">
        <f>Sheet4!CC69</f>
        <v>0</v>
      </c>
      <c r="CD70" s="68">
        <f>Sheet4!CD69</f>
        <v>0</v>
      </c>
      <c r="CE70" s="68">
        <f>Sheet4!CE69</f>
        <v>0</v>
      </c>
      <c r="CF70" s="68">
        <f>Sheet4!CF69</f>
        <v>0</v>
      </c>
      <c r="CG70" s="68">
        <f>Sheet4!CG69</f>
        <v>0</v>
      </c>
      <c r="CH70" s="68">
        <f>Sheet4!CH69</f>
        <v>0</v>
      </c>
      <c r="CI70" s="68">
        <f>Sheet4!CI69</f>
        <v>0</v>
      </c>
      <c r="CJ70" s="68">
        <f>Sheet4!CJ69</f>
        <v>0</v>
      </c>
      <c r="CK70" s="68">
        <f>Sheet4!CK69</f>
        <v>0</v>
      </c>
      <c r="CL70" s="68">
        <f>Sheet4!CL69</f>
        <v>0</v>
      </c>
      <c r="CM70" s="68">
        <f>Sheet4!CM69</f>
        <v>0</v>
      </c>
      <c r="CN70" s="68">
        <f>Sheet4!CN69</f>
        <v>0</v>
      </c>
      <c r="CO70" s="68">
        <f>Sheet4!CO69</f>
        <v>0</v>
      </c>
      <c r="CP70" s="68">
        <f>Sheet4!CP69</f>
        <v>0</v>
      </c>
      <c r="CQ70" s="68">
        <f>Sheet4!CQ69</f>
        <v>0</v>
      </c>
      <c r="CR70" s="68">
        <f>Sheet4!CR69</f>
        <v>0</v>
      </c>
      <c r="CS70" s="68">
        <f>Sheet4!CS69</f>
        <v>0</v>
      </c>
      <c r="CT70" s="68">
        <f>Sheet4!CT69</f>
        <v>0</v>
      </c>
      <c r="CU70" s="68">
        <f>Sheet4!CU69</f>
        <v>0</v>
      </c>
      <c r="CV70" s="68">
        <f>Sheet4!CV69</f>
        <v>0</v>
      </c>
      <c r="CW70" s="68">
        <f>Sheet4!CW69</f>
        <v>0</v>
      </c>
      <c r="CX70" s="68">
        <f>Sheet4!CX69</f>
        <v>0</v>
      </c>
      <c r="CY70" s="68">
        <f>Sheet4!CY69</f>
        <v>0</v>
      </c>
      <c r="CZ70" s="68">
        <f>Sheet4!CZ69</f>
        <v>0</v>
      </c>
      <c r="DA70" s="68">
        <f>Sheet4!DA69</f>
        <v>0</v>
      </c>
      <c r="DB70" s="68">
        <f>Sheet4!DB69</f>
        <v>0</v>
      </c>
      <c r="DC70" s="68">
        <f>Sheet4!DC69</f>
        <v>0</v>
      </c>
      <c r="DD70" s="68">
        <f>Sheet4!DD69</f>
        <v>0</v>
      </c>
      <c r="DE70" s="68">
        <f>Sheet4!DE69</f>
        <v>0</v>
      </c>
      <c r="DF70" s="68">
        <f>Sheet4!DF69</f>
        <v>0</v>
      </c>
      <c r="DG70" s="68">
        <f>Sheet4!DG69</f>
        <v>0</v>
      </c>
      <c r="DH70" s="68">
        <f>Sheet4!DH69</f>
        <v>0</v>
      </c>
      <c r="DI70" s="68">
        <f>Sheet4!DI69</f>
        <v>0</v>
      </c>
      <c r="DJ70" s="68">
        <f>Sheet4!DJ69</f>
        <v>0</v>
      </c>
      <c r="DK70" s="68">
        <f>Sheet4!DK69</f>
        <v>0</v>
      </c>
      <c r="DL70" s="68">
        <f>Sheet4!DL69</f>
        <v>0</v>
      </c>
      <c r="DM70" s="68">
        <f>Sheet4!DM69</f>
        <v>0</v>
      </c>
      <c r="DN70" s="68">
        <f>Sheet4!DN69</f>
        <v>0</v>
      </c>
      <c r="DO70" s="68">
        <f>Sheet4!DO69</f>
        <v>0</v>
      </c>
      <c r="DP70" s="68">
        <f>Sheet4!DP69</f>
        <v>0</v>
      </c>
      <c r="DQ70" s="68">
        <f>Sheet4!DQ69</f>
        <v>0</v>
      </c>
    </row>
    <row r="71" spans="1:121" ht="15.75" customHeight="1" x14ac:dyDescent="0.3">
      <c r="A71" s="40">
        <f>Sheet4!A70</f>
        <v>67</v>
      </c>
      <c r="B71" s="40" t="str">
        <f>Sheet4!B70</f>
        <v>ሽፈራው ወርቁ</v>
      </c>
      <c r="C71" s="26">
        <f>Sheet4!C70</f>
        <v>21000</v>
      </c>
      <c r="D71" s="68">
        <f>Sheet4!D70</f>
        <v>1</v>
      </c>
      <c r="E71" s="68">
        <f>Sheet4!E70</f>
        <v>1</v>
      </c>
      <c r="F71" s="68">
        <f>Sheet4!F70</f>
        <v>1</v>
      </c>
      <c r="G71" s="68">
        <f>Sheet4!G70</f>
        <v>1</v>
      </c>
      <c r="H71" s="68">
        <f>Sheet4!H70</f>
        <v>1</v>
      </c>
      <c r="I71" s="68">
        <f>Sheet4!I70</f>
        <v>1</v>
      </c>
      <c r="J71" s="68">
        <f>Sheet4!J70</f>
        <v>1</v>
      </c>
      <c r="K71" s="68">
        <f>Sheet4!K70</f>
        <v>1</v>
      </c>
      <c r="L71" s="68">
        <f>Sheet4!L70</f>
        <v>1</v>
      </c>
      <c r="M71" s="68">
        <f>Sheet4!M70</f>
        <v>1</v>
      </c>
      <c r="N71" s="68">
        <f>Sheet4!N70</f>
        <v>1</v>
      </c>
      <c r="O71" s="68">
        <f>Sheet4!O70</f>
        <v>1</v>
      </c>
      <c r="P71" s="68">
        <f>Sheet4!P70</f>
        <v>1</v>
      </c>
      <c r="Q71" s="68">
        <f>Sheet4!Q70</f>
        <v>1</v>
      </c>
      <c r="R71" s="68">
        <f>Sheet4!R70</f>
        <v>1</v>
      </c>
      <c r="S71" s="68">
        <f>Sheet4!S70</f>
        <v>1</v>
      </c>
      <c r="T71" s="68">
        <f>Sheet4!T70</f>
        <v>1</v>
      </c>
      <c r="U71" s="68">
        <f>Sheet4!U70</f>
        <v>1</v>
      </c>
      <c r="V71" s="68">
        <f>Sheet4!V70</f>
        <v>1</v>
      </c>
      <c r="W71" s="68">
        <f>Sheet4!W70</f>
        <v>1</v>
      </c>
      <c r="X71" s="68">
        <f>Sheet4!X70</f>
        <v>1</v>
      </c>
      <c r="Y71" s="68">
        <f>Sheet4!Y70</f>
        <v>1</v>
      </c>
      <c r="Z71" s="68">
        <f>Sheet4!Z70</f>
        <v>1</v>
      </c>
      <c r="AA71" s="68">
        <f>Sheet4!AA70</f>
        <v>1</v>
      </c>
      <c r="AB71" s="68">
        <f>Sheet4!AB70</f>
        <v>1</v>
      </c>
      <c r="AC71" s="68">
        <f>Sheet4!AC70</f>
        <v>1</v>
      </c>
      <c r="AD71" s="68">
        <f>Sheet4!AD70</f>
        <v>1</v>
      </c>
      <c r="AE71" s="68">
        <f>Sheet4!AE70</f>
        <v>1</v>
      </c>
      <c r="AF71" s="68">
        <f>Sheet4!AF70</f>
        <v>1</v>
      </c>
      <c r="AG71" s="68">
        <f>Sheet4!AG70</f>
        <v>1</v>
      </c>
      <c r="AH71" s="68">
        <f>Sheet4!AH70</f>
        <v>1</v>
      </c>
      <c r="AI71" s="68">
        <f>Sheet4!AI70</f>
        <v>1</v>
      </c>
      <c r="AJ71" s="68">
        <f>Sheet4!AJ70</f>
        <v>1</v>
      </c>
      <c r="AK71" s="68">
        <f>Sheet4!AK70</f>
        <v>1</v>
      </c>
      <c r="AL71" s="68">
        <f>Sheet4!AL70</f>
        <v>0</v>
      </c>
      <c r="AM71" s="68">
        <f>Sheet4!AM70</f>
        <v>2</v>
      </c>
      <c r="AN71" s="68">
        <f>Sheet4!AN70</f>
        <v>1</v>
      </c>
      <c r="AO71" s="68">
        <f>Sheet4!AO70</f>
        <v>1</v>
      </c>
      <c r="AP71" s="68">
        <f>Sheet4!AP70</f>
        <v>1</v>
      </c>
      <c r="AQ71" s="68">
        <f>Sheet4!AQ70</f>
        <v>1</v>
      </c>
      <c r="AR71" s="68">
        <f>Sheet4!AR70</f>
        <v>0</v>
      </c>
      <c r="AS71" s="68">
        <f>Sheet4!AS70</f>
        <v>2</v>
      </c>
      <c r="AT71" s="68">
        <f>Sheet4!AT70</f>
        <v>1</v>
      </c>
      <c r="AU71" s="68">
        <f>Sheet4!AU70</f>
        <v>1</v>
      </c>
      <c r="AV71" s="68">
        <f>Sheet4!AV70</f>
        <v>1</v>
      </c>
      <c r="AW71" s="68">
        <f>Sheet4!AW70</f>
        <v>1</v>
      </c>
      <c r="AX71" s="68">
        <f>Sheet4!AX70</f>
        <v>1</v>
      </c>
      <c r="AY71" s="68">
        <f>Sheet4!AY70</f>
        <v>1</v>
      </c>
      <c r="AZ71" s="68">
        <f>Sheet4!AZ70</f>
        <v>1</v>
      </c>
      <c r="BA71" s="68">
        <f>Sheet4!BA70</f>
        <v>1</v>
      </c>
      <c r="BB71" s="68">
        <f>Sheet4!BB70</f>
        <v>1</v>
      </c>
      <c r="BC71" s="68">
        <f>Sheet4!BC70</f>
        <v>1</v>
      </c>
      <c r="BD71" s="68">
        <f>Sheet4!BD70</f>
        <v>1</v>
      </c>
      <c r="BE71" s="68">
        <f>Sheet4!BE70</f>
        <v>1</v>
      </c>
      <c r="BF71" s="68">
        <f>Sheet4!BF70</f>
        <v>1</v>
      </c>
      <c r="BG71" s="68">
        <f>Sheet4!BG70</f>
        <v>1</v>
      </c>
      <c r="BH71" s="68">
        <f>Sheet4!BH70</f>
        <v>1</v>
      </c>
      <c r="BI71" s="68">
        <f>Sheet4!BI70</f>
        <v>1</v>
      </c>
      <c r="BJ71" s="68">
        <f>Sheet4!BJ70</f>
        <v>1</v>
      </c>
      <c r="BK71" s="68">
        <f>Sheet4!BK70</f>
        <v>1</v>
      </c>
      <c r="BL71" s="68">
        <f>Sheet4!BL70</f>
        <v>1</v>
      </c>
      <c r="BM71" s="68">
        <f>Sheet4!BM70</f>
        <v>1</v>
      </c>
      <c r="BN71" s="68">
        <f>Sheet4!BN70</f>
        <v>1</v>
      </c>
      <c r="BO71" s="68">
        <f>Sheet4!BO70</f>
        <v>1</v>
      </c>
      <c r="BP71" s="68">
        <f>Sheet4!BP70</f>
        <v>1</v>
      </c>
      <c r="BQ71" s="68">
        <f>Sheet4!BQ70</f>
        <v>1</v>
      </c>
      <c r="BR71" s="68">
        <f>Sheet4!BR70</f>
        <v>1</v>
      </c>
      <c r="BS71" s="68">
        <f>Sheet4!BS70</f>
        <v>1</v>
      </c>
      <c r="BT71" s="68">
        <f>Sheet4!BT70</f>
        <v>1</v>
      </c>
      <c r="BU71" s="68">
        <f>Sheet4!BU70</f>
        <v>1</v>
      </c>
      <c r="BV71" s="68">
        <f>Sheet4!BV70</f>
        <v>1</v>
      </c>
      <c r="BW71" s="68">
        <f>Sheet4!BW70</f>
        <v>1</v>
      </c>
      <c r="BX71" s="68">
        <f>Sheet4!BX70</f>
        <v>1</v>
      </c>
      <c r="BY71" s="68">
        <f>Sheet4!BY70</f>
        <v>1</v>
      </c>
      <c r="BZ71" s="68">
        <f>Sheet4!BZ70</f>
        <v>1</v>
      </c>
      <c r="CA71" s="68">
        <f>Sheet4!CA70</f>
        <v>1</v>
      </c>
      <c r="CB71" s="68">
        <f>Sheet4!CB70</f>
        <v>1</v>
      </c>
      <c r="CC71" s="68">
        <f>Sheet4!CC70</f>
        <v>1</v>
      </c>
      <c r="CD71" s="68">
        <f>Sheet4!CD70</f>
        <v>1</v>
      </c>
      <c r="CE71" s="68">
        <f>Sheet4!CE70</f>
        <v>1</v>
      </c>
      <c r="CF71" s="68">
        <f>Sheet4!CF70</f>
        <v>1</v>
      </c>
      <c r="CG71" s="68">
        <f>Sheet4!CG70</f>
        <v>1</v>
      </c>
      <c r="CH71" s="68">
        <f>Sheet4!CH70</f>
        <v>1</v>
      </c>
      <c r="CI71" s="68">
        <f>Sheet4!CI70</f>
        <v>1</v>
      </c>
      <c r="CJ71" s="68">
        <f>Sheet4!CJ70</f>
        <v>1</v>
      </c>
      <c r="CK71" s="68">
        <f>Sheet4!CK70</f>
        <v>1</v>
      </c>
      <c r="CL71" s="68">
        <f>Sheet4!CL70</f>
        <v>0</v>
      </c>
      <c r="CM71" s="68">
        <f>Sheet4!CM70</f>
        <v>2</v>
      </c>
      <c r="CN71" s="68">
        <f>Sheet4!CN70</f>
        <v>1</v>
      </c>
      <c r="CO71" s="68">
        <f>Sheet4!CO70</f>
        <v>1</v>
      </c>
      <c r="CP71" s="68">
        <f>Sheet4!CP70</f>
        <v>1</v>
      </c>
      <c r="CQ71" s="68">
        <f>Sheet4!CQ70</f>
        <v>1</v>
      </c>
      <c r="CR71" s="68">
        <f>Sheet4!CR70</f>
        <v>1</v>
      </c>
      <c r="CS71" s="68">
        <f>Sheet4!CS70</f>
        <v>1</v>
      </c>
      <c r="CT71" s="68">
        <f>Sheet4!CT70</f>
        <v>1</v>
      </c>
      <c r="CU71" s="68">
        <f>Sheet4!CU70</f>
        <v>1</v>
      </c>
      <c r="CV71" s="68">
        <f>Sheet4!CV70</f>
        <v>1</v>
      </c>
      <c r="CW71" s="68">
        <f>Sheet4!CW70</f>
        <v>1</v>
      </c>
      <c r="CX71" s="68">
        <f>Sheet4!CX70</f>
        <v>1</v>
      </c>
      <c r="CY71" s="68">
        <f>Sheet4!CY70</f>
        <v>1</v>
      </c>
      <c r="CZ71" s="68">
        <f>Sheet4!CZ70</f>
        <v>1</v>
      </c>
      <c r="DA71" s="68">
        <f>Sheet4!DA70</f>
        <v>1</v>
      </c>
      <c r="DB71" s="68">
        <f>Sheet4!DB70</f>
        <v>1</v>
      </c>
      <c r="DC71" s="68">
        <f>Sheet4!DC70</f>
        <v>1</v>
      </c>
      <c r="DD71" s="68">
        <f>Sheet4!DD70</f>
        <v>0</v>
      </c>
      <c r="DE71" s="68">
        <f>Sheet4!DE70</f>
        <v>2</v>
      </c>
      <c r="DF71" s="68">
        <f>Sheet4!DF70</f>
        <v>1</v>
      </c>
      <c r="DG71" s="68">
        <f>Sheet4!DG70</f>
        <v>1</v>
      </c>
      <c r="DH71" s="68">
        <f>Sheet4!DH70</f>
        <v>0</v>
      </c>
      <c r="DI71" s="68">
        <f>Sheet4!DI70</f>
        <v>0</v>
      </c>
      <c r="DJ71" s="68">
        <f>Sheet4!DJ70</f>
        <v>0</v>
      </c>
      <c r="DK71" s="68">
        <f>Sheet4!DK70</f>
        <v>0</v>
      </c>
      <c r="DL71" s="68">
        <f>Sheet4!DL70</f>
        <v>0</v>
      </c>
      <c r="DM71" s="68">
        <f>Sheet4!DM70</f>
        <v>0</v>
      </c>
      <c r="DN71" s="68">
        <f>Sheet4!DN70</f>
        <v>0</v>
      </c>
      <c r="DO71" s="68">
        <f>Sheet4!DO70</f>
        <v>0</v>
      </c>
      <c r="DP71" s="68">
        <f>Sheet4!DP70</f>
        <v>0</v>
      </c>
      <c r="DQ71" s="68">
        <f>Sheet4!DQ70</f>
        <v>0</v>
      </c>
    </row>
    <row r="72" spans="1:121" ht="15.75" customHeight="1" x14ac:dyDescent="0.3">
      <c r="A72" s="40">
        <f>Sheet4!A71</f>
        <v>68</v>
      </c>
      <c r="B72" s="40" t="str">
        <f>Sheet4!B71</f>
        <v>አማረ ወርቁ</v>
      </c>
      <c r="C72" s="26">
        <f>Sheet4!C71</f>
        <v>21000</v>
      </c>
      <c r="D72" s="68">
        <f>Sheet4!D71</f>
        <v>1</v>
      </c>
      <c r="E72" s="68">
        <f>Sheet4!E71</f>
        <v>1</v>
      </c>
      <c r="F72" s="68">
        <f>Sheet4!F71</f>
        <v>1</v>
      </c>
      <c r="G72" s="68">
        <f>Sheet4!G71</f>
        <v>1</v>
      </c>
      <c r="H72" s="68">
        <f>Sheet4!H71</f>
        <v>1</v>
      </c>
      <c r="I72" s="68">
        <f>Sheet4!I71</f>
        <v>1</v>
      </c>
      <c r="J72" s="68">
        <f>Sheet4!J71</f>
        <v>1</v>
      </c>
      <c r="K72" s="68">
        <f>Sheet4!K71</f>
        <v>1</v>
      </c>
      <c r="L72" s="68">
        <f>Sheet4!L71</f>
        <v>1</v>
      </c>
      <c r="M72" s="68">
        <f>Sheet4!M71</f>
        <v>1</v>
      </c>
      <c r="N72" s="68">
        <f>Sheet4!N71</f>
        <v>1</v>
      </c>
      <c r="O72" s="68">
        <f>Sheet4!O71</f>
        <v>1</v>
      </c>
      <c r="P72" s="68">
        <f>Sheet4!P71</f>
        <v>1</v>
      </c>
      <c r="Q72" s="68">
        <f>Sheet4!Q71</f>
        <v>1</v>
      </c>
      <c r="R72" s="68">
        <f>Sheet4!R71</f>
        <v>1</v>
      </c>
      <c r="S72" s="68">
        <f>Sheet4!S71</f>
        <v>1</v>
      </c>
      <c r="T72" s="68">
        <f>Sheet4!T71</f>
        <v>1</v>
      </c>
      <c r="U72" s="68">
        <f>Sheet4!U71</f>
        <v>1</v>
      </c>
      <c r="V72" s="68">
        <f>Sheet4!V71</f>
        <v>1</v>
      </c>
      <c r="W72" s="68">
        <f>Sheet4!W71</f>
        <v>1</v>
      </c>
      <c r="X72" s="68">
        <f>Sheet4!X71</f>
        <v>1</v>
      </c>
      <c r="Y72" s="68">
        <f>Sheet4!Y71</f>
        <v>1</v>
      </c>
      <c r="Z72" s="68">
        <f>Sheet4!Z71</f>
        <v>1</v>
      </c>
      <c r="AA72" s="68">
        <f>Sheet4!AA71</f>
        <v>1</v>
      </c>
      <c r="AB72" s="68">
        <f>Sheet4!AB71</f>
        <v>1</v>
      </c>
      <c r="AC72" s="68">
        <f>Sheet4!AC71</f>
        <v>1</v>
      </c>
      <c r="AD72" s="68">
        <f>Sheet4!AD71</f>
        <v>1</v>
      </c>
      <c r="AE72" s="68">
        <f>Sheet4!AE71</f>
        <v>1</v>
      </c>
      <c r="AF72" s="68">
        <f>Sheet4!AF71</f>
        <v>1</v>
      </c>
      <c r="AG72" s="68">
        <f>Sheet4!AG71</f>
        <v>1</v>
      </c>
      <c r="AH72" s="68">
        <f>Sheet4!AH71</f>
        <v>1</v>
      </c>
      <c r="AI72" s="68">
        <f>Sheet4!AI71</f>
        <v>1</v>
      </c>
      <c r="AJ72" s="68">
        <f>Sheet4!AJ71</f>
        <v>1</v>
      </c>
      <c r="AK72" s="68">
        <f>Sheet4!AK71</f>
        <v>1</v>
      </c>
      <c r="AL72" s="68">
        <f>Sheet4!AL71</f>
        <v>1</v>
      </c>
      <c r="AM72" s="68">
        <f>Sheet4!AM71</f>
        <v>1</v>
      </c>
      <c r="AN72" s="68">
        <f>Sheet4!AN71</f>
        <v>1</v>
      </c>
      <c r="AO72" s="68">
        <f>Sheet4!AO71</f>
        <v>1</v>
      </c>
      <c r="AP72" s="68">
        <f>Sheet4!AP71</f>
        <v>1</v>
      </c>
      <c r="AQ72" s="68">
        <f>Sheet4!AQ71</f>
        <v>1</v>
      </c>
      <c r="AR72" s="68">
        <f>Sheet4!AR71</f>
        <v>1</v>
      </c>
      <c r="AS72" s="68">
        <f>Sheet4!AS71</f>
        <v>1</v>
      </c>
      <c r="AT72" s="68">
        <f>Sheet4!AT71</f>
        <v>1</v>
      </c>
      <c r="AU72" s="68">
        <f>Sheet4!AU71</f>
        <v>1</v>
      </c>
      <c r="AV72" s="68">
        <f>Sheet4!AV71</f>
        <v>0</v>
      </c>
      <c r="AW72" s="68">
        <f>Sheet4!AW71</f>
        <v>0</v>
      </c>
      <c r="AX72" s="68">
        <f>Sheet4!AX71</f>
        <v>0</v>
      </c>
      <c r="AY72" s="68">
        <f>Sheet4!AY71</f>
        <v>1</v>
      </c>
      <c r="AZ72" s="68">
        <f>Sheet4!AZ71</f>
        <v>2</v>
      </c>
      <c r="BA72" s="68">
        <f>Sheet4!BA71</f>
        <v>0</v>
      </c>
      <c r="BB72" s="68">
        <f>Sheet4!BB71</f>
        <v>2</v>
      </c>
      <c r="BC72" s="68">
        <f>Sheet4!BC71</f>
        <v>1</v>
      </c>
      <c r="BD72" s="68">
        <f>Sheet4!BD71</f>
        <v>1</v>
      </c>
      <c r="BE72" s="68">
        <f>Sheet4!BE71</f>
        <v>1</v>
      </c>
      <c r="BF72" s="68">
        <f>Sheet4!BF71</f>
        <v>1</v>
      </c>
      <c r="BG72" s="68">
        <f>Sheet4!BG71</f>
        <v>0</v>
      </c>
      <c r="BH72" s="68">
        <f>Sheet4!BH71</f>
        <v>0</v>
      </c>
      <c r="BI72" s="68">
        <f>Sheet4!BI71</f>
        <v>0</v>
      </c>
      <c r="BJ72" s="68">
        <f>Sheet4!BJ71</f>
        <v>3</v>
      </c>
      <c r="BK72" s="68">
        <f>Sheet4!BK71</f>
        <v>0</v>
      </c>
      <c r="BL72" s="68">
        <f>Sheet4!BL71</f>
        <v>0</v>
      </c>
      <c r="BM72" s="68">
        <f>Sheet4!BM71</f>
        <v>0</v>
      </c>
      <c r="BN72" s="68">
        <f>Sheet4!BN71</f>
        <v>0</v>
      </c>
      <c r="BO72" s="68">
        <f>Sheet4!BO71</f>
        <v>0</v>
      </c>
      <c r="BP72" s="68">
        <f>Sheet4!BP71</f>
        <v>2</v>
      </c>
      <c r="BQ72" s="68">
        <f>Sheet4!BQ71</f>
        <v>1</v>
      </c>
      <c r="BR72" s="68">
        <f>Sheet4!BR71</f>
        <v>0</v>
      </c>
      <c r="BS72" s="68">
        <f>Sheet4!BS71</f>
        <v>9</v>
      </c>
      <c r="BT72" s="68">
        <f>Sheet4!BT71</f>
        <v>0</v>
      </c>
      <c r="BU72" s="68">
        <f>Sheet4!BU71</f>
        <v>0</v>
      </c>
      <c r="BV72" s="68">
        <f>Sheet4!BV71</f>
        <v>0</v>
      </c>
      <c r="BW72" s="68">
        <f>Sheet4!BW71</f>
        <v>0</v>
      </c>
      <c r="BX72" s="68">
        <f>Sheet4!BX71</f>
        <v>0</v>
      </c>
      <c r="BY72" s="68">
        <f>Sheet4!BY71</f>
        <v>0</v>
      </c>
      <c r="BZ72" s="68">
        <f>Sheet4!BZ71</f>
        <v>0</v>
      </c>
      <c r="CA72" s="68">
        <f>Sheet4!CA71</f>
        <v>0</v>
      </c>
      <c r="CB72" s="68">
        <f>Sheet4!CB71</f>
        <v>0</v>
      </c>
      <c r="CC72" s="68">
        <f>Sheet4!CC71</f>
        <v>0</v>
      </c>
      <c r="CD72" s="68">
        <f>Sheet4!CD71</f>
        <v>0</v>
      </c>
      <c r="CE72" s="68">
        <f>Sheet4!CE71</f>
        <v>0</v>
      </c>
      <c r="CF72" s="68">
        <f>Sheet4!CF71</f>
        <v>0</v>
      </c>
      <c r="CG72" s="68">
        <f>Sheet4!CG71</f>
        <v>0</v>
      </c>
      <c r="CH72" s="68">
        <f>Sheet4!CH71</f>
        <v>0</v>
      </c>
      <c r="CI72" s="68">
        <f>Sheet4!CI71</f>
        <v>0</v>
      </c>
      <c r="CJ72" s="68">
        <f>Sheet4!CJ71</f>
        <v>0</v>
      </c>
      <c r="CK72" s="68">
        <f>Sheet4!CK71</f>
        <v>0</v>
      </c>
      <c r="CL72" s="68">
        <f>Sheet4!CL71</f>
        <v>16</v>
      </c>
      <c r="CM72" s="68">
        <f>Sheet4!CM71</f>
        <v>0</v>
      </c>
      <c r="CN72" s="68">
        <f>Sheet4!CN71</f>
        <v>0</v>
      </c>
      <c r="CO72" s="68">
        <f>Sheet4!CO71</f>
        <v>5</v>
      </c>
      <c r="CP72" s="68">
        <f>Sheet4!CP71</f>
        <v>1</v>
      </c>
      <c r="CQ72" s="68">
        <f>Sheet4!CQ71</f>
        <v>0</v>
      </c>
      <c r="CR72" s="68">
        <f>Sheet4!CR71</f>
        <v>0</v>
      </c>
      <c r="CS72" s="68">
        <f>Sheet4!CS71</f>
        <v>0</v>
      </c>
      <c r="CT72" s="68">
        <f>Sheet4!CT71</f>
        <v>0</v>
      </c>
      <c r="CU72" s="68">
        <f>Sheet4!CU71</f>
        <v>0</v>
      </c>
      <c r="CV72" s="68">
        <f>Sheet4!CV71</f>
        <v>0</v>
      </c>
      <c r="CW72" s="68">
        <f>Sheet4!CW71</f>
        <v>0</v>
      </c>
      <c r="CX72" s="68">
        <f>Sheet4!CX71</f>
        <v>0</v>
      </c>
      <c r="CY72" s="68">
        <f>Sheet4!CY71</f>
        <v>0</v>
      </c>
      <c r="CZ72" s="68">
        <f>Sheet4!CZ71</f>
        <v>1</v>
      </c>
      <c r="DA72" s="68">
        <f>Sheet4!DA71</f>
        <v>0</v>
      </c>
      <c r="DB72" s="68">
        <f>Sheet4!DB71</f>
        <v>0</v>
      </c>
      <c r="DC72" s="68">
        <f>Sheet4!DC71</f>
        <v>0</v>
      </c>
      <c r="DD72" s="68">
        <f>Sheet4!DD71</f>
        <v>0</v>
      </c>
      <c r="DE72" s="68">
        <f>Sheet4!DE71</f>
        <v>0</v>
      </c>
      <c r="DF72" s="68">
        <f>Sheet4!DF71</f>
        <v>0</v>
      </c>
      <c r="DG72" s="68">
        <f>Sheet4!DG71</f>
        <v>0</v>
      </c>
      <c r="DH72" s="68">
        <f>Sheet4!DH71</f>
        <v>0</v>
      </c>
      <c r="DI72" s="68">
        <f>Sheet4!DI71</f>
        <v>0</v>
      </c>
      <c r="DJ72" s="68">
        <f>Sheet4!DJ71</f>
        <v>0</v>
      </c>
      <c r="DK72" s="68">
        <f>Sheet4!DK71</f>
        <v>0</v>
      </c>
      <c r="DL72" s="68">
        <f>Sheet4!DL71</f>
        <v>0</v>
      </c>
      <c r="DM72" s="68">
        <f>Sheet4!DM71</f>
        <v>0</v>
      </c>
      <c r="DN72" s="68">
        <f>Sheet4!DN71</f>
        <v>0</v>
      </c>
      <c r="DO72" s="68">
        <f>Sheet4!DO71</f>
        <v>0</v>
      </c>
      <c r="DP72" s="68">
        <f>Sheet4!DP71</f>
        <v>0</v>
      </c>
      <c r="DQ72" s="68">
        <f>Sheet4!DQ71</f>
        <v>0</v>
      </c>
    </row>
    <row r="73" spans="1:121" ht="15.75" customHeight="1" x14ac:dyDescent="0.3">
      <c r="A73" s="40">
        <f>Sheet4!A72</f>
        <v>69</v>
      </c>
      <c r="B73" s="40" t="str">
        <f>Sheet4!B72</f>
        <v>ሄኖክ በቀለ</v>
      </c>
      <c r="C73" s="26">
        <f>Sheet4!C72</f>
        <v>21000</v>
      </c>
      <c r="D73" s="68">
        <f>Sheet4!D72</f>
        <v>1</v>
      </c>
      <c r="E73" s="68">
        <f>Sheet4!E72</f>
        <v>1</v>
      </c>
      <c r="F73" s="68">
        <f>Sheet4!F72</f>
        <v>1</v>
      </c>
      <c r="G73" s="68">
        <f>Sheet4!G72</f>
        <v>1</v>
      </c>
      <c r="H73" s="68">
        <f>Sheet4!H72</f>
        <v>1</v>
      </c>
      <c r="I73" s="68">
        <f>Sheet4!I72</f>
        <v>1</v>
      </c>
      <c r="J73" s="68">
        <f>Sheet4!J72</f>
        <v>1</v>
      </c>
      <c r="K73" s="68">
        <f>Sheet4!K72</f>
        <v>1</v>
      </c>
      <c r="L73" s="68">
        <f>Sheet4!L72</f>
        <v>1</v>
      </c>
      <c r="M73" s="68">
        <f>Sheet4!M72</f>
        <v>1</v>
      </c>
      <c r="N73" s="68">
        <f>Sheet4!N72</f>
        <v>1</v>
      </c>
      <c r="O73" s="68">
        <f>Sheet4!O72</f>
        <v>1</v>
      </c>
      <c r="P73" s="68">
        <f>Sheet4!P72</f>
        <v>1</v>
      </c>
      <c r="Q73" s="68">
        <f>Sheet4!Q72</f>
        <v>1</v>
      </c>
      <c r="R73" s="68">
        <f>Sheet4!R72</f>
        <v>1</v>
      </c>
      <c r="S73" s="68">
        <f>Sheet4!S72</f>
        <v>1</v>
      </c>
      <c r="T73" s="68">
        <f>Sheet4!T72</f>
        <v>1</v>
      </c>
      <c r="U73" s="68">
        <f>Sheet4!U72</f>
        <v>1</v>
      </c>
      <c r="V73" s="68">
        <f>Sheet4!V72</f>
        <v>1</v>
      </c>
      <c r="W73" s="68">
        <f>Sheet4!W72</f>
        <v>1</v>
      </c>
      <c r="X73" s="68">
        <f>Sheet4!X72</f>
        <v>1</v>
      </c>
      <c r="Y73" s="68">
        <f>Sheet4!Y72</f>
        <v>1</v>
      </c>
      <c r="Z73" s="68">
        <f>Sheet4!Z72</f>
        <v>1</v>
      </c>
      <c r="AA73" s="68">
        <f>Sheet4!AA72</f>
        <v>1</v>
      </c>
      <c r="AB73" s="68">
        <f>Sheet4!AB72</f>
        <v>1</v>
      </c>
      <c r="AC73" s="68">
        <f>Sheet4!AC72</f>
        <v>1</v>
      </c>
      <c r="AD73" s="68">
        <f>Sheet4!AD72</f>
        <v>1</v>
      </c>
      <c r="AE73" s="68">
        <f>Sheet4!AE72</f>
        <v>1</v>
      </c>
      <c r="AF73" s="68">
        <f>Sheet4!AF72</f>
        <v>0</v>
      </c>
      <c r="AG73" s="68">
        <f>Sheet4!AG72</f>
        <v>2</v>
      </c>
      <c r="AH73" s="68">
        <f>Sheet4!AH72</f>
        <v>1</v>
      </c>
      <c r="AI73" s="68">
        <f>Sheet4!AI72</f>
        <v>1</v>
      </c>
      <c r="AJ73" s="68">
        <f>Sheet4!AJ72</f>
        <v>1</v>
      </c>
      <c r="AK73" s="68">
        <f>Sheet4!AK72</f>
        <v>1</v>
      </c>
      <c r="AL73" s="68">
        <f>Sheet4!AL72</f>
        <v>1</v>
      </c>
      <c r="AM73" s="68">
        <f>Sheet4!AM72</f>
        <v>1</v>
      </c>
      <c r="AN73" s="68">
        <f>Sheet4!AN72</f>
        <v>1</v>
      </c>
      <c r="AO73" s="68">
        <f>Sheet4!AO72</f>
        <v>1</v>
      </c>
      <c r="AP73" s="68">
        <f>Sheet4!AP72</f>
        <v>1</v>
      </c>
      <c r="AQ73" s="68">
        <f>Sheet4!AQ72</f>
        <v>1</v>
      </c>
      <c r="AR73" s="68">
        <f>Sheet4!AR72</f>
        <v>1</v>
      </c>
      <c r="AS73" s="68">
        <f>Sheet4!AS72</f>
        <v>1</v>
      </c>
      <c r="AT73" s="68">
        <f>Sheet4!AT72</f>
        <v>1</v>
      </c>
      <c r="AU73" s="68">
        <f>Sheet4!AU72</f>
        <v>0</v>
      </c>
      <c r="AV73" s="68">
        <f>Sheet4!AV72</f>
        <v>2</v>
      </c>
      <c r="AW73" s="68">
        <f>Sheet4!AW72</f>
        <v>1</v>
      </c>
      <c r="AX73" s="68">
        <f>Sheet4!AX72</f>
        <v>1</v>
      </c>
      <c r="AY73" s="68">
        <f>Sheet4!AY72</f>
        <v>1</v>
      </c>
      <c r="AZ73" s="68">
        <f>Sheet4!AZ72</f>
        <v>1</v>
      </c>
      <c r="BA73" s="68">
        <f>Sheet4!BA72</f>
        <v>1</v>
      </c>
      <c r="BB73" s="68">
        <f>Sheet4!BB72</f>
        <v>1</v>
      </c>
      <c r="BC73" s="68">
        <f>Sheet4!BC72</f>
        <v>0</v>
      </c>
      <c r="BD73" s="68">
        <f>Sheet4!BD72</f>
        <v>1</v>
      </c>
      <c r="BE73" s="68">
        <f>Sheet4!BE72</f>
        <v>1</v>
      </c>
      <c r="BF73" s="68">
        <f>Sheet4!BF72</f>
        <v>2</v>
      </c>
      <c r="BG73" s="68">
        <f>Sheet4!BG72</f>
        <v>1</v>
      </c>
      <c r="BH73" s="68">
        <f>Sheet4!BH72</f>
        <v>1</v>
      </c>
      <c r="BI73" s="68">
        <f>Sheet4!BI72</f>
        <v>1</v>
      </c>
      <c r="BJ73" s="68">
        <f>Sheet4!BJ72</f>
        <v>1</v>
      </c>
      <c r="BK73" s="68">
        <f>Sheet4!BK72</f>
        <v>1</v>
      </c>
      <c r="BL73" s="68">
        <f>Sheet4!BL72</f>
        <v>1</v>
      </c>
      <c r="BM73" s="68">
        <f>Sheet4!BM72</f>
        <v>0</v>
      </c>
      <c r="BN73" s="68">
        <f>Sheet4!BN72</f>
        <v>1</v>
      </c>
      <c r="BO73" s="68">
        <f>Sheet4!BO72</f>
        <v>1</v>
      </c>
      <c r="BP73" s="68">
        <f>Sheet4!BP72</f>
        <v>1</v>
      </c>
      <c r="BQ73" s="68">
        <f>Sheet4!BQ72</f>
        <v>1</v>
      </c>
      <c r="BR73" s="68">
        <f>Sheet4!BR72</f>
        <v>1</v>
      </c>
      <c r="BS73" s="68">
        <f>Sheet4!BS72</f>
        <v>1</v>
      </c>
      <c r="BT73" s="68">
        <f>Sheet4!BT72</f>
        <v>1</v>
      </c>
      <c r="BU73" s="68">
        <f>Sheet4!BU72</f>
        <v>1</v>
      </c>
      <c r="BV73" s="68">
        <f>Sheet4!BV72</f>
        <v>1</v>
      </c>
      <c r="BW73" s="68">
        <f>Sheet4!BW72</f>
        <v>0</v>
      </c>
      <c r="BX73" s="68">
        <f>Sheet4!BX72</f>
        <v>1</v>
      </c>
      <c r="BY73" s="68">
        <f>Sheet4!BY72</f>
        <v>0</v>
      </c>
      <c r="BZ73" s="68">
        <f>Sheet4!BZ72</f>
        <v>0</v>
      </c>
      <c r="CA73" s="68">
        <f>Sheet4!CA72</f>
        <v>0</v>
      </c>
      <c r="CB73" s="68">
        <f>Sheet4!CB72</f>
        <v>0</v>
      </c>
      <c r="CC73" s="68">
        <f>Sheet4!CC72</f>
        <v>0</v>
      </c>
      <c r="CD73" s="68">
        <f>Sheet4!CD72</f>
        <v>0</v>
      </c>
      <c r="CE73" s="68">
        <f>Sheet4!CE72</f>
        <v>1</v>
      </c>
      <c r="CF73" s="68">
        <f>Sheet4!CF72</f>
        <v>1</v>
      </c>
      <c r="CG73" s="68">
        <f>Sheet4!CG72</f>
        <v>1</v>
      </c>
      <c r="CH73" s="68">
        <f>Sheet4!CH72</f>
        <v>1</v>
      </c>
      <c r="CI73" s="68">
        <f>Sheet4!CI72</f>
        <v>2</v>
      </c>
      <c r="CJ73" s="68">
        <f>Sheet4!CJ72</f>
        <v>0</v>
      </c>
      <c r="CK73" s="68">
        <f>Sheet4!CK72</f>
        <v>0</v>
      </c>
      <c r="CL73" s="68">
        <f>Sheet4!CL72</f>
        <v>1</v>
      </c>
      <c r="CM73" s="68">
        <f>Sheet4!CM72</f>
        <v>1</v>
      </c>
      <c r="CN73" s="68">
        <f>Sheet4!CN72</f>
        <v>0</v>
      </c>
      <c r="CO73" s="68">
        <f>Sheet4!CO72</f>
        <v>0</v>
      </c>
      <c r="CP73" s="68">
        <f>Sheet4!CP72</f>
        <v>0</v>
      </c>
      <c r="CQ73" s="68">
        <f>Sheet4!CQ72</f>
        <v>1</v>
      </c>
      <c r="CR73" s="68">
        <f>Sheet4!CR72</f>
        <v>0</v>
      </c>
      <c r="CS73" s="68">
        <f>Sheet4!CS72</f>
        <v>4</v>
      </c>
      <c r="CT73" s="68">
        <f>Sheet4!CT72</f>
        <v>0</v>
      </c>
      <c r="CU73" s="68">
        <f>Sheet4!CU72</f>
        <v>3</v>
      </c>
      <c r="CV73" s="68">
        <f>Sheet4!CV72</f>
        <v>0</v>
      </c>
      <c r="CW73" s="68">
        <f>Sheet4!CW72</f>
        <v>3</v>
      </c>
      <c r="CX73" s="68">
        <f>Sheet4!CX72</f>
        <v>1</v>
      </c>
      <c r="CY73" s="68">
        <f>Sheet4!CY72</f>
        <v>2</v>
      </c>
      <c r="CZ73" s="68">
        <f>Sheet4!CZ72</f>
        <v>1</v>
      </c>
      <c r="DA73" s="68">
        <f>Sheet4!DA72</f>
        <v>1</v>
      </c>
      <c r="DB73" s="68">
        <f>Sheet4!DB72</f>
        <v>0</v>
      </c>
      <c r="DC73" s="68">
        <f>Sheet4!DC72</f>
        <v>1</v>
      </c>
      <c r="DD73" s="68">
        <f>Sheet4!DD72</f>
        <v>2</v>
      </c>
      <c r="DE73" s="68">
        <f>Sheet4!DE72</f>
        <v>0</v>
      </c>
      <c r="DF73" s="68">
        <f>Sheet4!DF72</f>
        <v>2</v>
      </c>
      <c r="DG73" s="68">
        <f>Sheet4!DG72</f>
        <v>1</v>
      </c>
      <c r="DH73" s="68">
        <f>Sheet4!DH72</f>
        <v>0</v>
      </c>
      <c r="DI73" s="68">
        <f>Sheet4!DI72</f>
        <v>0</v>
      </c>
      <c r="DJ73" s="68">
        <f>Sheet4!DJ72</f>
        <v>0</v>
      </c>
      <c r="DK73" s="68">
        <f>Sheet4!DK72</f>
        <v>0</v>
      </c>
      <c r="DL73" s="68">
        <f>Sheet4!DL72</f>
        <v>0</v>
      </c>
      <c r="DM73" s="68">
        <f>Sheet4!DM72</f>
        <v>0</v>
      </c>
      <c r="DN73" s="68">
        <f>Sheet4!DN72</f>
        <v>0</v>
      </c>
      <c r="DO73" s="68">
        <f>Sheet4!DO72</f>
        <v>0</v>
      </c>
      <c r="DP73" s="68">
        <f>Sheet4!DP72</f>
        <v>0</v>
      </c>
      <c r="DQ73" s="68">
        <f>Sheet4!DQ72</f>
        <v>0</v>
      </c>
    </row>
    <row r="74" spans="1:121" ht="15.75" customHeight="1" x14ac:dyDescent="0.3">
      <c r="A74" s="40">
        <f>Sheet4!A73</f>
        <v>70</v>
      </c>
      <c r="B74" s="40" t="str">
        <f>Sheet4!B73</f>
        <v>ጥሩወርቅ አንዳርጌ</v>
      </c>
      <c r="C74" s="26">
        <f>Sheet4!C73</f>
        <v>21000</v>
      </c>
      <c r="D74" s="68">
        <f>Sheet4!D73</f>
        <v>1</v>
      </c>
      <c r="E74" s="68">
        <f>Sheet4!E73</f>
        <v>1</v>
      </c>
      <c r="F74" s="68">
        <f>Sheet4!F73</f>
        <v>1</v>
      </c>
      <c r="G74" s="68">
        <f>Sheet4!G73</f>
        <v>1</v>
      </c>
      <c r="H74" s="68">
        <f>Sheet4!H73</f>
        <v>1</v>
      </c>
      <c r="I74" s="68">
        <f>Sheet4!I73</f>
        <v>1</v>
      </c>
      <c r="J74" s="68">
        <f>Sheet4!J73</f>
        <v>1</v>
      </c>
      <c r="K74" s="68">
        <f>Sheet4!K73</f>
        <v>1</v>
      </c>
      <c r="L74" s="68">
        <f>Sheet4!L73</f>
        <v>1</v>
      </c>
      <c r="M74" s="68">
        <f>Sheet4!M73</f>
        <v>1</v>
      </c>
      <c r="N74" s="68">
        <f>Sheet4!N73</f>
        <v>1</v>
      </c>
      <c r="O74" s="68">
        <f>Sheet4!O73</f>
        <v>1</v>
      </c>
      <c r="P74" s="68">
        <f>Sheet4!P73</f>
        <v>1</v>
      </c>
      <c r="Q74" s="68">
        <f>Sheet4!Q73</f>
        <v>1</v>
      </c>
      <c r="R74" s="68">
        <f>Sheet4!R73</f>
        <v>1</v>
      </c>
      <c r="S74" s="68">
        <f>Sheet4!S73</f>
        <v>1</v>
      </c>
      <c r="T74" s="68">
        <f>Sheet4!T73</f>
        <v>1</v>
      </c>
      <c r="U74" s="68">
        <f>Sheet4!U73</f>
        <v>1</v>
      </c>
      <c r="V74" s="68">
        <f>Sheet4!V73</f>
        <v>1</v>
      </c>
      <c r="W74" s="68">
        <f>Sheet4!W73</f>
        <v>1</v>
      </c>
      <c r="X74" s="68">
        <f>Sheet4!X73</f>
        <v>1</v>
      </c>
      <c r="Y74" s="68">
        <f>Sheet4!Y73</f>
        <v>1</v>
      </c>
      <c r="Z74" s="68">
        <f>Sheet4!Z73</f>
        <v>1</v>
      </c>
      <c r="AA74" s="68">
        <f>Sheet4!AA73</f>
        <v>1</v>
      </c>
      <c r="AB74" s="68">
        <f>Sheet4!AB73</f>
        <v>1</v>
      </c>
      <c r="AC74" s="68">
        <f>Sheet4!AC73</f>
        <v>1</v>
      </c>
      <c r="AD74" s="68">
        <f>Sheet4!AD73</f>
        <v>1</v>
      </c>
      <c r="AE74" s="68">
        <f>Sheet4!AE73</f>
        <v>1</v>
      </c>
      <c r="AF74" s="68">
        <f>Sheet4!AF73</f>
        <v>1</v>
      </c>
      <c r="AG74" s="68">
        <f>Sheet4!AG73</f>
        <v>1</v>
      </c>
      <c r="AH74" s="68">
        <f>Sheet4!AH73</f>
        <v>1</v>
      </c>
      <c r="AI74" s="68">
        <f>Sheet4!AI73</f>
        <v>1</v>
      </c>
      <c r="AJ74" s="68">
        <f>Sheet4!AJ73</f>
        <v>1</v>
      </c>
      <c r="AK74" s="68">
        <f>Sheet4!AK73</f>
        <v>1</v>
      </c>
      <c r="AL74" s="68">
        <f>Sheet4!AL73</f>
        <v>1</v>
      </c>
      <c r="AM74" s="68">
        <f>Sheet4!AM73</f>
        <v>1</v>
      </c>
      <c r="AN74" s="68">
        <f>Sheet4!AN73</f>
        <v>1</v>
      </c>
      <c r="AO74" s="68">
        <f>Sheet4!AO73</f>
        <v>1</v>
      </c>
      <c r="AP74" s="68">
        <f>Sheet4!AP73</f>
        <v>1</v>
      </c>
      <c r="AQ74" s="68">
        <f>Sheet4!AQ73</f>
        <v>1</v>
      </c>
      <c r="AR74" s="68">
        <f>Sheet4!AR73</f>
        <v>1</v>
      </c>
      <c r="AS74" s="68">
        <f>Sheet4!AS73</f>
        <v>1</v>
      </c>
      <c r="AT74" s="68">
        <f>Sheet4!AT73</f>
        <v>1</v>
      </c>
      <c r="AU74" s="68">
        <f>Sheet4!AU73</f>
        <v>0</v>
      </c>
      <c r="AV74" s="68">
        <f>Sheet4!AV73</f>
        <v>2</v>
      </c>
      <c r="AW74" s="68">
        <f>Sheet4!AW73</f>
        <v>1</v>
      </c>
      <c r="AX74" s="68">
        <f>Sheet4!AX73</f>
        <v>1</v>
      </c>
      <c r="AY74" s="68">
        <f>Sheet4!AY73</f>
        <v>1</v>
      </c>
      <c r="AZ74" s="68">
        <f>Sheet4!AZ73</f>
        <v>1</v>
      </c>
      <c r="BA74" s="68">
        <f>Sheet4!BA73</f>
        <v>1</v>
      </c>
      <c r="BB74" s="68">
        <f>Sheet4!BB73</f>
        <v>1</v>
      </c>
      <c r="BC74" s="68">
        <f>Sheet4!BC73</f>
        <v>1</v>
      </c>
      <c r="BD74" s="68">
        <f>Sheet4!BD73</f>
        <v>1</v>
      </c>
      <c r="BE74" s="68">
        <f>Sheet4!BE73</f>
        <v>1</v>
      </c>
      <c r="BF74" s="68">
        <f>Sheet4!BF73</f>
        <v>1</v>
      </c>
      <c r="BG74" s="68">
        <f>Sheet4!BG73</f>
        <v>1</v>
      </c>
      <c r="BH74" s="68">
        <f>Sheet4!BH73</f>
        <v>1</v>
      </c>
      <c r="BI74" s="68">
        <f>Sheet4!BI73</f>
        <v>0</v>
      </c>
      <c r="BJ74" s="68">
        <f>Sheet4!BJ73</f>
        <v>2</v>
      </c>
      <c r="BK74" s="68">
        <f>Sheet4!BK73</f>
        <v>1</v>
      </c>
      <c r="BL74" s="68">
        <f>Sheet4!BL73</f>
        <v>1</v>
      </c>
      <c r="BM74" s="68">
        <f>Sheet4!BM73</f>
        <v>0</v>
      </c>
      <c r="BN74" s="68">
        <f>Sheet4!BN73</f>
        <v>2</v>
      </c>
      <c r="BO74" s="68">
        <f>Sheet4!BO73</f>
        <v>0</v>
      </c>
      <c r="BP74" s="68">
        <f>Sheet4!BP73</f>
        <v>2</v>
      </c>
      <c r="BQ74" s="68">
        <f>Sheet4!BQ73</f>
        <v>1</v>
      </c>
      <c r="BR74" s="68">
        <f>Sheet4!BR73</f>
        <v>0</v>
      </c>
      <c r="BS74" s="68">
        <f>Sheet4!BS73</f>
        <v>2</v>
      </c>
      <c r="BT74" s="68">
        <f>Sheet4!BT73</f>
        <v>1</v>
      </c>
      <c r="BU74" s="68">
        <f>Sheet4!BU73</f>
        <v>1</v>
      </c>
      <c r="BV74" s="68">
        <f>Sheet4!BV73</f>
        <v>0</v>
      </c>
      <c r="BW74" s="68">
        <f>Sheet4!BW73</f>
        <v>2</v>
      </c>
      <c r="BX74" s="68">
        <f>Sheet4!BX73</f>
        <v>1</v>
      </c>
      <c r="BY74" s="68">
        <f>Sheet4!BY73</f>
        <v>1</v>
      </c>
      <c r="BZ74" s="68">
        <f>Sheet4!BZ73</f>
        <v>1</v>
      </c>
      <c r="CA74" s="68">
        <f>Sheet4!CA73</f>
        <v>1</v>
      </c>
      <c r="CB74" s="68">
        <f>Sheet4!CB73</f>
        <v>1</v>
      </c>
      <c r="CC74" s="68">
        <f>Sheet4!CC73</f>
        <v>1</v>
      </c>
      <c r="CD74" s="68">
        <f>Sheet4!CD73</f>
        <v>0</v>
      </c>
      <c r="CE74" s="68">
        <f>Sheet4!CE73</f>
        <v>2</v>
      </c>
      <c r="CF74" s="68">
        <f>Sheet4!CF73</f>
        <v>1</v>
      </c>
      <c r="CG74" s="68">
        <f>Sheet4!CG73</f>
        <v>1</v>
      </c>
      <c r="CH74" s="68">
        <f>Sheet4!CH73</f>
        <v>1</v>
      </c>
      <c r="CI74" s="68">
        <f>Sheet4!CI73</f>
        <v>0</v>
      </c>
      <c r="CJ74" s="68">
        <f>Sheet4!CJ73</f>
        <v>1</v>
      </c>
      <c r="CK74" s="68">
        <f>Sheet4!CK73</f>
        <v>1</v>
      </c>
      <c r="CL74" s="68">
        <f>Sheet4!CL73</f>
        <v>1</v>
      </c>
      <c r="CM74" s="68">
        <f>Sheet4!CM73</f>
        <v>1</v>
      </c>
      <c r="CN74" s="68">
        <f>Sheet4!CN73</f>
        <v>1</v>
      </c>
      <c r="CO74" s="68">
        <f>Sheet4!CO73</f>
        <v>1</v>
      </c>
      <c r="CP74" s="68">
        <f>Sheet4!CP73</f>
        <v>1</v>
      </c>
      <c r="CQ74" s="68">
        <f>Sheet4!CQ73</f>
        <v>0</v>
      </c>
      <c r="CR74" s="68">
        <f>Sheet4!CR73</f>
        <v>0</v>
      </c>
      <c r="CS74" s="68">
        <f>Sheet4!CS73</f>
        <v>3</v>
      </c>
      <c r="CT74" s="68">
        <f>Sheet4!CT73</f>
        <v>0</v>
      </c>
      <c r="CU74" s="68">
        <f>Sheet4!CU73</f>
        <v>1</v>
      </c>
      <c r="CV74" s="68">
        <f>Sheet4!CV73</f>
        <v>1</v>
      </c>
      <c r="CW74" s="68">
        <f>Sheet4!CW73</f>
        <v>1</v>
      </c>
      <c r="CX74" s="68">
        <f>Sheet4!CX73</f>
        <v>1</v>
      </c>
      <c r="CY74" s="68">
        <f>Sheet4!CY73</f>
        <v>0</v>
      </c>
      <c r="CZ74" s="68">
        <f>Sheet4!CZ73</f>
        <v>1</v>
      </c>
      <c r="DA74" s="68">
        <f>Sheet4!DA73</f>
        <v>1</v>
      </c>
      <c r="DB74" s="68">
        <f>Sheet4!DB73</f>
        <v>1</v>
      </c>
      <c r="DC74" s="68">
        <f>Sheet4!DC73</f>
        <v>1</v>
      </c>
      <c r="DD74" s="68">
        <f>Sheet4!DD73</f>
        <v>1</v>
      </c>
      <c r="DE74" s="68">
        <f>Sheet4!DE73</f>
        <v>0</v>
      </c>
      <c r="DF74" s="68">
        <f>Sheet4!DF73</f>
        <v>0</v>
      </c>
      <c r="DG74" s="68">
        <f>Sheet4!DG73</f>
        <v>0</v>
      </c>
      <c r="DH74" s="68">
        <f>Sheet4!DH73</f>
        <v>0</v>
      </c>
      <c r="DI74" s="68">
        <f>Sheet4!DI73</f>
        <v>0</v>
      </c>
      <c r="DJ74" s="68">
        <f>Sheet4!DJ73</f>
        <v>0</v>
      </c>
      <c r="DK74" s="68">
        <f>Sheet4!DK73</f>
        <v>0</v>
      </c>
      <c r="DL74" s="68">
        <f>Sheet4!DL73</f>
        <v>0</v>
      </c>
      <c r="DM74" s="68">
        <f>Sheet4!DM73</f>
        <v>0</v>
      </c>
      <c r="DN74" s="68">
        <f>Sheet4!DN73</f>
        <v>0</v>
      </c>
      <c r="DO74" s="68">
        <f>Sheet4!DO73</f>
        <v>0</v>
      </c>
      <c r="DP74" s="68">
        <f>Sheet4!DP73</f>
        <v>0</v>
      </c>
      <c r="DQ74" s="68">
        <f>Sheet4!DQ73</f>
        <v>0</v>
      </c>
    </row>
    <row r="75" spans="1:121" ht="15.75" customHeight="1" x14ac:dyDescent="0.3">
      <c r="A75" s="40">
        <f>Sheet4!A74</f>
        <v>71</v>
      </c>
      <c r="B75" s="40" t="str">
        <f>Sheet4!B74</f>
        <v>እስራኤል ዩናስ</v>
      </c>
      <c r="C75" s="26">
        <f>Sheet4!C74</f>
        <v>21000</v>
      </c>
      <c r="D75" s="68">
        <f>Sheet4!D74</f>
        <v>1</v>
      </c>
      <c r="E75" s="68">
        <f>Sheet4!E74</f>
        <v>1</v>
      </c>
      <c r="F75" s="68">
        <f>Sheet4!F74</f>
        <v>1</v>
      </c>
      <c r="G75" s="68">
        <f>Sheet4!G74</f>
        <v>1</v>
      </c>
      <c r="H75" s="68">
        <f>Sheet4!H74</f>
        <v>1</v>
      </c>
      <c r="I75" s="68">
        <f>Sheet4!I74</f>
        <v>1</v>
      </c>
      <c r="J75" s="68">
        <f>Sheet4!J74</f>
        <v>1</v>
      </c>
      <c r="K75" s="68">
        <f>Sheet4!K74</f>
        <v>1</v>
      </c>
      <c r="L75" s="68">
        <f>Sheet4!L74</f>
        <v>1</v>
      </c>
      <c r="M75" s="68">
        <f>Sheet4!M74</f>
        <v>1</v>
      </c>
      <c r="N75" s="68">
        <f>Sheet4!N74</f>
        <v>1</v>
      </c>
      <c r="O75" s="68">
        <f>Sheet4!O74</f>
        <v>1</v>
      </c>
      <c r="P75" s="68">
        <f>Sheet4!P74</f>
        <v>1</v>
      </c>
      <c r="Q75" s="68">
        <f>Sheet4!Q74</f>
        <v>1</v>
      </c>
      <c r="R75" s="68">
        <f>Sheet4!R74</f>
        <v>1</v>
      </c>
      <c r="S75" s="68">
        <f>Sheet4!S74</f>
        <v>1</v>
      </c>
      <c r="T75" s="68">
        <f>Sheet4!T74</f>
        <v>1</v>
      </c>
      <c r="U75" s="68">
        <f>Sheet4!U74</f>
        <v>1</v>
      </c>
      <c r="V75" s="68">
        <f>Sheet4!V74</f>
        <v>1</v>
      </c>
      <c r="W75" s="68">
        <f>Sheet4!W74</f>
        <v>1</v>
      </c>
      <c r="X75" s="68">
        <f>Sheet4!X74</f>
        <v>0</v>
      </c>
      <c r="Y75" s="68">
        <f>Sheet4!Y74</f>
        <v>2</v>
      </c>
      <c r="Z75" s="68">
        <f>Sheet4!Z74</f>
        <v>1</v>
      </c>
      <c r="AA75" s="68">
        <f>Sheet4!AA74</f>
        <v>1</v>
      </c>
      <c r="AB75" s="68">
        <f>Sheet4!AB74</f>
        <v>1</v>
      </c>
      <c r="AC75" s="68">
        <f>Sheet4!AC74</f>
        <v>1</v>
      </c>
      <c r="AD75" s="68">
        <f>Sheet4!AD74</f>
        <v>1</v>
      </c>
      <c r="AE75" s="68">
        <f>Sheet4!AE74</f>
        <v>1</v>
      </c>
      <c r="AF75" s="68">
        <f>Sheet4!AF74</f>
        <v>1</v>
      </c>
      <c r="AG75" s="68">
        <f>Sheet4!AG74</f>
        <v>1</v>
      </c>
      <c r="AH75" s="68">
        <f>Sheet4!AH74</f>
        <v>1</v>
      </c>
      <c r="AI75" s="68">
        <f>Sheet4!AI74</f>
        <v>1</v>
      </c>
      <c r="AJ75" s="68">
        <f>Sheet4!AJ74</f>
        <v>1</v>
      </c>
      <c r="AK75" s="68">
        <f>Sheet4!AK74</f>
        <v>1</v>
      </c>
      <c r="AL75" s="68">
        <f>Sheet4!AL74</f>
        <v>1</v>
      </c>
      <c r="AM75" s="68">
        <f>Sheet4!AM74</f>
        <v>1</v>
      </c>
      <c r="AN75" s="68">
        <f>Sheet4!AN74</f>
        <v>1</v>
      </c>
      <c r="AO75" s="68">
        <f>Sheet4!AO74</f>
        <v>1</v>
      </c>
      <c r="AP75" s="68">
        <f>Sheet4!AP74</f>
        <v>1</v>
      </c>
      <c r="AQ75" s="68">
        <f>Sheet4!AQ74</f>
        <v>1</v>
      </c>
      <c r="AR75" s="68">
        <f>Sheet4!AR74</f>
        <v>1</v>
      </c>
      <c r="AS75" s="68">
        <f>Sheet4!AS74</f>
        <v>1</v>
      </c>
      <c r="AT75" s="68">
        <f>Sheet4!AT74</f>
        <v>1</v>
      </c>
      <c r="AU75" s="68">
        <f>Sheet4!AU74</f>
        <v>1</v>
      </c>
      <c r="AV75" s="68">
        <f>Sheet4!AV74</f>
        <v>0</v>
      </c>
      <c r="AW75" s="68">
        <f>Sheet4!AW74</f>
        <v>1</v>
      </c>
      <c r="AX75" s="68">
        <f>Sheet4!AX74</f>
        <v>1</v>
      </c>
      <c r="AY75" s="68">
        <f>Sheet4!AY74</f>
        <v>0</v>
      </c>
      <c r="AZ75" s="68">
        <f>Sheet4!AZ74</f>
        <v>1</v>
      </c>
      <c r="BA75" s="68">
        <f>Sheet4!BA74</f>
        <v>1</v>
      </c>
      <c r="BB75" s="68">
        <f>Sheet4!BB74</f>
        <v>1</v>
      </c>
      <c r="BC75" s="68">
        <f>Sheet4!BC74</f>
        <v>1</v>
      </c>
      <c r="BD75" s="68">
        <f>Sheet4!BD74</f>
        <v>1</v>
      </c>
      <c r="BE75" s="68">
        <f>Sheet4!BE74</f>
        <v>1</v>
      </c>
      <c r="BF75" s="68">
        <f>Sheet4!BF74</f>
        <v>1</v>
      </c>
      <c r="BG75" s="68">
        <f>Sheet4!BG74</f>
        <v>1</v>
      </c>
      <c r="BH75" s="68">
        <f>Sheet4!BH74</f>
        <v>1</v>
      </c>
      <c r="BI75" s="68">
        <f>Sheet4!BI74</f>
        <v>1</v>
      </c>
      <c r="BJ75" s="68">
        <f>Sheet4!BJ74</f>
        <v>1</v>
      </c>
      <c r="BK75" s="68">
        <f>Sheet4!BK74</f>
        <v>1</v>
      </c>
      <c r="BL75" s="68">
        <f>Sheet4!BL74</f>
        <v>1</v>
      </c>
      <c r="BM75" s="68">
        <f>Sheet4!BM74</f>
        <v>1</v>
      </c>
      <c r="BN75" s="68">
        <f>Sheet4!BN74</f>
        <v>1</v>
      </c>
      <c r="BO75" s="68">
        <f>Sheet4!BO74</f>
        <v>0</v>
      </c>
      <c r="BP75" s="68">
        <f>Sheet4!BP74</f>
        <v>2</v>
      </c>
      <c r="BQ75" s="68">
        <f>Sheet4!BQ74</f>
        <v>1</v>
      </c>
      <c r="BR75" s="68">
        <f>Sheet4!BR74</f>
        <v>1</v>
      </c>
      <c r="BS75" s="68">
        <f>Sheet4!BS74</f>
        <v>0</v>
      </c>
      <c r="BT75" s="68">
        <f>Sheet4!BT74</f>
        <v>1</v>
      </c>
      <c r="BU75" s="68">
        <f>Sheet4!BU74</f>
        <v>2</v>
      </c>
      <c r="BV75" s="68">
        <f>Sheet4!BV74</f>
        <v>1</v>
      </c>
      <c r="BW75" s="68">
        <f>Sheet4!BW74</f>
        <v>0</v>
      </c>
      <c r="BX75" s="68">
        <f>Sheet4!BX74</f>
        <v>0</v>
      </c>
      <c r="BY75" s="68">
        <f>Sheet4!BY74</f>
        <v>0</v>
      </c>
      <c r="BZ75" s="68">
        <f>Sheet4!BZ74</f>
        <v>0</v>
      </c>
      <c r="CA75" s="68">
        <f>Sheet4!CA74</f>
        <v>0</v>
      </c>
      <c r="CB75" s="68">
        <f>Sheet4!CB74</f>
        <v>6</v>
      </c>
      <c r="CC75" s="68">
        <f>Sheet4!CC74</f>
        <v>0</v>
      </c>
      <c r="CD75" s="68">
        <f>Sheet4!CD74</f>
        <v>0</v>
      </c>
      <c r="CE75" s="68">
        <f>Sheet4!CE74</f>
        <v>3</v>
      </c>
      <c r="CF75" s="68">
        <f>Sheet4!CF74</f>
        <v>0</v>
      </c>
      <c r="CG75" s="68">
        <f>Sheet4!CG74</f>
        <v>0</v>
      </c>
      <c r="CH75" s="68">
        <f>Sheet4!CH74</f>
        <v>0</v>
      </c>
      <c r="CI75" s="68">
        <f>Sheet4!CI74</f>
        <v>0</v>
      </c>
      <c r="CJ75" s="68">
        <f>Sheet4!CJ74</f>
        <v>2</v>
      </c>
      <c r="CK75" s="68">
        <f>Sheet4!CK74</f>
        <v>0</v>
      </c>
      <c r="CL75" s="68">
        <f>Sheet4!CL74</f>
        <v>0</v>
      </c>
      <c r="CM75" s="68">
        <f>Sheet4!CM74</f>
        <v>2</v>
      </c>
      <c r="CN75" s="68">
        <f>Sheet4!CN74</f>
        <v>0</v>
      </c>
      <c r="CO75" s="68">
        <f>Sheet4!CO74</f>
        <v>5</v>
      </c>
      <c r="CP75" s="68">
        <f>Sheet4!CP74</f>
        <v>0</v>
      </c>
      <c r="CQ75" s="68">
        <f>Sheet4!CQ74</f>
        <v>0</v>
      </c>
      <c r="CR75" s="68">
        <f>Sheet4!CR74</f>
        <v>3</v>
      </c>
      <c r="CS75" s="68">
        <f>Sheet4!CS74</f>
        <v>0</v>
      </c>
      <c r="CT75" s="68">
        <f>Sheet4!CT74</f>
        <v>2</v>
      </c>
      <c r="CU75" s="68">
        <f>Sheet4!CU74</f>
        <v>0</v>
      </c>
      <c r="CV75" s="68">
        <f>Sheet4!CV74</f>
        <v>0</v>
      </c>
      <c r="CW75" s="68">
        <f>Sheet4!CW74</f>
        <v>3</v>
      </c>
      <c r="CX75" s="68">
        <f>Sheet4!CX74</f>
        <v>0</v>
      </c>
      <c r="CY75" s="68">
        <f>Sheet4!CY74</f>
        <v>0</v>
      </c>
      <c r="CZ75" s="68">
        <f>Sheet4!CZ74</f>
        <v>3</v>
      </c>
      <c r="DA75" s="68">
        <f>Sheet4!DA74</f>
        <v>0</v>
      </c>
      <c r="DB75" s="68">
        <f>Sheet4!DB74</f>
        <v>0</v>
      </c>
      <c r="DC75" s="68">
        <f>Sheet4!DC74</f>
        <v>0</v>
      </c>
      <c r="DD75" s="68">
        <f>Sheet4!DD74</f>
        <v>3</v>
      </c>
      <c r="DE75" s="68">
        <f>Sheet4!DE74</f>
        <v>0</v>
      </c>
      <c r="DF75" s="68">
        <f>Sheet4!DF74</f>
        <v>0</v>
      </c>
      <c r="DG75" s="68">
        <f>Sheet4!DG74</f>
        <v>0</v>
      </c>
      <c r="DH75" s="68">
        <f>Sheet4!DH74</f>
        <v>0</v>
      </c>
      <c r="DI75" s="68">
        <f>Sheet4!DI74</f>
        <v>0</v>
      </c>
      <c r="DJ75" s="68">
        <f>Sheet4!DJ74</f>
        <v>0</v>
      </c>
      <c r="DK75" s="68">
        <f>Sheet4!DK74</f>
        <v>0</v>
      </c>
      <c r="DL75" s="68">
        <f>Sheet4!DL74</f>
        <v>0</v>
      </c>
      <c r="DM75" s="68">
        <f>Sheet4!DM74</f>
        <v>0</v>
      </c>
      <c r="DN75" s="68">
        <f>Sheet4!DN74</f>
        <v>0</v>
      </c>
      <c r="DO75" s="68">
        <f>Sheet4!DO74</f>
        <v>0</v>
      </c>
      <c r="DP75" s="68">
        <f>Sheet4!DP74</f>
        <v>0</v>
      </c>
      <c r="DQ75" s="68">
        <f>Sheet4!DQ74</f>
        <v>0</v>
      </c>
    </row>
    <row r="76" spans="1:121" ht="15.75" customHeight="1" x14ac:dyDescent="0.3">
      <c r="A76" s="40">
        <f>Sheet4!A75</f>
        <v>72</v>
      </c>
      <c r="B76" s="40" t="str">
        <f>Sheet4!B75</f>
        <v>እንግዳ ካሳዬ</v>
      </c>
      <c r="C76" s="26">
        <f>Sheet4!C75</f>
        <v>21000</v>
      </c>
      <c r="D76" s="68">
        <f>Sheet4!D75</f>
        <v>1</v>
      </c>
      <c r="E76" s="68">
        <f>Sheet4!E75</f>
        <v>1</v>
      </c>
      <c r="F76" s="68">
        <f>Sheet4!F75</f>
        <v>1</v>
      </c>
      <c r="G76" s="68">
        <f>Sheet4!G75</f>
        <v>1</v>
      </c>
      <c r="H76" s="68">
        <f>Sheet4!H75</f>
        <v>1</v>
      </c>
      <c r="I76" s="68">
        <f>Sheet4!I75</f>
        <v>1</v>
      </c>
      <c r="J76" s="68">
        <f>Sheet4!J75</f>
        <v>1</v>
      </c>
      <c r="K76" s="68">
        <f>Sheet4!K75</f>
        <v>1</v>
      </c>
      <c r="L76" s="68">
        <f>Sheet4!L75</f>
        <v>1</v>
      </c>
      <c r="M76" s="68">
        <f>Sheet4!M75</f>
        <v>1</v>
      </c>
      <c r="N76" s="68">
        <f>Sheet4!N75</f>
        <v>1</v>
      </c>
      <c r="O76" s="68">
        <f>Sheet4!O75</f>
        <v>1</v>
      </c>
      <c r="P76" s="68">
        <f>Sheet4!P75</f>
        <v>1</v>
      </c>
      <c r="Q76" s="68">
        <f>Sheet4!Q75</f>
        <v>1</v>
      </c>
      <c r="R76" s="68">
        <f>Sheet4!R75</f>
        <v>1</v>
      </c>
      <c r="S76" s="68">
        <f>Sheet4!S75</f>
        <v>1</v>
      </c>
      <c r="T76" s="68">
        <f>Sheet4!T75</f>
        <v>1</v>
      </c>
      <c r="U76" s="68">
        <f>Sheet4!U75</f>
        <v>1</v>
      </c>
      <c r="V76" s="68">
        <f>Sheet4!V75</f>
        <v>1</v>
      </c>
      <c r="W76" s="68">
        <f>Sheet4!W75</f>
        <v>1</v>
      </c>
      <c r="X76" s="68">
        <f>Sheet4!X75</f>
        <v>1</v>
      </c>
      <c r="Y76" s="68">
        <f>Sheet4!Y75</f>
        <v>1</v>
      </c>
      <c r="Z76" s="68">
        <f>Sheet4!Z75</f>
        <v>1</v>
      </c>
      <c r="AA76" s="68">
        <f>Sheet4!AA75</f>
        <v>0</v>
      </c>
      <c r="AB76" s="68">
        <f>Sheet4!AB75</f>
        <v>2</v>
      </c>
      <c r="AC76" s="68">
        <f>Sheet4!AC75</f>
        <v>1</v>
      </c>
      <c r="AD76" s="68">
        <f>Sheet4!AD75</f>
        <v>1</v>
      </c>
      <c r="AE76" s="68">
        <f>Sheet4!AE75</f>
        <v>1</v>
      </c>
      <c r="AF76" s="68">
        <f>Sheet4!AF75</f>
        <v>1</v>
      </c>
      <c r="AG76" s="68">
        <f>Sheet4!AG75</f>
        <v>1</v>
      </c>
      <c r="AH76" s="68">
        <f>Sheet4!AH75</f>
        <v>1</v>
      </c>
      <c r="AI76" s="68">
        <f>Sheet4!AI75</f>
        <v>1</v>
      </c>
      <c r="AJ76" s="68">
        <f>Sheet4!AJ75</f>
        <v>1</v>
      </c>
      <c r="AK76" s="68">
        <f>Sheet4!AK75</f>
        <v>1</v>
      </c>
      <c r="AL76" s="68">
        <f>Sheet4!AL75</f>
        <v>1</v>
      </c>
      <c r="AM76" s="68">
        <f>Sheet4!AM75</f>
        <v>1</v>
      </c>
      <c r="AN76" s="68">
        <f>Sheet4!AN75</f>
        <v>1</v>
      </c>
      <c r="AO76" s="68">
        <f>Sheet4!AO75</f>
        <v>1</v>
      </c>
      <c r="AP76" s="68">
        <f>Sheet4!AP75</f>
        <v>1</v>
      </c>
      <c r="AQ76" s="68">
        <f>Sheet4!AQ75</f>
        <v>1</v>
      </c>
      <c r="AR76" s="68">
        <f>Sheet4!AR75</f>
        <v>1</v>
      </c>
      <c r="AS76" s="68">
        <f>Sheet4!AS75</f>
        <v>1</v>
      </c>
      <c r="AT76" s="68">
        <f>Sheet4!AT75</f>
        <v>1</v>
      </c>
      <c r="AU76" s="68">
        <f>Sheet4!AU75</f>
        <v>1</v>
      </c>
      <c r="AV76" s="68">
        <f>Sheet4!AV75</f>
        <v>1</v>
      </c>
      <c r="AW76" s="68">
        <f>Sheet4!AW75</f>
        <v>1</v>
      </c>
      <c r="AX76" s="68">
        <f>Sheet4!AX75</f>
        <v>1</v>
      </c>
      <c r="AY76" s="68">
        <f>Sheet4!AY75</f>
        <v>1</v>
      </c>
      <c r="AZ76" s="68">
        <f>Sheet4!AZ75</f>
        <v>1</v>
      </c>
      <c r="BA76" s="68">
        <f>Sheet4!BA75</f>
        <v>1</v>
      </c>
      <c r="BB76" s="68">
        <f>Sheet4!BB75</f>
        <v>1</v>
      </c>
      <c r="BC76" s="68">
        <f>Sheet4!BC75</f>
        <v>1</v>
      </c>
      <c r="BD76" s="68">
        <f>Sheet4!BD75</f>
        <v>1</v>
      </c>
      <c r="BE76" s="68">
        <f>Sheet4!BE75</f>
        <v>0</v>
      </c>
      <c r="BF76" s="68">
        <f>Sheet4!BF75</f>
        <v>1</v>
      </c>
      <c r="BG76" s="68">
        <f>Sheet4!BG75</f>
        <v>1</v>
      </c>
      <c r="BH76" s="68">
        <f>Sheet4!BH75</f>
        <v>1</v>
      </c>
      <c r="BI76" s="68">
        <f>Sheet4!BI75</f>
        <v>1</v>
      </c>
      <c r="BJ76" s="68">
        <f>Sheet4!BJ75</f>
        <v>1</v>
      </c>
      <c r="BK76" s="68">
        <f>Sheet4!BK75</f>
        <v>1</v>
      </c>
      <c r="BL76" s="68">
        <f>Sheet4!BL75</f>
        <v>1</v>
      </c>
      <c r="BM76" s="68">
        <f>Sheet4!BM75</f>
        <v>0</v>
      </c>
      <c r="BN76" s="68">
        <f>Sheet4!BN75</f>
        <v>2</v>
      </c>
      <c r="BO76" s="68">
        <f>Sheet4!BO75</f>
        <v>1</v>
      </c>
      <c r="BP76" s="68">
        <f>Sheet4!BP75</f>
        <v>1</v>
      </c>
      <c r="BQ76" s="68">
        <f>Sheet4!BQ75</f>
        <v>1</v>
      </c>
      <c r="BR76" s="68">
        <f>Sheet4!BR75</f>
        <v>1</v>
      </c>
      <c r="BS76" s="68">
        <f>Sheet4!BS75</f>
        <v>1</v>
      </c>
      <c r="BT76" s="68">
        <f>Sheet4!BT75</f>
        <v>1</v>
      </c>
      <c r="BU76" s="68">
        <f>Sheet4!BU75</f>
        <v>1</v>
      </c>
      <c r="BV76" s="68">
        <f>Sheet4!BV75</f>
        <v>1</v>
      </c>
      <c r="BW76" s="68">
        <f>Sheet4!BW75</f>
        <v>1</v>
      </c>
      <c r="BX76" s="68">
        <f>Sheet4!BX75</f>
        <v>1</v>
      </c>
      <c r="BY76" s="68">
        <f>Sheet4!BY75</f>
        <v>1</v>
      </c>
      <c r="BZ76" s="68">
        <f>Sheet4!BZ75</f>
        <v>1</v>
      </c>
      <c r="CA76" s="68">
        <f>Sheet4!CA75</f>
        <v>0</v>
      </c>
      <c r="CB76" s="68">
        <f>Sheet4!CB75</f>
        <v>2</v>
      </c>
      <c r="CC76" s="68">
        <f>Sheet4!CC75</f>
        <v>0</v>
      </c>
      <c r="CD76" s="68">
        <f>Sheet4!CD75</f>
        <v>0</v>
      </c>
      <c r="CE76" s="68">
        <f>Sheet4!CE75</f>
        <v>1</v>
      </c>
      <c r="CF76" s="68">
        <f>Sheet4!CF75</f>
        <v>0</v>
      </c>
      <c r="CG76" s="68">
        <f>Sheet4!CG75</f>
        <v>2</v>
      </c>
      <c r="CH76" s="68">
        <f>Sheet4!CH75</f>
        <v>1</v>
      </c>
      <c r="CI76" s="68">
        <f>Sheet4!CI75</f>
        <v>1</v>
      </c>
      <c r="CJ76" s="68">
        <f>Sheet4!CJ75</f>
        <v>1</v>
      </c>
      <c r="CK76" s="68">
        <f>Sheet4!CK75</f>
        <v>0</v>
      </c>
      <c r="CL76" s="68">
        <f>Sheet4!CL75</f>
        <v>1</v>
      </c>
      <c r="CM76" s="68">
        <f>Sheet4!CM75</f>
        <v>1</v>
      </c>
      <c r="CN76" s="68">
        <f>Sheet4!CN75</f>
        <v>1</v>
      </c>
      <c r="CO76" s="68">
        <f>Sheet4!CO75</f>
        <v>0</v>
      </c>
      <c r="CP76" s="68">
        <f>Sheet4!CP75</f>
        <v>1</v>
      </c>
      <c r="CQ76" s="68">
        <f>Sheet4!CQ75</f>
        <v>1</v>
      </c>
      <c r="CR76" s="68">
        <f>Sheet4!CR75</f>
        <v>1</v>
      </c>
      <c r="CS76" s="68">
        <f>Sheet4!CS75</f>
        <v>1</v>
      </c>
      <c r="CT76" s="68">
        <f>Sheet4!CT75</f>
        <v>1</v>
      </c>
      <c r="CU76" s="68">
        <f>Sheet4!CU75</f>
        <v>1</v>
      </c>
      <c r="CV76" s="68">
        <f>Sheet4!CV75</f>
        <v>0</v>
      </c>
      <c r="CW76" s="68">
        <f>Sheet4!CW75</f>
        <v>1</v>
      </c>
      <c r="CX76" s="68">
        <f>Sheet4!CX75</f>
        <v>0</v>
      </c>
      <c r="CY76" s="68">
        <f>Sheet4!CY75</f>
        <v>0</v>
      </c>
      <c r="CZ76" s="68">
        <f>Sheet4!CZ75</f>
        <v>1</v>
      </c>
      <c r="DA76" s="68">
        <f>Sheet4!DA75</f>
        <v>1</v>
      </c>
      <c r="DB76" s="68">
        <f>Sheet4!DB75</f>
        <v>1</v>
      </c>
      <c r="DC76" s="68">
        <f>Sheet4!DC75</f>
        <v>1</v>
      </c>
      <c r="DD76" s="68">
        <f>Sheet4!DD75</f>
        <v>1</v>
      </c>
      <c r="DE76" s="68">
        <f>Sheet4!DE75</f>
        <v>1</v>
      </c>
      <c r="DF76" s="68">
        <f>Sheet4!DF75</f>
        <v>1</v>
      </c>
      <c r="DG76" s="68">
        <f>Sheet4!DG75</f>
        <v>0</v>
      </c>
      <c r="DH76" s="68">
        <f>Sheet4!DH75</f>
        <v>0</v>
      </c>
      <c r="DI76" s="68">
        <f>Sheet4!DI75</f>
        <v>0</v>
      </c>
      <c r="DJ76" s="68">
        <f>Sheet4!DJ75</f>
        <v>0</v>
      </c>
      <c r="DK76" s="68">
        <f>Sheet4!DK75</f>
        <v>0</v>
      </c>
      <c r="DL76" s="68">
        <f>Sheet4!DL75</f>
        <v>0</v>
      </c>
      <c r="DM76" s="68">
        <f>Sheet4!DM75</f>
        <v>0</v>
      </c>
      <c r="DN76" s="68">
        <f>Sheet4!DN75</f>
        <v>0</v>
      </c>
      <c r="DO76" s="68">
        <f>Sheet4!DO75</f>
        <v>0</v>
      </c>
      <c r="DP76" s="68">
        <f>Sheet4!DP75</f>
        <v>0</v>
      </c>
      <c r="DQ76" s="68">
        <f>Sheet4!DQ75</f>
        <v>0</v>
      </c>
    </row>
    <row r="77" spans="1:121" ht="15.75" customHeight="1" x14ac:dyDescent="0.3">
      <c r="A77" s="40">
        <f>Sheet4!A76</f>
        <v>73</v>
      </c>
      <c r="B77" s="40" t="str">
        <f>Sheet4!B76</f>
        <v>ሲሳይ ይልማ</v>
      </c>
      <c r="C77" s="26">
        <f>Sheet4!C76</f>
        <v>21000</v>
      </c>
      <c r="D77" s="68">
        <f>Sheet4!D76</f>
        <v>1</v>
      </c>
      <c r="E77" s="68">
        <f>Sheet4!E76</f>
        <v>1</v>
      </c>
      <c r="F77" s="68">
        <f>Sheet4!F76</f>
        <v>1</v>
      </c>
      <c r="G77" s="68">
        <f>Sheet4!G76</f>
        <v>1</v>
      </c>
      <c r="H77" s="68">
        <f>Sheet4!H76</f>
        <v>1</v>
      </c>
      <c r="I77" s="68">
        <f>Sheet4!I76</f>
        <v>1</v>
      </c>
      <c r="J77" s="68">
        <f>Sheet4!J76</f>
        <v>1</v>
      </c>
      <c r="K77" s="68">
        <f>Sheet4!K76</f>
        <v>1</v>
      </c>
      <c r="L77" s="68">
        <f>Sheet4!L76</f>
        <v>1</v>
      </c>
      <c r="M77" s="68">
        <f>Sheet4!M76</f>
        <v>1</v>
      </c>
      <c r="N77" s="68">
        <f>Sheet4!N76</f>
        <v>1</v>
      </c>
      <c r="O77" s="68">
        <f>Sheet4!O76</f>
        <v>1</v>
      </c>
      <c r="P77" s="68">
        <f>Sheet4!P76</f>
        <v>1</v>
      </c>
      <c r="Q77" s="68">
        <f>Sheet4!Q76</f>
        <v>1</v>
      </c>
      <c r="R77" s="68">
        <f>Sheet4!R76</f>
        <v>1</v>
      </c>
      <c r="S77" s="68">
        <f>Sheet4!S76</f>
        <v>1</v>
      </c>
      <c r="T77" s="68">
        <f>Sheet4!T76</f>
        <v>1</v>
      </c>
      <c r="U77" s="68">
        <f>Sheet4!U76</f>
        <v>1</v>
      </c>
      <c r="V77" s="68">
        <f>Sheet4!V76</f>
        <v>1</v>
      </c>
      <c r="W77" s="68">
        <f>Sheet4!W76</f>
        <v>1</v>
      </c>
      <c r="X77" s="68">
        <f>Sheet4!X76</f>
        <v>1</v>
      </c>
      <c r="Y77" s="68">
        <f>Sheet4!Y76</f>
        <v>1</v>
      </c>
      <c r="Z77" s="68">
        <f>Sheet4!Z76</f>
        <v>1</v>
      </c>
      <c r="AA77" s="68">
        <f>Sheet4!AA76</f>
        <v>1</v>
      </c>
      <c r="AB77" s="68">
        <f>Sheet4!AB76</f>
        <v>1</v>
      </c>
      <c r="AC77" s="68">
        <f>Sheet4!AC76</f>
        <v>1</v>
      </c>
      <c r="AD77" s="68">
        <f>Sheet4!AD76</f>
        <v>1</v>
      </c>
      <c r="AE77" s="68">
        <f>Sheet4!AE76</f>
        <v>1</v>
      </c>
      <c r="AF77" s="68">
        <f>Sheet4!AF76</f>
        <v>1</v>
      </c>
      <c r="AG77" s="68">
        <f>Sheet4!AG76</f>
        <v>1</v>
      </c>
      <c r="AH77" s="68">
        <f>Sheet4!AH76</f>
        <v>1</v>
      </c>
      <c r="AI77" s="68">
        <f>Sheet4!AI76</f>
        <v>1</v>
      </c>
      <c r="AJ77" s="68">
        <f>Sheet4!AJ76</f>
        <v>1</v>
      </c>
      <c r="AK77" s="68">
        <f>Sheet4!AK76</f>
        <v>1</v>
      </c>
      <c r="AL77" s="68">
        <f>Sheet4!AL76</f>
        <v>1</v>
      </c>
      <c r="AM77" s="68">
        <f>Sheet4!AM76</f>
        <v>1</v>
      </c>
      <c r="AN77" s="68">
        <f>Sheet4!AN76</f>
        <v>1</v>
      </c>
      <c r="AO77" s="68">
        <f>Sheet4!AO76</f>
        <v>1</v>
      </c>
      <c r="AP77" s="68">
        <f>Sheet4!AP76</f>
        <v>1</v>
      </c>
      <c r="AQ77" s="68">
        <f>Sheet4!AQ76</f>
        <v>1</v>
      </c>
      <c r="AR77" s="68">
        <f>Sheet4!AR76</f>
        <v>1</v>
      </c>
      <c r="AS77" s="68">
        <f>Sheet4!AS76</f>
        <v>1</v>
      </c>
      <c r="AT77" s="68">
        <f>Sheet4!AT76</f>
        <v>1</v>
      </c>
      <c r="AU77" s="68">
        <f>Sheet4!AU76</f>
        <v>1</v>
      </c>
      <c r="AV77" s="68">
        <f>Sheet4!AV76</f>
        <v>1</v>
      </c>
      <c r="AW77" s="68">
        <f>Sheet4!AW76</f>
        <v>1</v>
      </c>
      <c r="AX77" s="68">
        <f>Sheet4!AX76</f>
        <v>1</v>
      </c>
      <c r="AY77" s="68">
        <f>Sheet4!AY76</f>
        <v>1</v>
      </c>
      <c r="AZ77" s="68">
        <f>Sheet4!AZ76</f>
        <v>1</v>
      </c>
      <c r="BA77" s="68">
        <f>Sheet4!BA76</f>
        <v>1</v>
      </c>
      <c r="BB77" s="68">
        <f>Sheet4!BB76</f>
        <v>1</v>
      </c>
      <c r="BC77" s="68">
        <f>Sheet4!BC76</f>
        <v>1</v>
      </c>
      <c r="BD77" s="68">
        <f>Sheet4!BD76</f>
        <v>1</v>
      </c>
      <c r="BE77" s="68">
        <f>Sheet4!BE76</f>
        <v>1</v>
      </c>
      <c r="BF77" s="68">
        <f>Sheet4!BF76</f>
        <v>1</v>
      </c>
      <c r="BG77" s="68">
        <f>Sheet4!BG76</f>
        <v>1</v>
      </c>
      <c r="BH77" s="68">
        <f>Sheet4!BH76</f>
        <v>1</v>
      </c>
      <c r="BI77" s="68">
        <f>Sheet4!BI76</f>
        <v>1</v>
      </c>
      <c r="BJ77" s="68">
        <f>Sheet4!BJ76</f>
        <v>1</v>
      </c>
      <c r="BK77" s="68">
        <f>Sheet4!BK76</f>
        <v>1</v>
      </c>
      <c r="BL77" s="68">
        <f>Sheet4!BL76</f>
        <v>1</v>
      </c>
      <c r="BM77" s="68">
        <f>Sheet4!BM76</f>
        <v>1</v>
      </c>
      <c r="BN77" s="68">
        <f>Sheet4!BN76</f>
        <v>1</v>
      </c>
      <c r="BO77" s="68">
        <f>Sheet4!BO76</f>
        <v>1</v>
      </c>
      <c r="BP77" s="68">
        <f>Sheet4!BP76</f>
        <v>1</v>
      </c>
      <c r="BQ77" s="68">
        <f>Sheet4!BQ76</f>
        <v>1</v>
      </c>
      <c r="BR77" s="68">
        <f>Sheet4!BR76</f>
        <v>1</v>
      </c>
      <c r="BS77" s="68">
        <f>Sheet4!BS76</f>
        <v>1</v>
      </c>
      <c r="BT77" s="68">
        <f>Sheet4!BT76</f>
        <v>1</v>
      </c>
      <c r="BU77" s="68">
        <f>Sheet4!BU76</f>
        <v>1</v>
      </c>
      <c r="BV77" s="68">
        <f>Sheet4!BV76</f>
        <v>1</v>
      </c>
      <c r="BW77" s="68">
        <f>Sheet4!BW76</f>
        <v>1</v>
      </c>
      <c r="BX77" s="68">
        <f>Sheet4!BX76</f>
        <v>1</v>
      </c>
      <c r="BY77" s="68">
        <f>Sheet4!BY76</f>
        <v>1</v>
      </c>
      <c r="BZ77" s="68">
        <f>Sheet4!BZ76</f>
        <v>1</v>
      </c>
      <c r="CA77" s="68">
        <f>Sheet4!CA76</f>
        <v>1</v>
      </c>
      <c r="CB77" s="68">
        <f>Sheet4!CB76</f>
        <v>1</v>
      </c>
      <c r="CC77" s="68">
        <f>Sheet4!CC76</f>
        <v>1</v>
      </c>
      <c r="CD77" s="68">
        <f>Sheet4!CD76</f>
        <v>1</v>
      </c>
      <c r="CE77" s="68">
        <f>Sheet4!CE76</f>
        <v>1</v>
      </c>
      <c r="CF77" s="68">
        <f>Sheet4!CF76</f>
        <v>1</v>
      </c>
      <c r="CG77" s="68">
        <f>Sheet4!CG76</f>
        <v>1</v>
      </c>
      <c r="CH77" s="68">
        <f>Sheet4!CH76</f>
        <v>1</v>
      </c>
      <c r="CI77" s="68">
        <f>Sheet4!CI76</f>
        <v>1</v>
      </c>
      <c r="CJ77" s="68">
        <f>Sheet4!CJ76</f>
        <v>1</v>
      </c>
      <c r="CK77" s="68">
        <f>Sheet4!CK76</f>
        <v>1</v>
      </c>
      <c r="CL77" s="68">
        <f>Sheet4!CL76</f>
        <v>1</v>
      </c>
      <c r="CM77" s="68">
        <f>Sheet4!CM76</f>
        <v>1</v>
      </c>
      <c r="CN77" s="68">
        <f>Sheet4!CN76</f>
        <v>1</v>
      </c>
      <c r="CO77" s="68">
        <f>Sheet4!CO76</f>
        <v>1</v>
      </c>
      <c r="CP77" s="68">
        <f>Sheet4!CP76</f>
        <v>1</v>
      </c>
      <c r="CQ77" s="68">
        <f>Sheet4!CQ76</f>
        <v>1</v>
      </c>
      <c r="CR77" s="68">
        <f>Sheet4!CR76</f>
        <v>1</v>
      </c>
      <c r="CS77" s="68">
        <f>Sheet4!CS76</f>
        <v>1</v>
      </c>
      <c r="CT77" s="68">
        <f>Sheet4!CT76</f>
        <v>1</v>
      </c>
      <c r="CU77" s="68">
        <f>Sheet4!CU76</f>
        <v>1</v>
      </c>
      <c r="CV77" s="68">
        <f>Sheet4!CV76</f>
        <v>1</v>
      </c>
      <c r="CW77" s="68">
        <f>Sheet4!CW76</f>
        <v>1</v>
      </c>
      <c r="CX77" s="68">
        <f>Sheet4!CX76</f>
        <v>1</v>
      </c>
      <c r="CY77" s="68">
        <f>Sheet4!CY76</f>
        <v>0</v>
      </c>
      <c r="CZ77" s="68">
        <f>Sheet4!CZ76</f>
        <v>2</v>
      </c>
      <c r="DA77" s="68">
        <f>Sheet4!DA76</f>
        <v>1</v>
      </c>
      <c r="DB77" s="68">
        <f>Sheet4!DB76</f>
        <v>1</v>
      </c>
      <c r="DC77" s="68">
        <f>Sheet4!DC76</f>
        <v>1</v>
      </c>
      <c r="DD77" s="68">
        <f>Sheet4!DD76</f>
        <v>1</v>
      </c>
      <c r="DE77" s="68">
        <f>Sheet4!DE76</f>
        <v>1</v>
      </c>
      <c r="DF77" s="68">
        <f>Sheet4!DF76</f>
        <v>1</v>
      </c>
      <c r="DG77" s="68">
        <f>Sheet4!DG76</f>
        <v>1</v>
      </c>
      <c r="DH77" s="68">
        <f>Sheet4!DH76</f>
        <v>0</v>
      </c>
      <c r="DI77" s="68">
        <f>Sheet4!DI76</f>
        <v>0</v>
      </c>
      <c r="DJ77" s="68">
        <f>Sheet4!DJ76</f>
        <v>0</v>
      </c>
      <c r="DK77" s="68">
        <f>Sheet4!DK76</f>
        <v>0</v>
      </c>
      <c r="DL77" s="68">
        <f>Sheet4!DL76</f>
        <v>0</v>
      </c>
      <c r="DM77" s="68">
        <f>Sheet4!DM76</f>
        <v>0</v>
      </c>
      <c r="DN77" s="68">
        <f>Sheet4!DN76</f>
        <v>0</v>
      </c>
      <c r="DO77" s="68">
        <f>Sheet4!DO76</f>
        <v>0</v>
      </c>
      <c r="DP77" s="68">
        <f>Sheet4!DP76</f>
        <v>0</v>
      </c>
      <c r="DQ77" s="68">
        <f>Sheet4!DQ76</f>
        <v>0</v>
      </c>
    </row>
    <row r="78" spans="1:121" ht="15.75" customHeight="1" x14ac:dyDescent="0.3">
      <c r="A78" s="40">
        <f>Sheet4!A77</f>
        <v>74</v>
      </c>
      <c r="B78" s="40" t="str">
        <f>Sheet4!B77</f>
        <v>ይርዳቸዉ ኤርሚያስ</v>
      </c>
      <c r="C78" s="26">
        <f>Sheet4!C77</f>
        <v>21000</v>
      </c>
      <c r="D78" s="68">
        <f>Sheet4!D77</f>
        <v>1</v>
      </c>
      <c r="E78" s="68">
        <f>Sheet4!E77</f>
        <v>1</v>
      </c>
      <c r="F78" s="68">
        <f>Sheet4!F77</f>
        <v>1</v>
      </c>
      <c r="G78" s="68">
        <f>Sheet4!G77</f>
        <v>1</v>
      </c>
      <c r="H78" s="68">
        <f>Sheet4!H77</f>
        <v>1</v>
      </c>
      <c r="I78" s="68">
        <f>Sheet4!I77</f>
        <v>1</v>
      </c>
      <c r="J78" s="68">
        <f>Sheet4!J77</f>
        <v>1</v>
      </c>
      <c r="K78" s="68">
        <f>Sheet4!K77</f>
        <v>1</v>
      </c>
      <c r="L78" s="68">
        <f>Sheet4!L77</f>
        <v>1</v>
      </c>
      <c r="M78" s="68">
        <f>Sheet4!M77</f>
        <v>1</v>
      </c>
      <c r="N78" s="68">
        <f>Sheet4!N77</f>
        <v>1</v>
      </c>
      <c r="O78" s="68">
        <f>Sheet4!O77</f>
        <v>1</v>
      </c>
      <c r="P78" s="68">
        <f>Sheet4!P77</f>
        <v>1</v>
      </c>
      <c r="Q78" s="68">
        <f>Sheet4!Q77</f>
        <v>1</v>
      </c>
      <c r="R78" s="68">
        <f>Sheet4!R77</f>
        <v>1</v>
      </c>
      <c r="S78" s="68">
        <f>Sheet4!S77</f>
        <v>1</v>
      </c>
      <c r="T78" s="68">
        <f>Sheet4!T77</f>
        <v>1</v>
      </c>
      <c r="U78" s="68">
        <f>Sheet4!U77</f>
        <v>1</v>
      </c>
      <c r="V78" s="68">
        <f>Sheet4!V77</f>
        <v>1</v>
      </c>
      <c r="W78" s="68">
        <f>Sheet4!W77</f>
        <v>1</v>
      </c>
      <c r="X78" s="68">
        <f>Sheet4!X77</f>
        <v>1</v>
      </c>
      <c r="Y78" s="68">
        <f>Sheet4!Y77</f>
        <v>1</v>
      </c>
      <c r="Z78" s="68">
        <f>Sheet4!Z77</f>
        <v>1</v>
      </c>
      <c r="AA78" s="68">
        <f>Sheet4!AA77</f>
        <v>0</v>
      </c>
      <c r="AB78" s="68">
        <f>Sheet4!AB77</f>
        <v>2</v>
      </c>
      <c r="AC78" s="68">
        <f>Sheet4!AC77</f>
        <v>1</v>
      </c>
      <c r="AD78" s="68">
        <f>Sheet4!AD77</f>
        <v>0</v>
      </c>
      <c r="AE78" s="68">
        <f>Sheet4!AE77</f>
        <v>2</v>
      </c>
      <c r="AF78" s="68">
        <f>Sheet4!AF77</f>
        <v>0</v>
      </c>
      <c r="AG78" s="68">
        <f>Sheet4!AG77</f>
        <v>2</v>
      </c>
      <c r="AH78" s="68">
        <f>Sheet4!AH77</f>
        <v>0</v>
      </c>
      <c r="AI78" s="68">
        <f>Sheet4!AI77</f>
        <v>2</v>
      </c>
      <c r="AJ78" s="68">
        <f>Sheet4!AJ77</f>
        <v>1</v>
      </c>
      <c r="AK78" s="68">
        <f>Sheet4!AK77</f>
        <v>1</v>
      </c>
      <c r="AL78" s="68">
        <f>Sheet4!AL77</f>
        <v>1</v>
      </c>
      <c r="AM78" s="68">
        <f>Sheet4!AM77</f>
        <v>1</v>
      </c>
      <c r="AN78" s="68">
        <f>Sheet4!AN77</f>
        <v>1</v>
      </c>
      <c r="AO78" s="68">
        <f>Sheet4!AO77</f>
        <v>1</v>
      </c>
      <c r="AP78" s="68">
        <f>Sheet4!AP77</f>
        <v>1</v>
      </c>
      <c r="AQ78" s="68">
        <f>Sheet4!AQ77</f>
        <v>1</v>
      </c>
      <c r="AR78" s="68">
        <f>Sheet4!AR77</f>
        <v>0</v>
      </c>
      <c r="AS78" s="68">
        <f>Sheet4!AS77</f>
        <v>1</v>
      </c>
      <c r="AT78" s="68">
        <f>Sheet4!AT77</f>
        <v>1</v>
      </c>
      <c r="AU78" s="68">
        <f>Sheet4!AU77</f>
        <v>1</v>
      </c>
      <c r="AV78" s="68">
        <f>Sheet4!AV77</f>
        <v>1</v>
      </c>
      <c r="AW78" s="68">
        <f>Sheet4!AW77</f>
        <v>0</v>
      </c>
      <c r="AX78" s="68">
        <f>Sheet4!AX77</f>
        <v>0</v>
      </c>
      <c r="AY78" s="68">
        <f>Sheet4!AY77</f>
        <v>1</v>
      </c>
      <c r="AZ78" s="68">
        <f>Sheet4!AZ77</f>
        <v>1</v>
      </c>
      <c r="BA78" s="68">
        <f>Sheet4!BA77</f>
        <v>0</v>
      </c>
      <c r="BB78" s="68">
        <f>Sheet4!BB77</f>
        <v>1</v>
      </c>
      <c r="BC78" s="68">
        <f>Sheet4!BC77</f>
        <v>0</v>
      </c>
      <c r="BD78" s="68">
        <f>Sheet4!BD77</f>
        <v>2</v>
      </c>
      <c r="BE78" s="68">
        <f>Sheet4!BE77</f>
        <v>2</v>
      </c>
      <c r="BF78" s="68">
        <f>Sheet4!BF77</f>
        <v>1</v>
      </c>
      <c r="BG78" s="68">
        <f>Sheet4!BG77</f>
        <v>1</v>
      </c>
      <c r="BH78" s="68">
        <f>Sheet4!BH77</f>
        <v>0</v>
      </c>
      <c r="BI78" s="68">
        <f>Sheet4!BI77</f>
        <v>2</v>
      </c>
      <c r="BJ78" s="68">
        <f>Sheet4!BJ77</f>
        <v>0</v>
      </c>
      <c r="BK78" s="68">
        <f>Sheet4!BK77</f>
        <v>1</v>
      </c>
      <c r="BL78" s="68">
        <f>Sheet4!BL77</f>
        <v>1</v>
      </c>
      <c r="BM78" s="68">
        <f>Sheet4!BM77</f>
        <v>1</v>
      </c>
      <c r="BN78" s="68">
        <f>Sheet4!BN77</f>
        <v>1</v>
      </c>
      <c r="BO78" s="68">
        <f>Sheet4!BO77</f>
        <v>1</v>
      </c>
      <c r="BP78" s="68">
        <f>Sheet4!BP77</f>
        <v>1</v>
      </c>
      <c r="BQ78" s="68">
        <f>Sheet4!BQ77</f>
        <v>0</v>
      </c>
      <c r="BR78" s="68">
        <f>Sheet4!BR77</f>
        <v>3</v>
      </c>
      <c r="BS78" s="68">
        <f>Sheet4!BS77</f>
        <v>0</v>
      </c>
      <c r="BT78" s="68">
        <f>Sheet4!BT77</f>
        <v>0</v>
      </c>
      <c r="BU78" s="68">
        <f>Sheet4!BU77</f>
        <v>1</v>
      </c>
      <c r="BV78" s="68">
        <f>Sheet4!BV77</f>
        <v>0</v>
      </c>
      <c r="BW78" s="68">
        <f>Sheet4!BW77</f>
        <v>2</v>
      </c>
      <c r="BX78" s="68">
        <f>Sheet4!BX77</f>
        <v>0</v>
      </c>
      <c r="BY78" s="68">
        <f>Sheet4!BY77</f>
        <v>0</v>
      </c>
      <c r="BZ78" s="68">
        <f>Sheet4!BZ77</f>
        <v>0</v>
      </c>
      <c r="CA78" s="68">
        <f>Sheet4!CA77</f>
        <v>0</v>
      </c>
      <c r="CB78" s="68">
        <f>Sheet4!CB77</f>
        <v>0</v>
      </c>
      <c r="CC78" s="68">
        <f>Sheet4!CC77</f>
        <v>0</v>
      </c>
      <c r="CD78" s="68">
        <f>Sheet4!CD77</f>
        <v>0</v>
      </c>
      <c r="CE78" s="68">
        <f>Sheet4!CE77</f>
        <v>2</v>
      </c>
      <c r="CF78" s="68">
        <f>Sheet4!CF77</f>
        <v>2</v>
      </c>
      <c r="CG78" s="68">
        <f>Sheet4!CG77</f>
        <v>0</v>
      </c>
      <c r="CH78" s="68">
        <f>Sheet4!CH77</f>
        <v>2</v>
      </c>
      <c r="CI78" s="68">
        <f>Sheet4!CI77</f>
        <v>2</v>
      </c>
      <c r="CJ78" s="68">
        <f>Sheet4!CJ77</f>
        <v>0</v>
      </c>
      <c r="CK78" s="68">
        <f>Sheet4!CK77</f>
        <v>1</v>
      </c>
      <c r="CL78" s="68">
        <f>Sheet4!CL77</f>
        <v>0</v>
      </c>
      <c r="CM78" s="68">
        <f>Sheet4!CM77</f>
        <v>1</v>
      </c>
      <c r="CN78" s="68">
        <f>Sheet4!CN77</f>
        <v>1</v>
      </c>
      <c r="CO78" s="68">
        <f>Sheet4!CO77</f>
        <v>0</v>
      </c>
      <c r="CP78" s="68">
        <f>Sheet4!CP77</f>
        <v>1</v>
      </c>
      <c r="CQ78" s="68">
        <f>Sheet4!CQ77</f>
        <v>1</v>
      </c>
      <c r="CR78" s="68">
        <f>Sheet4!CR77</f>
        <v>1</v>
      </c>
      <c r="CS78" s="68">
        <f>Sheet4!CS77</f>
        <v>0</v>
      </c>
      <c r="CT78" s="68">
        <f>Sheet4!CT77</f>
        <v>0</v>
      </c>
      <c r="CU78" s="68">
        <f>Sheet4!CU77</f>
        <v>2</v>
      </c>
      <c r="CV78" s="68">
        <f>Sheet4!CV77</f>
        <v>1</v>
      </c>
      <c r="CW78" s="68">
        <f>Sheet4!CW77</f>
        <v>1</v>
      </c>
      <c r="CX78" s="68">
        <f>Sheet4!CX77</f>
        <v>0</v>
      </c>
      <c r="CY78" s="68">
        <f>Sheet4!CY77</f>
        <v>1</v>
      </c>
      <c r="CZ78" s="68">
        <f>Sheet4!CZ77</f>
        <v>0</v>
      </c>
      <c r="DA78" s="68">
        <f>Sheet4!DA77</f>
        <v>1</v>
      </c>
      <c r="DB78" s="68">
        <f>Sheet4!DB77</f>
        <v>0</v>
      </c>
      <c r="DC78" s="68">
        <f>Sheet4!DC77</f>
        <v>1</v>
      </c>
      <c r="DD78" s="68">
        <f>Sheet4!DD77</f>
        <v>0</v>
      </c>
      <c r="DE78" s="68">
        <f>Sheet4!DE77</f>
        <v>1</v>
      </c>
      <c r="DF78" s="68">
        <f>Sheet4!DF77</f>
        <v>0</v>
      </c>
      <c r="DG78" s="68">
        <f>Sheet4!DG77</f>
        <v>2</v>
      </c>
      <c r="DH78" s="68">
        <f>Sheet4!DH77</f>
        <v>0</v>
      </c>
      <c r="DI78" s="68">
        <f>Sheet4!DI77</f>
        <v>0</v>
      </c>
      <c r="DJ78" s="68">
        <f>Sheet4!DJ77</f>
        <v>0</v>
      </c>
      <c r="DK78" s="68">
        <f>Sheet4!DK77</f>
        <v>0</v>
      </c>
      <c r="DL78" s="68">
        <f>Sheet4!DL77</f>
        <v>0</v>
      </c>
      <c r="DM78" s="68">
        <f>Sheet4!DM77</f>
        <v>0</v>
      </c>
      <c r="DN78" s="68">
        <f>Sheet4!DN77</f>
        <v>0</v>
      </c>
      <c r="DO78" s="68">
        <f>Sheet4!DO77</f>
        <v>0</v>
      </c>
      <c r="DP78" s="68">
        <f>Sheet4!DP77</f>
        <v>0</v>
      </c>
      <c r="DQ78" s="68">
        <f>Sheet4!DQ77</f>
        <v>0</v>
      </c>
    </row>
    <row r="79" spans="1:121" ht="15.75" customHeight="1" x14ac:dyDescent="0.3">
      <c r="A79" s="40">
        <f>Sheet4!A78</f>
        <v>75</v>
      </c>
      <c r="B79" s="40" t="str">
        <f>Sheet4!B78</f>
        <v>ጌቱ በቀለ</v>
      </c>
      <c r="C79" s="26">
        <f>Sheet4!C78</f>
        <v>21000</v>
      </c>
      <c r="D79" s="68">
        <f>Sheet4!D78</f>
        <v>1</v>
      </c>
      <c r="E79" s="68">
        <f>Sheet4!E78</f>
        <v>1</v>
      </c>
      <c r="F79" s="68">
        <f>Sheet4!F78</f>
        <v>1</v>
      </c>
      <c r="G79" s="68">
        <f>Sheet4!G78</f>
        <v>1</v>
      </c>
      <c r="H79" s="68">
        <f>Sheet4!H78</f>
        <v>1</v>
      </c>
      <c r="I79" s="68">
        <f>Sheet4!I78</f>
        <v>1</v>
      </c>
      <c r="J79" s="68">
        <f>Sheet4!J78</f>
        <v>1</v>
      </c>
      <c r="K79" s="68">
        <f>Sheet4!K78</f>
        <v>1</v>
      </c>
      <c r="L79" s="68">
        <f>Sheet4!L78</f>
        <v>1</v>
      </c>
      <c r="M79" s="68">
        <f>Sheet4!M78</f>
        <v>1</v>
      </c>
      <c r="N79" s="68">
        <f>Sheet4!N78</f>
        <v>1</v>
      </c>
      <c r="O79" s="68">
        <f>Sheet4!O78</f>
        <v>1</v>
      </c>
      <c r="P79" s="68">
        <f>Sheet4!P78</f>
        <v>1</v>
      </c>
      <c r="Q79" s="68">
        <f>Sheet4!Q78</f>
        <v>1</v>
      </c>
      <c r="R79" s="68">
        <f>Sheet4!R78</f>
        <v>1</v>
      </c>
      <c r="S79" s="68">
        <f>Sheet4!S78</f>
        <v>1</v>
      </c>
      <c r="T79" s="68">
        <f>Sheet4!T78</f>
        <v>1</v>
      </c>
      <c r="U79" s="68">
        <f>Sheet4!U78</f>
        <v>1</v>
      </c>
      <c r="V79" s="68">
        <f>Sheet4!V78</f>
        <v>1</v>
      </c>
      <c r="W79" s="68">
        <f>Sheet4!W78</f>
        <v>1</v>
      </c>
      <c r="X79" s="68">
        <f>Sheet4!X78</f>
        <v>1</v>
      </c>
      <c r="Y79" s="68">
        <f>Sheet4!Y78</f>
        <v>1</v>
      </c>
      <c r="Z79" s="68">
        <f>Sheet4!Z78</f>
        <v>1</v>
      </c>
      <c r="AA79" s="68">
        <f>Sheet4!AA78</f>
        <v>1</v>
      </c>
      <c r="AB79" s="68">
        <f>Sheet4!AB78</f>
        <v>1</v>
      </c>
      <c r="AC79" s="68">
        <f>Sheet4!AC78</f>
        <v>1</v>
      </c>
      <c r="AD79" s="68">
        <f>Sheet4!AD78</f>
        <v>1</v>
      </c>
      <c r="AE79" s="68">
        <f>Sheet4!AE78</f>
        <v>1</v>
      </c>
      <c r="AF79" s="68">
        <f>Sheet4!AF78</f>
        <v>1</v>
      </c>
      <c r="AG79" s="68">
        <f>Sheet4!AG78</f>
        <v>1</v>
      </c>
      <c r="AH79" s="68">
        <f>Sheet4!AH78</f>
        <v>1</v>
      </c>
      <c r="AI79" s="68">
        <f>Sheet4!AI78</f>
        <v>1</v>
      </c>
      <c r="AJ79" s="68">
        <f>Sheet4!AJ78</f>
        <v>1</v>
      </c>
      <c r="AK79" s="68">
        <f>Sheet4!AK78</f>
        <v>1</v>
      </c>
      <c r="AL79" s="68">
        <f>Sheet4!AL78</f>
        <v>1</v>
      </c>
      <c r="AM79" s="68">
        <f>Sheet4!AM78</f>
        <v>1</v>
      </c>
      <c r="AN79" s="68">
        <f>Sheet4!AN78</f>
        <v>1</v>
      </c>
      <c r="AO79" s="68">
        <f>Sheet4!AO78</f>
        <v>1</v>
      </c>
      <c r="AP79" s="68">
        <f>Sheet4!AP78</f>
        <v>1</v>
      </c>
      <c r="AQ79" s="68">
        <f>Sheet4!AQ78</f>
        <v>1</v>
      </c>
      <c r="AR79" s="68">
        <f>Sheet4!AR78</f>
        <v>1</v>
      </c>
      <c r="AS79" s="68">
        <f>Sheet4!AS78</f>
        <v>1</v>
      </c>
      <c r="AT79" s="68">
        <f>Sheet4!AT78</f>
        <v>1</v>
      </c>
      <c r="AU79" s="68">
        <f>Sheet4!AU78</f>
        <v>1</v>
      </c>
      <c r="AV79" s="68">
        <f>Sheet4!AV78</f>
        <v>1</v>
      </c>
      <c r="AW79" s="68">
        <f>Sheet4!AW78</f>
        <v>1</v>
      </c>
      <c r="AX79" s="68">
        <f>Sheet4!AX78</f>
        <v>1</v>
      </c>
      <c r="AY79" s="68">
        <f>Sheet4!AY78</f>
        <v>1</v>
      </c>
      <c r="AZ79" s="68">
        <f>Sheet4!AZ78</f>
        <v>1</v>
      </c>
      <c r="BA79" s="68">
        <f>Sheet4!BA78</f>
        <v>1</v>
      </c>
      <c r="BB79" s="68">
        <f>Sheet4!BB78</f>
        <v>1</v>
      </c>
      <c r="BC79" s="68">
        <f>Sheet4!BC78</f>
        <v>1</v>
      </c>
      <c r="BD79" s="68">
        <f>Sheet4!BD78</f>
        <v>1</v>
      </c>
      <c r="BE79" s="68">
        <f>Sheet4!BE78</f>
        <v>1</v>
      </c>
      <c r="BF79" s="68">
        <f>Sheet4!BF78</f>
        <v>1</v>
      </c>
      <c r="BG79" s="68">
        <f>Sheet4!BG78</f>
        <v>1</v>
      </c>
      <c r="BH79" s="68">
        <f>Sheet4!BH78</f>
        <v>1</v>
      </c>
      <c r="BI79" s="68">
        <f>Sheet4!BI78</f>
        <v>1</v>
      </c>
      <c r="BJ79" s="68">
        <f>Sheet4!BJ78</f>
        <v>1</v>
      </c>
      <c r="BK79" s="68">
        <f>Sheet4!BK78</f>
        <v>1</v>
      </c>
      <c r="BL79" s="68">
        <f>Sheet4!BL78</f>
        <v>1</v>
      </c>
      <c r="BM79" s="68">
        <f>Sheet4!BM78</f>
        <v>0</v>
      </c>
      <c r="BN79" s="68">
        <f>Sheet4!BN78</f>
        <v>2</v>
      </c>
      <c r="BO79" s="68">
        <f>Sheet4!BO78</f>
        <v>1</v>
      </c>
      <c r="BP79" s="68">
        <f>Sheet4!BP78</f>
        <v>1</v>
      </c>
      <c r="BQ79" s="68">
        <f>Sheet4!BQ78</f>
        <v>1</v>
      </c>
      <c r="BR79" s="68">
        <f>Sheet4!BR78</f>
        <v>1</v>
      </c>
      <c r="BS79" s="68">
        <f>Sheet4!BS78</f>
        <v>1</v>
      </c>
      <c r="BT79" s="68">
        <f>Sheet4!BT78</f>
        <v>0</v>
      </c>
      <c r="BU79" s="68">
        <f>Sheet4!BU78</f>
        <v>1</v>
      </c>
      <c r="BV79" s="68">
        <f>Sheet4!BV78</f>
        <v>1</v>
      </c>
      <c r="BW79" s="68">
        <f>Sheet4!BW78</f>
        <v>1</v>
      </c>
      <c r="BX79" s="68">
        <f>Sheet4!BX78</f>
        <v>1</v>
      </c>
      <c r="BY79" s="68">
        <f>Sheet4!BY78</f>
        <v>1</v>
      </c>
      <c r="BZ79" s="68">
        <f>Sheet4!BZ78</f>
        <v>1</v>
      </c>
      <c r="CA79" s="68">
        <f>Sheet4!CA78</f>
        <v>1</v>
      </c>
      <c r="CB79" s="68">
        <f>Sheet4!CB78</f>
        <v>1</v>
      </c>
      <c r="CC79" s="68">
        <f>Sheet4!CC78</f>
        <v>1</v>
      </c>
      <c r="CD79" s="68">
        <f>Sheet4!CD78</f>
        <v>0</v>
      </c>
      <c r="CE79" s="68">
        <f>Sheet4!CE78</f>
        <v>1</v>
      </c>
      <c r="CF79" s="68">
        <f>Sheet4!CF78</f>
        <v>1</v>
      </c>
      <c r="CG79" s="68">
        <f>Sheet4!CG78</f>
        <v>1</v>
      </c>
      <c r="CH79" s="68">
        <f>Sheet4!CH78</f>
        <v>1</v>
      </c>
      <c r="CI79" s="68">
        <f>Sheet4!CI78</f>
        <v>1</v>
      </c>
      <c r="CJ79" s="68">
        <f>Sheet4!CJ78</f>
        <v>1</v>
      </c>
      <c r="CK79" s="68">
        <f>Sheet4!CK78</f>
        <v>0</v>
      </c>
      <c r="CL79" s="68">
        <f>Sheet4!CL78</f>
        <v>1</v>
      </c>
      <c r="CM79" s="68">
        <f>Sheet4!CM78</f>
        <v>0</v>
      </c>
      <c r="CN79" s="68">
        <f>Sheet4!CN78</f>
        <v>1</v>
      </c>
      <c r="CO79" s="68">
        <f>Sheet4!CO78</f>
        <v>1</v>
      </c>
      <c r="CP79" s="68">
        <f>Sheet4!CP78</f>
        <v>1</v>
      </c>
      <c r="CQ79" s="68">
        <f>Sheet4!CQ78</f>
        <v>1</v>
      </c>
      <c r="CR79" s="68">
        <f>Sheet4!CR78</f>
        <v>1</v>
      </c>
      <c r="CS79" s="68">
        <f>Sheet4!CS78</f>
        <v>1</v>
      </c>
      <c r="CT79" s="68">
        <f>Sheet4!CT78</f>
        <v>1</v>
      </c>
      <c r="CU79" s="68">
        <f>Sheet4!CU78</f>
        <v>1</v>
      </c>
      <c r="CV79" s="68">
        <f>Sheet4!CV78</f>
        <v>1</v>
      </c>
      <c r="CW79" s="68">
        <f>Sheet4!CW78</f>
        <v>1</v>
      </c>
      <c r="CX79" s="68">
        <f>Sheet4!CX78</f>
        <v>1</v>
      </c>
      <c r="CY79" s="68">
        <f>Sheet4!CY78</f>
        <v>1</v>
      </c>
      <c r="CZ79" s="68">
        <f>Sheet4!CZ78</f>
        <v>1</v>
      </c>
      <c r="DA79" s="68">
        <f>Sheet4!DA78</f>
        <v>1</v>
      </c>
      <c r="DB79" s="68">
        <f>Sheet4!DB78</f>
        <v>1</v>
      </c>
      <c r="DC79" s="68">
        <f>Sheet4!DC78</f>
        <v>0</v>
      </c>
      <c r="DD79" s="68">
        <f>Sheet4!DD78</f>
        <v>0</v>
      </c>
      <c r="DE79" s="68">
        <f>Sheet4!DE78</f>
        <v>1</v>
      </c>
      <c r="DF79" s="68">
        <f>Sheet4!DF78</f>
        <v>1</v>
      </c>
      <c r="DG79" s="68">
        <f>Sheet4!DG78</f>
        <v>0</v>
      </c>
      <c r="DH79" s="68">
        <f>Sheet4!DH78</f>
        <v>0</v>
      </c>
      <c r="DI79" s="68">
        <f>Sheet4!DI78</f>
        <v>0</v>
      </c>
      <c r="DJ79" s="68">
        <f>Sheet4!DJ78</f>
        <v>0</v>
      </c>
      <c r="DK79" s="68">
        <f>Sheet4!DK78</f>
        <v>0</v>
      </c>
      <c r="DL79" s="68">
        <f>Sheet4!DL78</f>
        <v>0</v>
      </c>
      <c r="DM79" s="68">
        <f>Sheet4!DM78</f>
        <v>0</v>
      </c>
      <c r="DN79" s="68">
        <f>Sheet4!DN78</f>
        <v>0</v>
      </c>
      <c r="DO79" s="68">
        <f>Sheet4!DO78</f>
        <v>0</v>
      </c>
      <c r="DP79" s="68">
        <f>Sheet4!DP78</f>
        <v>0</v>
      </c>
      <c r="DQ79" s="68">
        <f>Sheet4!DQ78</f>
        <v>0</v>
      </c>
    </row>
    <row r="80" spans="1:121" ht="15.75" customHeight="1" x14ac:dyDescent="0.3">
      <c r="A80" s="40">
        <f>Sheet4!A79</f>
        <v>76</v>
      </c>
      <c r="B80" s="40" t="str">
        <f>Sheet4!B79</f>
        <v>ሽፈራዉ ከበደ</v>
      </c>
      <c r="C80" s="26">
        <f>Sheet4!C79</f>
        <v>21000</v>
      </c>
      <c r="D80" s="68">
        <f>Sheet4!D79</f>
        <v>1</v>
      </c>
      <c r="E80" s="68">
        <f>Sheet4!E79</f>
        <v>1</v>
      </c>
      <c r="F80" s="68">
        <f>Sheet4!F79</f>
        <v>1</v>
      </c>
      <c r="G80" s="68">
        <f>Sheet4!G79</f>
        <v>1</v>
      </c>
      <c r="H80" s="68">
        <f>Sheet4!H79</f>
        <v>1</v>
      </c>
      <c r="I80" s="68">
        <f>Sheet4!I79</f>
        <v>1</v>
      </c>
      <c r="J80" s="68">
        <f>Sheet4!J79</f>
        <v>1</v>
      </c>
      <c r="K80" s="68">
        <f>Sheet4!K79</f>
        <v>1</v>
      </c>
      <c r="L80" s="68">
        <f>Sheet4!L79</f>
        <v>1</v>
      </c>
      <c r="M80" s="68">
        <f>Sheet4!M79</f>
        <v>1</v>
      </c>
      <c r="N80" s="68">
        <f>Sheet4!N79</f>
        <v>1</v>
      </c>
      <c r="O80" s="68">
        <f>Sheet4!O79</f>
        <v>1</v>
      </c>
      <c r="P80" s="68">
        <f>Sheet4!P79</f>
        <v>1</v>
      </c>
      <c r="Q80" s="68">
        <f>Sheet4!Q79</f>
        <v>1</v>
      </c>
      <c r="R80" s="68">
        <f>Sheet4!R79</f>
        <v>1</v>
      </c>
      <c r="S80" s="68">
        <f>Sheet4!S79</f>
        <v>1</v>
      </c>
      <c r="T80" s="68">
        <f>Sheet4!T79</f>
        <v>1</v>
      </c>
      <c r="U80" s="68">
        <f>Sheet4!U79</f>
        <v>1</v>
      </c>
      <c r="V80" s="68">
        <f>Sheet4!V79</f>
        <v>1</v>
      </c>
      <c r="W80" s="68">
        <f>Sheet4!W79</f>
        <v>1</v>
      </c>
      <c r="X80" s="68">
        <f>Sheet4!X79</f>
        <v>0</v>
      </c>
      <c r="Y80" s="68">
        <f>Sheet4!Y79</f>
        <v>0</v>
      </c>
      <c r="Z80" s="68">
        <f>Sheet4!Z79</f>
        <v>0</v>
      </c>
      <c r="AA80" s="68">
        <f>Sheet4!AA79</f>
        <v>0</v>
      </c>
      <c r="AB80" s="68">
        <f>Sheet4!AB79</f>
        <v>0</v>
      </c>
      <c r="AC80" s="68">
        <f>Sheet4!AC79</f>
        <v>0</v>
      </c>
      <c r="AD80" s="68">
        <f>Sheet4!AD79</f>
        <v>0</v>
      </c>
      <c r="AE80" s="68">
        <f>Sheet4!AE79</f>
        <v>0</v>
      </c>
      <c r="AF80" s="68">
        <f>Sheet4!AF79</f>
        <v>0</v>
      </c>
      <c r="AG80" s="68">
        <f>Sheet4!AG79</f>
        <v>0</v>
      </c>
      <c r="AH80" s="68">
        <f>Sheet4!AH79</f>
        <v>10</v>
      </c>
      <c r="AI80" s="68">
        <f>Sheet4!AI79</f>
        <v>2</v>
      </c>
      <c r="AJ80" s="68">
        <f>Sheet4!AJ79</f>
        <v>1</v>
      </c>
      <c r="AK80" s="68">
        <f>Sheet4!AK79</f>
        <v>1</v>
      </c>
      <c r="AL80" s="68">
        <f>Sheet4!AL79</f>
        <v>1</v>
      </c>
      <c r="AM80" s="68">
        <f>Sheet4!AM79</f>
        <v>1</v>
      </c>
      <c r="AN80" s="68">
        <f>Sheet4!AN79</f>
        <v>1</v>
      </c>
      <c r="AO80" s="68">
        <f>Sheet4!AO79</f>
        <v>1</v>
      </c>
      <c r="AP80" s="68">
        <f>Sheet4!AP79</f>
        <v>1</v>
      </c>
      <c r="AQ80" s="68">
        <f>Sheet4!AQ79</f>
        <v>1</v>
      </c>
      <c r="AR80" s="68">
        <f>Sheet4!AR79</f>
        <v>0</v>
      </c>
      <c r="AS80" s="68">
        <f>Sheet4!AS79</f>
        <v>0</v>
      </c>
      <c r="AT80" s="68">
        <f>Sheet4!AT79</f>
        <v>3</v>
      </c>
      <c r="AU80" s="68">
        <f>Sheet4!AU79</f>
        <v>1</v>
      </c>
      <c r="AV80" s="68">
        <f>Sheet4!AV79</f>
        <v>1</v>
      </c>
      <c r="AW80" s="68">
        <f>Sheet4!AW79</f>
        <v>1</v>
      </c>
      <c r="AX80" s="68">
        <f>Sheet4!AX79</f>
        <v>0</v>
      </c>
      <c r="AY80" s="68">
        <f>Sheet4!AY79</f>
        <v>0</v>
      </c>
      <c r="AZ80" s="68">
        <f>Sheet4!AZ79</f>
        <v>0</v>
      </c>
      <c r="BA80" s="68">
        <f>Sheet4!BA79</f>
        <v>4</v>
      </c>
      <c r="BB80" s="68">
        <f>Sheet4!BB79</f>
        <v>1</v>
      </c>
      <c r="BC80" s="68">
        <f>Sheet4!BC79</f>
        <v>1</v>
      </c>
      <c r="BD80" s="68">
        <f>Sheet4!BD79</f>
        <v>1</v>
      </c>
      <c r="BE80" s="68">
        <f>Sheet4!BE79</f>
        <v>1</v>
      </c>
      <c r="BF80" s="68">
        <f>Sheet4!BF79</f>
        <v>0</v>
      </c>
      <c r="BG80" s="68">
        <f>Sheet4!BG79</f>
        <v>2</v>
      </c>
      <c r="BH80" s="68">
        <f>Sheet4!BH79</f>
        <v>0</v>
      </c>
      <c r="BI80" s="68">
        <f>Sheet4!BI79</f>
        <v>2</v>
      </c>
      <c r="BJ80" s="68">
        <f>Sheet4!BJ79</f>
        <v>1</v>
      </c>
      <c r="BK80" s="68">
        <f>Sheet4!BK79</f>
        <v>1</v>
      </c>
      <c r="BL80" s="68">
        <f>Sheet4!BL79</f>
        <v>1</v>
      </c>
      <c r="BM80" s="68">
        <f>Sheet4!BM79</f>
        <v>0</v>
      </c>
      <c r="BN80" s="68">
        <f>Sheet4!BN79</f>
        <v>2</v>
      </c>
      <c r="BO80" s="68">
        <f>Sheet4!BO79</f>
        <v>1</v>
      </c>
      <c r="BP80" s="68">
        <f>Sheet4!BP79</f>
        <v>0</v>
      </c>
      <c r="BQ80" s="68">
        <f>Sheet4!BQ79</f>
        <v>2</v>
      </c>
      <c r="BR80" s="68">
        <f>Sheet4!BR79</f>
        <v>1</v>
      </c>
      <c r="BS80" s="68">
        <f>Sheet4!BS79</f>
        <v>1</v>
      </c>
      <c r="BT80" s="68">
        <f>Sheet4!BT79</f>
        <v>1</v>
      </c>
      <c r="BU80" s="68">
        <f>Sheet4!BU79</f>
        <v>1</v>
      </c>
      <c r="BV80" s="68">
        <f>Sheet4!BV79</f>
        <v>0</v>
      </c>
      <c r="BW80" s="68">
        <f>Sheet4!BW79</f>
        <v>2</v>
      </c>
      <c r="BX80" s="68">
        <f>Sheet4!BX79</f>
        <v>1</v>
      </c>
      <c r="BY80" s="68">
        <f>Sheet4!BY79</f>
        <v>1</v>
      </c>
      <c r="BZ80" s="68">
        <f>Sheet4!BZ79</f>
        <v>1</v>
      </c>
      <c r="CA80" s="68">
        <f>Sheet4!CA79</f>
        <v>0</v>
      </c>
      <c r="CB80" s="68">
        <f>Sheet4!CB79</f>
        <v>2</v>
      </c>
      <c r="CC80" s="68">
        <f>Sheet4!CC79</f>
        <v>1</v>
      </c>
      <c r="CD80" s="68">
        <f>Sheet4!CD79</f>
        <v>1</v>
      </c>
      <c r="CE80" s="68">
        <f>Sheet4!CE79</f>
        <v>1</v>
      </c>
      <c r="CF80" s="68">
        <f>Sheet4!CF79</f>
        <v>1</v>
      </c>
      <c r="CG80" s="68">
        <f>Sheet4!CG79</f>
        <v>1</v>
      </c>
      <c r="CH80" s="68">
        <f>Sheet4!CH79</f>
        <v>1</v>
      </c>
      <c r="CI80" s="68">
        <f>Sheet4!CI79</f>
        <v>1</v>
      </c>
      <c r="CJ80" s="68">
        <f>Sheet4!CJ79</f>
        <v>1</v>
      </c>
      <c r="CK80" s="68">
        <f>Sheet4!CK79</f>
        <v>0</v>
      </c>
      <c r="CL80" s="68">
        <f>Sheet4!CL79</f>
        <v>2</v>
      </c>
      <c r="CM80" s="68">
        <f>Sheet4!CM79</f>
        <v>0</v>
      </c>
      <c r="CN80" s="68">
        <f>Sheet4!CN79</f>
        <v>2</v>
      </c>
      <c r="CO80" s="68">
        <f>Sheet4!CO79</f>
        <v>0</v>
      </c>
      <c r="CP80" s="68">
        <f>Sheet4!CP79</f>
        <v>2</v>
      </c>
      <c r="CQ80" s="68">
        <f>Sheet4!CQ79</f>
        <v>0</v>
      </c>
      <c r="CR80" s="68">
        <f>Sheet4!CR79</f>
        <v>0</v>
      </c>
      <c r="CS80" s="68">
        <f>Sheet4!CS79</f>
        <v>3</v>
      </c>
      <c r="CT80" s="68">
        <f>Sheet4!CT79</f>
        <v>1</v>
      </c>
      <c r="CU80" s="68">
        <f>Sheet4!CU79</f>
        <v>0</v>
      </c>
      <c r="CV80" s="68">
        <f>Sheet4!CV79</f>
        <v>2</v>
      </c>
      <c r="CW80" s="68">
        <f>Sheet4!CW79</f>
        <v>0</v>
      </c>
      <c r="CX80" s="68">
        <f>Sheet4!CX79</f>
        <v>2</v>
      </c>
      <c r="CY80" s="68">
        <f>Sheet4!CY79</f>
        <v>0</v>
      </c>
      <c r="CZ80" s="68">
        <f>Sheet4!CZ79</f>
        <v>2</v>
      </c>
      <c r="DA80" s="68">
        <f>Sheet4!DA79</f>
        <v>1</v>
      </c>
      <c r="DB80" s="68">
        <f>Sheet4!DB79</f>
        <v>0</v>
      </c>
      <c r="DC80" s="68">
        <f>Sheet4!DC79</f>
        <v>2</v>
      </c>
      <c r="DD80" s="68">
        <f>Sheet4!DD79</f>
        <v>1</v>
      </c>
      <c r="DE80" s="68">
        <f>Sheet4!DE79</f>
        <v>0</v>
      </c>
      <c r="DF80" s="68">
        <f>Sheet4!DF79</f>
        <v>2</v>
      </c>
      <c r="DG80" s="68">
        <f>Sheet4!DG79</f>
        <v>0</v>
      </c>
      <c r="DH80" s="68">
        <f>Sheet4!DH79</f>
        <v>0</v>
      </c>
      <c r="DI80" s="68">
        <f>Sheet4!DI79</f>
        <v>0</v>
      </c>
      <c r="DJ80" s="68">
        <f>Sheet4!DJ79</f>
        <v>0</v>
      </c>
      <c r="DK80" s="68">
        <f>Sheet4!DK79</f>
        <v>0</v>
      </c>
      <c r="DL80" s="68">
        <f>Sheet4!DL79</f>
        <v>0</v>
      </c>
      <c r="DM80" s="68">
        <f>Sheet4!DM79</f>
        <v>0</v>
      </c>
      <c r="DN80" s="68">
        <f>Sheet4!DN79</f>
        <v>0</v>
      </c>
      <c r="DO80" s="68">
        <f>Sheet4!DO79</f>
        <v>0</v>
      </c>
      <c r="DP80" s="68">
        <f>Sheet4!DP79</f>
        <v>0</v>
      </c>
      <c r="DQ80" s="68">
        <f>Sheet4!DQ79</f>
        <v>0</v>
      </c>
    </row>
    <row r="81" spans="1:121" ht="15.75" customHeight="1" x14ac:dyDescent="0.3">
      <c r="A81" s="40">
        <f>Sheet4!A80</f>
        <v>77</v>
      </c>
      <c r="B81" s="40" t="str">
        <f>Sheet4!B80</f>
        <v>አስቴር ገ/ፃዲቅ</v>
      </c>
      <c r="C81" s="26">
        <f>Sheet4!C80</f>
        <v>21000</v>
      </c>
      <c r="D81" s="68">
        <f>Sheet4!D80</f>
        <v>1</v>
      </c>
      <c r="E81" s="68">
        <f>Sheet4!E80</f>
        <v>1</v>
      </c>
      <c r="F81" s="68">
        <f>Sheet4!F80</f>
        <v>1</v>
      </c>
      <c r="G81" s="68">
        <f>Sheet4!G80</f>
        <v>1</v>
      </c>
      <c r="H81" s="68">
        <f>Sheet4!H80</f>
        <v>1</v>
      </c>
      <c r="I81" s="68">
        <f>Sheet4!I80</f>
        <v>1</v>
      </c>
      <c r="J81" s="68">
        <f>Sheet4!J80</f>
        <v>1</v>
      </c>
      <c r="K81" s="68">
        <f>Sheet4!K80</f>
        <v>1</v>
      </c>
      <c r="L81" s="68">
        <f>Sheet4!L80</f>
        <v>1</v>
      </c>
      <c r="M81" s="68">
        <f>Sheet4!M80</f>
        <v>1</v>
      </c>
      <c r="N81" s="68">
        <f>Sheet4!N80</f>
        <v>1</v>
      </c>
      <c r="O81" s="68">
        <f>Sheet4!O80</f>
        <v>1</v>
      </c>
      <c r="P81" s="68">
        <f>Sheet4!P80</f>
        <v>1</v>
      </c>
      <c r="Q81" s="68">
        <f>Sheet4!Q80</f>
        <v>1</v>
      </c>
      <c r="R81" s="68">
        <f>Sheet4!R80</f>
        <v>1</v>
      </c>
      <c r="S81" s="68">
        <f>Sheet4!S80</f>
        <v>1</v>
      </c>
      <c r="T81" s="68">
        <f>Sheet4!T80</f>
        <v>1</v>
      </c>
      <c r="U81" s="68">
        <f>Sheet4!U80</f>
        <v>1</v>
      </c>
      <c r="V81" s="68">
        <f>Sheet4!V80</f>
        <v>1</v>
      </c>
      <c r="W81" s="68">
        <f>Sheet4!W80</f>
        <v>1</v>
      </c>
      <c r="X81" s="68">
        <f>Sheet4!X80</f>
        <v>1</v>
      </c>
      <c r="Y81" s="68">
        <f>Sheet4!Y80</f>
        <v>1</v>
      </c>
      <c r="Z81" s="68">
        <f>Sheet4!Z80</f>
        <v>1</v>
      </c>
      <c r="AA81" s="68">
        <f>Sheet4!AA80</f>
        <v>0</v>
      </c>
      <c r="AB81" s="68">
        <f>Sheet4!AB80</f>
        <v>2</v>
      </c>
      <c r="AC81" s="68">
        <f>Sheet4!AC80</f>
        <v>1</v>
      </c>
      <c r="AD81" s="68">
        <f>Sheet4!AD80</f>
        <v>1</v>
      </c>
      <c r="AE81" s="68">
        <f>Sheet4!AE80</f>
        <v>1</v>
      </c>
      <c r="AF81" s="68">
        <f>Sheet4!AF80</f>
        <v>1</v>
      </c>
      <c r="AG81" s="68">
        <f>Sheet4!AG80</f>
        <v>1</v>
      </c>
      <c r="AH81" s="68">
        <f>Sheet4!AH80</f>
        <v>1</v>
      </c>
      <c r="AI81" s="68">
        <f>Sheet4!AI80</f>
        <v>1</v>
      </c>
      <c r="AJ81" s="68">
        <f>Sheet4!AJ80</f>
        <v>1</v>
      </c>
      <c r="AK81" s="68">
        <f>Sheet4!AK80</f>
        <v>1</v>
      </c>
      <c r="AL81" s="68">
        <f>Sheet4!AL80</f>
        <v>1</v>
      </c>
      <c r="AM81" s="68">
        <f>Sheet4!AM80</f>
        <v>1</v>
      </c>
      <c r="AN81" s="68">
        <f>Sheet4!AN80</f>
        <v>1</v>
      </c>
      <c r="AO81" s="68">
        <f>Sheet4!AO80</f>
        <v>1</v>
      </c>
      <c r="AP81" s="68">
        <f>Sheet4!AP80</f>
        <v>1</v>
      </c>
      <c r="AQ81" s="68">
        <f>Sheet4!AQ80</f>
        <v>1</v>
      </c>
      <c r="AR81" s="68">
        <f>Sheet4!AR80</f>
        <v>1</v>
      </c>
      <c r="AS81" s="68">
        <f>Sheet4!AS80</f>
        <v>0</v>
      </c>
      <c r="AT81" s="68">
        <f>Sheet4!AT80</f>
        <v>1</v>
      </c>
      <c r="AU81" s="68">
        <f>Sheet4!AU80</f>
        <v>1</v>
      </c>
      <c r="AV81" s="68">
        <f>Sheet4!AV80</f>
        <v>1</v>
      </c>
      <c r="AW81" s="68">
        <f>Sheet4!AW80</f>
        <v>1</v>
      </c>
      <c r="AX81" s="68">
        <f>Sheet4!AX80</f>
        <v>1</v>
      </c>
      <c r="AY81" s="68">
        <f>Sheet4!AY80</f>
        <v>1</v>
      </c>
      <c r="AZ81" s="68">
        <f>Sheet4!AZ80</f>
        <v>1</v>
      </c>
      <c r="BA81" s="68">
        <f>Sheet4!BA80</f>
        <v>1</v>
      </c>
      <c r="BB81" s="68">
        <f>Sheet4!BB80</f>
        <v>1</v>
      </c>
      <c r="BC81" s="68">
        <f>Sheet4!BC80</f>
        <v>1</v>
      </c>
      <c r="BD81" s="68">
        <f>Sheet4!BD80</f>
        <v>1</v>
      </c>
      <c r="BE81" s="68">
        <f>Sheet4!BE80</f>
        <v>1</v>
      </c>
      <c r="BF81" s="68">
        <f>Sheet4!BF80</f>
        <v>0</v>
      </c>
      <c r="BG81" s="68">
        <f>Sheet4!BG80</f>
        <v>2</v>
      </c>
      <c r="BH81" s="68">
        <f>Sheet4!BH80</f>
        <v>1</v>
      </c>
      <c r="BI81" s="68">
        <f>Sheet4!BI80</f>
        <v>1</v>
      </c>
      <c r="BJ81" s="68">
        <f>Sheet4!BJ80</f>
        <v>1</v>
      </c>
      <c r="BK81" s="68">
        <f>Sheet4!BK80</f>
        <v>1</v>
      </c>
      <c r="BL81" s="68">
        <f>Sheet4!BL80</f>
        <v>1</v>
      </c>
      <c r="BM81" s="68">
        <f>Sheet4!BM80</f>
        <v>0</v>
      </c>
      <c r="BN81" s="68">
        <f>Sheet4!BN80</f>
        <v>2</v>
      </c>
      <c r="BO81" s="68">
        <f>Sheet4!BO80</f>
        <v>1</v>
      </c>
      <c r="BP81" s="68">
        <f>Sheet4!BP80</f>
        <v>1</v>
      </c>
      <c r="BQ81" s="68">
        <f>Sheet4!BQ80</f>
        <v>1</v>
      </c>
      <c r="BR81" s="68">
        <f>Sheet4!BR80</f>
        <v>1</v>
      </c>
      <c r="BS81" s="68">
        <f>Sheet4!BS80</f>
        <v>2</v>
      </c>
      <c r="BT81" s="68">
        <f>Sheet4!BT80</f>
        <v>1</v>
      </c>
      <c r="BU81" s="68">
        <f>Sheet4!BU80</f>
        <v>0</v>
      </c>
      <c r="BV81" s="68">
        <f>Sheet4!BV80</f>
        <v>2</v>
      </c>
      <c r="BW81" s="68">
        <f>Sheet4!BW80</f>
        <v>0</v>
      </c>
      <c r="BX81" s="68">
        <f>Sheet4!BX80</f>
        <v>0</v>
      </c>
      <c r="BY81" s="68">
        <f>Sheet4!BY80</f>
        <v>3</v>
      </c>
      <c r="BZ81" s="68">
        <f>Sheet4!BZ80</f>
        <v>1</v>
      </c>
      <c r="CA81" s="68">
        <f>Sheet4!CA80</f>
        <v>1</v>
      </c>
      <c r="CB81" s="68">
        <f>Sheet4!CB80</f>
        <v>1</v>
      </c>
      <c r="CC81" s="68">
        <f>Sheet4!CC80</f>
        <v>1</v>
      </c>
      <c r="CD81" s="68">
        <f>Sheet4!CD80</f>
        <v>0</v>
      </c>
      <c r="CE81" s="68">
        <f>Sheet4!CE80</f>
        <v>1</v>
      </c>
      <c r="CF81" s="68">
        <f>Sheet4!CF80</f>
        <v>2</v>
      </c>
      <c r="CG81" s="68">
        <f>Sheet4!CG80</f>
        <v>1</v>
      </c>
      <c r="CH81" s="68">
        <f>Sheet4!CH80</f>
        <v>1</v>
      </c>
      <c r="CI81" s="68">
        <f>Sheet4!CI80</f>
        <v>0</v>
      </c>
      <c r="CJ81" s="68">
        <f>Sheet4!CJ80</f>
        <v>0</v>
      </c>
      <c r="CK81" s="68">
        <f>Sheet4!CK80</f>
        <v>0</v>
      </c>
      <c r="CL81" s="68">
        <f>Sheet4!CL80</f>
        <v>4</v>
      </c>
      <c r="CM81" s="68">
        <f>Sheet4!CM80</f>
        <v>1</v>
      </c>
      <c r="CN81" s="68">
        <f>Sheet4!CN80</f>
        <v>0</v>
      </c>
      <c r="CO81" s="68">
        <f>Sheet4!CO80</f>
        <v>2</v>
      </c>
      <c r="CP81" s="68">
        <f>Sheet4!CP80</f>
        <v>0</v>
      </c>
      <c r="CQ81" s="68">
        <f>Sheet4!CQ80</f>
        <v>2</v>
      </c>
      <c r="CR81" s="68">
        <f>Sheet4!CR80</f>
        <v>1</v>
      </c>
      <c r="CS81" s="68">
        <f>Sheet4!CS80</f>
        <v>1</v>
      </c>
      <c r="CT81" s="68">
        <f>Sheet4!CT80</f>
        <v>1</v>
      </c>
      <c r="CU81" s="68">
        <f>Sheet4!CU80</f>
        <v>1</v>
      </c>
      <c r="CV81" s="68">
        <f>Sheet4!CV80</f>
        <v>1</v>
      </c>
      <c r="CW81" s="68">
        <f>Sheet4!CW80</f>
        <v>0</v>
      </c>
      <c r="CX81" s="68">
        <f>Sheet4!CX80</f>
        <v>2</v>
      </c>
      <c r="CY81" s="68">
        <f>Sheet4!CY80</f>
        <v>1</v>
      </c>
      <c r="CZ81" s="68">
        <f>Sheet4!CZ80</f>
        <v>1</v>
      </c>
      <c r="DA81" s="68">
        <f>Sheet4!DA80</f>
        <v>0</v>
      </c>
      <c r="DB81" s="68">
        <f>Sheet4!DB80</f>
        <v>2</v>
      </c>
      <c r="DC81" s="68">
        <f>Sheet4!DC80</f>
        <v>1</v>
      </c>
      <c r="DD81" s="68">
        <f>Sheet4!DD80</f>
        <v>1</v>
      </c>
      <c r="DE81" s="68">
        <f>Sheet4!DE80</f>
        <v>1</v>
      </c>
      <c r="DF81" s="68">
        <f>Sheet4!DF80</f>
        <v>0</v>
      </c>
      <c r="DG81" s="68">
        <f>Sheet4!DG80</f>
        <v>2</v>
      </c>
      <c r="DH81" s="68">
        <f>Sheet4!DH80</f>
        <v>0</v>
      </c>
      <c r="DI81" s="68">
        <f>Sheet4!DI80</f>
        <v>0</v>
      </c>
      <c r="DJ81" s="68">
        <f>Sheet4!DJ80</f>
        <v>0</v>
      </c>
      <c r="DK81" s="68">
        <f>Sheet4!DK80</f>
        <v>0</v>
      </c>
      <c r="DL81" s="68">
        <f>Sheet4!DL80</f>
        <v>0</v>
      </c>
      <c r="DM81" s="68">
        <f>Sheet4!DM80</f>
        <v>0</v>
      </c>
      <c r="DN81" s="68">
        <f>Sheet4!DN80</f>
        <v>0</v>
      </c>
      <c r="DO81" s="68">
        <f>Sheet4!DO80</f>
        <v>0</v>
      </c>
      <c r="DP81" s="68">
        <f>Sheet4!DP80</f>
        <v>0</v>
      </c>
      <c r="DQ81" s="68">
        <f>Sheet4!DQ80</f>
        <v>0</v>
      </c>
    </row>
    <row r="82" spans="1:121" ht="15.75" customHeight="1" x14ac:dyDescent="0.3">
      <c r="A82" s="40">
        <f>Sheet4!A81</f>
        <v>78</v>
      </c>
      <c r="B82" s="40" t="str">
        <f>Sheet4!B81</f>
        <v>መለሰ ከለቻ</v>
      </c>
      <c r="C82" s="26">
        <f>Sheet4!C81</f>
        <v>21000</v>
      </c>
      <c r="D82" s="68">
        <f>Sheet4!D81</f>
        <v>1</v>
      </c>
      <c r="E82" s="68">
        <f>Sheet4!E81</f>
        <v>1</v>
      </c>
      <c r="F82" s="68">
        <f>Sheet4!F81</f>
        <v>1</v>
      </c>
      <c r="G82" s="68">
        <f>Sheet4!G81</f>
        <v>1</v>
      </c>
      <c r="H82" s="68">
        <f>Sheet4!H81</f>
        <v>1</v>
      </c>
      <c r="I82" s="68">
        <f>Sheet4!I81</f>
        <v>1</v>
      </c>
      <c r="J82" s="68">
        <f>Sheet4!J81</f>
        <v>1</v>
      </c>
      <c r="K82" s="68">
        <f>Sheet4!K81</f>
        <v>1</v>
      </c>
      <c r="L82" s="68">
        <f>Sheet4!L81</f>
        <v>1</v>
      </c>
      <c r="M82" s="68">
        <f>Sheet4!M81</f>
        <v>1</v>
      </c>
      <c r="N82" s="68">
        <f>Sheet4!N81</f>
        <v>1</v>
      </c>
      <c r="O82" s="68">
        <f>Sheet4!O81</f>
        <v>1</v>
      </c>
      <c r="P82" s="68">
        <f>Sheet4!P81</f>
        <v>1</v>
      </c>
      <c r="Q82" s="68">
        <f>Sheet4!Q81</f>
        <v>1</v>
      </c>
      <c r="R82" s="68">
        <f>Sheet4!R81</f>
        <v>1</v>
      </c>
      <c r="S82" s="68">
        <f>Sheet4!S81</f>
        <v>1</v>
      </c>
      <c r="T82" s="68">
        <f>Sheet4!T81</f>
        <v>1</v>
      </c>
      <c r="U82" s="68">
        <f>Sheet4!U81</f>
        <v>1</v>
      </c>
      <c r="V82" s="68">
        <f>Sheet4!V81</f>
        <v>1</v>
      </c>
      <c r="W82" s="68">
        <f>Sheet4!W81</f>
        <v>1</v>
      </c>
      <c r="X82" s="68">
        <f>Sheet4!X81</f>
        <v>1</v>
      </c>
      <c r="Y82" s="68">
        <f>Sheet4!Y81</f>
        <v>1</v>
      </c>
      <c r="Z82" s="68">
        <f>Sheet4!Z81</f>
        <v>1</v>
      </c>
      <c r="AA82" s="68">
        <f>Sheet4!AA81</f>
        <v>1</v>
      </c>
      <c r="AB82" s="68">
        <f>Sheet4!AB81</f>
        <v>1</v>
      </c>
      <c r="AC82" s="68">
        <f>Sheet4!AC81</f>
        <v>1</v>
      </c>
      <c r="AD82" s="68">
        <f>Sheet4!AD81</f>
        <v>1</v>
      </c>
      <c r="AE82" s="68">
        <f>Sheet4!AE81</f>
        <v>1</v>
      </c>
      <c r="AF82" s="68">
        <f>Sheet4!AF81</f>
        <v>1</v>
      </c>
      <c r="AG82" s="68">
        <f>Sheet4!AG81</f>
        <v>1</v>
      </c>
      <c r="AH82" s="68">
        <f>Sheet4!AH81</f>
        <v>1</v>
      </c>
      <c r="AI82" s="68">
        <f>Sheet4!AI81</f>
        <v>1</v>
      </c>
      <c r="AJ82" s="68">
        <f>Sheet4!AJ81</f>
        <v>1</v>
      </c>
      <c r="AK82" s="68">
        <f>Sheet4!AK81</f>
        <v>1</v>
      </c>
      <c r="AL82" s="68">
        <f>Sheet4!AL81</f>
        <v>1</v>
      </c>
      <c r="AM82" s="68">
        <f>Sheet4!AM81</f>
        <v>1</v>
      </c>
      <c r="AN82" s="68">
        <f>Sheet4!AN81</f>
        <v>1</v>
      </c>
      <c r="AO82" s="68">
        <f>Sheet4!AO81</f>
        <v>1</v>
      </c>
      <c r="AP82" s="68">
        <f>Sheet4!AP81</f>
        <v>1</v>
      </c>
      <c r="AQ82" s="68">
        <f>Sheet4!AQ81</f>
        <v>0</v>
      </c>
      <c r="AR82" s="68">
        <f>Sheet4!AR81</f>
        <v>2</v>
      </c>
      <c r="AS82" s="68">
        <f>Sheet4!AS81</f>
        <v>1</v>
      </c>
      <c r="AT82" s="68">
        <f>Sheet4!AT81</f>
        <v>1</v>
      </c>
      <c r="AU82" s="68">
        <f>Sheet4!AU81</f>
        <v>0</v>
      </c>
      <c r="AV82" s="68">
        <f>Sheet4!AV81</f>
        <v>2</v>
      </c>
      <c r="AW82" s="68">
        <f>Sheet4!AW81</f>
        <v>1</v>
      </c>
      <c r="AX82" s="68">
        <f>Sheet4!AX81</f>
        <v>1</v>
      </c>
      <c r="AY82" s="68">
        <f>Sheet4!AY81</f>
        <v>1</v>
      </c>
      <c r="AZ82" s="68">
        <f>Sheet4!AZ81</f>
        <v>0</v>
      </c>
      <c r="BA82" s="68">
        <f>Sheet4!BA81</f>
        <v>2</v>
      </c>
      <c r="BB82" s="68">
        <f>Sheet4!BB81</f>
        <v>0</v>
      </c>
      <c r="BC82" s="68">
        <f>Sheet4!BC81</f>
        <v>2</v>
      </c>
      <c r="BD82" s="68">
        <f>Sheet4!BD81</f>
        <v>1</v>
      </c>
      <c r="BE82" s="68">
        <f>Sheet4!BE81</f>
        <v>0</v>
      </c>
      <c r="BF82" s="68">
        <f>Sheet4!BF81</f>
        <v>2</v>
      </c>
      <c r="BG82" s="68">
        <f>Sheet4!BG81</f>
        <v>0</v>
      </c>
      <c r="BH82" s="68">
        <f>Sheet4!BH81</f>
        <v>2</v>
      </c>
      <c r="BI82" s="68">
        <f>Sheet4!BI81</f>
        <v>0</v>
      </c>
      <c r="BJ82" s="68">
        <f>Sheet4!BJ81</f>
        <v>1</v>
      </c>
      <c r="BK82" s="68">
        <f>Sheet4!BK81</f>
        <v>2</v>
      </c>
      <c r="BL82" s="68">
        <f>Sheet4!BL81</f>
        <v>1</v>
      </c>
      <c r="BM82" s="68">
        <f>Sheet4!BM81</f>
        <v>0</v>
      </c>
      <c r="BN82" s="68">
        <f>Sheet4!BN81</f>
        <v>2</v>
      </c>
      <c r="BO82" s="68">
        <f>Sheet4!BO81</f>
        <v>1</v>
      </c>
      <c r="BP82" s="68">
        <f>Sheet4!BP81</f>
        <v>1</v>
      </c>
      <c r="BQ82" s="68">
        <f>Sheet4!BQ81</f>
        <v>1</v>
      </c>
      <c r="BR82" s="68">
        <f>Sheet4!BR81</f>
        <v>0</v>
      </c>
      <c r="BS82" s="68">
        <f>Sheet4!BS81</f>
        <v>0</v>
      </c>
      <c r="BT82" s="68">
        <f>Sheet4!BT81</f>
        <v>0</v>
      </c>
      <c r="BU82" s="68">
        <f>Sheet4!BU81</f>
        <v>2</v>
      </c>
      <c r="BV82" s="68">
        <f>Sheet4!BV81</f>
        <v>2</v>
      </c>
      <c r="BW82" s="68">
        <f>Sheet4!BW81</f>
        <v>2</v>
      </c>
      <c r="BX82" s="68">
        <f>Sheet4!BX81</f>
        <v>0</v>
      </c>
      <c r="BY82" s="68">
        <f>Sheet4!BY81</f>
        <v>2</v>
      </c>
      <c r="BZ82" s="68">
        <f>Sheet4!BZ81</f>
        <v>1</v>
      </c>
      <c r="CA82" s="68">
        <f>Sheet4!CA81</f>
        <v>1</v>
      </c>
      <c r="CB82" s="68">
        <f>Sheet4!CB81</f>
        <v>1</v>
      </c>
      <c r="CC82" s="68">
        <f>Sheet4!CC81</f>
        <v>1</v>
      </c>
      <c r="CD82" s="68">
        <f>Sheet4!CD81</f>
        <v>0</v>
      </c>
      <c r="CE82" s="68">
        <f>Sheet4!CE81</f>
        <v>2</v>
      </c>
      <c r="CF82" s="68">
        <f>Sheet4!CF81</f>
        <v>0</v>
      </c>
      <c r="CG82" s="68">
        <f>Sheet4!CG81</f>
        <v>2</v>
      </c>
      <c r="CH82" s="68">
        <f>Sheet4!CH81</f>
        <v>0</v>
      </c>
      <c r="CI82" s="68">
        <f>Sheet4!CI81</f>
        <v>2</v>
      </c>
      <c r="CJ82" s="68">
        <f>Sheet4!CJ81</f>
        <v>0</v>
      </c>
      <c r="CK82" s="68">
        <f>Sheet4!CK81</f>
        <v>2</v>
      </c>
      <c r="CL82" s="68">
        <f>Sheet4!CL81</f>
        <v>1</v>
      </c>
      <c r="CM82" s="68">
        <f>Sheet4!CM81</f>
        <v>1</v>
      </c>
      <c r="CN82" s="68">
        <f>Sheet4!CN81</f>
        <v>1</v>
      </c>
      <c r="CO82" s="68">
        <f>Sheet4!CO81</f>
        <v>0</v>
      </c>
      <c r="CP82" s="68">
        <f>Sheet4!CP81</f>
        <v>2</v>
      </c>
      <c r="CQ82" s="68">
        <f>Sheet4!CQ81</f>
        <v>0</v>
      </c>
      <c r="CR82" s="68">
        <f>Sheet4!CR81</f>
        <v>2</v>
      </c>
      <c r="CS82" s="68">
        <f>Sheet4!CS81</f>
        <v>0</v>
      </c>
      <c r="CT82" s="68">
        <f>Sheet4!CT81</f>
        <v>2</v>
      </c>
      <c r="CU82" s="68">
        <f>Sheet4!CU81</f>
        <v>1</v>
      </c>
      <c r="CV82" s="68">
        <f>Sheet4!CV81</f>
        <v>1</v>
      </c>
      <c r="CW82" s="68">
        <f>Sheet4!CW81</f>
        <v>0</v>
      </c>
      <c r="CX82" s="68">
        <f>Sheet4!CX81</f>
        <v>1</v>
      </c>
      <c r="CY82" s="68">
        <f>Sheet4!CY81</f>
        <v>1</v>
      </c>
      <c r="CZ82" s="68">
        <f>Sheet4!CZ81</f>
        <v>1</v>
      </c>
      <c r="DA82" s="68">
        <f>Sheet4!DA81</f>
        <v>1</v>
      </c>
      <c r="DB82" s="68">
        <f>Sheet4!DB81</f>
        <v>1</v>
      </c>
      <c r="DC82" s="68">
        <f>Sheet4!DC81</f>
        <v>1</v>
      </c>
      <c r="DD82" s="68">
        <f>Sheet4!DD81</f>
        <v>1</v>
      </c>
      <c r="DE82" s="68">
        <f>Sheet4!DE81</f>
        <v>1</v>
      </c>
      <c r="DF82" s="68">
        <f>Sheet4!DF81</f>
        <v>1</v>
      </c>
      <c r="DG82" s="68">
        <f>Sheet4!DG81</f>
        <v>1</v>
      </c>
      <c r="DH82" s="68">
        <f>Sheet4!DH81</f>
        <v>0</v>
      </c>
      <c r="DI82" s="68">
        <f>Sheet4!DI81</f>
        <v>0</v>
      </c>
      <c r="DJ82" s="68">
        <f>Sheet4!DJ81</f>
        <v>0</v>
      </c>
      <c r="DK82" s="68">
        <f>Sheet4!DK81</f>
        <v>0</v>
      </c>
      <c r="DL82" s="68">
        <f>Sheet4!DL81</f>
        <v>0</v>
      </c>
      <c r="DM82" s="68">
        <f>Sheet4!DM81</f>
        <v>0</v>
      </c>
      <c r="DN82" s="68">
        <f>Sheet4!DN81</f>
        <v>0</v>
      </c>
      <c r="DO82" s="68">
        <f>Sheet4!DO81</f>
        <v>0</v>
      </c>
      <c r="DP82" s="68">
        <f>Sheet4!DP81</f>
        <v>0</v>
      </c>
      <c r="DQ82" s="68">
        <f>Sheet4!DQ81</f>
        <v>0</v>
      </c>
    </row>
    <row r="83" spans="1:121" ht="15.75" customHeight="1" x14ac:dyDescent="0.3">
      <c r="A83" s="40">
        <f>Sheet4!A82</f>
        <v>79</v>
      </c>
      <c r="B83" s="40" t="str">
        <f>Sheet4!B82</f>
        <v>ሻምበል ሚልክያስ</v>
      </c>
      <c r="C83" s="26">
        <f>Sheet4!C82</f>
        <v>21000</v>
      </c>
      <c r="D83" s="68">
        <f>Sheet4!D82</f>
        <v>1</v>
      </c>
      <c r="E83" s="68">
        <f>Sheet4!E82</f>
        <v>1</v>
      </c>
      <c r="F83" s="68">
        <f>Sheet4!F82</f>
        <v>1</v>
      </c>
      <c r="G83" s="68">
        <f>Sheet4!G82</f>
        <v>1</v>
      </c>
      <c r="H83" s="68">
        <f>Sheet4!H82</f>
        <v>1</v>
      </c>
      <c r="I83" s="68">
        <f>Sheet4!I82</f>
        <v>1</v>
      </c>
      <c r="J83" s="68">
        <f>Sheet4!J82</f>
        <v>1</v>
      </c>
      <c r="K83" s="68">
        <f>Sheet4!K82</f>
        <v>1</v>
      </c>
      <c r="L83" s="68">
        <f>Sheet4!L82</f>
        <v>1</v>
      </c>
      <c r="M83" s="68">
        <f>Sheet4!M82</f>
        <v>1</v>
      </c>
      <c r="N83" s="68">
        <f>Sheet4!N82</f>
        <v>1</v>
      </c>
      <c r="O83" s="68">
        <f>Sheet4!O82</f>
        <v>1</v>
      </c>
      <c r="P83" s="68">
        <f>Sheet4!P82</f>
        <v>1</v>
      </c>
      <c r="Q83" s="68">
        <f>Sheet4!Q82</f>
        <v>1</v>
      </c>
      <c r="R83" s="68">
        <f>Sheet4!R82</f>
        <v>1</v>
      </c>
      <c r="S83" s="68">
        <f>Sheet4!S82</f>
        <v>1</v>
      </c>
      <c r="T83" s="68">
        <f>Sheet4!T82</f>
        <v>1</v>
      </c>
      <c r="U83" s="68">
        <f>Sheet4!U82</f>
        <v>1</v>
      </c>
      <c r="V83" s="68">
        <f>Sheet4!V82</f>
        <v>1</v>
      </c>
      <c r="W83" s="68">
        <f>Sheet4!W82</f>
        <v>1</v>
      </c>
      <c r="X83" s="68">
        <f>Sheet4!X82</f>
        <v>1</v>
      </c>
      <c r="Y83" s="68">
        <f>Sheet4!Y82</f>
        <v>1</v>
      </c>
      <c r="Z83" s="68">
        <f>Sheet4!Z82</f>
        <v>1</v>
      </c>
      <c r="AA83" s="68">
        <f>Sheet4!AA82</f>
        <v>0</v>
      </c>
      <c r="AB83" s="68">
        <f>Sheet4!AB82</f>
        <v>2</v>
      </c>
      <c r="AC83" s="68">
        <f>Sheet4!AC82</f>
        <v>1</v>
      </c>
      <c r="AD83" s="68">
        <f>Sheet4!AD82</f>
        <v>1</v>
      </c>
      <c r="AE83" s="68">
        <f>Sheet4!AE82</f>
        <v>1</v>
      </c>
      <c r="AF83" s="68">
        <f>Sheet4!AF82</f>
        <v>1</v>
      </c>
      <c r="AG83" s="68">
        <f>Sheet4!AG82</f>
        <v>0</v>
      </c>
      <c r="AH83" s="68">
        <f>Sheet4!AH82</f>
        <v>2</v>
      </c>
      <c r="AI83" s="68">
        <f>Sheet4!AI82</f>
        <v>1</v>
      </c>
      <c r="AJ83" s="68">
        <f>Sheet4!AJ82</f>
        <v>1</v>
      </c>
      <c r="AK83" s="68">
        <f>Sheet4!AK82</f>
        <v>0</v>
      </c>
      <c r="AL83" s="68">
        <f>Sheet4!AL82</f>
        <v>2</v>
      </c>
      <c r="AM83" s="68">
        <f>Sheet4!AM82</f>
        <v>1</v>
      </c>
      <c r="AN83" s="68">
        <f>Sheet4!AN82</f>
        <v>1</v>
      </c>
      <c r="AO83" s="68">
        <f>Sheet4!AO82</f>
        <v>1</v>
      </c>
      <c r="AP83" s="68">
        <f>Sheet4!AP82</f>
        <v>1</v>
      </c>
      <c r="AQ83" s="68">
        <f>Sheet4!AQ82</f>
        <v>1</v>
      </c>
      <c r="AR83" s="68">
        <f>Sheet4!AR82</f>
        <v>0</v>
      </c>
      <c r="AS83" s="68">
        <f>Sheet4!AS82</f>
        <v>2</v>
      </c>
      <c r="AT83" s="68">
        <f>Sheet4!AT82</f>
        <v>1</v>
      </c>
      <c r="AU83" s="68">
        <f>Sheet4!AU82</f>
        <v>0</v>
      </c>
      <c r="AV83" s="68">
        <f>Sheet4!AV82</f>
        <v>2</v>
      </c>
      <c r="AW83" s="68">
        <f>Sheet4!AW82</f>
        <v>1</v>
      </c>
      <c r="AX83" s="68">
        <f>Sheet4!AX82</f>
        <v>1</v>
      </c>
      <c r="AY83" s="68">
        <f>Sheet4!AY82</f>
        <v>1</v>
      </c>
      <c r="AZ83" s="68">
        <f>Sheet4!AZ82</f>
        <v>0</v>
      </c>
      <c r="BA83" s="68">
        <f>Sheet4!BA82</f>
        <v>2</v>
      </c>
      <c r="BB83" s="68">
        <f>Sheet4!BB82</f>
        <v>0</v>
      </c>
      <c r="BC83" s="68">
        <f>Sheet4!BC82</f>
        <v>2</v>
      </c>
      <c r="BD83" s="68">
        <f>Sheet4!BD82</f>
        <v>1</v>
      </c>
      <c r="BE83" s="68">
        <f>Sheet4!BE82</f>
        <v>0</v>
      </c>
      <c r="BF83" s="68">
        <f>Sheet4!BF82</f>
        <v>2</v>
      </c>
      <c r="BG83" s="68">
        <f>Sheet4!BG82</f>
        <v>0</v>
      </c>
      <c r="BH83" s="68">
        <f>Sheet4!BH82</f>
        <v>2</v>
      </c>
      <c r="BI83" s="68">
        <f>Sheet4!BI82</f>
        <v>1</v>
      </c>
      <c r="BJ83" s="68">
        <f>Sheet4!BJ82</f>
        <v>0</v>
      </c>
      <c r="BK83" s="68">
        <f>Sheet4!BK82</f>
        <v>1</v>
      </c>
      <c r="BL83" s="68">
        <f>Sheet4!BL82</f>
        <v>2</v>
      </c>
      <c r="BM83" s="68">
        <f>Sheet4!BM82</f>
        <v>1</v>
      </c>
      <c r="BN83" s="68">
        <f>Sheet4!BN82</f>
        <v>1</v>
      </c>
      <c r="BO83" s="68">
        <f>Sheet4!BO82</f>
        <v>1</v>
      </c>
      <c r="BP83" s="68">
        <f>Sheet4!BP82</f>
        <v>1</v>
      </c>
      <c r="BQ83" s="68">
        <f>Sheet4!BQ82</f>
        <v>1</v>
      </c>
      <c r="BR83" s="68">
        <f>Sheet4!BR82</f>
        <v>1</v>
      </c>
      <c r="BS83" s="68">
        <f>Sheet4!BS82</f>
        <v>1</v>
      </c>
      <c r="BT83" s="68">
        <f>Sheet4!BT82</f>
        <v>1</v>
      </c>
      <c r="BU83" s="68">
        <f>Sheet4!BU82</f>
        <v>1</v>
      </c>
      <c r="BV83" s="68">
        <f>Sheet4!BV82</f>
        <v>1</v>
      </c>
      <c r="BW83" s="68">
        <f>Sheet4!BW82</f>
        <v>0</v>
      </c>
      <c r="BX83" s="68">
        <f>Sheet4!BX82</f>
        <v>2</v>
      </c>
      <c r="BY83" s="68">
        <f>Sheet4!BY82</f>
        <v>1</v>
      </c>
      <c r="BZ83" s="68">
        <f>Sheet4!BZ82</f>
        <v>0</v>
      </c>
      <c r="CA83" s="68">
        <f>Sheet4!CA82</f>
        <v>2</v>
      </c>
      <c r="CB83" s="68">
        <f>Sheet4!CB82</f>
        <v>1</v>
      </c>
      <c r="CC83" s="68">
        <f>Sheet4!CC82</f>
        <v>1</v>
      </c>
      <c r="CD83" s="68">
        <f>Sheet4!CD82</f>
        <v>0</v>
      </c>
      <c r="CE83" s="68">
        <f>Sheet4!CE82</f>
        <v>2</v>
      </c>
      <c r="CF83" s="68">
        <f>Sheet4!CF82</f>
        <v>1</v>
      </c>
      <c r="CG83" s="68">
        <f>Sheet4!CG82</f>
        <v>1</v>
      </c>
      <c r="CH83" s="68">
        <f>Sheet4!CH82</f>
        <v>1</v>
      </c>
      <c r="CI83" s="68">
        <f>Sheet4!CI82</f>
        <v>1</v>
      </c>
      <c r="CJ83" s="68">
        <f>Sheet4!CJ82</f>
        <v>1</v>
      </c>
      <c r="CK83" s="68">
        <f>Sheet4!CK82</f>
        <v>1</v>
      </c>
      <c r="CL83" s="68">
        <f>Sheet4!CL82</f>
        <v>1</v>
      </c>
      <c r="CM83" s="68">
        <f>Sheet4!CM82</f>
        <v>1</v>
      </c>
      <c r="CN83" s="68">
        <f>Sheet4!CN82</f>
        <v>1</v>
      </c>
      <c r="CO83" s="68">
        <f>Sheet4!CO82</f>
        <v>0</v>
      </c>
      <c r="CP83" s="68">
        <f>Sheet4!CP82</f>
        <v>2</v>
      </c>
      <c r="CQ83" s="68">
        <f>Sheet4!CQ82</f>
        <v>1</v>
      </c>
      <c r="CR83" s="68">
        <f>Sheet4!CR82</f>
        <v>1</v>
      </c>
      <c r="CS83" s="68">
        <f>Sheet4!CS82</f>
        <v>1</v>
      </c>
      <c r="CT83" s="68">
        <f>Sheet4!CT82</f>
        <v>1</v>
      </c>
      <c r="CU83" s="68">
        <f>Sheet4!CU82</f>
        <v>0</v>
      </c>
      <c r="CV83" s="68">
        <f>Sheet4!CV82</f>
        <v>2</v>
      </c>
      <c r="CW83" s="68">
        <f>Sheet4!CW82</f>
        <v>0</v>
      </c>
      <c r="CX83" s="68">
        <f>Sheet4!CX82</f>
        <v>2</v>
      </c>
      <c r="CY83" s="68">
        <f>Sheet4!CY82</f>
        <v>0</v>
      </c>
      <c r="CZ83" s="68">
        <f>Sheet4!CZ82</f>
        <v>2</v>
      </c>
      <c r="DA83" s="68">
        <f>Sheet4!DA82</f>
        <v>0</v>
      </c>
      <c r="DB83" s="68">
        <f>Sheet4!DB82</f>
        <v>1</v>
      </c>
      <c r="DC83" s="68">
        <f>Sheet4!DC82</f>
        <v>2</v>
      </c>
      <c r="DD83" s="68">
        <f>Sheet4!DD82</f>
        <v>0</v>
      </c>
      <c r="DE83" s="68">
        <f>Sheet4!DE82</f>
        <v>1</v>
      </c>
      <c r="DF83" s="68">
        <f>Sheet4!DF82</f>
        <v>1</v>
      </c>
      <c r="DG83" s="68">
        <f>Sheet4!DG82</f>
        <v>0</v>
      </c>
      <c r="DH83" s="68">
        <f>Sheet4!DH82</f>
        <v>0</v>
      </c>
      <c r="DI83" s="68">
        <f>Sheet4!DI82</f>
        <v>0</v>
      </c>
      <c r="DJ83" s="68">
        <f>Sheet4!DJ82</f>
        <v>0</v>
      </c>
      <c r="DK83" s="68">
        <f>Sheet4!DK82</f>
        <v>0</v>
      </c>
      <c r="DL83" s="68">
        <f>Sheet4!DL82</f>
        <v>0</v>
      </c>
      <c r="DM83" s="68">
        <f>Sheet4!DM82</f>
        <v>0</v>
      </c>
      <c r="DN83" s="68">
        <f>Sheet4!DN82</f>
        <v>0</v>
      </c>
      <c r="DO83" s="68">
        <f>Sheet4!DO82</f>
        <v>0</v>
      </c>
      <c r="DP83" s="68">
        <f>Sheet4!DP82</f>
        <v>0</v>
      </c>
      <c r="DQ83" s="68">
        <f>Sheet4!DQ82</f>
        <v>0</v>
      </c>
    </row>
    <row r="84" spans="1:121" ht="15.75" customHeight="1" x14ac:dyDescent="0.3">
      <c r="A84" s="40">
        <f>Sheet4!A83</f>
        <v>80</v>
      </c>
      <c r="B84" s="40" t="str">
        <f>Sheet4!B83</f>
        <v>አክሊሉ አጥናፉ</v>
      </c>
      <c r="C84" s="26">
        <f>Sheet4!C83</f>
        <v>21000</v>
      </c>
      <c r="D84" s="68">
        <f>Sheet4!D83</f>
        <v>1</v>
      </c>
      <c r="E84" s="68">
        <f>Sheet4!E83</f>
        <v>1</v>
      </c>
      <c r="F84" s="68">
        <f>Sheet4!F83</f>
        <v>1</v>
      </c>
      <c r="G84" s="68">
        <f>Sheet4!G83</f>
        <v>1</v>
      </c>
      <c r="H84" s="68">
        <f>Sheet4!H83</f>
        <v>1</v>
      </c>
      <c r="I84" s="68">
        <f>Sheet4!I83</f>
        <v>1</v>
      </c>
      <c r="J84" s="68">
        <f>Sheet4!J83</f>
        <v>1</v>
      </c>
      <c r="K84" s="68">
        <f>Sheet4!K83</f>
        <v>1</v>
      </c>
      <c r="L84" s="68">
        <f>Sheet4!L83</f>
        <v>1</v>
      </c>
      <c r="M84" s="68">
        <f>Sheet4!M83</f>
        <v>1</v>
      </c>
      <c r="N84" s="68">
        <f>Sheet4!N83</f>
        <v>1</v>
      </c>
      <c r="O84" s="68">
        <f>Sheet4!O83</f>
        <v>1</v>
      </c>
      <c r="P84" s="68">
        <f>Sheet4!P83</f>
        <v>1</v>
      </c>
      <c r="Q84" s="68">
        <f>Sheet4!Q83</f>
        <v>1</v>
      </c>
      <c r="R84" s="68">
        <f>Sheet4!R83</f>
        <v>1</v>
      </c>
      <c r="S84" s="68">
        <f>Sheet4!S83</f>
        <v>1</v>
      </c>
      <c r="T84" s="68">
        <f>Sheet4!T83</f>
        <v>1</v>
      </c>
      <c r="U84" s="68">
        <f>Sheet4!U83</f>
        <v>1</v>
      </c>
      <c r="V84" s="68">
        <f>Sheet4!V83</f>
        <v>1</v>
      </c>
      <c r="W84" s="68">
        <f>Sheet4!W83</f>
        <v>1</v>
      </c>
      <c r="X84" s="68">
        <f>Sheet4!X83</f>
        <v>1</v>
      </c>
      <c r="Y84" s="68">
        <f>Sheet4!Y83</f>
        <v>1</v>
      </c>
      <c r="Z84" s="68">
        <f>Sheet4!Z83</f>
        <v>1</v>
      </c>
      <c r="AA84" s="68">
        <f>Sheet4!AA83</f>
        <v>1</v>
      </c>
      <c r="AB84" s="68">
        <f>Sheet4!AB83</f>
        <v>1</v>
      </c>
      <c r="AC84" s="68">
        <f>Sheet4!AC83</f>
        <v>1</v>
      </c>
      <c r="AD84" s="68">
        <f>Sheet4!AD83</f>
        <v>1</v>
      </c>
      <c r="AE84" s="68">
        <f>Sheet4!AE83</f>
        <v>1</v>
      </c>
      <c r="AF84" s="68">
        <f>Sheet4!AF83</f>
        <v>1</v>
      </c>
      <c r="AG84" s="68">
        <f>Sheet4!AG83</f>
        <v>1</v>
      </c>
      <c r="AH84" s="68">
        <f>Sheet4!AH83</f>
        <v>1</v>
      </c>
      <c r="AI84" s="68">
        <f>Sheet4!AI83</f>
        <v>1</v>
      </c>
      <c r="AJ84" s="68">
        <f>Sheet4!AJ83</f>
        <v>1</v>
      </c>
      <c r="AK84" s="68">
        <f>Sheet4!AK83</f>
        <v>1</v>
      </c>
      <c r="AL84" s="68">
        <f>Sheet4!AL83</f>
        <v>1</v>
      </c>
      <c r="AM84" s="68">
        <f>Sheet4!AM83</f>
        <v>0</v>
      </c>
      <c r="AN84" s="68">
        <f>Sheet4!AN83</f>
        <v>2</v>
      </c>
      <c r="AO84" s="68">
        <f>Sheet4!AO83</f>
        <v>1</v>
      </c>
      <c r="AP84" s="68">
        <f>Sheet4!AP83</f>
        <v>1</v>
      </c>
      <c r="AQ84" s="68">
        <f>Sheet4!AQ83</f>
        <v>1</v>
      </c>
      <c r="AR84" s="68">
        <f>Sheet4!AR83</f>
        <v>1</v>
      </c>
      <c r="AS84" s="68">
        <f>Sheet4!AS83</f>
        <v>0</v>
      </c>
      <c r="AT84" s="68">
        <f>Sheet4!AT83</f>
        <v>2</v>
      </c>
      <c r="AU84" s="68">
        <f>Sheet4!AU83</f>
        <v>1</v>
      </c>
      <c r="AV84" s="68">
        <f>Sheet4!AV83</f>
        <v>1</v>
      </c>
      <c r="AW84" s="68">
        <f>Sheet4!AW83</f>
        <v>1</v>
      </c>
      <c r="AX84" s="68">
        <f>Sheet4!AX83</f>
        <v>0</v>
      </c>
      <c r="AY84" s="68">
        <f>Sheet4!AY83</f>
        <v>1</v>
      </c>
      <c r="AZ84" s="68">
        <f>Sheet4!AZ83</f>
        <v>2</v>
      </c>
      <c r="BA84" s="68">
        <f>Sheet4!BA83</f>
        <v>0</v>
      </c>
      <c r="BB84" s="68">
        <f>Sheet4!BB83</f>
        <v>1</v>
      </c>
      <c r="BC84" s="68">
        <f>Sheet4!BC83</f>
        <v>1</v>
      </c>
      <c r="BD84" s="68">
        <f>Sheet4!BD83</f>
        <v>0</v>
      </c>
      <c r="BE84" s="68">
        <f>Sheet4!BE83</f>
        <v>2</v>
      </c>
      <c r="BF84" s="68">
        <f>Sheet4!BF83</f>
        <v>1</v>
      </c>
      <c r="BG84" s="68">
        <f>Sheet4!BG83</f>
        <v>1</v>
      </c>
      <c r="BH84" s="68">
        <f>Sheet4!BH83</f>
        <v>1</v>
      </c>
      <c r="BI84" s="68">
        <f>Sheet4!BI83</f>
        <v>0</v>
      </c>
      <c r="BJ84" s="68">
        <f>Sheet4!BJ83</f>
        <v>2</v>
      </c>
      <c r="BK84" s="68">
        <f>Sheet4!BK83</f>
        <v>1</v>
      </c>
      <c r="BL84" s="68">
        <f>Sheet4!BL83</f>
        <v>1</v>
      </c>
      <c r="BM84" s="68">
        <f>Sheet4!BM83</f>
        <v>0</v>
      </c>
      <c r="BN84" s="68">
        <f>Sheet4!BN83</f>
        <v>1</v>
      </c>
      <c r="BO84" s="68">
        <f>Sheet4!BO83</f>
        <v>1</v>
      </c>
      <c r="BP84" s="68">
        <f>Sheet4!BP83</f>
        <v>1</v>
      </c>
      <c r="BQ84" s="68">
        <f>Sheet4!BQ83</f>
        <v>0</v>
      </c>
      <c r="BR84" s="68">
        <f>Sheet4!BR83</f>
        <v>1</v>
      </c>
      <c r="BS84" s="68">
        <f>Sheet4!BS83</f>
        <v>1</v>
      </c>
      <c r="BT84" s="68">
        <f>Sheet4!BT83</f>
        <v>0</v>
      </c>
      <c r="BU84" s="68">
        <f>Sheet4!BU83</f>
        <v>1</v>
      </c>
      <c r="BV84" s="68">
        <f>Sheet4!BV83</f>
        <v>0</v>
      </c>
      <c r="BW84" s="68">
        <f>Sheet4!BW83</f>
        <v>0</v>
      </c>
      <c r="BX84" s="68">
        <f>Sheet4!BX83</f>
        <v>1</v>
      </c>
      <c r="BY84" s="68">
        <f>Sheet4!BY83</f>
        <v>1</v>
      </c>
      <c r="BZ84" s="68">
        <f>Sheet4!BZ83</f>
        <v>0</v>
      </c>
      <c r="CA84" s="68">
        <f>Sheet4!CA83</f>
        <v>1</v>
      </c>
      <c r="CB84" s="68">
        <f>Sheet4!CB83</f>
        <v>1</v>
      </c>
      <c r="CC84" s="68">
        <f>Sheet4!CC83</f>
        <v>1</v>
      </c>
      <c r="CD84" s="68">
        <f>Sheet4!CD83</f>
        <v>0</v>
      </c>
      <c r="CE84" s="68">
        <f>Sheet4!CE83</f>
        <v>1</v>
      </c>
      <c r="CF84" s="68">
        <f>Sheet4!CF83</f>
        <v>0</v>
      </c>
      <c r="CG84" s="68">
        <f>Sheet4!CG83</f>
        <v>2</v>
      </c>
      <c r="CH84" s="68">
        <f>Sheet4!CH83</f>
        <v>1</v>
      </c>
      <c r="CI84" s="68">
        <f>Sheet4!CI83</f>
        <v>1</v>
      </c>
      <c r="CJ84" s="68">
        <f>Sheet4!CJ83</f>
        <v>1</v>
      </c>
      <c r="CK84" s="68">
        <f>Sheet4!CK83</f>
        <v>1</v>
      </c>
      <c r="CL84" s="68">
        <f>Sheet4!CL83</f>
        <v>1</v>
      </c>
      <c r="CM84" s="68">
        <f>Sheet4!CM83</f>
        <v>0</v>
      </c>
      <c r="CN84" s="68">
        <f>Sheet4!CN83</f>
        <v>1</v>
      </c>
      <c r="CO84" s="68">
        <f>Sheet4!CO83</f>
        <v>1</v>
      </c>
      <c r="CP84" s="68">
        <f>Sheet4!CP83</f>
        <v>1</v>
      </c>
      <c r="CQ84" s="68">
        <f>Sheet4!CQ83</f>
        <v>0</v>
      </c>
      <c r="CR84" s="68">
        <f>Sheet4!CR83</f>
        <v>0</v>
      </c>
      <c r="CS84" s="68">
        <f>Sheet4!CS83</f>
        <v>3</v>
      </c>
      <c r="CT84" s="68">
        <f>Sheet4!CT83</f>
        <v>1</v>
      </c>
      <c r="CU84" s="68">
        <f>Sheet4!CU83</f>
        <v>0</v>
      </c>
      <c r="CV84" s="68">
        <f>Sheet4!CV83</f>
        <v>1</v>
      </c>
      <c r="CW84" s="68">
        <f>Sheet4!CW83</f>
        <v>0</v>
      </c>
      <c r="CX84" s="68">
        <f>Sheet4!CX83</f>
        <v>0</v>
      </c>
      <c r="CY84" s="68">
        <f>Sheet4!CY83</f>
        <v>2</v>
      </c>
      <c r="CZ84" s="68">
        <f>Sheet4!CZ83</f>
        <v>0</v>
      </c>
      <c r="DA84" s="68">
        <f>Sheet4!DA83</f>
        <v>1</v>
      </c>
      <c r="DB84" s="68">
        <f>Sheet4!DB83</f>
        <v>0</v>
      </c>
      <c r="DC84" s="68">
        <f>Sheet4!DC83</f>
        <v>2</v>
      </c>
      <c r="DD84" s="68">
        <f>Sheet4!DD83</f>
        <v>0</v>
      </c>
      <c r="DE84" s="68">
        <f>Sheet4!DE83</f>
        <v>0</v>
      </c>
      <c r="DF84" s="68">
        <f>Sheet4!DF83</f>
        <v>1</v>
      </c>
      <c r="DG84" s="68">
        <f>Sheet4!DG83</f>
        <v>1</v>
      </c>
      <c r="DH84" s="68">
        <f>Sheet4!DH83</f>
        <v>0</v>
      </c>
      <c r="DI84" s="68">
        <f>Sheet4!DI83</f>
        <v>0</v>
      </c>
      <c r="DJ84" s="68">
        <f>Sheet4!DJ83</f>
        <v>0</v>
      </c>
      <c r="DK84" s="68">
        <f>Sheet4!DK83</f>
        <v>0</v>
      </c>
      <c r="DL84" s="68">
        <f>Sheet4!DL83</f>
        <v>0</v>
      </c>
      <c r="DM84" s="68">
        <f>Sheet4!DM83</f>
        <v>0</v>
      </c>
      <c r="DN84" s="68">
        <f>Sheet4!DN83</f>
        <v>0</v>
      </c>
      <c r="DO84" s="68">
        <f>Sheet4!DO83</f>
        <v>0</v>
      </c>
      <c r="DP84" s="68">
        <f>Sheet4!DP83</f>
        <v>0</v>
      </c>
      <c r="DQ84" s="68">
        <f>Sheet4!DQ83</f>
        <v>0</v>
      </c>
    </row>
    <row r="85" spans="1:121" ht="15.75" customHeight="1" x14ac:dyDescent="0.3">
      <c r="A85" s="40">
        <f>Sheet4!A84</f>
        <v>81</v>
      </c>
      <c r="B85" s="40" t="str">
        <f>Sheet4!B84</f>
        <v>ታምራት ወርቁ</v>
      </c>
      <c r="C85" s="26">
        <f>Sheet4!C84</f>
        <v>21000</v>
      </c>
      <c r="D85" s="68">
        <f>Sheet4!D84</f>
        <v>1</v>
      </c>
      <c r="E85" s="68">
        <f>Sheet4!E84</f>
        <v>1</v>
      </c>
      <c r="F85" s="68">
        <f>Sheet4!F84</f>
        <v>1</v>
      </c>
      <c r="G85" s="68">
        <f>Sheet4!G84</f>
        <v>1</v>
      </c>
      <c r="H85" s="68">
        <f>Sheet4!H84</f>
        <v>1</v>
      </c>
      <c r="I85" s="68">
        <f>Sheet4!I84</f>
        <v>1</v>
      </c>
      <c r="J85" s="68">
        <f>Sheet4!J84</f>
        <v>1</v>
      </c>
      <c r="K85" s="68">
        <f>Sheet4!K84</f>
        <v>1</v>
      </c>
      <c r="L85" s="68">
        <f>Sheet4!L84</f>
        <v>1</v>
      </c>
      <c r="M85" s="68">
        <f>Sheet4!M84</f>
        <v>1</v>
      </c>
      <c r="N85" s="68">
        <f>Sheet4!N84</f>
        <v>1</v>
      </c>
      <c r="O85" s="68">
        <f>Sheet4!O84</f>
        <v>1</v>
      </c>
      <c r="P85" s="68">
        <f>Sheet4!P84</f>
        <v>1</v>
      </c>
      <c r="Q85" s="68">
        <f>Sheet4!Q84</f>
        <v>1</v>
      </c>
      <c r="R85" s="68">
        <f>Sheet4!R84</f>
        <v>1</v>
      </c>
      <c r="S85" s="68">
        <f>Sheet4!S84</f>
        <v>1</v>
      </c>
      <c r="T85" s="68">
        <f>Sheet4!T84</f>
        <v>1</v>
      </c>
      <c r="U85" s="68">
        <f>Sheet4!U84</f>
        <v>1</v>
      </c>
      <c r="V85" s="68">
        <f>Sheet4!V84</f>
        <v>1</v>
      </c>
      <c r="W85" s="68">
        <f>Sheet4!W84</f>
        <v>1</v>
      </c>
      <c r="X85" s="68">
        <f>Sheet4!X84</f>
        <v>1</v>
      </c>
      <c r="Y85" s="68">
        <f>Sheet4!Y84</f>
        <v>1</v>
      </c>
      <c r="Z85" s="68">
        <f>Sheet4!Z84</f>
        <v>1</v>
      </c>
      <c r="AA85" s="68">
        <f>Sheet4!AA84</f>
        <v>1</v>
      </c>
      <c r="AB85" s="68">
        <f>Sheet4!AB84</f>
        <v>1</v>
      </c>
      <c r="AC85" s="68">
        <f>Sheet4!AC84</f>
        <v>1</v>
      </c>
      <c r="AD85" s="68">
        <f>Sheet4!AD84</f>
        <v>1</v>
      </c>
      <c r="AE85" s="68">
        <f>Sheet4!AE84</f>
        <v>1</v>
      </c>
      <c r="AF85" s="68">
        <f>Sheet4!AF84</f>
        <v>1</v>
      </c>
      <c r="AG85" s="68">
        <f>Sheet4!AG84</f>
        <v>1</v>
      </c>
      <c r="AH85" s="68">
        <f>Sheet4!AH84</f>
        <v>1</v>
      </c>
      <c r="AI85" s="68">
        <f>Sheet4!AI84</f>
        <v>1</v>
      </c>
      <c r="AJ85" s="68">
        <f>Sheet4!AJ84</f>
        <v>1</v>
      </c>
      <c r="AK85" s="68">
        <f>Sheet4!AK84</f>
        <v>1</v>
      </c>
      <c r="AL85" s="68">
        <f>Sheet4!AL84</f>
        <v>1</v>
      </c>
      <c r="AM85" s="68">
        <f>Sheet4!AM84</f>
        <v>1</v>
      </c>
      <c r="AN85" s="68">
        <f>Sheet4!AN84</f>
        <v>1</v>
      </c>
      <c r="AO85" s="68">
        <f>Sheet4!AO84</f>
        <v>1</v>
      </c>
      <c r="AP85" s="68">
        <f>Sheet4!AP84</f>
        <v>1</v>
      </c>
      <c r="AQ85" s="68">
        <f>Sheet4!AQ84</f>
        <v>1</v>
      </c>
      <c r="AR85" s="68">
        <f>Sheet4!AR84</f>
        <v>1</v>
      </c>
      <c r="AS85" s="68">
        <f>Sheet4!AS84</f>
        <v>1</v>
      </c>
      <c r="AT85" s="68">
        <f>Sheet4!AT84</f>
        <v>1</v>
      </c>
      <c r="AU85" s="68">
        <f>Sheet4!AU84</f>
        <v>1</v>
      </c>
      <c r="AV85" s="68">
        <f>Sheet4!AV84</f>
        <v>0</v>
      </c>
      <c r="AW85" s="68">
        <f>Sheet4!AW84</f>
        <v>1</v>
      </c>
      <c r="AX85" s="68">
        <f>Sheet4!AX84</f>
        <v>1</v>
      </c>
      <c r="AY85" s="68">
        <f>Sheet4!AY84</f>
        <v>1</v>
      </c>
      <c r="AZ85" s="68">
        <f>Sheet4!AZ84</f>
        <v>1</v>
      </c>
      <c r="BA85" s="68">
        <f>Sheet4!BA84</f>
        <v>0</v>
      </c>
      <c r="BB85" s="68">
        <f>Sheet4!BB84</f>
        <v>1</v>
      </c>
      <c r="BC85" s="68">
        <f>Sheet4!BC84</f>
        <v>1</v>
      </c>
      <c r="BD85" s="68">
        <f>Sheet4!BD84</f>
        <v>1</v>
      </c>
      <c r="BE85" s="68">
        <f>Sheet4!BE84</f>
        <v>1</v>
      </c>
      <c r="BF85" s="68">
        <f>Sheet4!BF84</f>
        <v>1</v>
      </c>
      <c r="BG85" s="68">
        <f>Sheet4!BG84</f>
        <v>1</v>
      </c>
      <c r="BH85" s="68">
        <f>Sheet4!BH84</f>
        <v>0</v>
      </c>
      <c r="BI85" s="68">
        <f>Sheet4!BI84</f>
        <v>0</v>
      </c>
      <c r="BJ85" s="68">
        <f>Sheet4!BJ84</f>
        <v>0</v>
      </c>
      <c r="BK85" s="68">
        <f>Sheet4!BK84</f>
        <v>0</v>
      </c>
      <c r="BL85" s="68">
        <f>Sheet4!BL84</f>
        <v>0</v>
      </c>
      <c r="BM85" s="68">
        <f>Sheet4!BM84</f>
        <v>0</v>
      </c>
      <c r="BN85" s="68">
        <f>Sheet4!BN84</f>
        <v>0</v>
      </c>
      <c r="BO85" s="68">
        <f>Sheet4!BO84</f>
        <v>0</v>
      </c>
      <c r="BP85" s="68">
        <f>Sheet4!BP84</f>
        <v>1</v>
      </c>
      <c r="BQ85" s="68">
        <f>Sheet4!BQ84</f>
        <v>0</v>
      </c>
      <c r="BR85" s="68">
        <f>Sheet4!BR84</f>
        <v>0</v>
      </c>
      <c r="BS85" s="68">
        <f>Sheet4!BS84</f>
        <v>10</v>
      </c>
      <c r="BT85" s="68">
        <f>Sheet4!BT84</f>
        <v>0</v>
      </c>
      <c r="BU85" s="68">
        <f>Sheet4!BU84</f>
        <v>0</v>
      </c>
      <c r="BV85" s="68">
        <f>Sheet4!BV84</f>
        <v>0</v>
      </c>
      <c r="BW85" s="68">
        <f>Sheet4!BW84</f>
        <v>0</v>
      </c>
      <c r="BX85" s="68">
        <f>Sheet4!BX84</f>
        <v>0</v>
      </c>
      <c r="BY85" s="68">
        <f>Sheet4!BY84</f>
        <v>0</v>
      </c>
      <c r="BZ85" s="68">
        <f>Sheet4!BZ84</f>
        <v>0</v>
      </c>
      <c r="CA85" s="68">
        <f>Sheet4!CA84</f>
        <v>1</v>
      </c>
      <c r="CB85" s="68">
        <f>Sheet4!CB84</f>
        <v>1</v>
      </c>
      <c r="CC85" s="68">
        <f>Sheet4!CC84</f>
        <v>0</v>
      </c>
      <c r="CD85" s="68">
        <f>Sheet4!CD84</f>
        <v>1</v>
      </c>
      <c r="CE85" s="68">
        <f>Sheet4!CE84</f>
        <v>1</v>
      </c>
      <c r="CF85" s="68">
        <f>Sheet4!CF84</f>
        <v>1</v>
      </c>
      <c r="CG85" s="68">
        <f>Sheet4!CG84</f>
        <v>0</v>
      </c>
      <c r="CH85" s="68">
        <f>Sheet4!CH84</f>
        <v>0</v>
      </c>
      <c r="CI85" s="68">
        <f>Sheet4!CI84</f>
        <v>1</v>
      </c>
      <c r="CJ85" s="68">
        <f>Sheet4!CJ84</f>
        <v>0</v>
      </c>
      <c r="CK85" s="68">
        <f>Sheet4!CK84</f>
        <v>2</v>
      </c>
      <c r="CL85" s="68">
        <f>Sheet4!CL84</f>
        <v>7</v>
      </c>
      <c r="CM85" s="68">
        <f>Sheet4!CM84</f>
        <v>1</v>
      </c>
      <c r="CN85" s="68">
        <f>Sheet4!CN84</f>
        <v>0</v>
      </c>
      <c r="CO85" s="68">
        <f>Sheet4!CO84</f>
        <v>1</v>
      </c>
      <c r="CP85" s="68">
        <f>Sheet4!CP84</f>
        <v>1</v>
      </c>
      <c r="CQ85" s="68">
        <f>Sheet4!CQ84</f>
        <v>0</v>
      </c>
      <c r="CR85" s="68">
        <f>Sheet4!CR84</f>
        <v>0</v>
      </c>
      <c r="CS85" s="68">
        <f>Sheet4!CS84</f>
        <v>0</v>
      </c>
      <c r="CT85" s="68">
        <f>Sheet4!CT84</f>
        <v>0</v>
      </c>
      <c r="CU85" s="68">
        <f>Sheet4!CU84</f>
        <v>1</v>
      </c>
      <c r="CV85" s="68">
        <f>Sheet4!CV84</f>
        <v>1</v>
      </c>
      <c r="CW85" s="68">
        <f>Sheet4!CW84</f>
        <v>0</v>
      </c>
      <c r="CX85" s="68">
        <f>Sheet4!CX84</f>
        <v>0</v>
      </c>
      <c r="CY85" s="68">
        <f>Sheet4!CY84</f>
        <v>0</v>
      </c>
      <c r="CZ85" s="68">
        <f>Sheet4!CZ84</f>
        <v>0</v>
      </c>
      <c r="DA85" s="68">
        <f>Sheet4!DA84</f>
        <v>0</v>
      </c>
      <c r="DB85" s="68">
        <f>Sheet4!DB84</f>
        <v>0</v>
      </c>
      <c r="DC85" s="68">
        <f>Sheet4!DC84</f>
        <v>0</v>
      </c>
      <c r="DD85" s="68">
        <f>Sheet4!DD84</f>
        <v>0</v>
      </c>
      <c r="DE85" s="68">
        <f>Sheet4!DE84</f>
        <v>0</v>
      </c>
      <c r="DF85" s="68">
        <f>Sheet4!DF84</f>
        <v>0</v>
      </c>
      <c r="DG85" s="68">
        <f>Sheet4!DG84</f>
        <v>0</v>
      </c>
      <c r="DH85" s="68">
        <f>Sheet4!DH84</f>
        <v>0</v>
      </c>
      <c r="DI85" s="68">
        <f>Sheet4!DI84</f>
        <v>0</v>
      </c>
      <c r="DJ85" s="68">
        <f>Sheet4!DJ84</f>
        <v>0</v>
      </c>
      <c r="DK85" s="68">
        <f>Sheet4!DK84</f>
        <v>0</v>
      </c>
      <c r="DL85" s="68">
        <f>Sheet4!DL84</f>
        <v>0</v>
      </c>
      <c r="DM85" s="68">
        <f>Sheet4!DM84</f>
        <v>0</v>
      </c>
      <c r="DN85" s="68">
        <f>Sheet4!DN84</f>
        <v>0</v>
      </c>
      <c r="DO85" s="68">
        <f>Sheet4!DO84</f>
        <v>0</v>
      </c>
      <c r="DP85" s="68">
        <f>Sheet4!DP84</f>
        <v>0</v>
      </c>
      <c r="DQ85" s="68">
        <f>Sheet4!DQ84</f>
        <v>0</v>
      </c>
    </row>
    <row r="86" spans="1:121" ht="15.75" customHeight="1" x14ac:dyDescent="0.3">
      <c r="A86" s="40">
        <f>Sheet4!A85</f>
        <v>82</v>
      </c>
      <c r="B86" s="40" t="str">
        <f>Sheet4!B85</f>
        <v>አዲሱ ግሼ</v>
      </c>
      <c r="C86" s="26">
        <f>Sheet4!C85</f>
        <v>21000</v>
      </c>
      <c r="D86" s="68">
        <f>Sheet4!D85</f>
        <v>1</v>
      </c>
      <c r="E86" s="68">
        <f>Sheet4!E85</f>
        <v>1</v>
      </c>
      <c r="F86" s="68">
        <f>Sheet4!F85</f>
        <v>1</v>
      </c>
      <c r="G86" s="68">
        <f>Sheet4!G85</f>
        <v>1</v>
      </c>
      <c r="H86" s="68">
        <f>Sheet4!H85</f>
        <v>1</v>
      </c>
      <c r="I86" s="68">
        <f>Sheet4!I85</f>
        <v>1</v>
      </c>
      <c r="J86" s="68">
        <f>Sheet4!J85</f>
        <v>1</v>
      </c>
      <c r="K86" s="68">
        <f>Sheet4!K85</f>
        <v>1</v>
      </c>
      <c r="L86" s="68">
        <f>Sheet4!L85</f>
        <v>1</v>
      </c>
      <c r="M86" s="68">
        <f>Sheet4!M85</f>
        <v>1</v>
      </c>
      <c r="N86" s="68">
        <f>Sheet4!N85</f>
        <v>1</v>
      </c>
      <c r="O86" s="68">
        <f>Sheet4!O85</f>
        <v>1</v>
      </c>
      <c r="P86" s="68">
        <f>Sheet4!P85</f>
        <v>1</v>
      </c>
      <c r="Q86" s="68">
        <f>Sheet4!Q85</f>
        <v>1</v>
      </c>
      <c r="R86" s="68">
        <f>Sheet4!R85</f>
        <v>1</v>
      </c>
      <c r="S86" s="68">
        <f>Sheet4!S85</f>
        <v>1</v>
      </c>
      <c r="T86" s="68">
        <f>Sheet4!T85</f>
        <v>1</v>
      </c>
      <c r="U86" s="68">
        <f>Sheet4!U85</f>
        <v>1</v>
      </c>
      <c r="V86" s="68">
        <f>Sheet4!V85</f>
        <v>1</v>
      </c>
      <c r="W86" s="68">
        <f>Sheet4!W85</f>
        <v>1</v>
      </c>
      <c r="X86" s="68">
        <f>Sheet4!X85</f>
        <v>1</v>
      </c>
      <c r="Y86" s="68">
        <f>Sheet4!Y85</f>
        <v>1</v>
      </c>
      <c r="Z86" s="68">
        <f>Sheet4!Z85</f>
        <v>1</v>
      </c>
      <c r="AA86" s="68">
        <f>Sheet4!AA85</f>
        <v>1</v>
      </c>
      <c r="AB86" s="68">
        <f>Sheet4!AB85</f>
        <v>1</v>
      </c>
      <c r="AC86" s="68">
        <f>Sheet4!AC85</f>
        <v>1</v>
      </c>
      <c r="AD86" s="68">
        <f>Sheet4!AD85</f>
        <v>1</v>
      </c>
      <c r="AE86" s="68">
        <f>Sheet4!AE85</f>
        <v>1</v>
      </c>
      <c r="AF86" s="68">
        <f>Sheet4!AF85</f>
        <v>1</v>
      </c>
      <c r="AG86" s="68">
        <f>Sheet4!AG85</f>
        <v>1</v>
      </c>
      <c r="AH86" s="68">
        <f>Sheet4!AH85</f>
        <v>1</v>
      </c>
      <c r="AI86" s="68">
        <f>Sheet4!AI85</f>
        <v>1</v>
      </c>
      <c r="AJ86" s="68">
        <f>Sheet4!AJ85</f>
        <v>1</v>
      </c>
      <c r="AK86" s="68">
        <f>Sheet4!AK85</f>
        <v>1</v>
      </c>
      <c r="AL86" s="68">
        <f>Sheet4!AL85</f>
        <v>1</v>
      </c>
      <c r="AM86" s="68">
        <f>Sheet4!AM85</f>
        <v>1</v>
      </c>
      <c r="AN86" s="68">
        <f>Sheet4!AN85</f>
        <v>1</v>
      </c>
      <c r="AO86" s="68">
        <f>Sheet4!AO85</f>
        <v>1</v>
      </c>
      <c r="AP86" s="68">
        <f>Sheet4!AP85</f>
        <v>1</v>
      </c>
      <c r="AQ86" s="68">
        <f>Sheet4!AQ85</f>
        <v>1</v>
      </c>
      <c r="AR86" s="68">
        <f>Sheet4!AR85</f>
        <v>1</v>
      </c>
      <c r="AS86" s="68">
        <f>Sheet4!AS85</f>
        <v>1</v>
      </c>
      <c r="AT86" s="68">
        <f>Sheet4!AT85</f>
        <v>1</v>
      </c>
      <c r="AU86" s="68">
        <f>Sheet4!AU85</f>
        <v>1</v>
      </c>
      <c r="AV86" s="68">
        <f>Sheet4!AV85</f>
        <v>1</v>
      </c>
      <c r="AW86" s="68">
        <f>Sheet4!AW85</f>
        <v>1</v>
      </c>
      <c r="AX86" s="68">
        <f>Sheet4!AX85</f>
        <v>1</v>
      </c>
      <c r="AY86" s="68">
        <f>Sheet4!AY85</f>
        <v>1</v>
      </c>
      <c r="AZ86" s="68">
        <f>Sheet4!AZ85</f>
        <v>1</v>
      </c>
      <c r="BA86" s="68">
        <f>Sheet4!BA85</f>
        <v>1</v>
      </c>
      <c r="BB86" s="68">
        <f>Sheet4!BB85</f>
        <v>1</v>
      </c>
      <c r="BC86" s="68">
        <f>Sheet4!BC85</f>
        <v>1</v>
      </c>
      <c r="BD86" s="68">
        <f>Sheet4!BD85</f>
        <v>1</v>
      </c>
      <c r="BE86" s="68">
        <f>Sheet4!BE85</f>
        <v>1</v>
      </c>
      <c r="BF86" s="68">
        <f>Sheet4!BF85</f>
        <v>1</v>
      </c>
      <c r="BG86" s="68">
        <f>Sheet4!BG85</f>
        <v>1</v>
      </c>
      <c r="BH86" s="68">
        <f>Sheet4!BH85</f>
        <v>1</v>
      </c>
      <c r="BI86" s="68">
        <f>Sheet4!BI85</f>
        <v>1</v>
      </c>
      <c r="BJ86" s="68">
        <f>Sheet4!BJ85</f>
        <v>1</v>
      </c>
      <c r="BK86" s="68">
        <f>Sheet4!BK85</f>
        <v>1</v>
      </c>
      <c r="BL86" s="68">
        <f>Sheet4!BL85</f>
        <v>1</v>
      </c>
      <c r="BM86" s="68">
        <f>Sheet4!BM85</f>
        <v>1</v>
      </c>
      <c r="BN86" s="68">
        <f>Sheet4!BN85</f>
        <v>1</v>
      </c>
      <c r="BO86" s="68">
        <f>Sheet4!BO85</f>
        <v>1</v>
      </c>
      <c r="BP86" s="68">
        <f>Sheet4!BP85</f>
        <v>1</v>
      </c>
      <c r="BQ86" s="68">
        <f>Sheet4!BQ85</f>
        <v>1</v>
      </c>
      <c r="BR86" s="68">
        <f>Sheet4!BR85</f>
        <v>1</v>
      </c>
      <c r="BS86" s="68">
        <f>Sheet4!BS85</f>
        <v>1</v>
      </c>
      <c r="BT86" s="68">
        <f>Sheet4!BT85</f>
        <v>1</v>
      </c>
      <c r="BU86" s="68">
        <f>Sheet4!BU85</f>
        <v>1</v>
      </c>
      <c r="BV86" s="68">
        <f>Sheet4!BV85</f>
        <v>1</v>
      </c>
      <c r="BW86" s="68">
        <f>Sheet4!BW85</f>
        <v>1</v>
      </c>
      <c r="BX86" s="68">
        <f>Sheet4!BX85</f>
        <v>1</v>
      </c>
      <c r="BY86" s="68">
        <f>Sheet4!BY85</f>
        <v>1</v>
      </c>
      <c r="BZ86" s="68">
        <f>Sheet4!BZ85</f>
        <v>1</v>
      </c>
      <c r="CA86" s="68">
        <f>Sheet4!CA85</f>
        <v>1</v>
      </c>
      <c r="CB86" s="68">
        <f>Sheet4!CB85</f>
        <v>1</v>
      </c>
      <c r="CC86" s="68">
        <f>Sheet4!CC85</f>
        <v>0</v>
      </c>
      <c r="CD86" s="68">
        <f>Sheet4!CD85</f>
        <v>2</v>
      </c>
      <c r="CE86" s="68">
        <f>Sheet4!CE85</f>
        <v>1</v>
      </c>
      <c r="CF86" s="68">
        <f>Sheet4!CF85</f>
        <v>1</v>
      </c>
      <c r="CG86" s="68">
        <f>Sheet4!CG85</f>
        <v>1</v>
      </c>
      <c r="CH86" s="68">
        <f>Sheet4!CH85</f>
        <v>1</v>
      </c>
      <c r="CI86" s="68">
        <f>Sheet4!CI85</f>
        <v>1</v>
      </c>
      <c r="CJ86" s="68">
        <f>Sheet4!CJ85</f>
        <v>1</v>
      </c>
      <c r="CK86" s="68">
        <f>Sheet4!CK85</f>
        <v>0</v>
      </c>
      <c r="CL86" s="68">
        <f>Sheet4!CL85</f>
        <v>2</v>
      </c>
      <c r="CM86" s="68">
        <f>Sheet4!CM85</f>
        <v>0</v>
      </c>
      <c r="CN86" s="68">
        <f>Sheet4!CN85</f>
        <v>2</v>
      </c>
      <c r="CO86" s="68">
        <f>Sheet4!CO85</f>
        <v>0</v>
      </c>
      <c r="CP86" s="68">
        <f>Sheet4!CP85</f>
        <v>2</v>
      </c>
      <c r="CQ86" s="68">
        <f>Sheet4!CQ85</f>
        <v>0</v>
      </c>
      <c r="CR86" s="68">
        <f>Sheet4!CR85</f>
        <v>2</v>
      </c>
      <c r="CS86" s="68">
        <f>Sheet4!CS85</f>
        <v>0</v>
      </c>
      <c r="CT86" s="68">
        <f>Sheet4!CT85</f>
        <v>2</v>
      </c>
      <c r="CU86" s="68">
        <f>Sheet4!CU85</f>
        <v>0</v>
      </c>
      <c r="CV86" s="68">
        <f>Sheet4!CV85</f>
        <v>2</v>
      </c>
      <c r="CW86" s="68">
        <f>Sheet4!CW85</f>
        <v>0</v>
      </c>
      <c r="CX86" s="68">
        <f>Sheet4!CX85</f>
        <v>2</v>
      </c>
      <c r="CY86" s="68">
        <f>Sheet4!CY85</f>
        <v>0</v>
      </c>
      <c r="CZ86" s="68">
        <f>Sheet4!CZ85</f>
        <v>0</v>
      </c>
      <c r="DA86" s="68">
        <f>Sheet4!DA85</f>
        <v>2</v>
      </c>
      <c r="DB86" s="68">
        <f>Sheet4!DB85</f>
        <v>1</v>
      </c>
      <c r="DC86" s="68">
        <f>Sheet4!DC85</f>
        <v>1</v>
      </c>
      <c r="DD86" s="68">
        <f>Sheet4!DD85</f>
        <v>1</v>
      </c>
      <c r="DE86" s="68">
        <f>Sheet4!DE85</f>
        <v>0</v>
      </c>
      <c r="DF86" s="68">
        <f>Sheet4!DF85</f>
        <v>2</v>
      </c>
      <c r="DG86" s="68">
        <f>Sheet4!DG85</f>
        <v>0</v>
      </c>
      <c r="DH86" s="68">
        <f>Sheet4!DH85</f>
        <v>0</v>
      </c>
      <c r="DI86" s="68">
        <f>Sheet4!DI85</f>
        <v>0</v>
      </c>
      <c r="DJ86" s="68">
        <f>Sheet4!DJ85</f>
        <v>0</v>
      </c>
      <c r="DK86" s="68">
        <f>Sheet4!DK85</f>
        <v>0</v>
      </c>
      <c r="DL86" s="68">
        <f>Sheet4!DL85</f>
        <v>0</v>
      </c>
      <c r="DM86" s="68">
        <f>Sheet4!DM85</f>
        <v>0</v>
      </c>
      <c r="DN86" s="68">
        <f>Sheet4!DN85</f>
        <v>0</v>
      </c>
      <c r="DO86" s="68">
        <f>Sheet4!DO85</f>
        <v>0</v>
      </c>
      <c r="DP86" s="68">
        <f>Sheet4!DP85</f>
        <v>0</v>
      </c>
      <c r="DQ86" s="68">
        <f>Sheet4!DQ85</f>
        <v>0</v>
      </c>
    </row>
    <row r="87" spans="1:121" ht="15.75" customHeight="1" x14ac:dyDescent="0.3">
      <c r="A87" s="40">
        <f>Sheet4!A86</f>
        <v>83</v>
      </c>
      <c r="B87" s="40" t="str">
        <f>Sheet4!B86</f>
        <v>ዘለቀ አከ</v>
      </c>
      <c r="C87" s="26">
        <f>Sheet4!C86</f>
        <v>21000</v>
      </c>
      <c r="D87" s="68">
        <f>Sheet4!D86</f>
        <v>1</v>
      </c>
      <c r="E87" s="68">
        <f>Sheet4!E86</f>
        <v>1</v>
      </c>
      <c r="F87" s="68">
        <f>Sheet4!F86</f>
        <v>1</v>
      </c>
      <c r="G87" s="68">
        <f>Sheet4!G86</f>
        <v>1</v>
      </c>
      <c r="H87" s="68">
        <f>Sheet4!H86</f>
        <v>1</v>
      </c>
      <c r="I87" s="68">
        <f>Sheet4!I86</f>
        <v>1</v>
      </c>
      <c r="J87" s="68">
        <f>Sheet4!J86</f>
        <v>1</v>
      </c>
      <c r="K87" s="68">
        <f>Sheet4!K86</f>
        <v>1</v>
      </c>
      <c r="L87" s="68">
        <f>Sheet4!L86</f>
        <v>1</v>
      </c>
      <c r="M87" s="68">
        <f>Sheet4!M86</f>
        <v>1</v>
      </c>
      <c r="N87" s="68">
        <f>Sheet4!N86</f>
        <v>1</v>
      </c>
      <c r="O87" s="68">
        <f>Sheet4!O86</f>
        <v>1</v>
      </c>
      <c r="P87" s="68">
        <f>Sheet4!P86</f>
        <v>1</v>
      </c>
      <c r="Q87" s="68">
        <f>Sheet4!Q86</f>
        <v>1</v>
      </c>
      <c r="R87" s="68">
        <f>Sheet4!R86</f>
        <v>1</v>
      </c>
      <c r="S87" s="68">
        <f>Sheet4!S86</f>
        <v>1</v>
      </c>
      <c r="T87" s="68">
        <f>Sheet4!T86</f>
        <v>1</v>
      </c>
      <c r="U87" s="68">
        <f>Sheet4!U86</f>
        <v>1</v>
      </c>
      <c r="V87" s="68">
        <f>Sheet4!V86</f>
        <v>1</v>
      </c>
      <c r="W87" s="68">
        <f>Sheet4!W86</f>
        <v>1</v>
      </c>
      <c r="X87" s="68">
        <f>Sheet4!X86</f>
        <v>1</v>
      </c>
      <c r="Y87" s="68">
        <f>Sheet4!Y86</f>
        <v>1</v>
      </c>
      <c r="Z87" s="68">
        <f>Sheet4!Z86</f>
        <v>1</v>
      </c>
      <c r="AA87" s="68">
        <f>Sheet4!AA86</f>
        <v>1</v>
      </c>
      <c r="AB87" s="68">
        <f>Sheet4!AB86</f>
        <v>1</v>
      </c>
      <c r="AC87" s="68">
        <f>Sheet4!AC86</f>
        <v>1</v>
      </c>
      <c r="AD87" s="68">
        <f>Sheet4!AD86</f>
        <v>1</v>
      </c>
      <c r="AE87" s="68">
        <f>Sheet4!AE86</f>
        <v>0</v>
      </c>
      <c r="AF87" s="68">
        <f>Sheet4!AF86</f>
        <v>2</v>
      </c>
      <c r="AG87" s="68">
        <f>Sheet4!AG86</f>
        <v>1</v>
      </c>
      <c r="AH87" s="68">
        <f>Sheet4!AH86</f>
        <v>1</v>
      </c>
      <c r="AI87" s="68">
        <f>Sheet4!AI86</f>
        <v>0</v>
      </c>
      <c r="AJ87" s="68">
        <f>Sheet4!AJ86</f>
        <v>2</v>
      </c>
      <c r="AK87" s="68">
        <f>Sheet4!AK86</f>
        <v>1</v>
      </c>
      <c r="AL87" s="68">
        <f>Sheet4!AL86</f>
        <v>1</v>
      </c>
      <c r="AM87" s="68">
        <f>Sheet4!AM86</f>
        <v>0</v>
      </c>
      <c r="AN87" s="68">
        <f>Sheet4!AN86</f>
        <v>2</v>
      </c>
      <c r="AO87" s="68">
        <f>Sheet4!AO86</f>
        <v>1</v>
      </c>
      <c r="AP87" s="68">
        <f>Sheet4!AP86</f>
        <v>1</v>
      </c>
      <c r="AQ87" s="68">
        <f>Sheet4!AQ86</f>
        <v>1</v>
      </c>
      <c r="AR87" s="68">
        <f>Sheet4!AR86</f>
        <v>1</v>
      </c>
      <c r="AS87" s="68">
        <f>Sheet4!AS86</f>
        <v>1</v>
      </c>
      <c r="AT87" s="68">
        <f>Sheet4!AT86</f>
        <v>1</v>
      </c>
      <c r="AU87" s="68">
        <f>Sheet4!AU86</f>
        <v>1</v>
      </c>
      <c r="AV87" s="68">
        <f>Sheet4!AV86</f>
        <v>0</v>
      </c>
      <c r="AW87" s="68">
        <f>Sheet4!AW86</f>
        <v>1</v>
      </c>
      <c r="AX87" s="68">
        <f>Sheet4!AX86</f>
        <v>2</v>
      </c>
      <c r="AY87" s="68">
        <f>Sheet4!AY86</f>
        <v>1</v>
      </c>
      <c r="AZ87" s="68">
        <f>Sheet4!AZ86</f>
        <v>1</v>
      </c>
      <c r="BA87" s="68">
        <f>Sheet4!BA86</f>
        <v>1</v>
      </c>
      <c r="BB87" s="68">
        <f>Sheet4!BB86</f>
        <v>1</v>
      </c>
      <c r="BC87" s="68">
        <f>Sheet4!BC86</f>
        <v>1</v>
      </c>
      <c r="BD87" s="68">
        <f>Sheet4!BD86</f>
        <v>1</v>
      </c>
      <c r="BE87" s="68">
        <f>Sheet4!BE86</f>
        <v>1</v>
      </c>
      <c r="BF87" s="68">
        <f>Sheet4!BF86</f>
        <v>1</v>
      </c>
      <c r="BG87" s="68">
        <f>Sheet4!BG86</f>
        <v>0</v>
      </c>
      <c r="BH87" s="68">
        <f>Sheet4!BH86</f>
        <v>2</v>
      </c>
      <c r="BI87" s="68">
        <f>Sheet4!BI86</f>
        <v>1</v>
      </c>
      <c r="BJ87" s="68">
        <f>Sheet4!BJ86</f>
        <v>1</v>
      </c>
      <c r="BK87" s="68">
        <f>Sheet4!BK86</f>
        <v>0</v>
      </c>
      <c r="BL87" s="68">
        <f>Sheet4!BL86</f>
        <v>2</v>
      </c>
      <c r="BM87" s="68">
        <f>Sheet4!BM86</f>
        <v>1</v>
      </c>
      <c r="BN87" s="68">
        <f>Sheet4!BN86</f>
        <v>1</v>
      </c>
      <c r="BO87" s="68">
        <f>Sheet4!BO86</f>
        <v>0</v>
      </c>
      <c r="BP87" s="68">
        <f>Sheet4!BP86</f>
        <v>2</v>
      </c>
      <c r="BQ87" s="68">
        <f>Sheet4!BQ86</f>
        <v>0</v>
      </c>
      <c r="BR87" s="68">
        <f>Sheet4!BR86</f>
        <v>1</v>
      </c>
      <c r="BS87" s="68">
        <f>Sheet4!BS86</f>
        <v>1</v>
      </c>
      <c r="BT87" s="68">
        <f>Sheet4!BT86</f>
        <v>2</v>
      </c>
      <c r="BU87" s="68">
        <f>Sheet4!BU86</f>
        <v>1</v>
      </c>
      <c r="BV87" s="68">
        <f>Sheet4!BV86</f>
        <v>1</v>
      </c>
      <c r="BW87" s="68">
        <f>Sheet4!BW86</f>
        <v>0</v>
      </c>
      <c r="BX87" s="68">
        <f>Sheet4!BX86</f>
        <v>2</v>
      </c>
      <c r="BY87" s="68">
        <f>Sheet4!BY86</f>
        <v>0</v>
      </c>
      <c r="BZ87" s="68">
        <f>Sheet4!BZ86</f>
        <v>2</v>
      </c>
      <c r="CA87" s="68">
        <f>Sheet4!CA86</f>
        <v>1</v>
      </c>
      <c r="CB87" s="68">
        <f>Sheet4!CB86</f>
        <v>1</v>
      </c>
      <c r="CC87" s="68">
        <f>Sheet4!CC86</f>
        <v>1</v>
      </c>
      <c r="CD87" s="68">
        <f>Sheet4!CD86</f>
        <v>0</v>
      </c>
      <c r="CE87" s="68">
        <f>Sheet4!CE86</f>
        <v>2</v>
      </c>
      <c r="CF87" s="68">
        <f>Sheet4!CF86</f>
        <v>0</v>
      </c>
      <c r="CG87" s="68">
        <f>Sheet4!CG86</f>
        <v>2</v>
      </c>
      <c r="CH87" s="68">
        <f>Sheet4!CH86</f>
        <v>0</v>
      </c>
      <c r="CI87" s="68">
        <f>Sheet4!CI86</f>
        <v>0</v>
      </c>
      <c r="CJ87" s="68">
        <f>Sheet4!CJ86</f>
        <v>3</v>
      </c>
      <c r="CK87" s="68">
        <f>Sheet4!CK86</f>
        <v>0</v>
      </c>
      <c r="CL87" s="68">
        <f>Sheet4!CL86</f>
        <v>0</v>
      </c>
      <c r="CM87" s="68">
        <f>Sheet4!CM86</f>
        <v>3</v>
      </c>
      <c r="CN87" s="68">
        <f>Sheet4!CN86</f>
        <v>0</v>
      </c>
      <c r="CO87" s="68">
        <f>Sheet4!CO86</f>
        <v>0</v>
      </c>
      <c r="CP87" s="68">
        <f>Sheet4!CP86</f>
        <v>3</v>
      </c>
      <c r="CQ87" s="68">
        <f>Sheet4!CQ86</f>
        <v>0</v>
      </c>
      <c r="CR87" s="68">
        <f>Sheet4!CR86</f>
        <v>2</v>
      </c>
      <c r="CS87" s="68">
        <f>Sheet4!CS86</f>
        <v>0</v>
      </c>
      <c r="CT87" s="68">
        <f>Sheet4!CT86</f>
        <v>0</v>
      </c>
      <c r="CU87" s="68">
        <f>Sheet4!CU86</f>
        <v>0</v>
      </c>
      <c r="CV87" s="68">
        <f>Sheet4!CV86</f>
        <v>2</v>
      </c>
      <c r="CW87" s="68">
        <f>Sheet4!CW86</f>
        <v>0</v>
      </c>
      <c r="CX87" s="68">
        <f>Sheet4!CX86</f>
        <v>0</v>
      </c>
      <c r="CY87" s="68">
        <f>Sheet4!CY86</f>
        <v>0</v>
      </c>
      <c r="CZ87" s="68">
        <f>Sheet4!CZ86</f>
        <v>3</v>
      </c>
      <c r="DA87" s="68">
        <f>Sheet4!DA86</f>
        <v>0</v>
      </c>
      <c r="DB87" s="68">
        <f>Sheet4!DB86</f>
        <v>0</v>
      </c>
      <c r="DC87" s="68">
        <f>Sheet4!DC86</f>
        <v>0</v>
      </c>
      <c r="DD87" s="68">
        <f>Sheet4!DD86</f>
        <v>5</v>
      </c>
      <c r="DE87" s="68">
        <f>Sheet4!DE86</f>
        <v>0</v>
      </c>
      <c r="DF87" s="68">
        <f>Sheet4!DF86</f>
        <v>1</v>
      </c>
      <c r="DG87" s="68">
        <f>Sheet4!DG86</f>
        <v>0</v>
      </c>
      <c r="DH87" s="68">
        <f>Sheet4!DH86</f>
        <v>0</v>
      </c>
      <c r="DI87" s="68">
        <f>Sheet4!DI86</f>
        <v>0</v>
      </c>
      <c r="DJ87" s="68">
        <f>Sheet4!DJ86</f>
        <v>0</v>
      </c>
      <c r="DK87" s="68">
        <f>Sheet4!DK86</f>
        <v>0</v>
      </c>
      <c r="DL87" s="68">
        <f>Sheet4!DL86</f>
        <v>0</v>
      </c>
      <c r="DM87" s="68">
        <f>Sheet4!DM86</f>
        <v>0</v>
      </c>
      <c r="DN87" s="68">
        <f>Sheet4!DN86</f>
        <v>0</v>
      </c>
      <c r="DO87" s="68">
        <f>Sheet4!DO86</f>
        <v>0</v>
      </c>
      <c r="DP87" s="68">
        <f>Sheet4!DP86</f>
        <v>0</v>
      </c>
      <c r="DQ87" s="68">
        <f>Sheet4!DQ86</f>
        <v>0</v>
      </c>
    </row>
    <row r="88" spans="1:121" ht="15.75" customHeight="1" x14ac:dyDescent="0.3">
      <c r="A88" s="40">
        <f>Sheet4!A87</f>
        <v>84</v>
      </c>
      <c r="B88" s="40" t="str">
        <f>Sheet4!B87</f>
        <v>ከፈለኝ ፃዲቁ</v>
      </c>
      <c r="C88" s="26">
        <f>Sheet4!C87</f>
        <v>21000</v>
      </c>
      <c r="D88" s="68">
        <f>Sheet4!D87</f>
        <v>0</v>
      </c>
      <c r="E88" s="68">
        <f>Sheet4!E87</f>
        <v>0</v>
      </c>
      <c r="F88" s="68">
        <f>Sheet4!F87</f>
        <v>0</v>
      </c>
      <c r="G88" s="68">
        <f>Sheet4!G87</f>
        <v>0</v>
      </c>
      <c r="H88" s="68">
        <f>Sheet4!H87</f>
        <v>0</v>
      </c>
      <c r="I88" s="68">
        <f>Sheet4!I87</f>
        <v>0</v>
      </c>
      <c r="J88" s="68">
        <f>Sheet4!J87</f>
        <v>0</v>
      </c>
      <c r="K88" s="68">
        <f>Sheet4!K87</f>
        <v>0</v>
      </c>
      <c r="L88" s="68">
        <f>Sheet4!L87</f>
        <v>0</v>
      </c>
      <c r="M88" s="68">
        <f>Sheet4!M87</f>
        <v>0</v>
      </c>
      <c r="N88" s="68">
        <f>Sheet4!N87</f>
        <v>0</v>
      </c>
      <c r="O88" s="68">
        <f>Sheet4!O87</f>
        <v>0</v>
      </c>
      <c r="P88" s="68">
        <f>Sheet4!P87</f>
        <v>0</v>
      </c>
      <c r="Q88" s="68">
        <f>Sheet4!Q87</f>
        <v>0</v>
      </c>
      <c r="R88" s="68">
        <f>Sheet4!R87</f>
        <v>0</v>
      </c>
      <c r="S88" s="68">
        <f>Sheet4!S87</f>
        <v>0</v>
      </c>
      <c r="T88" s="68">
        <f>Sheet4!T87</f>
        <v>0</v>
      </c>
      <c r="U88" s="68">
        <f>Sheet4!U87</f>
        <v>0</v>
      </c>
      <c r="V88" s="68">
        <f>Sheet4!V87</f>
        <v>0</v>
      </c>
      <c r="W88" s="68">
        <f>Sheet4!W87</f>
        <v>0</v>
      </c>
      <c r="X88" s="68">
        <f>Sheet4!X87</f>
        <v>0</v>
      </c>
      <c r="Y88" s="68">
        <f>Sheet4!Y87</f>
        <v>0</v>
      </c>
      <c r="Z88" s="68">
        <f>Sheet4!Z87</f>
        <v>0</v>
      </c>
      <c r="AA88" s="68">
        <f>Sheet4!AA87</f>
        <v>0</v>
      </c>
      <c r="AB88" s="68">
        <f>Sheet4!AB87</f>
        <v>0</v>
      </c>
      <c r="AC88" s="68">
        <f>Sheet4!AC87</f>
        <v>0</v>
      </c>
      <c r="AD88" s="68">
        <f>Sheet4!AD87</f>
        <v>0</v>
      </c>
      <c r="AE88" s="68">
        <f>Sheet4!AE87</f>
        <v>0</v>
      </c>
      <c r="AF88" s="68">
        <f>Sheet4!AF87</f>
        <v>0</v>
      </c>
      <c r="AG88" s="68">
        <f>Sheet4!AG87</f>
        <v>0</v>
      </c>
      <c r="AH88" s="68">
        <f>Sheet4!AH87</f>
        <v>0</v>
      </c>
      <c r="AI88" s="68">
        <f>Sheet4!AI87</f>
        <v>0</v>
      </c>
      <c r="AJ88" s="68">
        <f>Sheet4!AJ87</f>
        <v>0</v>
      </c>
      <c r="AK88" s="68">
        <f>Sheet4!AK87</f>
        <v>0</v>
      </c>
      <c r="AL88" s="68">
        <f>Sheet4!AL87</f>
        <v>0</v>
      </c>
      <c r="AM88" s="68">
        <f>Sheet4!AM87</f>
        <v>0</v>
      </c>
      <c r="AN88" s="68">
        <f>Sheet4!AN87</f>
        <v>0</v>
      </c>
      <c r="AO88" s="68">
        <f>Sheet4!AO87</f>
        <v>0</v>
      </c>
      <c r="AP88" s="68">
        <f>Sheet4!AP87</f>
        <v>0</v>
      </c>
      <c r="AQ88" s="68">
        <f>Sheet4!AQ87</f>
        <v>0</v>
      </c>
      <c r="AR88" s="68">
        <f>Sheet4!AR87</f>
        <v>0</v>
      </c>
      <c r="AS88" s="68">
        <f>Sheet4!AS87</f>
        <v>0</v>
      </c>
      <c r="AT88" s="68">
        <f>Sheet4!AT87</f>
        <v>0</v>
      </c>
      <c r="AU88" s="68">
        <f>Sheet4!AU87</f>
        <v>0</v>
      </c>
      <c r="AV88" s="68">
        <f>Sheet4!AV87</f>
        <v>0</v>
      </c>
      <c r="AW88" s="68">
        <f>Sheet4!AW87</f>
        <v>0</v>
      </c>
      <c r="AX88" s="68">
        <f>Sheet4!AX87</f>
        <v>0</v>
      </c>
      <c r="AY88" s="68">
        <f>Sheet4!AY87</f>
        <v>0</v>
      </c>
      <c r="AZ88" s="68">
        <f>Sheet4!AZ87</f>
        <v>0</v>
      </c>
      <c r="BA88" s="68">
        <f>Sheet4!BA87</f>
        <v>0</v>
      </c>
      <c r="BB88" s="68">
        <f>Sheet4!BB87</f>
        <v>0</v>
      </c>
      <c r="BC88" s="68">
        <f>Sheet4!BC87</f>
        <v>0</v>
      </c>
      <c r="BD88" s="68">
        <f>Sheet4!BD87</f>
        <v>0</v>
      </c>
      <c r="BE88" s="68">
        <f>Sheet4!BE87</f>
        <v>0</v>
      </c>
      <c r="BF88" s="68">
        <f>Sheet4!BF87</f>
        <v>0</v>
      </c>
      <c r="BG88" s="68">
        <f>Sheet4!BG87</f>
        <v>0</v>
      </c>
      <c r="BH88" s="68">
        <f>Sheet4!BH87</f>
        <v>0</v>
      </c>
      <c r="BI88" s="68">
        <f>Sheet4!BI87</f>
        <v>0</v>
      </c>
      <c r="BJ88" s="68">
        <f>Sheet4!BJ87</f>
        <v>0</v>
      </c>
      <c r="BK88" s="68">
        <f>Sheet4!BK87</f>
        <v>0</v>
      </c>
      <c r="BL88" s="68">
        <f>Sheet4!BL87</f>
        <v>0</v>
      </c>
      <c r="BM88" s="68">
        <f>Sheet4!BM87</f>
        <v>0</v>
      </c>
      <c r="BN88" s="68">
        <f>Sheet4!BN87</f>
        <v>0</v>
      </c>
      <c r="BO88" s="68">
        <f>Sheet4!BO87</f>
        <v>0</v>
      </c>
      <c r="BP88" s="68">
        <f>Sheet4!BP87</f>
        <v>0</v>
      </c>
      <c r="BQ88" s="68">
        <f>Sheet4!BQ87</f>
        <v>0</v>
      </c>
      <c r="BR88" s="68">
        <f>Sheet4!BR87</f>
        <v>0</v>
      </c>
      <c r="BS88" s="68">
        <f>Sheet4!BS87</f>
        <v>0</v>
      </c>
      <c r="BT88" s="68">
        <f>Sheet4!BT87</f>
        <v>0</v>
      </c>
      <c r="BU88" s="68">
        <f>Sheet4!BU87</f>
        <v>0</v>
      </c>
      <c r="BV88" s="68">
        <f>Sheet4!BV87</f>
        <v>0</v>
      </c>
      <c r="BW88" s="68">
        <f>Sheet4!BW87</f>
        <v>0</v>
      </c>
      <c r="BX88" s="68">
        <f>Sheet4!BX87</f>
        <v>0</v>
      </c>
      <c r="BY88" s="68">
        <f>Sheet4!BY87</f>
        <v>0</v>
      </c>
      <c r="BZ88" s="68">
        <f>Sheet4!BZ87</f>
        <v>0</v>
      </c>
      <c r="CA88" s="68">
        <f>Sheet4!CA87</f>
        <v>0</v>
      </c>
      <c r="CB88" s="68">
        <f>Sheet4!CB87</f>
        <v>0</v>
      </c>
      <c r="CC88" s="68">
        <f>Sheet4!CC87</f>
        <v>0</v>
      </c>
      <c r="CD88" s="68">
        <f>Sheet4!CD87</f>
        <v>0</v>
      </c>
      <c r="CE88" s="68">
        <f>Sheet4!CE87</f>
        <v>0</v>
      </c>
      <c r="CF88" s="68">
        <f>Sheet4!CF87</f>
        <v>0</v>
      </c>
      <c r="CG88" s="68">
        <f>Sheet4!CG87</f>
        <v>0</v>
      </c>
      <c r="CH88" s="68">
        <f>Sheet4!CH87</f>
        <v>0</v>
      </c>
      <c r="CI88" s="68">
        <f>Sheet4!CI87</f>
        <v>0</v>
      </c>
      <c r="CJ88" s="68">
        <f>Sheet4!CJ87</f>
        <v>0</v>
      </c>
      <c r="CK88" s="68">
        <f>Sheet4!CK87</f>
        <v>0</v>
      </c>
      <c r="CL88" s="68">
        <f>Sheet4!CL87</f>
        <v>0</v>
      </c>
      <c r="CM88" s="68">
        <f>Sheet4!CM87</f>
        <v>0</v>
      </c>
      <c r="CN88" s="68">
        <f>Sheet4!CN87</f>
        <v>0</v>
      </c>
      <c r="CO88" s="68">
        <f>Sheet4!CO87</f>
        <v>0</v>
      </c>
      <c r="CP88" s="68">
        <f>Sheet4!CP87</f>
        <v>0</v>
      </c>
      <c r="CQ88" s="68">
        <f>Sheet4!CQ87</f>
        <v>0</v>
      </c>
      <c r="CR88" s="68">
        <f>Sheet4!CR87</f>
        <v>0</v>
      </c>
      <c r="CS88" s="68">
        <f>Sheet4!CS87</f>
        <v>0</v>
      </c>
      <c r="CT88" s="68">
        <f>Sheet4!CT87</f>
        <v>0</v>
      </c>
      <c r="CU88" s="68">
        <f>Sheet4!CU87</f>
        <v>0</v>
      </c>
      <c r="CV88" s="68">
        <f>Sheet4!CV87</f>
        <v>0</v>
      </c>
      <c r="CW88" s="68">
        <f>Sheet4!CW87</f>
        <v>0</v>
      </c>
      <c r="CX88" s="68">
        <f>Sheet4!CX87</f>
        <v>0</v>
      </c>
      <c r="CY88" s="68">
        <f>Sheet4!CY87</f>
        <v>0</v>
      </c>
      <c r="CZ88" s="68">
        <f>Sheet4!CZ87</f>
        <v>0</v>
      </c>
      <c r="DA88" s="68">
        <f>Sheet4!DA87</f>
        <v>0</v>
      </c>
      <c r="DB88" s="68">
        <f>Sheet4!DB87</f>
        <v>0</v>
      </c>
      <c r="DC88" s="68">
        <f>Sheet4!DC87</f>
        <v>0</v>
      </c>
      <c r="DD88" s="68">
        <f>Sheet4!DD87</f>
        <v>0</v>
      </c>
      <c r="DE88" s="68">
        <f>Sheet4!DE87</f>
        <v>0</v>
      </c>
      <c r="DF88" s="68">
        <f>Sheet4!DF87</f>
        <v>0</v>
      </c>
      <c r="DG88" s="68">
        <f>Sheet4!DG87</f>
        <v>0</v>
      </c>
      <c r="DH88" s="68">
        <f>Sheet4!DH87</f>
        <v>0</v>
      </c>
      <c r="DI88" s="68">
        <f>Sheet4!DI87</f>
        <v>0</v>
      </c>
      <c r="DJ88" s="68">
        <f>Sheet4!DJ87</f>
        <v>0</v>
      </c>
      <c r="DK88" s="68">
        <f>Sheet4!DK87</f>
        <v>0</v>
      </c>
      <c r="DL88" s="68">
        <f>Sheet4!DL87</f>
        <v>0</v>
      </c>
      <c r="DM88" s="68">
        <f>Sheet4!DM87</f>
        <v>0</v>
      </c>
      <c r="DN88" s="68">
        <f>Sheet4!DN87</f>
        <v>0</v>
      </c>
      <c r="DO88" s="68">
        <f>Sheet4!DO87</f>
        <v>0</v>
      </c>
      <c r="DP88" s="68">
        <f>Sheet4!DP87</f>
        <v>0</v>
      </c>
      <c r="DQ88" s="68">
        <f>Sheet4!DQ87</f>
        <v>0</v>
      </c>
    </row>
    <row r="89" spans="1:121" ht="15.75" customHeight="1" x14ac:dyDescent="0.3">
      <c r="A89" s="40">
        <f>Sheet4!A88</f>
        <v>85</v>
      </c>
      <c r="B89" s="40" t="str">
        <f>Sheet4!B88</f>
        <v>ጋቶ ጋሌ</v>
      </c>
      <c r="C89" s="26">
        <f>Sheet4!C88</f>
        <v>21000</v>
      </c>
      <c r="D89" s="68">
        <f>Sheet4!D88</f>
        <v>1</v>
      </c>
      <c r="E89" s="68">
        <f>Sheet4!E88</f>
        <v>1</v>
      </c>
      <c r="F89" s="68">
        <f>Sheet4!F88</f>
        <v>1</v>
      </c>
      <c r="G89" s="68">
        <f>Sheet4!G88</f>
        <v>1</v>
      </c>
      <c r="H89" s="68">
        <f>Sheet4!H88</f>
        <v>1</v>
      </c>
      <c r="I89" s="68">
        <f>Sheet4!I88</f>
        <v>1</v>
      </c>
      <c r="J89" s="68">
        <f>Sheet4!J88</f>
        <v>1</v>
      </c>
      <c r="K89" s="68">
        <f>Sheet4!K88</f>
        <v>1</v>
      </c>
      <c r="L89" s="68">
        <f>Sheet4!L88</f>
        <v>1</v>
      </c>
      <c r="M89" s="68">
        <f>Sheet4!M88</f>
        <v>1</v>
      </c>
      <c r="N89" s="68">
        <f>Sheet4!N88</f>
        <v>1</v>
      </c>
      <c r="O89" s="68">
        <f>Sheet4!O88</f>
        <v>1</v>
      </c>
      <c r="P89" s="68">
        <f>Sheet4!P88</f>
        <v>1</v>
      </c>
      <c r="Q89" s="68">
        <f>Sheet4!Q88</f>
        <v>1</v>
      </c>
      <c r="R89" s="68">
        <f>Sheet4!R88</f>
        <v>1</v>
      </c>
      <c r="S89" s="68">
        <f>Sheet4!S88</f>
        <v>1</v>
      </c>
      <c r="T89" s="68">
        <f>Sheet4!T88</f>
        <v>1</v>
      </c>
      <c r="U89" s="68">
        <f>Sheet4!U88</f>
        <v>1</v>
      </c>
      <c r="V89" s="68">
        <f>Sheet4!V88</f>
        <v>1</v>
      </c>
      <c r="W89" s="68">
        <f>Sheet4!W88</f>
        <v>1</v>
      </c>
      <c r="X89" s="68">
        <f>Sheet4!X88</f>
        <v>1</v>
      </c>
      <c r="Y89" s="68">
        <f>Sheet4!Y88</f>
        <v>1</v>
      </c>
      <c r="Z89" s="68">
        <f>Sheet4!Z88</f>
        <v>1</v>
      </c>
      <c r="AA89" s="68">
        <f>Sheet4!AA88</f>
        <v>1</v>
      </c>
      <c r="AB89" s="68">
        <f>Sheet4!AB88</f>
        <v>1</v>
      </c>
      <c r="AC89" s="68">
        <f>Sheet4!AC88</f>
        <v>1</v>
      </c>
      <c r="AD89" s="68">
        <f>Sheet4!AD88</f>
        <v>1</v>
      </c>
      <c r="AE89" s="68">
        <f>Sheet4!AE88</f>
        <v>1</v>
      </c>
      <c r="AF89" s="68">
        <f>Sheet4!AF88</f>
        <v>1</v>
      </c>
      <c r="AG89" s="68">
        <f>Sheet4!AG88</f>
        <v>1</v>
      </c>
      <c r="AH89" s="68">
        <f>Sheet4!AH88</f>
        <v>1</v>
      </c>
      <c r="AI89" s="68">
        <f>Sheet4!AI88</f>
        <v>1</v>
      </c>
      <c r="AJ89" s="68">
        <f>Sheet4!AJ88</f>
        <v>1</v>
      </c>
      <c r="AK89" s="68">
        <f>Sheet4!AK88</f>
        <v>1</v>
      </c>
      <c r="AL89" s="68">
        <f>Sheet4!AL88</f>
        <v>1</v>
      </c>
      <c r="AM89" s="68">
        <f>Sheet4!AM88</f>
        <v>1</v>
      </c>
      <c r="AN89" s="68">
        <f>Sheet4!AN88</f>
        <v>1</v>
      </c>
      <c r="AO89" s="68">
        <f>Sheet4!AO88</f>
        <v>1</v>
      </c>
      <c r="AP89" s="68">
        <f>Sheet4!AP88</f>
        <v>1</v>
      </c>
      <c r="AQ89" s="68">
        <f>Sheet4!AQ88</f>
        <v>1</v>
      </c>
      <c r="AR89" s="68">
        <f>Sheet4!AR88</f>
        <v>1</v>
      </c>
      <c r="AS89" s="68">
        <f>Sheet4!AS88</f>
        <v>1</v>
      </c>
      <c r="AT89" s="68">
        <f>Sheet4!AT88</f>
        <v>1</v>
      </c>
      <c r="AU89" s="68">
        <f>Sheet4!AU88</f>
        <v>0</v>
      </c>
      <c r="AV89" s="68">
        <f>Sheet4!AV88</f>
        <v>2</v>
      </c>
      <c r="AW89" s="68">
        <f>Sheet4!AW88</f>
        <v>1</v>
      </c>
      <c r="AX89" s="68">
        <f>Sheet4!AX88</f>
        <v>1</v>
      </c>
      <c r="AY89" s="68">
        <f>Sheet4!AY88</f>
        <v>1</v>
      </c>
      <c r="AZ89" s="68">
        <f>Sheet4!AZ88</f>
        <v>1</v>
      </c>
      <c r="BA89" s="68">
        <f>Sheet4!BA88</f>
        <v>1</v>
      </c>
      <c r="BB89" s="68">
        <f>Sheet4!BB88</f>
        <v>0</v>
      </c>
      <c r="BC89" s="68">
        <f>Sheet4!BC88</f>
        <v>2</v>
      </c>
      <c r="BD89" s="68">
        <f>Sheet4!BD88</f>
        <v>1</v>
      </c>
      <c r="BE89" s="68">
        <f>Sheet4!BE88</f>
        <v>1</v>
      </c>
      <c r="BF89" s="68">
        <f>Sheet4!BF88</f>
        <v>1</v>
      </c>
      <c r="BG89" s="68">
        <f>Sheet4!BG88</f>
        <v>0</v>
      </c>
      <c r="BH89" s="68">
        <f>Sheet4!BH88</f>
        <v>2</v>
      </c>
      <c r="BI89" s="68">
        <f>Sheet4!BI88</f>
        <v>1</v>
      </c>
      <c r="BJ89" s="68">
        <f>Sheet4!BJ88</f>
        <v>0</v>
      </c>
      <c r="BK89" s="68">
        <f>Sheet4!BK88</f>
        <v>2</v>
      </c>
      <c r="BL89" s="68">
        <f>Sheet4!BL88</f>
        <v>1</v>
      </c>
      <c r="BM89" s="68">
        <f>Sheet4!BM88</f>
        <v>1</v>
      </c>
      <c r="BN89" s="68">
        <f>Sheet4!BN88</f>
        <v>1</v>
      </c>
      <c r="BO89" s="68">
        <f>Sheet4!BO88</f>
        <v>1</v>
      </c>
      <c r="BP89" s="68">
        <f>Sheet4!BP88</f>
        <v>1</v>
      </c>
      <c r="BQ89" s="68">
        <f>Sheet4!BQ88</f>
        <v>1</v>
      </c>
      <c r="BR89" s="68">
        <f>Sheet4!BR88</f>
        <v>1</v>
      </c>
      <c r="BS89" s="68">
        <f>Sheet4!BS88</f>
        <v>1</v>
      </c>
      <c r="BT89" s="68">
        <f>Sheet4!BT88</f>
        <v>1</v>
      </c>
      <c r="BU89" s="68">
        <f>Sheet4!BU88</f>
        <v>1</v>
      </c>
      <c r="BV89" s="68">
        <f>Sheet4!BV88</f>
        <v>1</v>
      </c>
      <c r="BW89" s="68">
        <f>Sheet4!BW88</f>
        <v>1</v>
      </c>
      <c r="BX89" s="68">
        <f>Sheet4!BX88</f>
        <v>1</v>
      </c>
      <c r="BY89" s="68">
        <f>Sheet4!BY88</f>
        <v>1</v>
      </c>
      <c r="BZ89" s="68">
        <f>Sheet4!BZ88</f>
        <v>1</v>
      </c>
      <c r="CA89" s="68">
        <f>Sheet4!CA88</f>
        <v>1</v>
      </c>
      <c r="CB89" s="68">
        <f>Sheet4!CB88</f>
        <v>1</v>
      </c>
      <c r="CC89" s="68">
        <f>Sheet4!CC88</f>
        <v>1</v>
      </c>
      <c r="CD89" s="68">
        <f>Sheet4!CD88</f>
        <v>1</v>
      </c>
      <c r="CE89" s="68">
        <f>Sheet4!CE88</f>
        <v>1</v>
      </c>
      <c r="CF89" s="68">
        <f>Sheet4!CF88</f>
        <v>1</v>
      </c>
      <c r="CG89" s="68">
        <f>Sheet4!CG88</f>
        <v>1</v>
      </c>
      <c r="CH89" s="68">
        <f>Sheet4!CH88</f>
        <v>1</v>
      </c>
      <c r="CI89" s="68">
        <f>Sheet4!CI88</f>
        <v>1</v>
      </c>
      <c r="CJ89" s="68">
        <f>Sheet4!CJ88</f>
        <v>1</v>
      </c>
      <c r="CK89" s="68">
        <f>Sheet4!CK88</f>
        <v>1</v>
      </c>
      <c r="CL89" s="68">
        <f>Sheet4!CL88</f>
        <v>1</v>
      </c>
      <c r="CM89" s="68">
        <f>Sheet4!CM88</f>
        <v>1</v>
      </c>
      <c r="CN89" s="68">
        <f>Sheet4!CN88</f>
        <v>1</v>
      </c>
      <c r="CO89" s="68">
        <f>Sheet4!CO88</f>
        <v>1</v>
      </c>
      <c r="CP89" s="68">
        <f>Sheet4!CP88</f>
        <v>0</v>
      </c>
      <c r="CQ89" s="68">
        <f>Sheet4!CQ88</f>
        <v>1</v>
      </c>
      <c r="CR89" s="68">
        <f>Sheet4!CR88</f>
        <v>1</v>
      </c>
      <c r="CS89" s="68">
        <f>Sheet4!CS88</f>
        <v>1</v>
      </c>
      <c r="CT89" s="68">
        <f>Sheet4!CT88</f>
        <v>1</v>
      </c>
      <c r="CU89" s="68">
        <f>Sheet4!CU88</f>
        <v>1</v>
      </c>
      <c r="CV89" s="68">
        <f>Sheet4!CV88</f>
        <v>1</v>
      </c>
      <c r="CW89" s="68">
        <f>Sheet4!CW88</f>
        <v>1</v>
      </c>
      <c r="CX89" s="68">
        <f>Sheet4!CX88</f>
        <v>1</v>
      </c>
      <c r="CY89" s="68">
        <f>Sheet4!CY88</f>
        <v>1</v>
      </c>
      <c r="CZ89" s="68">
        <f>Sheet4!CZ88</f>
        <v>1</v>
      </c>
      <c r="DA89" s="68">
        <f>Sheet4!DA88</f>
        <v>1</v>
      </c>
      <c r="DB89" s="68">
        <f>Sheet4!DB88</f>
        <v>1</v>
      </c>
      <c r="DC89" s="68">
        <f>Sheet4!DC88</f>
        <v>1</v>
      </c>
      <c r="DD89" s="68">
        <f>Sheet4!DD88</f>
        <v>1</v>
      </c>
      <c r="DE89" s="68">
        <f>Sheet4!DE88</f>
        <v>0</v>
      </c>
      <c r="DF89" s="68">
        <f>Sheet4!DF88</f>
        <v>2</v>
      </c>
      <c r="DG89" s="68">
        <f>Sheet4!DG88</f>
        <v>1</v>
      </c>
      <c r="DH89" s="68">
        <f>Sheet4!DH88</f>
        <v>0</v>
      </c>
      <c r="DI89" s="68">
        <f>Sheet4!DI88</f>
        <v>0</v>
      </c>
      <c r="DJ89" s="68">
        <f>Sheet4!DJ88</f>
        <v>0</v>
      </c>
      <c r="DK89" s="68">
        <f>Sheet4!DK88</f>
        <v>0</v>
      </c>
      <c r="DL89" s="68">
        <f>Sheet4!DL88</f>
        <v>0</v>
      </c>
      <c r="DM89" s="68">
        <f>Sheet4!DM88</f>
        <v>0</v>
      </c>
      <c r="DN89" s="68">
        <f>Sheet4!DN88</f>
        <v>0</v>
      </c>
      <c r="DO89" s="68">
        <f>Sheet4!DO88</f>
        <v>0</v>
      </c>
      <c r="DP89" s="68">
        <f>Sheet4!DP88</f>
        <v>0</v>
      </c>
      <c r="DQ89" s="68">
        <f>Sheet4!DQ88</f>
        <v>0</v>
      </c>
    </row>
    <row r="90" spans="1:121" ht="15.75" customHeight="1" x14ac:dyDescent="0.3">
      <c r="A90" s="40">
        <f>Sheet4!A89</f>
        <v>86</v>
      </c>
      <c r="B90" s="40" t="str">
        <f>Sheet4!B89</f>
        <v xml:space="preserve">ቀሬ ቀማቾ </v>
      </c>
      <c r="C90" s="26">
        <f>Sheet4!C89</f>
        <v>21000</v>
      </c>
      <c r="D90" s="68">
        <f>Sheet4!D89</f>
        <v>1</v>
      </c>
      <c r="E90" s="68">
        <f>Sheet4!E89</f>
        <v>1</v>
      </c>
      <c r="F90" s="68">
        <f>Sheet4!F89</f>
        <v>1</v>
      </c>
      <c r="G90" s="68">
        <f>Sheet4!G89</f>
        <v>1</v>
      </c>
      <c r="H90" s="68">
        <f>Sheet4!H89</f>
        <v>1</v>
      </c>
      <c r="I90" s="68">
        <f>Sheet4!I89</f>
        <v>1</v>
      </c>
      <c r="J90" s="68">
        <f>Sheet4!J89</f>
        <v>1</v>
      </c>
      <c r="K90" s="68">
        <f>Sheet4!K89</f>
        <v>1</v>
      </c>
      <c r="L90" s="68">
        <f>Sheet4!L89</f>
        <v>1</v>
      </c>
      <c r="M90" s="68">
        <f>Sheet4!M89</f>
        <v>1</v>
      </c>
      <c r="N90" s="68">
        <f>Sheet4!N89</f>
        <v>1</v>
      </c>
      <c r="O90" s="68">
        <f>Sheet4!O89</f>
        <v>1</v>
      </c>
      <c r="P90" s="68">
        <f>Sheet4!P89</f>
        <v>1</v>
      </c>
      <c r="Q90" s="68">
        <f>Sheet4!Q89</f>
        <v>1</v>
      </c>
      <c r="R90" s="68">
        <f>Sheet4!R89</f>
        <v>1</v>
      </c>
      <c r="S90" s="68">
        <f>Sheet4!S89</f>
        <v>1</v>
      </c>
      <c r="T90" s="68">
        <f>Sheet4!T89</f>
        <v>1</v>
      </c>
      <c r="U90" s="68">
        <f>Sheet4!U89</f>
        <v>1</v>
      </c>
      <c r="V90" s="68">
        <f>Sheet4!V89</f>
        <v>1</v>
      </c>
      <c r="W90" s="68">
        <f>Sheet4!W89</f>
        <v>1</v>
      </c>
      <c r="X90" s="68">
        <f>Sheet4!X89</f>
        <v>1</v>
      </c>
      <c r="Y90" s="68">
        <f>Sheet4!Y89</f>
        <v>1</v>
      </c>
      <c r="Z90" s="68">
        <f>Sheet4!Z89</f>
        <v>1</v>
      </c>
      <c r="AA90" s="68">
        <f>Sheet4!AA89</f>
        <v>1</v>
      </c>
      <c r="AB90" s="68">
        <f>Sheet4!AB89</f>
        <v>1</v>
      </c>
      <c r="AC90" s="68">
        <f>Sheet4!AC89</f>
        <v>1</v>
      </c>
      <c r="AD90" s="68">
        <f>Sheet4!AD89</f>
        <v>1</v>
      </c>
      <c r="AE90" s="68">
        <f>Sheet4!AE89</f>
        <v>1</v>
      </c>
      <c r="AF90" s="68">
        <f>Sheet4!AF89</f>
        <v>1</v>
      </c>
      <c r="AG90" s="68">
        <f>Sheet4!AG89</f>
        <v>1</v>
      </c>
      <c r="AH90" s="68">
        <f>Sheet4!AH89</f>
        <v>1</v>
      </c>
      <c r="AI90" s="68">
        <f>Sheet4!AI89</f>
        <v>1</v>
      </c>
      <c r="AJ90" s="68">
        <f>Sheet4!AJ89</f>
        <v>1</v>
      </c>
      <c r="AK90" s="68">
        <f>Sheet4!AK89</f>
        <v>1</v>
      </c>
      <c r="AL90" s="68">
        <f>Sheet4!AL89</f>
        <v>1</v>
      </c>
      <c r="AM90" s="68">
        <f>Sheet4!AM89</f>
        <v>1</v>
      </c>
      <c r="AN90" s="68">
        <f>Sheet4!AN89</f>
        <v>1</v>
      </c>
      <c r="AO90" s="68">
        <f>Sheet4!AO89</f>
        <v>1</v>
      </c>
      <c r="AP90" s="68">
        <f>Sheet4!AP89</f>
        <v>1</v>
      </c>
      <c r="AQ90" s="68">
        <f>Sheet4!AQ89</f>
        <v>1</v>
      </c>
      <c r="AR90" s="68">
        <f>Sheet4!AR89</f>
        <v>1</v>
      </c>
      <c r="AS90" s="68">
        <f>Sheet4!AS89</f>
        <v>1</v>
      </c>
      <c r="AT90" s="68">
        <f>Sheet4!AT89</f>
        <v>1</v>
      </c>
      <c r="AU90" s="68">
        <f>Sheet4!AU89</f>
        <v>1</v>
      </c>
      <c r="AV90" s="68">
        <f>Sheet4!AV89</f>
        <v>1</v>
      </c>
      <c r="AW90" s="68">
        <f>Sheet4!AW89</f>
        <v>1</v>
      </c>
      <c r="AX90" s="68">
        <f>Sheet4!AX89</f>
        <v>1</v>
      </c>
      <c r="AY90" s="68">
        <f>Sheet4!AY89</f>
        <v>1</v>
      </c>
      <c r="AZ90" s="68">
        <f>Sheet4!AZ89</f>
        <v>1</v>
      </c>
      <c r="BA90" s="68">
        <f>Sheet4!BA89</f>
        <v>1</v>
      </c>
      <c r="BB90" s="68">
        <f>Sheet4!BB89</f>
        <v>1</v>
      </c>
      <c r="BC90" s="68">
        <f>Sheet4!BC89</f>
        <v>1</v>
      </c>
      <c r="BD90" s="68">
        <f>Sheet4!BD89</f>
        <v>1</v>
      </c>
      <c r="BE90" s="68">
        <f>Sheet4!BE89</f>
        <v>1</v>
      </c>
      <c r="BF90" s="68">
        <f>Sheet4!BF89</f>
        <v>1</v>
      </c>
      <c r="BG90" s="68">
        <f>Sheet4!BG89</f>
        <v>1</v>
      </c>
      <c r="BH90" s="68">
        <f>Sheet4!BH89</f>
        <v>1</v>
      </c>
      <c r="BI90" s="68">
        <f>Sheet4!BI89</f>
        <v>1</v>
      </c>
      <c r="BJ90" s="68">
        <f>Sheet4!BJ89</f>
        <v>1</v>
      </c>
      <c r="BK90" s="68">
        <f>Sheet4!BK89</f>
        <v>1</v>
      </c>
      <c r="BL90" s="68">
        <f>Sheet4!BL89</f>
        <v>1</v>
      </c>
      <c r="BM90" s="68">
        <f>Sheet4!BM89</f>
        <v>1</v>
      </c>
      <c r="BN90" s="68">
        <f>Sheet4!BN89</f>
        <v>1</v>
      </c>
      <c r="BO90" s="68">
        <f>Sheet4!BO89</f>
        <v>0</v>
      </c>
      <c r="BP90" s="68">
        <f>Sheet4!BP89</f>
        <v>2</v>
      </c>
      <c r="BQ90" s="68">
        <f>Sheet4!BQ89</f>
        <v>1</v>
      </c>
      <c r="BR90" s="68">
        <f>Sheet4!BR89</f>
        <v>0</v>
      </c>
      <c r="BS90" s="68">
        <f>Sheet4!BS89</f>
        <v>2</v>
      </c>
      <c r="BT90" s="68">
        <f>Sheet4!BT89</f>
        <v>1</v>
      </c>
      <c r="BU90" s="68">
        <f>Sheet4!BU89</f>
        <v>0</v>
      </c>
      <c r="BV90" s="68">
        <f>Sheet4!BV89</f>
        <v>2</v>
      </c>
      <c r="BW90" s="68">
        <f>Sheet4!BW89</f>
        <v>0</v>
      </c>
      <c r="BX90" s="68">
        <f>Sheet4!BX89</f>
        <v>2</v>
      </c>
      <c r="BY90" s="68">
        <f>Sheet4!BY89</f>
        <v>0</v>
      </c>
      <c r="BZ90" s="68">
        <f>Sheet4!BZ89</f>
        <v>2</v>
      </c>
      <c r="CA90" s="68">
        <f>Sheet4!CA89</f>
        <v>0</v>
      </c>
      <c r="CB90" s="68">
        <f>Sheet4!CB89</f>
        <v>2</v>
      </c>
      <c r="CC90" s="68">
        <f>Sheet4!CC89</f>
        <v>0</v>
      </c>
      <c r="CD90" s="68">
        <f>Sheet4!CD89</f>
        <v>0</v>
      </c>
      <c r="CE90" s="68">
        <f>Sheet4!CE89</f>
        <v>3</v>
      </c>
      <c r="CF90" s="68">
        <f>Sheet4!CF89</f>
        <v>0</v>
      </c>
      <c r="CG90" s="68">
        <f>Sheet4!CG89</f>
        <v>0</v>
      </c>
      <c r="CH90" s="68">
        <f>Sheet4!CH89</f>
        <v>3</v>
      </c>
      <c r="CI90" s="68">
        <f>Sheet4!CI89</f>
        <v>0</v>
      </c>
      <c r="CJ90" s="68">
        <f>Sheet4!CJ89</f>
        <v>0</v>
      </c>
      <c r="CK90" s="68">
        <f>Sheet4!CK89</f>
        <v>3</v>
      </c>
      <c r="CL90" s="68">
        <f>Sheet4!CL89</f>
        <v>0</v>
      </c>
      <c r="CM90" s="68">
        <f>Sheet4!CM89</f>
        <v>0</v>
      </c>
      <c r="CN90" s="68">
        <f>Sheet4!CN89</f>
        <v>3</v>
      </c>
      <c r="CO90" s="68">
        <f>Sheet4!CO89</f>
        <v>0</v>
      </c>
      <c r="CP90" s="68">
        <f>Sheet4!CP89</f>
        <v>0</v>
      </c>
      <c r="CQ90" s="68">
        <f>Sheet4!CQ89</f>
        <v>0</v>
      </c>
      <c r="CR90" s="68">
        <f>Sheet4!CR89</f>
        <v>2</v>
      </c>
      <c r="CS90" s="68">
        <f>Sheet4!CS89</f>
        <v>0</v>
      </c>
      <c r="CT90" s="68">
        <f>Sheet4!CT89</f>
        <v>0</v>
      </c>
      <c r="CU90" s="68">
        <f>Sheet4!CU89</f>
        <v>2</v>
      </c>
      <c r="CV90" s="68">
        <f>Sheet4!CV89</f>
        <v>0</v>
      </c>
      <c r="CW90" s="68">
        <f>Sheet4!CW89</f>
        <v>0</v>
      </c>
      <c r="CX90" s="68">
        <f>Sheet4!CX89</f>
        <v>2</v>
      </c>
      <c r="CY90" s="68">
        <f>Sheet4!CY89</f>
        <v>0</v>
      </c>
      <c r="CZ90" s="68">
        <f>Sheet4!CZ89</f>
        <v>0</v>
      </c>
      <c r="DA90" s="68">
        <f>Sheet4!DA89</f>
        <v>3</v>
      </c>
      <c r="DB90" s="68">
        <f>Sheet4!DB89</f>
        <v>0</v>
      </c>
      <c r="DC90" s="68">
        <f>Sheet4!DC89</f>
        <v>0</v>
      </c>
      <c r="DD90" s="68">
        <f>Sheet4!DD89</f>
        <v>3</v>
      </c>
      <c r="DE90" s="68">
        <f>Sheet4!DE89</f>
        <v>0</v>
      </c>
      <c r="DF90" s="68">
        <f>Sheet4!DF89</f>
        <v>0</v>
      </c>
      <c r="DG90" s="68">
        <f>Sheet4!DG89</f>
        <v>0</v>
      </c>
      <c r="DH90" s="68">
        <f>Sheet4!DH89</f>
        <v>0</v>
      </c>
      <c r="DI90" s="68">
        <f>Sheet4!DI89</f>
        <v>0</v>
      </c>
      <c r="DJ90" s="68">
        <f>Sheet4!DJ89</f>
        <v>0</v>
      </c>
      <c r="DK90" s="68">
        <f>Sheet4!DK89</f>
        <v>0</v>
      </c>
      <c r="DL90" s="68">
        <f>Sheet4!DL89</f>
        <v>0</v>
      </c>
      <c r="DM90" s="68">
        <f>Sheet4!DM89</f>
        <v>0</v>
      </c>
      <c r="DN90" s="68">
        <f>Sheet4!DN89</f>
        <v>0</v>
      </c>
      <c r="DO90" s="68">
        <f>Sheet4!DO89</f>
        <v>0</v>
      </c>
      <c r="DP90" s="68">
        <f>Sheet4!DP89</f>
        <v>0</v>
      </c>
      <c r="DQ90" s="68">
        <f>Sheet4!DQ89</f>
        <v>0</v>
      </c>
    </row>
    <row r="91" spans="1:121" ht="15.75" customHeight="1" x14ac:dyDescent="0.3">
      <c r="A91" s="40">
        <f>Sheet4!A90</f>
        <v>87</v>
      </c>
      <c r="B91" s="40" t="str">
        <f>Sheet4!B90</f>
        <v>ሀብታሙ ቀሬ</v>
      </c>
      <c r="C91" s="26">
        <f>Sheet4!C90</f>
        <v>21000</v>
      </c>
      <c r="D91" s="68">
        <f>Sheet4!D90</f>
        <v>1</v>
      </c>
      <c r="E91" s="68">
        <f>Sheet4!E90</f>
        <v>1</v>
      </c>
      <c r="F91" s="68">
        <f>Sheet4!F90</f>
        <v>1</v>
      </c>
      <c r="G91" s="68">
        <f>Sheet4!G90</f>
        <v>1</v>
      </c>
      <c r="H91" s="68">
        <f>Sheet4!H90</f>
        <v>1</v>
      </c>
      <c r="I91" s="68">
        <f>Sheet4!I90</f>
        <v>1</v>
      </c>
      <c r="J91" s="68">
        <f>Sheet4!J90</f>
        <v>1</v>
      </c>
      <c r="K91" s="68">
        <f>Sheet4!K90</f>
        <v>1</v>
      </c>
      <c r="L91" s="68">
        <f>Sheet4!L90</f>
        <v>1</v>
      </c>
      <c r="M91" s="68">
        <f>Sheet4!M90</f>
        <v>1</v>
      </c>
      <c r="N91" s="68">
        <f>Sheet4!N90</f>
        <v>1</v>
      </c>
      <c r="O91" s="68">
        <f>Sheet4!O90</f>
        <v>1</v>
      </c>
      <c r="P91" s="68">
        <f>Sheet4!P90</f>
        <v>1</v>
      </c>
      <c r="Q91" s="68">
        <f>Sheet4!Q90</f>
        <v>1</v>
      </c>
      <c r="R91" s="68">
        <f>Sheet4!R90</f>
        <v>1</v>
      </c>
      <c r="S91" s="68">
        <f>Sheet4!S90</f>
        <v>1</v>
      </c>
      <c r="T91" s="68">
        <f>Sheet4!T90</f>
        <v>1</v>
      </c>
      <c r="U91" s="68">
        <f>Sheet4!U90</f>
        <v>1</v>
      </c>
      <c r="V91" s="68">
        <f>Sheet4!V90</f>
        <v>1</v>
      </c>
      <c r="W91" s="68">
        <f>Sheet4!W90</f>
        <v>1</v>
      </c>
      <c r="X91" s="68">
        <f>Sheet4!X90</f>
        <v>1</v>
      </c>
      <c r="Y91" s="68">
        <f>Sheet4!Y90</f>
        <v>1</v>
      </c>
      <c r="Z91" s="68">
        <f>Sheet4!Z90</f>
        <v>1</v>
      </c>
      <c r="AA91" s="68">
        <f>Sheet4!AA90</f>
        <v>1</v>
      </c>
      <c r="AB91" s="68">
        <f>Sheet4!AB90</f>
        <v>1</v>
      </c>
      <c r="AC91" s="68">
        <f>Sheet4!AC90</f>
        <v>1</v>
      </c>
      <c r="AD91" s="68">
        <f>Sheet4!AD90</f>
        <v>1</v>
      </c>
      <c r="AE91" s="68">
        <f>Sheet4!AE90</f>
        <v>1</v>
      </c>
      <c r="AF91" s="68">
        <f>Sheet4!AF90</f>
        <v>1</v>
      </c>
      <c r="AG91" s="68">
        <f>Sheet4!AG90</f>
        <v>1</v>
      </c>
      <c r="AH91" s="68">
        <f>Sheet4!AH90</f>
        <v>1</v>
      </c>
      <c r="AI91" s="68">
        <f>Sheet4!AI90</f>
        <v>1</v>
      </c>
      <c r="AJ91" s="68">
        <f>Sheet4!AJ90</f>
        <v>1</v>
      </c>
      <c r="AK91" s="68">
        <f>Sheet4!AK90</f>
        <v>1</v>
      </c>
      <c r="AL91" s="68">
        <f>Sheet4!AL90</f>
        <v>1</v>
      </c>
      <c r="AM91" s="68">
        <f>Sheet4!AM90</f>
        <v>1</v>
      </c>
      <c r="AN91" s="68">
        <f>Sheet4!AN90</f>
        <v>1</v>
      </c>
      <c r="AO91" s="68">
        <f>Sheet4!AO90</f>
        <v>1</v>
      </c>
      <c r="AP91" s="68">
        <f>Sheet4!AP90</f>
        <v>1</v>
      </c>
      <c r="AQ91" s="68">
        <f>Sheet4!AQ90</f>
        <v>1</v>
      </c>
      <c r="AR91" s="68">
        <f>Sheet4!AR90</f>
        <v>1</v>
      </c>
      <c r="AS91" s="68">
        <f>Sheet4!AS90</f>
        <v>1</v>
      </c>
      <c r="AT91" s="68">
        <f>Sheet4!AT90</f>
        <v>1</v>
      </c>
      <c r="AU91" s="68">
        <f>Sheet4!AU90</f>
        <v>1</v>
      </c>
      <c r="AV91" s="68">
        <f>Sheet4!AV90</f>
        <v>1</v>
      </c>
      <c r="AW91" s="68">
        <f>Sheet4!AW90</f>
        <v>1</v>
      </c>
      <c r="AX91" s="68">
        <f>Sheet4!AX90</f>
        <v>1</v>
      </c>
      <c r="AY91" s="68">
        <f>Sheet4!AY90</f>
        <v>1</v>
      </c>
      <c r="AZ91" s="68">
        <f>Sheet4!AZ90</f>
        <v>1</v>
      </c>
      <c r="BA91" s="68">
        <f>Sheet4!BA90</f>
        <v>1</v>
      </c>
      <c r="BB91" s="68">
        <f>Sheet4!BB90</f>
        <v>1</v>
      </c>
      <c r="BC91" s="68">
        <f>Sheet4!BC90</f>
        <v>1</v>
      </c>
      <c r="BD91" s="68">
        <f>Sheet4!BD90</f>
        <v>1</v>
      </c>
      <c r="BE91" s="68">
        <f>Sheet4!BE90</f>
        <v>1</v>
      </c>
      <c r="BF91" s="68">
        <f>Sheet4!BF90</f>
        <v>1</v>
      </c>
      <c r="BG91" s="68">
        <f>Sheet4!BG90</f>
        <v>1</v>
      </c>
      <c r="BH91" s="68">
        <f>Sheet4!BH90</f>
        <v>1</v>
      </c>
      <c r="BI91" s="68">
        <f>Sheet4!BI90</f>
        <v>1</v>
      </c>
      <c r="BJ91" s="68">
        <f>Sheet4!BJ90</f>
        <v>1</v>
      </c>
      <c r="BK91" s="68">
        <f>Sheet4!BK90</f>
        <v>1</v>
      </c>
      <c r="BL91" s="68">
        <f>Sheet4!BL90</f>
        <v>1</v>
      </c>
      <c r="BM91" s="68">
        <f>Sheet4!BM90</f>
        <v>1</v>
      </c>
      <c r="BN91" s="68">
        <f>Sheet4!BN90</f>
        <v>1</v>
      </c>
      <c r="BO91" s="68">
        <f>Sheet4!BO90</f>
        <v>0</v>
      </c>
      <c r="BP91" s="68">
        <f>Sheet4!BP90</f>
        <v>2</v>
      </c>
      <c r="BQ91" s="68">
        <f>Sheet4!BQ90</f>
        <v>1</v>
      </c>
      <c r="BR91" s="68">
        <f>Sheet4!BR90</f>
        <v>0</v>
      </c>
      <c r="BS91" s="68">
        <f>Sheet4!BS90</f>
        <v>2</v>
      </c>
      <c r="BT91" s="68">
        <f>Sheet4!BT90</f>
        <v>1</v>
      </c>
      <c r="BU91" s="68">
        <f>Sheet4!BU90</f>
        <v>0</v>
      </c>
      <c r="BV91" s="68">
        <f>Sheet4!BV90</f>
        <v>2</v>
      </c>
      <c r="BW91" s="68">
        <f>Sheet4!BW90</f>
        <v>0</v>
      </c>
      <c r="BX91" s="68">
        <f>Sheet4!BX90</f>
        <v>2</v>
      </c>
      <c r="BY91" s="68">
        <f>Sheet4!BY90</f>
        <v>0</v>
      </c>
      <c r="BZ91" s="68">
        <f>Sheet4!BZ90</f>
        <v>2</v>
      </c>
      <c r="CA91" s="68">
        <f>Sheet4!CA90</f>
        <v>0</v>
      </c>
      <c r="CB91" s="68">
        <f>Sheet4!CB90</f>
        <v>2</v>
      </c>
      <c r="CC91" s="68">
        <f>Sheet4!CC90</f>
        <v>0</v>
      </c>
      <c r="CD91" s="68">
        <f>Sheet4!CD90</f>
        <v>0</v>
      </c>
      <c r="CE91" s="68">
        <f>Sheet4!CE90</f>
        <v>3</v>
      </c>
      <c r="CF91" s="68">
        <f>Sheet4!CF90</f>
        <v>0</v>
      </c>
      <c r="CG91" s="68">
        <f>Sheet4!CG90</f>
        <v>0</v>
      </c>
      <c r="CH91" s="68">
        <f>Sheet4!CH90</f>
        <v>3</v>
      </c>
      <c r="CI91" s="68">
        <f>Sheet4!CI90</f>
        <v>0</v>
      </c>
      <c r="CJ91" s="68">
        <f>Sheet4!CJ90</f>
        <v>0</v>
      </c>
      <c r="CK91" s="68">
        <f>Sheet4!CK90</f>
        <v>3</v>
      </c>
      <c r="CL91" s="68">
        <f>Sheet4!CL90</f>
        <v>0</v>
      </c>
      <c r="CM91" s="68">
        <f>Sheet4!CM90</f>
        <v>0</v>
      </c>
      <c r="CN91" s="68">
        <f>Sheet4!CN90</f>
        <v>3</v>
      </c>
      <c r="CO91" s="68">
        <f>Sheet4!CO90</f>
        <v>0</v>
      </c>
      <c r="CP91" s="68">
        <f>Sheet4!CP90</f>
        <v>0</v>
      </c>
      <c r="CQ91" s="68">
        <f>Sheet4!CQ90</f>
        <v>0</v>
      </c>
      <c r="CR91" s="68">
        <f>Sheet4!CR90</f>
        <v>2</v>
      </c>
      <c r="CS91" s="68">
        <f>Sheet4!CS90</f>
        <v>0</v>
      </c>
      <c r="CT91" s="68">
        <f>Sheet4!CT90</f>
        <v>0</v>
      </c>
      <c r="CU91" s="68">
        <f>Sheet4!CU90</f>
        <v>2</v>
      </c>
      <c r="CV91" s="68">
        <f>Sheet4!CV90</f>
        <v>0</v>
      </c>
      <c r="CW91" s="68">
        <f>Sheet4!CW90</f>
        <v>0</v>
      </c>
      <c r="CX91" s="68">
        <f>Sheet4!CX90</f>
        <v>2</v>
      </c>
      <c r="CY91" s="68">
        <f>Sheet4!CY90</f>
        <v>0</v>
      </c>
      <c r="CZ91" s="68">
        <f>Sheet4!CZ90</f>
        <v>0</v>
      </c>
      <c r="DA91" s="68">
        <f>Sheet4!DA90</f>
        <v>3</v>
      </c>
      <c r="DB91" s="68">
        <f>Sheet4!DB90</f>
        <v>0</v>
      </c>
      <c r="DC91" s="68">
        <f>Sheet4!DC90</f>
        <v>0</v>
      </c>
      <c r="DD91" s="68">
        <f>Sheet4!DD90</f>
        <v>3</v>
      </c>
      <c r="DE91" s="68">
        <f>Sheet4!DE90</f>
        <v>0</v>
      </c>
      <c r="DF91" s="68">
        <f>Sheet4!DF90</f>
        <v>0</v>
      </c>
      <c r="DG91" s="68">
        <f>Sheet4!DG90</f>
        <v>0</v>
      </c>
      <c r="DH91" s="68">
        <f>Sheet4!DH90</f>
        <v>0</v>
      </c>
      <c r="DI91" s="68">
        <f>Sheet4!DI90</f>
        <v>0</v>
      </c>
      <c r="DJ91" s="68">
        <f>Sheet4!DJ90</f>
        <v>0</v>
      </c>
      <c r="DK91" s="68">
        <f>Sheet4!DK90</f>
        <v>0</v>
      </c>
      <c r="DL91" s="68">
        <f>Sheet4!DL90</f>
        <v>0</v>
      </c>
      <c r="DM91" s="68">
        <f>Sheet4!DM90</f>
        <v>0</v>
      </c>
      <c r="DN91" s="68">
        <f>Sheet4!DN90</f>
        <v>0</v>
      </c>
      <c r="DO91" s="68">
        <f>Sheet4!DO90</f>
        <v>0</v>
      </c>
      <c r="DP91" s="68">
        <f>Sheet4!DP90</f>
        <v>0</v>
      </c>
      <c r="DQ91" s="68">
        <f>Sheet4!DQ90</f>
        <v>0</v>
      </c>
    </row>
    <row r="92" spans="1:121" ht="15.75" customHeight="1" x14ac:dyDescent="0.3">
      <c r="A92" s="40">
        <f>Sheet4!A91</f>
        <v>88</v>
      </c>
      <c r="B92" s="40" t="str">
        <f>Sheet4!B91</f>
        <v xml:space="preserve">ኢዮብ ዋኬኖ </v>
      </c>
      <c r="C92" s="26">
        <f>Sheet4!C91</f>
        <v>21000</v>
      </c>
      <c r="D92" s="68">
        <f>Sheet4!D91</f>
        <v>1</v>
      </c>
      <c r="E92" s="68">
        <f>Sheet4!E91</f>
        <v>1</v>
      </c>
      <c r="F92" s="68">
        <f>Sheet4!F91</f>
        <v>1</v>
      </c>
      <c r="G92" s="68">
        <f>Sheet4!G91</f>
        <v>1</v>
      </c>
      <c r="H92" s="68">
        <f>Sheet4!H91</f>
        <v>1</v>
      </c>
      <c r="I92" s="68">
        <f>Sheet4!I91</f>
        <v>1</v>
      </c>
      <c r="J92" s="68">
        <f>Sheet4!J91</f>
        <v>1</v>
      </c>
      <c r="K92" s="68">
        <f>Sheet4!K91</f>
        <v>1</v>
      </c>
      <c r="L92" s="68">
        <f>Sheet4!L91</f>
        <v>1</v>
      </c>
      <c r="M92" s="68">
        <f>Sheet4!M91</f>
        <v>1</v>
      </c>
      <c r="N92" s="68">
        <f>Sheet4!N91</f>
        <v>1</v>
      </c>
      <c r="O92" s="68">
        <f>Sheet4!O91</f>
        <v>1</v>
      </c>
      <c r="P92" s="68">
        <f>Sheet4!P91</f>
        <v>1</v>
      </c>
      <c r="Q92" s="68">
        <f>Sheet4!Q91</f>
        <v>1</v>
      </c>
      <c r="R92" s="68">
        <f>Sheet4!R91</f>
        <v>1</v>
      </c>
      <c r="S92" s="68">
        <f>Sheet4!S91</f>
        <v>1</v>
      </c>
      <c r="T92" s="68">
        <f>Sheet4!T91</f>
        <v>1</v>
      </c>
      <c r="U92" s="68">
        <f>Sheet4!U91</f>
        <v>1</v>
      </c>
      <c r="V92" s="68">
        <f>Sheet4!V91</f>
        <v>1</v>
      </c>
      <c r="W92" s="68">
        <f>Sheet4!W91</f>
        <v>1</v>
      </c>
      <c r="X92" s="68">
        <f>Sheet4!X91</f>
        <v>1</v>
      </c>
      <c r="Y92" s="68">
        <f>Sheet4!Y91</f>
        <v>1</v>
      </c>
      <c r="Z92" s="68">
        <f>Sheet4!Z91</f>
        <v>1</v>
      </c>
      <c r="AA92" s="68">
        <f>Sheet4!AA91</f>
        <v>0</v>
      </c>
      <c r="AB92" s="68">
        <f>Sheet4!AB91</f>
        <v>2</v>
      </c>
      <c r="AC92" s="68">
        <f>Sheet4!AC91</f>
        <v>1</v>
      </c>
      <c r="AD92" s="68">
        <f>Sheet4!AD91</f>
        <v>0</v>
      </c>
      <c r="AE92" s="68">
        <f>Sheet4!AE91</f>
        <v>2</v>
      </c>
      <c r="AF92" s="68">
        <f>Sheet4!AF91</f>
        <v>0</v>
      </c>
      <c r="AG92" s="68">
        <f>Sheet4!AG91</f>
        <v>2</v>
      </c>
      <c r="AH92" s="68">
        <f>Sheet4!AH91</f>
        <v>0</v>
      </c>
      <c r="AI92" s="68">
        <f>Sheet4!AI91</f>
        <v>2</v>
      </c>
      <c r="AJ92" s="68">
        <f>Sheet4!AJ91</f>
        <v>0</v>
      </c>
      <c r="AK92" s="68">
        <f>Sheet4!AK91</f>
        <v>2</v>
      </c>
      <c r="AL92" s="68">
        <f>Sheet4!AL91</f>
        <v>1</v>
      </c>
      <c r="AM92" s="68">
        <f>Sheet4!AM91</f>
        <v>1</v>
      </c>
      <c r="AN92" s="68">
        <f>Sheet4!AN91</f>
        <v>0</v>
      </c>
      <c r="AO92" s="68">
        <f>Sheet4!AO91</f>
        <v>2</v>
      </c>
      <c r="AP92" s="68">
        <f>Sheet4!AP91</f>
        <v>1</v>
      </c>
      <c r="AQ92" s="68">
        <f>Sheet4!AQ91</f>
        <v>0</v>
      </c>
      <c r="AR92" s="68">
        <f>Sheet4!AR91</f>
        <v>1</v>
      </c>
      <c r="AS92" s="68">
        <f>Sheet4!AS91</f>
        <v>2</v>
      </c>
      <c r="AT92" s="68">
        <f>Sheet4!AT91</f>
        <v>0</v>
      </c>
      <c r="AU92" s="68">
        <f>Sheet4!AU91</f>
        <v>2</v>
      </c>
      <c r="AV92" s="68">
        <f>Sheet4!AV91</f>
        <v>0</v>
      </c>
      <c r="AW92" s="68">
        <f>Sheet4!AW91</f>
        <v>2</v>
      </c>
      <c r="AX92" s="68">
        <f>Sheet4!AX91</f>
        <v>1</v>
      </c>
      <c r="AY92" s="68">
        <f>Sheet4!AY91</f>
        <v>1</v>
      </c>
      <c r="AZ92" s="68">
        <f>Sheet4!AZ91</f>
        <v>1</v>
      </c>
      <c r="BA92" s="68">
        <f>Sheet4!BA91</f>
        <v>1</v>
      </c>
      <c r="BB92" s="68">
        <f>Sheet4!BB91</f>
        <v>1</v>
      </c>
      <c r="BC92" s="68">
        <f>Sheet4!BC91</f>
        <v>1</v>
      </c>
      <c r="BD92" s="68">
        <f>Sheet4!BD91</f>
        <v>0</v>
      </c>
      <c r="BE92" s="68">
        <f>Sheet4!BE91</f>
        <v>1</v>
      </c>
      <c r="BF92" s="68">
        <f>Sheet4!BF91</f>
        <v>1</v>
      </c>
      <c r="BG92" s="68">
        <f>Sheet4!BG91</f>
        <v>0</v>
      </c>
      <c r="BH92" s="68">
        <f>Sheet4!BH91</f>
        <v>3</v>
      </c>
      <c r="BI92" s="68">
        <f>Sheet4!BI91</f>
        <v>0</v>
      </c>
      <c r="BJ92" s="68">
        <f>Sheet4!BJ91</f>
        <v>1</v>
      </c>
      <c r="BK92" s="68">
        <f>Sheet4!BK91</f>
        <v>1</v>
      </c>
      <c r="BL92" s="68">
        <f>Sheet4!BL91</f>
        <v>1</v>
      </c>
      <c r="BM92" s="68">
        <f>Sheet4!BM91</f>
        <v>0</v>
      </c>
      <c r="BN92" s="68">
        <f>Sheet4!BN91</f>
        <v>1</v>
      </c>
      <c r="BO92" s="68">
        <f>Sheet4!BO91</f>
        <v>0</v>
      </c>
      <c r="BP92" s="68">
        <f>Sheet4!BP91</f>
        <v>2</v>
      </c>
      <c r="BQ92" s="68">
        <f>Sheet4!BQ91</f>
        <v>1</v>
      </c>
      <c r="BR92" s="68">
        <f>Sheet4!BR91</f>
        <v>1</v>
      </c>
      <c r="BS92" s="68">
        <f>Sheet4!BS91</f>
        <v>2</v>
      </c>
      <c r="BT92" s="68">
        <f>Sheet4!BT91</f>
        <v>1</v>
      </c>
      <c r="BU92" s="68">
        <f>Sheet4!BU91</f>
        <v>0</v>
      </c>
      <c r="BV92" s="68">
        <f>Sheet4!BV91</f>
        <v>0</v>
      </c>
      <c r="BW92" s="68">
        <f>Sheet4!BW91</f>
        <v>3</v>
      </c>
      <c r="BX92" s="68">
        <f>Sheet4!BX91</f>
        <v>0</v>
      </c>
      <c r="BY92" s="68">
        <f>Sheet4!BY91</f>
        <v>0</v>
      </c>
      <c r="BZ92" s="68">
        <f>Sheet4!BZ91</f>
        <v>2</v>
      </c>
      <c r="CA92" s="68">
        <f>Sheet4!CA91</f>
        <v>1</v>
      </c>
      <c r="CB92" s="68">
        <f>Sheet4!CB91</f>
        <v>0</v>
      </c>
      <c r="CC92" s="68">
        <f>Sheet4!CC91</f>
        <v>2</v>
      </c>
      <c r="CD92" s="68">
        <f>Sheet4!CD91</f>
        <v>0</v>
      </c>
      <c r="CE92" s="68">
        <f>Sheet4!CE91</f>
        <v>0</v>
      </c>
      <c r="CF92" s="68">
        <f>Sheet4!CF91</f>
        <v>0</v>
      </c>
      <c r="CG92" s="68">
        <f>Sheet4!CG91</f>
        <v>4</v>
      </c>
      <c r="CH92" s="68">
        <f>Sheet4!CH91</f>
        <v>3</v>
      </c>
      <c r="CI92" s="68">
        <f>Sheet4!CI91</f>
        <v>0</v>
      </c>
      <c r="CJ92" s="68">
        <f>Sheet4!CJ91</f>
        <v>2</v>
      </c>
      <c r="CK92" s="68">
        <f>Sheet4!CK91</f>
        <v>0</v>
      </c>
      <c r="CL92" s="68">
        <f>Sheet4!CL91</f>
        <v>0</v>
      </c>
      <c r="CM92" s="68">
        <f>Sheet4!CM91</f>
        <v>3</v>
      </c>
      <c r="CN92" s="68">
        <f>Sheet4!CN91</f>
        <v>1</v>
      </c>
      <c r="CO92" s="68">
        <f>Sheet4!CO91</f>
        <v>1</v>
      </c>
      <c r="CP92" s="68">
        <f>Sheet4!CP91</f>
        <v>1</v>
      </c>
      <c r="CQ92" s="68">
        <f>Sheet4!CQ91</f>
        <v>0</v>
      </c>
      <c r="CR92" s="68">
        <f>Sheet4!CR91</f>
        <v>2</v>
      </c>
      <c r="CS92" s="68">
        <f>Sheet4!CS91</f>
        <v>1</v>
      </c>
      <c r="CT92" s="68">
        <f>Sheet4!CT91</f>
        <v>0</v>
      </c>
      <c r="CU92" s="68">
        <f>Sheet4!CU91</f>
        <v>0</v>
      </c>
      <c r="CV92" s="68">
        <f>Sheet4!CV91</f>
        <v>0</v>
      </c>
      <c r="CW92" s="68">
        <f>Sheet4!CW91</f>
        <v>0</v>
      </c>
      <c r="CX92" s="68">
        <f>Sheet4!CX91</f>
        <v>0</v>
      </c>
      <c r="CY92" s="68">
        <f>Sheet4!CY91</f>
        <v>0</v>
      </c>
      <c r="CZ92" s="68">
        <f>Sheet4!CZ91</f>
        <v>3</v>
      </c>
      <c r="DA92" s="68">
        <f>Sheet4!DA91</f>
        <v>4</v>
      </c>
      <c r="DB92" s="68">
        <f>Sheet4!DB91</f>
        <v>0</v>
      </c>
      <c r="DC92" s="68">
        <f>Sheet4!DC91</f>
        <v>0</v>
      </c>
      <c r="DD92" s="68">
        <f>Sheet4!DD91</f>
        <v>0</v>
      </c>
      <c r="DE92" s="68">
        <f>Sheet4!DE91</f>
        <v>0</v>
      </c>
      <c r="DF92" s="68">
        <f>Sheet4!DF91</f>
        <v>2</v>
      </c>
      <c r="DG92" s="68">
        <f>Sheet4!DG91</f>
        <v>0</v>
      </c>
      <c r="DH92" s="68">
        <f>Sheet4!DH91</f>
        <v>0</v>
      </c>
      <c r="DI92" s="68">
        <f>Sheet4!DI91</f>
        <v>0</v>
      </c>
      <c r="DJ92" s="68">
        <f>Sheet4!DJ91</f>
        <v>0</v>
      </c>
      <c r="DK92" s="68">
        <f>Sheet4!DK91</f>
        <v>0</v>
      </c>
      <c r="DL92" s="68">
        <f>Sheet4!DL91</f>
        <v>0</v>
      </c>
      <c r="DM92" s="68">
        <f>Sheet4!DM91</f>
        <v>0</v>
      </c>
      <c r="DN92" s="68">
        <f>Sheet4!DN91</f>
        <v>0</v>
      </c>
      <c r="DO92" s="68">
        <f>Sheet4!DO91</f>
        <v>0</v>
      </c>
      <c r="DP92" s="68">
        <f>Sheet4!DP91</f>
        <v>0</v>
      </c>
      <c r="DQ92" s="68">
        <f>Sheet4!DQ91</f>
        <v>0</v>
      </c>
    </row>
    <row r="93" spans="1:121" ht="15.75" customHeight="1" x14ac:dyDescent="0.3">
      <c r="A93" s="40">
        <f>Sheet4!A92</f>
        <v>89</v>
      </c>
      <c r="B93" s="40" t="str">
        <f>Sheet4!B92</f>
        <v xml:space="preserve">ስለሺ ግርማ </v>
      </c>
      <c r="C93" s="26">
        <f>Sheet4!C92</f>
        <v>21000</v>
      </c>
      <c r="D93" s="68">
        <f>Sheet4!D92</f>
        <v>1</v>
      </c>
      <c r="E93" s="68">
        <f>Sheet4!E92</f>
        <v>1</v>
      </c>
      <c r="F93" s="68">
        <f>Sheet4!F92</f>
        <v>1</v>
      </c>
      <c r="G93" s="68">
        <f>Sheet4!G92</f>
        <v>1</v>
      </c>
      <c r="H93" s="68">
        <f>Sheet4!H92</f>
        <v>1</v>
      </c>
      <c r="I93" s="68">
        <f>Sheet4!I92</f>
        <v>1</v>
      </c>
      <c r="J93" s="68">
        <f>Sheet4!J92</f>
        <v>1</v>
      </c>
      <c r="K93" s="68">
        <f>Sheet4!K92</f>
        <v>1</v>
      </c>
      <c r="L93" s="68">
        <f>Sheet4!L92</f>
        <v>1</v>
      </c>
      <c r="M93" s="68">
        <f>Sheet4!M92</f>
        <v>1</v>
      </c>
      <c r="N93" s="68">
        <f>Sheet4!N92</f>
        <v>1</v>
      </c>
      <c r="O93" s="68">
        <f>Sheet4!O92</f>
        <v>1</v>
      </c>
      <c r="P93" s="68">
        <f>Sheet4!P92</f>
        <v>1</v>
      </c>
      <c r="Q93" s="68">
        <f>Sheet4!Q92</f>
        <v>1</v>
      </c>
      <c r="R93" s="68">
        <f>Sheet4!R92</f>
        <v>1</v>
      </c>
      <c r="S93" s="68">
        <f>Sheet4!S92</f>
        <v>1</v>
      </c>
      <c r="T93" s="68">
        <f>Sheet4!T92</f>
        <v>1</v>
      </c>
      <c r="U93" s="68">
        <f>Sheet4!U92</f>
        <v>1</v>
      </c>
      <c r="V93" s="68">
        <f>Sheet4!V92</f>
        <v>1</v>
      </c>
      <c r="W93" s="68">
        <f>Sheet4!W92</f>
        <v>1</v>
      </c>
      <c r="X93" s="68">
        <f>Sheet4!X92</f>
        <v>1</v>
      </c>
      <c r="Y93" s="68">
        <f>Sheet4!Y92</f>
        <v>1</v>
      </c>
      <c r="Z93" s="68">
        <f>Sheet4!Z92</f>
        <v>1</v>
      </c>
      <c r="AA93" s="68">
        <f>Sheet4!AA92</f>
        <v>1</v>
      </c>
      <c r="AB93" s="68">
        <f>Sheet4!AB92</f>
        <v>1</v>
      </c>
      <c r="AC93" s="68">
        <f>Sheet4!AC92</f>
        <v>1</v>
      </c>
      <c r="AD93" s="68">
        <f>Sheet4!AD92</f>
        <v>1</v>
      </c>
      <c r="AE93" s="68">
        <f>Sheet4!AE92</f>
        <v>1</v>
      </c>
      <c r="AF93" s="68">
        <f>Sheet4!AF92</f>
        <v>1</v>
      </c>
      <c r="AG93" s="68">
        <f>Sheet4!AG92</f>
        <v>1</v>
      </c>
      <c r="AH93" s="68">
        <f>Sheet4!AH92</f>
        <v>1</v>
      </c>
      <c r="AI93" s="68">
        <f>Sheet4!AI92</f>
        <v>1</v>
      </c>
      <c r="AJ93" s="68">
        <f>Sheet4!AJ92</f>
        <v>1</v>
      </c>
      <c r="AK93" s="68">
        <f>Sheet4!AK92</f>
        <v>1</v>
      </c>
      <c r="AL93" s="68">
        <f>Sheet4!AL92</f>
        <v>1</v>
      </c>
      <c r="AM93" s="68">
        <f>Sheet4!AM92</f>
        <v>1</v>
      </c>
      <c r="AN93" s="68">
        <f>Sheet4!AN92</f>
        <v>1</v>
      </c>
      <c r="AO93" s="68">
        <f>Sheet4!AO92</f>
        <v>1</v>
      </c>
      <c r="AP93" s="68">
        <f>Sheet4!AP92</f>
        <v>1</v>
      </c>
      <c r="AQ93" s="68">
        <f>Sheet4!AQ92</f>
        <v>1</v>
      </c>
      <c r="AR93" s="68">
        <f>Sheet4!AR92</f>
        <v>1</v>
      </c>
      <c r="AS93" s="68">
        <f>Sheet4!AS92</f>
        <v>1</v>
      </c>
      <c r="AT93" s="68">
        <f>Sheet4!AT92</f>
        <v>1</v>
      </c>
      <c r="AU93" s="68">
        <f>Sheet4!AU92</f>
        <v>1</v>
      </c>
      <c r="AV93" s="68">
        <f>Sheet4!AV92</f>
        <v>1</v>
      </c>
      <c r="AW93" s="68">
        <f>Sheet4!AW92</f>
        <v>1</v>
      </c>
      <c r="AX93" s="68">
        <f>Sheet4!AX92</f>
        <v>1</v>
      </c>
      <c r="AY93" s="68">
        <f>Sheet4!AY92</f>
        <v>1</v>
      </c>
      <c r="AZ93" s="68">
        <f>Sheet4!AZ92</f>
        <v>1</v>
      </c>
      <c r="BA93" s="68">
        <f>Sheet4!BA92</f>
        <v>1</v>
      </c>
      <c r="BB93" s="68">
        <f>Sheet4!BB92</f>
        <v>1</v>
      </c>
      <c r="BC93" s="68">
        <f>Sheet4!BC92</f>
        <v>1</v>
      </c>
      <c r="BD93" s="68">
        <f>Sheet4!BD92</f>
        <v>1</v>
      </c>
      <c r="BE93" s="68">
        <f>Sheet4!BE92</f>
        <v>1</v>
      </c>
      <c r="BF93" s="68">
        <f>Sheet4!BF92</f>
        <v>1</v>
      </c>
      <c r="BG93" s="68">
        <f>Sheet4!BG92</f>
        <v>1</v>
      </c>
      <c r="BH93" s="68">
        <f>Sheet4!BH92</f>
        <v>1</v>
      </c>
      <c r="BI93" s="68">
        <f>Sheet4!BI92</f>
        <v>1</v>
      </c>
      <c r="BJ93" s="68">
        <f>Sheet4!BJ92</f>
        <v>1</v>
      </c>
      <c r="BK93" s="68">
        <f>Sheet4!BK92</f>
        <v>1</v>
      </c>
      <c r="BL93" s="68">
        <f>Sheet4!BL92</f>
        <v>1</v>
      </c>
      <c r="BM93" s="68">
        <f>Sheet4!BM92</f>
        <v>0</v>
      </c>
      <c r="BN93" s="68">
        <f>Sheet4!BN92</f>
        <v>2</v>
      </c>
      <c r="BO93" s="68">
        <f>Sheet4!BO92</f>
        <v>1</v>
      </c>
      <c r="BP93" s="68">
        <f>Sheet4!BP92</f>
        <v>1</v>
      </c>
      <c r="BQ93" s="68">
        <f>Sheet4!BQ92</f>
        <v>1</v>
      </c>
      <c r="BR93" s="68">
        <f>Sheet4!BR92</f>
        <v>1</v>
      </c>
      <c r="BS93" s="68">
        <f>Sheet4!BS92</f>
        <v>1</v>
      </c>
      <c r="BT93" s="68">
        <f>Sheet4!BT92</f>
        <v>1</v>
      </c>
      <c r="BU93" s="68">
        <f>Sheet4!BU92</f>
        <v>1</v>
      </c>
      <c r="BV93" s="68">
        <f>Sheet4!BV92</f>
        <v>1</v>
      </c>
      <c r="BW93" s="68">
        <f>Sheet4!BW92</f>
        <v>1</v>
      </c>
      <c r="BX93" s="68">
        <f>Sheet4!BX92</f>
        <v>1</v>
      </c>
      <c r="BY93" s="68">
        <f>Sheet4!BY92</f>
        <v>1</v>
      </c>
      <c r="BZ93" s="68">
        <f>Sheet4!BZ92</f>
        <v>1</v>
      </c>
      <c r="CA93" s="68">
        <f>Sheet4!CA92</f>
        <v>1</v>
      </c>
      <c r="CB93" s="68">
        <f>Sheet4!CB92</f>
        <v>1</v>
      </c>
      <c r="CC93" s="68">
        <f>Sheet4!CC92</f>
        <v>1</v>
      </c>
      <c r="CD93" s="68">
        <f>Sheet4!CD92</f>
        <v>0</v>
      </c>
      <c r="CE93" s="68">
        <f>Sheet4!CE92</f>
        <v>2</v>
      </c>
      <c r="CF93" s="68">
        <f>Sheet4!CF92</f>
        <v>1</v>
      </c>
      <c r="CG93" s="68">
        <f>Sheet4!CG92</f>
        <v>0</v>
      </c>
      <c r="CH93" s="68">
        <f>Sheet4!CH92</f>
        <v>2</v>
      </c>
      <c r="CI93" s="68">
        <f>Sheet4!CI92</f>
        <v>0</v>
      </c>
      <c r="CJ93" s="68">
        <f>Sheet4!CJ92</f>
        <v>2</v>
      </c>
      <c r="CK93" s="68">
        <f>Sheet4!CK92</f>
        <v>1</v>
      </c>
      <c r="CL93" s="68">
        <f>Sheet4!CL92</f>
        <v>0</v>
      </c>
      <c r="CM93" s="68">
        <f>Sheet4!CM92</f>
        <v>2</v>
      </c>
      <c r="CN93" s="68">
        <f>Sheet4!CN92</f>
        <v>1</v>
      </c>
      <c r="CO93" s="68">
        <f>Sheet4!CO92</f>
        <v>1</v>
      </c>
      <c r="CP93" s="68">
        <f>Sheet4!CP92</f>
        <v>0</v>
      </c>
      <c r="CQ93" s="68">
        <f>Sheet4!CQ92</f>
        <v>0</v>
      </c>
      <c r="CR93" s="68">
        <f>Sheet4!CR92</f>
        <v>3</v>
      </c>
      <c r="CS93" s="68">
        <f>Sheet4!CS92</f>
        <v>1</v>
      </c>
      <c r="CT93" s="68">
        <f>Sheet4!CT92</f>
        <v>0</v>
      </c>
      <c r="CU93" s="68">
        <f>Sheet4!CU92</f>
        <v>2</v>
      </c>
      <c r="CV93" s="68">
        <f>Sheet4!CV92</f>
        <v>1</v>
      </c>
      <c r="CW93" s="68">
        <f>Sheet4!CW92</f>
        <v>1</v>
      </c>
      <c r="CX93" s="68">
        <f>Sheet4!CX92</f>
        <v>0</v>
      </c>
      <c r="CY93" s="68">
        <f>Sheet4!CY92</f>
        <v>2</v>
      </c>
      <c r="CZ93" s="68">
        <f>Sheet4!CZ92</f>
        <v>0</v>
      </c>
      <c r="DA93" s="68">
        <f>Sheet4!DA92</f>
        <v>2</v>
      </c>
      <c r="DB93" s="68">
        <f>Sheet4!DB92</f>
        <v>1</v>
      </c>
      <c r="DC93" s="68">
        <f>Sheet4!DC92</f>
        <v>1</v>
      </c>
      <c r="DD93" s="68">
        <f>Sheet4!DD92</f>
        <v>1</v>
      </c>
      <c r="DE93" s="68">
        <f>Sheet4!DE92</f>
        <v>1</v>
      </c>
      <c r="DF93" s="68">
        <f>Sheet4!DF92</f>
        <v>1</v>
      </c>
      <c r="DG93" s="68">
        <f>Sheet4!DG92</f>
        <v>1</v>
      </c>
      <c r="DH93" s="68">
        <f>Sheet4!DH92</f>
        <v>0</v>
      </c>
      <c r="DI93" s="68">
        <f>Sheet4!DI92</f>
        <v>0</v>
      </c>
      <c r="DJ93" s="68">
        <f>Sheet4!DJ92</f>
        <v>0</v>
      </c>
      <c r="DK93" s="68">
        <f>Sheet4!DK92</f>
        <v>0</v>
      </c>
      <c r="DL93" s="68">
        <f>Sheet4!DL92</f>
        <v>0</v>
      </c>
      <c r="DM93" s="68">
        <f>Sheet4!DM92</f>
        <v>0</v>
      </c>
      <c r="DN93" s="68">
        <f>Sheet4!DN92</f>
        <v>0</v>
      </c>
      <c r="DO93" s="68">
        <f>Sheet4!DO92</f>
        <v>0</v>
      </c>
      <c r="DP93" s="68">
        <f>Sheet4!DP92</f>
        <v>0</v>
      </c>
      <c r="DQ93" s="68">
        <f>Sheet4!DQ92</f>
        <v>0</v>
      </c>
    </row>
    <row r="94" spans="1:121" ht="15.75" customHeight="1" x14ac:dyDescent="0.3">
      <c r="A94" s="40">
        <f>Sheet4!A93</f>
        <v>90</v>
      </c>
      <c r="B94" s="40" t="str">
        <f>Sheet4!B93</f>
        <v>ሰለሞን ግርማ</v>
      </c>
      <c r="C94" s="26">
        <f>Sheet4!C93</f>
        <v>21000</v>
      </c>
      <c r="D94" s="68">
        <f>Sheet4!D93</f>
        <v>1</v>
      </c>
      <c r="E94" s="68">
        <f>Sheet4!E93</f>
        <v>1</v>
      </c>
      <c r="F94" s="68">
        <f>Sheet4!F93</f>
        <v>1</v>
      </c>
      <c r="G94" s="68">
        <f>Sheet4!G93</f>
        <v>1</v>
      </c>
      <c r="H94" s="68">
        <f>Sheet4!H93</f>
        <v>1</v>
      </c>
      <c r="I94" s="68">
        <f>Sheet4!I93</f>
        <v>1</v>
      </c>
      <c r="J94" s="68">
        <f>Sheet4!J93</f>
        <v>1</v>
      </c>
      <c r="K94" s="68">
        <f>Sheet4!K93</f>
        <v>1</v>
      </c>
      <c r="L94" s="68">
        <f>Sheet4!L93</f>
        <v>1</v>
      </c>
      <c r="M94" s="68">
        <f>Sheet4!M93</f>
        <v>1</v>
      </c>
      <c r="N94" s="68">
        <f>Sheet4!N93</f>
        <v>1</v>
      </c>
      <c r="O94" s="68">
        <f>Sheet4!O93</f>
        <v>1</v>
      </c>
      <c r="P94" s="68">
        <f>Sheet4!P93</f>
        <v>1</v>
      </c>
      <c r="Q94" s="68">
        <f>Sheet4!Q93</f>
        <v>1</v>
      </c>
      <c r="R94" s="68">
        <f>Sheet4!R93</f>
        <v>1</v>
      </c>
      <c r="S94" s="68">
        <f>Sheet4!S93</f>
        <v>1</v>
      </c>
      <c r="T94" s="68">
        <f>Sheet4!T93</f>
        <v>1</v>
      </c>
      <c r="U94" s="68">
        <f>Sheet4!U93</f>
        <v>1</v>
      </c>
      <c r="V94" s="68">
        <f>Sheet4!V93</f>
        <v>1</v>
      </c>
      <c r="W94" s="68">
        <f>Sheet4!W93</f>
        <v>1</v>
      </c>
      <c r="X94" s="68">
        <f>Sheet4!X93</f>
        <v>1</v>
      </c>
      <c r="Y94" s="68">
        <f>Sheet4!Y93</f>
        <v>1</v>
      </c>
      <c r="Z94" s="68">
        <f>Sheet4!Z93</f>
        <v>1</v>
      </c>
      <c r="AA94" s="68">
        <f>Sheet4!AA93</f>
        <v>0</v>
      </c>
      <c r="AB94" s="68">
        <f>Sheet4!AB93</f>
        <v>2</v>
      </c>
      <c r="AC94" s="68">
        <f>Sheet4!AC93</f>
        <v>1</v>
      </c>
      <c r="AD94" s="68">
        <f>Sheet4!AD93</f>
        <v>1</v>
      </c>
      <c r="AE94" s="68">
        <f>Sheet4!AE93</f>
        <v>1</v>
      </c>
      <c r="AF94" s="68">
        <f>Sheet4!AF93</f>
        <v>1</v>
      </c>
      <c r="AG94" s="68">
        <f>Sheet4!AG93</f>
        <v>1</v>
      </c>
      <c r="AH94" s="68">
        <f>Sheet4!AH93</f>
        <v>1</v>
      </c>
      <c r="AI94" s="68">
        <f>Sheet4!AI93</f>
        <v>1</v>
      </c>
      <c r="AJ94" s="68">
        <f>Sheet4!AJ93</f>
        <v>1</v>
      </c>
      <c r="AK94" s="68">
        <f>Sheet4!AK93</f>
        <v>1</v>
      </c>
      <c r="AL94" s="68">
        <f>Sheet4!AL93</f>
        <v>1</v>
      </c>
      <c r="AM94" s="68">
        <f>Sheet4!AM93</f>
        <v>1</v>
      </c>
      <c r="AN94" s="68">
        <f>Sheet4!AN93</f>
        <v>1</v>
      </c>
      <c r="AO94" s="68">
        <f>Sheet4!AO93</f>
        <v>1</v>
      </c>
      <c r="AP94" s="68">
        <f>Sheet4!AP93</f>
        <v>1</v>
      </c>
      <c r="AQ94" s="68">
        <f>Sheet4!AQ93</f>
        <v>1</v>
      </c>
      <c r="AR94" s="68">
        <f>Sheet4!AR93</f>
        <v>1</v>
      </c>
      <c r="AS94" s="68">
        <f>Sheet4!AS93</f>
        <v>1</v>
      </c>
      <c r="AT94" s="68">
        <f>Sheet4!AT93</f>
        <v>1</v>
      </c>
      <c r="AU94" s="68">
        <f>Sheet4!AU93</f>
        <v>1</v>
      </c>
      <c r="AV94" s="68">
        <f>Sheet4!AV93</f>
        <v>1</v>
      </c>
      <c r="AW94" s="68">
        <f>Sheet4!AW93</f>
        <v>1</v>
      </c>
      <c r="AX94" s="68">
        <f>Sheet4!AX93</f>
        <v>1</v>
      </c>
      <c r="AY94" s="68">
        <f>Sheet4!AY93</f>
        <v>0</v>
      </c>
      <c r="AZ94" s="68">
        <f>Sheet4!AZ93</f>
        <v>2</v>
      </c>
      <c r="BA94" s="68">
        <f>Sheet4!BA93</f>
        <v>1</v>
      </c>
      <c r="BB94" s="68">
        <f>Sheet4!BB93</f>
        <v>1</v>
      </c>
      <c r="BC94" s="68">
        <f>Sheet4!BC93</f>
        <v>0</v>
      </c>
      <c r="BD94" s="68">
        <f>Sheet4!BD93</f>
        <v>2</v>
      </c>
      <c r="BE94" s="68">
        <f>Sheet4!BE93</f>
        <v>1</v>
      </c>
      <c r="BF94" s="68">
        <f>Sheet4!BF93</f>
        <v>1</v>
      </c>
      <c r="BG94" s="68">
        <f>Sheet4!BG93</f>
        <v>1</v>
      </c>
      <c r="BH94" s="68">
        <f>Sheet4!BH93</f>
        <v>1</v>
      </c>
      <c r="BI94" s="68">
        <f>Sheet4!BI93</f>
        <v>0</v>
      </c>
      <c r="BJ94" s="68">
        <f>Sheet4!BJ93</f>
        <v>2</v>
      </c>
      <c r="BK94" s="68">
        <f>Sheet4!BK93</f>
        <v>1</v>
      </c>
      <c r="BL94" s="68">
        <f>Sheet4!BL93</f>
        <v>1</v>
      </c>
      <c r="BM94" s="68">
        <f>Sheet4!BM93</f>
        <v>0</v>
      </c>
      <c r="BN94" s="68">
        <f>Sheet4!BN93</f>
        <v>1</v>
      </c>
      <c r="BO94" s="68">
        <f>Sheet4!BO93</f>
        <v>2</v>
      </c>
      <c r="BP94" s="68">
        <f>Sheet4!BP93</f>
        <v>0</v>
      </c>
      <c r="BQ94" s="68">
        <f>Sheet4!BQ93</f>
        <v>2</v>
      </c>
      <c r="BR94" s="68">
        <f>Sheet4!BR93</f>
        <v>0</v>
      </c>
      <c r="BS94" s="68">
        <f>Sheet4!BS93</f>
        <v>2</v>
      </c>
      <c r="BT94" s="68">
        <f>Sheet4!BT93</f>
        <v>1</v>
      </c>
      <c r="BU94" s="68">
        <f>Sheet4!BU93</f>
        <v>0</v>
      </c>
      <c r="BV94" s="68">
        <f>Sheet4!BV93</f>
        <v>1</v>
      </c>
      <c r="BW94" s="68">
        <f>Sheet4!BW93</f>
        <v>1</v>
      </c>
      <c r="BX94" s="68">
        <f>Sheet4!BX93</f>
        <v>1</v>
      </c>
      <c r="BY94" s="68">
        <f>Sheet4!BY93</f>
        <v>0</v>
      </c>
      <c r="BZ94" s="68">
        <f>Sheet4!BZ93</f>
        <v>2</v>
      </c>
      <c r="CA94" s="68">
        <f>Sheet4!CA93</f>
        <v>0</v>
      </c>
      <c r="CB94" s="68">
        <f>Sheet4!CB93</f>
        <v>1</v>
      </c>
      <c r="CC94" s="68">
        <f>Sheet4!CC93</f>
        <v>1</v>
      </c>
      <c r="CD94" s="68">
        <f>Sheet4!CD93</f>
        <v>1</v>
      </c>
      <c r="CE94" s="68">
        <f>Sheet4!CE93</f>
        <v>2</v>
      </c>
      <c r="CF94" s="68">
        <f>Sheet4!CF93</f>
        <v>1</v>
      </c>
      <c r="CG94" s="68">
        <f>Sheet4!CG93</f>
        <v>1</v>
      </c>
      <c r="CH94" s="68">
        <f>Sheet4!CH93</f>
        <v>1</v>
      </c>
      <c r="CI94" s="68">
        <f>Sheet4!CI93</f>
        <v>0</v>
      </c>
      <c r="CJ94" s="68">
        <f>Sheet4!CJ93</f>
        <v>0</v>
      </c>
      <c r="CK94" s="68">
        <f>Sheet4!CK93</f>
        <v>2</v>
      </c>
      <c r="CL94" s="68">
        <f>Sheet4!CL93</f>
        <v>0</v>
      </c>
      <c r="CM94" s="68">
        <f>Sheet4!CM93</f>
        <v>2</v>
      </c>
      <c r="CN94" s="68">
        <f>Sheet4!CN93</f>
        <v>2</v>
      </c>
      <c r="CO94" s="68">
        <f>Sheet4!CO93</f>
        <v>1</v>
      </c>
      <c r="CP94" s="68">
        <f>Sheet4!CP93</f>
        <v>0</v>
      </c>
      <c r="CQ94" s="68">
        <f>Sheet4!CQ93</f>
        <v>0</v>
      </c>
      <c r="CR94" s="68">
        <f>Sheet4!CR93</f>
        <v>2</v>
      </c>
      <c r="CS94" s="68">
        <f>Sheet4!CS93</f>
        <v>1</v>
      </c>
      <c r="CT94" s="68">
        <f>Sheet4!CT93</f>
        <v>0</v>
      </c>
      <c r="CU94" s="68">
        <f>Sheet4!CU93</f>
        <v>2</v>
      </c>
      <c r="CV94" s="68">
        <f>Sheet4!CV93</f>
        <v>0</v>
      </c>
      <c r="CW94" s="68">
        <f>Sheet4!CW93</f>
        <v>1</v>
      </c>
      <c r="CX94" s="68">
        <f>Sheet4!CX93</f>
        <v>1</v>
      </c>
      <c r="CY94" s="68">
        <f>Sheet4!CY93</f>
        <v>0</v>
      </c>
      <c r="CZ94" s="68">
        <f>Sheet4!CZ93</f>
        <v>0</v>
      </c>
      <c r="DA94" s="68">
        <f>Sheet4!DA93</f>
        <v>2</v>
      </c>
      <c r="DB94" s="68">
        <f>Sheet4!DB93</f>
        <v>0</v>
      </c>
      <c r="DC94" s="68">
        <f>Sheet4!DC93</f>
        <v>1</v>
      </c>
      <c r="DD94" s="68">
        <f>Sheet4!DD93</f>
        <v>2</v>
      </c>
      <c r="DE94" s="68">
        <f>Sheet4!DE93</f>
        <v>0</v>
      </c>
      <c r="DF94" s="68">
        <f>Sheet4!DF93</f>
        <v>2</v>
      </c>
      <c r="DG94" s="68">
        <f>Sheet4!DG93</f>
        <v>1</v>
      </c>
      <c r="DH94" s="68">
        <f>Sheet4!DH93</f>
        <v>0</v>
      </c>
      <c r="DI94" s="68">
        <f>Sheet4!DI93</f>
        <v>0</v>
      </c>
      <c r="DJ94" s="68">
        <f>Sheet4!DJ93</f>
        <v>0</v>
      </c>
      <c r="DK94" s="68">
        <f>Sheet4!DK93</f>
        <v>0</v>
      </c>
      <c r="DL94" s="68">
        <f>Sheet4!DL93</f>
        <v>0</v>
      </c>
      <c r="DM94" s="68">
        <f>Sheet4!DM93</f>
        <v>0</v>
      </c>
      <c r="DN94" s="68">
        <f>Sheet4!DN93</f>
        <v>0</v>
      </c>
      <c r="DO94" s="68">
        <f>Sheet4!DO93</f>
        <v>0</v>
      </c>
      <c r="DP94" s="68">
        <f>Sheet4!DP93</f>
        <v>0</v>
      </c>
      <c r="DQ94" s="68">
        <f>Sheet4!DQ93</f>
        <v>0</v>
      </c>
    </row>
    <row r="95" spans="1:121" ht="15.75" customHeight="1" x14ac:dyDescent="0.3">
      <c r="A95" s="40">
        <f>Sheet4!A94</f>
        <v>91</v>
      </c>
      <c r="B95" s="40" t="str">
        <f>Sheet4!B94</f>
        <v xml:space="preserve">ሄኖክ ቶሎሳ </v>
      </c>
      <c r="C95" s="26">
        <f>Sheet4!C94</f>
        <v>21000</v>
      </c>
      <c r="D95" s="68">
        <f>Sheet4!D94</f>
        <v>1</v>
      </c>
      <c r="E95" s="68">
        <f>Sheet4!E94</f>
        <v>1</v>
      </c>
      <c r="F95" s="68">
        <f>Sheet4!F94</f>
        <v>1</v>
      </c>
      <c r="G95" s="68">
        <f>Sheet4!G94</f>
        <v>1</v>
      </c>
      <c r="H95" s="68">
        <f>Sheet4!H94</f>
        <v>1</v>
      </c>
      <c r="I95" s="68">
        <f>Sheet4!I94</f>
        <v>1</v>
      </c>
      <c r="J95" s="68">
        <f>Sheet4!J94</f>
        <v>1</v>
      </c>
      <c r="K95" s="68">
        <f>Sheet4!K94</f>
        <v>1</v>
      </c>
      <c r="L95" s="68">
        <f>Sheet4!L94</f>
        <v>1</v>
      </c>
      <c r="M95" s="68">
        <f>Sheet4!M94</f>
        <v>1</v>
      </c>
      <c r="N95" s="68">
        <f>Sheet4!N94</f>
        <v>1</v>
      </c>
      <c r="O95" s="68">
        <f>Sheet4!O94</f>
        <v>1</v>
      </c>
      <c r="P95" s="68">
        <f>Sheet4!P94</f>
        <v>1</v>
      </c>
      <c r="Q95" s="68">
        <f>Sheet4!Q94</f>
        <v>1</v>
      </c>
      <c r="R95" s="68">
        <f>Sheet4!R94</f>
        <v>1</v>
      </c>
      <c r="S95" s="68">
        <f>Sheet4!S94</f>
        <v>1</v>
      </c>
      <c r="T95" s="68">
        <f>Sheet4!T94</f>
        <v>1</v>
      </c>
      <c r="U95" s="68">
        <f>Sheet4!U94</f>
        <v>1</v>
      </c>
      <c r="V95" s="68">
        <f>Sheet4!V94</f>
        <v>1</v>
      </c>
      <c r="W95" s="68">
        <f>Sheet4!W94</f>
        <v>0</v>
      </c>
      <c r="X95" s="68">
        <f>Sheet4!X94</f>
        <v>1</v>
      </c>
      <c r="Y95" s="68">
        <f>Sheet4!Y94</f>
        <v>1</v>
      </c>
      <c r="Z95" s="68">
        <f>Sheet4!Z94</f>
        <v>1</v>
      </c>
      <c r="AA95" s="68">
        <f>Sheet4!AA94</f>
        <v>0</v>
      </c>
      <c r="AB95" s="68">
        <f>Sheet4!AB94</f>
        <v>2</v>
      </c>
      <c r="AC95" s="68">
        <f>Sheet4!AC94</f>
        <v>1</v>
      </c>
      <c r="AD95" s="68">
        <f>Sheet4!AD94</f>
        <v>1</v>
      </c>
      <c r="AE95" s="68">
        <f>Sheet4!AE94</f>
        <v>2</v>
      </c>
      <c r="AF95" s="68">
        <f>Sheet4!AF94</f>
        <v>1</v>
      </c>
      <c r="AG95" s="68">
        <f>Sheet4!AG94</f>
        <v>1</v>
      </c>
      <c r="AH95" s="68">
        <f>Sheet4!AH94</f>
        <v>1</v>
      </c>
      <c r="AI95" s="68">
        <f>Sheet4!AI94</f>
        <v>1</v>
      </c>
      <c r="AJ95" s="68">
        <f>Sheet4!AJ94</f>
        <v>1</v>
      </c>
      <c r="AK95" s="68">
        <f>Sheet4!AK94</f>
        <v>1</v>
      </c>
      <c r="AL95" s="68">
        <f>Sheet4!AL94</f>
        <v>1</v>
      </c>
      <c r="AM95" s="68">
        <f>Sheet4!AM94</f>
        <v>0</v>
      </c>
      <c r="AN95" s="68">
        <f>Sheet4!AN94</f>
        <v>2</v>
      </c>
      <c r="AO95" s="68">
        <f>Sheet4!AO94</f>
        <v>1</v>
      </c>
      <c r="AP95" s="68">
        <f>Sheet4!AP94</f>
        <v>1</v>
      </c>
      <c r="AQ95" s="68">
        <f>Sheet4!AQ94</f>
        <v>1</v>
      </c>
      <c r="AR95" s="68">
        <f>Sheet4!AR94</f>
        <v>1</v>
      </c>
      <c r="AS95" s="68">
        <f>Sheet4!AS94</f>
        <v>1</v>
      </c>
      <c r="AT95" s="68">
        <f>Sheet4!AT94</f>
        <v>1</v>
      </c>
      <c r="AU95" s="68">
        <f>Sheet4!AU94</f>
        <v>1</v>
      </c>
      <c r="AV95" s="68">
        <f>Sheet4!AV94</f>
        <v>1</v>
      </c>
      <c r="AW95" s="68">
        <f>Sheet4!AW94</f>
        <v>0</v>
      </c>
      <c r="AX95" s="68">
        <f>Sheet4!AX94</f>
        <v>2</v>
      </c>
      <c r="AY95" s="68">
        <f>Sheet4!AY94</f>
        <v>1</v>
      </c>
      <c r="AZ95" s="68">
        <f>Sheet4!AZ94</f>
        <v>1</v>
      </c>
      <c r="BA95" s="68">
        <f>Sheet4!BA94</f>
        <v>1</v>
      </c>
      <c r="BB95" s="68">
        <f>Sheet4!BB94</f>
        <v>1</v>
      </c>
      <c r="BC95" s="68">
        <f>Sheet4!BC94</f>
        <v>1</v>
      </c>
      <c r="BD95" s="68">
        <f>Sheet4!BD94</f>
        <v>1</v>
      </c>
      <c r="BE95" s="68">
        <f>Sheet4!BE94</f>
        <v>1</v>
      </c>
      <c r="BF95" s="68">
        <f>Sheet4!BF94</f>
        <v>0</v>
      </c>
      <c r="BG95" s="68">
        <f>Sheet4!BG94</f>
        <v>0</v>
      </c>
      <c r="BH95" s="68">
        <f>Sheet4!BH94</f>
        <v>3</v>
      </c>
      <c r="BI95" s="68">
        <f>Sheet4!BI94</f>
        <v>1</v>
      </c>
      <c r="BJ95" s="68">
        <f>Sheet4!BJ94</f>
        <v>1</v>
      </c>
      <c r="BK95" s="68">
        <f>Sheet4!BK94</f>
        <v>0</v>
      </c>
      <c r="BL95" s="68">
        <f>Sheet4!BL94</f>
        <v>2</v>
      </c>
      <c r="BM95" s="68">
        <f>Sheet4!BM94</f>
        <v>0</v>
      </c>
      <c r="BN95" s="68">
        <f>Sheet4!BN94</f>
        <v>2</v>
      </c>
      <c r="BO95" s="68">
        <f>Sheet4!BO94</f>
        <v>1</v>
      </c>
      <c r="BP95" s="68">
        <f>Sheet4!BP94</f>
        <v>1</v>
      </c>
      <c r="BQ95" s="68">
        <f>Sheet4!BQ94</f>
        <v>0</v>
      </c>
      <c r="BR95" s="68">
        <f>Sheet4!BR94</f>
        <v>2</v>
      </c>
      <c r="BS95" s="68">
        <f>Sheet4!BS94</f>
        <v>1</v>
      </c>
      <c r="BT95" s="68">
        <f>Sheet4!BT94</f>
        <v>1</v>
      </c>
      <c r="BU95" s="68">
        <f>Sheet4!BU94</f>
        <v>0</v>
      </c>
      <c r="BV95" s="68">
        <f>Sheet4!BV94</f>
        <v>2</v>
      </c>
      <c r="BW95" s="68">
        <f>Sheet4!BW94</f>
        <v>0</v>
      </c>
      <c r="BX95" s="68">
        <f>Sheet4!BX94</f>
        <v>2</v>
      </c>
      <c r="BY95" s="68">
        <f>Sheet4!BY94</f>
        <v>0</v>
      </c>
      <c r="BZ95" s="68">
        <f>Sheet4!BZ94</f>
        <v>1</v>
      </c>
      <c r="CA95" s="68">
        <f>Sheet4!CA94</f>
        <v>2</v>
      </c>
      <c r="CB95" s="68">
        <f>Sheet4!CB94</f>
        <v>1</v>
      </c>
      <c r="CC95" s="68">
        <f>Sheet4!CC94</f>
        <v>1</v>
      </c>
      <c r="CD95" s="68">
        <f>Sheet4!CD94</f>
        <v>0</v>
      </c>
      <c r="CE95" s="68">
        <f>Sheet4!CE94</f>
        <v>2</v>
      </c>
      <c r="CF95" s="68">
        <f>Sheet4!CF94</f>
        <v>1</v>
      </c>
      <c r="CG95" s="68">
        <f>Sheet4!CG94</f>
        <v>0</v>
      </c>
      <c r="CH95" s="68">
        <f>Sheet4!CH94</f>
        <v>1</v>
      </c>
      <c r="CI95" s="68">
        <f>Sheet4!CI94</f>
        <v>0</v>
      </c>
      <c r="CJ95" s="68">
        <f>Sheet4!CJ94</f>
        <v>2</v>
      </c>
      <c r="CK95" s="68">
        <f>Sheet4!CK94</f>
        <v>1</v>
      </c>
      <c r="CL95" s="68">
        <f>Sheet4!CL94</f>
        <v>0</v>
      </c>
      <c r="CM95" s="68">
        <f>Sheet4!CM94</f>
        <v>2</v>
      </c>
      <c r="CN95" s="68">
        <f>Sheet4!CN94</f>
        <v>0</v>
      </c>
      <c r="CO95" s="68">
        <f>Sheet4!CO94</f>
        <v>2</v>
      </c>
      <c r="CP95" s="68">
        <f>Sheet4!CP94</f>
        <v>0</v>
      </c>
      <c r="CQ95" s="68">
        <f>Sheet4!CQ94</f>
        <v>0</v>
      </c>
      <c r="CR95" s="68">
        <f>Sheet4!CR94</f>
        <v>3</v>
      </c>
      <c r="CS95" s="68">
        <f>Sheet4!CS94</f>
        <v>0</v>
      </c>
      <c r="CT95" s="68">
        <f>Sheet4!CT94</f>
        <v>0</v>
      </c>
      <c r="CU95" s="68">
        <f>Sheet4!CU94</f>
        <v>1</v>
      </c>
      <c r="CV95" s="68">
        <f>Sheet4!CV94</f>
        <v>2</v>
      </c>
      <c r="CW95" s="68">
        <f>Sheet4!CW94</f>
        <v>0</v>
      </c>
      <c r="CX95" s="68">
        <f>Sheet4!CX94</f>
        <v>0</v>
      </c>
      <c r="CY95" s="68">
        <f>Sheet4!CY94</f>
        <v>2</v>
      </c>
      <c r="CZ95" s="68">
        <f>Sheet4!CZ94</f>
        <v>1</v>
      </c>
      <c r="DA95" s="68">
        <f>Sheet4!DA94</f>
        <v>1</v>
      </c>
      <c r="DB95" s="68">
        <f>Sheet4!DB94</f>
        <v>0</v>
      </c>
      <c r="DC95" s="68">
        <f>Sheet4!DC94</f>
        <v>2</v>
      </c>
      <c r="DD95" s="68">
        <f>Sheet4!DD94</f>
        <v>0</v>
      </c>
      <c r="DE95" s="68">
        <f>Sheet4!DE94</f>
        <v>0</v>
      </c>
      <c r="DF95" s="68">
        <f>Sheet4!DF94</f>
        <v>2</v>
      </c>
      <c r="DG95" s="68">
        <f>Sheet4!DG94</f>
        <v>1</v>
      </c>
      <c r="DH95" s="68">
        <f>Sheet4!DH94</f>
        <v>0</v>
      </c>
      <c r="DI95" s="68">
        <f>Sheet4!DI94</f>
        <v>0</v>
      </c>
      <c r="DJ95" s="68">
        <f>Sheet4!DJ94</f>
        <v>0</v>
      </c>
      <c r="DK95" s="68">
        <f>Sheet4!DK94</f>
        <v>0</v>
      </c>
      <c r="DL95" s="68">
        <f>Sheet4!DL94</f>
        <v>0</v>
      </c>
      <c r="DM95" s="68">
        <f>Sheet4!DM94</f>
        <v>0</v>
      </c>
      <c r="DN95" s="68">
        <f>Sheet4!DN94</f>
        <v>0</v>
      </c>
      <c r="DO95" s="68">
        <f>Sheet4!DO94</f>
        <v>0</v>
      </c>
      <c r="DP95" s="68">
        <f>Sheet4!DP94</f>
        <v>0</v>
      </c>
      <c r="DQ95" s="68">
        <f>Sheet4!DQ94</f>
        <v>0</v>
      </c>
    </row>
    <row r="96" spans="1:121" ht="15.75" customHeight="1" x14ac:dyDescent="0.3">
      <c r="A96" s="40">
        <f>Sheet4!A95</f>
        <v>92</v>
      </c>
      <c r="B96" s="40" t="str">
        <f>Sheet4!B95</f>
        <v>ያዕቆብ ይቱራ</v>
      </c>
      <c r="C96" s="26">
        <f>Sheet4!C95</f>
        <v>21000</v>
      </c>
      <c r="D96" s="68">
        <f>Sheet4!D95</f>
        <v>1</v>
      </c>
      <c r="E96" s="68">
        <f>Sheet4!E95</f>
        <v>1</v>
      </c>
      <c r="F96" s="68">
        <f>Sheet4!F95</f>
        <v>1</v>
      </c>
      <c r="G96" s="68">
        <f>Sheet4!G95</f>
        <v>1</v>
      </c>
      <c r="H96" s="68">
        <f>Sheet4!H95</f>
        <v>1</v>
      </c>
      <c r="I96" s="68">
        <f>Sheet4!I95</f>
        <v>1</v>
      </c>
      <c r="J96" s="68">
        <f>Sheet4!J95</f>
        <v>1</v>
      </c>
      <c r="K96" s="68">
        <f>Sheet4!K95</f>
        <v>1</v>
      </c>
      <c r="L96" s="68">
        <f>Sheet4!L95</f>
        <v>1</v>
      </c>
      <c r="M96" s="68">
        <f>Sheet4!M95</f>
        <v>1</v>
      </c>
      <c r="N96" s="68">
        <f>Sheet4!N95</f>
        <v>1</v>
      </c>
      <c r="O96" s="68">
        <f>Sheet4!O95</f>
        <v>1</v>
      </c>
      <c r="P96" s="68">
        <f>Sheet4!P95</f>
        <v>1</v>
      </c>
      <c r="Q96" s="68">
        <f>Sheet4!Q95</f>
        <v>1</v>
      </c>
      <c r="R96" s="68">
        <f>Sheet4!R95</f>
        <v>1</v>
      </c>
      <c r="S96" s="68">
        <f>Sheet4!S95</f>
        <v>1</v>
      </c>
      <c r="T96" s="68">
        <f>Sheet4!T95</f>
        <v>1</v>
      </c>
      <c r="U96" s="68">
        <f>Sheet4!U95</f>
        <v>1</v>
      </c>
      <c r="V96" s="68">
        <f>Sheet4!V95</f>
        <v>1</v>
      </c>
      <c r="W96" s="68">
        <f>Sheet4!W95</f>
        <v>1</v>
      </c>
      <c r="X96" s="68">
        <f>Sheet4!X95</f>
        <v>1</v>
      </c>
      <c r="Y96" s="68">
        <f>Sheet4!Y95</f>
        <v>1</v>
      </c>
      <c r="Z96" s="68">
        <f>Sheet4!Z95</f>
        <v>1</v>
      </c>
      <c r="AA96" s="68">
        <f>Sheet4!AA95</f>
        <v>0</v>
      </c>
      <c r="AB96" s="68">
        <f>Sheet4!AB95</f>
        <v>2</v>
      </c>
      <c r="AC96" s="68">
        <f>Sheet4!AC95</f>
        <v>1</v>
      </c>
      <c r="AD96" s="68">
        <f>Sheet4!AD95</f>
        <v>1</v>
      </c>
      <c r="AE96" s="68">
        <f>Sheet4!AE95</f>
        <v>0</v>
      </c>
      <c r="AF96" s="68">
        <f>Sheet4!AF95</f>
        <v>2</v>
      </c>
      <c r="AG96" s="68">
        <f>Sheet4!AG95</f>
        <v>1</v>
      </c>
      <c r="AH96" s="68">
        <f>Sheet4!AH95</f>
        <v>0</v>
      </c>
      <c r="AI96" s="68">
        <f>Sheet4!AI95</f>
        <v>0</v>
      </c>
      <c r="AJ96" s="68">
        <f>Sheet4!AJ95</f>
        <v>2</v>
      </c>
      <c r="AK96" s="68">
        <f>Sheet4!AK95</f>
        <v>2</v>
      </c>
      <c r="AL96" s="68">
        <f>Sheet4!AL95</f>
        <v>0</v>
      </c>
      <c r="AM96" s="68">
        <f>Sheet4!AM95</f>
        <v>1</v>
      </c>
      <c r="AN96" s="68">
        <f>Sheet4!AN95</f>
        <v>1</v>
      </c>
      <c r="AO96" s="68">
        <f>Sheet4!AO95</f>
        <v>1</v>
      </c>
      <c r="AP96" s="68">
        <f>Sheet4!AP95</f>
        <v>1</v>
      </c>
      <c r="AQ96" s="68">
        <f>Sheet4!AQ95</f>
        <v>1</v>
      </c>
      <c r="AR96" s="68">
        <f>Sheet4!AR95</f>
        <v>1</v>
      </c>
      <c r="AS96" s="68">
        <f>Sheet4!AS95</f>
        <v>1</v>
      </c>
      <c r="AT96" s="68">
        <f>Sheet4!AT95</f>
        <v>1</v>
      </c>
      <c r="AU96" s="68">
        <f>Sheet4!AU95</f>
        <v>1</v>
      </c>
      <c r="AV96" s="68">
        <f>Sheet4!AV95</f>
        <v>1</v>
      </c>
      <c r="AW96" s="68">
        <f>Sheet4!AW95</f>
        <v>1</v>
      </c>
      <c r="AX96" s="68">
        <f>Sheet4!AX95</f>
        <v>1</v>
      </c>
      <c r="AY96" s="68">
        <f>Sheet4!AY95</f>
        <v>0</v>
      </c>
      <c r="AZ96" s="68">
        <f>Sheet4!AZ95</f>
        <v>2</v>
      </c>
      <c r="BA96" s="68">
        <f>Sheet4!BA95</f>
        <v>1</v>
      </c>
      <c r="BB96" s="68">
        <f>Sheet4!BB95</f>
        <v>1</v>
      </c>
      <c r="BC96" s="68">
        <f>Sheet4!BC95</f>
        <v>0</v>
      </c>
      <c r="BD96" s="68">
        <f>Sheet4!BD95</f>
        <v>1</v>
      </c>
      <c r="BE96" s="68">
        <f>Sheet4!BE95</f>
        <v>2</v>
      </c>
      <c r="BF96" s="68">
        <f>Sheet4!BF95</f>
        <v>1</v>
      </c>
      <c r="BG96" s="68">
        <f>Sheet4!BG95</f>
        <v>0</v>
      </c>
      <c r="BH96" s="68">
        <f>Sheet4!BH95</f>
        <v>1</v>
      </c>
      <c r="BI96" s="68">
        <f>Sheet4!BI95</f>
        <v>2</v>
      </c>
      <c r="BJ96" s="68">
        <f>Sheet4!BJ95</f>
        <v>1</v>
      </c>
      <c r="BK96" s="68">
        <f>Sheet4!BK95</f>
        <v>0</v>
      </c>
      <c r="BL96" s="68">
        <f>Sheet4!BL95</f>
        <v>1</v>
      </c>
      <c r="BM96" s="68">
        <f>Sheet4!BM95</f>
        <v>0</v>
      </c>
      <c r="BN96" s="68">
        <f>Sheet4!BN95</f>
        <v>2</v>
      </c>
      <c r="BO96" s="68">
        <f>Sheet4!BO95</f>
        <v>0</v>
      </c>
      <c r="BP96" s="68">
        <f>Sheet4!BP95</f>
        <v>2</v>
      </c>
      <c r="BQ96" s="68">
        <f>Sheet4!BQ95</f>
        <v>1</v>
      </c>
      <c r="BR96" s="68">
        <f>Sheet4!BR95</f>
        <v>0</v>
      </c>
      <c r="BS96" s="68">
        <f>Sheet4!BS95</f>
        <v>2</v>
      </c>
      <c r="BT96" s="68">
        <f>Sheet4!BT95</f>
        <v>1</v>
      </c>
      <c r="BU96" s="68">
        <f>Sheet4!BU95</f>
        <v>0</v>
      </c>
      <c r="BV96" s="68">
        <f>Sheet4!BV95</f>
        <v>0</v>
      </c>
      <c r="BW96" s="68">
        <f>Sheet4!BW95</f>
        <v>1</v>
      </c>
      <c r="BX96" s="68">
        <f>Sheet4!BX95</f>
        <v>1</v>
      </c>
      <c r="BY96" s="68">
        <f>Sheet4!BY95</f>
        <v>0</v>
      </c>
      <c r="BZ96" s="68">
        <f>Sheet4!BZ95</f>
        <v>4</v>
      </c>
      <c r="CA96" s="68">
        <f>Sheet4!CA95</f>
        <v>1</v>
      </c>
      <c r="CB96" s="68">
        <f>Sheet4!CB95</f>
        <v>1</v>
      </c>
      <c r="CC96" s="68">
        <f>Sheet4!CC95</f>
        <v>0</v>
      </c>
      <c r="CD96" s="68">
        <f>Sheet4!CD95</f>
        <v>0</v>
      </c>
      <c r="CE96" s="68">
        <f>Sheet4!CE95</f>
        <v>2</v>
      </c>
      <c r="CF96" s="68">
        <f>Sheet4!CF95</f>
        <v>1</v>
      </c>
      <c r="CG96" s="68">
        <f>Sheet4!CG95</f>
        <v>1</v>
      </c>
      <c r="CH96" s="68">
        <f>Sheet4!CH95</f>
        <v>1</v>
      </c>
      <c r="CI96" s="68">
        <f>Sheet4!CI95</f>
        <v>0</v>
      </c>
      <c r="CJ96" s="68">
        <f>Sheet4!CJ95</f>
        <v>2</v>
      </c>
      <c r="CK96" s="68">
        <f>Sheet4!CK95</f>
        <v>1</v>
      </c>
      <c r="CL96" s="68">
        <f>Sheet4!CL95</f>
        <v>1</v>
      </c>
      <c r="CM96" s="68">
        <f>Sheet4!CM95</f>
        <v>1</v>
      </c>
      <c r="CN96" s="68">
        <f>Sheet4!CN95</f>
        <v>0</v>
      </c>
      <c r="CO96" s="68">
        <f>Sheet4!CO95</f>
        <v>1</v>
      </c>
      <c r="CP96" s="68">
        <f>Sheet4!CP95</f>
        <v>0</v>
      </c>
      <c r="CQ96" s="68">
        <f>Sheet4!CQ95</f>
        <v>0</v>
      </c>
      <c r="CR96" s="68">
        <f>Sheet4!CR95</f>
        <v>2</v>
      </c>
      <c r="CS96" s="68">
        <f>Sheet4!CS95</f>
        <v>1</v>
      </c>
      <c r="CT96" s="68">
        <f>Sheet4!CT95</f>
        <v>1</v>
      </c>
      <c r="CU96" s="68">
        <f>Sheet4!CU95</f>
        <v>1</v>
      </c>
      <c r="CV96" s="68">
        <f>Sheet4!CV95</f>
        <v>1</v>
      </c>
      <c r="CW96" s="68">
        <f>Sheet4!CW95</f>
        <v>1</v>
      </c>
      <c r="CX96" s="68">
        <f>Sheet4!CX95</f>
        <v>1</v>
      </c>
      <c r="CY96" s="68">
        <f>Sheet4!CY95</f>
        <v>0</v>
      </c>
      <c r="CZ96" s="68">
        <f>Sheet4!CZ95</f>
        <v>2</v>
      </c>
      <c r="DA96" s="68">
        <f>Sheet4!DA95</f>
        <v>1</v>
      </c>
      <c r="DB96" s="68">
        <f>Sheet4!DB95</f>
        <v>1</v>
      </c>
      <c r="DC96" s="68">
        <f>Sheet4!DC95</f>
        <v>0</v>
      </c>
      <c r="DD96" s="68">
        <f>Sheet4!DD95</f>
        <v>2</v>
      </c>
      <c r="DE96" s="68">
        <f>Sheet4!DE95</f>
        <v>0</v>
      </c>
      <c r="DF96" s="68">
        <f>Sheet4!DF95</f>
        <v>1</v>
      </c>
      <c r="DG96" s="68">
        <f>Sheet4!DG95</f>
        <v>1</v>
      </c>
      <c r="DH96" s="68">
        <f>Sheet4!DH95</f>
        <v>0</v>
      </c>
      <c r="DI96" s="68">
        <f>Sheet4!DI95</f>
        <v>0</v>
      </c>
      <c r="DJ96" s="68">
        <f>Sheet4!DJ95</f>
        <v>0</v>
      </c>
      <c r="DK96" s="68">
        <f>Sheet4!DK95</f>
        <v>0</v>
      </c>
      <c r="DL96" s="68">
        <f>Sheet4!DL95</f>
        <v>0</v>
      </c>
      <c r="DM96" s="68">
        <f>Sheet4!DM95</f>
        <v>0</v>
      </c>
      <c r="DN96" s="68">
        <f>Sheet4!DN95</f>
        <v>0</v>
      </c>
      <c r="DO96" s="68">
        <f>Sheet4!DO95</f>
        <v>0</v>
      </c>
      <c r="DP96" s="68">
        <f>Sheet4!DP95</f>
        <v>0</v>
      </c>
      <c r="DQ96" s="68">
        <f>Sheet4!DQ95</f>
        <v>0</v>
      </c>
    </row>
    <row r="97" spans="1:121" ht="15.75" customHeight="1" x14ac:dyDescent="0.3">
      <c r="A97" s="40">
        <f>Sheet4!A96</f>
        <v>93</v>
      </c>
      <c r="B97" s="40" t="str">
        <f>Sheet4!B96</f>
        <v>እንግዳ ካሳዬ</v>
      </c>
      <c r="C97" s="26">
        <f>Sheet4!C96</f>
        <v>21000</v>
      </c>
      <c r="D97" s="68">
        <f>Sheet4!D96</f>
        <v>1</v>
      </c>
      <c r="E97" s="68">
        <f>Sheet4!E96</f>
        <v>1</v>
      </c>
      <c r="F97" s="68">
        <f>Sheet4!F96</f>
        <v>1</v>
      </c>
      <c r="G97" s="68">
        <f>Sheet4!G96</f>
        <v>1</v>
      </c>
      <c r="H97" s="68">
        <f>Sheet4!H96</f>
        <v>1</v>
      </c>
      <c r="I97" s="68">
        <f>Sheet4!I96</f>
        <v>1</v>
      </c>
      <c r="J97" s="68">
        <f>Sheet4!J96</f>
        <v>1</v>
      </c>
      <c r="K97" s="68">
        <f>Sheet4!K96</f>
        <v>1</v>
      </c>
      <c r="L97" s="68">
        <f>Sheet4!L96</f>
        <v>1</v>
      </c>
      <c r="M97" s="68">
        <f>Sheet4!M96</f>
        <v>1</v>
      </c>
      <c r="N97" s="68">
        <f>Sheet4!N96</f>
        <v>1</v>
      </c>
      <c r="O97" s="68">
        <f>Sheet4!O96</f>
        <v>1</v>
      </c>
      <c r="P97" s="68">
        <f>Sheet4!P96</f>
        <v>1</v>
      </c>
      <c r="Q97" s="68">
        <f>Sheet4!Q96</f>
        <v>1</v>
      </c>
      <c r="R97" s="68">
        <f>Sheet4!R96</f>
        <v>1</v>
      </c>
      <c r="S97" s="68">
        <f>Sheet4!S96</f>
        <v>1</v>
      </c>
      <c r="T97" s="68">
        <f>Sheet4!T96</f>
        <v>1</v>
      </c>
      <c r="U97" s="68">
        <f>Sheet4!U96</f>
        <v>1</v>
      </c>
      <c r="V97" s="68">
        <f>Sheet4!V96</f>
        <v>1</v>
      </c>
      <c r="W97" s="68">
        <f>Sheet4!W96</f>
        <v>1</v>
      </c>
      <c r="X97" s="68">
        <f>Sheet4!X96</f>
        <v>1</v>
      </c>
      <c r="Y97" s="68">
        <f>Sheet4!Y96</f>
        <v>1</v>
      </c>
      <c r="Z97" s="68">
        <f>Sheet4!Z96</f>
        <v>1</v>
      </c>
      <c r="AA97" s="68">
        <f>Sheet4!AA96</f>
        <v>0</v>
      </c>
      <c r="AB97" s="68">
        <f>Sheet4!AB96</f>
        <v>2</v>
      </c>
      <c r="AC97" s="68">
        <f>Sheet4!AC96</f>
        <v>1</v>
      </c>
      <c r="AD97" s="68">
        <f>Sheet4!AD96</f>
        <v>1</v>
      </c>
      <c r="AE97" s="68">
        <f>Sheet4!AE96</f>
        <v>1</v>
      </c>
      <c r="AF97" s="68">
        <f>Sheet4!AF96</f>
        <v>1</v>
      </c>
      <c r="AG97" s="68">
        <f>Sheet4!AG96</f>
        <v>1</v>
      </c>
      <c r="AH97" s="68">
        <f>Sheet4!AH96</f>
        <v>1</v>
      </c>
      <c r="AI97" s="68">
        <f>Sheet4!AI96</f>
        <v>1</v>
      </c>
      <c r="AJ97" s="68">
        <f>Sheet4!AJ96</f>
        <v>1</v>
      </c>
      <c r="AK97" s="68">
        <f>Sheet4!AK96</f>
        <v>1</v>
      </c>
      <c r="AL97" s="68">
        <f>Sheet4!AL96</f>
        <v>1</v>
      </c>
      <c r="AM97" s="68">
        <f>Sheet4!AM96</f>
        <v>1</v>
      </c>
      <c r="AN97" s="68">
        <f>Sheet4!AN96</f>
        <v>1</v>
      </c>
      <c r="AO97" s="68">
        <f>Sheet4!AO96</f>
        <v>1</v>
      </c>
      <c r="AP97" s="68">
        <f>Sheet4!AP96</f>
        <v>1</v>
      </c>
      <c r="AQ97" s="68">
        <f>Sheet4!AQ96</f>
        <v>1</v>
      </c>
      <c r="AR97" s="68">
        <f>Sheet4!AR96</f>
        <v>1</v>
      </c>
      <c r="AS97" s="68">
        <f>Sheet4!AS96</f>
        <v>1</v>
      </c>
      <c r="AT97" s="68">
        <f>Sheet4!AT96</f>
        <v>1</v>
      </c>
      <c r="AU97" s="68">
        <f>Sheet4!AU96</f>
        <v>1</v>
      </c>
      <c r="AV97" s="68">
        <f>Sheet4!AV96</f>
        <v>1</v>
      </c>
      <c r="AW97" s="68">
        <f>Sheet4!AW96</f>
        <v>1</v>
      </c>
      <c r="AX97" s="68">
        <f>Sheet4!AX96</f>
        <v>1</v>
      </c>
      <c r="AY97" s="68">
        <f>Sheet4!AY96</f>
        <v>1</v>
      </c>
      <c r="AZ97" s="68">
        <f>Sheet4!AZ96</f>
        <v>1</v>
      </c>
      <c r="BA97" s="68">
        <f>Sheet4!BA96</f>
        <v>1</v>
      </c>
      <c r="BB97" s="68">
        <f>Sheet4!BB96</f>
        <v>1</v>
      </c>
      <c r="BC97" s="68">
        <f>Sheet4!BC96</f>
        <v>1</v>
      </c>
      <c r="BD97" s="68">
        <f>Sheet4!BD96</f>
        <v>1</v>
      </c>
      <c r="BE97" s="68">
        <f>Sheet4!BE96</f>
        <v>0</v>
      </c>
      <c r="BF97" s="68">
        <f>Sheet4!BF96</f>
        <v>1</v>
      </c>
      <c r="BG97" s="68">
        <f>Sheet4!BG96</f>
        <v>1</v>
      </c>
      <c r="BH97" s="68">
        <f>Sheet4!BH96</f>
        <v>1</v>
      </c>
      <c r="BI97" s="68">
        <f>Sheet4!BI96</f>
        <v>1</v>
      </c>
      <c r="BJ97" s="68">
        <f>Sheet4!BJ96</f>
        <v>1</v>
      </c>
      <c r="BK97" s="68">
        <f>Sheet4!BK96</f>
        <v>1</v>
      </c>
      <c r="BL97" s="68">
        <f>Sheet4!BL96</f>
        <v>1</v>
      </c>
      <c r="BM97" s="68">
        <f>Sheet4!BM96</f>
        <v>0</v>
      </c>
      <c r="BN97" s="68">
        <f>Sheet4!BN96</f>
        <v>2</v>
      </c>
      <c r="BO97" s="68">
        <f>Sheet4!BO96</f>
        <v>1</v>
      </c>
      <c r="BP97" s="68">
        <f>Sheet4!BP96</f>
        <v>1</v>
      </c>
      <c r="BQ97" s="68">
        <f>Sheet4!BQ96</f>
        <v>1</v>
      </c>
      <c r="BR97" s="68">
        <f>Sheet4!BR96</f>
        <v>1</v>
      </c>
      <c r="BS97" s="68">
        <f>Sheet4!BS96</f>
        <v>1</v>
      </c>
      <c r="BT97" s="68">
        <f>Sheet4!BT96</f>
        <v>1</v>
      </c>
      <c r="BU97" s="68">
        <f>Sheet4!BU96</f>
        <v>1</v>
      </c>
      <c r="BV97" s="68">
        <f>Sheet4!BV96</f>
        <v>1</v>
      </c>
      <c r="BW97" s="68">
        <f>Sheet4!BW96</f>
        <v>1</v>
      </c>
      <c r="BX97" s="68">
        <f>Sheet4!BX96</f>
        <v>1</v>
      </c>
      <c r="BY97" s="68">
        <f>Sheet4!BY96</f>
        <v>1</v>
      </c>
      <c r="BZ97" s="68">
        <f>Sheet4!BZ96</f>
        <v>1</v>
      </c>
      <c r="CA97" s="68">
        <f>Sheet4!CA96</f>
        <v>0</v>
      </c>
      <c r="CB97" s="68">
        <f>Sheet4!CB96</f>
        <v>2</v>
      </c>
      <c r="CC97" s="68">
        <f>Sheet4!CC96</f>
        <v>0</v>
      </c>
      <c r="CD97" s="68">
        <f>Sheet4!CD96</f>
        <v>0</v>
      </c>
      <c r="CE97" s="68">
        <f>Sheet4!CE96</f>
        <v>1</v>
      </c>
      <c r="CF97" s="68">
        <f>Sheet4!CF96</f>
        <v>0</v>
      </c>
      <c r="CG97" s="68">
        <f>Sheet4!CG96</f>
        <v>2</v>
      </c>
      <c r="CH97" s="68">
        <f>Sheet4!CH96</f>
        <v>1</v>
      </c>
      <c r="CI97" s="68">
        <f>Sheet4!CI96</f>
        <v>1</v>
      </c>
      <c r="CJ97" s="68">
        <f>Sheet4!CJ96</f>
        <v>1</v>
      </c>
      <c r="CK97" s="68">
        <f>Sheet4!CK96</f>
        <v>0</v>
      </c>
      <c r="CL97" s="68">
        <f>Sheet4!CL96</f>
        <v>2</v>
      </c>
      <c r="CM97" s="68">
        <f>Sheet4!CM96</f>
        <v>1</v>
      </c>
      <c r="CN97" s="68">
        <f>Sheet4!CN96</f>
        <v>1</v>
      </c>
      <c r="CO97" s="68">
        <f>Sheet4!CO96</f>
        <v>0</v>
      </c>
      <c r="CP97" s="68">
        <f>Sheet4!CP96</f>
        <v>1</v>
      </c>
      <c r="CQ97" s="68">
        <f>Sheet4!CQ96</f>
        <v>1</v>
      </c>
      <c r="CR97" s="68">
        <f>Sheet4!CR96</f>
        <v>1</v>
      </c>
      <c r="CS97" s="68">
        <f>Sheet4!CS96</f>
        <v>1</v>
      </c>
      <c r="CT97" s="68">
        <f>Sheet4!CT96</f>
        <v>1</v>
      </c>
      <c r="CU97" s="68">
        <f>Sheet4!CU96</f>
        <v>1</v>
      </c>
      <c r="CV97" s="68">
        <f>Sheet4!CV96</f>
        <v>0</v>
      </c>
      <c r="CW97" s="68">
        <f>Sheet4!CW96</f>
        <v>1</v>
      </c>
      <c r="CX97" s="68">
        <f>Sheet4!CX96</f>
        <v>0</v>
      </c>
      <c r="CY97" s="68">
        <f>Sheet4!CY96</f>
        <v>0</v>
      </c>
      <c r="CZ97" s="68">
        <f>Sheet4!CZ96</f>
        <v>1</v>
      </c>
      <c r="DA97" s="68">
        <f>Sheet4!DA96</f>
        <v>1</v>
      </c>
      <c r="DB97" s="68">
        <f>Sheet4!DB96</f>
        <v>0</v>
      </c>
      <c r="DC97" s="68">
        <f>Sheet4!DC96</f>
        <v>1</v>
      </c>
      <c r="DD97" s="68">
        <f>Sheet4!DD96</f>
        <v>1</v>
      </c>
      <c r="DE97" s="68">
        <f>Sheet4!DE96</f>
        <v>0</v>
      </c>
      <c r="DF97" s="68">
        <f>Sheet4!DF96</f>
        <v>1</v>
      </c>
      <c r="DG97" s="68">
        <f>Sheet4!DG96</f>
        <v>1</v>
      </c>
      <c r="DH97" s="68">
        <f>Sheet4!DH96</f>
        <v>0</v>
      </c>
      <c r="DI97" s="68">
        <f>Sheet4!DI96</f>
        <v>0</v>
      </c>
      <c r="DJ97" s="68">
        <f>Sheet4!DJ96</f>
        <v>0</v>
      </c>
      <c r="DK97" s="68">
        <f>Sheet4!DK96</f>
        <v>0</v>
      </c>
      <c r="DL97" s="68">
        <f>Sheet4!DL96</f>
        <v>0</v>
      </c>
      <c r="DM97" s="68">
        <f>Sheet4!DM96</f>
        <v>0</v>
      </c>
      <c r="DN97" s="68">
        <f>Sheet4!DN96</f>
        <v>0</v>
      </c>
      <c r="DO97" s="68">
        <f>Sheet4!DO96</f>
        <v>0</v>
      </c>
      <c r="DP97" s="68">
        <f>Sheet4!DP96</f>
        <v>0</v>
      </c>
      <c r="DQ97" s="68">
        <f>Sheet4!DQ96</f>
        <v>0</v>
      </c>
    </row>
    <row r="98" spans="1:121" ht="15.75" customHeight="1" x14ac:dyDescent="0.3">
      <c r="A98" s="40">
        <f>Sheet4!A97</f>
        <v>94</v>
      </c>
      <c r="B98" s="40" t="str">
        <f>Sheet4!B97</f>
        <v xml:space="preserve">ዬሐንስ ከበደ </v>
      </c>
      <c r="C98" s="26">
        <f>Sheet4!C97</f>
        <v>10500</v>
      </c>
      <c r="D98" s="40">
        <f>(Sheet4!D97/2)</f>
        <v>0.5</v>
      </c>
      <c r="E98" s="40">
        <f>(Sheet4!E97/2)</f>
        <v>0.5</v>
      </c>
      <c r="F98" s="40">
        <f>(Sheet4!F97/2)</f>
        <v>0.5</v>
      </c>
      <c r="G98" s="40">
        <f>(Sheet4!G97/2)</f>
        <v>0.5</v>
      </c>
      <c r="H98" s="40">
        <f>(Sheet4!H97/2)</f>
        <v>0.5</v>
      </c>
      <c r="I98" s="40">
        <f>(Sheet4!I97/2)</f>
        <v>0.5</v>
      </c>
      <c r="J98" s="40">
        <f>(Sheet4!J97/2)</f>
        <v>0.5</v>
      </c>
      <c r="K98" s="40">
        <f>(Sheet4!K97/2)</f>
        <v>0.5</v>
      </c>
      <c r="L98" s="40">
        <f>(Sheet4!L97/2)</f>
        <v>0.5</v>
      </c>
      <c r="M98" s="40">
        <f>(Sheet4!M97/2)</f>
        <v>0.5</v>
      </c>
      <c r="N98" s="40">
        <f>(Sheet4!N97/2)</f>
        <v>0.5</v>
      </c>
      <c r="O98" s="40">
        <f>(Sheet4!O97/2)</f>
        <v>0.5</v>
      </c>
      <c r="P98" s="40">
        <f>(Sheet4!P97/2)</f>
        <v>0.5</v>
      </c>
      <c r="Q98" s="40">
        <f>(Sheet4!Q97/2)</f>
        <v>0.5</v>
      </c>
      <c r="R98" s="40">
        <f>(Sheet4!R97/2)</f>
        <v>0.5</v>
      </c>
      <c r="S98" s="40">
        <f>(Sheet4!S97/2)</f>
        <v>0.5</v>
      </c>
      <c r="T98" s="40">
        <f>(Sheet4!T97/2)</f>
        <v>0.5</v>
      </c>
      <c r="U98" s="40">
        <f>(Sheet4!U97/2)</f>
        <v>0.5</v>
      </c>
      <c r="V98" s="40">
        <f>(Sheet4!V97/2)</f>
        <v>0.5</v>
      </c>
      <c r="W98" s="40">
        <f>(Sheet4!W97/2)</f>
        <v>0.5</v>
      </c>
      <c r="X98" s="40">
        <f>(Sheet4!X97/2)</f>
        <v>0</v>
      </c>
      <c r="Y98" s="40">
        <f>(Sheet4!Y97/2)</f>
        <v>1</v>
      </c>
      <c r="Z98" s="40">
        <f>(Sheet4!Z97/2)</f>
        <v>0</v>
      </c>
      <c r="AA98" s="40">
        <f>(Sheet4!AA97/2)</f>
        <v>1</v>
      </c>
      <c r="AB98" s="40">
        <f>(Sheet4!AB97/2)</f>
        <v>0.5</v>
      </c>
      <c r="AC98" s="40">
        <f>(Sheet4!AC97/2)</f>
        <v>0.5</v>
      </c>
      <c r="AD98" s="40">
        <f>(Sheet4!AD97/2)</f>
        <v>0</v>
      </c>
      <c r="AE98" s="40">
        <f>(Sheet4!AE97/2)</f>
        <v>0.5</v>
      </c>
      <c r="AF98" s="40">
        <f>(Sheet4!AF97/2)</f>
        <v>0.5</v>
      </c>
      <c r="AG98" s="40">
        <f>(Sheet4!AG97/2)</f>
        <v>0.5</v>
      </c>
      <c r="AH98" s="40">
        <f>(Sheet4!AH97/2)</f>
        <v>0.5</v>
      </c>
      <c r="AI98" s="40">
        <f>(Sheet4!AI97/2)</f>
        <v>0.5</v>
      </c>
      <c r="AJ98" s="40">
        <f>(Sheet4!AJ97/2)</f>
        <v>0.5</v>
      </c>
      <c r="AK98" s="40">
        <f>(Sheet4!AK97/2)</f>
        <v>0.5</v>
      </c>
      <c r="AL98" s="40">
        <f>(Sheet4!AL97/2)</f>
        <v>0.5</v>
      </c>
      <c r="AM98" s="40">
        <f>(Sheet4!AM97/2)</f>
        <v>0.5</v>
      </c>
      <c r="AN98" s="40">
        <f>(Sheet4!AN97/2)</f>
        <v>0.5</v>
      </c>
      <c r="AO98" s="40">
        <f>(Sheet4!AO97/2)</f>
        <v>0</v>
      </c>
      <c r="AP98" s="40">
        <f>(Sheet4!AP97/2)</f>
        <v>1.5</v>
      </c>
      <c r="AQ98" s="40">
        <f>(Sheet4!AQ97/2)</f>
        <v>0.5</v>
      </c>
      <c r="AR98" s="40">
        <f>(Sheet4!AR97/2)</f>
        <v>0</v>
      </c>
      <c r="AS98" s="40">
        <f>(Sheet4!AS97/2)</f>
        <v>1</v>
      </c>
      <c r="AT98" s="40">
        <f>(Sheet4!AT97/2)</f>
        <v>0.5</v>
      </c>
      <c r="AU98" s="40">
        <f>(Sheet4!AU97/2)</f>
        <v>0.5</v>
      </c>
      <c r="AV98" s="40">
        <f>(Sheet4!AV97/2)</f>
        <v>0.5</v>
      </c>
      <c r="AW98" s="40">
        <f>(Sheet4!AW97/2)</f>
        <v>0</v>
      </c>
      <c r="AX98" s="40">
        <f>(Sheet4!AX97/2)</f>
        <v>0.5</v>
      </c>
      <c r="AY98" s="40">
        <f>(Sheet4!AY97/2)</f>
        <v>1</v>
      </c>
      <c r="AZ98" s="40">
        <f>(Sheet4!AZ97/2)</f>
        <v>0</v>
      </c>
      <c r="BA98" s="40">
        <f>(Sheet4!BA97/2)</f>
        <v>0.5</v>
      </c>
      <c r="BB98" s="40">
        <f>(Sheet4!BB97/2)</f>
        <v>0.5</v>
      </c>
      <c r="BC98" s="40">
        <f>(Sheet4!BC97/2)</f>
        <v>0.5</v>
      </c>
      <c r="BD98" s="40">
        <f>(Sheet4!BD97/2)</f>
        <v>1</v>
      </c>
      <c r="BE98" s="40">
        <f>(Sheet4!BE97/2)</f>
        <v>0</v>
      </c>
      <c r="BF98" s="40">
        <f>(Sheet4!BF97/2)</f>
        <v>0.5</v>
      </c>
      <c r="BG98" s="40">
        <f>(Sheet4!BG97/2)</f>
        <v>0</v>
      </c>
      <c r="BH98" s="40">
        <f>(Sheet4!BH97/2)</f>
        <v>1</v>
      </c>
      <c r="BI98" s="40">
        <f>(Sheet4!BI97/2)</f>
        <v>0.5</v>
      </c>
      <c r="BJ98" s="40">
        <f>(Sheet4!BJ97/2)</f>
        <v>0</v>
      </c>
      <c r="BK98" s="40">
        <f>(Sheet4!BK97/2)</f>
        <v>1</v>
      </c>
      <c r="BL98" s="40">
        <f>(Sheet4!BL97/2)</f>
        <v>0.5</v>
      </c>
      <c r="BM98" s="40">
        <f>(Sheet4!BM97/2)</f>
        <v>0.5</v>
      </c>
      <c r="BN98" s="40">
        <f>(Sheet4!BN97/2)</f>
        <v>0</v>
      </c>
      <c r="BO98" s="40">
        <f>(Sheet4!BO97/2)</f>
        <v>0.5</v>
      </c>
      <c r="BP98" s="40">
        <f>(Sheet4!BP97/2)</f>
        <v>0.5</v>
      </c>
      <c r="BQ98" s="40">
        <f>(Sheet4!BQ97/2)</f>
        <v>0</v>
      </c>
      <c r="BR98" s="40">
        <f>(Sheet4!BR97/2)</f>
        <v>1</v>
      </c>
      <c r="BS98" s="40">
        <f>(Sheet4!BS97/2)</f>
        <v>1.5</v>
      </c>
      <c r="BT98" s="40">
        <f>(Sheet4!BT97/2)</f>
        <v>0</v>
      </c>
      <c r="BU98" s="40">
        <f>(Sheet4!BU97/2)</f>
        <v>0.5</v>
      </c>
      <c r="BV98" s="40">
        <f>(Sheet4!BV97/2)</f>
        <v>0</v>
      </c>
      <c r="BW98" s="40">
        <f>(Sheet4!BW97/2)</f>
        <v>0</v>
      </c>
      <c r="BX98" s="40">
        <f>(Sheet4!BX97/2)</f>
        <v>0</v>
      </c>
      <c r="BY98" s="40">
        <f>(Sheet4!BY97/2)</f>
        <v>1.5</v>
      </c>
      <c r="BZ98" s="40">
        <f>(Sheet4!BZ97/2)</f>
        <v>0</v>
      </c>
      <c r="CA98" s="40">
        <f>(Sheet4!CA97/2)</f>
        <v>0</v>
      </c>
      <c r="CB98" s="40">
        <f>(Sheet4!CB97/2)</f>
        <v>0</v>
      </c>
      <c r="CC98" s="40">
        <f>(Sheet4!CC97/2)</f>
        <v>1.5</v>
      </c>
      <c r="CD98" s="40">
        <f>(Sheet4!CD97/2)</f>
        <v>0</v>
      </c>
      <c r="CE98" s="40">
        <f>(Sheet4!CE97/2)</f>
        <v>1.5</v>
      </c>
      <c r="CF98" s="40">
        <f>(Sheet4!CF97/2)</f>
        <v>0</v>
      </c>
      <c r="CG98" s="40">
        <f>(Sheet4!CG97/2)</f>
        <v>0</v>
      </c>
      <c r="CH98" s="40">
        <f>(Sheet4!CH97/2)</f>
        <v>1.5</v>
      </c>
      <c r="CI98" s="40">
        <f>(Sheet4!CI97/2)</f>
        <v>0</v>
      </c>
      <c r="CJ98" s="40">
        <f>(Sheet4!CJ97/2)</f>
        <v>0.5</v>
      </c>
      <c r="CK98" s="40">
        <f>(Sheet4!CK97/2)</f>
        <v>0</v>
      </c>
      <c r="CL98" s="40">
        <f>(Sheet4!CL97/2)</f>
        <v>0</v>
      </c>
      <c r="CM98" s="40">
        <f>(Sheet4!CM97/2)</f>
        <v>1</v>
      </c>
      <c r="CN98" s="40">
        <f>(Sheet4!CN97/2)</f>
        <v>0</v>
      </c>
      <c r="CO98" s="40">
        <f>(Sheet4!CO97/2)</f>
        <v>0</v>
      </c>
      <c r="CP98" s="40">
        <f>(Sheet4!CP97/2)</f>
        <v>0</v>
      </c>
      <c r="CQ98" s="40">
        <f>(Sheet4!CQ97/2)</f>
        <v>0</v>
      </c>
      <c r="CR98" s="40">
        <f>(Sheet4!CR97/2)</f>
        <v>1.5</v>
      </c>
      <c r="CS98" s="40">
        <f>(Sheet4!CS97/2)</f>
        <v>0.5</v>
      </c>
      <c r="CT98" s="40">
        <f>(Sheet4!CT97/2)</f>
        <v>0</v>
      </c>
      <c r="CU98" s="40">
        <f>(Sheet4!CU97/2)</f>
        <v>1.5</v>
      </c>
      <c r="CV98" s="40">
        <f>(Sheet4!CV97/2)</f>
        <v>1</v>
      </c>
      <c r="CW98" s="40">
        <f>(Sheet4!CW97/2)</f>
        <v>0</v>
      </c>
      <c r="CX98" s="40">
        <f>(Sheet4!CX97/2)</f>
        <v>0</v>
      </c>
      <c r="CY98" s="40">
        <f>(Sheet4!CY97/2)</f>
        <v>0</v>
      </c>
      <c r="CZ98" s="40">
        <f>(Sheet4!CZ97/2)</f>
        <v>1.5</v>
      </c>
      <c r="DA98" s="40">
        <f>(Sheet4!DA97/2)</f>
        <v>1</v>
      </c>
      <c r="DB98" s="40">
        <f>(Sheet4!DB97/2)</f>
        <v>0.5</v>
      </c>
      <c r="DC98" s="40">
        <f>(Sheet4!DC97/2)</f>
        <v>1</v>
      </c>
      <c r="DD98" s="40">
        <f>(Sheet4!DD97/2)</f>
        <v>1</v>
      </c>
      <c r="DE98" s="40">
        <f>(Sheet4!DE97/2)</f>
        <v>0</v>
      </c>
      <c r="DF98" s="40">
        <f>(Sheet4!DF97/2)</f>
        <v>0</v>
      </c>
      <c r="DG98" s="40">
        <f>(Sheet4!DG97/2)</f>
        <v>2</v>
      </c>
      <c r="DH98" s="40">
        <f>(Sheet4!DH97/2)</f>
        <v>0</v>
      </c>
      <c r="DI98" s="40">
        <f>(Sheet4!DI97/2)</f>
        <v>0</v>
      </c>
      <c r="DJ98" s="40">
        <f>(Sheet4!DJ97/2)</f>
        <v>0</v>
      </c>
      <c r="DK98" s="40">
        <f>(Sheet4!DK97/2)</f>
        <v>0</v>
      </c>
      <c r="DL98" s="40">
        <f>(Sheet4!DL97/2)</f>
        <v>0</v>
      </c>
      <c r="DM98" s="40">
        <f>(Sheet4!DM97/2)</f>
        <v>0</v>
      </c>
      <c r="DN98" s="40">
        <f>(Sheet4!DN97/2)</f>
        <v>0</v>
      </c>
      <c r="DO98" s="40">
        <f>(Sheet4!DO97/2)</f>
        <v>0</v>
      </c>
      <c r="DP98" s="40">
        <f>(Sheet4!DP97/2)</f>
        <v>0</v>
      </c>
      <c r="DQ98" s="40">
        <f>(Sheet4!DQ97/2)</f>
        <v>0</v>
      </c>
    </row>
    <row r="99" spans="1:121" ht="15.75" customHeight="1" x14ac:dyDescent="0.3">
      <c r="A99" s="40">
        <f>Sheet4!A98</f>
        <v>94</v>
      </c>
      <c r="B99" s="40" t="str">
        <f>Sheet4!B98</f>
        <v>እያሱ ዎታንጎ</v>
      </c>
      <c r="C99" s="26">
        <f>Sheet4!C98</f>
        <v>10500</v>
      </c>
      <c r="D99" s="40">
        <f>(Sheet4!D98/2)</f>
        <v>0.5</v>
      </c>
      <c r="E99" s="40">
        <f>(Sheet4!E98/2)</f>
        <v>0.5</v>
      </c>
      <c r="F99" s="40">
        <f>(Sheet4!F98/2)</f>
        <v>0.5</v>
      </c>
      <c r="G99" s="40">
        <f>(Sheet4!G98/2)</f>
        <v>0.5</v>
      </c>
      <c r="H99" s="40">
        <f>(Sheet4!H98/2)</f>
        <v>0.5</v>
      </c>
      <c r="I99" s="40">
        <f>(Sheet4!I98/2)</f>
        <v>0.5</v>
      </c>
      <c r="J99" s="40">
        <f>(Sheet4!J98/2)</f>
        <v>0.5</v>
      </c>
      <c r="K99" s="40">
        <f>(Sheet4!K98/2)</f>
        <v>0.5</v>
      </c>
      <c r="L99" s="40">
        <f>(Sheet4!L98/2)</f>
        <v>0.5</v>
      </c>
      <c r="M99" s="40">
        <f>(Sheet4!M98/2)</f>
        <v>0.5</v>
      </c>
      <c r="N99" s="40">
        <f>(Sheet4!N98/2)</f>
        <v>0.5</v>
      </c>
      <c r="O99" s="40">
        <f>(Sheet4!O98/2)</f>
        <v>0.5</v>
      </c>
      <c r="P99" s="40">
        <f>(Sheet4!P98/2)</f>
        <v>0.5</v>
      </c>
      <c r="Q99" s="40">
        <f>(Sheet4!Q98/2)</f>
        <v>0.5</v>
      </c>
      <c r="R99" s="40">
        <f>(Sheet4!R98/2)</f>
        <v>0.5</v>
      </c>
      <c r="S99" s="40">
        <f>(Sheet4!S98/2)</f>
        <v>0.5</v>
      </c>
      <c r="T99" s="40">
        <f>(Sheet4!T98/2)</f>
        <v>0.5</v>
      </c>
      <c r="U99" s="40">
        <f>(Sheet4!U98/2)</f>
        <v>0.5</v>
      </c>
      <c r="V99" s="40">
        <f>(Sheet4!V98/2)</f>
        <v>0.5</v>
      </c>
      <c r="W99" s="40">
        <f>(Sheet4!W98/2)</f>
        <v>0.5</v>
      </c>
      <c r="X99" s="40">
        <f>(Sheet4!X98/2)</f>
        <v>0.5</v>
      </c>
      <c r="Y99" s="40">
        <f>(Sheet4!Y98/2)</f>
        <v>0.5</v>
      </c>
      <c r="Z99" s="40">
        <f>(Sheet4!Z98/2)</f>
        <v>0.5</v>
      </c>
      <c r="AA99" s="40">
        <f>(Sheet4!AA98/2)</f>
        <v>0</v>
      </c>
      <c r="AB99" s="40">
        <f>(Sheet4!AB98/2)</f>
        <v>1</v>
      </c>
      <c r="AC99" s="40">
        <f>(Sheet4!AC98/2)</f>
        <v>0.5</v>
      </c>
      <c r="AD99" s="40">
        <f>(Sheet4!AD98/2)</f>
        <v>0.5</v>
      </c>
      <c r="AE99" s="40">
        <f>(Sheet4!AE98/2)</f>
        <v>0</v>
      </c>
      <c r="AF99" s="40">
        <f>(Sheet4!AF98/2)</f>
        <v>1</v>
      </c>
      <c r="AG99" s="40">
        <f>(Sheet4!AG98/2)</f>
        <v>0.5</v>
      </c>
      <c r="AH99" s="40">
        <f>(Sheet4!AH98/2)</f>
        <v>0.5</v>
      </c>
      <c r="AI99" s="40">
        <f>(Sheet4!AI98/2)</f>
        <v>0</v>
      </c>
      <c r="AJ99" s="40">
        <f>(Sheet4!AJ98/2)</f>
        <v>1</v>
      </c>
      <c r="AK99" s="40">
        <f>(Sheet4!AK98/2)</f>
        <v>0.5</v>
      </c>
      <c r="AL99" s="40">
        <f>(Sheet4!AL98/2)</f>
        <v>0.5</v>
      </c>
      <c r="AM99" s="40">
        <f>(Sheet4!AM98/2)</f>
        <v>0.5</v>
      </c>
      <c r="AN99" s="40">
        <f>(Sheet4!AN98/2)</f>
        <v>0.5</v>
      </c>
      <c r="AO99" s="40">
        <f>(Sheet4!AO98/2)</f>
        <v>0.5</v>
      </c>
      <c r="AP99" s="40">
        <f>(Sheet4!AP98/2)</f>
        <v>0.5</v>
      </c>
      <c r="AQ99" s="40">
        <f>(Sheet4!AQ98/2)</f>
        <v>0.5</v>
      </c>
      <c r="AR99" s="40">
        <f>(Sheet4!AR98/2)</f>
        <v>0.5</v>
      </c>
      <c r="AS99" s="40">
        <f>(Sheet4!AS98/2)</f>
        <v>0.5</v>
      </c>
      <c r="AT99" s="40">
        <f>(Sheet4!AT98/2)</f>
        <v>0.5</v>
      </c>
      <c r="AU99" s="40">
        <f>(Sheet4!AU98/2)</f>
        <v>0.5</v>
      </c>
      <c r="AV99" s="40">
        <f>(Sheet4!AV98/2)</f>
        <v>0.5</v>
      </c>
      <c r="AW99" s="40">
        <f>(Sheet4!AW98/2)</f>
        <v>0.5</v>
      </c>
      <c r="AX99" s="40">
        <f>(Sheet4!AX98/2)</f>
        <v>0.5</v>
      </c>
      <c r="AY99" s="40">
        <f>(Sheet4!AY98/2)</f>
        <v>0</v>
      </c>
      <c r="AZ99" s="40">
        <f>(Sheet4!AZ98/2)</f>
        <v>1</v>
      </c>
      <c r="BA99" s="40">
        <f>(Sheet4!BA98/2)</f>
        <v>0.5</v>
      </c>
      <c r="BB99" s="40">
        <f>(Sheet4!BB98/2)</f>
        <v>0.5</v>
      </c>
      <c r="BC99" s="40">
        <f>(Sheet4!BC98/2)</f>
        <v>0</v>
      </c>
      <c r="BD99" s="40">
        <f>(Sheet4!BD98/2)</f>
        <v>1</v>
      </c>
      <c r="BE99" s="40">
        <f>(Sheet4!BE98/2)</f>
        <v>0.5</v>
      </c>
      <c r="BF99" s="40">
        <f>(Sheet4!BF98/2)</f>
        <v>0.5</v>
      </c>
      <c r="BG99" s="40">
        <f>(Sheet4!BG98/2)</f>
        <v>0</v>
      </c>
      <c r="BH99" s="40">
        <f>(Sheet4!BH98/2)</f>
        <v>0.5</v>
      </c>
      <c r="BI99" s="40">
        <f>(Sheet4!BI98/2)</f>
        <v>0.5</v>
      </c>
      <c r="BJ99" s="40">
        <f>(Sheet4!BJ98/2)</f>
        <v>0.5</v>
      </c>
      <c r="BK99" s="40">
        <f>(Sheet4!BK98/2)</f>
        <v>0</v>
      </c>
      <c r="BL99" s="40">
        <f>(Sheet4!BL98/2)</f>
        <v>1</v>
      </c>
      <c r="BM99" s="40">
        <f>(Sheet4!BM98/2)</f>
        <v>1</v>
      </c>
      <c r="BN99" s="40">
        <f>(Sheet4!BN98/2)</f>
        <v>0.5</v>
      </c>
      <c r="BO99" s="40">
        <f>(Sheet4!BO98/2)</f>
        <v>0</v>
      </c>
      <c r="BP99" s="40">
        <f>(Sheet4!BP98/2)</f>
        <v>0.5</v>
      </c>
      <c r="BQ99" s="40">
        <f>(Sheet4!BQ98/2)</f>
        <v>0</v>
      </c>
      <c r="BR99" s="40">
        <f>(Sheet4!BR98/2)</f>
        <v>0.5</v>
      </c>
      <c r="BS99" s="40">
        <f>(Sheet4!BS98/2)</f>
        <v>0.5</v>
      </c>
      <c r="BT99" s="40">
        <f>(Sheet4!BT98/2)</f>
        <v>0.5</v>
      </c>
      <c r="BU99" s="40">
        <f>(Sheet4!BU98/2)</f>
        <v>0.5</v>
      </c>
      <c r="BV99" s="40">
        <f>(Sheet4!BV98/2)</f>
        <v>0.5</v>
      </c>
      <c r="BW99" s="40">
        <f>(Sheet4!BW98/2)</f>
        <v>0.5</v>
      </c>
      <c r="BX99" s="40">
        <f>(Sheet4!BX98/2)</f>
        <v>0.5</v>
      </c>
      <c r="BY99" s="40">
        <f>(Sheet4!BY98/2)</f>
        <v>0.5</v>
      </c>
      <c r="BZ99" s="40">
        <f>(Sheet4!BZ98/2)</f>
        <v>0.5</v>
      </c>
      <c r="CA99" s="40">
        <f>(Sheet4!CA98/2)</f>
        <v>0.5</v>
      </c>
      <c r="CB99" s="40">
        <f>(Sheet4!CB98/2)</f>
        <v>0</v>
      </c>
      <c r="CC99" s="40">
        <f>(Sheet4!CC98/2)</f>
        <v>0.5</v>
      </c>
      <c r="CD99" s="40">
        <f>(Sheet4!CD98/2)</f>
        <v>0</v>
      </c>
      <c r="CE99" s="40">
        <f>(Sheet4!CE98/2)</f>
        <v>1</v>
      </c>
      <c r="CF99" s="40">
        <f>(Sheet4!CF98/2)</f>
        <v>0</v>
      </c>
      <c r="CG99" s="40">
        <f>(Sheet4!CG98/2)</f>
        <v>1</v>
      </c>
      <c r="CH99" s="40">
        <f>(Sheet4!CH98/2)</f>
        <v>0.5</v>
      </c>
      <c r="CI99" s="40">
        <f>(Sheet4!CI98/2)</f>
        <v>0.5</v>
      </c>
      <c r="CJ99" s="40">
        <f>(Sheet4!CJ98/2)</f>
        <v>0.5</v>
      </c>
      <c r="CK99" s="40">
        <f>(Sheet4!CK98/2)</f>
        <v>0</v>
      </c>
      <c r="CL99" s="40">
        <f>(Sheet4!CL98/2)</f>
        <v>0</v>
      </c>
      <c r="CM99" s="40">
        <f>(Sheet4!CM98/2)</f>
        <v>1.5</v>
      </c>
      <c r="CN99" s="40">
        <f>(Sheet4!CN98/2)</f>
        <v>0.5</v>
      </c>
      <c r="CO99" s="40">
        <f>(Sheet4!CO98/2)</f>
        <v>0.5</v>
      </c>
      <c r="CP99" s="40">
        <f>(Sheet4!CP98/2)</f>
        <v>0.5</v>
      </c>
      <c r="CQ99" s="40">
        <f>(Sheet4!CQ98/2)</f>
        <v>0</v>
      </c>
      <c r="CR99" s="40">
        <f>(Sheet4!CR98/2)</f>
        <v>0</v>
      </c>
      <c r="CS99" s="40">
        <f>(Sheet4!CS98/2)</f>
        <v>1</v>
      </c>
      <c r="CT99" s="40">
        <f>(Sheet4!CT98/2)</f>
        <v>0</v>
      </c>
      <c r="CU99" s="40">
        <f>(Sheet4!CU98/2)</f>
        <v>1</v>
      </c>
      <c r="CV99" s="40">
        <f>(Sheet4!CV98/2)</f>
        <v>0.5</v>
      </c>
      <c r="CW99" s="40">
        <f>(Sheet4!CW98/2)</f>
        <v>0.5</v>
      </c>
      <c r="CX99" s="40">
        <f>(Sheet4!CX98/2)</f>
        <v>0.5</v>
      </c>
      <c r="CY99" s="40">
        <f>(Sheet4!CY98/2)</f>
        <v>0</v>
      </c>
      <c r="CZ99" s="40">
        <f>(Sheet4!CZ98/2)</f>
        <v>0.5</v>
      </c>
      <c r="DA99" s="40">
        <f>(Sheet4!DA98/2)</f>
        <v>1</v>
      </c>
      <c r="DB99" s="40">
        <f>(Sheet4!DB98/2)</f>
        <v>0</v>
      </c>
      <c r="DC99" s="40">
        <f>(Sheet4!DC98/2)</f>
        <v>0</v>
      </c>
      <c r="DD99" s="40">
        <f>(Sheet4!DD98/2)</f>
        <v>1</v>
      </c>
      <c r="DE99" s="40">
        <f>(Sheet4!DE98/2)</f>
        <v>0.5</v>
      </c>
      <c r="DF99" s="40">
        <f>(Sheet4!DF98/2)</f>
        <v>0.5</v>
      </c>
      <c r="DG99" s="40">
        <f>(Sheet4!DG98/2)</f>
        <v>0.5</v>
      </c>
      <c r="DH99" s="40">
        <f>(Sheet4!DH98/2)</f>
        <v>0</v>
      </c>
      <c r="DI99" s="40">
        <f>(Sheet4!DI98/2)</f>
        <v>0</v>
      </c>
      <c r="DJ99" s="40">
        <f>(Sheet4!DJ98/2)</f>
        <v>0</v>
      </c>
      <c r="DK99" s="40">
        <f>(Sheet4!DK98/2)</f>
        <v>0</v>
      </c>
      <c r="DL99" s="40">
        <f>(Sheet4!DL98/2)</f>
        <v>0</v>
      </c>
      <c r="DM99" s="40">
        <f>(Sheet4!DM98/2)</f>
        <v>0</v>
      </c>
      <c r="DN99" s="40">
        <f>(Sheet4!DN98/2)</f>
        <v>0</v>
      </c>
      <c r="DO99" s="40">
        <f>(Sheet4!DO98/2)</f>
        <v>0</v>
      </c>
      <c r="DP99" s="40">
        <f>(Sheet4!DP98/2)</f>
        <v>0</v>
      </c>
      <c r="DQ99" s="40">
        <f>(Sheet4!DQ98/2)</f>
        <v>0</v>
      </c>
    </row>
    <row r="100" spans="1:121" ht="15.75" customHeight="1" x14ac:dyDescent="0.3">
      <c r="A100" s="40">
        <f>Sheet4!A99</f>
        <v>95</v>
      </c>
      <c r="B100" s="40" t="str">
        <f>Sheet4!B99</f>
        <v xml:space="preserve">ዳናዋ ደምሴ </v>
      </c>
      <c r="C100" s="26">
        <f>Sheet4!C99</f>
        <v>10500</v>
      </c>
      <c r="D100" s="40">
        <f>(Sheet4!D99/2)</f>
        <v>0.5</v>
      </c>
      <c r="E100" s="40">
        <f>(Sheet4!E99/2)</f>
        <v>0.5</v>
      </c>
      <c r="F100" s="40">
        <f>(Sheet4!F99/2)</f>
        <v>0.5</v>
      </c>
      <c r="G100" s="40">
        <f>(Sheet4!G99/2)</f>
        <v>0.5</v>
      </c>
      <c r="H100" s="40">
        <f>(Sheet4!H99/2)</f>
        <v>0.5</v>
      </c>
      <c r="I100" s="40">
        <f>(Sheet4!I99/2)</f>
        <v>0.5</v>
      </c>
      <c r="J100" s="40">
        <f>(Sheet4!J99/2)</f>
        <v>0.5</v>
      </c>
      <c r="K100" s="40">
        <f>(Sheet4!K99/2)</f>
        <v>0.5</v>
      </c>
      <c r="L100" s="40">
        <f>(Sheet4!L99/2)</f>
        <v>0.5</v>
      </c>
      <c r="M100" s="40">
        <f>(Sheet4!M99/2)</f>
        <v>0.5</v>
      </c>
      <c r="N100" s="40">
        <f>(Sheet4!N99/2)</f>
        <v>0.5</v>
      </c>
      <c r="O100" s="40">
        <f>(Sheet4!O99/2)</f>
        <v>0.5</v>
      </c>
      <c r="P100" s="40">
        <f>(Sheet4!P99/2)</f>
        <v>0.5</v>
      </c>
      <c r="Q100" s="40">
        <f>(Sheet4!Q99/2)</f>
        <v>0.5</v>
      </c>
      <c r="R100" s="40">
        <f>(Sheet4!R99/2)</f>
        <v>0.5</v>
      </c>
      <c r="S100" s="40">
        <f>(Sheet4!S99/2)</f>
        <v>0.5</v>
      </c>
      <c r="T100" s="40">
        <f>(Sheet4!T99/2)</f>
        <v>0.5</v>
      </c>
      <c r="U100" s="40">
        <f>(Sheet4!U99/2)</f>
        <v>0.5</v>
      </c>
      <c r="V100" s="40">
        <f>(Sheet4!V99/2)</f>
        <v>0.5</v>
      </c>
      <c r="W100" s="40">
        <f>(Sheet4!W99/2)</f>
        <v>0.5</v>
      </c>
      <c r="X100" s="40">
        <f>(Sheet4!X99/2)</f>
        <v>0.5</v>
      </c>
      <c r="Y100" s="40">
        <f>(Sheet4!Y99/2)</f>
        <v>0.5</v>
      </c>
      <c r="Z100" s="40">
        <f>(Sheet4!Z99/2)</f>
        <v>0.5</v>
      </c>
      <c r="AA100" s="40">
        <f>(Sheet4!AA99/2)</f>
        <v>0.5</v>
      </c>
      <c r="AB100" s="40">
        <f>(Sheet4!AB99/2)</f>
        <v>0.5</v>
      </c>
      <c r="AC100" s="40">
        <f>(Sheet4!AC99/2)</f>
        <v>0.5</v>
      </c>
      <c r="AD100" s="40">
        <f>(Sheet4!AD99/2)</f>
        <v>0.5</v>
      </c>
      <c r="AE100" s="40">
        <f>(Sheet4!AE99/2)</f>
        <v>0.5</v>
      </c>
      <c r="AF100" s="40">
        <f>(Sheet4!AF99/2)</f>
        <v>0.5</v>
      </c>
      <c r="AG100" s="40">
        <f>(Sheet4!AG99/2)</f>
        <v>0.5</v>
      </c>
      <c r="AH100" s="40">
        <f>(Sheet4!AH99/2)</f>
        <v>0.5</v>
      </c>
      <c r="AI100" s="40">
        <f>(Sheet4!AI99/2)</f>
        <v>0.5</v>
      </c>
      <c r="AJ100" s="40">
        <f>(Sheet4!AJ99/2)</f>
        <v>0.5</v>
      </c>
      <c r="AK100" s="40">
        <f>(Sheet4!AK99/2)</f>
        <v>0.5</v>
      </c>
      <c r="AL100" s="40">
        <f>(Sheet4!AL99/2)</f>
        <v>0.5</v>
      </c>
      <c r="AM100" s="40">
        <f>(Sheet4!AM99/2)</f>
        <v>0.5</v>
      </c>
      <c r="AN100" s="40">
        <f>(Sheet4!AN99/2)</f>
        <v>0.5</v>
      </c>
      <c r="AO100" s="40">
        <f>(Sheet4!AO99/2)</f>
        <v>0.5</v>
      </c>
      <c r="AP100" s="40">
        <f>(Sheet4!AP99/2)</f>
        <v>0.5</v>
      </c>
      <c r="AQ100" s="40">
        <f>(Sheet4!AQ99/2)</f>
        <v>0.5</v>
      </c>
      <c r="AR100" s="40">
        <f>(Sheet4!AR99/2)</f>
        <v>0.5</v>
      </c>
      <c r="AS100" s="40">
        <f>(Sheet4!AS99/2)</f>
        <v>0.5</v>
      </c>
      <c r="AT100" s="40">
        <f>(Sheet4!AT99/2)</f>
        <v>0.5</v>
      </c>
      <c r="AU100" s="40">
        <f>(Sheet4!AU99/2)</f>
        <v>0</v>
      </c>
      <c r="AV100" s="40">
        <f>(Sheet4!AV99/2)</f>
        <v>0.5</v>
      </c>
      <c r="AW100" s="40">
        <f>(Sheet4!AW99/2)</f>
        <v>0.5</v>
      </c>
      <c r="AX100" s="40">
        <f>(Sheet4!AX99/2)</f>
        <v>0.5</v>
      </c>
      <c r="AY100" s="40">
        <f>(Sheet4!AY99/2)</f>
        <v>0.5</v>
      </c>
      <c r="AZ100" s="40">
        <f>(Sheet4!AZ99/2)</f>
        <v>0.5</v>
      </c>
      <c r="BA100" s="40">
        <f>(Sheet4!BA99/2)</f>
        <v>0.5</v>
      </c>
      <c r="BB100" s="40">
        <f>(Sheet4!BB99/2)</f>
        <v>0.5</v>
      </c>
      <c r="BC100" s="40">
        <f>(Sheet4!BC99/2)</f>
        <v>0.5</v>
      </c>
      <c r="BD100" s="40">
        <f>(Sheet4!BD99/2)</f>
        <v>0.5</v>
      </c>
      <c r="BE100" s="40">
        <f>(Sheet4!BE99/2)</f>
        <v>0.5</v>
      </c>
      <c r="BF100" s="40">
        <f>(Sheet4!BF99/2)</f>
        <v>0.5</v>
      </c>
      <c r="BG100" s="40">
        <f>(Sheet4!BG99/2)</f>
        <v>0.5</v>
      </c>
      <c r="BH100" s="40">
        <f>(Sheet4!BH99/2)</f>
        <v>1</v>
      </c>
      <c r="BI100" s="40">
        <f>(Sheet4!BI99/2)</f>
        <v>0.5</v>
      </c>
      <c r="BJ100" s="40">
        <f>(Sheet4!BJ99/2)</f>
        <v>0.5</v>
      </c>
      <c r="BK100" s="40">
        <f>(Sheet4!BK99/2)</f>
        <v>0.5</v>
      </c>
      <c r="BL100" s="40">
        <f>(Sheet4!BL99/2)</f>
        <v>0.5</v>
      </c>
      <c r="BM100" s="40">
        <f>(Sheet4!BM99/2)</f>
        <v>0.5</v>
      </c>
      <c r="BN100" s="40">
        <f>(Sheet4!BN99/2)</f>
        <v>0.5</v>
      </c>
      <c r="BO100" s="40">
        <f>(Sheet4!BO99/2)</f>
        <v>0.5</v>
      </c>
      <c r="BP100" s="40">
        <f>(Sheet4!BP99/2)</f>
        <v>0.5</v>
      </c>
      <c r="BQ100" s="40">
        <f>(Sheet4!BQ99/2)</f>
        <v>0.5</v>
      </c>
      <c r="BR100" s="40">
        <f>(Sheet4!BR99/2)</f>
        <v>0.5</v>
      </c>
      <c r="BS100" s="40">
        <f>(Sheet4!BS99/2)</f>
        <v>0.5</v>
      </c>
      <c r="BT100" s="40">
        <f>(Sheet4!BT99/2)</f>
        <v>0.5</v>
      </c>
      <c r="BU100" s="40">
        <f>(Sheet4!BU99/2)</f>
        <v>0.5</v>
      </c>
      <c r="BV100" s="40">
        <f>(Sheet4!BV99/2)</f>
        <v>0</v>
      </c>
      <c r="BW100" s="40">
        <f>(Sheet4!BW99/2)</f>
        <v>0</v>
      </c>
      <c r="BX100" s="40">
        <f>(Sheet4!BX99/2)</f>
        <v>0</v>
      </c>
      <c r="BY100" s="40">
        <f>(Sheet4!BY99/2)</f>
        <v>0</v>
      </c>
      <c r="BZ100" s="40">
        <f>(Sheet4!BZ99/2)</f>
        <v>0</v>
      </c>
      <c r="CA100" s="40">
        <f>(Sheet4!CA99/2)</f>
        <v>0</v>
      </c>
      <c r="CB100" s="40">
        <f>(Sheet4!CB99/2)</f>
        <v>2.5</v>
      </c>
      <c r="CC100" s="40">
        <f>(Sheet4!CC99/2)</f>
        <v>0</v>
      </c>
      <c r="CD100" s="40">
        <f>(Sheet4!CD99/2)</f>
        <v>0</v>
      </c>
      <c r="CE100" s="40">
        <f>(Sheet4!CE99/2)</f>
        <v>1</v>
      </c>
      <c r="CF100" s="40">
        <f>(Sheet4!CF99/2)</f>
        <v>0</v>
      </c>
      <c r="CG100" s="40">
        <f>(Sheet4!CG99/2)</f>
        <v>0</v>
      </c>
      <c r="CH100" s="40">
        <f>(Sheet4!CH99/2)</f>
        <v>0</v>
      </c>
      <c r="CI100" s="40">
        <f>(Sheet4!CI99/2)</f>
        <v>0</v>
      </c>
      <c r="CJ100" s="40">
        <f>(Sheet4!CJ99/2)</f>
        <v>0</v>
      </c>
      <c r="CK100" s="40">
        <f>(Sheet4!CK99/2)</f>
        <v>0</v>
      </c>
      <c r="CL100" s="40">
        <f>(Sheet4!CL99/2)</f>
        <v>0</v>
      </c>
      <c r="CM100" s="40">
        <f>(Sheet4!CM99/2)</f>
        <v>0</v>
      </c>
      <c r="CN100" s="40">
        <f>(Sheet4!CN99/2)</f>
        <v>0</v>
      </c>
      <c r="CO100" s="40">
        <f>(Sheet4!CO99/2)</f>
        <v>0</v>
      </c>
      <c r="CP100" s="40">
        <f>(Sheet4!CP99/2)</f>
        <v>0</v>
      </c>
      <c r="CQ100" s="40">
        <f>(Sheet4!CQ99/2)</f>
        <v>0</v>
      </c>
      <c r="CR100" s="40">
        <f>(Sheet4!CR99/2)</f>
        <v>0</v>
      </c>
      <c r="CS100" s="40">
        <f>(Sheet4!CS99/2)</f>
        <v>0</v>
      </c>
      <c r="CT100" s="40">
        <f>(Sheet4!CT99/2)</f>
        <v>0</v>
      </c>
      <c r="CU100" s="40">
        <f>(Sheet4!CU99/2)</f>
        <v>0</v>
      </c>
      <c r="CV100" s="40">
        <f>(Sheet4!CV99/2)</f>
        <v>0</v>
      </c>
      <c r="CW100" s="40">
        <f>(Sheet4!CW99/2)</f>
        <v>0</v>
      </c>
      <c r="CX100" s="40">
        <f>(Sheet4!CX99/2)</f>
        <v>0</v>
      </c>
      <c r="CY100" s="40">
        <f>(Sheet4!CY99/2)</f>
        <v>0</v>
      </c>
      <c r="CZ100" s="40">
        <f>(Sheet4!CZ99/2)</f>
        <v>0</v>
      </c>
      <c r="DA100" s="40">
        <f>(Sheet4!DA99/2)</f>
        <v>0</v>
      </c>
      <c r="DB100" s="40">
        <f>(Sheet4!DB99/2)</f>
        <v>0</v>
      </c>
      <c r="DC100" s="40">
        <f>(Sheet4!DC99/2)</f>
        <v>0</v>
      </c>
      <c r="DD100" s="40">
        <f>(Sheet4!DD99/2)</f>
        <v>0</v>
      </c>
      <c r="DE100" s="40">
        <f>(Sheet4!DE99/2)</f>
        <v>0</v>
      </c>
      <c r="DF100" s="40">
        <f>(Sheet4!DF99/2)</f>
        <v>0</v>
      </c>
      <c r="DG100" s="40">
        <f>(Sheet4!DG99/2)</f>
        <v>0</v>
      </c>
      <c r="DH100" s="40">
        <f>(Sheet4!DH99/2)</f>
        <v>0</v>
      </c>
      <c r="DI100" s="40">
        <f>(Sheet4!DI99/2)</f>
        <v>0</v>
      </c>
      <c r="DJ100" s="40">
        <f>(Sheet4!DJ99/2)</f>
        <v>0</v>
      </c>
      <c r="DK100" s="40">
        <f>(Sheet4!DK99/2)</f>
        <v>0</v>
      </c>
      <c r="DL100" s="40">
        <f>(Sheet4!DL99/2)</f>
        <v>0</v>
      </c>
      <c r="DM100" s="40">
        <f>(Sheet4!DM99/2)</f>
        <v>0</v>
      </c>
      <c r="DN100" s="40">
        <f>(Sheet4!DN99/2)</f>
        <v>0</v>
      </c>
      <c r="DO100" s="40">
        <f>(Sheet4!DO99/2)</f>
        <v>0</v>
      </c>
      <c r="DP100" s="40">
        <f>(Sheet4!DP99/2)</f>
        <v>0</v>
      </c>
      <c r="DQ100" s="40">
        <f>(Sheet4!DQ99/2)</f>
        <v>0</v>
      </c>
    </row>
    <row r="101" spans="1:121" ht="15.75" customHeight="1" x14ac:dyDescent="0.3">
      <c r="A101" s="40">
        <f>Sheet4!A100</f>
        <v>95</v>
      </c>
      <c r="B101" s="40" t="str">
        <f>Sheet4!B100</f>
        <v>ዶክተር ጠቃ</v>
      </c>
      <c r="C101" s="26">
        <f>Sheet4!C100</f>
        <v>10500</v>
      </c>
      <c r="D101" s="40">
        <f>(Sheet4!D100/2)</f>
        <v>0.5</v>
      </c>
      <c r="E101" s="40">
        <f>(Sheet4!E100/2)</f>
        <v>0.5</v>
      </c>
      <c r="F101" s="40">
        <f>(Sheet4!F100/2)</f>
        <v>0.5</v>
      </c>
      <c r="G101" s="40">
        <f>(Sheet4!G100/2)</f>
        <v>0.5</v>
      </c>
      <c r="H101" s="40">
        <f>(Sheet4!H100/2)</f>
        <v>0.5</v>
      </c>
      <c r="I101" s="40">
        <f>(Sheet4!I100/2)</f>
        <v>0.5</v>
      </c>
      <c r="J101" s="40">
        <f>(Sheet4!J100/2)</f>
        <v>0.5</v>
      </c>
      <c r="K101" s="40">
        <f>(Sheet4!K100/2)</f>
        <v>0.5</v>
      </c>
      <c r="L101" s="40">
        <f>(Sheet4!L100/2)</f>
        <v>0.5</v>
      </c>
      <c r="M101" s="40">
        <f>(Sheet4!M100/2)</f>
        <v>0.5</v>
      </c>
      <c r="N101" s="40">
        <f>(Sheet4!N100/2)</f>
        <v>0.5</v>
      </c>
      <c r="O101" s="40">
        <f>(Sheet4!O100/2)</f>
        <v>0.5</v>
      </c>
      <c r="P101" s="40">
        <f>(Sheet4!P100/2)</f>
        <v>0.5</v>
      </c>
      <c r="Q101" s="40">
        <f>(Sheet4!Q100/2)</f>
        <v>0.5</v>
      </c>
      <c r="R101" s="40">
        <f>(Sheet4!R100/2)</f>
        <v>0.5</v>
      </c>
      <c r="S101" s="40">
        <f>(Sheet4!S100/2)</f>
        <v>0.5</v>
      </c>
      <c r="T101" s="40">
        <f>(Sheet4!T100/2)</f>
        <v>0.5</v>
      </c>
      <c r="U101" s="40">
        <f>(Sheet4!U100/2)</f>
        <v>0.5</v>
      </c>
      <c r="V101" s="40">
        <f>(Sheet4!V100/2)</f>
        <v>0.5</v>
      </c>
      <c r="W101" s="40">
        <f>(Sheet4!W100/2)</f>
        <v>0.5</v>
      </c>
      <c r="X101" s="40">
        <f>(Sheet4!X100/2)</f>
        <v>0.5</v>
      </c>
      <c r="Y101" s="40">
        <f>(Sheet4!Y100/2)</f>
        <v>0.5</v>
      </c>
      <c r="Z101" s="40">
        <f>(Sheet4!Z100/2)</f>
        <v>0.5</v>
      </c>
      <c r="AA101" s="40">
        <f>(Sheet4!AA100/2)</f>
        <v>0.5</v>
      </c>
      <c r="AB101" s="40">
        <f>(Sheet4!AB100/2)</f>
        <v>0.5</v>
      </c>
      <c r="AC101" s="40">
        <f>(Sheet4!AC100/2)</f>
        <v>0.5</v>
      </c>
      <c r="AD101" s="40">
        <f>(Sheet4!AD100/2)</f>
        <v>0.5</v>
      </c>
      <c r="AE101" s="40">
        <f>(Sheet4!AE100/2)</f>
        <v>0.5</v>
      </c>
      <c r="AF101" s="40">
        <f>(Sheet4!AF100/2)</f>
        <v>0.5</v>
      </c>
      <c r="AG101" s="40">
        <f>(Sheet4!AG100/2)</f>
        <v>0.5</v>
      </c>
      <c r="AH101" s="40">
        <f>(Sheet4!AH100/2)</f>
        <v>0.5</v>
      </c>
      <c r="AI101" s="40">
        <f>(Sheet4!AI100/2)</f>
        <v>0.5</v>
      </c>
      <c r="AJ101" s="40">
        <f>(Sheet4!AJ100/2)</f>
        <v>0.5</v>
      </c>
      <c r="AK101" s="40">
        <f>(Sheet4!AK100/2)</f>
        <v>0.5</v>
      </c>
      <c r="AL101" s="40">
        <f>(Sheet4!AL100/2)</f>
        <v>0.5</v>
      </c>
      <c r="AM101" s="40">
        <f>(Sheet4!AM100/2)</f>
        <v>0.5</v>
      </c>
      <c r="AN101" s="40">
        <f>(Sheet4!AN100/2)</f>
        <v>0.5</v>
      </c>
      <c r="AO101" s="40">
        <f>(Sheet4!AO100/2)</f>
        <v>0.5</v>
      </c>
      <c r="AP101" s="40">
        <f>(Sheet4!AP100/2)</f>
        <v>0.5</v>
      </c>
      <c r="AQ101" s="40">
        <f>(Sheet4!AQ100/2)</f>
        <v>0.5</v>
      </c>
      <c r="AR101" s="40">
        <f>(Sheet4!AR100/2)</f>
        <v>0.5</v>
      </c>
      <c r="AS101" s="40">
        <f>(Sheet4!AS100/2)</f>
        <v>0.5</v>
      </c>
      <c r="AT101" s="40">
        <f>(Sheet4!AT100/2)</f>
        <v>0.5</v>
      </c>
      <c r="AU101" s="40">
        <f>(Sheet4!AU100/2)</f>
        <v>0</v>
      </c>
      <c r="AV101" s="40">
        <f>(Sheet4!AV100/2)</f>
        <v>0.5</v>
      </c>
      <c r="AW101" s="40">
        <f>(Sheet4!AW100/2)</f>
        <v>0.5</v>
      </c>
      <c r="AX101" s="40">
        <f>(Sheet4!AX100/2)</f>
        <v>0.5</v>
      </c>
      <c r="AY101" s="40">
        <f>(Sheet4!AY100/2)</f>
        <v>0.5</v>
      </c>
      <c r="AZ101" s="40">
        <f>(Sheet4!AZ100/2)</f>
        <v>0.5</v>
      </c>
      <c r="BA101" s="40">
        <f>(Sheet4!BA100/2)</f>
        <v>0.5</v>
      </c>
      <c r="BB101" s="40">
        <f>(Sheet4!BB100/2)</f>
        <v>0.5</v>
      </c>
      <c r="BC101" s="40">
        <f>(Sheet4!BC100/2)</f>
        <v>0.5</v>
      </c>
      <c r="BD101" s="40">
        <f>(Sheet4!BD100/2)</f>
        <v>0.5</v>
      </c>
      <c r="BE101" s="40">
        <f>(Sheet4!BE100/2)</f>
        <v>0.5</v>
      </c>
      <c r="BF101" s="40">
        <f>(Sheet4!BF100/2)</f>
        <v>0.5</v>
      </c>
      <c r="BG101" s="40">
        <f>(Sheet4!BG100/2)</f>
        <v>0.5</v>
      </c>
      <c r="BH101" s="40">
        <f>(Sheet4!BH100/2)</f>
        <v>1</v>
      </c>
      <c r="BI101" s="40">
        <f>(Sheet4!BI100/2)</f>
        <v>0.5</v>
      </c>
      <c r="BJ101" s="40">
        <f>(Sheet4!BJ100/2)</f>
        <v>0.5</v>
      </c>
      <c r="BK101" s="40">
        <f>(Sheet4!BK100/2)</f>
        <v>0.5</v>
      </c>
      <c r="BL101" s="40">
        <f>(Sheet4!BL100/2)</f>
        <v>0.5</v>
      </c>
      <c r="BM101" s="40">
        <f>(Sheet4!BM100/2)</f>
        <v>0.5</v>
      </c>
      <c r="BN101" s="40">
        <f>(Sheet4!BN100/2)</f>
        <v>0.5</v>
      </c>
      <c r="BO101" s="40">
        <f>(Sheet4!BO100/2)</f>
        <v>0.5</v>
      </c>
      <c r="BP101" s="40">
        <f>(Sheet4!BP100/2)</f>
        <v>0.5</v>
      </c>
      <c r="BQ101" s="40">
        <f>(Sheet4!BQ100/2)</f>
        <v>0.5</v>
      </c>
      <c r="BR101" s="40">
        <f>(Sheet4!BR100/2)</f>
        <v>0.5</v>
      </c>
      <c r="BS101" s="40">
        <f>(Sheet4!BS100/2)</f>
        <v>0.5</v>
      </c>
      <c r="BT101" s="40">
        <f>(Sheet4!BT100/2)</f>
        <v>0.5</v>
      </c>
      <c r="BU101" s="40">
        <f>(Sheet4!BU100/2)</f>
        <v>0.5</v>
      </c>
      <c r="BV101" s="40">
        <f>(Sheet4!BV100/2)</f>
        <v>0</v>
      </c>
      <c r="BW101" s="40">
        <f>(Sheet4!BW100/2)</f>
        <v>0</v>
      </c>
      <c r="BX101" s="40">
        <f>(Sheet4!BX100/2)</f>
        <v>0</v>
      </c>
      <c r="BY101" s="40">
        <f>(Sheet4!BY100/2)</f>
        <v>2</v>
      </c>
      <c r="BZ101" s="40">
        <f>(Sheet4!BZ100/2)</f>
        <v>0.5</v>
      </c>
      <c r="CA101" s="40">
        <f>(Sheet4!CA100/2)</f>
        <v>0.5</v>
      </c>
      <c r="CB101" s="40">
        <f>(Sheet4!CB100/2)</f>
        <v>0.5</v>
      </c>
      <c r="CC101" s="40">
        <f>(Sheet4!CC100/2)</f>
        <v>0.5</v>
      </c>
      <c r="CD101" s="40">
        <f>(Sheet4!CD100/2)</f>
        <v>0.5</v>
      </c>
      <c r="CE101" s="40">
        <f>(Sheet4!CE100/2)</f>
        <v>0.5</v>
      </c>
      <c r="CF101" s="40">
        <f>(Sheet4!CF100/2)</f>
        <v>0</v>
      </c>
      <c r="CG101" s="40">
        <f>(Sheet4!CG100/2)</f>
        <v>1</v>
      </c>
      <c r="CH101" s="40">
        <f>(Sheet4!CH100/2)</f>
        <v>0</v>
      </c>
      <c r="CI101" s="40">
        <f>(Sheet4!CI100/2)</f>
        <v>0</v>
      </c>
      <c r="CJ101" s="40">
        <f>(Sheet4!CJ100/2)</f>
        <v>0</v>
      </c>
      <c r="CK101" s="40">
        <f>(Sheet4!CK100/2)</f>
        <v>1</v>
      </c>
      <c r="CL101" s="40">
        <f>(Sheet4!CL100/2)</f>
        <v>1</v>
      </c>
      <c r="CM101" s="40">
        <f>(Sheet4!CM100/2)</f>
        <v>0</v>
      </c>
      <c r="CN101" s="40">
        <f>(Sheet4!CN100/2)</f>
        <v>1.5</v>
      </c>
      <c r="CO101" s="40">
        <f>(Sheet4!CO100/2)</f>
        <v>0</v>
      </c>
      <c r="CP101" s="40">
        <f>(Sheet4!CP100/2)</f>
        <v>0</v>
      </c>
      <c r="CQ101" s="40">
        <f>(Sheet4!CQ100/2)</f>
        <v>0</v>
      </c>
      <c r="CR101" s="40">
        <f>(Sheet4!CR100/2)</f>
        <v>2</v>
      </c>
      <c r="CS101" s="40">
        <f>(Sheet4!CS100/2)</f>
        <v>0</v>
      </c>
      <c r="CT101" s="40">
        <f>(Sheet4!CT100/2)</f>
        <v>1</v>
      </c>
      <c r="CU101" s="40">
        <f>(Sheet4!CU100/2)</f>
        <v>0</v>
      </c>
      <c r="CV101" s="40">
        <f>(Sheet4!CV100/2)</f>
        <v>0</v>
      </c>
      <c r="CW101" s="40">
        <f>(Sheet4!CW100/2)</f>
        <v>1.5</v>
      </c>
      <c r="CX101" s="40">
        <f>(Sheet4!CX100/2)</f>
        <v>0</v>
      </c>
      <c r="CY101" s="40">
        <f>(Sheet4!CY100/2)</f>
        <v>0</v>
      </c>
      <c r="CZ101" s="40">
        <f>(Sheet4!CZ100/2)</f>
        <v>0</v>
      </c>
      <c r="DA101" s="40">
        <f>(Sheet4!DA100/2)</f>
        <v>0</v>
      </c>
      <c r="DB101" s="40">
        <f>(Sheet4!DB100/2)</f>
        <v>0</v>
      </c>
      <c r="DC101" s="40">
        <f>(Sheet4!DC100/2)</f>
        <v>0</v>
      </c>
      <c r="DD101" s="40">
        <f>(Sheet4!DD100/2)</f>
        <v>0</v>
      </c>
      <c r="DE101" s="40">
        <f>(Sheet4!DE100/2)</f>
        <v>0</v>
      </c>
      <c r="DF101" s="40">
        <f>(Sheet4!DF100/2)</f>
        <v>0</v>
      </c>
      <c r="DG101" s="40">
        <f>(Sheet4!DG100/2)</f>
        <v>0</v>
      </c>
      <c r="DH101" s="40">
        <f>(Sheet4!DH100/2)</f>
        <v>0</v>
      </c>
      <c r="DI101" s="40">
        <f>(Sheet4!DI100/2)</f>
        <v>0</v>
      </c>
      <c r="DJ101" s="40">
        <f>(Sheet4!DJ100/2)</f>
        <v>0</v>
      </c>
      <c r="DK101" s="40">
        <f>(Sheet4!DK100/2)</f>
        <v>0</v>
      </c>
      <c r="DL101" s="40">
        <f>(Sheet4!DL100/2)</f>
        <v>0</v>
      </c>
      <c r="DM101" s="40">
        <f>(Sheet4!DM100/2)</f>
        <v>0</v>
      </c>
      <c r="DN101" s="40">
        <f>(Sheet4!DN100/2)</f>
        <v>0</v>
      </c>
      <c r="DO101" s="40">
        <f>(Sheet4!DO100/2)</f>
        <v>0</v>
      </c>
      <c r="DP101" s="40">
        <f>(Sheet4!DP100/2)</f>
        <v>0</v>
      </c>
      <c r="DQ101" s="40">
        <f>(Sheet4!DQ100/2)</f>
        <v>0</v>
      </c>
    </row>
    <row r="102" spans="1:121" ht="15.75" customHeight="1" x14ac:dyDescent="0.3">
      <c r="A102" s="40">
        <f>Sheet4!A101</f>
        <v>96</v>
      </c>
      <c r="B102" s="40" t="str">
        <f>Sheet4!B101</f>
        <v xml:space="preserve">ታሪኩ ካርሎስ </v>
      </c>
      <c r="C102" s="26">
        <f>Sheet4!C101</f>
        <v>10500</v>
      </c>
      <c r="D102" s="40">
        <f>(Sheet4!D101/2)</f>
        <v>0.5</v>
      </c>
      <c r="E102" s="40">
        <f>(Sheet4!E101/2)</f>
        <v>0.5</v>
      </c>
      <c r="F102" s="40">
        <f>(Sheet4!F101/2)</f>
        <v>0.5</v>
      </c>
      <c r="G102" s="40">
        <f>(Sheet4!G101/2)</f>
        <v>0.5</v>
      </c>
      <c r="H102" s="40">
        <f>(Sheet4!H101/2)</f>
        <v>0.5</v>
      </c>
      <c r="I102" s="40">
        <f>(Sheet4!I101/2)</f>
        <v>0.5</v>
      </c>
      <c r="J102" s="40">
        <f>(Sheet4!J101/2)</f>
        <v>0.5</v>
      </c>
      <c r="K102" s="40">
        <f>(Sheet4!K101/2)</f>
        <v>0.5</v>
      </c>
      <c r="L102" s="40">
        <f>(Sheet4!L101/2)</f>
        <v>0.5</v>
      </c>
      <c r="M102" s="40">
        <f>(Sheet4!M101/2)</f>
        <v>0.5</v>
      </c>
      <c r="N102" s="40">
        <f>(Sheet4!N101/2)</f>
        <v>0.5</v>
      </c>
      <c r="O102" s="40">
        <f>(Sheet4!O101/2)</f>
        <v>0.5</v>
      </c>
      <c r="P102" s="40">
        <f>(Sheet4!P101/2)</f>
        <v>0.5</v>
      </c>
      <c r="Q102" s="40">
        <f>(Sheet4!Q101/2)</f>
        <v>0.5</v>
      </c>
      <c r="R102" s="40">
        <f>(Sheet4!R101/2)</f>
        <v>0.5</v>
      </c>
      <c r="S102" s="40">
        <f>(Sheet4!S101/2)</f>
        <v>0.5</v>
      </c>
      <c r="T102" s="40">
        <f>(Sheet4!T101/2)</f>
        <v>0.5</v>
      </c>
      <c r="U102" s="40">
        <f>(Sheet4!U101/2)</f>
        <v>0.5</v>
      </c>
      <c r="V102" s="40">
        <f>(Sheet4!V101/2)</f>
        <v>0.5</v>
      </c>
      <c r="W102" s="40">
        <f>(Sheet4!W101/2)</f>
        <v>0.5</v>
      </c>
      <c r="X102" s="40">
        <f>(Sheet4!X101/2)</f>
        <v>0</v>
      </c>
      <c r="Y102" s="40">
        <f>(Sheet4!Y101/2)</f>
        <v>1</v>
      </c>
      <c r="Z102" s="40">
        <f>(Sheet4!Z101/2)</f>
        <v>0.5</v>
      </c>
      <c r="AA102" s="40">
        <f>(Sheet4!AA101/2)</f>
        <v>0</v>
      </c>
      <c r="AB102" s="40">
        <f>(Sheet4!AB101/2)</f>
        <v>1</v>
      </c>
      <c r="AC102" s="40">
        <f>(Sheet4!AC101/2)</f>
        <v>0.5</v>
      </c>
      <c r="AD102" s="40">
        <f>(Sheet4!AD101/2)</f>
        <v>0.5</v>
      </c>
      <c r="AE102" s="40">
        <f>(Sheet4!AE101/2)</f>
        <v>0</v>
      </c>
      <c r="AF102" s="40">
        <f>(Sheet4!AF101/2)</f>
        <v>1</v>
      </c>
      <c r="AG102" s="40">
        <f>(Sheet4!AG101/2)</f>
        <v>0.5</v>
      </c>
      <c r="AH102" s="40">
        <f>(Sheet4!AH101/2)</f>
        <v>0.5</v>
      </c>
      <c r="AI102" s="40">
        <f>(Sheet4!AI101/2)</f>
        <v>0.5</v>
      </c>
      <c r="AJ102" s="40">
        <f>(Sheet4!AJ101/2)</f>
        <v>0.5</v>
      </c>
      <c r="AK102" s="40">
        <f>(Sheet4!AK101/2)</f>
        <v>0.5</v>
      </c>
      <c r="AL102" s="40">
        <f>(Sheet4!AL101/2)</f>
        <v>0</v>
      </c>
      <c r="AM102" s="40">
        <f>(Sheet4!AM101/2)</f>
        <v>1</v>
      </c>
      <c r="AN102" s="40">
        <f>(Sheet4!AN101/2)</f>
        <v>0.5</v>
      </c>
      <c r="AO102" s="40">
        <f>(Sheet4!AO101/2)</f>
        <v>0.5</v>
      </c>
      <c r="AP102" s="40">
        <f>(Sheet4!AP101/2)</f>
        <v>0.5</v>
      </c>
      <c r="AQ102" s="40">
        <f>(Sheet4!AQ101/2)</f>
        <v>0.5</v>
      </c>
      <c r="AR102" s="40">
        <f>(Sheet4!AR101/2)</f>
        <v>0.5</v>
      </c>
      <c r="AS102" s="40">
        <f>(Sheet4!AS101/2)</f>
        <v>0.5</v>
      </c>
      <c r="AT102" s="40">
        <f>(Sheet4!AT101/2)</f>
        <v>0.5</v>
      </c>
      <c r="AU102" s="40">
        <f>(Sheet4!AU101/2)</f>
        <v>0.5</v>
      </c>
      <c r="AV102" s="40">
        <f>(Sheet4!AV101/2)</f>
        <v>0</v>
      </c>
      <c r="AW102" s="40">
        <f>(Sheet4!AW101/2)</f>
        <v>1</v>
      </c>
      <c r="AX102" s="40">
        <f>(Sheet4!AX101/2)</f>
        <v>0</v>
      </c>
      <c r="AY102" s="40">
        <f>(Sheet4!AY101/2)</f>
        <v>1</v>
      </c>
      <c r="AZ102" s="40">
        <f>(Sheet4!AZ101/2)</f>
        <v>0.5</v>
      </c>
      <c r="BA102" s="40">
        <f>(Sheet4!BA101/2)</f>
        <v>0.5</v>
      </c>
      <c r="BB102" s="40">
        <f>(Sheet4!BB101/2)</f>
        <v>0</v>
      </c>
      <c r="BC102" s="40">
        <f>(Sheet4!BC101/2)</f>
        <v>1</v>
      </c>
      <c r="BD102" s="40">
        <f>(Sheet4!BD101/2)</f>
        <v>0.5</v>
      </c>
      <c r="BE102" s="40">
        <f>(Sheet4!BE101/2)</f>
        <v>0.5</v>
      </c>
      <c r="BF102" s="40">
        <f>(Sheet4!BF101/2)</f>
        <v>0.5</v>
      </c>
      <c r="BG102" s="40">
        <f>(Sheet4!BG101/2)</f>
        <v>0</v>
      </c>
      <c r="BH102" s="40">
        <f>(Sheet4!BH101/2)</f>
        <v>0</v>
      </c>
      <c r="BI102" s="40">
        <f>(Sheet4!BI101/2)</f>
        <v>1</v>
      </c>
      <c r="BJ102" s="40">
        <f>(Sheet4!BJ101/2)</f>
        <v>1</v>
      </c>
      <c r="BK102" s="40">
        <f>(Sheet4!BK101/2)</f>
        <v>0</v>
      </c>
      <c r="BL102" s="40">
        <f>(Sheet4!BL101/2)</f>
        <v>1</v>
      </c>
      <c r="BM102" s="40">
        <f>(Sheet4!BM101/2)</f>
        <v>0</v>
      </c>
      <c r="BN102" s="40">
        <f>(Sheet4!BN101/2)</f>
        <v>1</v>
      </c>
      <c r="BO102" s="40">
        <f>(Sheet4!BO101/2)</f>
        <v>0</v>
      </c>
      <c r="BP102" s="40">
        <f>(Sheet4!BP101/2)</f>
        <v>0</v>
      </c>
      <c r="BQ102" s="40">
        <f>(Sheet4!BQ101/2)</f>
        <v>0</v>
      </c>
      <c r="BR102" s="40">
        <f>(Sheet4!BR101/2)</f>
        <v>2</v>
      </c>
      <c r="BS102" s="40">
        <f>(Sheet4!BS101/2)</f>
        <v>0</v>
      </c>
      <c r="BT102" s="40">
        <f>(Sheet4!BT101/2)</f>
        <v>0</v>
      </c>
      <c r="BU102" s="40">
        <f>(Sheet4!BU101/2)</f>
        <v>0</v>
      </c>
      <c r="BV102" s="40">
        <f>(Sheet4!BV101/2)</f>
        <v>1</v>
      </c>
      <c r="BW102" s="40">
        <f>(Sheet4!BW101/2)</f>
        <v>0</v>
      </c>
      <c r="BX102" s="40">
        <f>(Sheet4!BX101/2)</f>
        <v>1</v>
      </c>
      <c r="BY102" s="40">
        <f>(Sheet4!BY101/2)</f>
        <v>0</v>
      </c>
      <c r="BZ102" s="40">
        <f>(Sheet4!BZ101/2)</f>
        <v>0</v>
      </c>
      <c r="CA102" s="40">
        <f>(Sheet4!CA101/2)</f>
        <v>0</v>
      </c>
      <c r="CB102" s="40">
        <f>(Sheet4!CB101/2)</f>
        <v>2</v>
      </c>
      <c r="CC102" s="40">
        <f>(Sheet4!CC101/2)</f>
        <v>0</v>
      </c>
      <c r="CD102" s="40">
        <f>(Sheet4!CD101/2)</f>
        <v>0</v>
      </c>
      <c r="CE102" s="40">
        <f>(Sheet4!CE101/2)</f>
        <v>2</v>
      </c>
      <c r="CF102" s="40">
        <f>(Sheet4!CF101/2)</f>
        <v>0.5</v>
      </c>
      <c r="CG102" s="40">
        <f>(Sheet4!CG101/2)</f>
        <v>0</v>
      </c>
      <c r="CH102" s="40">
        <f>(Sheet4!CH101/2)</f>
        <v>1</v>
      </c>
      <c r="CI102" s="40">
        <f>(Sheet4!CI101/2)</f>
        <v>0.5</v>
      </c>
      <c r="CJ102" s="40">
        <f>(Sheet4!CJ101/2)</f>
        <v>0.5</v>
      </c>
      <c r="CK102" s="40">
        <f>(Sheet4!CK101/2)</f>
        <v>0</v>
      </c>
      <c r="CL102" s="40">
        <f>(Sheet4!CL101/2)</f>
        <v>1</v>
      </c>
      <c r="CM102" s="40">
        <f>(Sheet4!CM101/2)</f>
        <v>0</v>
      </c>
      <c r="CN102" s="40">
        <f>(Sheet4!CN101/2)</f>
        <v>0</v>
      </c>
      <c r="CO102" s="40">
        <f>(Sheet4!CO101/2)</f>
        <v>1.5</v>
      </c>
      <c r="CP102" s="40">
        <f>(Sheet4!CP101/2)</f>
        <v>0.5</v>
      </c>
      <c r="CQ102" s="40">
        <f>(Sheet4!CQ101/2)</f>
        <v>0.5</v>
      </c>
      <c r="CR102" s="40">
        <f>(Sheet4!CR101/2)</f>
        <v>0.5</v>
      </c>
      <c r="CS102" s="40">
        <f>(Sheet4!CS101/2)</f>
        <v>0.5</v>
      </c>
      <c r="CT102" s="40">
        <f>(Sheet4!CT101/2)</f>
        <v>0.5</v>
      </c>
      <c r="CU102" s="40">
        <f>(Sheet4!CU101/2)</f>
        <v>0.5</v>
      </c>
      <c r="CV102" s="40">
        <f>(Sheet4!CV101/2)</f>
        <v>0.5</v>
      </c>
      <c r="CW102" s="40">
        <f>(Sheet4!CW101/2)</f>
        <v>0.5</v>
      </c>
      <c r="CX102" s="40">
        <f>(Sheet4!CX101/2)</f>
        <v>0.5</v>
      </c>
      <c r="CY102" s="40">
        <f>(Sheet4!CY101/2)</f>
        <v>0.5</v>
      </c>
      <c r="CZ102" s="40">
        <f>(Sheet4!CZ101/2)</f>
        <v>0.5</v>
      </c>
      <c r="DA102" s="40">
        <f>(Sheet4!DA101/2)</f>
        <v>0.5</v>
      </c>
      <c r="DB102" s="40">
        <f>(Sheet4!DB101/2)</f>
        <v>0.5</v>
      </c>
      <c r="DC102" s="40">
        <f>(Sheet4!DC101/2)</f>
        <v>0.5</v>
      </c>
      <c r="DD102" s="40">
        <f>(Sheet4!DD101/2)</f>
        <v>0.5</v>
      </c>
      <c r="DE102" s="40">
        <f>(Sheet4!DE101/2)</f>
        <v>0.5</v>
      </c>
      <c r="DF102" s="40">
        <f>(Sheet4!DF101/2)</f>
        <v>0.5</v>
      </c>
      <c r="DG102" s="40">
        <f>(Sheet4!DG101/2)</f>
        <v>0</v>
      </c>
      <c r="DH102" s="40">
        <f>(Sheet4!DH101/2)</f>
        <v>0</v>
      </c>
      <c r="DI102" s="40">
        <f>(Sheet4!DI101/2)</f>
        <v>0</v>
      </c>
      <c r="DJ102" s="40">
        <f>(Sheet4!DJ101/2)</f>
        <v>0</v>
      </c>
      <c r="DK102" s="40">
        <f>(Sheet4!DK101/2)</f>
        <v>0</v>
      </c>
      <c r="DL102" s="40">
        <f>(Sheet4!DL101/2)</f>
        <v>0</v>
      </c>
      <c r="DM102" s="40">
        <f>(Sheet4!DM101/2)</f>
        <v>0</v>
      </c>
      <c r="DN102" s="40">
        <f>(Sheet4!DN101/2)</f>
        <v>0</v>
      </c>
      <c r="DO102" s="40">
        <f>(Sheet4!DO101/2)</f>
        <v>0</v>
      </c>
      <c r="DP102" s="40">
        <f>(Sheet4!DP101/2)</f>
        <v>0</v>
      </c>
      <c r="DQ102" s="40">
        <f>(Sheet4!DQ101/2)</f>
        <v>0</v>
      </c>
    </row>
    <row r="103" spans="1:121" ht="15.75" customHeight="1" x14ac:dyDescent="0.3">
      <c r="A103" s="40">
        <f>Sheet4!A102</f>
        <v>96</v>
      </c>
      <c r="B103" s="40" t="str">
        <f>Sheet4!B102</f>
        <v>እንግዳ ካሳዬ</v>
      </c>
      <c r="C103" s="26">
        <f>Sheet4!C102</f>
        <v>10500</v>
      </c>
      <c r="D103" s="40">
        <f>(Sheet4!D102/2)</f>
        <v>0.5</v>
      </c>
      <c r="E103" s="40">
        <f>(Sheet4!E102/2)</f>
        <v>0.5</v>
      </c>
      <c r="F103" s="40">
        <f>(Sheet4!F102/2)</f>
        <v>0.5</v>
      </c>
      <c r="G103" s="40">
        <f>(Sheet4!G102/2)</f>
        <v>0.5</v>
      </c>
      <c r="H103" s="40">
        <f>(Sheet4!H102/2)</f>
        <v>0.5</v>
      </c>
      <c r="I103" s="40">
        <f>(Sheet4!I102/2)</f>
        <v>0.5</v>
      </c>
      <c r="J103" s="40">
        <f>(Sheet4!J102/2)</f>
        <v>0.5</v>
      </c>
      <c r="K103" s="40">
        <f>(Sheet4!K102/2)</f>
        <v>0.5</v>
      </c>
      <c r="L103" s="40">
        <f>(Sheet4!L102/2)</f>
        <v>0.5</v>
      </c>
      <c r="M103" s="40">
        <f>(Sheet4!M102/2)</f>
        <v>0.5</v>
      </c>
      <c r="N103" s="40">
        <f>(Sheet4!N102/2)</f>
        <v>0.5</v>
      </c>
      <c r="O103" s="40">
        <f>(Sheet4!O102/2)</f>
        <v>0.5</v>
      </c>
      <c r="P103" s="40">
        <f>(Sheet4!P102/2)</f>
        <v>0.5</v>
      </c>
      <c r="Q103" s="40">
        <f>(Sheet4!Q102/2)</f>
        <v>0.5</v>
      </c>
      <c r="R103" s="40">
        <f>(Sheet4!R102/2)</f>
        <v>0.5</v>
      </c>
      <c r="S103" s="40">
        <f>(Sheet4!S102/2)</f>
        <v>0.5</v>
      </c>
      <c r="T103" s="40">
        <f>(Sheet4!T102/2)</f>
        <v>0.5</v>
      </c>
      <c r="U103" s="40">
        <f>(Sheet4!U102/2)</f>
        <v>0.5</v>
      </c>
      <c r="V103" s="40">
        <f>(Sheet4!V102/2)</f>
        <v>0.5</v>
      </c>
      <c r="W103" s="40">
        <f>(Sheet4!W102/2)</f>
        <v>0.5</v>
      </c>
      <c r="X103" s="40">
        <f>(Sheet4!X102/2)</f>
        <v>0.5</v>
      </c>
      <c r="Y103" s="40">
        <f>(Sheet4!Y102/2)</f>
        <v>0.5</v>
      </c>
      <c r="Z103" s="40">
        <f>(Sheet4!Z102/2)</f>
        <v>0.5</v>
      </c>
      <c r="AA103" s="40">
        <f>(Sheet4!AA102/2)</f>
        <v>0</v>
      </c>
      <c r="AB103" s="40">
        <f>(Sheet4!AB102/2)</f>
        <v>1</v>
      </c>
      <c r="AC103" s="40">
        <f>(Sheet4!AC102/2)</f>
        <v>0.5</v>
      </c>
      <c r="AD103" s="40">
        <f>(Sheet4!AD102/2)</f>
        <v>0.5</v>
      </c>
      <c r="AE103" s="40">
        <f>(Sheet4!AE102/2)</f>
        <v>0.5</v>
      </c>
      <c r="AF103" s="40">
        <f>(Sheet4!AF102/2)</f>
        <v>0.5</v>
      </c>
      <c r="AG103" s="40">
        <f>(Sheet4!AG102/2)</f>
        <v>0.5</v>
      </c>
      <c r="AH103" s="40">
        <f>(Sheet4!AH102/2)</f>
        <v>0.5</v>
      </c>
      <c r="AI103" s="40">
        <f>(Sheet4!AI102/2)</f>
        <v>0.5</v>
      </c>
      <c r="AJ103" s="40">
        <f>(Sheet4!AJ102/2)</f>
        <v>0.5</v>
      </c>
      <c r="AK103" s="40">
        <f>(Sheet4!AK102/2)</f>
        <v>0.5</v>
      </c>
      <c r="AL103" s="40">
        <f>(Sheet4!AL102/2)</f>
        <v>0.5</v>
      </c>
      <c r="AM103" s="40">
        <f>(Sheet4!AM102/2)</f>
        <v>0.5</v>
      </c>
      <c r="AN103" s="40">
        <f>(Sheet4!AN102/2)</f>
        <v>0.5</v>
      </c>
      <c r="AO103" s="40">
        <f>(Sheet4!AO102/2)</f>
        <v>0.5</v>
      </c>
      <c r="AP103" s="40">
        <f>(Sheet4!AP102/2)</f>
        <v>0.5</v>
      </c>
      <c r="AQ103" s="40">
        <f>(Sheet4!AQ102/2)</f>
        <v>0.5</v>
      </c>
      <c r="AR103" s="40">
        <f>(Sheet4!AR102/2)</f>
        <v>0.5</v>
      </c>
      <c r="AS103" s="40">
        <f>(Sheet4!AS102/2)</f>
        <v>0.5</v>
      </c>
      <c r="AT103" s="40">
        <f>(Sheet4!AT102/2)</f>
        <v>0.5</v>
      </c>
      <c r="AU103" s="40">
        <f>(Sheet4!AU102/2)</f>
        <v>0.5</v>
      </c>
      <c r="AV103" s="40">
        <f>(Sheet4!AV102/2)</f>
        <v>0.5</v>
      </c>
      <c r="AW103" s="40">
        <f>(Sheet4!AW102/2)</f>
        <v>0.5</v>
      </c>
      <c r="AX103" s="40">
        <f>(Sheet4!AX102/2)</f>
        <v>0.5</v>
      </c>
      <c r="AY103" s="40">
        <f>(Sheet4!AY102/2)</f>
        <v>0.5</v>
      </c>
      <c r="AZ103" s="40">
        <f>(Sheet4!AZ102/2)</f>
        <v>0.5</v>
      </c>
      <c r="BA103" s="40">
        <f>(Sheet4!BA102/2)</f>
        <v>0</v>
      </c>
      <c r="BB103" s="40">
        <f>(Sheet4!BB102/2)</f>
        <v>0</v>
      </c>
      <c r="BC103" s="40">
        <f>(Sheet4!BC102/2)</f>
        <v>0.5</v>
      </c>
      <c r="BD103" s="40">
        <f>(Sheet4!BD102/2)</f>
        <v>0.5</v>
      </c>
      <c r="BE103" s="40">
        <f>(Sheet4!BE102/2)</f>
        <v>0</v>
      </c>
      <c r="BF103" s="40">
        <f>(Sheet4!BF102/2)</f>
        <v>0.5</v>
      </c>
      <c r="BG103" s="40">
        <f>(Sheet4!BG102/2)</f>
        <v>0.5</v>
      </c>
      <c r="BH103" s="40">
        <f>(Sheet4!BH102/2)</f>
        <v>0.5</v>
      </c>
      <c r="BI103" s="40">
        <f>(Sheet4!BI102/2)</f>
        <v>0.5</v>
      </c>
      <c r="BJ103" s="40">
        <f>(Sheet4!BJ102/2)</f>
        <v>0.5</v>
      </c>
      <c r="BK103" s="40">
        <f>(Sheet4!BK102/2)</f>
        <v>0.5</v>
      </c>
      <c r="BL103" s="40">
        <f>(Sheet4!BL102/2)</f>
        <v>0.5</v>
      </c>
      <c r="BM103" s="40">
        <f>(Sheet4!BM102/2)</f>
        <v>0</v>
      </c>
      <c r="BN103" s="40">
        <f>(Sheet4!BN102/2)</f>
        <v>1</v>
      </c>
      <c r="BO103" s="40">
        <f>(Sheet4!BO102/2)</f>
        <v>0.5</v>
      </c>
      <c r="BP103" s="40">
        <f>(Sheet4!BP102/2)</f>
        <v>0.5</v>
      </c>
      <c r="BQ103" s="40">
        <f>(Sheet4!BQ102/2)</f>
        <v>0.5</v>
      </c>
      <c r="BR103" s="40">
        <f>(Sheet4!BR102/2)</f>
        <v>0.5</v>
      </c>
      <c r="BS103" s="40">
        <f>(Sheet4!BS102/2)</f>
        <v>0.5</v>
      </c>
      <c r="BT103" s="40">
        <f>(Sheet4!BT102/2)</f>
        <v>0.5</v>
      </c>
      <c r="BU103" s="40">
        <f>(Sheet4!BU102/2)</f>
        <v>0.5</v>
      </c>
      <c r="BV103" s="40">
        <f>(Sheet4!BV102/2)</f>
        <v>0.5</v>
      </c>
      <c r="BW103" s="40">
        <f>(Sheet4!BW102/2)</f>
        <v>0.5</v>
      </c>
      <c r="BX103" s="40">
        <f>(Sheet4!BX102/2)</f>
        <v>0.5</v>
      </c>
      <c r="BY103" s="40">
        <f>(Sheet4!BY102/2)</f>
        <v>0.5</v>
      </c>
      <c r="BZ103" s="40">
        <f>(Sheet4!BZ102/2)</f>
        <v>0.5</v>
      </c>
      <c r="CA103" s="40">
        <f>(Sheet4!CA102/2)</f>
        <v>0</v>
      </c>
      <c r="CB103" s="40">
        <f>(Sheet4!CB102/2)</f>
        <v>1</v>
      </c>
      <c r="CC103" s="40">
        <f>(Sheet4!CC102/2)</f>
        <v>0</v>
      </c>
      <c r="CD103" s="40">
        <f>(Sheet4!CD102/2)</f>
        <v>0</v>
      </c>
      <c r="CE103" s="40">
        <f>(Sheet4!CE102/2)</f>
        <v>0.5</v>
      </c>
      <c r="CF103" s="40">
        <f>(Sheet4!CF102/2)</f>
        <v>0</v>
      </c>
      <c r="CG103" s="40">
        <f>(Sheet4!CG102/2)</f>
        <v>2</v>
      </c>
      <c r="CH103" s="40">
        <f>(Sheet4!CH102/2)</f>
        <v>0.5</v>
      </c>
      <c r="CI103" s="40">
        <f>(Sheet4!CI102/2)</f>
        <v>0.5</v>
      </c>
      <c r="CJ103" s="40">
        <f>(Sheet4!CJ102/2)</f>
        <v>0.5</v>
      </c>
      <c r="CK103" s="40">
        <f>(Sheet4!CK102/2)</f>
        <v>0</v>
      </c>
      <c r="CL103" s="40">
        <f>(Sheet4!CL102/2)</f>
        <v>0.5</v>
      </c>
      <c r="CM103" s="40">
        <f>(Sheet4!CM102/2)</f>
        <v>0.5</v>
      </c>
      <c r="CN103" s="40">
        <f>(Sheet4!CN102/2)</f>
        <v>0.5</v>
      </c>
      <c r="CO103" s="40">
        <f>(Sheet4!CO102/2)</f>
        <v>0</v>
      </c>
      <c r="CP103" s="40">
        <f>(Sheet4!CP102/2)</f>
        <v>0.5</v>
      </c>
      <c r="CQ103" s="40">
        <f>(Sheet4!CQ102/2)</f>
        <v>0.5</v>
      </c>
      <c r="CR103" s="40">
        <f>(Sheet4!CR102/2)</f>
        <v>0.5</v>
      </c>
      <c r="CS103" s="40">
        <f>(Sheet4!CS102/2)</f>
        <v>0.5</v>
      </c>
      <c r="CT103" s="40">
        <f>(Sheet4!CT102/2)</f>
        <v>0.5</v>
      </c>
      <c r="CU103" s="40">
        <f>(Sheet4!CU102/2)</f>
        <v>0.5</v>
      </c>
      <c r="CV103" s="40">
        <f>(Sheet4!CV102/2)</f>
        <v>0</v>
      </c>
      <c r="CW103" s="40">
        <f>(Sheet4!CW102/2)</f>
        <v>0.5</v>
      </c>
      <c r="CX103" s="40">
        <f>(Sheet4!CX102/2)</f>
        <v>0</v>
      </c>
      <c r="CY103" s="40">
        <f>(Sheet4!CY102/2)</f>
        <v>0</v>
      </c>
      <c r="CZ103" s="40">
        <f>(Sheet4!CZ102/2)</f>
        <v>0.5</v>
      </c>
      <c r="DA103" s="40">
        <f>(Sheet4!DA102/2)</f>
        <v>0.5</v>
      </c>
      <c r="DB103" s="40">
        <f>(Sheet4!DB102/2)</f>
        <v>0</v>
      </c>
      <c r="DC103" s="40">
        <f>(Sheet4!DC102/2)</f>
        <v>0.5</v>
      </c>
      <c r="DD103" s="40">
        <f>(Sheet4!DD102/2)</f>
        <v>0.5</v>
      </c>
      <c r="DE103" s="40">
        <f>(Sheet4!DE102/2)</f>
        <v>0</v>
      </c>
      <c r="DF103" s="40">
        <f>(Sheet4!DF102/2)</f>
        <v>0</v>
      </c>
      <c r="DG103" s="40">
        <f>(Sheet4!DG102/2)</f>
        <v>0.5</v>
      </c>
      <c r="DH103" s="40">
        <f>(Sheet4!DH102/2)</f>
        <v>0</v>
      </c>
      <c r="DI103" s="40">
        <f>(Sheet4!DI102/2)</f>
        <v>0</v>
      </c>
      <c r="DJ103" s="40">
        <f>(Sheet4!DJ102/2)</f>
        <v>0</v>
      </c>
      <c r="DK103" s="40">
        <f>(Sheet4!DK102/2)</f>
        <v>0</v>
      </c>
      <c r="DL103" s="40">
        <f>(Sheet4!DL102/2)</f>
        <v>0</v>
      </c>
      <c r="DM103" s="40">
        <f>(Sheet4!DM102/2)</f>
        <v>0</v>
      </c>
      <c r="DN103" s="40">
        <f>(Sheet4!DN102/2)</f>
        <v>0</v>
      </c>
      <c r="DO103" s="40">
        <f>(Sheet4!DO102/2)</f>
        <v>0</v>
      </c>
      <c r="DP103" s="40">
        <f>(Sheet4!DP102/2)</f>
        <v>0</v>
      </c>
      <c r="DQ103" s="40">
        <f>(Sheet4!DQ102/2)</f>
        <v>0</v>
      </c>
    </row>
    <row r="104" spans="1:121" ht="15.75" customHeight="1" x14ac:dyDescent="0.3">
      <c r="A104" s="40">
        <f>Sheet4!A103</f>
        <v>97</v>
      </c>
      <c r="B104" s="40" t="str">
        <f>Sheet4!B103</f>
        <v xml:space="preserve">ሙሄድን አህመድ </v>
      </c>
      <c r="C104" s="26">
        <f>Sheet4!C103</f>
        <v>10500</v>
      </c>
      <c r="D104" s="40">
        <f>(Sheet4!D103/2)</f>
        <v>0.5</v>
      </c>
      <c r="E104" s="40">
        <f>(Sheet4!E103/2)</f>
        <v>0.5</v>
      </c>
      <c r="F104" s="40">
        <f>(Sheet4!F103/2)</f>
        <v>0.5</v>
      </c>
      <c r="G104" s="40">
        <f>(Sheet4!G103/2)</f>
        <v>0.5</v>
      </c>
      <c r="H104" s="40">
        <f>(Sheet4!H103/2)</f>
        <v>0.5</v>
      </c>
      <c r="I104" s="40">
        <f>(Sheet4!I103/2)</f>
        <v>0.5</v>
      </c>
      <c r="J104" s="40">
        <f>(Sheet4!J103/2)</f>
        <v>0.5</v>
      </c>
      <c r="K104" s="40">
        <f>(Sheet4!K103/2)</f>
        <v>0.5</v>
      </c>
      <c r="L104" s="40">
        <f>(Sheet4!L103/2)</f>
        <v>0.5</v>
      </c>
      <c r="M104" s="40">
        <f>(Sheet4!M103/2)</f>
        <v>0.5</v>
      </c>
      <c r="N104" s="40">
        <f>(Sheet4!N103/2)</f>
        <v>0.5</v>
      </c>
      <c r="O104" s="40">
        <f>(Sheet4!O103/2)</f>
        <v>0.5</v>
      </c>
      <c r="P104" s="40">
        <f>(Sheet4!P103/2)</f>
        <v>0.5</v>
      </c>
      <c r="Q104" s="40">
        <f>(Sheet4!Q103/2)</f>
        <v>0.5</v>
      </c>
      <c r="R104" s="40">
        <f>(Sheet4!R103/2)</f>
        <v>0.5</v>
      </c>
      <c r="S104" s="40">
        <f>(Sheet4!S103/2)</f>
        <v>0.5</v>
      </c>
      <c r="T104" s="40">
        <f>(Sheet4!T103/2)</f>
        <v>0.5</v>
      </c>
      <c r="U104" s="40">
        <f>(Sheet4!U103/2)</f>
        <v>0.5</v>
      </c>
      <c r="V104" s="40">
        <f>(Sheet4!V103/2)</f>
        <v>0.5</v>
      </c>
      <c r="W104" s="40">
        <f>(Sheet4!W103/2)</f>
        <v>0.5</v>
      </c>
      <c r="X104" s="40">
        <f>(Sheet4!X103/2)</f>
        <v>0.5</v>
      </c>
      <c r="Y104" s="40">
        <f>(Sheet4!Y103/2)</f>
        <v>0.5</v>
      </c>
      <c r="Z104" s="40">
        <f>(Sheet4!Z103/2)</f>
        <v>0.5</v>
      </c>
      <c r="AA104" s="40">
        <f>(Sheet4!AA103/2)</f>
        <v>0.5</v>
      </c>
      <c r="AB104" s="40">
        <f>(Sheet4!AB103/2)</f>
        <v>0.5</v>
      </c>
      <c r="AC104" s="40">
        <f>(Sheet4!AC103/2)</f>
        <v>0.5</v>
      </c>
      <c r="AD104" s="40">
        <f>(Sheet4!AD103/2)</f>
        <v>0.5</v>
      </c>
      <c r="AE104" s="40">
        <f>(Sheet4!AE103/2)</f>
        <v>0.5</v>
      </c>
      <c r="AF104" s="40">
        <f>(Sheet4!AF103/2)</f>
        <v>0.5</v>
      </c>
      <c r="AG104" s="40">
        <f>(Sheet4!AG103/2)</f>
        <v>0.5</v>
      </c>
      <c r="AH104" s="40">
        <f>(Sheet4!AH103/2)</f>
        <v>0</v>
      </c>
      <c r="AI104" s="40">
        <f>(Sheet4!AI103/2)</f>
        <v>1</v>
      </c>
      <c r="AJ104" s="40">
        <f>(Sheet4!AJ103/2)</f>
        <v>0.5</v>
      </c>
      <c r="AK104" s="40">
        <f>(Sheet4!AK103/2)</f>
        <v>0.5</v>
      </c>
      <c r="AL104" s="40">
        <f>(Sheet4!AL103/2)</f>
        <v>0.5</v>
      </c>
      <c r="AM104" s="40">
        <f>(Sheet4!AM103/2)</f>
        <v>0.5</v>
      </c>
      <c r="AN104" s="40">
        <f>(Sheet4!AN103/2)</f>
        <v>0.5</v>
      </c>
      <c r="AO104" s="40">
        <f>(Sheet4!AO103/2)</f>
        <v>0.5</v>
      </c>
      <c r="AP104" s="40">
        <f>(Sheet4!AP103/2)</f>
        <v>0.5</v>
      </c>
      <c r="AQ104" s="40">
        <f>(Sheet4!AQ103/2)</f>
        <v>0.5</v>
      </c>
      <c r="AR104" s="40">
        <f>(Sheet4!AR103/2)</f>
        <v>0.5</v>
      </c>
      <c r="AS104" s="40">
        <f>(Sheet4!AS103/2)</f>
        <v>0</v>
      </c>
      <c r="AT104" s="40">
        <f>(Sheet4!AT103/2)</f>
        <v>0</v>
      </c>
      <c r="AU104" s="40">
        <f>(Sheet4!AU103/2)</f>
        <v>0.5</v>
      </c>
      <c r="AV104" s="40">
        <f>(Sheet4!AV103/2)</f>
        <v>0</v>
      </c>
      <c r="AW104" s="40">
        <f>(Sheet4!AW103/2)</f>
        <v>0</v>
      </c>
      <c r="AX104" s="40">
        <f>(Sheet4!AX103/2)</f>
        <v>0</v>
      </c>
      <c r="AY104" s="40">
        <f>(Sheet4!AY103/2)</f>
        <v>0</v>
      </c>
      <c r="AZ104" s="40">
        <f>(Sheet4!AZ103/2)</f>
        <v>0.5</v>
      </c>
      <c r="BA104" s="40">
        <f>(Sheet4!BA103/2)</f>
        <v>0</v>
      </c>
      <c r="BB104" s="40">
        <f>(Sheet4!BB103/2)</f>
        <v>0</v>
      </c>
      <c r="BC104" s="40">
        <f>(Sheet4!BC103/2)</f>
        <v>0.5</v>
      </c>
      <c r="BD104" s="40">
        <f>(Sheet4!BD103/2)</f>
        <v>0.5</v>
      </c>
      <c r="BE104" s="40">
        <f>(Sheet4!BE103/2)</f>
        <v>0</v>
      </c>
      <c r="BF104" s="40">
        <f>(Sheet4!BF103/2)</f>
        <v>0.5</v>
      </c>
      <c r="BG104" s="40">
        <f>(Sheet4!BG103/2)</f>
        <v>0</v>
      </c>
      <c r="BH104" s="40">
        <f>(Sheet4!BH103/2)</f>
        <v>0</v>
      </c>
      <c r="BI104" s="40">
        <f>(Sheet4!BI103/2)</f>
        <v>0</v>
      </c>
      <c r="BJ104" s="40">
        <f>(Sheet4!BJ103/2)</f>
        <v>0</v>
      </c>
      <c r="BK104" s="40">
        <f>(Sheet4!BK103/2)</f>
        <v>0</v>
      </c>
      <c r="BL104" s="40">
        <f>(Sheet4!BL103/2)</f>
        <v>0.5</v>
      </c>
      <c r="BM104" s="40">
        <f>(Sheet4!BM103/2)</f>
        <v>0</v>
      </c>
      <c r="BN104" s="40">
        <f>(Sheet4!BN103/2)</f>
        <v>0</v>
      </c>
      <c r="BO104" s="40">
        <f>(Sheet4!BO103/2)</f>
        <v>0</v>
      </c>
      <c r="BP104" s="40">
        <f>(Sheet4!BP103/2)</f>
        <v>0</v>
      </c>
      <c r="BQ104" s="40">
        <f>(Sheet4!BQ103/2)</f>
        <v>0</v>
      </c>
      <c r="BR104" s="40">
        <f>(Sheet4!BR103/2)</f>
        <v>0</v>
      </c>
      <c r="BS104" s="40">
        <f>(Sheet4!BS103/2)</f>
        <v>7</v>
      </c>
      <c r="BT104" s="40">
        <f>(Sheet4!BT103/2)</f>
        <v>0</v>
      </c>
      <c r="BU104" s="40">
        <f>(Sheet4!BU103/2)</f>
        <v>0</v>
      </c>
      <c r="BV104" s="40">
        <f>(Sheet4!BV103/2)</f>
        <v>0</v>
      </c>
      <c r="BW104" s="40">
        <f>(Sheet4!BW103/2)</f>
        <v>0</v>
      </c>
      <c r="BX104" s="40">
        <f>(Sheet4!BX103/2)</f>
        <v>2</v>
      </c>
      <c r="BY104" s="40">
        <f>(Sheet4!BY103/2)</f>
        <v>0</v>
      </c>
      <c r="BZ104" s="40">
        <f>(Sheet4!BZ103/2)</f>
        <v>0.5</v>
      </c>
      <c r="CA104" s="40">
        <f>(Sheet4!CA103/2)</f>
        <v>0</v>
      </c>
      <c r="CB104" s="40">
        <f>(Sheet4!CB103/2)</f>
        <v>0</v>
      </c>
      <c r="CC104" s="40">
        <f>(Sheet4!CC103/2)</f>
        <v>0</v>
      </c>
      <c r="CD104" s="40">
        <f>(Sheet4!CD103/2)</f>
        <v>0</v>
      </c>
      <c r="CE104" s="40">
        <f>(Sheet4!CE103/2)</f>
        <v>0</v>
      </c>
      <c r="CF104" s="40">
        <f>(Sheet4!CF103/2)</f>
        <v>0</v>
      </c>
      <c r="CG104" s="40">
        <f>(Sheet4!CG103/2)</f>
        <v>0</v>
      </c>
      <c r="CH104" s="40">
        <f>(Sheet4!CH103/2)</f>
        <v>0</v>
      </c>
      <c r="CI104" s="40">
        <f>(Sheet4!CI103/2)</f>
        <v>0</v>
      </c>
      <c r="CJ104" s="40">
        <f>(Sheet4!CJ103/2)</f>
        <v>0</v>
      </c>
      <c r="CK104" s="40">
        <f>(Sheet4!CK103/2)</f>
        <v>5.5</v>
      </c>
      <c r="CL104" s="40">
        <f>(Sheet4!CL103/2)</f>
        <v>1.5</v>
      </c>
      <c r="CM104" s="40">
        <f>(Sheet4!CM103/2)</f>
        <v>0</v>
      </c>
      <c r="CN104" s="40">
        <f>(Sheet4!CN103/2)</f>
        <v>0</v>
      </c>
      <c r="CO104" s="40">
        <f>(Sheet4!CO103/2)</f>
        <v>2.5</v>
      </c>
      <c r="CP104" s="40">
        <f>(Sheet4!CP103/2)</f>
        <v>3</v>
      </c>
      <c r="CQ104" s="40">
        <f>(Sheet4!CQ103/2)</f>
        <v>0</v>
      </c>
      <c r="CR104" s="40">
        <f>(Sheet4!CR103/2)</f>
        <v>0</v>
      </c>
      <c r="CS104" s="40">
        <f>(Sheet4!CS103/2)</f>
        <v>0</v>
      </c>
      <c r="CT104" s="40">
        <f>(Sheet4!CT103/2)</f>
        <v>0</v>
      </c>
      <c r="CU104" s="40">
        <f>(Sheet4!CU103/2)</f>
        <v>0</v>
      </c>
      <c r="CV104" s="40">
        <f>(Sheet4!CV103/2)</f>
        <v>0</v>
      </c>
      <c r="CW104" s="40">
        <f>(Sheet4!CW103/2)</f>
        <v>0</v>
      </c>
      <c r="CX104" s="40">
        <f>(Sheet4!CX103/2)</f>
        <v>0</v>
      </c>
      <c r="CY104" s="40">
        <f>(Sheet4!CY103/2)</f>
        <v>0</v>
      </c>
      <c r="CZ104" s="40">
        <f>(Sheet4!CZ103/2)</f>
        <v>0</v>
      </c>
      <c r="DA104" s="40">
        <f>(Sheet4!DA103/2)</f>
        <v>0</v>
      </c>
      <c r="DB104" s="40">
        <f>(Sheet4!DB103/2)</f>
        <v>0</v>
      </c>
      <c r="DC104" s="40">
        <f>(Sheet4!DC103/2)</f>
        <v>0</v>
      </c>
      <c r="DD104" s="40">
        <f>(Sheet4!DD103/2)</f>
        <v>0</v>
      </c>
      <c r="DE104" s="40">
        <f>(Sheet4!DE103/2)</f>
        <v>0</v>
      </c>
      <c r="DF104" s="40">
        <f>(Sheet4!DF103/2)</f>
        <v>0</v>
      </c>
      <c r="DG104" s="40">
        <f>(Sheet4!DG103/2)</f>
        <v>0</v>
      </c>
      <c r="DH104" s="40">
        <f>(Sheet4!DH103/2)</f>
        <v>0</v>
      </c>
      <c r="DI104" s="40">
        <f>(Sheet4!DI103/2)</f>
        <v>0</v>
      </c>
      <c r="DJ104" s="40">
        <f>(Sheet4!DJ103/2)</f>
        <v>0</v>
      </c>
      <c r="DK104" s="40">
        <f>(Sheet4!DK103/2)</f>
        <v>0</v>
      </c>
      <c r="DL104" s="40">
        <f>(Sheet4!DL103/2)</f>
        <v>0</v>
      </c>
      <c r="DM104" s="40">
        <f>(Sheet4!DM103/2)</f>
        <v>0</v>
      </c>
      <c r="DN104" s="40">
        <f>(Sheet4!DN103/2)</f>
        <v>0</v>
      </c>
      <c r="DO104" s="40">
        <f>(Sheet4!DO103/2)</f>
        <v>0</v>
      </c>
      <c r="DP104" s="40">
        <f>(Sheet4!DP103/2)</f>
        <v>0</v>
      </c>
      <c r="DQ104" s="40">
        <f>(Sheet4!DQ103/2)</f>
        <v>0</v>
      </c>
    </row>
    <row r="105" spans="1:121" ht="15.75" customHeight="1" x14ac:dyDescent="0.3">
      <c r="A105" s="40">
        <f>Sheet4!A104</f>
        <v>97</v>
      </c>
      <c r="B105" s="40" t="str">
        <f>Sheet4!B104</f>
        <v xml:space="preserve">እዮብ ደርቤ </v>
      </c>
      <c r="C105" s="26">
        <f>Sheet4!C104</f>
        <v>10500</v>
      </c>
      <c r="D105" s="40">
        <f>(Sheet4!D104/2)</f>
        <v>0.5</v>
      </c>
      <c r="E105" s="40">
        <f>(Sheet4!E104/2)</f>
        <v>0.5</v>
      </c>
      <c r="F105" s="40">
        <f>(Sheet4!F104/2)</f>
        <v>0.5</v>
      </c>
      <c r="G105" s="40">
        <f>(Sheet4!G104/2)</f>
        <v>0.5</v>
      </c>
      <c r="H105" s="40">
        <f>(Sheet4!H104/2)</f>
        <v>0.5</v>
      </c>
      <c r="I105" s="40">
        <f>(Sheet4!I104/2)</f>
        <v>0.5</v>
      </c>
      <c r="J105" s="40">
        <f>(Sheet4!J104/2)</f>
        <v>0.5</v>
      </c>
      <c r="K105" s="40">
        <f>(Sheet4!K104/2)</f>
        <v>0.5</v>
      </c>
      <c r="L105" s="40">
        <f>(Sheet4!L104/2)</f>
        <v>0.5</v>
      </c>
      <c r="M105" s="40">
        <f>(Sheet4!M104/2)</f>
        <v>0.5</v>
      </c>
      <c r="N105" s="40">
        <f>(Sheet4!N104/2)</f>
        <v>0.5</v>
      </c>
      <c r="O105" s="40">
        <f>(Sheet4!O104/2)</f>
        <v>0.5</v>
      </c>
      <c r="P105" s="40">
        <f>(Sheet4!P104/2)</f>
        <v>0.5</v>
      </c>
      <c r="Q105" s="40">
        <f>(Sheet4!Q104/2)</f>
        <v>0.5</v>
      </c>
      <c r="R105" s="40">
        <f>(Sheet4!R104/2)</f>
        <v>0.5</v>
      </c>
      <c r="S105" s="40">
        <f>(Sheet4!S104/2)</f>
        <v>0.5</v>
      </c>
      <c r="T105" s="40">
        <f>(Sheet4!T104/2)</f>
        <v>0.5</v>
      </c>
      <c r="U105" s="40">
        <f>(Sheet4!U104/2)</f>
        <v>0.5</v>
      </c>
      <c r="V105" s="40">
        <f>(Sheet4!V104/2)</f>
        <v>0.5</v>
      </c>
      <c r="W105" s="40">
        <f>(Sheet4!W104/2)</f>
        <v>0.5</v>
      </c>
      <c r="X105" s="40">
        <f>(Sheet4!X104/2)</f>
        <v>0.5</v>
      </c>
      <c r="Y105" s="40">
        <f>(Sheet4!Y104/2)</f>
        <v>0.5</v>
      </c>
      <c r="Z105" s="40">
        <f>(Sheet4!Z104/2)</f>
        <v>0.5</v>
      </c>
      <c r="AA105" s="40">
        <f>(Sheet4!AA104/2)</f>
        <v>0.5</v>
      </c>
      <c r="AB105" s="40">
        <f>(Sheet4!AB104/2)</f>
        <v>0.5</v>
      </c>
      <c r="AC105" s="40">
        <f>(Sheet4!AC104/2)</f>
        <v>0.5</v>
      </c>
      <c r="AD105" s="40">
        <f>(Sheet4!AD104/2)</f>
        <v>0.5</v>
      </c>
      <c r="AE105" s="40">
        <f>(Sheet4!AE104/2)</f>
        <v>0.5</v>
      </c>
      <c r="AF105" s="40">
        <f>(Sheet4!AF104/2)</f>
        <v>0.5</v>
      </c>
      <c r="AG105" s="40">
        <f>(Sheet4!AG104/2)</f>
        <v>0.5</v>
      </c>
      <c r="AH105" s="40">
        <f>(Sheet4!AH104/2)</f>
        <v>0.5</v>
      </c>
      <c r="AI105" s="40">
        <f>(Sheet4!AI104/2)</f>
        <v>0.5</v>
      </c>
      <c r="AJ105" s="40">
        <f>(Sheet4!AJ104/2)</f>
        <v>0.5</v>
      </c>
      <c r="AK105" s="40">
        <f>(Sheet4!AK104/2)</f>
        <v>0.5</v>
      </c>
      <c r="AL105" s="40">
        <f>(Sheet4!AL104/2)</f>
        <v>0.5</v>
      </c>
      <c r="AM105" s="40">
        <f>(Sheet4!AM104/2)</f>
        <v>0.5</v>
      </c>
      <c r="AN105" s="40">
        <f>(Sheet4!AN104/2)</f>
        <v>0.5</v>
      </c>
      <c r="AO105" s="40">
        <f>(Sheet4!AO104/2)</f>
        <v>0</v>
      </c>
      <c r="AP105" s="40">
        <f>(Sheet4!AP104/2)</f>
        <v>1</v>
      </c>
      <c r="AQ105" s="40">
        <f>(Sheet4!AQ104/2)</f>
        <v>0.5</v>
      </c>
      <c r="AR105" s="40">
        <f>(Sheet4!AR104/2)</f>
        <v>0.5</v>
      </c>
      <c r="AS105" s="40">
        <f>(Sheet4!AS104/2)</f>
        <v>0.5</v>
      </c>
      <c r="AT105" s="40">
        <f>(Sheet4!AT104/2)</f>
        <v>0.5</v>
      </c>
      <c r="AU105" s="40">
        <f>(Sheet4!AU104/2)</f>
        <v>0.5</v>
      </c>
      <c r="AV105" s="40">
        <f>(Sheet4!AV104/2)</f>
        <v>0.5</v>
      </c>
      <c r="AW105" s="40">
        <f>(Sheet4!AW104/2)</f>
        <v>0.5</v>
      </c>
      <c r="AX105" s="40">
        <f>(Sheet4!AX104/2)</f>
        <v>0.5</v>
      </c>
      <c r="AY105" s="40">
        <f>(Sheet4!AY104/2)</f>
        <v>0.5</v>
      </c>
      <c r="AZ105" s="40">
        <f>(Sheet4!AZ104/2)</f>
        <v>0.5</v>
      </c>
      <c r="BA105" s="40">
        <f>(Sheet4!BA104/2)</f>
        <v>0.5</v>
      </c>
      <c r="BB105" s="40">
        <f>(Sheet4!BB104/2)</f>
        <v>0.5</v>
      </c>
      <c r="BC105" s="40">
        <f>(Sheet4!BC104/2)</f>
        <v>0.5</v>
      </c>
      <c r="BD105" s="40">
        <f>(Sheet4!BD104/2)</f>
        <v>0.5</v>
      </c>
      <c r="BE105" s="40">
        <f>(Sheet4!BE104/2)</f>
        <v>0</v>
      </c>
      <c r="BF105" s="40">
        <f>(Sheet4!BF104/2)</f>
        <v>1</v>
      </c>
      <c r="BG105" s="40">
        <f>(Sheet4!BG104/2)</f>
        <v>0</v>
      </c>
      <c r="BH105" s="40">
        <f>(Sheet4!BH104/2)</f>
        <v>0.5</v>
      </c>
      <c r="BI105" s="40">
        <f>(Sheet4!BI104/2)</f>
        <v>1</v>
      </c>
      <c r="BJ105" s="40">
        <f>(Sheet4!BJ104/2)</f>
        <v>0.5</v>
      </c>
      <c r="BK105" s="40">
        <f>(Sheet4!BK104/2)</f>
        <v>0.5</v>
      </c>
      <c r="BL105" s="40">
        <f>(Sheet4!BL104/2)</f>
        <v>0.5</v>
      </c>
      <c r="BM105" s="40">
        <f>(Sheet4!BM104/2)</f>
        <v>0.5</v>
      </c>
      <c r="BN105" s="40">
        <f>(Sheet4!BN104/2)</f>
        <v>0.5</v>
      </c>
      <c r="BO105" s="40">
        <f>(Sheet4!BO104/2)</f>
        <v>0.5</v>
      </c>
      <c r="BP105" s="40">
        <f>(Sheet4!BP104/2)</f>
        <v>0.5</v>
      </c>
      <c r="BQ105" s="40">
        <f>(Sheet4!BQ104/2)</f>
        <v>0.5</v>
      </c>
      <c r="BR105" s="40">
        <f>(Sheet4!BR104/2)</f>
        <v>0.5</v>
      </c>
      <c r="BS105" s="40">
        <f>(Sheet4!BS104/2)</f>
        <v>0.5</v>
      </c>
      <c r="BT105" s="40">
        <f>(Sheet4!BT104/2)</f>
        <v>0.5</v>
      </c>
      <c r="BU105" s="40">
        <f>(Sheet4!BU104/2)</f>
        <v>0.5</v>
      </c>
      <c r="BV105" s="40">
        <f>(Sheet4!BV104/2)</f>
        <v>0</v>
      </c>
      <c r="BW105" s="40">
        <f>(Sheet4!BW104/2)</f>
        <v>0.5</v>
      </c>
      <c r="BX105" s="40">
        <f>(Sheet4!BX104/2)</f>
        <v>0.5</v>
      </c>
      <c r="BY105" s="40">
        <f>(Sheet4!BY104/2)</f>
        <v>0.5</v>
      </c>
      <c r="BZ105" s="40">
        <f>(Sheet4!BZ104/2)</f>
        <v>0.5</v>
      </c>
      <c r="CA105" s="40">
        <f>(Sheet4!CA104/2)</f>
        <v>0.5</v>
      </c>
      <c r="CB105" s="40">
        <f>(Sheet4!CB104/2)</f>
        <v>0.5</v>
      </c>
      <c r="CC105" s="40">
        <f>(Sheet4!CC104/2)</f>
        <v>0</v>
      </c>
      <c r="CD105" s="40">
        <f>(Sheet4!CD104/2)</f>
        <v>0.5</v>
      </c>
      <c r="CE105" s="40">
        <f>(Sheet4!CE104/2)</f>
        <v>0.5</v>
      </c>
      <c r="CF105" s="40">
        <f>(Sheet4!CF104/2)</f>
        <v>0.5</v>
      </c>
      <c r="CG105" s="40">
        <f>(Sheet4!CG104/2)</f>
        <v>0.5</v>
      </c>
      <c r="CH105" s="40">
        <f>(Sheet4!CH104/2)</f>
        <v>0.5</v>
      </c>
      <c r="CI105" s="40">
        <f>(Sheet4!CI104/2)</f>
        <v>0</v>
      </c>
      <c r="CJ105" s="40">
        <f>(Sheet4!CJ104/2)</f>
        <v>0.5</v>
      </c>
      <c r="CK105" s="40">
        <f>(Sheet4!CK104/2)</f>
        <v>0</v>
      </c>
      <c r="CL105" s="40">
        <f>(Sheet4!CL104/2)</f>
        <v>2</v>
      </c>
      <c r="CM105" s="40">
        <f>(Sheet4!CM104/2)</f>
        <v>0</v>
      </c>
      <c r="CN105" s="40">
        <f>(Sheet4!CN104/2)</f>
        <v>0</v>
      </c>
      <c r="CO105" s="40">
        <f>(Sheet4!CO104/2)</f>
        <v>0</v>
      </c>
      <c r="CP105" s="40">
        <f>(Sheet4!CP104/2)</f>
        <v>0</v>
      </c>
      <c r="CQ105" s="40">
        <f>(Sheet4!CQ104/2)</f>
        <v>0</v>
      </c>
      <c r="CR105" s="40">
        <f>(Sheet4!CR104/2)</f>
        <v>1.5</v>
      </c>
      <c r="CS105" s="40">
        <f>(Sheet4!CS104/2)</f>
        <v>0</v>
      </c>
      <c r="CT105" s="40">
        <f>(Sheet4!CT104/2)</f>
        <v>0</v>
      </c>
      <c r="CU105" s="40">
        <f>(Sheet4!CU104/2)</f>
        <v>0</v>
      </c>
      <c r="CV105" s="40">
        <f>(Sheet4!CV104/2)</f>
        <v>0</v>
      </c>
      <c r="CW105" s="40">
        <f>(Sheet4!CW104/2)</f>
        <v>0</v>
      </c>
      <c r="CX105" s="40">
        <f>(Sheet4!CX104/2)</f>
        <v>0</v>
      </c>
      <c r="CY105" s="40">
        <f>(Sheet4!CY104/2)</f>
        <v>0</v>
      </c>
      <c r="CZ105" s="40">
        <f>(Sheet4!CZ104/2)</f>
        <v>0</v>
      </c>
      <c r="DA105" s="40">
        <f>(Sheet4!DA104/2)</f>
        <v>0</v>
      </c>
      <c r="DB105" s="40">
        <f>(Sheet4!DB104/2)</f>
        <v>0</v>
      </c>
      <c r="DC105" s="40">
        <f>(Sheet4!DC104/2)</f>
        <v>0</v>
      </c>
      <c r="DD105" s="40">
        <f>(Sheet4!DD104/2)</f>
        <v>0</v>
      </c>
      <c r="DE105" s="40">
        <f>(Sheet4!DE104/2)</f>
        <v>0</v>
      </c>
      <c r="DF105" s="40">
        <f>(Sheet4!DF104/2)</f>
        <v>0</v>
      </c>
      <c r="DG105" s="40">
        <f>(Sheet4!DG104/2)</f>
        <v>0</v>
      </c>
      <c r="DH105" s="40">
        <f>(Sheet4!DH104/2)</f>
        <v>0</v>
      </c>
      <c r="DI105" s="40">
        <f>(Sheet4!DI104/2)</f>
        <v>0</v>
      </c>
      <c r="DJ105" s="40">
        <f>(Sheet4!DJ104/2)</f>
        <v>0</v>
      </c>
      <c r="DK105" s="40">
        <f>(Sheet4!DK104/2)</f>
        <v>0</v>
      </c>
      <c r="DL105" s="40">
        <f>(Sheet4!DL104/2)</f>
        <v>0</v>
      </c>
      <c r="DM105" s="40">
        <f>(Sheet4!DM104/2)</f>
        <v>0</v>
      </c>
      <c r="DN105" s="40">
        <f>(Sheet4!DN104/2)</f>
        <v>0</v>
      </c>
      <c r="DO105" s="40">
        <f>(Sheet4!DO104/2)</f>
        <v>0</v>
      </c>
      <c r="DP105" s="40">
        <f>(Sheet4!DP104/2)</f>
        <v>0</v>
      </c>
      <c r="DQ105" s="40">
        <f>(Sheet4!DQ104/2)</f>
        <v>0</v>
      </c>
    </row>
    <row r="106" spans="1:121" ht="15.75" customHeight="1" x14ac:dyDescent="0.3">
      <c r="A106" s="40">
        <f>Sheet4!A105</f>
        <v>98</v>
      </c>
      <c r="B106" s="40" t="str">
        <f>Sheet4!B105</f>
        <v>ኢትዮጽያ አንዳርጌ</v>
      </c>
      <c r="C106" s="26">
        <f>Sheet4!C105</f>
        <v>10500</v>
      </c>
      <c r="D106" s="40">
        <f>(Sheet4!D105/2)</f>
        <v>0.5</v>
      </c>
      <c r="E106" s="40">
        <f>(Sheet4!E105/2)</f>
        <v>0.5</v>
      </c>
      <c r="F106" s="40">
        <f>(Sheet4!F105/2)</f>
        <v>0.5</v>
      </c>
      <c r="G106" s="40">
        <f>(Sheet4!G105/2)</f>
        <v>0.5</v>
      </c>
      <c r="H106" s="40">
        <f>(Sheet4!H105/2)</f>
        <v>0.5</v>
      </c>
      <c r="I106" s="40">
        <f>(Sheet4!I105/2)</f>
        <v>0.5</v>
      </c>
      <c r="J106" s="40">
        <f>(Sheet4!J105/2)</f>
        <v>0.5</v>
      </c>
      <c r="K106" s="40">
        <f>(Sheet4!K105/2)</f>
        <v>0.5</v>
      </c>
      <c r="L106" s="40">
        <f>(Sheet4!L105/2)</f>
        <v>0.5</v>
      </c>
      <c r="M106" s="40">
        <f>(Sheet4!M105/2)</f>
        <v>0.5</v>
      </c>
      <c r="N106" s="40">
        <f>(Sheet4!N105/2)</f>
        <v>0.5</v>
      </c>
      <c r="O106" s="40">
        <f>(Sheet4!O105/2)</f>
        <v>0.5</v>
      </c>
      <c r="P106" s="40">
        <f>(Sheet4!P105/2)</f>
        <v>0.5</v>
      </c>
      <c r="Q106" s="40">
        <f>(Sheet4!Q105/2)</f>
        <v>0.5</v>
      </c>
      <c r="R106" s="40">
        <f>(Sheet4!R105/2)</f>
        <v>0.5</v>
      </c>
      <c r="S106" s="40">
        <f>(Sheet4!S105/2)</f>
        <v>0.5</v>
      </c>
      <c r="T106" s="40">
        <f>(Sheet4!T105/2)</f>
        <v>0.5</v>
      </c>
      <c r="U106" s="40">
        <f>(Sheet4!U105/2)</f>
        <v>0.5</v>
      </c>
      <c r="V106" s="40">
        <f>(Sheet4!V105/2)</f>
        <v>0.5</v>
      </c>
      <c r="W106" s="40">
        <f>(Sheet4!W105/2)</f>
        <v>0.5</v>
      </c>
      <c r="X106" s="40">
        <f>(Sheet4!X105/2)</f>
        <v>0.5</v>
      </c>
      <c r="Y106" s="40">
        <f>(Sheet4!Y105/2)</f>
        <v>0.5</v>
      </c>
      <c r="Z106" s="40">
        <f>(Sheet4!Z105/2)</f>
        <v>0.5</v>
      </c>
      <c r="AA106" s="40">
        <f>(Sheet4!AA105/2)</f>
        <v>0.5</v>
      </c>
      <c r="AB106" s="40">
        <f>(Sheet4!AB105/2)</f>
        <v>0</v>
      </c>
      <c r="AC106" s="40">
        <f>(Sheet4!AC105/2)</f>
        <v>1</v>
      </c>
      <c r="AD106" s="40">
        <f>(Sheet4!AD105/2)</f>
        <v>0.5</v>
      </c>
      <c r="AE106" s="40">
        <f>(Sheet4!AE105/2)</f>
        <v>0.5</v>
      </c>
      <c r="AF106" s="40">
        <f>(Sheet4!AF105/2)</f>
        <v>0.5</v>
      </c>
      <c r="AG106" s="40">
        <f>(Sheet4!AG105/2)</f>
        <v>0</v>
      </c>
      <c r="AH106" s="40">
        <f>(Sheet4!AH105/2)</f>
        <v>1</v>
      </c>
      <c r="AI106" s="40">
        <f>(Sheet4!AI105/2)</f>
        <v>0.5</v>
      </c>
      <c r="AJ106" s="40">
        <f>(Sheet4!AJ105/2)</f>
        <v>0</v>
      </c>
      <c r="AK106" s="40">
        <f>(Sheet4!AK105/2)</f>
        <v>1</v>
      </c>
      <c r="AL106" s="40">
        <f>(Sheet4!AL105/2)</f>
        <v>0</v>
      </c>
      <c r="AM106" s="40">
        <f>(Sheet4!AM105/2)</f>
        <v>0.5</v>
      </c>
      <c r="AN106" s="40">
        <f>(Sheet4!AN105/2)</f>
        <v>0</v>
      </c>
      <c r="AO106" s="40">
        <f>(Sheet4!AO105/2)</f>
        <v>0.5</v>
      </c>
      <c r="AP106" s="40">
        <f>(Sheet4!AP105/2)</f>
        <v>1.5</v>
      </c>
      <c r="AQ106" s="40">
        <f>(Sheet4!AQ105/2)</f>
        <v>0.5</v>
      </c>
      <c r="AR106" s="40">
        <f>(Sheet4!AR105/2)</f>
        <v>0.5</v>
      </c>
      <c r="AS106" s="40">
        <f>(Sheet4!AS105/2)</f>
        <v>0.5</v>
      </c>
      <c r="AT106" s="40">
        <f>(Sheet4!AT105/2)</f>
        <v>0.5</v>
      </c>
      <c r="AU106" s="40">
        <f>(Sheet4!AU105/2)</f>
        <v>0</v>
      </c>
      <c r="AV106" s="40">
        <f>(Sheet4!AV105/2)</f>
        <v>1</v>
      </c>
      <c r="AW106" s="40">
        <f>(Sheet4!AW105/2)</f>
        <v>0.5</v>
      </c>
      <c r="AX106" s="40">
        <f>(Sheet4!AX105/2)</f>
        <v>0.5</v>
      </c>
      <c r="AY106" s="40">
        <f>(Sheet4!AY105/2)</f>
        <v>0.5</v>
      </c>
      <c r="AZ106" s="40">
        <f>(Sheet4!AZ105/2)</f>
        <v>0</v>
      </c>
      <c r="BA106" s="40">
        <f>(Sheet4!BA105/2)</f>
        <v>1</v>
      </c>
      <c r="BB106" s="40">
        <f>(Sheet4!BB105/2)</f>
        <v>0.5</v>
      </c>
      <c r="BC106" s="40">
        <f>(Sheet4!BC105/2)</f>
        <v>0.5</v>
      </c>
      <c r="BD106" s="40">
        <f>(Sheet4!BD105/2)</f>
        <v>0</v>
      </c>
      <c r="BE106" s="40">
        <f>(Sheet4!BE105/2)</f>
        <v>1</v>
      </c>
      <c r="BF106" s="40">
        <f>(Sheet4!BF105/2)</f>
        <v>0.5</v>
      </c>
      <c r="BG106" s="40">
        <f>(Sheet4!BG105/2)</f>
        <v>0.5</v>
      </c>
      <c r="BH106" s="40">
        <f>(Sheet4!BH105/2)</f>
        <v>0.5</v>
      </c>
      <c r="BI106" s="40">
        <f>(Sheet4!BI105/2)</f>
        <v>0.5</v>
      </c>
      <c r="BJ106" s="40">
        <f>(Sheet4!BJ105/2)</f>
        <v>0.5</v>
      </c>
      <c r="BK106" s="40">
        <f>(Sheet4!BK105/2)</f>
        <v>0.5</v>
      </c>
      <c r="BL106" s="40">
        <f>(Sheet4!BL105/2)</f>
        <v>0.5</v>
      </c>
      <c r="BM106" s="40">
        <f>(Sheet4!BM105/2)</f>
        <v>0</v>
      </c>
      <c r="BN106" s="40">
        <f>(Sheet4!BN105/2)</f>
        <v>0.5</v>
      </c>
      <c r="BO106" s="40">
        <f>(Sheet4!BO105/2)</f>
        <v>0</v>
      </c>
      <c r="BP106" s="40">
        <f>(Sheet4!BP105/2)</f>
        <v>1</v>
      </c>
      <c r="BQ106" s="40">
        <f>(Sheet4!BQ105/2)</f>
        <v>0.5</v>
      </c>
      <c r="BR106" s="40">
        <f>(Sheet4!BR105/2)</f>
        <v>0</v>
      </c>
      <c r="BS106" s="40">
        <f>(Sheet4!BS105/2)</f>
        <v>1</v>
      </c>
      <c r="BT106" s="40">
        <f>(Sheet4!BT105/2)</f>
        <v>0.5</v>
      </c>
      <c r="BU106" s="40">
        <f>(Sheet4!BU105/2)</f>
        <v>0.5</v>
      </c>
      <c r="BV106" s="40">
        <f>(Sheet4!BV105/2)</f>
        <v>0</v>
      </c>
      <c r="BW106" s="40">
        <f>(Sheet4!BW105/2)</f>
        <v>1</v>
      </c>
      <c r="BX106" s="40">
        <f>(Sheet4!BX105/2)</f>
        <v>0</v>
      </c>
      <c r="BY106" s="40">
        <f>(Sheet4!BY105/2)</f>
        <v>1</v>
      </c>
      <c r="BZ106" s="40">
        <f>(Sheet4!BZ105/2)</f>
        <v>0.5</v>
      </c>
      <c r="CA106" s="40">
        <f>(Sheet4!CA105/2)</f>
        <v>0</v>
      </c>
      <c r="CB106" s="40">
        <f>(Sheet4!CB105/2)</f>
        <v>0</v>
      </c>
      <c r="CC106" s="40">
        <f>(Sheet4!CC105/2)</f>
        <v>1</v>
      </c>
      <c r="CD106" s="40">
        <f>(Sheet4!CD105/2)</f>
        <v>0</v>
      </c>
      <c r="CE106" s="40">
        <f>(Sheet4!CE105/2)</f>
        <v>1</v>
      </c>
      <c r="CF106" s="40">
        <f>(Sheet4!CF105/2)</f>
        <v>0.5</v>
      </c>
      <c r="CG106" s="40">
        <f>(Sheet4!CG105/2)</f>
        <v>0.5</v>
      </c>
      <c r="CH106" s="40">
        <f>(Sheet4!CH105/2)</f>
        <v>1.5</v>
      </c>
      <c r="CI106" s="40">
        <f>(Sheet4!CI105/2)</f>
        <v>0</v>
      </c>
      <c r="CJ106" s="40">
        <f>(Sheet4!CJ105/2)</f>
        <v>1</v>
      </c>
      <c r="CK106" s="40">
        <f>(Sheet4!CK105/2)</f>
        <v>0</v>
      </c>
      <c r="CL106" s="40">
        <f>(Sheet4!CL105/2)</f>
        <v>0</v>
      </c>
      <c r="CM106" s="40">
        <f>(Sheet4!CM105/2)</f>
        <v>1.5</v>
      </c>
      <c r="CN106" s="40">
        <f>(Sheet4!CN105/2)</f>
        <v>0</v>
      </c>
      <c r="CO106" s="40">
        <f>(Sheet4!CO105/2)</f>
        <v>0</v>
      </c>
      <c r="CP106" s="40">
        <f>(Sheet4!CP105/2)</f>
        <v>1.5</v>
      </c>
      <c r="CQ106" s="40">
        <f>(Sheet4!CQ105/2)</f>
        <v>0</v>
      </c>
      <c r="CR106" s="40">
        <f>(Sheet4!CR105/2)</f>
        <v>0</v>
      </c>
      <c r="CS106" s="40">
        <f>(Sheet4!CS105/2)</f>
        <v>1</v>
      </c>
      <c r="CT106" s="40">
        <f>(Sheet4!CT105/2)</f>
        <v>0</v>
      </c>
      <c r="CU106" s="40">
        <f>(Sheet4!CU105/2)</f>
        <v>0</v>
      </c>
      <c r="CV106" s="40">
        <f>(Sheet4!CV105/2)</f>
        <v>1</v>
      </c>
      <c r="CW106" s="40">
        <f>(Sheet4!CW105/2)</f>
        <v>0.5</v>
      </c>
      <c r="CX106" s="40">
        <f>(Sheet4!CX105/2)</f>
        <v>0.5</v>
      </c>
      <c r="CY106" s="40">
        <f>(Sheet4!CY105/2)</f>
        <v>0</v>
      </c>
      <c r="CZ106" s="40">
        <f>(Sheet4!CZ105/2)</f>
        <v>1</v>
      </c>
      <c r="DA106" s="40">
        <f>(Sheet4!DA105/2)</f>
        <v>0</v>
      </c>
      <c r="DB106" s="40">
        <f>(Sheet4!DB105/2)</f>
        <v>0.5</v>
      </c>
      <c r="DC106" s="40">
        <f>(Sheet4!DC105/2)</f>
        <v>0.5</v>
      </c>
      <c r="DD106" s="40">
        <f>(Sheet4!DD105/2)</f>
        <v>0.5</v>
      </c>
      <c r="DE106" s="40">
        <f>(Sheet4!DE105/2)</f>
        <v>0</v>
      </c>
      <c r="DF106" s="40">
        <f>(Sheet4!DF105/2)</f>
        <v>0</v>
      </c>
      <c r="DG106" s="40">
        <f>(Sheet4!DG105/2)</f>
        <v>0</v>
      </c>
      <c r="DH106" s="40">
        <f>(Sheet4!DH105/2)</f>
        <v>0</v>
      </c>
      <c r="DI106" s="40">
        <f>(Sheet4!DI105/2)</f>
        <v>0</v>
      </c>
      <c r="DJ106" s="40">
        <f>(Sheet4!DJ105/2)</f>
        <v>0</v>
      </c>
      <c r="DK106" s="40">
        <f>(Sheet4!DK105/2)</f>
        <v>0</v>
      </c>
      <c r="DL106" s="40">
        <f>(Sheet4!DL105/2)</f>
        <v>0</v>
      </c>
      <c r="DM106" s="40">
        <f>(Sheet4!DM105/2)</f>
        <v>0</v>
      </c>
      <c r="DN106" s="40">
        <f>(Sheet4!DN105/2)</f>
        <v>0</v>
      </c>
      <c r="DO106" s="40">
        <f>(Sheet4!DO105/2)</f>
        <v>0</v>
      </c>
      <c r="DP106" s="40">
        <f>(Sheet4!DP105/2)</f>
        <v>0</v>
      </c>
      <c r="DQ106" s="40">
        <f>(Sheet4!DQ105/2)</f>
        <v>0</v>
      </c>
    </row>
    <row r="107" spans="1:121" ht="15.75" customHeight="1" x14ac:dyDescent="0.3">
      <c r="A107" s="40">
        <f>Sheet4!A106</f>
        <v>98</v>
      </c>
      <c r="B107" s="40" t="str">
        <f>Sheet4!B106</f>
        <v xml:space="preserve">ፀጋዬ ቡጤ </v>
      </c>
      <c r="C107" s="26">
        <f>Sheet4!C106</f>
        <v>10500</v>
      </c>
      <c r="D107" s="40">
        <f>(Sheet4!D106/2)</f>
        <v>0.5</v>
      </c>
      <c r="E107" s="40">
        <f>(Sheet4!E106/2)</f>
        <v>0.5</v>
      </c>
      <c r="F107" s="40">
        <f>(Sheet4!F106/2)</f>
        <v>0.5</v>
      </c>
      <c r="G107" s="40">
        <f>(Sheet4!G106/2)</f>
        <v>0.5</v>
      </c>
      <c r="H107" s="40">
        <f>(Sheet4!H106/2)</f>
        <v>0.5</v>
      </c>
      <c r="I107" s="40">
        <f>(Sheet4!I106/2)</f>
        <v>0.5</v>
      </c>
      <c r="J107" s="40">
        <f>(Sheet4!J106/2)</f>
        <v>0.5</v>
      </c>
      <c r="K107" s="40">
        <f>(Sheet4!K106/2)</f>
        <v>0.5</v>
      </c>
      <c r="L107" s="40">
        <f>(Sheet4!L106/2)</f>
        <v>0.5</v>
      </c>
      <c r="M107" s="40">
        <f>(Sheet4!M106/2)</f>
        <v>0.5</v>
      </c>
      <c r="N107" s="40">
        <f>(Sheet4!N106/2)</f>
        <v>0.5</v>
      </c>
      <c r="O107" s="40">
        <f>(Sheet4!O106/2)</f>
        <v>0.5</v>
      </c>
      <c r="P107" s="40">
        <f>(Sheet4!P106/2)</f>
        <v>0.5</v>
      </c>
      <c r="Q107" s="40">
        <f>(Sheet4!Q106/2)</f>
        <v>0.5</v>
      </c>
      <c r="R107" s="40">
        <f>(Sheet4!R106/2)</f>
        <v>0.5</v>
      </c>
      <c r="S107" s="40">
        <f>(Sheet4!S106/2)</f>
        <v>0.5</v>
      </c>
      <c r="T107" s="40">
        <f>(Sheet4!T106/2)</f>
        <v>0.5</v>
      </c>
      <c r="U107" s="40">
        <f>(Sheet4!U106/2)</f>
        <v>0.5</v>
      </c>
      <c r="V107" s="40">
        <f>(Sheet4!V106/2)</f>
        <v>0.5</v>
      </c>
      <c r="W107" s="40">
        <f>(Sheet4!W106/2)</f>
        <v>0.5</v>
      </c>
      <c r="X107" s="40">
        <f>(Sheet4!X106/2)</f>
        <v>0.5</v>
      </c>
      <c r="Y107" s="40">
        <f>(Sheet4!Y106/2)</f>
        <v>0.5</v>
      </c>
      <c r="Z107" s="40">
        <f>(Sheet4!Z106/2)</f>
        <v>0.5</v>
      </c>
      <c r="AA107" s="40">
        <f>(Sheet4!AA106/2)</f>
        <v>0.5</v>
      </c>
      <c r="AB107" s="40">
        <f>(Sheet4!AB106/2)</f>
        <v>0.5</v>
      </c>
      <c r="AC107" s="40">
        <f>(Sheet4!AC106/2)</f>
        <v>0.5</v>
      </c>
      <c r="AD107" s="40">
        <f>(Sheet4!AD106/2)</f>
        <v>0.5</v>
      </c>
      <c r="AE107" s="40">
        <f>(Sheet4!AE106/2)</f>
        <v>0.5</v>
      </c>
      <c r="AF107" s="40">
        <f>(Sheet4!AF106/2)</f>
        <v>0.5</v>
      </c>
      <c r="AG107" s="40">
        <f>(Sheet4!AG106/2)</f>
        <v>0.5</v>
      </c>
      <c r="AH107" s="40">
        <f>(Sheet4!AH106/2)</f>
        <v>0.5</v>
      </c>
      <c r="AI107" s="40">
        <f>(Sheet4!AI106/2)</f>
        <v>0.5</v>
      </c>
      <c r="AJ107" s="40">
        <f>(Sheet4!AJ106/2)</f>
        <v>0.5</v>
      </c>
      <c r="AK107" s="40">
        <f>(Sheet4!AK106/2)</f>
        <v>0.5</v>
      </c>
      <c r="AL107" s="40">
        <f>(Sheet4!AL106/2)</f>
        <v>0.5</v>
      </c>
      <c r="AM107" s="40">
        <f>(Sheet4!AM106/2)</f>
        <v>0.5</v>
      </c>
      <c r="AN107" s="40">
        <f>(Sheet4!AN106/2)</f>
        <v>0.5</v>
      </c>
      <c r="AO107" s="40">
        <f>(Sheet4!AO106/2)</f>
        <v>0.5</v>
      </c>
      <c r="AP107" s="40">
        <f>(Sheet4!AP106/2)</f>
        <v>0.5</v>
      </c>
      <c r="AQ107" s="40">
        <f>(Sheet4!AQ106/2)</f>
        <v>0.5</v>
      </c>
      <c r="AR107" s="40">
        <f>(Sheet4!AR106/2)</f>
        <v>0.5</v>
      </c>
      <c r="AS107" s="40">
        <f>(Sheet4!AS106/2)</f>
        <v>0.5</v>
      </c>
      <c r="AT107" s="40">
        <f>(Sheet4!AT106/2)</f>
        <v>0.5</v>
      </c>
      <c r="AU107" s="40">
        <f>(Sheet4!AU106/2)</f>
        <v>0.5</v>
      </c>
      <c r="AV107" s="40">
        <f>(Sheet4!AV106/2)</f>
        <v>0.5</v>
      </c>
      <c r="AW107" s="40">
        <f>(Sheet4!AW106/2)</f>
        <v>0.5</v>
      </c>
      <c r="AX107" s="40">
        <f>(Sheet4!AX106/2)</f>
        <v>0.5</v>
      </c>
      <c r="AY107" s="40">
        <f>(Sheet4!AY106/2)</f>
        <v>0.5</v>
      </c>
      <c r="AZ107" s="40">
        <f>(Sheet4!AZ106/2)</f>
        <v>0.5</v>
      </c>
      <c r="BA107" s="40">
        <f>(Sheet4!BA106/2)</f>
        <v>0.5</v>
      </c>
      <c r="BB107" s="40">
        <f>(Sheet4!BB106/2)</f>
        <v>0.5</v>
      </c>
      <c r="BC107" s="40">
        <f>(Sheet4!BC106/2)</f>
        <v>0.5</v>
      </c>
      <c r="BD107" s="40">
        <f>(Sheet4!BD106/2)</f>
        <v>0.5</v>
      </c>
      <c r="BE107" s="40">
        <f>(Sheet4!BE106/2)</f>
        <v>0.5</v>
      </c>
      <c r="BF107" s="40">
        <f>(Sheet4!BF106/2)</f>
        <v>0.5</v>
      </c>
      <c r="BG107" s="40">
        <f>(Sheet4!BG106/2)</f>
        <v>0.5</v>
      </c>
      <c r="BH107" s="40">
        <f>(Sheet4!BH106/2)</f>
        <v>0.5</v>
      </c>
      <c r="BI107" s="40">
        <f>(Sheet4!BI106/2)</f>
        <v>0.5</v>
      </c>
      <c r="BJ107" s="40">
        <f>(Sheet4!BJ106/2)</f>
        <v>0.5</v>
      </c>
      <c r="BK107" s="40">
        <f>(Sheet4!BK106/2)</f>
        <v>0.5</v>
      </c>
      <c r="BL107" s="40">
        <f>(Sheet4!BL106/2)</f>
        <v>0.5</v>
      </c>
      <c r="BM107" s="40">
        <f>(Sheet4!BM106/2)</f>
        <v>0</v>
      </c>
      <c r="BN107" s="40">
        <f>(Sheet4!BN106/2)</f>
        <v>1</v>
      </c>
      <c r="BO107" s="40">
        <f>(Sheet4!BO106/2)</f>
        <v>0.5</v>
      </c>
      <c r="BP107" s="40">
        <f>(Sheet4!BP106/2)</f>
        <v>0.5</v>
      </c>
      <c r="BQ107" s="40">
        <f>(Sheet4!BQ106/2)</f>
        <v>0</v>
      </c>
      <c r="BR107" s="40">
        <f>(Sheet4!BR106/2)</f>
        <v>1</v>
      </c>
      <c r="BS107" s="40">
        <f>(Sheet4!BS106/2)</f>
        <v>0.5</v>
      </c>
      <c r="BT107" s="40">
        <f>(Sheet4!BT106/2)</f>
        <v>0.5</v>
      </c>
      <c r="BU107" s="40">
        <f>(Sheet4!BU106/2)</f>
        <v>0.5</v>
      </c>
      <c r="BV107" s="40">
        <f>(Sheet4!BV106/2)</f>
        <v>0</v>
      </c>
      <c r="BW107" s="40">
        <f>(Sheet4!BW106/2)</f>
        <v>1</v>
      </c>
      <c r="BX107" s="40">
        <f>(Sheet4!BX106/2)</f>
        <v>0.5</v>
      </c>
      <c r="BY107" s="40">
        <f>(Sheet4!BY106/2)</f>
        <v>0.5</v>
      </c>
      <c r="BZ107" s="40">
        <f>(Sheet4!BZ106/2)</f>
        <v>0.5</v>
      </c>
      <c r="CA107" s="40">
        <f>(Sheet4!CA106/2)</f>
        <v>0.5</v>
      </c>
      <c r="CB107" s="40">
        <f>(Sheet4!CB106/2)</f>
        <v>0.5</v>
      </c>
      <c r="CC107" s="40">
        <f>(Sheet4!CC106/2)</f>
        <v>0</v>
      </c>
      <c r="CD107" s="40">
        <f>(Sheet4!CD106/2)</f>
        <v>0</v>
      </c>
      <c r="CE107" s="40">
        <f>(Sheet4!CE106/2)</f>
        <v>1</v>
      </c>
      <c r="CF107" s="40">
        <f>(Sheet4!CF106/2)</f>
        <v>0.5</v>
      </c>
      <c r="CG107" s="40">
        <f>(Sheet4!CG106/2)</f>
        <v>0.5</v>
      </c>
      <c r="CH107" s="40">
        <f>(Sheet4!CH106/2)</f>
        <v>0.5</v>
      </c>
      <c r="CI107" s="40">
        <f>(Sheet4!CI106/2)</f>
        <v>1</v>
      </c>
      <c r="CJ107" s="40">
        <f>(Sheet4!CJ106/2)</f>
        <v>0.5</v>
      </c>
      <c r="CK107" s="40">
        <f>(Sheet4!CK106/2)</f>
        <v>0.5</v>
      </c>
      <c r="CL107" s="40">
        <f>(Sheet4!CL106/2)</f>
        <v>0</v>
      </c>
      <c r="CM107" s="40">
        <f>(Sheet4!CM106/2)</f>
        <v>0.5</v>
      </c>
      <c r="CN107" s="40">
        <f>(Sheet4!CN106/2)</f>
        <v>0.5</v>
      </c>
      <c r="CO107" s="40">
        <f>(Sheet4!CO106/2)</f>
        <v>0.5</v>
      </c>
      <c r="CP107" s="40">
        <f>(Sheet4!CP106/2)</f>
        <v>0</v>
      </c>
      <c r="CQ107" s="40">
        <f>(Sheet4!CQ106/2)</f>
        <v>1</v>
      </c>
      <c r="CR107" s="40">
        <f>(Sheet4!CR106/2)</f>
        <v>0.5</v>
      </c>
      <c r="CS107" s="40">
        <f>(Sheet4!CS106/2)</f>
        <v>0</v>
      </c>
      <c r="CT107" s="40">
        <f>(Sheet4!CT106/2)</f>
        <v>1</v>
      </c>
      <c r="CU107" s="40">
        <f>(Sheet4!CU106/2)</f>
        <v>0</v>
      </c>
      <c r="CV107" s="40">
        <f>(Sheet4!CV106/2)</f>
        <v>1</v>
      </c>
      <c r="CW107" s="40">
        <f>(Sheet4!CW106/2)</f>
        <v>0</v>
      </c>
      <c r="CX107" s="40">
        <f>(Sheet4!CX106/2)</f>
        <v>1</v>
      </c>
      <c r="CY107" s="40">
        <f>(Sheet4!CY106/2)</f>
        <v>0</v>
      </c>
      <c r="CZ107" s="40">
        <f>(Sheet4!CZ106/2)</f>
        <v>1</v>
      </c>
      <c r="DA107" s="40">
        <f>(Sheet4!DA106/2)</f>
        <v>0</v>
      </c>
      <c r="DB107" s="40">
        <f>(Sheet4!DB106/2)</f>
        <v>0</v>
      </c>
      <c r="DC107" s="40">
        <f>(Sheet4!DC106/2)</f>
        <v>1</v>
      </c>
      <c r="DD107" s="40">
        <f>(Sheet4!DD106/2)</f>
        <v>0</v>
      </c>
      <c r="DE107" s="40">
        <f>(Sheet4!DE106/2)</f>
        <v>0</v>
      </c>
      <c r="DF107" s="40">
        <f>(Sheet4!DF106/2)</f>
        <v>1.5</v>
      </c>
      <c r="DG107" s="40">
        <f>(Sheet4!DG106/2)</f>
        <v>0</v>
      </c>
      <c r="DH107" s="40">
        <f>(Sheet4!DH106/2)</f>
        <v>0</v>
      </c>
      <c r="DI107" s="40">
        <f>(Sheet4!DI106/2)</f>
        <v>0</v>
      </c>
      <c r="DJ107" s="40">
        <f>(Sheet4!DJ106/2)</f>
        <v>0</v>
      </c>
      <c r="DK107" s="40">
        <f>(Sheet4!DK106/2)</f>
        <v>0</v>
      </c>
      <c r="DL107" s="40">
        <f>(Sheet4!DL106/2)</f>
        <v>0</v>
      </c>
      <c r="DM107" s="40">
        <f>(Sheet4!DM106/2)</f>
        <v>0</v>
      </c>
      <c r="DN107" s="40">
        <f>(Sheet4!DN106/2)</f>
        <v>0</v>
      </c>
      <c r="DO107" s="40">
        <f>(Sheet4!DO106/2)</f>
        <v>0</v>
      </c>
      <c r="DP107" s="40">
        <f>(Sheet4!DP106/2)</f>
        <v>0</v>
      </c>
      <c r="DQ107" s="40">
        <f>(Sheet4!DQ106/2)</f>
        <v>0</v>
      </c>
    </row>
    <row r="108" spans="1:121" ht="15.75" customHeight="1" x14ac:dyDescent="0.3">
      <c r="A108" s="40">
        <f>Sheet4!A107</f>
        <v>99</v>
      </c>
      <c r="B108" s="40" t="str">
        <f>Sheet4!B107</f>
        <v>መኮንን ሰኬሎ</v>
      </c>
      <c r="C108" s="26">
        <f>Sheet4!C107</f>
        <v>10500</v>
      </c>
      <c r="D108" s="40">
        <f>(Sheet4!D107/2)</f>
        <v>0.5</v>
      </c>
      <c r="E108" s="40">
        <f>(Sheet4!E107/2)</f>
        <v>0.5</v>
      </c>
      <c r="F108" s="40">
        <f>(Sheet4!F107/2)</f>
        <v>0.5</v>
      </c>
      <c r="G108" s="40">
        <f>(Sheet4!G107/2)</f>
        <v>0.5</v>
      </c>
      <c r="H108" s="40">
        <f>(Sheet4!H107/2)</f>
        <v>0.5</v>
      </c>
      <c r="I108" s="40">
        <f>(Sheet4!I107/2)</f>
        <v>0.5</v>
      </c>
      <c r="J108" s="40">
        <f>(Sheet4!J107/2)</f>
        <v>0.5</v>
      </c>
      <c r="K108" s="40">
        <f>(Sheet4!K107/2)</f>
        <v>0.5</v>
      </c>
      <c r="L108" s="40">
        <f>(Sheet4!L107/2)</f>
        <v>0.5</v>
      </c>
      <c r="M108" s="40">
        <f>(Sheet4!M107/2)</f>
        <v>0.5</v>
      </c>
      <c r="N108" s="40">
        <f>(Sheet4!N107/2)</f>
        <v>0.5</v>
      </c>
      <c r="O108" s="40">
        <f>(Sheet4!O107/2)</f>
        <v>0.5</v>
      </c>
      <c r="P108" s="40">
        <f>(Sheet4!P107/2)</f>
        <v>0.5</v>
      </c>
      <c r="Q108" s="40">
        <f>(Sheet4!Q107/2)</f>
        <v>0.5</v>
      </c>
      <c r="R108" s="40">
        <f>(Sheet4!R107/2)</f>
        <v>0.5</v>
      </c>
      <c r="S108" s="40">
        <f>(Sheet4!S107/2)</f>
        <v>0.5</v>
      </c>
      <c r="T108" s="40">
        <f>(Sheet4!T107/2)</f>
        <v>0.5</v>
      </c>
      <c r="U108" s="40">
        <f>(Sheet4!U107/2)</f>
        <v>0.5</v>
      </c>
      <c r="V108" s="40">
        <f>(Sheet4!V107/2)</f>
        <v>0.5</v>
      </c>
      <c r="W108" s="40">
        <f>(Sheet4!W107/2)</f>
        <v>0.5</v>
      </c>
      <c r="X108" s="40">
        <f>(Sheet4!X107/2)</f>
        <v>0.5</v>
      </c>
      <c r="Y108" s="40">
        <f>(Sheet4!Y107/2)</f>
        <v>0.5</v>
      </c>
      <c r="Z108" s="40">
        <f>(Sheet4!Z107/2)</f>
        <v>0.5</v>
      </c>
      <c r="AA108" s="40">
        <f>(Sheet4!AA107/2)</f>
        <v>0.5</v>
      </c>
      <c r="AB108" s="40">
        <f>(Sheet4!AB107/2)</f>
        <v>0.5</v>
      </c>
      <c r="AC108" s="40">
        <f>(Sheet4!AC107/2)</f>
        <v>0.5</v>
      </c>
      <c r="AD108" s="40">
        <f>(Sheet4!AD107/2)</f>
        <v>0.5</v>
      </c>
      <c r="AE108" s="40">
        <f>(Sheet4!AE107/2)</f>
        <v>0</v>
      </c>
      <c r="AF108" s="40">
        <f>(Sheet4!AF107/2)</f>
        <v>1</v>
      </c>
      <c r="AG108" s="40">
        <f>(Sheet4!AG107/2)</f>
        <v>0.5</v>
      </c>
      <c r="AH108" s="40">
        <f>(Sheet4!AH107/2)</f>
        <v>0.5</v>
      </c>
      <c r="AI108" s="40">
        <f>(Sheet4!AI107/2)</f>
        <v>0</v>
      </c>
      <c r="AJ108" s="40">
        <f>(Sheet4!AJ107/2)</f>
        <v>1</v>
      </c>
      <c r="AK108" s="40">
        <f>(Sheet4!AK107/2)</f>
        <v>0.5</v>
      </c>
      <c r="AL108" s="40">
        <f>(Sheet4!AL107/2)</f>
        <v>0.5</v>
      </c>
      <c r="AM108" s="40">
        <f>(Sheet4!AM107/2)</f>
        <v>0.5</v>
      </c>
      <c r="AN108" s="40">
        <f>(Sheet4!AN107/2)</f>
        <v>0.5</v>
      </c>
      <c r="AO108" s="40">
        <f>(Sheet4!AO107/2)</f>
        <v>0.5</v>
      </c>
      <c r="AP108" s="40">
        <f>(Sheet4!AP107/2)</f>
        <v>0.5</v>
      </c>
      <c r="AQ108" s="40">
        <f>(Sheet4!AQ107/2)</f>
        <v>0.5</v>
      </c>
      <c r="AR108" s="40">
        <f>(Sheet4!AR107/2)</f>
        <v>0.5</v>
      </c>
      <c r="AS108" s="40">
        <f>(Sheet4!AS107/2)</f>
        <v>0.5</v>
      </c>
      <c r="AT108" s="40">
        <f>(Sheet4!AT107/2)</f>
        <v>0.5</v>
      </c>
      <c r="AU108" s="40">
        <f>(Sheet4!AU107/2)</f>
        <v>0.5</v>
      </c>
      <c r="AV108" s="40">
        <f>(Sheet4!AV107/2)</f>
        <v>0.5</v>
      </c>
      <c r="AW108" s="40">
        <f>(Sheet4!AW107/2)</f>
        <v>0.5</v>
      </c>
      <c r="AX108" s="40">
        <f>(Sheet4!AX107/2)</f>
        <v>0.5</v>
      </c>
      <c r="AY108" s="40">
        <f>(Sheet4!AY107/2)</f>
        <v>0.5</v>
      </c>
      <c r="AZ108" s="40">
        <f>(Sheet4!AZ107/2)</f>
        <v>0.5</v>
      </c>
      <c r="BA108" s="40">
        <f>(Sheet4!BA107/2)</f>
        <v>0.5</v>
      </c>
      <c r="BB108" s="40">
        <f>(Sheet4!BB107/2)</f>
        <v>0.5</v>
      </c>
      <c r="BC108" s="40">
        <f>(Sheet4!BC107/2)</f>
        <v>0.5</v>
      </c>
      <c r="BD108" s="40">
        <f>(Sheet4!BD107/2)</f>
        <v>0.5</v>
      </c>
      <c r="BE108" s="40">
        <f>(Sheet4!BE107/2)</f>
        <v>0.5</v>
      </c>
      <c r="BF108" s="40">
        <f>(Sheet4!BF107/2)</f>
        <v>0.5</v>
      </c>
      <c r="BG108" s="40">
        <f>(Sheet4!BG107/2)</f>
        <v>0</v>
      </c>
      <c r="BH108" s="40">
        <f>(Sheet4!BH107/2)</f>
        <v>1</v>
      </c>
      <c r="BI108" s="40">
        <f>(Sheet4!BI107/2)</f>
        <v>0</v>
      </c>
      <c r="BJ108" s="40">
        <f>(Sheet4!BJ107/2)</f>
        <v>1</v>
      </c>
      <c r="BK108" s="40">
        <f>(Sheet4!BK107/2)</f>
        <v>0.5</v>
      </c>
      <c r="BL108" s="40">
        <f>(Sheet4!BL107/2)</f>
        <v>0.5</v>
      </c>
      <c r="BM108" s="40">
        <f>(Sheet4!BM107/2)</f>
        <v>0.5</v>
      </c>
      <c r="BN108" s="40">
        <f>(Sheet4!BN107/2)</f>
        <v>0.5</v>
      </c>
      <c r="BO108" s="40">
        <f>(Sheet4!BO107/2)</f>
        <v>0</v>
      </c>
      <c r="BP108" s="40">
        <f>(Sheet4!BP107/2)</f>
        <v>0.5</v>
      </c>
      <c r="BQ108" s="40">
        <f>(Sheet4!BQ107/2)</f>
        <v>0.5</v>
      </c>
      <c r="BR108" s="40">
        <f>(Sheet4!BR107/2)</f>
        <v>0.5</v>
      </c>
      <c r="BS108" s="40">
        <f>(Sheet4!BS107/2)</f>
        <v>0</v>
      </c>
      <c r="BT108" s="40">
        <f>(Sheet4!BT107/2)</f>
        <v>1</v>
      </c>
      <c r="BU108" s="40">
        <f>(Sheet4!BU107/2)</f>
        <v>0.5</v>
      </c>
      <c r="BV108" s="40">
        <f>(Sheet4!BV107/2)</f>
        <v>0.5</v>
      </c>
      <c r="BW108" s="40">
        <f>(Sheet4!BW107/2)</f>
        <v>0</v>
      </c>
      <c r="BX108" s="40">
        <f>(Sheet4!BX107/2)</f>
        <v>1</v>
      </c>
      <c r="BY108" s="40">
        <f>(Sheet4!BY107/2)</f>
        <v>0.5</v>
      </c>
      <c r="BZ108" s="40">
        <f>(Sheet4!BZ107/2)</f>
        <v>0.5</v>
      </c>
      <c r="CA108" s="40">
        <f>(Sheet4!CA107/2)</f>
        <v>0.5</v>
      </c>
      <c r="CB108" s="40">
        <f>(Sheet4!CB107/2)</f>
        <v>0.5</v>
      </c>
      <c r="CC108" s="40">
        <f>(Sheet4!CC107/2)</f>
        <v>0.5</v>
      </c>
      <c r="CD108" s="40">
        <f>(Sheet4!CD107/2)</f>
        <v>0</v>
      </c>
      <c r="CE108" s="40">
        <f>(Sheet4!CE107/2)</f>
        <v>0.5</v>
      </c>
      <c r="CF108" s="40">
        <f>(Sheet4!CF107/2)</f>
        <v>1</v>
      </c>
      <c r="CG108" s="40">
        <f>(Sheet4!CG107/2)</f>
        <v>0.5</v>
      </c>
      <c r="CH108" s="40">
        <f>(Sheet4!CH107/2)</f>
        <v>0</v>
      </c>
      <c r="CI108" s="40">
        <f>(Sheet4!CI107/2)</f>
        <v>0</v>
      </c>
      <c r="CJ108" s="40">
        <f>(Sheet4!CJ107/2)</f>
        <v>1</v>
      </c>
      <c r="CK108" s="40">
        <f>(Sheet4!CK107/2)</f>
        <v>0.5</v>
      </c>
      <c r="CL108" s="40">
        <f>(Sheet4!CL107/2)</f>
        <v>0.5</v>
      </c>
      <c r="CM108" s="40">
        <f>(Sheet4!CM107/2)</f>
        <v>0.5</v>
      </c>
      <c r="CN108" s="40">
        <f>(Sheet4!CN107/2)</f>
        <v>0.5</v>
      </c>
      <c r="CO108" s="40">
        <f>(Sheet4!CO107/2)</f>
        <v>0.5</v>
      </c>
      <c r="CP108" s="40">
        <f>(Sheet4!CP107/2)</f>
        <v>0.5</v>
      </c>
      <c r="CQ108" s="40">
        <f>(Sheet4!CQ107/2)</f>
        <v>0.5</v>
      </c>
      <c r="CR108" s="40">
        <f>(Sheet4!CR107/2)</f>
        <v>0.5</v>
      </c>
      <c r="CS108" s="40">
        <f>(Sheet4!CS107/2)</f>
        <v>0.5</v>
      </c>
      <c r="CT108" s="40">
        <f>(Sheet4!CT107/2)</f>
        <v>0.5</v>
      </c>
      <c r="CU108" s="40">
        <f>(Sheet4!CU107/2)</f>
        <v>0.5</v>
      </c>
      <c r="CV108" s="40">
        <f>(Sheet4!CV107/2)</f>
        <v>1.5</v>
      </c>
      <c r="CW108" s="40">
        <f>(Sheet4!CW107/2)</f>
        <v>0</v>
      </c>
      <c r="CX108" s="40">
        <f>(Sheet4!CX107/2)</f>
        <v>0.5</v>
      </c>
      <c r="CY108" s="40">
        <f>(Sheet4!CY107/2)</f>
        <v>0.5</v>
      </c>
      <c r="CZ108" s="40">
        <f>(Sheet4!CZ107/2)</f>
        <v>0.5</v>
      </c>
      <c r="DA108" s="40">
        <f>(Sheet4!DA107/2)</f>
        <v>0</v>
      </c>
      <c r="DB108" s="40">
        <f>(Sheet4!DB107/2)</f>
        <v>0</v>
      </c>
      <c r="DC108" s="40">
        <f>(Sheet4!DC107/2)</f>
        <v>1</v>
      </c>
      <c r="DD108" s="40">
        <f>(Sheet4!DD107/2)</f>
        <v>0</v>
      </c>
      <c r="DE108" s="40">
        <f>(Sheet4!DE107/2)</f>
        <v>0.5</v>
      </c>
      <c r="DF108" s="40">
        <f>(Sheet4!DF107/2)</f>
        <v>0.5</v>
      </c>
      <c r="DG108" s="40">
        <f>(Sheet4!DG107/2)</f>
        <v>0</v>
      </c>
      <c r="DH108" s="40">
        <f>(Sheet4!DH107/2)</f>
        <v>0</v>
      </c>
      <c r="DI108" s="40">
        <f>(Sheet4!DI107/2)</f>
        <v>0</v>
      </c>
      <c r="DJ108" s="40">
        <f>(Sheet4!DJ107/2)</f>
        <v>0</v>
      </c>
      <c r="DK108" s="40">
        <f>(Sheet4!DK107/2)</f>
        <v>0</v>
      </c>
      <c r="DL108" s="40">
        <f>(Sheet4!DL107/2)</f>
        <v>0</v>
      </c>
      <c r="DM108" s="40">
        <f>(Sheet4!DM107/2)</f>
        <v>0</v>
      </c>
      <c r="DN108" s="40">
        <f>(Sheet4!DN107/2)</f>
        <v>0</v>
      </c>
      <c r="DO108" s="40">
        <f>(Sheet4!DO107/2)</f>
        <v>0</v>
      </c>
      <c r="DP108" s="40">
        <f>(Sheet4!DP107/2)</f>
        <v>0</v>
      </c>
      <c r="DQ108" s="40">
        <f>(Sheet4!DQ107/2)</f>
        <v>0</v>
      </c>
    </row>
    <row r="109" spans="1:121" ht="15.75" customHeight="1" x14ac:dyDescent="0.3">
      <c r="A109" s="40">
        <f>Sheet4!A108</f>
        <v>99</v>
      </c>
      <c r="B109" s="40" t="str">
        <f>Sheet4!B108</f>
        <v xml:space="preserve">ፍቃዱ ባልቻ </v>
      </c>
      <c r="C109" s="26">
        <f>Sheet4!C108</f>
        <v>10500</v>
      </c>
      <c r="D109" s="40">
        <f>(Sheet4!D108/2)</f>
        <v>0.5</v>
      </c>
      <c r="E109" s="40">
        <f>(Sheet4!E108/2)</f>
        <v>0</v>
      </c>
      <c r="F109" s="40">
        <f>(Sheet4!F108/2)</f>
        <v>0</v>
      </c>
      <c r="G109" s="40">
        <f>(Sheet4!G108/2)</f>
        <v>0</v>
      </c>
      <c r="H109" s="40">
        <f>(Sheet4!H108/2)</f>
        <v>0</v>
      </c>
      <c r="I109" s="40">
        <f>(Sheet4!I108/2)</f>
        <v>0</v>
      </c>
      <c r="J109" s="40">
        <f>(Sheet4!J108/2)</f>
        <v>0</v>
      </c>
      <c r="K109" s="40">
        <f>(Sheet4!K108/2)</f>
        <v>0</v>
      </c>
      <c r="L109" s="40">
        <f>(Sheet4!L108/2)</f>
        <v>0</v>
      </c>
      <c r="M109" s="40">
        <f>(Sheet4!M108/2)</f>
        <v>0</v>
      </c>
      <c r="N109" s="40">
        <f>(Sheet4!N108/2)</f>
        <v>0</v>
      </c>
      <c r="O109" s="40">
        <f>(Sheet4!O108/2)</f>
        <v>0</v>
      </c>
      <c r="P109" s="40">
        <f>(Sheet4!P108/2)</f>
        <v>0</v>
      </c>
      <c r="Q109" s="40">
        <f>(Sheet4!Q108/2)</f>
        <v>0</v>
      </c>
      <c r="R109" s="40">
        <f>(Sheet4!R108/2)</f>
        <v>0</v>
      </c>
      <c r="S109" s="40">
        <f>(Sheet4!S108/2)</f>
        <v>0</v>
      </c>
      <c r="T109" s="40">
        <f>(Sheet4!T108/2)</f>
        <v>0</v>
      </c>
      <c r="U109" s="40">
        <f>(Sheet4!U108/2)</f>
        <v>0</v>
      </c>
      <c r="V109" s="40">
        <f>(Sheet4!V108/2)</f>
        <v>0</v>
      </c>
      <c r="W109" s="40">
        <f>(Sheet4!W108/2)</f>
        <v>0</v>
      </c>
      <c r="X109" s="40">
        <f>(Sheet4!X108/2)</f>
        <v>0</v>
      </c>
      <c r="Y109" s="40">
        <f>(Sheet4!Y108/2)</f>
        <v>0</v>
      </c>
      <c r="Z109" s="40">
        <f>(Sheet4!Z108/2)</f>
        <v>0</v>
      </c>
      <c r="AA109" s="40">
        <f>(Sheet4!AA108/2)</f>
        <v>0</v>
      </c>
      <c r="AB109" s="40">
        <f>(Sheet4!AB108/2)</f>
        <v>0</v>
      </c>
      <c r="AC109" s="40">
        <f>(Sheet4!AC108/2)</f>
        <v>0</v>
      </c>
      <c r="AD109" s="40">
        <f>(Sheet4!AD108/2)</f>
        <v>0</v>
      </c>
      <c r="AE109" s="40">
        <f>(Sheet4!AE108/2)</f>
        <v>0</v>
      </c>
      <c r="AF109" s="40">
        <f>(Sheet4!AF108/2)</f>
        <v>0</v>
      </c>
      <c r="AG109" s="40">
        <f>(Sheet4!AG108/2)</f>
        <v>0</v>
      </c>
      <c r="AH109" s="40">
        <f>(Sheet4!AH108/2)</f>
        <v>0</v>
      </c>
      <c r="AI109" s="40">
        <f>(Sheet4!AI108/2)</f>
        <v>0</v>
      </c>
      <c r="AJ109" s="40">
        <f>(Sheet4!AJ108/2)</f>
        <v>0</v>
      </c>
      <c r="AK109" s="40">
        <f>(Sheet4!AK108/2)</f>
        <v>0</v>
      </c>
      <c r="AL109" s="40">
        <f>(Sheet4!AL108/2)</f>
        <v>0</v>
      </c>
      <c r="AM109" s="40">
        <f>(Sheet4!AM108/2)</f>
        <v>0</v>
      </c>
      <c r="AN109" s="40">
        <f>(Sheet4!AN108/2)</f>
        <v>0</v>
      </c>
      <c r="AO109" s="40">
        <f>(Sheet4!AO108/2)</f>
        <v>0</v>
      </c>
      <c r="AP109" s="40">
        <f>(Sheet4!AP108/2)</f>
        <v>0</v>
      </c>
      <c r="AQ109" s="40">
        <f>(Sheet4!AQ108/2)</f>
        <v>0</v>
      </c>
      <c r="AR109" s="40">
        <f>(Sheet4!AR108/2)</f>
        <v>0</v>
      </c>
      <c r="AS109" s="40">
        <f>(Sheet4!AS108/2)</f>
        <v>0</v>
      </c>
      <c r="AT109" s="40">
        <f>(Sheet4!AT108/2)</f>
        <v>0</v>
      </c>
      <c r="AU109" s="40">
        <f>(Sheet4!AU108/2)</f>
        <v>0</v>
      </c>
      <c r="AV109" s="40">
        <f>(Sheet4!AV108/2)</f>
        <v>0</v>
      </c>
      <c r="AW109" s="40">
        <f>(Sheet4!AW108/2)</f>
        <v>0</v>
      </c>
      <c r="AX109" s="40">
        <f>(Sheet4!AX108/2)</f>
        <v>0</v>
      </c>
      <c r="AY109" s="40">
        <f>(Sheet4!AY108/2)</f>
        <v>0</v>
      </c>
      <c r="AZ109" s="40">
        <f>(Sheet4!AZ108/2)</f>
        <v>0</v>
      </c>
      <c r="BA109" s="40">
        <f>(Sheet4!BA108/2)</f>
        <v>0</v>
      </c>
      <c r="BB109" s="40">
        <f>(Sheet4!BB108/2)</f>
        <v>0</v>
      </c>
      <c r="BC109" s="40">
        <f>(Sheet4!BC108/2)</f>
        <v>0</v>
      </c>
      <c r="BD109" s="40">
        <f>(Sheet4!BD108/2)</f>
        <v>0</v>
      </c>
      <c r="BE109" s="40">
        <f>(Sheet4!BE108/2)</f>
        <v>0</v>
      </c>
      <c r="BF109" s="40">
        <f>(Sheet4!BF108/2)</f>
        <v>0</v>
      </c>
      <c r="BG109" s="40">
        <f>(Sheet4!BG108/2)</f>
        <v>0</v>
      </c>
      <c r="BH109" s="40">
        <f>(Sheet4!BH108/2)</f>
        <v>0</v>
      </c>
      <c r="BI109" s="40">
        <f>(Sheet4!BI108/2)</f>
        <v>0</v>
      </c>
      <c r="BJ109" s="40">
        <f>(Sheet4!BJ108/2)</f>
        <v>0</v>
      </c>
      <c r="BK109" s="40">
        <f>(Sheet4!BK108/2)</f>
        <v>0</v>
      </c>
      <c r="BL109" s="40">
        <f>(Sheet4!BL108/2)</f>
        <v>0</v>
      </c>
      <c r="BM109" s="40">
        <f>(Sheet4!BM108/2)</f>
        <v>0</v>
      </c>
      <c r="BN109" s="40">
        <f>(Sheet4!BN108/2)</f>
        <v>0</v>
      </c>
      <c r="BO109" s="40">
        <f>(Sheet4!BO108/2)</f>
        <v>0</v>
      </c>
      <c r="BP109" s="40">
        <f>(Sheet4!BP108/2)</f>
        <v>0</v>
      </c>
      <c r="BQ109" s="40">
        <f>(Sheet4!BQ108/2)</f>
        <v>0</v>
      </c>
      <c r="BR109" s="40">
        <f>(Sheet4!BR108/2)</f>
        <v>0</v>
      </c>
      <c r="BS109" s="40">
        <f>(Sheet4!BS108/2)</f>
        <v>0</v>
      </c>
      <c r="BT109" s="40">
        <f>(Sheet4!BT108/2)</f>
        <v>0</v>
      </c>
      <c r="BU109" s="40">
        <f>(Sheet4!BU108/2)</f>
        <v>0</v>
      </c>
      <c r="BV109" s="40">
        <f>(Sheet4!BV108/2)</f>
        <v>0</v>
      </c>
      <c r="BW109" s="40">
        <f>(Sheet4!BW108/2)</f>
        <v>0</v>
      </c>
      <c r="BX109" s="40">
        <f>(Sheet4!BX108/2)</f>
        <v>0</v>
      </c>
      <c r="BY109" s="40">
        <f>(Sheet4!BY108/2)</f>
        <v>0</v>
      </c>
      <c r="BZ109" s="40">
        <f>(Sheet4!BZ108/2)</f>
        <v>0</v>
      </c>
      <c r="CA109" s="40">
        <f>(Sheet4!CA108/2)</f>
        <v>0</v>
      </c>
      <c r="CB109" s="40">
        <f>(Sheet4!CB108/2)</f>
        <v>0</v>
      </c>
      <c r="CC109" s="40">
        <f>(Sheet4!CC108/2)</f>
        <v>0</v>
      </c>
      <c r="CD109" s="40">
        <f>(Sheet4!CD108/2)</f>
        <v>0</v>
      </c>
      <c r="CE109" s="40">
        <f>(Sheet4!CE108/2)</f>
        <v>0</v>
      </c>
      <c r="CF109" s="40">
        <f>(Sheet4!CF108/2)</f>
        <v>0</v>
      </c>
      <c r="CG109" s="40">
        <f>(Sheet4!CG108/2)</f>
        <v>0</v>
      </c>
      <c r="CH109" s="40">
        <f>(Sheet4!CH108/2)</f>
        <v>0</v>
      </c>
      <c r="CI109" s="40">
        <f>(Sheet4!CI108/2)</f>
        <v>0</v>
      </c>
      <c r="CJ109" s="40">
        <f>(Sheet4!CJ108/2)</f>
        <v>0</v>
      </c>
      <c r="CK109" s="40">
        <f>(Sheet4!CK108/2)</f>
        <v>0</v>
      </c>
      <c r="CL109" s="40">
        <f>(Sheet4!CL108/2)</f>
        <v>0</v>
      </c>
      <c r="CM109" s="40">
        <f>(Sheet4!CM108/2)</f>
        <v>0</v>
      </c>
      <c r="CN109" s="40">
        <f>(Sheet4!CN108/2)</f>
        <v>0</v>
      </c>
      <c r="CO109" s="40">
        <f>(Sheet4!CO108/2)</f>
        <v>0</v>
      </c>
      <c r="CP109" s="40">
        <f>(Sheet4!CP108/2)</f>
        <v>0</v>
      </c>
      <c r="CQ109" s="40">
        <f>(Sheet4!CQ108/2)</f>
        <v>0</v>
      </c>
      <c r="CR109" s="40">
        <f>(Sheet4!CR108/2)</f>
        <v>0</v>
      </c>
      <c r="CS109" s="40">
        <f>(Sheet4!CS108/2)</f>
        <v>0</v>
      </c>
      <c r="CT109" s="40">
        <f>(Sheet4!CT108/2)</f>
        <v>0</v>
      </c>
      <c r="CU109" s="40">
        <f>(Sheet4!CU108/2)</f>
        <v>0</v>
      </c>
      <c r="CV109" s="40">
        <f>(Sheet4!CV108/2)</f>
        <v>0</v>
      </c>
      <c r="CW109" s="40">
        <f>(Sheet4!CW108/2)</f>
        <v>0</v>
      </c>
      <c r="CX109" s="40">
        <f>(Sheet4!CX108/2)</f>
        <v>0</v>
      </c>
      <c r="CY109" s="40">
        <f>(Sheet4!CY108/2)</f>
        <v>0</v>
      </c>
      <c r="CZ109" s="40">
        <f>(Sheet4!CZ108/2)</f>
        <v>0</v>
      </c>
      <c r="DA109" s="40">
        <f>(Sheet4!DA108/2)</f>
        <v>0.5</v>
      </c>
      <c r="DB109" s="40">
        <f>(Sheet4!DB108/2)</f>
        <v>0</v>
      </c>
      <c r="DC109" s="40">
        <f>(Sheet4!DC108/2)</f>
        <v>0</v>
      </c>
      <c r="DD109" s="40">
        <f>(Sheet4!DD108/2)</f>
        <v>0</v>
      </c>
      <c r="DE109" s="40">
        <f>(Sheet4!DE108/2)</f>
        <v>0</v>
      </c>
      <c r="DF109" s="40">
        <f>(Sheet4!DF108/2)</f>
        <v>0</v>
      </c>
      <c r="DG109" s="40">
        <f>(Sheet4!DG108/2)</f>
        <v>2.5</v>
      </c>
      <c r="DH109" s="40">
        <f>(Sheet4!DH108/2)</f>
        <v>0</v>
      </c>
      <c r="DI109" s="40">
        <f>(Sheet4!DI108/2)</f>
        <v>0</v>
      </c>
      <c r="DJ109" s="40">
        <f>(Sheet4!DJ108/2)</f>
        <v>0</v>
      </c>
      <c r="DK109" s="40">
        <f>(Sheet4!DK108/2)</f>
        <v>0</v>
      </c>
      <c r="DL109" s="40">
        <f>(Sheet4!DL108/2)</f>
        <v>0</v>
      </c>
      <c r="DM109" s="40">
        <f>(Sheet4!DM108/2)</f>
        <v>0</v>
      </c>
      <c r="DN109" s="40">
        <f>(Sheet4!DN108/2)</f>
        <v>0</v>
      </c>
      <c r="DO109" s="40">
        <f>(Sheet4!DO108/2)</f>
        <v>0</v>
      </c>
      <c r="DP109" s="40">
        <f>(Sheet4!DP108/2)</f>
        <v>0</v>
      </c>
      <c r="DQ109" s="40">
        <f>(Sheet4!DQ108/2)</f>
        <v>0</v>
      </c>
    </row>
    <row r="110" spans="1:121" ht="15.75" customHeight="1" x14ac:dyDescent="0.3">
      <c r="A110" s="40">
        <f>Sheet4!A109</f>
        <v>100</v>
      </c>
      <c r="B110" s="40" t="str">
        <f>Sheet4!B109</f>
        <v>ሮዛ ተስፋማርያም</v>
      </c>
      <c r="C110" s="26">
        <f>Sheet4!C109</f>
        <v>10500</v>
      </c>
      <c r="D110" s="40">
        <f>(Sheet4!D109/2)</f>
        <v>0.5</v>
      </c>
      <c r="E110" s="40">
        <f>(Sheet4!E109/2)</f>
        <v>0.5</v>
      </c>
      <c r="F110" s="40">
        <f>(Sheet4!F109/2)</f>
        <v>0.5</v>
      </c>
      <c r="G110" s="40">
        <f>(Sheet4!G109/2)</f>
        <v>0.5</v>
      </c>
      <c r="H110" s="40">
        <f>(Sheet4!H109/2)</f>
        <v>0.5</v>
      </c>
      <c r="I110" s="40">
        <f>(Sheet4!I109/2)</f>
        <v>0.5</v>
      </c>
      <c r="J110" s="40">
        <f>(Sheet4!J109/2)</f>
        <v>0.5</v>
      </c>
      <c r="K110" s="40">
        <f>(Sheet4!K109/2)</f>
        <v>0.5</v>
      </c>
      <c r="L110" s="40">
        <f>(Sheet4!L109/2)</f>
        <v>0.5</v>
      </c>
      <c r="M110" s="40">
        <f>(Sheet4!M109/2)</f>
        <v>0.5</v>
      </c>
      <c r="N110" s="40">
        <f>(Sheet4!N109/2)</f>
        <v>0.5</v>
      </c>
      <c r="O110" s="40">
        <f>(Sheet4!O109/2)</f>
        <v>0.5</v>
      </c>
      <c r="P110" s="40">
        <f>(Sheet4!P109/2)</f>
        <v>0.5</v>
      </c>
      <c r="Q110" s="40">
        <f>(Sheet4!Q109/2)</f>
        <v>0.5</v>
      </c>
      <c r="R110" s="40">
        <f>(Sheet4!R109/2)</f>
        <v>0.5</v>
      </c>
      <c r="S110" s="40">
        <f>(Sheet4!S109/2)</f>
        <v>0.5</v>
      </c>
      <c r="T110" s="40">
        <f>(Sheet4!T109/2)</f>
        <v>0.5</v>
      </c>
      <c r="U110" s="40">
        <f>(Sheet4!U109/2)</f>
        <v>0.5</v>
      </c>
      <c r="V110" s="40">
        <f>(Sheet4!V109/2)</f>
        <v>0.5</v>
      </c>
      <c r="W110" s="40">
        <f>(Sheet4!W109/2)</f>
        <v>0.5</v>
      </c>
      <c r="X110" s="40">
        <f>(Sheet4!X109/2)</f>
        <v>0.5</v>
      </c>
      <c r="Y110" s="40">
        <f>(Sheet4!Y109/2)</f>
        <v>0.5</v>
      </c>
      <c r="Z110" s="40">
        <f>(Sheet4!Z109/2)</f>
        <v>0.5</v>
      </c>
      <c r="AA110" s="40">
        <f>(Sheet4!AA109/2)</f>
        <v>0</v>
      </c>
      <c r="AB110" s="40">
        <f>(Sheet4!AB109/2)</f>
        <v>1</v>
      </c>
      <c r="AC110" s="40">
        <f>(Sheet4!AC109/2)</f>
        <v>0.5</v>
      </c>
      <c r="AD110" s="40">
        <f>(Sheet4!AD109/2)</f>
        <v>0.5</v>
      </c>
      <c r="AE110" s="40">
        <f>(Sheet4!AE109/2)</f>
        <v>0.5</v>
      </c>
      <c r="AF110" s="40">
        <f>(Sheet4!AF109/2)</f>
        <v>0.5</v>
      </c>
      <c r="AG110" s="40">
        <f>(Sheet4!AG109/2)</f>
        <v>0.5</v>
      </c>
      <c r="AH110" s="40">
        <f>(Sheet4!AH109/2)</f>
        <v>0.5</v>
      </c>
      <c r="AI110" s="40">
        <f>(Sheet4!AI109/2)</f>
        <v>0.5</v>
      </c>
      <c r="AJ110" s="40">
        <f>(Sheet4!AJ109/2)</f>
        <v>0.5</v>
      </c>
      <c r="AK110" s="40">
        <f>(Sheet4!AK109/2)</f>
        <v>0.5</v>
      </c>
      <c r="AL110" s="40">
        <f>(Sheet4!AL109/2)</f>
        <v>0.5</v>
      </c>
      <c r="AM110" s="40">
        <f>(Sheet4!AM109/2)</f>
        <v>0.5</v>
      </c>
      <c r="AN110" s="40">
        <f>(Sheet4!AN109/2)</f>
        <v>0.5</v>
      </c>
      <c r="AO110" s="40">
        <f>(Sheet4!AO109/2)</f>
        <v>0.5</v>
      </c>
      <c r="AP110" s="40">
        <f>(Sheet4!AP109/2)</f>
        <v>0.5</v>
      </c>
      <c r="AQ110" s="40">
        <f>(Sheet4!AQ109/2)</f>
        <v>0.5</v>
      </c>
      <c r="AR110" s="40">
        <f>(Sheet4!AR109/2)</f>
        <v>0.5</v>
      </c>
      <c r="AS110" s="40">
        <f>(Sheet4!AS109/2)</f>
        <v>0.5</v>
      </c>
      <c r="AT110" s="40">
        <f>(Sheet4!AT109/2)</f>
        <v>0.5</v>
      </c>
      <c r="AU110" s="40">
        <f>(Sheet4!AU109/2)</f>
        <v>0.5</v>
      </c>
      <c r="AV110" s="40">
        <f>(Sheet4!AV109/2)</f>
        <v>0</v>
      </c>
      <c r="AW110" s="40">
        <f>(Sheet4!AW109/2)</f>
        <v>1</v>
      </c>
      <c r="AX110" s="40">
        <f>(Sheet4!AX109/2)</f>
        <v>0.5</v>
      </c>
      <c r="AY110" s="40">
        <f>(Sheet4!AY109/2)</f>
        <v>0</v>
      </c>
      <c r="AZ110" s="40">
        <f>(Sheet4!AZ109/2)</f>
        <v>0.5</v>
      </c>
      <c r="BA110" s="40">
        <f>(Sheet4!BA109/2)</f>
        <v>0.5</v>
      </c>
      <c r="BB110" s="40">
        <f>(Sheet4!BB109/2)</f>
        <v>0.5</v>
      </c>
      <c r="BC110" s="40">
        <f>(Sheet4!BC109/2)</f>
        <v>0.5</v>
      </c>
      <c r="BD110" s="40">
        <f>(Sheet4!BD109/2)</f>
        <v>0.5</v>
      </c>
      <c r="BE110" s="40">
        <f>(Sheet4!BE109/2)</f>
        <v>0</v>
      </c>
      <c r="BF110" s="40">
        <f>(Sheet4!BF109/2)</f>
        <v>0</v>
      </c>
      <c r="BG110" s="40">
        <f>(Sheet4!BG109/2)</f>
        <v>1</v>
      </c>
      <c r="BH110" s="40">
        <f>(Sheet4!BH109/2)</f>
        <v>0.5</v>
      </c>
      <c r="BI110" s="40">
        <f>(Sheet4!BI109/2)</f>
        <v>0.5</v>
      </c>
      <c r="BJ110" s="40">
        <f>(Sheet4!BJ109/2)</f>
        <v>0</v>
      </c>
      <c r="BK110" s="40">
        <f>(Sheet4!BK109/2)</f>
        <v>0</v>
      </c>
      <c r="BL110" s="40">
        <f>(Sheet4!BL109/2)</f>
        <v>0.5</v>
      </c>
      <c r="BM110" s="40">
        <f>(Sheet4!BM109/2)</f>
        <v>0</v>
      </c>
      <c r="BN110" s="40">
        <f>(Sheet4!BN109/2)</f>
        <v>0</v>
      </c>
      <c r="BO110" s="40">
        <f>(Sheet4!BO109/2)</f>
        <v>0.5</v>
      </c>
      <c r="BP110" s="40">
        <f>(Sheet4!BP109/2)</f>
        <v>0</v>
      </c>
      <c r="BQ110" s="40">
        <f>(Sheet4!BQ109/2)</f>
        <v>0.5</v>
      </c>
      <c r="BR110" s="40">
        <f>(Sheet4!BR109/2)</f>
        <v>0.5</v>
      </c>
      <c r="BS110" s="40">
        <f>(Sheet4!BS109/2)</f>
        <v>0</v>
      </c>
      <c r="BT110" s="40">
        <f>(Sheet4!BT109/2)</f>
        <v>0</v>
      </c>
      <c r="BU110" s="40">
        <f>(Sheet4!BU109/2)</f>
        <v>0.5</v>
      </c>
      <c r="BV110" s="40">
        <f>(Sheet4!BV109/2)</f>
        <v>0</v>
      </c>
      <c r="BW110" s="40">
        <f>(Sheet4!BW109/2)</f>
        <v>0</v>
      </c>
      <c r="BX110" s="40">
        <f>(Sheet4!BX109/2)</f>
        <v>0</v>
      </c>
      <c r="BY110" s="40">
        <f>(Sheet4!BY109/2)</f>
        <v>0</v>
      </c>
      <c r="BZ110" s="40">
        <f>(Sheet4!BZ109/2)</f>
        <v>0</v>
      </c>
      <c r="CA110" s="40">
        <f>(Sheet4!CA109/2)</f>
        <v>0.5</v>
      </c>
      <c r="CB110" s="40">
        <f>(Sheet4!CB109/2)</f>
        <v>0</v>
      </c>
      <c r="CC110" s="40">
        <f>(Sheet4!CC109/2)</f>
        <v>0</v>
      </c>
      <c r="CD110" s="40">
        <f>(Sheet4!CD109/2)</f>
        <v>0</v>
      </c>
      <c r="CE110" s="40">
        <f>(Sheet4!CE109/2)</f>
        <v>0</v>
      </c>
      <c r="CF110" s="40">
        <f>(Sheet4!CF109/2)</f>
        <v>0.5</v>
      </c>
      <c r="CG110" s="40">
        <f>(Sheet4!CG109/2)</f>
        <v>0</v>
      </c>
      <c r="CH110" s="40">
        <f>(Sheet4!CH109/2)</f>
        <v>0</v>
      </c>
      <c r="CI110" s="40">
        <f>(Sheet4!CI109/2)</f>
        <v>0</v>
      </c>
      <c r="CJ110" s="40">
        <f>(Sheet4!CJ109/2)</f>
        <v>0</v>
      </c>
      <c r="CK110" s="40">
        <f>(Sheet4!CK109/2)</f>
        <v>0</v>
      </c>
      <c r="CL110" s="40">
        <f>(Sheet4!CL109/2)</f>
        <v>0</v>
      </c>
      <c r="CM110" s="40">
        <f>(Sheet4!CM109/2)</f>
        <v>0</v>
      </c>
      <c r="CN110" s="40">
        <f>(Sheet4!CN109/2)</f>
        <v>0</v>
      </c>
      <c r="CO110" s="40">
        <f>(Sheet4!CO109/2)</f>
        <v>0</v>
      </c>
      <c r="CP110" s="40">
        <f>(Sheet4!CP109/2)</f>
        <v>0</v>
      </c>
      <c r="CQ110" s="40">
        <f>(Sheet4!CQ109/2)</f>
        <v>0</v>
      </c>
      <c r="CR110" s="40">
        <f>(Sheet4!CR109/2)</f>
        <v>0</v>
      </c>
      <c r="CS110" s="40">
        <f>(Sheet4!CS109/2)</f>
        <v>0</v>
      </c>
      <c r="CT110" s="40">
        <f>(Sheet4!CT109/2)</f>
        <v>0</v>
      </c>
      <c r="CU110" s="40">
        <f>(Sheet4!CU109/2)</f>
        <v>0</v>
      </c>
      <c r="CV110" s="40">
        <f>(Sheet4!CV109/2)</f>
        <v>0</v>
      </c>
      <c r="CW110" s="40">
        <f>(Sheet4!CW109/2)</f>
        <v>0</v>
      </c>
      <c r="CX110" s="40">
        <f>(Sheet4!CX109/2)</f>
        <v>0</v>
      </c>
      <c r="CY110" s="40">
        <f>(Sheet4!CY109/2)</f>
        <v>0</v>
      </c>
      <c r="CZ110" s="40">
        <f>(Sheet4!CZ109/2)</f>
        <v>0</v>
      </c>
      <c r="DA110" s="40">
        <f>(Sheet4!DA109/2)</f>
        <v>0.5</v>
      </c>
      <c r="DB110" s="40">
        <f>(Sheet4!DB109/2)</f>
        <v>0</v>
      </c>
      <c r="DC110" s="40">
        <f>(Sheet4!DC109/2)</f>
        <v>0</v>
      </c>
      <c r="DD110" s="40">
        <f>(Sheet4!DD109/2)</f>
        <v>0</v>
      </c>
      <c r="DE110" s="40">
        <f>(Sheet4!DE109/2)</f>
        <v>1</v>
      </c>
      <c r="DF110" s="40">
        <f>(Sheet4!DF109/2)</f>
        <v>0</v>
      </c>
      <c r="DG110" s="40">
        <f>(Sheet4!DG109/2)</f>
        <v>0</v>
      </c>
      <c r="DH110" s="40">
        <f>(Sheet4!DH109/2)</f>
        <v>0</v>
      </c>
      <c r="DI110" s="40">
        <f>(Sheet4!DI109/2)</f>
        <v>0</v>
      </c>
      <c r="DJ110" s="40">
        <f>(Sheet4!DJ109/2)</f>
        <v>0</v>
      </c>
      <c r="DK110" s="40">
        <f>(Sheet4!DK109/2)</f>
        <v>0</v>
      </c>
      <c r="DL110" s="40">
        <f>(Sheet4!DL109/2)</f>
        <v>0</v>
      </c>
      <c r="DM110" s="40">
        <f>(Sheet4!DM109/2)</f>
        <v>0</v>
      </c>
      <c r="DN110" s="40">
        <f>(Sheet4!DN109/2)</f>
        <v>0</v>
      </c>
      <c r="DO110" s="40">
        <f>(Sheet4!DO109/2)</f>
        <v>0</v>
      </c>
      <c r="DP110" s="40">
        <f>(Sheet4!DP109/2)</f>
        <v>0</v>
      </c>
      <c r="DQ110" s="40">
        <f>(Sheet4!DQ109/2)</f>
        <v>0</v>
      </c>
    </row>
    <row r="111" spans="1:121" ht="15.75" customHeight="1" x14ac:dyDescent="0.3">
      <c r="A111" s="40">
        <f>Sheet4!A110</f>
        <v>100</v>
      </c>
      <c r="B111" s="40" t="str">
        <f>Sheet4!B110</f>
        <v xml:space="preserve">ዘመዱ ሸኖ </v>
      </c>
      <c r="C111" s="26">
        <f>Sheet4!C110</f>
        <v>10500</v>
      </c>
      <c r="D111" s="40">
        <f>(Sheet4!D110/2)</f>
        <v>0.5</v>
      </c>
      <c r="E111" s="40">
        <f>(Sheet4!E110/2)</f>
        <v>0.5</v>
      </c>
      <c r="F111" s="40">
        <f>(Sheet4!F110/2)</f>
        <v>0.5</v>
      </c>
      <c r="G111" s="40">
        <f>(Sheet4!G110/2)</f>
        <v>0.5</v>
      </c>
      <c r="H111" s="40">
        <f>(Sheet4!H110/2)</f>
        <v>0.5</v>
      </c>
      <c r="I111" s="40">
        <f>(Sheet4!I110/2)</f>
        <v>0.5</v>
      </c>
      <c r="J111" s="40">
        <f>(Sheet4!J110/2)</f>
        <v>0.5</v>
      </c>
      <c r="K111" s="40">
        <f>(Sheet4!K110/2)</f>
        <v>0.5</v>
      </c>
      <c r="L111" s="40">
        <f>(Sheet4!L110/2)</f>
        <v>0.5</v>
      </c>
      <c r="M111" s="40">
        <f>(Sheet4!M110/2)</f>
        <v>0.5</v>
      </c>
      <c r="N111" s="40">
        <f>(Sheet4!N110/2)</f>
        <v>0.5</v>
      </c>
      <c r="O111" s="40">
        <f>(Sheet4!O110/2)</f>
        <v>0.5</v>
      </c>
      <c r="P111" s="40">
        <f>(Sheet4!P110/2)</f>
        <v>0.5</v>
      </c>
      <c r="Q111" s="40">
        <f>(Sheet4!Q110/2)</f>
        <v>0.5</v>
      </c>
      <c r="R111" s="40">
        <f>(Sheet4!R110/2)</f>
        <v>0.5</v>
      </c>
      <c r="S111" s="40">
        <f>(Sheet4!S110/2)</f>
        <v>0.5</v>
      </c>
      <c r="T111" s="40">
        <f>(Sheet4!T110/2)</f>
        <v>0.5</v>
      </c>
      <c r="U111" s="40">
        <f>(Sheet4!U110/2)</f>
        <v>0.5</v>
      </c>
      <c r="V111" s="40">
        <f>(Sheet4!V110/2)</f>
        <v>0.5</v>
      </c>
      <c r="W111" s="40">
        <f>(Sheet4!W110/2)</f>
        <v>0.5</v>
      </c>
      <c r="X111" s="40">
        <f>(Sheet4!X110/2)</f>
        <v>0.5</v>
      </c>
      <c r="Y111" s="40">
        <f>(Sheet4!Y110/2)</f>
        <v>0.5</v>
      </c>
      <c r="Z111" s="40">
        <f>(Sheet4!Z110/2)</f>
        <v>0.5</v>
      </c>
      <c r="AA111" s="40">
        <f>(Sheet4!AA110/2)</f>
        <v>0</v>
      </c>
      <c r="AB111" s="40">
        <f>(Sheet4!AB110/2)</f>
        <v>1</v>
      </c>
      <c r="AC111" s="40">
        <f>(Sheet4!AC110/2)</f>
        <v>0.5</v>
      </c>
      <c r="AD111" s="40">
        <f>(Sheet4!AD110/2)</f>
        <v>0.5</v>
      </c>
      <c r="AE111" s="40">
        <f>(Sheet4!AE110/2)</f>
        <v>0.5</v>
      </c>
      <c r="AF111" s="40">
        <f>(Sheet4!AF110/2)</f>
        <v>0.5</v>
      </c>
      <c r="AG111" s="40">
        <f>(Sheet4!AG110/2)</f>
        <v>0.5</v>
      </c>
      <c r="AH111" s="40">
        <f>(Sheet4!AH110/2)</f>
        <v>0</v>
      </c>
      <c r="AI111" s="40">
        <f>(Sheet4!AI110/2)</f>
        <v>1</v>
      </c>
      <c r="AJ111" s="40">
        <f>(Sheet4!AJ110/2)</f>
        <v>0</v>
      </c>
      <c r="AK111" s="40">
        <f>(Sheet4!AK110/2)</f>
        <v>1</v>
      </c>
      <c r="AL111" s="40">
        <f>(Sheet4!AL110/2)</f>
        <v>0</v>
      </c>
      <c r="AM111" s="40">
        <f>(Sheet4!AM110/2)</f>
        <v>1</v>
      </c>
      <c r="AN111" s="40">
        <f>(Sheet4!AN110/2)</f>
        <v>0.5</v>
      </c>
      <c r="AO111" s="40">
        <f>(Sheet4!AO110/2)</f>
        <v>0.5</v>
      </c>
      <c r="AP111" s="40">
        <f>(Sheet4!AP110/2)</f>
        <v>0.5</v>
      </c>
      <c r="AQ111" s="40">
        <f>(Sheet4!AQ110/2)</f>
        <v>0.5</v>
      </c>
      <c r="AR111" s="40">
        <f>(Sheet4!AR110/2)</f>
        <v>0.5</v>
      </c>
      <c r="AS111" s="40">
        <f>(Sheet4!AS110/2)</f>
        <v>0.5</v>
      </c>
      <c r="AT111" s="40">
        <f>(Sheet4!AT110/2)</f>
        <v>0.5</v>
      </c>
      <c r="AU111" s="40">
        <f>(Sheet4!AU110/2)</f>
        <v>0</v>
      </c>
      <c r="AV111" s="40">
        <f>(Sheet4!AV110/2)</f>
        <v>1</v>
      </c>
      <c r="AW111" s="40">
        <f>(Sheet4!AW110/2)</f>
        <v>0.5</v>
      </c>
      <c r="AX111" s="40">
        <f>(Sheet4!AX110/2)</f>
        <v>0</v>
      </c>
      <c r="AY111" s="40">
        <f>(Sheet4!AY110/2)</f>
        <v>1</v>
      </c>
      <c r="AZ111" s="40">
        <f>(Sheet4!AZ110/2)</f>
        <v>0</v>
      </c>
      <c r="BA111" s="40">
        <f>(Sheet4!BA110/2)</f>
        <v>1</v>
      </c>
      <c r="BB111" s="40">
        <f>(Sheet4!BB110/2)</f>
        <v>0.5</v>
      </c>
      <c r="BC111" s="40">
        <f>(Sheet4!BC110/2)</f>
        <v>0.5</v>
      </c>
      <c r="BD111" s="40">
        <f>(Sheet4!BD110/2)</f>
        <v>0</v>
      </c>
      <c r="BE111" s="40">
        <f>(Sheet4!BE110/2)</f>
        <v>1</v>
      </c>
      <c r="BF111" s="40">
        <f>(Sheet4!BF110/2)</f>
        <v>0.5</v>
      </c>
      <c r="BG111" s="40">
        <f>(Sheet4!BG110/2)</f>
        <v>0.5</v>
      </c>
      <c r="BH111" s="40">
        <f>(Sheet4!BH110/2)</f>
        <v>0</v>
      </c>
      <c r="BI111" s="40">
        <f>(Sheet4!BI110/2)</f>
        <v>1</v>
      </c>
      <c r="BJ111" s="40">
        <f>(Sheet4!BJ110/2)</f>
        <v>0.5</v>
      </c>
      <c r="BK111" s="40">
        <f>(Sheet4!BK110/2)</f>
        <v>0.5</v>
      </c>
      <c r="BL111" s="40">
        <f>(Sheet4!BL110/2)</f>
        <v>0.5</v>
      </c>
      <c r="BM111" s="40">
        <f>(Sheet4!BM110/2)</f>
        <v>0</v>
      </c>
      <c r="BN111" s="40">
        <f>(Sheet4!BN110/2)</f>
        <v>0.5</v>
      </c>
      <c r="BO111" s="40">
        <f>(Sheet4!BO110/2)</f>
        <v>1</v>
      </c>
      <c r="BP111" s="40">
        <f>(Sheet4!BP110/2)</f>
        <v>0.5</v>
      </c>
      <c r="BQ111" s="40">
        <f>(Sheet4!BQ110/2)</f>
        <v>0</v>
      </c>
      <c r="BR111" s="40">
        <f>(Sheet4!BR110/2)</f>
        <v>1</v>
      </c>
      <c r="BS111" s="40">
        <f>(Sheet4!BS110/2)</f>
        <v>0</v>
      </c>
      <c r="BT111" s="40">
        <f>(Sheet4!BT110/2)</f>
        <v>1</v>
      </c>
      <c r="BU111" s="40">
        <f>(Sheet4!BU110/2)</f>
        <v>0</v>
      </c>
      <c r="BV111" s="40">
        <f>(Sheet4!BV110/2)</f>
        <v>1</v>
      </c>
      <c r="BW111" s="40">
        <f>(Sheet4!BW110/2)</f>
        <v>0.5</v>
      </c>
      <c r="BX111" s="40">
        <f>(Sheet4!BX110/2)</f>
        <v>0</v>
      </c>
      <c r="BY111" s="40">
        <f>(Sheet4!BY110/2)</f>
        <v>1</v>
      </c>
      <c r="BZ111" s="40">
        <f>(Sheet4!BZ110/2)</f>
        <v>0</v>
      </c>
      <c r="CA111" s="40">
        <f>(Sheet4!CA110/2)</f>
        <v>1</v>
      </c>
      <c r="CB111" s="40">
        <f>(Sheet4!CB110/2)</f>
        <v>0.5</v>
      </c>
      <c r="CC111" s="40">
        <f>(Sheet4!CC110/2)</f>
        <v>0.5</v>
      </c>
      <c r="CD111" s="40">
        <f>(Sheet4!CD110/2)</f>
        <v>0</v>
      </c>
      <c r="CE111" s="40">
        <f>(Sheet4!CE110/2)</f>
        <v>1</v>
      </c>
      <c r="CF111" s="40">
        <f>(Sheet4!CF110/2)</f>
        <v>0</v>
      </c>
      <c r="CG111" s="40">
        <f>(Sheet4!CG110/2)</f>
        <v>0.5</v>
      </c>
      <c r="CH111" s="40">
        <f>(Sheet4!CH110/2)</f>
        <v>0.5</v>
      </c>
      <c r="CI111" s="40">
        <f>(Sheet4!CI110/2)</f>
        <v>0.5</v>
      </c>
      <c r="CJ111" s="40">
        <f>(Sheet4!CJ110/2)</f>
        <v>0.5</v>
      </c>
      <c r="CK111" s="40">
        <f>(Sheet4!CK110/2)</f>
        <v>0.5</v>
      </c>
      <c r="CL111" s="40">
        <f>(Sheet4!CL110/2)</f>
        <v>0.5</v>
      </c>
      <c r="CM111" s="40">
        <f>(Sheet4!CM110/2)</f>
        <v>0.5</v>
      </c>
      <c r="CN111" s="40">
        <f>(Sheet4!CN110/2)</f>
        <v>0.5</v>
      </c>
      <c r="CO111" s="40">
        <f>(Sheet4!CO110/2)</f>
        <v>0.5</v>
      </c>
      <c r="CP111" s="40">
        <f>(Sheet4!CP110/2)</f>
        <v>0.5</v>
      </c>
      <c r="CQ111" s="40">
        <f>(Sheet4!CQ110/2)</f>
        <v>0.5</v>
      </c>
      <c r="CR111" s="40">
        <f>(Sheet4!CR110/2)</f>
        <v>0.5</v>
      </c>
      <c r="CS111" s="40">
        <f>(Sheet4!CS110/2)</f>
        <v>0.5</v>
      </c>
      <c r="CT111" s="40">
        <f>(Sheet4!CT110/2)</f>
        <v>0.5</v>
      </c>
      <c r="CU111" s="40">
        <f>(Sheet4!CU110/2)</f>
        <v>0.5</v>
      </c>
      <c r="CV111" s="40">
        <f>(Sheet4!CV110/2)</f>
        <v>0.5</v>
      </c>
      <c r="CW111" s="40">
        <f>(Sheet4!CW110/2)</f>
        <v>0.5</v>
      </c>
      <c r="CX111" s="40">
        <f>(Sheet4!CX110/2)</f>
        <v>0.5</v>
      </c>
      <c r="CY111" s="40">
        <f>(Sheet4!CY110/2)</f>
        <v>0.5</v>
      </c>
      <c r="CZ111" s="40">
        <f>(Sheet4!CZ110/2)</f>
        <v>0.5</v>
      </c>
      <c r="DA111" s="40">
        <f>(Sheet4!DA110/2)</f>
        <v>0.5</v>
      </c>
      <c r="DB111" s="40">
        <f>(Sheet4!DB110/2)</f>
        <v>0.5</v>
      </c>
      <c r="DC111" s="40">
        <f>(Sheet4!DC110/2)</f>
        <v>0.5</v>
      </c>
      <c r="DD111" s="40">
        <f>(Sheet4!DD110/2)</f>
        <v>0.5</v>
      </c>
      <c r="DE111" s="40">
        <f>(Sheet4!DE110/2)</f>
        <v>0.5</v>
      </c>
      <c r="DF111" s="40">
        <f>(Sheet4!DF110/2)</f>
        <v>0.5</v>
      </c>
      <c r="DG111" s="40">
        <f>(Sheet4!DG110/2)</f>
        <v>0.5</v>
      </c>
      <c r="DH111" s="40">
        <f>(Sheet4!DH110/2)</f>
        <v>0</v>
      </c>
      <c r="DI111" s="40">
        <f>(Sheet4!DI110/2)</f>
        <v>0</v>
      </c>
      <c r="DJ111" s="40">
        <f>(Sheet4!DJ110/2)</f>
        <v>0</v>
      </c>
      <c r="DK111" s="40">
        <f>(Sheet4!DK110/2)</f>
        <v>0</v>
      </c>
      <c r="DL111" s="40">
        <f>(Sheet4!DL110/2)</f>
        <v>0</v>
      </c>
      <c r="DM111" s="40">
        <f>(Sheet4!DM110/2)</f>
        <v>0</v>
      </c>
      <c r="DN111" s="40">
        <f>(Sheet4!DN110/2)</f>
        <v>0</v>
      </c>
      <c r="DO111" s="40">
        <f>(Sheet4!DO110/2)</f>
        <v>0</v>
      </c>
      <c r="DP111" s="40">
        <f>(Sheet4!DP110/2)</f>
        <v>0</v>
      </c>
      <c r="DQ111" s="40">
        <f>(Sheet4!DQ110/2)</f>
        <v>0</v>
      </c>
    </row>
    <row r="112" spans="1:121" ht="15.75" customHeight="1" x14ac:dyDescent="0.3">
      <c r="A112" s="40">
        <f>Sheet4!A111</f>
        <v>101</v>
      </c>
      <c r="B112" s="40" t="str">
        <f>Sheet4!B111</f>
        <v>ሰጋሮ ገለሶ</v>
      </c>
      <c r="C112" s="26">
        <f>Sheet4!C111</f>
        <v>10500</v>
      </c>
      <c r="D112" s="40">
        <f>(Sheet4!D111/2)</f>
        <v>0.5</v>
      </c>
      <c r="E112" s="40">
        <f>(Sheet4!E111/2)</f>
        <v>0.5</v>
      </c>
      <c r="F112" s="40">
        <f>(Sheet4!F111/2)</f>
        <v>0.5</v>
      </c>
      <c r="G112" s="40">
        <f>(Sheet4!G111/2)</f>
        <v>0.5</v>
      </c>
      <c r="H112" s="40">
        <f>(Sheet4!H111/2)</f>
        <v>0.5</v>
      </c>
      <c r="I112" s="40">
        <f>(Sheet4!I111/2)</f>
        <v>0.5</v>
      </c>
      <c r="J112" s="40">
        <f>(Sheet4!J111/2)</f>
        <v>0.5</v>
      </c>
      <c r="K112" s="40">
        <f>(Sheet4!K111/2)</f>
        <v>0.5</v>
      </c>
      <c r="L112" s="40">
        <f>(Sheet4!L111/2)</f>
        <v>0.5</v>
      </c>
      <c r="M112" s="40">
        <f>(Sheet4!M111/2)</f>
        <v>0.5</v>
      </c>
      <c r="N112" s="40">
        <f>(Sheet4!N111/2)</f>
        <v>0.5</v>
      </c>
      <c r="O112" s="40">
        <f>(Sheet4!O111/2)</f>
        <v>0.5</v>
      </c>
      <c r="P112" s="40">
        <f>(Sheet4!P111/2)</f>
        <v>0.5</v>
      </c>
      <c r="Q112" s="40">
        <f>(Sheet4!Q111/2)</f>
        <v>0.5</v>
      </c>
      <c r="R112" s="40">
        <f>(Sheet4!R111/2)</f>
        <v>0.5</v>
      </c>
      <c r="S112" s="40">
        <f>(Sheet4!S111/2)</f>
        <v>0.5</v>
      </c>
      <c r="T112" s="40">
        <f>(Sheet4!T111/2)</f>
        <v>0.5</v>
      </c>
      <c r="U112" s="40">
        <f>(Sheet4!U111/2)</f>
        <v>0.5</v>
      </c>
      <c r="V112" s="40">
        <f>(Sheet4!V111/2)</f>
        <v>0.5</v>
      </c>
      <c r="W112" s="40">
        <f>(Sheet4!W111/2)</f>
        <v>0</v>
      </c>
      <c r="X112" s="40">
        <f>(Sheet4!X111/2)</f>
        <v>0.5</v>
      </c>
      <c r="Y112" s="40">
        <f>(Sheet4!Y111/2)</f>
        <v>0.5</v>
      </c>
      <c r="Z112" s="40">
        <f>(Sheet4!Z111/2)</f>
        <v>0.5</v>
      </c>
      <c r="AA112" s="40">
        <f>(Sheet4!AA111/2)</f>
        <v>0</v>
      </c>
      <c r="AB112" s="40">
        <f>(Sheet4!AB111/2)</f>
        <v>1</v>
      </c>
      <c r="AC112" s="40">
        <f>(Sheet4!AC111/2)</f>
        <v>0.5</v>
      </c>
      <c r="AD112" s="40">
        <f>(Sheet4!AD111/2)</f>
        <v>0.5</v>
      </c>
      <c r="AE112" s="40">
        <f>(Sheet4!AE111/2)</f>
        <v>0.5</v>
      </c>
      <c r="AF112" s="40">
        <f>(Sheet4!AF111/2)</f>
        <v>0.5</v>
      </c>
      <c r="AG112" s="40">
        <f>(Sheet4!AG111/2)</f>
        <v>0.5</v>
      </c>
      <c r="AH112" s="40">
        <f>(Sheet4!AH111/2)</f>
        <v>0.5</v>
      </c>
      <c r="AI112" s="40">
        <f>(Sheet4!AI111/2)</f>
        <v>0.5</v>
      </c>
      <c r="AJ112" s="40">
        <f>(Sheet4!AJ111/2)</f>
        <v>0.5</v>
      </c>
      <c r="AK112" s="40">
        <f>(Sheet4!AK111/2)</f>
        <v>0.5</v>
      </c>
      <c r="AL112" s="40">
        <f>(Sheet4!AL111/2)</f>
        <v>0.5</v>
      </c>
      <c r="AM112" s="40">
        <f>(Sheet4!AM111/2)</f>
        <v>0.5</v>
      </c>
      <c r="AN112" s="40">
        <f>(Sheet4!AN111/2)</f>
        <v>0.5</v>
      </c>
      <c r="AO112" s="40">
        <f>(Sheet4!AO111/2)</f>
        <v>0.5</v>
      </c>
      <c r="AP112" s="40">
        <f>(Sheet4!AP111/2)</f>
        <v>0.5</v>
      </c>
      <c r="AQ112" s="40">
        <f>(Sheet4!AQ111/2)</f>
        <v>0.5</v>
      </c>
      <c r="AR112" s="40">
        <f>(Sheet4!AR111/2)</f>
        <v>0.5</v>
      </c>
      <c r="AS112" s="40">
        <f>(Sheet4!AS111/2)</f>
        <v>0.5</v>
      </c>
      <c r="AT112" s="40">
        <f>(Sheet4!AT111/2)</f>
        <v>0</v>
      </c>
      <c r="AU112" s="40">
        <f>(Sheet4!AU111/2)</f>
        <v>0.5</v>
      </c>
      <c r="AV112" s="40">
        <f>(Sheet4!AV111/2)</f>
        <v>0.5</v>
      </c>
      <c r="AW112" s="40">
        <f>(Sheet4!AW111/2)</f>
        <v>0.5</v>
      </c>
      <c r="AX112" s="40">
        <f>(Sheet4!AX111/2)</f>
        <v>0.5</v>
      </c>
      <c r="AY112" s="40">
        <f>(Sheet4!AY111/2)</f>
        <v>0.5</v>
      </c>
      <c r="AZ112" s="40">
        <f>(Sheet4!AZ111/2)</f>
        <v>0</v>
      </c>
      <c r="BA112" s="40">
        <f>(Sheet4!BA111/2)</f>
        <v>1</v>
      </c>
      <c r="BB112" s="40">
        <f>(Sheet4!BB111/2)</f>
        <v>0.5</v>
      </c>
      <c r="BC112" s="40">
        <f>(Sheet4!BC111/2)</f>
        <v>0.5</v>
      </c>
      <c r="BD112" s="40">
        <f>(Sheet4!BD111/2)</f>
        <v>0</v>
      </c>
      <c r="BE112" s="40">
        <f>(Sheet4!BE111/2)</f>
        <v>1</v>
      </c>
      <c r="BF112" s="40">
        <f>(Sheet4!BF111/2)</f>
        <v>0.5</v>
      </c>
      <c r="BG112" s="40">
        <f>(Sheet4!BG111/2)</f>
        <v>0.5</v>
      </c>
      <c r="BH112" s="40">
        <f>(Sheet4!BH111/2)</f>
        <v>0.5</v>
      </c>
      <c r="BI112" s="40">
        <f>(Sheet4!BI111/2)</f>
        <v>0.5</v>
      </c>
      <c r="BJ112" s="40">
        <f>(Sheet4!BJ111/2)</f>
        <v>0</v>
      </c>
      <c r="BK112" s="40">
        <f>(Sheet4!BK111/2)</f>
        <v>1</v>
      </c>
      <c r="BL112" s="40">
        <f>(Sheet4!BL111/2)</f>
        <v>0.5</v>
      </c>
      <c r="BM112" s="40">
        <f>(Sheet4!BM111/2)</f>
        <v>0</v>
      </c>
      <c r="BN112" s="40">
        <f>(Sheet4!BN111/2)</f>
        <v>1</v>
      </c>
      <c r="BO112" s="40">
        <f>(Sheet4!BO111/2)</f>
        <v>0.5</v>
      </c>
      <c r="BP112" s="40">
        <f>(Sheet4!BP111/2)</f>
        <v>0.5</v>
      </c>
      <c r="BQ112" s="40">
        <f>(Sheet4!BQ111/2)</f>
        <v>0</v>
      </c>
      <c r="BR112" s="40">
        <f>(Sheet4!BR111/2)</f>
        <v>1</v>
      </c>
      <c r="BS112" s="40">
        <f>(Sheet4!BS111/2)</f>
        <v>0</v>
      </c>
      <c r="BT112" s="40">
        <f>(Sheet4!BT111/2)</f>
        <v>1</v>
      </c>
      <c r="BU112" s="40">
        <f>(Sheet4!BU111/2)</f>
        <v>0</v>
      </c>
      <c r="BV112" s="40">
        <f>(Sheet4!BV111/2)</f>
        <v>1</v>
      </c>
      <c r="BW112" s="40">
        <f>(Sheet4!BW111/2)</f>
        <v>0</v>
      </c>
      <c r="BX112" s="40">
        <f>(Sheet4!BX111/2)</f>
        <v>1</v>
      </c>
      <c r="BY112" s="40">
        <f>(Sheet4!BY111/2)</f>
        <v>0</v>
      </c>
      <c r="BZ112" s="40">
        <f>(Sheet4!BZ111/2)</f>
        <v>1</v>
      </c>
      <c r="CA112" s="40">
        <f>(Sheet4!CA111/2)</f>
        <v>0</v>
      </c>
      <c r="CB112" s="40">
        <f>(Sheet4!CB111/2)</f>
        <v>1</v>
      </c>
      <c r="CC112" s="40">
        <f>(Sheet4!CC111/2)</f>
        <v>0</v>
      </c>
      <c r="CD112" s="40">
        <f>(Sheet4!CD111/2)</f>
        <v>0</v>
      </c>
      <c r="CE112" s="40">
        <f>(Sheet4!CE111/2)</f>
        <v>1</v>
      </c>
      <c r="CF112" s="40">
        <f>(Sheet4!CF111/2)</f>
        <v>0.5</v>
      </c>
      <c r="CG112" s="40">
        <f>(Sheet4!CG111/2)</f>
        <v>0.5</v>
      </c>
      <c r="CH112" s="40">
        <f>(Sheet4!CH111/2)</f>
        <v>0.5</v>
      </c>
      <c r="CI112" s="40">
        <f>(Sheet4!CI111/2)</f>
        <v>0.5</v>
      </c>
      <c r="CJ112" s="40">
        <f>(Sheet4!CJ111/2)</f>
        <v>0.5</v>
      </c>
      <c r="CK112" s="40">
        <f>(Sheet4!CK111/2)</f>
        <v>0.5</v>
      </c>
      <c r="CL112" s="40">
        <f>(Sheet4!CL111/2)</f>
        <v>0.5</v>
      </c>
      <c r="CM112" s="40">
        <f>(Sheet4!CM111/2)</f>
        <v>0.5</v>
      </c>
      <c r="CN112" s="40">
        <f>(Sheet4!CN111/2)</f>
        <v>0.5</v>
      </c>
      <c r="CO112" s="40">
        <f>(Sheet4!CO111/2)</f>
        <v>0</v>
      </c>
      <c r="CP112" s="40">
        <f>(Sheet4!CP111/2)</f>
        <v>1</v>
      </c>
      <c r="CQ112" s="40">
        <f>(Sheet4!CQ111/2)</f>
        <v>0</v>
      </c>
      <c r="CR112" s="40">
        <f>(Sheet4!CR111/2)</f>
        <v>0.5</v>
      </c>
      <c r="CS112" s="40">
        <f>(Sheet4!CS111/2)</f>
        <v>0.5</v>
      </c>
      <c r="CT112" s="40">
        <f>(Sheet4!CT111/2)</f>
        <v>0.5</v>
      </c>
      <c r="CU112" s="40">
        <f>(Sheet4!CU111/2)</f>
        <v>0.5</v>
      </c>
      <c r="CV112" s="40">
        <f>(Sheet4!CV111/2)</f>
        <v>0.5</v>
      </c>
      <c r="CW112" s="40">
        <f>(Sheet4!CW111/2)</f>
        <v>0.5</v>
      </c>
      <c r="CX112" s="40">
        <f>(Sheet4!CX111/2)</f>
        <v>0.5</v>
      </c>
      <c r="CY112" s="40">
        <f>(Sheet4!CY111/2)</f>
        <v>0.5</v>
      </c>
      <c r="CZ112" s="40">
        <f>(Sheet4!CZ111/2)</f>
        <v>0.5</v>
      </c>
      <c r="DA112" s="40">
        <f>(Sheet4!DA111/2)</f>
        <v>0.5</v>
      </c>
      <c r="DB112" s="40">
        <f>(Sheet4!DB111/2)</f>
        <v>0.5</v>
      </c>
      <c r="DC112" s="40">
        <f>(Sheet4!DC111/2)</f>
        <v>0.5</v>
      </c>
      <c r="DD112" s="40">
        <f>(Sheet4!DD111/2)</f>
        <v>0</v>
      </c>
      <c r="DE112" s="40">
        <f>(Sheet4!DE111/2)</f>
        <v>0.5</v>
      </c>
      <c r="DF112" s="40">
        <f>(Sheet4!DF111/2)</f>
        <v>0.5</v>
      </c>
      <c r="DG112" s="40">
        <f>(Sheet4!DG111/2)</f>
        <v>0</v>
      </c>
      <c r="DH112" s="40">
        <f>(Sheet4!DH111/2)</f>
        <v>0</v>
      </c>
      <c r="DI112" s="40">
        <f>(Sheet4!DI111/2)</f>
        <v>0</v>
      </c>
      <c r="DJ112" s="40">
        <f>(Sheet4!DJ111/2)</f>
        <v>0</v>
      </c>
      <c r="DK112" s="40">
        <f>(Sheet4!DK111/2)</f>
        <v>0</v>
      </c>
      <c r="DL112" s="40">
        <f>(Sheet4!DL111/2)</f>
        <v>0</v>
      </c>
      <c r="DM112" s="40">
        <f>(Sheet4!DM111/2)</f>
        <v>0</v>
      </c>
      <c r="DN112" s="40">
        <f>(Sheet4!DN111/2)</f>
        <v>0</v>
      </c>
      <c r="DO112" s="40">
        <f>(Sheet4!DO111/2)</f>
        <v>0</v>
      </c>
      <c r="DP112" s="40">
        <f>(Sheet4!DP111/2)</f>
        <v>0</v>
      </c>
      <c r="DQ112" s="40">
        <f>(Sheet4!DQ111/2)</f>
        <v>0</v>
      </c>
    </row>
    <row r="113" spans="1:121" ht="15.75" customHeight="1" x14ac:dyDescent="0.3">
      <c r="A113" s="40">
        <f>Sheet4!A112</f>
        <v>101</v>
      </c>
      <c r="B113" s="40" t="str">
        <f>Sheet4!B112</f>
        <v xml:space="preserve">ስካሬ ደጋጋ </v>
      </c>
      <c r="C113" s="26">
        <f>Sheet4!C112</f>
        <v>10500</v>
      </c>
      <c r="D113" s="40">
        <f>(Sheet4!D112/2)</f>
        <v>0.5</v>
      </c>
      <c r="E113" s="40">
        <f>(Sheet4!E112/2)</f>
        <v>0.5</v>
      </c>
      <c r="F113" s="40">
        <f>(Sheet4!F112/2)</f>
        <v>0.5</v>
      </c>
      <c r="G113" s="40">
        <f>(Sheet4!G112/2)</f>
        <v>0.5</v>
      </c>
      <c r="H113" s="40">
        <f>(Sheet4!H112/2)</f>
        <v>0.5</v>
      </c>
      <c r="I113" s="40">
        <f>(Sheet4!I112/2)</f>
        <v>0.5</v>
      </c>
      <c r="J113" s="40">
        <f>(Sheet4!J112/2)</f>
        <v>0.5</v>
      </c>
      <c r="K113" s="40">
        <f>(Sheet4!K112/2)</f>
        <v>0.5</v>
      </c>
      <c r="L113" s="40">
        <f>(Sheet4!L112/2)</f>
        <v>0.5</v>
      </c>
      <c r="M113" s="40">
        <f>(Sheet4!M112/2)</f>
        <v>0.5</v>
      </c>
      <c r="N113" s="40">
        <f>(Sheet4!N112/2)</f>
        <v>0.5</v>
      </c>
      <c r="O113" s="40">
        <f>(Sheet4!O112/2)</f>
        <v>0.5</v>
      </c>
      <c r="P113" s="40">
        <f>(Sheet4!P112/2)</f>
        <v>0.5</v>
      </c>
      <c r="Q113" s="40">
        <f>(Sheet4!Q112/2)</f>
        <v>0.5</v>
      </c>
      <c r="R113" s="40">
        <f>(Sheet4!R112/2)</f>
        <v>0.5</v>
      </c>
      <c r="S113" s="40">
        <f>(Sheet4!S112/2)</f>
        <v>0.5</v>
      </c>
      <c r="T113" s="40">
        <f>(Sheet4!T112/2)</f>
        <v>0.5</v>
      </c>
      <c r="U113" s="40">
        <f>(Sheet4!U112/2)</f>
        <v>0.5</v>
      </c>
      <c r="V113" s="40">
        <f>(Sheet4!V112/2)</f>
        <v>0.5</v>
      </c>
      <c r="W113" s="40">
        <f>(Sheet4!W112/2)</f>
        <v>0.5</v>
      </c>
      <c r="X113" s="40">
        <f>(Sheet4!X112/2)</f>
        <v>0.5</v>
      </c>
      <c r="Y113" s="40">
        <f>(Sheet4!Y112/2)</f>
        <v>0.5</v>
      </c>
      <c r="Z113" s="40">
        <f>(Sheet4!Z112/2)</f>
        <v>0.5</v>
      </c>
      <c r="AA113" s="40">
        <f>(Sheet4!AA112/2)</f>
        <v>0.5</v>
      </c>
      <c r="AB113" s="40">
        <f>(Sheet4!AB112/2)</f>
        <v>0.5</v>
      </c>
      <c r="AC113" s="40">
        <f>(Sheet4!AC112/2)</f>
        <v>0.5</v>
      </c>
      <c r="AD113" s="40">
        <f>(Sheet4!AD112/2)</f>
        <v>0.5</v>
      </c>
      <c r="AE113" s="40">
        <f>(Sheet4!AE112/2)</f>
        <v>0.5</v>
      </c>
      <c r="AF113" s="40">
        <f>(Sheet4!AF112/2)</f>
        <v>0.5</v>
      </c>
      <c r="AG113" s="40">
        <f>(Sheet4!AG112/2)</f>
        <v>0.5</v>
      </c>
      <c r="AH113" s="40">
        <f>(Sheet4!AH112/2)</f>
        <v>0.5</v>
      </c>
      <c r="AI113" s="40">
        <f>(Sheet4!AI112/2)</f>
        <v>0.5</v>
      </c>
      <c r="AJ113" s="40">
        <f>(Sheet4!AJ112/2)</f>
        <v>0.5</v>
      </c>
      <c r="AK113" s="40">
        <f>(Sheet4!AK112/2)</f>
        <v>0.5</v>
      </c>
      <c r="AL113" s="40">
        <f>(Sheet4!AL112/2)</f>
        <v>0.5</v>
      </c>
      <c r="AM113" s="40">
        <f>(Sheet4!AM112/2)</f>
        <v>0.5</v>
      </c>
      <c r="AN113" s="40">
        <f>(Sheet4!AN112/2)</f>
        <v>0.5</v>
      </c>
      <c r="AO113" s="40">
        <f>(Sheet4!AO112/2)</f>
        <v>0.5</v>
      </c>
      <c r="AP113" s="40">
        <f>(Sheet4!AP112/2)</f>
        <v>0.5</v>
      </c>
      <c r="AQ113" s="40">
        <f>(Sheet4!AQ112/2)</f>
        <v>0.5</v>
      </c>
      <c r="AR113" s="40">
        <f>(Sheet4!AR112/2)</f>
        <v>0.5</v>
      </c>
      <c r="AS113" s="40">
        <f>(Sheet4!AS112/2)</f>
        <v>0.5</v>
      </c>
      <c r="AT113" s="40">
        <f>(Sheet4!AT112/2)</f>
        <v>0.5</v>
      </c>
      <c r="AU113" s="40">
        <f>(Sheet4!AU112/2)</f>
        <v>0.5</v>
      </c>
      <c r="AV113" s="40">
        <f>(Sheet4!AV112/2)</f>
        <v>0.5</v>
      </c>
      <c r="AW113" s="40">
        <f>(Sheet4!AW112/2)</f>
        <v>0.5</v>
      </c>
      <c r="AX113" s="40">
        <f>(Sheet4!AX112/2)</f>
        <v>0.5</v>
      </c>
      <c r="AY113" s="40">
        <f>(Sheet4!AY112/2)</f>
        <v>0.5</v>
      </c>
      <c r="AZ113" s="40">
        <f>(Sheet4!AZ112/2)</f>
        <v>0.5</v>
      </c>
      <c r="BA113" s="40">
        <f>(Sheet4!BA112/2)</f>
        <v>0.5</v>
      </c>
      <c r="BB113" s="40">
        <f>(Sheet4!BB112/2)</f>
        <v>0.5</v>
      </c>
      <c r="BC113" s="40">
        <f>(Sheet4!BC112/2)</f>
        <v>0.5</v>
      </c>
      <c r="BD113" s="40">
        <f>(Sheet4!BD112/2)</f>
        <v>0.5</v>
      </c>
      <c r="BE113" s="40">
        <f>(Sheet4!BE112/2)</f>
        <v>0.5</v>
      </c>
      <c r="BF113" s="40">
        <f>(Sheet4!BF112/2)</f>
        <v>0.5</v>
      </c>
      <c r="BG113" s="40">
        <f>(Sheet4!BG112/2)</f>
        <v>0.5</v>
      </c>
      <c r="BH113" s="40">
        <f>(Sheet4!BH112/2)</f>
        <v>0.5</v>
      </c>
      <c r="BI113" s="40">
        <f>(Sheet4!BI112/2)</f>
        <v>0.5</v>
      </c>
      <c r="BJ113" s="40">
        <f>(Sheet4!BJ112/2)</f>
        <v>0.5</v>
      </c>
      <c r="BK113" s="40">
        <f>(Sheet4!BK112/2)</f>
        <v>0.5</v>
      </c>
      <c r="BL113" s="40">
        <f>(Sheet4!BL112/2)</f>
        <v>0.5</v>
      </c>
      <c r="BM113" s="40">
        <f>(Sheet4!BM112/2)</f>
        <v>0</v>
      </c>
      <c r="BN113" s="40">
        <f>(Sheet4!BN112/2)</f>
        <v>1</v>
      </c>
      <c r="BO113" s="40">
        <f>(Sheet4!BO112/2)</f>
        <v>0.5</v>
      </c>
      <c r="BP113" s="40">
        <f>(Sheet4!BP112/2)</f>
        <v>0.5</v>
      </c>
      <c r="BQ113" s="40">
        <f>(Sheet4!BQ112/2)</f>
        <v>0.5</v>
      </c>
      <c r="BR113" s="40">
        <f>(Sheet4!BR112/2)</f>
        <v>0.5</v>
      </c>
      <c r="BS113" s="40">
        <f>(Sheet4!BS112/2)</f>
        <v>0.5</v>
      </c>
      <c r="BT113" s="40">
        <f>(Sheet4!BT112/2)</f>
        <v>0.5</v>
      </c>
      <c r="BU113" s="40">
        <f>(Sheet4!BU112/2)</f>
        <v>0.5</v>
      </c>
      <c r="BV113" s="40">
        <f>(Sheet4!BV112/2)</f>
        <v>0.5</v>
      </c>
      <c r="BW113" s="40">
        <f>(Sheet4!BW112/2)</f>
        <v>0.5</v>
      </c>
      <c r="BX113" s="40">
        <f>(Sheet4!BX112/2)</f>
        <v>0.5</v>
      </c>
      <c r="BY113" s="40">
        <f>(Sheet4!BY112/2)</f>
        <v>0.5</v>
      </c>
      <c r="BZ113" s="40">
        <f>(Sheet4!BZ112/2)</f>
        <v>0.5</v>
      </c>
      <c r="CA113" s="40">
        <f>(Sheet4!CA112/2)</f>
        <v>0.5</v>
      </c>
      <c r="CB113" s="40">
        <f>(Sheet4!CB112/2)</f>
        <v>0.5</v>
      </c>
      <c r="CC113" s="40">
        <f>(Sheet4!CC112/2)</f>
        <v>0.5</v>
      </c>
      <c r="CD113" s="40">
        <f>(Sheet4!CD112/2)</f>
        <v>0.5</v>
      </c>
      <c r="CE113" s="40">
        <f>(Sheet4!CE112/2)</f>
        <v>0.5</v>
      </c>
      <c r="CF113" s="40">
        <f>(Sheet4!CF112/2)</f>
        <v>0.5</v>
      </c>
      <c r="CG113" s="40">
        <f>(Sheet4!CG112/2)</f>
        <v>0.5</v>
      </c>
      <c r="CH113" s="40">
        <f>(Sheet4!CH112/2)</f>
        <v>0.5</v>
      </c>
      <c r="CI113" s="40">
        <f>(Sheet4!CI112/2)</f>
        <v>0.5</v>
      </c>
      <c r="CJ113" s="40">
        <f>(Sheet4!CJ112/2)</f>
        <v>0.5</v>
      </c>
      <c r="CK113" s="40">
        <f>(Sheet4!CK112/2)</f>
        <v>0.5</v>
      </c>
      <c r="CL113" s="40">
        <f>(Sheet4!CL112/2)</f>
        <v>0.5</v>
      </c>
      <c r="CM113" s="40">
        <f>(Sheet4!CM112/2)</f>
        <v>0.5</v>
      </c>
      <c r="CN113" s="40">
        <f>(Sheet4!CN112/2)</f>
        <v>0.5</v>
      </c>
      <c r="CO113" s="40">
        <f>(Sheet4!CO112/2)</f>
        <v>0.5</v>
      </c>
      <c r="CP113" s="40">
        <f>(Sheet4!CP112/2)</f>
        <v>0.5</v>
      </c>
      <c r="CQ113" s="40">
        <f>(Sheet4!CQ112/2)</f>
        <v>0.5</v>
      </c>
      <c r="CR113" s="40">
        <f>(Sheet4!CR112/2)</f>
        <v>0.5</v>
      </c>
      <c r="CS113" s="40">
        <f>(Sheet4!CS112/2)</f>
        <v>0.5</v>
      </c>
      <c r="CT113" s="40">
        <f>(Sheet4!CT112/2)</f>
        <v>0.5</v>
      </c>
      <c r="CU113" s="40">
        <f>(Sheet4!CU112/2)</f>
        <v>0.5</v>
      </c>
      <c r="CV113" s="40">
        <f>(Sheet4!CV112/2)</f>
        <v>0.5</v>
      </c>
      <c r="CW113" s="40">
        <f>(Sheet4!CW112/2)</f>
        <v>0.5</v>
      </c>
      <c r="CX113" s="40">
        <f>(Sheet4!CX112/2)</f>
        <v>0.5</v>
      </c>
      <c r="CY113" s="40">
        <f>(Sheet4!CY112/2)</f>
        <v>0.5</v>
      </c>
      <c r="CZ113" s="40">
        <f>(Sheet4!CZ112/2)</f>
        <v>0.5</v>
      </c>
      <c r="DA113" s="40">
        <f>(Sheet4!DA112/2)</f>
        <v>0.5</v>
      </c>
      <c r="DB113" s="40">
        <f>(Sheet4!DB112/2)</f>
        <v>0.5</v>
      </c>
      <c r="DC113" s="40">
        <f>(Sheet4!DC112/2)</f>
        <v>0.5</v>
      </c>
      <c r="DD113" s="40">
        <f>(Sheet4!DD112/2)</f>
        <v>0.5</v>
      </c>
      <c r="DE113" s="40">
        <f>(Sheet4!DE112/2)</f>
        <v>0.5</v>
      </c>
      <c r="DF113" s="40">
        <f>(Sheet4!DF112/2)</f>
        <v>0.5</v>
      </c>
      <c r="DG113" s="40">
        <f>(Sheet4!DG112/2)</f>
        <v>0.5</v>
      </c>
      <c r="DH113" s="40">
        <f>(Sheet4!DH112/2)</f>
        <v>0</v>
      </c>
      <c r="DI113" s="40">
        <f>(Sheet4!DI112/2)</f>
        <v>0</v>
      </c>
      <c r="DJ113" s="40">
        <f>(Sheet4!DJ112/2)</f>
        <v>0</v>
      </c>
      <c r="DK113" s="40">
        <f>(Sheet4!DK112/2)</f>
        <v>0</v>
      </c>
      <c r="DL113" s="40">
        <f>(Sheet4!DL112/2)</f>
        <v>0</v>
      </c>
      <c r="DM113" s="40">
        <f>(Sheet4!DM112/2)</f>
        <v>0</v>
      </c>
      <c r="DN113" s="40">
        <f>(Sheet4!DN112/2)</f>
        <v>0</v>
      </c>
      <c r="DO113" s="40">
        <f>(Sheet4!DO112/2)</f>
        <v>0</v>
      </c>
      <c r="DP113" s="40">
        <f>(Sheet4!DP112/2)</f>
        <v>0</v>
      </c>
      <c r="DQ113" s="40">
        <f>(Sheet4!DQ112/2)</f>
        <v>0</v>
      </c>
    </row>
    <row r="114" spans="1:121" ht="15.75" customHeight="1" x14ac:dyDescent="0.3">
      <c r="A114" s="40">
        <f>Sheet4!A113</f>
        <v>102</v>
      </c>
      <c r="B114" s="40" t="str">
        <f>Sheet4!B113</f>
        <v>ዳንኤል ጎሌ</v>
      </c>
      <c r="C114" s="26">
        <f>Sheet4!C113</f>
        <v>21000</v>
      </c>
      <c r="D114" s="68">
        <f>Sheet4!D113</f>
        <v>1</v>
      </c>
      <c r="E114" s="68">
        <f>Sheet4!E113</f>
        <v>1</v>
      </c>
      <c r="F114" s="68">
        <f>Sheet4!F113</f>
        <v>1</v>
      </c>
      <c r="G114" s="68">
        <f>Sheet4!G113</f>
        <v>1</v>
      </c>
      <c r="H114" s="68">
        <f>Sheet4!H113</f>
        <v>1</v>
      </c>
      <c r="I114" s="68">
        <f>Sheet4!I113</f>
        <v>1</v>
      </c>
      <c r="J114" s="68">
        <f>Sheet4!J113</f>
        <v>1</v>
      </c>
      <c r="K114" s="68">
        <f>Sheet4!K113</f>
        <v>1</v>
      </c>
      <c r="L114" s="68">
        <f>Sheet4!L113</f>
        <v>1</v>
      </c>
      <c r="M114" s="68">
        <f>Sheet4!M113</f>
        <v>1</v>
      </c>
      <c r="N114" s="68">
        <f>Sheet4!N113</f>
        <v>1</v>
      </c>
      <c r="O114" s="68">
        <f>Sheet4!O113</f>
        <v>1</v>
      </c>
      <c r="P114" s="68">
        <f>Sheet4!P113</f>
        <v>1</v>
      </c>
      <c r="Q114" s="68">
        <f>Sheet4!Q113</f>
        <v>1</v>
      </c>
      <c r="R114" s="68">
        <f>Sheet4!R113</f>
        <v>1</v>
      </c>
      <c r="S114" s="68">
        <f>Sheet4!S113</f>
        <v>1</v>
      </c>
      <c r="T114" s="68">
        <f>Sheet4!T113</f>
        <v>1</v>
      </c>
      <c r="U114" s="68">
        <f>Sheet4!U113</f>
        <v>1</v>
      </c>
      <c r="V114" s="68">
        <f>Sheet4!V113</f>
        <v>1</v>
      </c>
      <c r="W114" s="68">
        <f>Sheet4!W113</f>
        <v>1</v>
      </c>
      <c r="X114" s="68">
        <f>Sheet4!X113</f>
        <v>1</v>
      </c>
      <c r="Y114" s="68">
        <f>Sheet4!Y113</f>
        <v>1</v>
      </c>
      <c r="Z114" s="68">
        <f>Sheet4!Z113</f>
        <v>1</v>
      </c>
      <c r="AA114" s="68">
        <f>Sheet4!AA113</f>
        <v>1</v>
      </c>
      <c r="AB114" s="68">
        <f>Sheet4!AB113</f>
        <v>1</v>
      </c>
      <c r="AC114" s="68">
        <f>Sheet4!AC113</f>
        <v>1</v>
      </c>
      <c r="AD114" s="68">
        <f>Sheet4!AD113</f>
        <v>1</v>
      </c>
      <c r="AE114" s="68">
        <f>Sheet4!AE113</f>
        <v>1</v>
      </c>
      <c r="AF114" s="68">
        <f>Sheet4!AF113</f>
        <v>1</v>
      </c>
      <c r="AG114" s="68">
        <f>Sheet4!AG113</f>
        <v>1</v>
      </c>
      <c r="AH114" s="68">
        <f>Sheet4!AH113</f>
        <v>1</v>
      </c>
      <c r="AI114" s="68">
        <f>Sheet4!AI113</f>
        <v>1</v>
      </c>
      <c r="AJ114" s="68">
        <f>Sheet4!AJ113</f>
        <v>1</v>
      </c>
      <c r="AK114" s="68">
        <f>Sheet4!AK113</f>
        <v>1</v>
      </c>
      <c r="AL114" s="68">
        <f>Sheet4!AL113</f>
        <v>1</v>
      </c>
      <c r="AM114" s="68">
        <f>Sheet4!AM113</f>
        <v>1</v>
      </c>
      <c r="AN114" s="68">
        <f>Sheet4!AN113</f>
        <v>1</v>
      </c>
      <c r="AO114" s="68">
        <f>Sheet4!AO113</f>
        <v>1</v>
      </c>
      <c r="AP114" s="68">
        <f>Sheet4!AP113</f>
        <v>1</v>
      </c>
      <c r="AQ114" s="68">
        <f>Sheet4!AQ113</f>
        <v>1</v>
      </c>
      <c r="AR114" s="68">
        <f>Sheet4!AR113</f>
        <v>1</v>
      </c>
      <c r="AS114" s="68">
        <f>Sheet4!AS113</f>
        <v>1</v>
      </c>
      <c r="AT114" s="68">
        <f>Sheet4!AT113</f>
        <v>1</v>
      </c>
      <c r="AU114" s="68">
        <f>Sheet4!AU113</f>
        <v>1</v>
      </c>
      <c r="AV114" s="68">
        <f>Sheet4!AV113</f>
        <v>1</v>
      </c>
      <c r="AW114" s="68">
        <f>Sheet4!AW113</f>
        <v>1</v>
      </c>
      <c r="AX114" s="68">
        <f>Sheet4!AX113</f>
        <v>1</v>
      </c>
      <c r="AY114" s="68">
        <f>Sheet4!AY113</f>
        <v>1</v>
      </c>
      <c r="AZ114" s="68">
        <f>Sheet4!AZ113</f>
        <v>1</v>
      </c>
      <c r="BA114" s="68">
        <f>Sheet4!BA113</f>
        <v>1</v>
      </c>
      <c r="BB114" s="68">
        <f>Sheet4!BB113</f>
        <v>1</v>
      </c>
      <c r="BC114" s="68">
        <f>Sheet4!BC113</f>
        <v>1</v>
      </c>
      <c r="BD114" s="68">
        <f>Sheet4!BD113</f>
        <v>1</v>
      </c>
      <c r="BE114" s="68">
        <f>Sheet4!BE113</f>
        <v>1</v>
      </c>
      <c r="BF114" s="68">
        <f>Sheet4!BF113</f>
        <v>1</v>
      </c>
      <c r="BG114" s="68">
        <f>Sheet4!BG113</f>
        <v>1</v>
      </c>
      <c r="BH114" s="68">
        <f>Sheet4!BH113</f>
        <v>1</v>
      </c>
      <c r="BI114" s="68">
        <f>Sheet4!BI113</f>
        <v>1</v>
      </c>
      <c r="BJ114" s="68">
        <f>Sheet4!BJ113</f>
        <v>1</v>
      </c>
      <c r="BK114" s="68">
        <f>Sheet4!BK113</f>
        <v>1</v>
      </c>
      <c r="BL114" s="68">
        <f>Sheet4!BL113</f>
        <v>1</v>
      </c>
      <c r="BM114" s="68">
        <f>Sheet4!BM113</f>
        <v>1</v>
      </c>
      <c r="BN114" s="68">
        <f>Sheet4!BN113</f>
        <v>1</v>
      </c>
      <c r="BO114" s="68">
        <f>Sheet4!BO113</f>
        <v>1</v>
      </c>
      <c r="BP114" s="68">
        <f>Sheet4!BP113</f>
        <v>1</v>
      </c>
      <c r="BQ114" s="68">
        <f>Sheet4!BQ113</f>
        <v>1</v>
      </c>
      <c r="BR114" s="68">
        <f>Sheet4!BR113</f>
        <v>1</v>
      </c>
      <c r="BS114" s="68">
        <f>Sheet4!BS113</f>
        <v>1</v>
      </c>
      <c r="BT114" s="68">
        <f>Sheet4!BT113</f>
        <v>0</v>
      </c>
      <c r="BU114" s="68">
        <f>Sheet4!BU113</f>
        <v>1</v>
      </c>
      <c r="BV114" s="68">
        <f>Sheet4!BV113</f>
        <v>1</v>
      </c>
      <c r="BW114" s="68">
        <f>Sheet4!BW113</f>
        <v>1</v>
      </c>
      <c r="BX114" s="68">
        <f>Sheet4!BX113</f>
        <v>1</v>
      </c>
      <c r="BY114" s="68">
        <f>Sheet4!BY113</f>
        <v>1</v>
      </c>
      <c r="BZ114" s="68">
        <f>Sheet4!BZ113</f>
        <v>1</v>
      </c>
      <c r="CA114" s="68">
        <f>Sheet4!CA113</f>
        <v>1</v>
      </c>
      <c r="CB114" s="68">
        <f>Sheet4!CB113</f>
        <v>1</v>
      </c>
      <c r="CC114" s="68">
        <f>Sheet4!CC113</f>
        <v>1</v>
      </c>
      <c r="CD114" s="68">
        <f>Sheet4!CD113</f>
        <v>1</v>
      </c>
      <c r="CE114" s="68">
        <f>Sheet4!CE113</f>
        <v>1</v>
      </c>
      <c r="CF114" s="68">
        <f>Sheet4!CF113</f>
        <v>1</v>
      </c>
      <c r="CG114" s="68">
        <f>Sheet4!CG113</f>
        <v>0</v>
      </c>
      <c r="CH114" s="68">
        <f>Sheet4!CH113</f>
        <v>2</v>
      </c>
      <c r="CI114" s="68">
        <f>Sheet4!CI113</f>
        <v>1</v>
      </c>
      <c r="CJ114" s="68">
        <f>Sheet4!CJ113</f>
        <v>1</v>
      </c>
      <c r="CK114" s="68">
        <f>Sheet4!CK113</f>
        <v>1</v>
      </c>
      <c r="CL114" s="68">
        <f>Sheet4!CL113</f>
        <v>1</v>
      </c>
      <c r="CM114" s="68">
        <f>Sheet4!CM113</f>
        <v>1</v>
      </c>
      <c r="CN114" s="68">
        <f>Sheet4!CN113</f>
        <v>1</v>
      </c>
      <c r="CO114" s="68">
        <f>Sheet4!CO113</f>
        <v>1</v>
      </c>
      <c r="CP114" s="68">
        <f>Sheet4!CP113</f>
        <v>1</v>
      </c>
      <c r="CQ114" s="68">
        <f>Sheet4!CQ113</f>
        <v>1</v>
      </c>
      <c r="CR114" s="68">
        <f>Sheet4!CR113</f>
        <v>1</v>
      </c>
      <c r="CS114" s="68">
        <f>Sheet4!CS113</f>
        <v>1</v>
      </c>
      <c r="CT114" s="68">
        <f>Sheet4!CT113</f>
        <v>1</v>
      </c>
      <c r="CU114" s="68">
        <f>Sheet4!CU113</f>
        <v>1</v>
      </c>
      <c r="CV114" s="68">
        <f>Sheet4!CV113</f>
        <v>1</v>
      </c>
      <c r="CW114" s="68">
        <f>Sheet4!CW113</f>
        <v>1</v>
      </c>
      <c r="CX114" s="68">
        <f>Sheet4!CX113</f>
        <v>1</v>
      </c>
      <c r="CY114" s="68">
        <f>Sheet4!CY113</f>
        <v>1</v>
      </c>
      <c r="CZ114" s="68">
        <f>Sheet4!CZ113</f>
        <v>1</v>
      </c>
      <c r="DA114" s="68">
        <f>Sheet4!DA113</f>
        <v>1</v>
      </c>
      <c r="DB114" s="68">
        <f>Sheet4!DB113</f>
        <v>1</v>
      </c>
      <c r="DC114" s="68">
        <f>Sheet4!DC113</f>
        <v>1</v>
      </c>
      <c r="DD114" s="68">
        <f>Sheet4!DD113</f>
        <v>1</v>
      </c>
      <c r="DE114" s="68">
        <f>Sheet4!DE113</f>
        <v>1</v>
      </c>
      <c r="DF114" s="68">
        <f>Sheet4!DF113</f>
        <v>1</v>
      </c>
      <c r="DG114" s="68">
        <f>Sheet4!DG113</f>
        <v>1</v>
      </c>
      <c r="DH114" s="68">
        <f>Sheet4!DH113</f>
        <v>0</v>
      </c>
      <c r="DI114" s="68">
        <f>Sheet4!DI113</f>
        <v>0</v>
      </c>
      <c r="DJ114" s="68">
        <f>Sheet4!DJ113</f>
        <v>0</v>
      </c>
      <c r="DK114" s="68">
        <f>Sheet4!DK113</f>
        <v>0</v>
      </c>
      <c r="DL114" s="68">
        <f>Sheet4!DL113</f>
        <v>0</v>
      </c>
      <c r="DM114" s="68">
        <f>Sheet4!DM113</f>
        <v>0</v>
      </c>
      <c r="DN114" s="68">
        <f>Sheet4!DN113</f>
        <v>0</v>
      </c>
      <c r="DO114" s="68">
        <f>Sheet4!DO113</f>
        <v>0</v>
      </c>
      <c r="DP114" s="68">
        <f>Sheet4!DP113</f>
        <v>0</v>
      </c>
      <c r="DQ114" s="68">
        <f>Sheet4!DQ113</f>
        <v>0</v>
      </c>
    </row>
    <row r="115" spans="1:121" ht="15.75" customHeight="1" x14ac:dyDescent="0.3">
      <c r="A115" s="40">
        <f>Sheet4!A114</f>
        <v>103</v>
      </c>
      <c r="B115" s="40" t="str">
        <f>Sheet4!B114</f>
        <v>ወንድሙ ስንታየሁ</v>
      </c>
      <c r="C115" s="26">
        <f>Sheet4!C114</f>
        <v>10500</v>
      </c>
      <c r="D115" s="40">
        <f>(Sheet4!D114/2)</f>
        <v>0.5</v>
      </c>
      <c r="E115" s="40">
        <f>(Sheet4!E114/2)</f>
        <v>0.5</v>
      </c>
      <c r="F115" s="40">
        <f>(Sheet4!F114/2)</f>
        <v>0.5</v>
      </c>
      <c r="G115" s="40">
        <f>(Sheet4!G114/2)</f>
        <v>0.5</v>
      </c>
      <c r="H115" s="40">
        <f>(Sheet4!H114/2)</f>
        <v>0.5</v>
      </c>
      <c r="I115" s="40">
        <f>(Sheet4!I114/2)</f>
        <v>0.5</v>
      </c>
      <c r="J115" s="40">
        <f>(Sheet4!J114/2)</f>
        <v>0.5</v>
      </c>
      <c r="K115" s="40">
        <f>(Sheet4!K114/2)</f>
        <v>0.5</v>
      </c>
      <c r="L115" s="40">
        <f>(Sheet4!L114/2)</f>
        <v>0.5</v>
      </c>
      <c r="M115" s="40">
        <f>(Sheet4!M114/2)</f>
        <v>0.5</v>
      </c>
      <c r="N115" s="40">
        <f>(Sheet4!N114/2)</f>
        <v>0.5</v>
      </c>
      <c r="O115" s="40">
        <f>(Sheet4!O114/2)</f>
        <v>0.5</v>
      </c>
      <c r="P115" s="40">
        <f>(Sheet4!P114/2)</f>
        <v>0.5</v>
      </c>
      <c r="Q115" s="40">
        <f>(Sheet4!Q114/2)</f>
        <v>0.5</v>
      </c>
      <c r="R115" s="40">
        <f>(Sheet4!R114/2)</f>
        <v>0.5</v>
      </c>
      <c r="S115" s="40">
        <f>(Sheet4!S114/2)</f>
        <v>0.5</v>
      </c>
      <c r="T115" s="40">
        <f>(Sheet4!T114/2)</f>
        <v>0.5</v>
      </c>
      <c r="U115" s="40">
        <f>(Sheet4!U114/2)</f>
        <v>0.5</v>
      </c>
      <c r="V115" s="40">
        <f>(Sheet4!V114/2)</f>
        <v>0.5</v>
      </c>
      <c r="W115" s="40">
        <f>(Sheet4!W114/2)</f>
        <v>0.5</v>
      </c>
      <c r="X115" s="40">
        <f>(Sheet4!X114/2)</f>
        <v>0.5</v>
      </c>
      <c r="Y115" s="40">
        <f>(Sheet4!Y114/2)</f>
        <v>0.5</v>
      </c>
      <c r="Z115" s="40">
        <f>(Sheet4!Z114/2)</f>
        <v>0.5</v>
      </c>
      <c r="AA115" s="40">
        <f>(Sheet4!AA114/2)</f>
        <v>0</v>
      </c>
      <c r="AB115" s="40">
        <f>(Sheet4!AB114/2)</f>
        <v>1</v>
      </c>
      <c r="AC115" s="40">
        <f>(Sheet4!AC114/2)</f>
        <v>0.5</v>
      </c>
      <c r="AD115" s="40">
        <f>(Sheet4!AD114/2)</f>
        <v>0.5</v>
      </c>
      <c r="AE115" s="40">
        <f>(Sheet4!AE114/2)</f>
        <v>0</v>
      </c>
      <c r="AF115" s="40">
        <f>(Sheet4!AF114/2)</f>
        <v>1</v>
      </c>
      <c r="AG115" s="40">
        <f>(Sheet4!AG114/2)</f>
        <v>0.5</v>
      </c>
      <c r="AH115" s="40">
        <f>(Sheet4!AH114/2)</f>
        <v>0.5</v>
      </c>
      <c r="AI115" s="40">
        <f>(Sheet4!AI114/2)</f>
        <v>0.5</v>
      </c>
      <c r="AJ115" s="40">
        <f>(Sheet4!AJ114/2)</f>
        <v>0.5</v>
      </c>
      <c r="AK115" s="40">
        <f>(Sheet4!AK114/2)</f>
        <v>0</v>
      </c>
      <c r="AL115" s="40">
        <f>(Sheet4!AL114/2)</f>
        <v>1</v>
      </c>
      <c r="AM115" s="40">
        <f>(Sheet4!AM114/2)</f>
        <v>0.5</v>
      </c>
      <c r="AN115" s="40">
        <f>(Sheet4!AN114/2)</f>
        <v>0.5</v>
      </c>
      <c r="AO115" s="40">
        <f>(Sheet4!AO114/2)</f>
        <v>0.5</v>
      </c>
      <c r="AP115" s="40">
        <f>(Sheet4!AP114/2)</f>
        <v>0.5</v>
      </c>
      <c r="AQ115" s="40">
        <f>(Sheet4!AQ114/2)</f>
        <v>0.5</v>
      </c>
      <c r="AR115" s="40">
        <f>(Sheet4!AR114/2)</f>
        <v>0.5</v>
      </c>
      <c r="AS115" s="40">
        <f>(Sheet4!AS114/2)</f>
        <v>0.5</v>
      </c>
      <c r="AT115" s="40">
        <f>(Sheet4!AT114/2)</f>
        <v>0.5</v>
      </c>
      <c r="AU115" s="40">
        <f>(Sheet4!AU114/2)</f>
        <v>0.5</v>
      </c>
      <c r="AV115" s="40">
        <f>(Sheet4!AV114/2)</f>
        <v>0.5</v>
      </c>
      <c r="AW115" s="40">
        <f>(Sheet4!AW114/2)</f>
        <v>0</v>
      </c>
      <c r="AX115" s="40">
        <f>(Sheet4!AX114/2)</f>
        <v>1</v>
      </c>
      <c r="AY115" s="40">
        <f>(Sheet4!AY114/2)</f>
        <v>0.5</v>
      </c>
      <c r="AZ115" s="40">
        <f>(Sheet4!AZ114/2)</f>
        <v>0.5</v>
      </c>
      <c r="BA115" s="40">
        <f>(Sheet4!BA114/2)</f>
        <v>0.5</v>
      </c>
      <c r="BB115" s="40">
        <f>(Sheet4!BB114/2)</f>
        <v>0.5</v>
      </c>
      <c r="BC115" s="40">
        <f>(Sheet4!BC114/2)</f>
        <v>0.5</v>
      </c>
      <c r="BD115" s="40">
        <f>(Sheet4!BD114/2)</f>
        <v>0</v>
      </c>
      <c r="BE115" s="40">
        <f>(Sheet4!BE114/2)</f>
        <v>1</v>
      </c>
      <c r="BF115" s="40">
        <f>(Sheet4!BF114/2)</f>
        <v>0.5</v>
      </c>
      <c r="BG115" s="40">
        <f>(Sheet4!BG114/2)</f>
        <v>0</v>
      </c>
      <c r="BH115" s="40">
        <f>(Sheet4!BH114/2)</f>
        <v>1</v>
      </c>
      <c r="BI115" s="40">
        <f>(Sheet4!BI114/2)</f>
        <v>0</v>
      </c>
      <c r="BJ115" s="40">
        <f>(Sheet4!BJ114/2)</f>
        <v>1</v>
      </c>
      <c r="BK115" s="40">
        <f>(Sheet4!BK114/2)</f>
        <v>0</v>
      </c>
      <c r="BL115" s="40">
        <f>(Sheet4!BL114/2)</f>
        <v>1</v>
      </c>
      <c r="BM115" s="40">
        <f>(Sheet4!BM114/2)</f>
        <v>0.5</v>
      </c>
      <c r="BN115" s="40">
        <f>(Sheet4!BN114/2)</f>
        <v>0.5</v>
      </c>
      <c r="BO115" s="40">
        <f>(Sheet4!BO114/2)</f>
        <v>0</v>
      </c>
      <c r="BP115" s="40">
        <f>(Sheet4!BP114/2)</f>
        <v>0.5</v>
      </c>
      <c r="BQ115" s="40">
        <f>(Sheet4!BQ114/2)</f>
        <v>1</v>
      </c>
      <c r="BR115" s="40">
        <f>(Sheet4!BR114/2)</f>
        <v>0.5</v>
      </c>
      <c r="BS115" s="40">
        <f>(Sheet4!BS114/2)</f>
        <v>0.5</v>
      </c>
      <c r="BT115" s="40">
        <f>(Sheet4!BT114/2)</f>
        <v>0.5</v>
      </c>
      <c r="BU115" s="40">
        <f>(Sheet4!BU114/2)</f>
        <v>0.5</v>
      </c>
      <c r="BV115" s="40">
        <f>(Sheet4!BV114/2)</f>
        <v>0.5</v>
      </c>
      <c r="BW115" s="40">
        <f>(Sheet4!BW114/2)</f>
        <v>0.5</v>
      </c>
      <c r="BX115" s="40">
        <f>(Sheet4!BX114/2)</f>
        <v>0</v>
      </c>
      <c r="BY115" s="40">
        <f>(Sheet4!BY114/2)</f>
        <v>1</v>
      </c>
      <c r="BZ115" s="40">
        <f>(Sheet4!BZ114/2)</f>
        <v>0</v>
      </c>
      <c r="CA115" s="40">
        <f>(Sheet4!CA114/2)</f>
        <v>0.5</v>
      </c>
      <c r="CB115" s="40">
        <f>(Sheet4!CB114/2)</f>
        <v>0</v>
      </c>
      <c r="CC115" s="40">
        <f>(Sheet4!CC114/2)</f>
        <v>1</v>
      </c>
      <c r="CD115" s="40">
        <f>(Sheet4!CD114/2)</f>
        <v>0.5</v>
      </c>
      <c r="CE115" s="40">
        <f>(Sheet4!CE114/2)</f>
        <v>0</v>
      </c>
      <c r="CF115" s="40">
        <f>(Sheet4!CF114/2)</f>
        <v>0.5</v>
      </c>
      <c r="CG115" s="40">
        <f>(Sheet4!CG114/2)</f>
        <v>0</v>
      </c>
      <c r="CH115" s="40">
        <f>(Sheet4!CH114/2)</f>
        <v>1</v>
      </c>
      <c r="CI115" s="40">
        <f>(Sheet4!CI114/2)</f>
        <v>0</v>
      </c>
      <c r="CJ115" s="40">
        <f>(Sheet4!CJ114/2)</f>
        <v>0.5</v>
      </c>
      <c r="CK115" s="40">
        <f>(Sheet4!CK114/2)</f>
        <v>0.5</v>
      </c>
      <c r="CL115" s="40">
        <f>(Sheet4!CL114/2)</f>
        <v>0.5</v>
      </c>
      <c r="CM115" s="40">
        <f>(Sheet4!CM114/2)</f>
        <v>0</v>
      </c>
      <c r="CN115" s="40">
        <f>(Sheet4!CN114/2)</f>
        <v>0.5</v>
      </c>
      <c r="CO115" s="40">
        <f>(Sheet4!CO114/2)</f>
        <v>0.5</v>
      </c>
      <c r="CP115" s="40">
        <f>(Sheet4!CP114/2)</f>
        <v>0.5</v>
      </c>
      <c r="CQ115" s="40">
        <f>(Sheet4!CQ114/2)</f>
        <v>0</v>
      </c>
      <c r="CR115" s="40">
        <f>(Sheet4!CR114/2)</f>
        <v>0.5</v>
      </c>
      <c r="CS115" s="40">
        <f>(Sheet4!CS114/2)</f>
        <v>0</v>
      </c>
      <c r="CT115" s="40">
        <f>(Sheet4!CT114/2)</f>
        <v>0.5</v>
      </c>
      <c r="CU115" s="40">
        <f>(Sheet4!CU114/2)</f>
        <v>0</v>
      </c>
      <c r="CV115" s="40">
        <f>(Sheet4!CV114/2)</f>
        <v>0</v>
      </c>
      <c r="CW115" s="40">
        <f>(Sheet4!CW114/2)</f>
        <v>0</v>
      </c>
      <c r="CX115" s="40">
        <f>(Sheet4!CX114/2)</f>
        <v>0</v>
      </c>
      <c r="CY115" s="40">
        <f>(Sheet4!CY114/2)</f>
        <v>3</v>
      </c>
      <c r="CZ115" s="40">
        <f>(Sheet4!CZ114/2)</f>
        <v>0</v>
      </c>
      <c r="DA115" s="40">
        <f>(Sheet4!DA114/2)</f>
        <v>0</v>
      </c>
      <c r="DB115" s="40">
        <f>(Sheet4!DB114/2)</f>
        <v>0</v>
      </c>
      <c r="DC115" s="40">
        <f>(Sheet4!DC114/2)</f>
        <v>0</v>
      </c>
      <c r="DD115" s="40">
        <f>(Sheet4!DD114/2)</f>
        <v>0</v>
      </c>
      <c r="DE115" s="40">
        <f>(Sheet4!DE114/2)</f>
        <v>1.5</v>
      </c>
      <c r="DF115" s="40">
        <f>(Sheet4!DF114/2)</f>
        <v>0</v>
      </c>
      <c r="DG115" s="40">
        <f>(Sheet4!DG114/2)</f>
        <v>0.5</v>
      </c>
      <c r="DH115" s="40">
        <f>(Sheet4!DH114/2)</f>
        <v>0</v>
      </c>
      <c r="DI115" s="40">
        <f>(Sheet4!DI114/2)</f>
        <v>0</v>
      </c>
      <c r="DJ115" s="40">
        <f>(Sheet4!DJ114/2)</f>
        <v>0</v>
      </c>
      <c r="DK115" s="40">
        <f>(Sheet4!DK114/2)</f>
        <v>0</v>
      </c>
      <c r="DL115" s="40">
        <f>(Sheet4!DL114/2)</f>
        <v>0</v>
      </c>
      <c r="DM115" s="40">
        <f>(Sheet4!DM114/2)</f>
        <v>0</v>
      </c>
      <c r="DN115" s="40">
        <f>(Sheet4!DN114/2)</f>
        <v>0</v>
      </c>
      <c r="DO115" s="40">
        <f>(Sheet4!DO114/2)</f>
        <v>0</v>
      </c>
      <c r="DP115" s="40">
        <f>(Sheet4!DP114/2)</f>
        <v>0</v>
      </c>
      <c r="DQ115" s="40">
        <f>(Sheet4!DQ114/2)</f>
        <v>0</v>
      </c>
    </row>
    <row r="116" spans="1:121" ht="15.75" customHeight="1" x14ac:dyDescent="0.3">
      <c r="A116" s="40">
        <f>Sheet4!A115</f>
        <v>103</v>
      </c>
      <c r="B116" s="40" t="str">
        <f>Sheet4!B115</f>
        <v>አንበሴ ማናዩ</v>
      </c>
      <c r="C116" s="26">
        <f>Sheet4!C115</f>
        <v>10500</v>
      </c>
      <c r="D116" s="40">
        <f>(Sheet4!D115/2)</f>
        <v>0.5</v>
      </c>
      <c r="E116" s="40">
        <f>(Sheet4!E115/2)</f>
        <v>0.5</v>
      </c>
      <c r="F116" s="40">
        <f>(Sheet4!F115/2)</f>
        <v>0.5</v>
      </c>
      <c r="G116" s="40">
        <f>(Sheet4!G115/2)</f>
        <v>0.5</v>
      </c>
      <c r="H116" s="40">
        <f>(Sheet4!H115/2)</f>
        <v>0.5</v>
      </c>
      <c r="I116" s="40">
        <f>(Sheet4!I115/2)</f>
        <v>0.5</v>
      </c>
      <c r="J116" s="40">
        <f>(Sheet4!J115/2)</f>
        <v>0.5</v>
      </c>
      <c r="K116" s="40">
        <f>(Sheet4!K115/2)</f>
        <v>0.5</v>
      </c>
      <c r="L116" s="40">
        <f>(Sheet4!L115/2)</f>
        <v>0.5</v>
      </c>
      <c r="M116" s="40">
        <f>(Sheet4!M115/2)</f>
        <v>0.5</v>
      </c>
      <c r="N116" s="40">
        <f>(Sheet4!N115/2)</f>
        <v>0.5</v>
      </c>
      <c r="O116" s="40">
        <f>(Sheet4!O115/2)</f>
        <v>0.5</v>
      </c>
      <c r="P116" s="40">
        <f>(Sheet4!P115/2)</f>
        <v>0.5</v>
      </c>
      <c r="Q116" s="40">
        <f>(Sheet4!Q115/2)</f>
        <v>0.5</v>
      </c>
      <c r="R116" s="40">
        <f>(Sheet4!R115/2)</f>
        <v>0.5</v>
      </c>
      <c r="S116" s="40">
        <f>(Sheet4!S115/2)</f>
        <v>0.5</v>
      </c>
      <c r="T116" s="40">
        <f>(Sheet4!T115/2)</f>
        <v>0.5</v>
      </c>
      <c r="U116" s="40">
        <f>(Sheet4!U115/2)</f>
        <v>0.5</v>
      </c>
      <c r="V116" s="40">
        <f>(Sheet4!V115/2)</f>
        <v>0.5</v>
      </c>
      <c r="W116" s="40">
        <f>(Sheet4!W115/2)</f>
        <v>0.5</v>
      </c>
      <c r="X116" s="40">
        <f>(Sheet4!X115/2)</f>
        <v>0.5</v>
      </c>
      <c r="Y116" s="40">
        <f>(Sheet4!Y115/2)</f>
        <v>0.5</v>
      </c>
      <c r="Z116" s="40">
        <f>(Sheet4!Z115/2)</f>
        <v>0.5</v>
      </c>
      <c r="AA116" s="40">
        <f>(Sheet4!AA115/2)</f>
        <v>0.5</v>
      </c>
      <c r="AB116" s="40">
        <f>(Sheet4!AB115/2)</f>
        <v>0</v>
      </c>
      <c r="AC116" s="40">
        <f>(Sheet4!AC115/2)</f>
        <v>0.5</v>
      </c>
      <c r="AD116" s="40">
        <f>(Sheet4!AD115/2)</f>
        <v>0.5</v>
      </c>
      <c r="AE116" s="40">
        <f>(Sheet4!AE115/2)</f>
        <v>0</v>
      </c>
      <c r="AF116" s="40">
        <f>(Sheet4!AF115/2)</f>
        <v>1</v>
      </c>
      <c r="AG116" s="40">
        <f>(Sheet4!AG115/2)</f>
        <v>1</v>
      </c>
      <c r="AH116" s="40">
        <f>(Sheet4!AH115/2)</f>
        <v>0.5</v>
      </c>
      <c r="AI116" s="40">
        <f>(Sheet4!AI115/2)</f>
        <v>0.5</v>
      </c>
      <c r="AJ116" s="40">
        <f>(Sheet4!AJ115/2)</f>
        <v>0</v>
      </c>
      <c r="AK116" s="40">
        <f>(Sheet4!AK115/2)</f>
        <v>0.5</v>
      </c>
      <c r="AL116" s="40">
        <f>(Sheet4!AL115/2)</f>
        <v>0.5</v>
      </c>
      <c r="AM116" s="40">
        <f>(Sheet4!AM115/2)</f>
        <v>0.5</v>
      </c>
      <c r="AN116" s="40">
        <f>(Sheet4!AN115/2)</f>
        <v>0.5</v>
      </c>
      <c r="AO116" s="40">
        <f>(Sheet4!AO115/2)</f>
        <v>0</v>
      </c>
      <c r="AP116" s="40">
        <f>(Sheet4!AP115/2)</f>
        <v>0.5</v>
      </c>
      <c r="AQ116" s="40">
        <f>(Sheet4!AQ115/2)</f>
        <v>0.5</v>
      </c>
      <c r="AR116" s="40">
        <f>(Sheet4!AR115/2)</f>
        <v>0.5</v>
      </c>
      <c r="AS116" s="40">
        <f>(Sheet4!AS115/2)</f>
        <v>0.5</v>
      </c>
      <c r="AT116" s="40">
        <f>(Sheet4!AT115/2)</f>
        <v>0.5</v>
      </c>
      <c r="AU116" s="40">
        <f>(Sheet4!AU115/2)</f>
        <v>0.5</v>
      </c>
      <c r="AV116" s="40">
        <f>(Sheet4!AV115/2)</f>
        <v>0.5</v>
      </c>
      <c r="AW116" s="40">
        <f>(Sheet4!AW115/2)</f>
        <v>0.5</v>
      </c>
      <c r="AX116" s="40">
        <f>(Sheet4!AX115/2)</f>
        <v>0.5</v>
      </c>
      <c r="AY116" s="40">
        <f>(Sheet4!AY115/2)</f>
        <v>0.5</v>
      </c>
      <c r="AZ116" s="40">
        <f>(Sheet4!AZ115/2)</f>
        <v>0.5</v>
      </c>
      <c r="BA116" s="40">
        <f>(Sheet4!BA115/2)</f>
        <v>0.5</v>
      </c>
      <c r="BB116" s="40">
        <f>(Sheet4!BB115/2)</f>
        <v>0.5</v>
      </c>
      <c r="BC116" s="40">
        <f>(Sheet4!BC115/2)</f>
        <v>0.5</v>
      </c>
      <c r="BD116" s="40">
        <f>(Sheet4!BD115/2)</f>
        <v>0.5</v>
      </c>
      <c r="BE116" s="40">
        <f>(Sheet4!BE115/2)</f>
        <v>0.5</v>
      </c>
      <c r="BF116" s="40">
        <f>(Sheet4!BF115/2)</f>
        <v>0.5</v>
      </c>
      <c r="BG116" s="40">
        <f>(Sheet4!BG115/2)</f>
        <v>0.5</v>
      </c>
      <c r="BH116" s="40">
        <f>(Sheet4!BH115/2)</f>
        <v>0.5</v>
      </c>
      <c r="BI116" s="40">
        <f>(Sheet4!BI115/2)</f>
        <v>0.5</v>
      </c>
      <c r="BJ116" s="40">
        <f>(Sheet4!BJ115/2)</f>
        <v>0.5</v>
      </c>
      <c r="BK116" s="40">
        <f>(Sheet4!BK115/2)</f>
        <v>0</v>
      </c>
      <c r="BL116" s="40">
        <f>(Sheet4!BL115/2)</f>
        <v>0.5</v>
      </c>
      <c r="BM116" s="40">
        <f>(Sheet4!BM115/2)</f>
        <v>0</v>
      </c>
      <c r="BN116" s="40">
        <f>(Sheet4!BN115/2)</f>
        <v>1</v>
      </c>
      <c r="BO116" s="40">
        <f>(Sheet4!BO115/2)</f>
        <v>1</v>
      </c>
      <c r="BP116" s="40">
        <f>(Sheet4!BP115/2)</f>
        <v>0.5</v>
      </c>
      <c r="BQ116" s="40">
        <f>(Sheet4!BQ115/2)</f>
        <v>0.5</v>
      </c>
      <c r="BR116" s="40">
        <f>(Sheet4!BR115/2)</f>
        <v>0.5</v>
      </c>
      <c r="BS116" s="40">
        <f>(Sheet4!BS115/2)</f>
        <v>0.5</v>
      </c>
      <c r="BT116" s="40">
        <f>(Sheet4!BT115/2)</f>
        <v>0.5</v>
      </c>
      <c r="BU116" s="40">
        <f>(Sheet4!BU115/2)</f>
        <v>0.5</v>
      </c>
      <c r="BV116" s="40">
        <f>(Sheet4!BV115/2)</f>
        <v>0.5</v>
      </c>
      <c r="BW116" s="40">
        <f>(Sheet4!BW115/2)</f>
        <v>0.5</v>
      </c>
      <c r="BX116" s="40">
        <f>(Sheet4!BX115/2)</f>
        <v>0.5</v>
      </c>
      <c r="BY116" s="40">
        <f>(Sheet4!BY115/2)</f>
        <v>0.5</v>
      </c>
      <c r="BZ116" s="40">
        <f>(Sheet4!BZ115/2)</f>
        <v>0.5</v>
      </c>
      <c r="CA116" s="40">
        <f>(Sheet4!CA115/2)</f>
        <v>0</v>
      </c>
      <c r="CB116" s="40">
        <f>(Sheet4!CB115/2)</f>
        <v>0.5</v>
      </c>
      <c r="CC116" s="40">
        <f>(Sheet4!CC115/2)</f>
        <v>0.5</v>
      </c>
      <c r="CD116" s="40">
        <f>(Sheet4!CD115/2)</f>
        <v>0.5</v>
      </c>
      <c r="CE116" s="40">
        <f>(Sheet4!CE115/2)</f>
        <v>0.5</v>
      </c>
      <c r="CF116" s="40">
        <f>(Sheet4!CF115/2)</f>
        <v>0</v>
      </c>
      <c r="CG116" s="40">
        <f>(Sheet4!CG115/2)</f>
        <v>0</v>
      </c>
      <c r="CH116" s="40">
        <f>(Sheet4!CH115/2)</f>
        <v>0</v>
      </c>
      <c r="CI116" s="40">
        <f>(Sheet4!CI115/2)</f>
        <v>0.5</v>
      </c>
      <c r="CJ116" s="40">
        <f>(Sheet4!CJ115/2)</f>
        <v>0.5</v>
      </c>
      <c r="CK116" s="40">
        <f>(Sheet4!CK115/2)</f>
        <v>0.5</v>
      </c>
      <c r="CL116" s="40">
        <f>(Sheet4!CL115/2)</f>
        <v>0</v>
      </c>
      <c r="CM116" s="40">
        <f>(Sheet4!CM115/2)</f>
        <v>0.5</v>
      </c>
      <c r="CN116" s="40">
        <f>(Sheet4!CN115/2)</f>
        <v>0.5</v>
      </c>
      <c r="CO116" s="40">
        <f>(Sheet4!CO115/2)</f>
        <v>0</v>
      </c>
      <c r="CP116" s="40">
        <f>(Sheet4!CP115/2)</f>
        <v>0.5</v>
      </c>
      <c r="CQ116" s="40">
        <f>(Sheet4!CQ115/2)</f>
        <v>0</v>
      </c>
      <c r="CR116" s="40">
        <f>(Sheet4!CR115/2)</f>
        <v>0</v>
      </c>
      <c r="CS116" s="40">
        <f>(Sheet4!CS115/2)</f>
        <v>0.5</v>
      </c>
      <c r="CT116" s="40">
        <f>(Sheet4!CT115/2)</f>
        <v>0</v>
      </c>
      <c r="CU116" s="40">
        <f>(Sheet4!CU115/2)</f>
        <v>0.5</v>
      </c>
      <c r="CV116" s="40">
        <f>(Sheet4!CV115/2)</f>
        <v>0</v>
      </c>
      <c r="CW116" s="40">
        <f>(Sheet4!CW115/2)</f>
        <v>0.5</v>
      </c>
      <c r="CX116" s="40">
        <f>(Sheet4!CX115/2)</f>
        <v>0.5</v>
      </c>
      <c r="CY116" s="40">
        <f>(Sheet4!CY115/2)</f>
        <v>0</v>
      </c>
      <c r="CZ116" s="40">
        <f>(Sheet4!CZ115/2)</f>
        <v>0.5</v>
      </c>
      <c r="DA116" s="40">
        <f>(Sheet4!DA115/2)</f>
        <v>0</v>
      </c>
      <c r="DB116" s="40">
        <f>(Sheet4!DB115/2)</f>
        <v>0.5</v>
      </c>
      <c r="DC116" s="40">
        <f>(Sheet4!DC115/2)</f>
        <v>0.5</v>
      </c>
      <c r="DD116" s="40">
        <f>(Sheet4!DD115/2)</f>
        <v>0.5</v>
      </c>
      <c r="DE116" s="40">
        <f>(Sheet4!DE115/2)</f>
        <v>0</v>
      </c>
      <c r="DF116" s="40">
        <f>(Sheet4!DF115/2)</f>
        <v>0.5</v>
      </c>
      <c r="DG116" s="40">
        <f>(Sheet4!DG115/2)</f>
        <v>0.5</v>
      </c>
      <c r="DH116" s="40">
        <f>(Sheet4!DH115/2)</f>
        <v>0</v>
      </c>
      <c r="DI116" s="40">
        <f>(Sheet4!DI115/2)</f>
        <v>0</v>
      </c>
      <c r="DJ116" s="40">
        <f>(Sheet4!DJ115/2)</f>
        <v>0</v>
      </c>
      <c r="DK116" s="40">
        <f>(Sheet4!DK115/2)</f>
        <v>0</v>
      </c>
      <c r="DL116" s="40">
        <f>(Sheet4!DL115/2)</f>
        <v>0</v>
      </c>
      <c r="DM116" s="40">
        <f>(Sheet4!DM115/2)</f>
        <v>0</v>
      </c>
      <c r="DN116" s="40">
        <f>(Sheet4!DN115/2)</f>
        <v>0</v>
      </c>
      <c r="DO116" s="40">
        <f>(Sheet4!DO115/2)</f>
        <v>0</v>
      </c>
      <c r="DP116" s="40">
        <f>(Sheet4!DP115/2)</f>
        <v>0</v>
      </c>
      <c r="DQ116" s="40">
        <f>(Sheet4!DQ115/2)</f>
        <v>0</v>
      </c>
    </row>
    <row r="117" spans="1:121" ht="15.75" customHeight="1" x14ac:dyDescent="0.3">
      <c r="A117" s="40">
        <f>Sheet4!A116</f>
        <v>104</v>
      </c>
      <c r="B117" s="40" t="str">
        <f>Sheet4!B116</f>
        <v xml:space="preserve">ሴም ገብራይ </v>
      </c>
      <c r="C117" s="26">
        <f>Sheet4!C116</f>
        <v>10500</v>
      </c>
      <c r="D117" s="40">
        <f>(Sheet4!D116/2)</f>
        <v>0.5</v>
      </c>
      <c r="E117" s="40">
        <f>(Sheet4!E116/2)</f>
        <v>0.5</v>
      </c>
      <c r="F117" s="40">
        <f>(Sheet4!F116/2)</f>
        <v>0.5</v>
      </c>
      <c r="G117" s="40">
        <f>(Sheet4!G116/2)</f>
        <v>0.5</v>
      </c>
      <c r="H117" s="40">
        <f>(Sheet4!H116/2)</f>
        <v>0.5</v>
      </c>
      <c r="I117" s="40">
        <f>(Sheet4!I116/2)</f>
        <v>0.5</v>
      </c>
      <c r="J117" s="40">
        <f>(Sheet4!J116/2)</f>
        <v>0.5</v>
      </c>
      <c r="K117" s="40">
        <f>(Sheet4!K116/2)</f>
        <v>0.5</v>
      </c>
      <c r="L117" s="40">
        <f>(Sheet4!L116/2)</f>
        <v>0.5</v>
      </c>
      <c r="M117" s="40">
        <f>(Sheet4!M116/2)</f>
        <v>0.5</v>
      </c>
      <c r="N117" s="40">
        <f>(Sheet4!N116/2)</f>
        <v>0.5</v>
      </c>
      <c r="O117" s="40">
        <f>(Sheet4!O116/2)</f>
        <v>0.5</v>
      </c>
      <c r="P117" s="40">
        <f>(Sheet4!P116/2)</f>
        <v>0.5</v>
      </c>
      <c r="Q117" s="40">
        <f>(Sheet4!Q116/2)</f>
        <v>0.5</v>
      </c>
      <c r="R117" s="40">
        <f>(Sheet4!R116/2)</f>
        <v>0.5</v>
      </c>
      <c r="S117" s="40">
        <f>(Sheet4!S116/2)</f>
        <v>0.5</v>
      </c>
      <c r="T117" s="40">
        <f>(Sheet4!T116/2)</f>
        <v>0.5</v>
      </c>
      <c r="U117" s="40">
        <f>(Sheet4!U116/2)</f>
        <v>0.5</v>
      </c>
      <c r="V117" s="40">
        <f>(Sheet4!V116/2)</f>
        <v>0.5</v>
      </c>
      <c r="W117" s="40">
        <f>(Sheet4!W116/2)</f>
        <v>0.5</v>
      </c>
      <c r="X117" s="40">
        <f>(Sheet4!X116/2)</f>
        <v>0.5</v>
      </c>
      <c r="Y117" s="40">
        <f>(Sheet4!Y116/2)</f>
        <v>0.5</v>
      </c>
      <c r="Z117" s="40">
        <f>(Sheet4!Z116/2)</f>
        <v>0.5</v>
      </c>
      <c r="AA117" s="40">
        <f>(Sheet4!AA116/2)</f>
        <v>0.5</v>
      </c>
      <c r="AB117" s="40">
        <f>(Sheet4!AB116/2)</f>
        <v>0.5</v>
      </c>
      <c r="AC117" s="40">
        <f>(Sheet4!AC116/2)</f>
        <v>0.5</v>
      </c>
      <c r="AD117" s="40">
        <f>(Sheet4!AD116/2)</f>
        <v>0.5</v>
      </c>
      <c r="AE117" s="40">
        <f>(Sheet4!AE116/2)</f>
        <v>0.5</v>
      </c>
      <c r="AF117" s="40">
        <f>(Sheet4!AF116/2)</f>
        <v>0.5</v>
      </c>
      <c r="AG117" s="40">
        <f>(Sheet4!AG116/2)</f>
        <v>0.5</v>
      </c>
      <c r="AH117" s="40">
        <f>(Sheet4!AH116/2)</f>
        <v>0.5</v>
      </c>
      <c r="AI117" s="40">
        <f>(Sheet4!AI116/2)</f>
        <v>0.5</v>
      </c>
      <c r="AJ117" s="40">
        <f>(Sheet4!AJ116/2)</f>
        <v>0.5</v>
      </c>
      <c r="AK117" s="40">
        <f>(Sheet4!AK116/2)</f>
        <v>0.5</v>
      </c>
      <c r="AL117" s="40">
        <f>(Sheet4!AL116/2)</f>
        <v>0.5</v>
      </c>
      <c r="AM117" s="40">
        <f>(Sheet4!AM116/2)</f>
        <v>0.5</v>
      </c>
      <c r="AN117" s="40">
        <f>(Sheet4!AN116/2)</f>
        <v>0.5</v>
      </c>
      <c r="AO117" s="40">
        <f>(Sheet4!AO116/2)</f>
        <v>0.5</v>
      </c>
      <c r="AP117" s="40">
        <f>(Sheet4!AP116/2)</f>
        <v>0.5</v>
      </c>
      <c r="AQ117" s="40">
        <f>(Sheet4!AQ116/2)</f>
        <v>0.5</v>
      </c>
      <c r="AR117" s="40">
        <f>(Sheet4!AR116/2)</f>
        <v>0.5</v>
      </c>
      <c r="AS117" s="40">
        <f>(Sheet4!AS116/2)</f>
        <v>0.5</v>
      </c>
      <c r="AT117" s="40">
        <f>(Sheet4!AT116/2)</f>
        <v>0.5</v>
      </c>
      <c r="AU117" s="40">
        <f>(Sheet4!AU116/2)</f>
        <v>0.5</v>
      </c>
      <c r="AV117" s="40">
        <f>(Sheet4!AV116/2)</f>
        <v>0.5</v>
      </c>
      <c r="AW117" s="40">
        <f>(Sheet4!AW116/2)</f>
        <v>0.5</v>
      </c>
      <c r="AX117" s="40">
        <f>(Sheet4!AX116/2)</f>
        <v>0.5</v>
      </c>
      <c r="AY117" s="40">
        <f>(Sheet4!AY116/2)</f>
        <v>0.5</v>
      </c>
      <c r="AZ117" s="40">
        <f>(Sheet4!AZ116/2)</f>
        <v>0.5</v>
      </c>
      <c r="BA117" s="40">
        <f>(Sheet4!BA116/2)</f>
        <v>0.5</v>
      </c>
      <c r="BB117" s="40">
        <f>(Sheet4!BB116/2)</f>
        <v>0.5</v>
      </c>
      <c r="BC117" s="40">
        <f>(Sheet4!BC116/2)</f>
        <v>0.5</v>
      </c>
      <c r="BD117" s="40">
        <f>(Sheet4!BD116/2)</f>
        <v>0.5</v>
      </c>
      <c r="BE117" s="40">
        <f>(Sheet4!BE116/2)</f>
        <v>0.5</v>
      </c>
      <c r="BF117" s="40">
        <f>(Sheet4!BF116/2)</f>
        <v>0.5</v>
      </c>
      <c r="BG117" s="40">
        <f>(Sheet4!BG116/2)</f>
        <v>0.5</v>
      </c>
      <c r="BH117" s="40">
        <f>(Sheet4!BH116/2)</f>
        <v>0.5</v>
      </c>
      <c r="BI117" s="40">
        <f>(Sheet4!BI116/2)</f>
        <v>0.5</v>
      </c>
      <c r="BJ117" s="40">
        <f>(Sheet4!BJ116/2)</f>
        <v>0.5</v>
      </c>
      <c r="BK117" s="40">
        <f>(Sheet4!BK116/2)</f>
        <v>0.5</v>
      </c>
      <c r="BL117" s="40">
        <f>(Sheet4!BL116/2)</f>
        <v>0.5</v>
      </c>
      <c r="BM117" s="40">
        <f>(Sheet4!BM116/2)</f>
        <v>0.5</v>
      </c>
      <c r="BN117" s="40">
        <f>(Sheet4!BN116/2)</f>
        <v>0.5</v>
      </c>
      <c r="BO117" s="40">
        <f>(Sheet4!BO116/2)</f>
        <v>0.5</v>
      </c>
      <c r="BP117" s="40">
        <f>(Sheet4!BP116/2)</f>
        <v>0.5</v>
      </c>
      <c r="BQ117" s="40">
        <f>(Sheet4!BQ116/2)</f>
        <v>0.5</v>
      </c>
      <c r="BR117" s="40">
        <f>(Sheet4!BR116/2)</f>
        <v>0.5</v>
      </c>
      <c r="BS117" s="40">
        <f>(Sheet4!BS116/2)</f>
        <v>0</v>
      </c>
      <c r="BT117" s="40">
        <f>(Sheet4!BT116/2)</f>
        <v>1</v>
      </c>
      <c r="BU117" s="40">
        <f>(Sheet4!BU116/2)</f>
        <v>0.5</v>
      </c>
      <c r="BV117" s="40">
        <f>(Sheet4!BV116/2)</f>
        <v>0.5</v>
      </c>
      <c r="BW117" s="40">
        <f>(Sheet4!BW116/2)</f>
        <v>0.5</v>
      </c>
      <c r="BX117" s="40">
        <f>(Sheet4!BX116/2)</f>
        <v>0.5</v>
      </c>
      <c r="BY117" s="40">
        <f>(Sheet4!BY116/2)</f>
        <v>0.5</v>
      </c>
      <c r="BZ117" s="40">
        <f>(Sheet4!BZ116/2)</f>
        <v>0.5</v>
      </c>
      <c r="CA117" s="40">
        <f>(Sheet4!CA116/2)</f>
        <v>0.5</v>
      </c>
      <c r="CB117" s="40">
        <f>(Sheet4!CB116/2)</f>
        <v>0.5</v>
      </c>
      <c r="CC117" s="40">
        <f>(Sheet4!CC116/2)</f>
        <v>0.5</v>
      </c>
      <c r="CD117" s="40">
        <f>(Sheet4!CD116/2)</f>
        <v>0.5</v>
      </c>
      <c r="CE117" s="40">
        <f>(Sheet4!CE116/2)</f>
        <v>0.5</v>
      </c>
      <c r="CF117" s="40">
        <f>(Sheet4!CF116/2)</f>
        <v>0.5</v>
      </c>
      <c r="CG117" s="40">
        <f>(Sheet4!CG116/2)</f>
        <v>0.5</v>
      </c>
      <c r="CH117" s="40">
        <f>(Sheet4!CH116/2)</f>
        <v>0.5</v>
      </c>
      <c r="CI117" s="40">
        <f>(Sheet4!CI116/2)</f>
        <v>0.5</v>
      </c>
      <c r="CJ117" s="40">
        <f>(Sheet4!CJ116/2)</f>
        <v>0.5</v>
      </c>
      <c r="CK117" s="40">
        <f>(Sheet4!CK116/2)</f>
        <v>0.5</v>
      </c>
      <c r="CL117" s="40">
        <f>(Sheet4!CL116/2)</f>
        <v>0.5</v>
      </c>
      <c r="CM117" s="40">
        <f>(Sheet4!CM116/2)</f>
        <v>0.5</v>
      </c>
      <c r="CN117" s="40">
        <f>(Sheet4!CN116/2)</f>
        <v>0.5</v>
      </c>
      <c r="CO117" s="40">
        <f>(Sheet4!CO116/2)</f>
        <v>0.5</v>
      </c>
      <c r="CP117" s="40">
        <f>(Sheet4!CP116/2)</f>
        <v>0.5</v>
      </c>
      <c r="CQ117" s="40">
        <f>(Sheet4!CQ116/2)</f>
        <v>0.5</v>
      </c>
      <c r="CR117" s="40">
        <f>(Sheet4!CR116/2)</f>
        <v>0.5</v>
      </c>
      <c r="CS117" s="40">
        <f>(Sheet4!CS116/2)</f>
        <v>0.5</v>
      </c>
      <c r="CT117" s="40">
        <f>(Sheet4!CT116/2)</f>
        <v>0.5</v>
      </c>
      <c r="CU117" s="40">
        <f>(Sheet4!CU116/2)</f>
        <v>0.5</v>
      </c>
      <c r="CV117" s="40">
        <f>(Sheet4!CV116/2)</f>
        <v>0.5</v>
      </c>
      <c r="CW117" s="40">
        <f>(Sheet4!CW116/2)</f>
        <v>0.5</v>
      </c>
      <c r="CX117" s="40">
        <f>(Sheet4!CX116/2)</f>
        <v>0.5</v>
      </c>
      <c r="CY117" s="40">
        <f>(Sheet4!CY116/2)</f>
        <v>0.5</v>
      </c>
      <c r="CZ117" s="40">
        <f>(Sheet4!CZ116/2)</f>
        <v>0.5</v>
      </c>
      <c r="DA117" s="40">
        <f>(Sheet4!DA116/2)</f>
        <v>0.5</v>
      </c>
      <c r="DB117" s="40">
        <f>(Sheet4!DB116/2)</f>
        <v>0.5</v>
      </c>
      <c r="DC117" s="40">
        <f>(Sheet4!DC116/2)</f>
        <v>0.5</v>
      </c>
      <c r="DD117" s="40">
        <f>(Sheet4!DD116/2)</f>
        <v>0.5</v>
      </c>
      <c r="DE117" s="40">
        <f>(Sheet4!DE116/2)</f>
        <v>0.5</v>
      </c>
      <c r="DF117" s="40">
        <f>(Sheet4!DF116/2)</f>
        <v>0.5</v>
      </c>
      <c r="DG117" s="40">
        <f>(Sheet4!DG116/2)</f>
        <v>0.5</v>
      </c>
      <c r="DH117" s="40">
        <f>(Sheet4!DH116/2)</f>
        <v>0</v>
      </c>
      <c r="DI117" s="40">
        <f>(Sheet4!DI116/2)</f>
        <v>0</v>
      </c>
      <c r="DJ117" s="40">
        <f>(Sheet4!DJ116/2)</f>
        <v>0</v>
      </c>
      <c r="DK117" s="40">
        <f>(Sheet4!DK116/2)</f>
        <v>0</v>
      </c>
      <c r="DL117" s="40">
        <f>(Sheet4!DL116/2)</f>
        <v>0</v>
      </c>
      <c r="DM117" s="40">
        <f>(Sheet4!DM116/2)</f>
        <v>0</v>
      </c>
      <c r="DN117" s="40">
        <f>(Sheet4!DN116/2)</f>
        <v>0</v>
      </c>
      <c r="DO117" s="40">
        <f>(Sheet4!DO116/2)</f>
        <v>0</v>
      </c>
      <c r="DP117" s="40">
        <f>(Sheet4!DP116/2)</f>
        <v>0</v>
      </c>
      <c r="DQ117" s="40">
        <f>(Sheet4!DQ116/2)</f>
        <v>0</v>
      </c>
    </row>
    <row r="118" spans="1:121" ht="15.75" customHeight="1" x14ac:dyDescent="0.3">
      <c r="A118" s="40">
        <f>Sheet4!A117</f>
        <v>104</v>
      </c>
      <c r="B118" s="40" t="str">
        <f>Sheet4!B117</f>
        <v>ሙሉአባይ መለሰ</v>
      </c>
      <c r="C118" s="26">
        <f>Sheet4!C117</f>
        <v>10500</v>
      </c>
      <c r="D118" s="40">
        <f>(Sheet4!D117/2)</f>
        <v>0.5</v>
      </c>
      <c r="E118" s="40">
        <f>(Sheet4!E117/2)</f>
        <v>0.5</v>
      </c>
      <c r="F118" s="40">
        <f>(Sheet4!F117/2)</f>
        <v>0.5</v>
      </c>
      <c r="G118" s="40">
        <f>(Sheet4!G117/2)</f>
        <v>0.5</v>
      </c>
      <c r="H118" s="40">
        <f>(Sheet4!H117/2)</f>
        <v>0.5</v>
      </c>
      <c r="I118" s="40">
        <f>(Sheet4!I117/2)</f>
        <v>0.5</v>
      </c>
      <c r="J118" s="40">
        <f>(Sheet4!J117/2)</f>
        <v>0.5</v>
      </c>
      <c r="K118" s="40">
        <f>(Sheet4!K117/2)</f>
        <v>0.5</v>
      </c>
      <c r="L118" s="40">
        <f>(Sheet4!L117/2)</f>
        <v>0.5</v>
      </c>
      <c r="M118" s="40">
        <f>(Sheet4!M117/2)</f>
        <v>0.5</v>
      </c>
      <c r="N118" s="40">
        <f>(Sheet4!N117/2)</f>
        <v>0.5</v>
      </c>
      <c r="O118" s="40">
        <f>(Sheet4!O117/2)</f>
        <v>0.5</v>
      </c>
      <c r="P118" s="40">
        <f>(Sheet4!P117/2)</f>
        <v>0.5</v>
      </c>
      <c r="Q118" s="40">
        <f>(Sheet4!Q117/2)</f>
        <v>0.5</v>
      </c>
      <c r="R118" s="40">
        <f>(Sheet4!R117/2)</f>
        <v>0.5</v>
      </c>
      <c r="S118" s="40">
        <f>(Sheet4!S117/2)</f>
        <v>0.5</v>
      </c>
      <c r="T118" s="40">
        <f>(Sheet4!T117/2)</f>
        <v>0.5</v>
      </c>
      <c r="U118" s="40">
        <f>(Sheet4!U117/2)</f>
        <v>0.5</v>
      </c>
      <c r="V118" s="40">
        <f>(Sheet4!V117/2)</f>
        <v>0.5</v>
      </c>
      <c r="W118" s="40">
        <f>(Sheet4!W117/2)</f>
        <v>0.5</v>
      </c>
      <c r="X118" s="40">
        <f>(Sheet4!X117/2)</f>
        <v>0.5</v>
      </c>
      <c r="Y118" s="40">
        <f>(Sheet4!Y117/2)</f>
        <v>0.5</v>
      </c>
      <c r="Z118" s="40">
        <f>(Sheet4!Z117/2)</f>
        <v>0.5</v>
      </c>
      <c r="AA118" s="40">
        <f>(Sheet4!AA117/2)</f>
        <v>0.5</v>
      </c>
      <c r="AB118" s="40">
        <f>(Sheet4!AB117/2)</f>
        <v>0.5</v>
      </c>
      <c r="AC118" s="40">
        <f>(Sheet4!AC117/2)</f>
        <v>0.5</v>
      </c>
      <c r="AD118" s="40">
        <f>(Sheet4!AD117/2)</f>
        <v>0.5</v>
      </c>
      <c r="AE118" s="40">
        <f>(Sheet4!AE117/2)</f>
        <v>0.5</v>
      </c>
      <c r="AF118" s="40">
        <f>(Sheet4!AF117/2)</f>
        <v>0.5</v>
      </c>
      <c r="AG118" s="40">
        <f>(Sheet4!AG117/2)</f>
        <v>0.5</v>
      </c>
      <c r="AH118" s="40">
        <f>(Sheet4!AH117/2)</f>
        <v>0.5</v>
      </c>
      <c r="AI118" s="40">
        <f>(Sheet4!AI117/2)</f>
        <v>0.5</v>
      </c>
      <c r="AJ118" s="40">
        <f>(Sheet4!AJ117/2)</f>
        <v>0.5</v>
      </c>
      <c r="AK118" s="40">
        <f>(Sheet4!AK117/2)</f>
        <v>0.5</v>
      </c>
      <c r="AL118" s="40">
        <f>(Sheet4!AL117/2)</f>
        <v>0.5</v>
      </c>
      <c r="AM118" s="40">
        <f>(Sheet4!AM117/2)</f>
        <v>0.5</v>
      </c>
      <c r="AN118" s="40">
        <f>(Sheet4!AN117/2)</f>
        <v>0.5</v>
      </c>
      <c r="AO118" s="40">
        <f>(Sheet4!AO117/2)</f>
        <v>0.5</v>
      </c>
      <c r="AP118" s="40">
        <f>(Sheet4!AP117/2)</f>
        <v>0.5</v>
      </c>
      <c r="AQ118" s="40">
        <f>(Sheet4!AQ117/2)</f>
        <v>0.5</v>
      </c>
      <c r="AR118" s="40">
        <f>(Sheet4!AR117/2)</f>
        <v>0.5</v>
      </c>
      <c r="AS118" s="40">
        <f>(Sheet4!AS117/2)</f>
        <v>0.5</v>
      </c>
      <c r="AT118" s="40">
        <f>(Sheet4!AT117/2)</f>
        <v>0.5</v>
      </c>
      <c r="AU118" s="40">
        <f>(Sheet4!AU117/2)</f>
        <v>0.5</v>
      </c>
      <c r="AV118" s="40">
        <f>(Sheet4!AV117/2)</f>
        <v>0.5</v>
      </c>
      <c r="AW118" s="40">
        <f>(Sheet4!AW117/2)</f>
        <v>0.5</v>
      </c>
      <c r="AX118" s="40">
        <f>(Sheet4!AX117/2)</f>
        <v>0.5</v>
      </c>
      <c r="AY118" s="40">
        <f>(Sheet4!AY117/2)</f>
        <v>0.5</v>
      </c>
      <c r="AZ118" s="40">
        <f>(Sheet4!AZ117/2)</f>
        <v>0.5</v>
      </c>
      <c r="BA118" s="40">
        <f>(Sheet4!BA117/2)</f>
        <v>0.5</v>
      </c>
      <c r="BB118" s="40">
        <f>(Sheet4!BB117/2)</f>
        <v>0.5</v>
      </c>
      <c r="BC118" s="40">
        <f>(Sheet4!BC117/2)</f>
        <v>0.5</v>
      </c>
      <c r="BD118" s="40">
        <f>(Sheet4!BD117/2)</f>
        <v>0.5</v>
      </c>
      <c r="BE118" s="40">
        <f>(Sheet4!BE117/2)</f>
        <v>0.5</v>
      </c>
      <c r="BF118" s="40">
        <f>(Sheet4!BF117/2)</f>
        <v>0.5</v>
      </c>
      <c r="BG118" s="40">
        <f>(Sheet4!BG117/2)</f>
        <v>0.5</v>
      </c>
      <c r="BH118" s="40">
        <f>(Sheet4!BH117/2)</f>
        <v>0.5</v>
      </c>
      <c r="BI118" s="40">
        <f>(Sheet4!BI117/2)</f>
        <v>0.5</v>
      </c>
      <c r="BJ118" s="40">
        <f>(Sheet4!BJ117/2)</f>
        <v>0.5</v>
      </c>
      <c r="BK118" s="40">
        <f>(Sheet4!BK117/2)</f>
        <v>0.5</v>
      </c>
      <c r="BL118" s="40">
        <f>(Sheet4!BL117/2)</f>
        <v>0.5</v>
      </c>
      <c r="BM118" s="40">
        <f>(Sheet4!BM117/2)</f>
        <v>0.5</v>
      </c>
      <c r="BN118" s="40">
        <f>(Sheet4!BN117/2)</f>
        <v>0.5</v>
      </c>
      <c r="BO118" s="40">
        <f>(Sheet4!BO117/2)</f>
        <v>0</v>
      </c>
      <c r="BP118" s="40">
        <f>(Sheet4!BP117/2)</f>
        <v>0.5</v>
      </c>
      <c r="BQ118" s="40">
        <f>(Sheet4!BQ117/2)</f>
        <v>0.5</v>
      </c>
      <c r="BR118" s="40">
        <f>(Sheet4!BR117/2)</f>
        <v>0.5</v>
      </c>
      <c r="BS118" s="40">
        <f>(Sheet4!BS117/2)</f>
        <v>0.5</v>
      </c>
      <c r="BT118" s="40">
        <f>(Sheet4!BT117/2)</f>
        <v>0.5</v>
      </c>
      <c r="BU118" s="40">
        <f>(Sheet4!BU117/2)</f>
        <v>0.5</v>
      </c>
      <c r="BV118" s="40">
        <f>(Sheet4!BV117/2)</f>
        <v>0.5</v>
      </c>
      <c r="BW118" s="40">
        <f>(Sheet4!BW117/2)</f>
        <v>0.5</v>
      </c>
      <c r="BX118" s="40">
        <f>(Sheet4!BX117/2)</f>
        <v>0.5</v>
      </c>
      <c r="BY118" s="40">
        <f>(Sheet4!BY117/2)</f>
        <v>0.5</v>
      </c>
      <c r="BZ118" s="40">
        <f>(Sheet4!BZ117/2)</f>
        <v>0.5</v>
      </c>
      <c r="CA118" s="40">
        <f>(Sheet4!CA117/2)</f>
        <v>0.5</v>
      </c>
      <c r="CB118" s="40">
        <f>(Sheet4!CB117/2)</f>
        <v>0.5</v>
      </c>
      <c r="CC118" s="40">
        <f>(Sheet4!CC117/2)</f>
        <v>0.5</v>
      </c>
      <c r="CD118" s="40">
        <f>(Sheet4!CD117/2)</f>
        <v>0.5</v>
      </c>
      <c r="CE118" s="40">
        <f>(Sheet4!CE117/2)</f>
        <v>0.5</v>
      </c>
      <c r="CF118" s="40">
        <f>(Sheet4!CF117/2)</f>
        <v>0.5</v>
      </c>
      <c r="CG118" s="40">
        <f>(Sheet4!CG117/2)</f>
        <v>0.5</v>
      </c>
      <c r="CH118" s="40">
        <f>(Sheet4!CH117/2)</f>
        <v>0.5</v>
      </c>
      <c r="CI118" s="40">
        <f>(Sheet4!CI117/2)</f>
        <v>0.5</v>
      </c>
      <c r="CJ118" s="40">
        <f>(Sheet4!CJ117/2)</f>
        <v>0.5</v>
      </c>
      <c r="CK118" s="40">
        <f>(Sheet4!CK117/2)</f>
        <v>0.5</v>
      </c>
      <c r="CL118" s="40">
        <f>(Sheet4!CL117/2)</f>
        <v>0.5</v>
      </c>
      <c r="CM118" s="40">
        <f>(Sheet4!CM117/2)</f>
        <v>0.5</v>
      </c>
      <c r="CN118" s="40">
        <f>(Sheet4!CN117/2)</f>
        <v>0.5</v>
      </c>
      <c r="CO118" s="40">
        <f>(Sheet4!CO117/2)</f>
        <v>0.5</v>
      </c>
      <c r="CP118" s="40">
        <f>(Sheet4!CP117/2)</f>
        <v>0.5</v>
      </c>
      <c r="CQ118" s="40">
        <f>(Sheet4!CQ117/2)</f>
        <v>0.5</v>
      </c>
      <c r="CR118" s="40">
        <f>(Sheet4!CR117/2)</f>
        <v>0.5</v>
      </c>
      <c r="CS118" s="40">
        <f>(Sheet4!CS117/2)</f>
        <v>0.5</v>
      </c>
      <c r="CT118" s="40">
        <f>(Sheet4!CT117/2)</f>
        <v>0.5</v>
      </c>
      <c r="CU118" s="40">
        <f>(Sheet4!CU117/2)</f>
        <v>0.5</v>
      </c>
      <c r="CV118" s="40">
        <f>(Sheet4!CV117/2)</f>
        <v>0</v>
      </c>
      <c r="CW118" s="40">
        <f>(Sheet4!CW117/2)</f>
        <v>1</v>
      </c>
      <c r="CX118" s="40">
        <f>(Sheet4!CX117/2)</f>
        <v>0</v>
      </c>
      <c r="CY118" s="40">
        <f>(Sheet4!CY117/2)</f>
        <v>1</v>
      </c>
      <c r="CZ118" s="40">
        <f>(Sheet4!CZ117/2)</f>
        <v>0.5</v>
      </c>
      <c r="DA118" s="40">
        <f>(Sheet4!DA117/2)</f>
        <v>0.5</v>
      </c>
      <c r="DB118" s="40">
        <f>(Sheet4!DB117/2)</f>
        <v>0.5</v>
      </c>
      <c r="DC118" s="40">
        <f>(Sheet4!DC117/2)</f>
        <v>0.5</v>
      </c>
      <c r="DD118" s="40">
        <f>(Sheet4!DD117/2)</f>
        <v>0.5</v>
      </c>
      <c r="DE118" s="40">
        <f>(Sheet4!DE117/2)</f>
        <v>0.5</v>
      </c>
      <c r="DF118" s="40">
        <f>(Sheet4!DF117/2)</f>
        <v>0</v>
      </c>
      <c r="DG118" s="40">
        <f>(Sheet4!DG117/2)</f>
        <v>1</v>
      </c>
      <c r="DH118" s="40">
        <f>(Sheet4!DH117/2)</f>
        <v>0</v>
      </c>
      <c r="DI118" s="40">
        <f>(Sheet4!DI117/2)</f>
        <v>0</v>
      </c>
      <c r="DJ118" s="40">
        <f>(Sheet4!DJ117/2)</f>
        <v>0</v>
      </c>
      <c r="DK118" s="40">
        <f>(Sheet4!DK117/2)</f>
        <v>0</v>
      </c>
      <c r="DL118" s="40">
        <f>(Sheet4!DL117/2)</f>
        <v>0</v>
      </c>
      <c r="DM118" s="40">
        <f>(Sheet4!DM117/2)</f>
        <v>0</v>
      </c>
      <c r="DN118" s="40">
        <f>(Sheet4!DN117/2)</f>
        <v>0</v>
      </c>
      <c r="DO118" s="40">
        <f>(Sheet4!DO117/2)</f>
        <v>0</v>
      </c>
      <c r="DP118" s="40">
        <f>(Sheet4!DP117/2)</f>
        <v>0</v>
      </c>
      <c r="DQ118" s="40">
        <f>(Sheet4!DQ117/2)</f>
        <v>0</v>
      </c>
    </row>
    <row r="119" spans="1:121" ht="15.75" customHeight="1" x14ac:dyDescent="0.3">
      <c r="A119" s="40">
        <f>Sheet4!A118</f>
        <v>105</v>
      </c>
      <c r="B119" s="40" t="str">
        <f>Sheet4!B118</f>
        <v>ደስታ ቶሎሳ</v>
      </c>
      <c r="C119" s="26">
        <f>Sheet4!C118</f>
        <v>10500</v>
      </c>
      <c r="D119" s="40">
        <f>(Sheet4!D118/2)</f>
        <v>0.5</v>
      </c>
      <c r="E119" s="40">
        <f>(Sheet4!E118/2)</f>
        <v>0.5</v>
      </c>
      <c r="F119" s="40">
        <f>(Sheet4!F118/2)</f>
        <v>0.5</v>
      </c>
      <c r="G119" s="40">
        <f>(Sheet4!G118/2)</f>
        <v>0.5</v>
      </c>
      <c r="H119" s="40">
        <f>(Sheet4!H118/2)</f>
        <v>0.5</v>
      </c>
      <c r="I119" s="40">
        <f>(Sheet4!I118/2)</f>
        <v>0.5</v>
      </c>
      <c r="J119" s="40">
        <f>(Sheet4!J118/2)</f>
        <v>0.5</v>
      </c>
      <c r="K119" s="40">
        <f>(Sheet4!K118/2)</f>
        <v>0.5</v>
      </c>
      <c r="L119" s="40">
        <f>(Sheet4!L118/2)</f>
        <v>0.5</v>
      </c>
      <c r="M119" s="40">
        <f>(Sheet4!M118/2)</f>
        <v>0.5</v>
      </c>
      <c r="N119" s="40">
        <f>(Sheet4!N118/2)</f>
        <v>0.5</v>
      </c>
      <c r="O119" s="40">
        <f>(Sheet4!O118/2)</f>
        <v>0.5</v>
      </c>
      <c r="P119" s="40">
        <f>(Sheet4!P118/2)</f>
        <v>0.5</v>
      </c>
      <c r="Q119" s="40">
        <f>(Sheet4!Q118/2)</f>
        <v>0.5</v>
      </c>
      <c r="R119" s="40">
        <f>(Sheet4!R118/2)</f>
        <v>0.5</v>
      </c>
      <c r="S119" s="40">
        <f>(Sheet4!S118/2)</f>
        <v>0.5</v>
      </c>
      <c r="T119" s="40">
        <f>(Sheet4!T118/2)</f>
        <v>0.5</v>
      </c>
      <c r="U119" s="40">
        <f>(Sheet4!U118/2)</f>
        <v>0.5</v>
      </c>
      <c r="V119" s="40">
        <f>(Sheet4!V118/2)</f>
        <v>0.5</v>
      </c>
      <c r="W119" s="40">
        <f>(Sheet4!W118/2)</f>
        <v>0.5</v>
      </c>
      <c r="X119" s="40">
        <f>(Sheet4!X118/2)</f>
        <v>0.5</v>
      </c>
      <c r="Y119" s="40">
        <f>(Sheet4!Y118/2)</f>
        <v>0.5</v>
      </c>
      <c r="Z119" s="40">
        <f>(Sheet4!Z118/2)</f>
        <v>0.5</v>
      </c>
      <c r="AA119" s="40">
        <f>(Sheet4!AA118/2)</f>
        <v>0.5</v>
      </c>
      <c r="AB119" s="40">
        <f>(Sheet4!AB118/2)</f>
        <v>0.5</v>
      </c>
      <c r="AC119" s="40">
        <f>(Sheet4!AC118/2)</f>
        <v>0.5</v>
      </c>
      <c r="AD119" s="40">
        <f>(Sheet4!AD118/2)</f>
        <v>0.5</v>
      </c>
      <c r="AE119" s="40">
        <f>(Sheet4!AE118/2)</f>
        <v>0.5</v>
      </c>
      <c r="AF119" s="40">
        <f>(Sheet4!AF118/2)</f>
        <v>0.5</v>
      </c>
      <c r="AG119" s="40">
        <f>(Sheet4!AG118/2)</f>
        <v>0.5</v>
      </c>
      <c r="AH119" s="40">
        <f>(Sheet4!AH118/2)</f>
        <v>0.5</v>
      </c>
      <c r="AI119" s="40">
        <f>(Sheet4!AI118/2)</f>
        <v>0.5</v>
      </c>
      <c r="AJ119" s="40">
        <f>(Sheet4!AJ118/2)</f>
        <v>0.5</v>
      </c>
      <c r="AK119" s="40">
        <f>(Sheet4!AK118/2)</f>
        <v>0.5</v>
      </c>
      <c r="AL119" s="40">
        <f>(Sheet4!AL118/2)</f>
        <v>0.5</v>
      </c>
      <c r="AM119" s="40">
        <f>(Sheet4!AM118/2)</f>
        <v>0.5</v>
      </c>
      <c r="AN119" s="40">
        <f>(Sheet4!AN118/2)</f>
        <v>0.5</v>
      </c>
      <c r="AO119" s="40">
        <f>(Sheet4!AO118/2)</f>
        <v>0.5</v>
      </c>
      <c r="AP119" s="40">
        <f>(Sheet4!AP118/2)</f>
        <v>0.5</v>
      </c>
      <c r="AQ119" s="40">
        <f>(Sheet4!AQ118/2)</f>
        <v>0.5</v>
      </c>
      <c r="AR119" s="40">
        <f>(Sheet4!AR118/2)</f>
        <v>0.5</v>
      </c>
      <c r="AS119" s="40">
        <f>(Sheet4!AS118/2)</f>
        <v>0.5</v>
      </c>
      <c r="AT119" s="40">
        <f>(Sheet4!AT118/2)</f>
        <v>0.5</v>
      </c>
      <c r="AU119" s="40">
        <f>(Sheet4!AU118/2)</f>
        <v>0.5</v>
      </c>
      <c r="AV119" s="40">
        <f>(Sheet4!AV118/2)</f>
        <v>0.5</v>
      </c>
      <c r="AW119" s="40">
        <f>(Sheet4!AW118/2)</f>
        <v>0.5</v>
      </c>
      <c r="AX119" s="40">
        <f>(Sheet4!AX118/2)</f>
        <v>0.5</v>
      </c>
      <c r="AY119" s="40">
        <f>(Sheet4!AY118/2)</f>
        <v>0.5</v>
      </c>
      <c r="AZ119" s="40">
        <f>(Sheet4!AZ118/2)</f>
        <v>0.5</v>
      </c>
      <c r="BA119" s="40">
        <f>(Sheet4!BA118/2)</f>
        <v>0.5</v>
      </c>
      <c r="BB119" s="40">
        <f>(Sheet4!BB118/2)</f>
        <v>0.5</v>
      </c>
      <c r="BC119" s="40">
        <f>(Sheet4!BC118/2)</f>
        <v>0.5</v>
      </c>
      <c r="BD119" s="40">
        <f>(Sheet4!BD118/2)</f>
        <v>0.5</v>
      </c>
      <c r="BE119" s="40">
        <f>(Sheet4!BE118/2)</f>
        <v>0.5</v>
      </c>
      <c r="BF119" s="40">
        <f>(Sheet4!BF118/2)</f>
        <v>0.5</v>
      </c>
      <c r="BG119" s="40">
        <f>(Sheet4!BG118/2)</f>
        <v>0.5</v>
      </c>
      <c r="BH119" s="40">
        <f>(Sheet4!BH118/2)</f>
        <v>0.5</v>
      </c>
      <c r="BI119" s="40">
        <f>(Sheet4!BI118/2)</f>
        <v>0</v>
      </c>
      <c r="BJ119" s="40">
        <f>(Sheet4!BJ118/2)</f>
        <v>1</v>
      </c>
      <c r="BK119" s="40">
        <f>(Sheet4!BK118/2)</f>
        <v>0</v>
      </c>
      <c r="BL119" s="40">
        <f>(Sheet4!BL118/2)</f>
        <v>1</v>
      </c>
      <c r="BM119" s="40">
        <f>(Sheet4!BM118/2)</f>
        <v>0</v>
      </c>
      <c r="BN119" s="40">
        <f>(Sheet4!BN118/2)</f>
        <v>0</v>
      </c>
      <c r="BO119" s="40">
        <f>(Sheet4!BO118/2)</f>
        <v>0.5</v>
      </c>
      <c r="BP119" s="40">
        <f>(Sheet4!BP118/2)</f>
        <v>0.5</v>
      </c>
      <c r="BQ119" s="40">
        <f>(Sheet4!BQ118/2)</f>
        <v>0.5</v>
      </c>
      <c r="BR119" s="40">
        <f>(Sheet4!BR118/2)</f>
        <v>0.5</v>
      </c>
      <c r="BS119" s="40">
        <f>(Sheet4!BS118/2)</f>
        <v>0.5</v>
      </c>
      <c r="BT119" s="40">
        <f>(Sheet4!BT118/2)</f>
        <v>0.5</v>
      </c>
      <c r="BU119" s="40">
        <f>(Sheet4!BU118/2)</f>
        <v>0.5</v>
      </c>
      <c r="BV119" s="40">
        <f>(Sheet4!BV118/2)</f>
        <v>0</v>
      </c>
      <c r="BW119" s="40">
        <f>(Sheet4!BW118/2)</f>
        <v>1</v>
      </c>
      <c r="BX119" s="40">
        <f>(Sheet4!BX118/2)</f>
        <v>0</v>
      </c>
      <c r="BY119" s="40">
        <f>(Sheet4!BY118/2)</f>
        <v>1</v>
      </c>
      <c r="BZ119" s="40">
        <f>(Sheet4!BZ118/2)</f>
        <v>0</v>
      </c>
      <c r="CA119" s="40">
        <f>(Sheet4!CA118/2)</f>
        <v>1</v>
      </c>
      <c r="CB119" s="40">
        <f>(Sheet4!CB118/2)</f>
        <v>0</v>
      </c>
      <c r="CC119" s="40">
        <f>(Sheet4!CC118/2)</f>
        <v>1</v>
      </c>
      <c r="CD119" s="40">
        <f>(Sheet4!CD118/2)</f>
        <v>0</v>
      </c>
      <c r="CE119" s="40">
        <f>(Sheet4!CE118/2)</f>
        <v>1</v>
      </c>
      <c r="CF119" s="40">
        <f>(Sheet4!CF118/2)</f>
        <v>0</v>
      </c>
      <c r="CG119" s="40">
        <f>(Sheet4!CG118/2)</f>
        <v>1</v>
      </c>
      <c r="CH119" s="40">
        <f>(Sheet4!CH118/2)</f>
        <v>0</v>
      </c>
      <c r="CI119" s="40">
        <f>(Sheet4!CI118/2)</f>
        <v>0</v>
      </c>
      <c r="CJ119" s="40">
        <f>(Sheet4!CJ118/2)</f>
        <v>1.5</v>
      </c>
      <c r="CK119" s="40">
        <f>(Sheet4!CK118/2)</f>
        <v>0</v>
      </c>
      <c r="CL119" s="40">
        <f>(Sheet4!CL118/2)</f>
        <v>1</v>
      </c>
      <c r="CM119" s="40">
        <f>(Sheet4!CM118/2)</f>
        <v>0</v>
      </c>
      <c r="CN119" s="40">
        <f>(Sheet4!CN118/2)</f>
        <v>1</v>
      </c>
      <c r="CO119" s="40">
        <f>(Sheet4!CO118/2)</f>
        <v>0</v>
      </c>
      <c r="CP119" s="40">
        <f>(Sheet4!CP118/2)</f>
        <v>1</v>
      </c>
      <c r="CQ119" s="40">
        <f>(Sheet4!CQ118/2)</f>
        <v>0</v>
      </c>
      <c r="CR119" s="40">
        <f>(Sheet4!CR118/2)</f>
        <v>1</v>
      </c>
      <c r="CS119" s="40">
        <f>(Sheet4!CS118/2)</f>
        <v>0</v>
      </c>
      <c r="CT119" s="40">
        <f>(Sheet4!CT118/2)</f>
        <v>1</v>
      </c>
      <c r="CU119" s="40">
        <f>(Sheet4!CU118/2)</f>
        <v>0</v>
      </c>
      <c r="CV119" s="40">
        <f>(Sheet4!CV118/2)</f>
        <v>0</v>
      </c>
      <c r="CW119" s="40">
        <f>(Sheet4!CW118/2)</f>
        <v>1</v>
      </c>
      <c r="CX119" s="40">
        <f>(Sheet4!CX118/2)</f>
        <v>0</v>
      </c>
      <c r="CY119" s="40">
        <f>(Sheet4!CY118/2)</f>
        <v>0</v>
      </c>
      <c r="CZ119" s="40">
        <f>(Sheet4!CZ118/2)</f>
        <v>0</v>
      </c>
      <c r="DA119" s="40">
        <f>(Sheet4!DA118/2)</f>
        <v>1</v>
      </c>
      <c r="DB119" s="40">
        <f>(Sheet4!DB118/2)</f>
        <v>0</v>
      </c>
      <c r="DC119" s="40">
        <f>(Sheet4!DC118/2)</f>
        <v>1</v>
      </c>
      <c r="DD119" s="40">
        <f>(Sheet4!DD118/2)</f>
        <v>0</v>
      </c>
      <c r="DE119" s="40">
        <f>(Sheet4!DE118/2)</f>
        <v>0</v>
      </c>
      <c r="DF119" s="40">
        <f>(Sheet4!DF118/2)</f>
        <v>1</v>
      </c>
      <c r="DG119" s="40">
        <f>(Sheet4!DG118/2)</f>
        <v>0</v>
      </c>
      <c r="DH119" s="40">
        <f>(Sheet4!DH118/2)</f>
        <v>0</v>
      </c>
      <c r="DI119" s="40">
        <f>(Sheet4!DI118/2)</f>
        <v>0</v>
      </c>
      <c r="DJ119" s="40">
        <f>(Sheet4!DJ118/2)</f>
        <v>0</v>
      </c>
      <c r="DK119" s="40">
        <f>(Sheet4!DK118/2)</f>
        <v>0</v>
      </c>
      <c r="DL119" s="40">
        <f>(Sheet4!DL118/2)</f>
        <v>0</v>
      </c>
      <c r="DM119" s="40">
        <f>(Sheet4!DM118/2)</f>
        <v>0</v>
      </c>
      <c r="DN119" s="40">
        <f>(Sheet4!DN118/2)</f>
        <v>0</v>
      </c>
      <c r="DO119" s="40">
        <f>(Sheet4!DO118/2)</f>
        <v>0</v>
      </c>
      <c r="DP119" s="40">
        <f>(Sheet4!DP118/2)</f>
        <v>0</v>
      </c>
      <c r="DQ119" s="40">
        <f>(Sheet4!DQ118/2)</f>
        <v>0</v>
      </c>
    </row>
    <row r="120" spans="1:121" ht="15.75" customHeight="1" x14ac:dyDescent="0.3">
      <c r="A120" s="40">
        <f>Sheet4!A119</f>
        <v>105</v>
      </c>
      <c r="B120" s="40" t="str">
        <f>Sheet4!B119</f>
        <v>ኤልያስ አቢባ</v>
      </c>
      <c r="C120" s="26">
        <f>Sheet4!C119</f>
        <v>10500</v>
      </c>
      <c r="D120" s="40">
        <f>(Sheet4!D119/2)</f>
        <v>0.5</v>
      </c>
      <c r="E120" s="40">
        <f>(Sheet4!E119/2)</f>
        <v>0.5</v>
      </c>
      <c r="F120" s="40">
        <f>(Sheet4!F119/2)</f>
        <v>0.5</v>
      </c>
      <c r="G120" s="40">
        <f>(Sheet4!G119/2)</f>
        <v>0.5</v>
      </c>
      <c r="H120" s="40">
        <f>(Sheet4!H119/2)</f>
        <v>0.5</v>
      </c>
      <c r="I120" s="40">
        <f>(Sheet4!I119/2)</f>
        <v>0.5</v>
      </c>
      <c r="J120" s="40">
        <f>(Sheet4!J119/2)</f>
        <v>0.5</v>
      </c>
      <c r="K120" s="40">
        <f>(Sheet4!K119/2)</f>
        <v>0.5</v>
      </c>
      <c r="L120" s="40">
        <f>(Sheet4!L119/2)</f>
        <v>0.5</v>
      </c>
      <c r="M120" s="40">
        <f>(Sheet4!M119/2)</f>
        <v>0.5</v>
      </c>
      <c r="N120" s="40">
        <f>(Sheet4!N119/2)</f>
        <v>0.5</v>
      </c>
      <c r="O120" s="40">
        <f>(Sheet4!O119/2)</f>
        <v>0.5</v>
      </c>
      <c r="P120" s="40">
        <f>(Sheet4!P119/2)</f>
        <v>0.5</v>
      </c>
      <c r="Q120" s="40">
        <f>(Sheet4!Q119/2)</f>
        <v>0.5</v>
      </c>
      <c r="R120" s="40">
        <f>(Sheet4!R119/2)</f>
        <v>0.5</v>
      </c>
      <c r="S120" s="40">
        <f>(Sheet4!S119/2)</f>
        <v>0.5</v>
      </c>
      <c r="T120" s="40">
        <f>(Sheet4!T119/2)</f>
        <v>0.5</v>
      </c>
      <c r="U120" s="40">
        <f>(Sheet4!U119/2)</f>
        <v>0.5</v>
      </c>
      <c r="V120" s="40">
        <f>(Sheet4!V119/2)</f>
        <v>0.5</v>
      </c>
      <c r="W120" s="40">
        <f>(Sheet4!W119/2)</f>
        <v>0.5</v>
      </c>
      <c r="X120" s="40">
        <f>(Sheet4!X119/2)</f>
        <v>0.5</v>
      </c>
      <c r="Y120" s="40">
        <f>(Sheet4!Y119/2)</f>
        <v>0.5</v>
      </c>
      <c r="Z120" s="40">
        <f>(Sheet4!Z119/2)</f>
        <v>0.5</v>
      </c>
      <c r="AA120" s="40">
        <f>(Sheet4!AA119/2)</f>
        <v>0.5</v>
      </c>
      <c r="AB120" s="40">
        <f>(Sheet4!AB119/2)</f>
        <v>0.5</v>
      </c>
      <c r="AC120" s="40">
        <f>(Sheet4!AC119/2)</f>
        <v>0.5</v>
      </c>
      <c r="AD120" s="40">
        <f>(Sheet4!AD119/2)</f>
        <v>0.5</v>
      </c>
      <c r="AE120" s="40">
        <f>(Sheet4!AE119/2)</f>
        <v>0.5</v>
      </c>
      <c r="AF120" s="40">
        <f>(Sheet4!AF119/2)</f>
        <v>0.5</v>
      </c>
      <c r="AG120" s="40">
        <f>(Sheet4!AG119/2)</f>
        <v>0.5</v>
      </c>
      <c r="AH120" s="40">
        <f>(Sheet4!AH119/2)</f>
        <v>0.5</v>
      </c>
      <c r="AI120" s="40">
        <f>(Sheet4!AI119/2)</f>
        <v>0.5</v>
      </c>
      <c r="AJ120" s="40">
        <f>(Sheet4!AJ119/2)</f>
        <v>0.5</v>
      </c>
      <c r="AK120" s="40">
        <f>(Sheet4!AK119/2)</f>
        <v>0.5</v>
      </c>
      <c r="AL120" s="40">
        <f>(Sheet4!AL119/2)</f>
        <v>0.5</v>
      </c>
      <c r="AM120" s="40">
        <f>(Sheet4!AM119/2)</f>
        <v>0.5</v>
      </c>
      <c r="AN120" s="40">
        <f>(Sheet4!AN119/2)</f>
        <v>0.5</v>
      </c>
      <c r="AO120" s="40">
        <f>(Sheet4!AO119/2)</f>
        <v>0.5</v>
      </c>
      <c r="AP120" s="40">
        <f>(Sheet4!AP119/2)</f>
        <v>0.5</v>
      </c>
      <c r="AQ120" s="40">
        <f>(Sheet4!AQ119/2)</f>
        <v>0.5</v>
      </c>
      <c r="AR120" s="40">
        <f>(Sheet4!AR119/2)</f>
        <v>0.5</v>
      </c>
      <c r="AS120" s="40">
        <f>(Sheet4!AS119/2)</f>
        <v>0.5</v>
      </c>
      <c r="AT120" s="40">
        <f>(Sheet4!AT119/2)</f>
        <v>0.5</v>
      </c>
      <c r="AU120" s="40">
        <f>(Sheet4!AU119/2)</f>
        <v>0.5</v>
      </c>
      <c r="AV120" s="40">
        <f>(Sheet4!AV119/2)</f>
        <v>0.5</v>
      </c>
      <c r="AW120" s="40">
        <f>(Sheet4!AW119/2)</f>
        <v>0.5</v>
      </c>
      <c r="AX120" s="40">
        <f>(Sheet4!AX119/2)</f>
        <v>0.5</v>
      </c>
      <c r="AY120" s="40">
        <f>(Sheet4!AY119/2)</f>
        <v>0.5</v>
      </c>
      <c r="AZ120" s="40">
        <f>(Sheet4!AZ119/2)</f>
        <v>0.5</v>
      </c>
      <c r="BA120" s="40">
        <f>(Sheet4!BA119/2)</f>
        <v>0.5</v>
      </c>
      <c r="BB120" s="40">
        <f>(Sheet4!BB119/2)</f>
        <v>0.5</v>
      </c>
      <c r="BC120" s="40">
        <f>(Sheet4!BC119/2)</f>
        <v>0.5</v>
      </c>
      <c r="BD120" s="40">
        <f>(Sheet4!BD119/2)</f>
        <v>0.5</v>
      </c>
      <c r="BE120" s="40">
        <f>(Sheet4!BE119/2)</f>
        <v>0.5</v>
      </c>
      <c r="BF120" s="40">
        <f>(Sheet4!BF119/2)</f>
        <v>0.5</v>
      </c>
      <c r="BG120" s="40">
        <f>(Sheet4!BG119/2)</f>
        <v>0.5</v>
      </c>
      <c r="BH120" s="40">
        <f>(Sheet4!BH119/2)</f>
        <v>0.5</v>
      </c>
      <c r="BI120" s="40">
        <f>(Sheet4!BI119/2)</f>
        <v>0</v>
      </c>
      <c r="BJ120" s="40">
        <f>(Sheet4!BJ119/2)</f>
        <v>1</v>
      </c>
      <c r="BK120" s="40">
        <f>(Sheet4!BK119/2)</f>
        <v>0.5</v>
      </c>
      <c r="BL120" s="40">
        <f>(Sheet4!BL119/2)</f>
        <v>0.5</v>
      </c>
      <c r="BM120" s="40">
        <f>(Sheet4!BM119/2)</f>
        <v>0</v>
      </c>
      <c r="BN120" s="40">
        <f>(Sheet4!BN119/2)</f>
        <v>1</v>
      </c>
      <c r="BO120" s="40">
        <f>(Sheet4!BO119/2)</f>
        <v>0</v>
      </c>
      <c r="BP120" s="40">
        <f>(Sheet4!BP119/2)</f>
        <v>1</v>
      </c>
      <c r="BQ120" s="40">
        <f>(Sheet4!BQ119/2)</f>
        <v>0.5</v>
      </c>
      <c r="BR120" s="40">
        <f>(Sheet4!BR119/2)</f>
        <v>0.5</v>
      </c>
      <c r="BS120" s="40">
        <f>(Sheet4!BS119/2)</f>
        <v>0.5</v>
      </c>
      <c r="BT120" s="40">
        <f>(Sheet4!BT119/2)</f>
        <v>0.5</v>
      </c>
      <c r="BU120" s="40">
        <f>(Sheet4!BU119/2)</f>
        <v>0.5</v>
      </c>
      <c r="BV120" s="40">
        <f>(Sheet4!BV119/2)</f>
        <v>0.5</v>
      </c>
      <c r="BW120" s="40">
        <f>(Sheet4!BW119/2)</f>
        <v>0</v>
      </c>
      <c r="BX120" s="40">
        <f>(Sheet4!BX119/2)</f>
        <v>1</v>
      </c>
      <c r="BY120" s="40">
        <f>(Sheet4!BY119/2)</f>
        <v>0.5</v>
      </c>
      <c r="BZ120" s="40">
        <f>(Sheet4!BZ119/2)</f>
        <v>0.5</v>
      </c>
      <c r="CA120" s="40">
        <f>(Sheet4!CA119/2)</f>
        <v>0.5</v>
      </c>
      <c r="CB120" s="40">
        <f>(Sheet4!CB119/2)</f>
        <v>0.5</v>
      </c>
      <c r="CC120" s="40">
        <f>(Sheet4!CC119/2)</f>
        <v>0.5</v>
      </c>
      <c r="CD120" s="40">
        <f>(Sheet4!CD119/2)</f>
        <v>0</v>
      </c>
      <c r="CE120" s="40">
        <f>(Sheet4!CE119/2)</f>
        <v>1</v>
      </c>
      <c r="CF120" s="40">
        <f>(Sheet4!CF119/2)</f>
        <v>0.5</v>
      </c>
      <c r="CG120" s="40">
        <f>(Sheet4!CG119/2)</f>
        <v>0</v>
      </c>
      <c r="CH120" s="40">
        <f>(Sheet4!CH119/2)</f>
        <v>0.5</v>
      </c>
      <c r="CI120" s="40">
        <f>(Sheet4!CI119/2)</f>
        <v>0</v>
      </c>
      <c r="CJ120" s="40">
        <f>(Sheet4!CJ119/2)</f>
        <v>1</v>
      </c>
      <c r="CK120" s="40">
        <f>(Sheet4!CK119/2)</f>
        <v>0.5</v>
      </c>
      <c r="CL120" s="40">
        <f>(Sheet4!CL119/2)</f>
        <v>0.5</v>
      </c>
      <c r="CM120" s="40">
        <f>(Sheet4!CM119/2)</f>
        <v>0.5</v>
      </c>
      <c r="CN120" s="40">
        <f>(Sheet4!CN119/2)</f>
        <v>1</v>
      </c>
      <c r="CO120" s="40">
        <f>(Sheet4!CO119/2)</f>
        <v>0.5</v>
      </c>
      <c r="CP120" s="40">
        <f>(Sheet4!CP119/2)</f>
        <v>0.5</v>
      </c>
      <c r="CQ120" s="40">
        <f>(Sheet4!CQ119/2)</f>
        <v>0</v>
      </c>
      <c r="CR120" s="40">
        <f>(Sheet4!CR119/2)</f>
        <v>1</v>
      </c>
      <c r="CS120" s="40">
        <f>(Sheet4!CS119/2)</f>
        <v>0.5</v>
      </c>
      <c r="CT120" s="40">
        <f>(Sheet4!CT119/2)</f>
        <v>0</v>
      </c>
      <c r="CU120" s="40">
        <f>(Sheet4!CU119/2)</f>
        <v>0</v>
      </c>
      <c r="CV120" s="40">
        <f>(Sheet4!CV119/2)</f>
        <v>0.5</v>
      </c>
      <c r="CW120" s="40">
        <f>(Sheet4!CW119/2)</f>
        <v>0.5</v>
      </c>
      <c r="CX120" s="40">
        <f>(Sheet4!CX119/2)</f>
        <v>1</v>
      </c>
      <c r="CY120" s="40">
        <f>(Sheet4!CY119/2)</f>
        <v>0.5</v>
      </c>
      <c r="CZ120" s="40">
        <f>(Sheet4!CZ119/2)</f>
        <v>0</v>
      </c>
      <c r="DA120" s="40">
        <f>(Sheet4!DA119/2)</f>
        <v>1</v>
      </c>
      <c r="DB120" s="40">
        <f>(Sheet4!DB119/2)</f>
        <v>0.5</v>
      </c>
      <c r="DC120" s="40">
        <f>(Sheet4!DC119/2)</f>
        <v>0.5</v>
      </c>
      <c r="DD120" s="40">
        <f>(Sheet4!DD119/2)</f>
        <v>0.5</v>
      </c>
      <c r="DE120" s="40">
        <f>(Sheet4!DE119/2)</f>
        <v>0.5</v>
      </c>
      <c r="DF120" s="40">
        <f>(Sheet4!DF119/2)</f>
        <v>0.5</v>
      </c>
      <c r="DG120" s="40">
        <f>(Sheet4!DG119/2)</f>
        <v>0.5</v>
      </c>
      <c r="DH120" s="40">
        <f>(Sheet4!DH119/2)</f>
        <v>0</v>
      </c>
      <c r="DI120" s="40">
        <f>(Sheet4!DI119/2)</f>
        <v>0</v>
      </c>
      <c r="DJ120" s="40">
        <f>(Sheet4!DJ119/2)</f>
        <v>0</v>
      </c>
      <c r="DK120" s="40">
        <f>(Sheet4!DK119/2)</f>
        <v>0</v>
      </c>
      <c r="DL120" s="40">
        <f>(Sheet4!DL119/2)</f>
        <v>0</v>
      </c>
      <c r="DM120" s="40">
        <f>(Sheet4!DM119/2)</f>
        <v>0</v>
      </c>
      <c r="DN120" s="40">
        <f>(Sheet4!DN119/2)</f>
        <v>0</v>
      </c>
      <c r="DO120" s="40">
        <f>(Sheet4!DO119/2)</f>
        <v>0</v>
      </c>
      <c r="DP120" s="40">
        <f>(Sheet4!DP119/2)</f>
        <v>0</v>
      </c>
      <c r="DQ120" s="40">
        <f>(Sheet4!DQ119/2)</f>
        <v>0</v>
      </c>
    </row>
    <row r="121" spans="1:121" ht="15.75" customHeight="1" x14ac:dyDescent="0.3">
      <c r="A121" s="40">
        <f>Sheet4!A120</f>
        <v>106</v>
      </c>
      <c r="B121" s="40" t="str">
        <f>Sheet4!B120</f>
        <v>ዮሴፍ ዮናስ</v>
      </c>
      <c r="C121" s="26">
        <f>Sheet4!C120</f>
        <v>10500</v>
      </c>
      <c r="D121" s="40">
        <f>(Sheet4!D120/2)</f>
        <v>0.5</v>
      </c>
      <c r="E121" s="40">
        <f>(Sheet4!E120/2)</f>
        <v>0.5</v>
      </c>
      <c r="F121" s="40">
        <f>(Sheet4!F120/2)</f>
        <v>0.5</v>
      </c>
      <c r="G121" s="40">
        <f>(Sheet4!G120/2)</f>
        <v>0.5</v>
      </c>
      <c r="H121" s="40">
        <f>(Sheet4!H120/2)</f>
        <v>0.5</v>
      </c>
      <c r="I121" s="40">
        <f>(Sheet4!I120/2)</f>
        <v>0.5</v>
      </c>
      <c r="J121" s="40">
        <f>(Sheet4!J120/2)</f>
        <v>0.5</v>
      </c>
      <c r="K121" s="40">
        <f>(Sheet4!K120/2)</f>
        <v>0.5</v>
      </c>
      <c r="L121" s="40">
        <f>(Sheet4!L120/2)</f>
        <v>0.5</v>
      </c>
      <c r="M121" s="40">
        <f>(Sheet4!M120/2)</f>
        <v>0.5</v>
      </c>
      <c r="N121" s="40">
        <f>(Sheet4!N120/2)</f>
        <v>0.5</v>
      </c>
      <c r="O121" s="40">
        <f>(Sheet4!O120/2)</f>
        <v>0.5</v>
      </c>
      <c r="P121" s="40">
        <f>(Sheet4!P120/2)</f>
        <v>0.5</v>
      </c>
      <c r="Q121" s="40">
        <f>(Sheet4!Q120/2)</f>
        <v>0.5</v>
      </c>
      <c r="R121" s="40">
        <f>(Sheet4!R120/2)</f>
        <v>0.5</v>
      </c>
      <c r="S121" s="40">
        <f>(Sheet4!S120/2)</f>
        <v>0.5</v>
      </c>
      <c r="T121" s="40">
        <f>(Sheet4!T120/2)</f>
        <v>0.5</v>
      </c>
      <c r="U121" s="40">
        <f>(Sheet4!U120/2)</f>
        <v>0.5</v>
      </c>
      <c r="V121" s="40">
        <f>(Sheet4!V120/2)</f>
        <v>0.5</v>
      </c>
      <c r="W121" s="40">
        <f>(Sheet4!W120/2)</f>
        <v>0.5</v>
      </c>
      <c r="X121" s="40">
        <f>(Sheet4!X120/2)</f>
        <v>0.5</v>
      </c>
      <c r="Y121" s="40">
        <f>(Sheet4!Y120/2)</f>
        <v>0.5</v>
      </c>
      <c r="Z121" s="40">
        <f>(Sheet4!Z120/2)</f>
        <v>0.5</v>
      </c>
      <c r="AA121" s="40">
        <f>(Sheet4!AA120/2)</f>
        <v>0.5</v>
      </c>
      <c r="AB121" s="40">
        <f>(Sheet4!AB120/2)</f>
        <v>0.5</v>
      </c>
      <c r="AC121" s="40">
        <f>(Sheet4!AC120/2)</f>
        <v>0.5</v>
      </c>
      <c r="AD121" s="40">
        <f>(Sheet4!AD120/2)</f>
        <v>0.5</v>
      </c>
      <c r="AE121" s="40">
        <f>(Sheet4!AE120/2)</f>
        <v>0</v>
      </c>
      <c r="AF121" s="40">
        <f>(Sheet4!AF120/2)</f>
        <v>0.5</v>
      </c>
      <c r="AG121" s="40">
        <f>(Sheet4!AG120/2)</f>
        <v>0</v>
      </c>
      <c r="AH121" s="40">
        <f>(Sheet4!AH120/2)</f>
        <v>0.5</v>
      </c>
      <c r="AI121" s="40">
        <f>(Sheet4!AI120/2)</f>
        <v>0.5</v>
      </c>
      <c r="AJ121" s="40">
        <f>(Sheet4!AJ120/2)</f>
        <v>0.5</v>
      </c>
      <c r="AK121" s="40">
        <f>(Sheet4!AK120/2)</f>
        <v>0.5</v>
      </c>
      <c r="AL121" s="40">
        <f>(Sheet4!AL120/2)</f>
        <v>0.5</v>
      </c>
      <c r="AM121" s="40">
        <f>(Sheet4!AM120/2)</f>
        <v>0</v>
      </c>
      <c r="AN121" s="40">
        <f>(Sheet4!AN120/2)</f>
        <v>1.5</v>
      </c>
      <c r="AO121" s="40">
        <f>(Sheet4!AO120/2)</f>
        <v>0.5</v>
      </c>
      <c r="AP121" s="40">
        <f>(Sheet4!AP120/2)</f>
        <v>0</v>
      </c>
      <c r="AQ121" s="40">
        <f>(Sheet4!AQ120/2)</f>
        <v>1</v>
      </c>
      <c r="AR121" s="40">
        <f>(Sheet4!AR120/2)</f>
        <v>0</v>
      </c>
      <c r="AS121" s="40">
        <f>(Sheet4!AS120/2)</f>
        <v>1</v>
      </c>
      <c r="AT121" s="40">
        <f>(Sheet4!AT120/2)</f>
        <v>0</v>
      </c>
      <c r="AU121" s="40">
        <f>(Sheet4!AU120/2)</f>
        <v>1</v>
      </c>
      <c r="AV121" s="40">
        <f>(Sheet4!AV120/2)</f>
        <v>0.5</v>
      </c>
      <c r="AW121" s="40">
        <f>(Sheet4!AW120/2)</f>
        <v>0</v>
      </c>
      <c r="AX121" s="40">
        <f>(Sheet4!AX120/2)</f>
        <v>0</v>
      </c>
      <c r="AY121" s="40">
        <f>(Sheet4!AY120/2)</f>
        <v>1</v>
      </c>
      <c r="AZ121" s="40">
        <f>(Sheet4!AZ120/2)</f>
        <v>1</v>
      </c>
      <c r="BA121" s="40">
        <f>(Sheet4!BA120/2)</f>
        <v>0</v>
      </c>
      <c r="BB121" s="40">
        <f>(Sheet4!BB120/2)</f>
        <v>1</v>
      </c>
      <c r="BC121" s="40">
        <f>(Sheet4!BC120/2)</f>
        <v>0.5</v>
      </c>
      <c r="BD121" s="40">
        <f>(Sheet4!BD120/2)</f>
        <v>0</v>
      </c>
      <c r="BE121" s="40">
        <f>(Sheet4!BE120/2)</f>
        <v>0.5</v>
      </c>
      <c r="BF121" s="40">
        <f>(Sheet4!BF120/2)</f>
        <v>0</v>
      </c>
      <c r="BG121" s="40">
        <f>(Sheet4!BG120/2)</f>
        <v>0</v>
      </c>
      <c r="BH121" s="40">
        <f>(Sheet4!BH120/2)</f>
        <v>0</v>
      </c>
      <c r="BI121" s="40">
        <f>(Sheet4!BI120/2)</f>
        <v>1.5</v>
      </c>
      <c r="BJ121" s="40">
        <f>(Sheet4!BJ120/2)</f>
        <v>0</v>
      </c>
      <c r="BK121" s="40">
        <f>(Sheet4!BK120/2)</f>
        <v>0</v>
      </c>
      <c r="BL121" s="40">
        <f>(Sheet4!BL120/2)</f>
        <v>1</v>
      </c>
      <c r="BM121" s="40">
        <f>(Sheet4!BM120/2)</f>
        <v>0</v>
      </c>
      <c r="BN121" s="40">
        <f>(Sheet4!BN120/2)</f>
        <v>0</v>
      </c>
      <c r="BO121" s="40">
        <f>(Sheet4!BO120/2)</f>
        <v>0</v>
      </c>
      <c r="BP121" s="40">
        <f>(Sheet4!BP120/2)</f>
        <v>0</v>
      </c>
      <c r="BQ121" s="40">
        <f>(Sheet4!BQ120/2)</f>
        <v>1.5</v>
      </c>
      <c r="BR121" s="40">
        <f>(Sheet4!BR120/2)</f>
        <v>0</v>
      </c>
      <c r="BS121" s="40">
        <f>(Sheet4!BS120/2)</f>
        <v>0</v>
      </c>
      <c r="BT121" s="40">
        <f>(Sheet4!BT120/2)</f>
        <v>0</v>
      </c>
      <c r="BU121" s="40">
        <f>(Sheet4!BU120/2)</f>
        <v>0</v>
      </c>
      <c r="BV121" s="40">
        <f>(Sheet4!BV120/2)</f>
        <v>0</v>
      </c>
      <c r="BW121" s="40">
        <f>(Sheet4!BW120/2)</f>
        <v>0</v>
      </c>
      <c r="BX121" s="40">
        <f>(Sheet4!BX120/2)</f>
        <v>0</v>
      </c>
      <c r="BY121" s="40">
        <f>(Sheet4!BY120/2)</f>
        <v>0</v>
      </c>
      <c r="BZ121" s="40">
        <f>(Sheet4!BZ120/2)</f>
        <v>0</v>
      </c>
      <c r="CA121" s="40">
        <f>(Sheet4!CA120/2)</f>
        <v>0</v>
      </c>
      <c r="CB121" s="40">
        <f>(Sheet4!CB120/2)</f>
        <v>0</v>
      </c>
      <c r="CC121" s="40">
        <f>(Sheet4!CC120/2)</f>
        <v>0</v>
      </c>
      <c r="CD121" s="40">
        <f>(Sheet4!CD120/2)</f>
        <v>0</v>
      </c>
      <c r="CE121" s="40">
        <f>(Sheet4!CE120/2)</f>
        <v>0</v>
      </c>
      <c r="CF121" s="40">
        <f>(Sheet4!CF120/2)</f>
        <v>0</v>
      </c>
      <c r="CG121" s="40">
        <f>(Sheet4!CG120/2)</f>
        <v>0</v>
      </c>
      <c r="CH121" s="40">
        <f>(Sheet4!CH120/2)</f>
        <v>0</v>
      </c>
      <c r="CI121" s="40">
        <f>(Sheet4!CI120/2)</f>
        <v>0</v>
      </c>
      <c r="CJ121" s="40">
        <f>(Sheet4!CJ120/2)</f>
        <v>0</v>
      </c>
      <c r="CK121" s="40">
        <f>(Sheet4!CK120/2)</f>
        <v>0</v>
      </c>
      <c r="CL121" s="40">
        <f>(Sheet4!CL120/2)</f>
        <v>2</v>
      </c>
      <c r="CM121" s="40">
        <f>(Sheet4!CM120/2)</f>
        <v>0</v>
      </c>
      <c r="CN121" s="40">
        <f>(Sheet4!CN120/2)</f>
        <v>0</v>
      </c>
      <c r="CO121" s="40">
        <f>(Sheet4!CO120/2)</f>
        <v>5</v>
      </c>
      <c r="CP121" s="40">
        <f>(Sheet4!CP120/2)</f>
        <v>0</v>
      </c>
      <c r="CQ121" s="40">
        <f>(Sheet4!CQ120/2)</f>
        <v>0</v>
      </c>
      <c r="CR121" s="40">
        <f>(Sheet4!CR120/2)</f>
        <v>0</v>
      </c>
      <c r="CS121" s="40">
        <f>(Sheet4!CS120/2)</f>
        <v>1.5</v>
      </c>
      <c r="CT121" s="40">
        <f>(Sheet4!CT120/2)</f>
        <v>0</v>
      </c>
      <c r="CU121" s="40">
        <f>(Sheet4!CU120/2)</f>
        <v>0</v>
      </c>
      <c r="CV121" s="40">
        <f>(Sheet4!CV120/2)</f>
        <v>0</v>
      </c>
      <c r="CW121" s="40">
        <f>(Sheet4!CW120/2)</f>
        <v>0</v>
      </c>
      <c r="CX121" s="40">
        <f>(Sheet4!CX120/2)</f>
        <v>0</v>
      </c>
      <c r="CY121" s="40">
        <f>(Sheet4!CY120/2)</f>
        <v>0</v>
      </c>
      <c r="CZ121" s="40">
        <f>(Sheet4!CZ120/2)</f>
        <v>0</v>
      </c>
      <c r="DA121" s="40">
        <f>(Sheet4!DA120/2)</f>
        <v>0</v>
      </c>
      <c r="DB121" s="40">
        <f>(Sheet4!DB120/2)</f>
        <v>0</v>
      </c>
      <c r="DC121" s="40">
        <f>(Sheet4!DC120/2)</f>
        <v>0</v>
      </c>
      <c r="DD121" s="40">
        <f>(Sheet4!DD120/2)</f>
        <v>0</v>
      </c>
      <c r="DE121" s="40">
        <f>(Sheet4!DE120/2)</f>
        <v>0</v>
      </c>
      <c r="DF121" s="40">
        <f>(Sheet4!DF120/2)</f>
        <v>0</v>
      </c>
      <c r="DG121" s="40">
        <f>(Sheet4!DG120/2)</f>
        <v>0</v>
      </c>
      <c r="DH121" s="40">
        <f>(Sheet4!DH120/2)</f>
        <v>0</v>
      </c>
      <c r="DI121" s="40">
        <f>(Sheet4!DI120/2)</f>
        <v>0</v>
      </c>
      <c r="DJ121" s="40">
        <f>(Sheet4!DJ120/2)</f>
        <v>0</v>
      </c>
      <c r="DK121" s="40">
        <f>(Sheet4!DK120/2)</f>
        <v>0</v>
      </c>
      <c r="DL121" s="40">
        <f>(Sheet4!DL120/2)</f>
        <v>0</v>
      </c>
      <c r="DM121" s="40">
        <f>(Sheet4!DM120/2)</f>
        <v>0</v>
      </c>
      <c r="DN121" s="40">
        <f>(Sheet4!DN120/2)</f>
        <v>0</v>
      </c>
      <c r="DO121" s="40">
        <f>(Sheet4!DO120/2)</f>
        <v>0</v>
      </c>
      <c r="DP121" s="40">
        <f>(Sheet4!DP120/2)</f>
        <v>0</v>
      </c>
      <c r="DQ121" s="40">
        <f>(Sheet4!DQ120/2)</f>
        <v>0</v>
      </c>
    </row>
    <row r="122" spans="1:121" ht="15.75" customHeight="1" x14ac:dyDescent="0.3">
      <c r="A122" s="40">
        <f>Sheet4!A121</f>
        <v>106</v>
      </c>
      <c r="B122" s="40" t="str">
        <f>Sheet4!B121</f>
        <v>ሙሉ ቶማስ</v>
      </c>
      <c r="C122" s="26">
        <f>Sheet4!C121</f>
        <v>10500</v>
      </c>
      <c r="D122" s="40">
        <f>(Sheet4!D121/2)</f>
        <v>0.5</v>
      </c>
      <c r="E122" s="40">
        <f>(Sheet4!E121/2)</f>
        <v>0.5</v>
      </c>
      <c r="F122" s="40">
        <f>(Sheet4!F121/2)</f>
        <v>0.5</v>
      </c>
      <c r="G122" s="40">
        <f>(Sheet4!G121/2)</f>
        <v>0.5</v>
      </c>
      <c r="H122" s="40">
        <f>(Sheet4!H121/2)</f>
        <v>0.5</v>
      </c>
      <c r="I122" s="40">
        <f>(Sheet4!I121/2)</f>
        <v>0.5</v>
      </c>
      <c r="J122" s="40">
        <f>(Sheet4!J121/2)</f>
        <v>0.5</v>
      </c>
      <c r="K122" s="40">
        <f>(Sheet4!K121/2)</f>
        <v>0.5</v>
      </c>
      <c r="L122" s="40">
        <f>(Sheet4!L121/2)</f>
        <v>0.5</v>
      </c>
      <c r="M122" s="40">
        <f>(Sheet4!M121/2)</f>
        <v>0.5</v>
      </c>
      <c r="N122" s="40">
        <f>(Sheet4!N121/2)</f>
        <v>0.5</v>
      </c>
      <c r="O122" s="40">
        <f>(Sheet4!O121/2)</f>
        <v>0.5</v>
      </c>
      <c r="P122" s="40">
        <f>(Sheet4!P121/2)</f>
        <v>0.5</v>
      </c>
      <c r="Q122" s="40">
        <f>(Sheet4!Q121/2)</f>
        <v>0.5</v>
      </c>
      <c r="R122" s="40">
        <f>(Sheet4!R121/2)</f>
        <v>0.5</v>
      </c>
      <c r="S122" s="40">
        <f>(Sheet4!S121/2)</f>
        <v>0.5</v>
      </c>
      <c r="T122" s="40">
        <f>(Sheet4!T121/2)</f>
        <v>0.5</v>
      </c>
      <c r="U122" s="40">
        <f>(Sheet4!U121/2)</f>
        <v>0.5</v>
      </c>
      <c r="V122" s="40">
        <f>(Sheet4!V121/2)</f>
        <v>0.5</v>
      </c>
      <c r="W122" s="40">
        <f>(Sheet4!W121/2)</f>
        <v>0.5</v>
      </c>
      <c r="X122" s="40">
        <f>(Sheet4!X121/2)</f>
        <v>0.5</v>
      </c>
      <c r="Y122" s="40">
        <f>(Sheet4!Y121/2)</f>
        <v>0.5</v>
      </c>
      <c r="Z122" s="40">
        <f>(Sheet4!Z121/2)</f>
        <v>0.5</v>
      </c>
      <c r="AA122" s="40">
        <f>(Sheet4!AA121/2)</f>
        <v>0.5</v>
      </c>
      <c r="AB122" s="40">
        <f>(Sheet4!AB121/2)</f>
        <v>0.5</v>
      </c>
      <c r="AC122" s="40">
        <f>(Sheet4!AC121/2)</f>
        <v>0.5</v>
      </c>
      <c r="AD122" s="40">
        <f>(Sheet4!AD121/2)</f>
        <v>0.5</v>
      </c>
      <c r="AE122" s="40">
        <f>(Sheet4!AE121/2)</f>
        <v>0.5</v>
      </c>
      <c r="AF122" s="40">
        <f>(Sheet4!AF121/2)</f>
        <v>0.5</v>
      </c>
      <c r="AG122" s="40">
        <f>(Sheet4!AG121/2)</f>
        <v>0.5</v>
      </c>
      <c r="AH122" s="40">
        <f>(Sheet4!AH121/2)</f>
        <v>0.5</v>
      </c>
      <c r="AI122" s="40">
        <f>(Sheet4!AI121/2)</f>
        <v>0.5</v>
      </c>
      <c r="AJ122" s="40">
        <f>(Sheet4!AJ121/2)</f>
        <v>0.5</v>
      </c>
      <c r="AK122" s="40">
        <f>(Sheet4!AK121/2)</f>
        <v>0.5</v>
      </c>
      <c r="AL122" s="40">
        <f>(Sheet4!AL121/2)</f>
        <v>0.5</v>
      </c>
      <c r="AM122" s="40">
        <f>(Sheet4!AM121/2)</f>
        <v>0</v>
      </c>
      <c r="AN122" s="40">
        <f>(Sheet4!AN121/2)</f>
        <v>0.5</v>
      </c>
      <c r="AO122" s="40">
        <f>(Sheet4!AO121/2)</f>
        <v>0.5</v>
      </c>
      <c r="AP122" s="40">
        <f>(Sheet4!AP121/2)</f>
        <v>0.5</v>
      </c>
      <c r="AQ122" s="40">
        <f>(Sheet4!AQ121/2)</f>
        <v>0.5</v>
      </c>
      <c r="AR122" s="40">
        <f>(Sheet4!AR121/2)</f>
        <v>0.5</v>
      </c>
      <c r="AS122" s="40">
        <f>(Sheet4!AS121/2)</f>
        <v>0.5</v>
      </c>
      <c r="AT122" s="40">
        <f>(Sheet4!AT121/2)</f>
        <v>0.5</v>
      </c>
      <c r="AU122" s="40">
        <f>(Sheet4!AU121/2)</f>
        <v>0.5</v>
      </c>
      <c r="AV122" s="40">
        <f>(Sheet4!AV121/2)</f>
        <v>0.5</v>
      </c>
      <c r="AW122" s="40">
        <f>(Sheet4!AW121/2)</f>
        <v>0.5</v>
      </c>
      <c r="AX122" s="40">
        <f>(Sheet4!AX121/2)</f>
        <v>0.5</v>
      </c>
      <c r="AY122" s="40">
        <f>(Sheet4!AY121/2)</f>
        <v>0.5</v>
      </c>
      <c r="AZ122" s="40">
        <f>(Sheet4!AZ121/2)</f>
        <v>0.5</v>
      </c>
      <c r="BA122" s="40">
        <f>(Sheet4!BA121/2)</f>
        <v>1</v>
      </c>
      <c r="BB122" s="40">
        <f>(Sheet4!BB121/2)</f>
        <v>0.5</v>
      </c>
      <c r="BC122" s="40">
        <f>(Sheet4!BC121/2)</f>
        <v>0.5</v>
      </c>
      <c r="BD122" s="40">
        <f>(Sheet4!BD121/2)</f>
        <v>0.5</v>
      </c>
      <c r="BE122" s="40">
        <f>(Sheet4!BE121/2)</f>
        <v>0.5</v>
      </c>
      <c r="BF122" s="40">
        <f>(Sheet4!BF121/2)</f>
        <v>0.5</v>
      </c>
      <c r="BG122" s="40">
        <f>(Sheet4!BG121/2)</f>
        <v>0.5</v>
      </c>
      <c r="BH122" s="40">
        <f>(Sheet4!BH121/2)</f>
        <v>0.5</v>
      </c>
      <c r="BI122" s="40">
        <f>(Sheet4!BI121/2)</f>
        <v>0</v>
      </c>
      <c r="BJ122" s="40">
        <f>(Sheet4!BJ121/2)</f>
        <v>1</v>
      </c>
      <c r="BK122" s="40">
        <f>(Sheet4!BK121/2)</f>
        <v>0</v>
      </c>
      <c r="BL122" s="40">
        <f>(Sheet4!BL121/2)</f>
        <v>1</v>
      </c>
      <c r="BM122" s="40">
        <f>(Sheet4!BM121/2)</f>
        <v>0.5</v>
      </c>
      <c r="BN122" s="40">
        <f>(Sheet4!BN121/2)</f>
        <v>0.5</v>
      </c>
      <c r="BO122" s="40">
        <f>(Sheet4!BO121/2)</f>
        <v>0</v>
      </c>
      <c r="BP122" s="40">
        <f>(Sheet4!BP121/2)</f>
        <v>1</v>
      </c>
      <c r="BQ122" s="40">
        <f>(Sheet4!BQ121/2)</f>
        <v>0.5</v>
      </c>
      <c r="BR122" s="40">
        <f>(Sheet4!BR121/2)</f>
        <v>0.5</v>
      </c>
      <c r="BS122" s="40">
        <f>(Sheet4!BS121/2)</f>
        <v>0</v>
      </c>
      <c r="BT122" s="40">
        <f>(Sheet4!BT121/2)</f>
        <v>0.5</v>
      </c>
      <c r="BU122" s="40">
        <f>(Sheet4!BU121/2)</f>
        <v>0.5</v>
      </c>
      <c r="BV122" s="40">
        <f>(Sheet4!BV121/2)</f>
        <v>0.5</v>
      </c>
      <c r="BW122" s="40">
        <f>(Sheet4!BW121/2)</f>
        <v>0</v>
      </c>
      <c r="BX122" s="40">
        <f>(Sheet4!BX121/2)</f>
        <v>1</v>
      </c>
      <c r="BY122" s="40">
        <f>(Sheet4!BY121/2)</f>
        <v>0.5</v>
      </c>
      <c r="BZ122" s="40">
        <f>(Sheet4!BZ121/2)</f>
        <v>0</v>
      </c>
      <c r="CA122" s="40">
        <f>(Sheet4!CA121/2)</f>
        <v>0.5</v>
      </c>
      <c r="CB122" s="40">
        <f>(Sheet4!CB121/2)</f>
        <v>0.5</v>
      </c>
      <c r="CC122" s="40">
        <f>(Sheet4!CC121/2)</f>
        <v>0.5</v>
      </c>
      <c r="CD122" s="40">
        <f>(Sheet4!CD121/2)</f>
        <v>0</v>
      </c>
      <c r="CE122" s="40">
        <f>(Sheet4!CE121/2)</f>
        <v>1</v>
      </c>
      <c r="CF122" s="40">
        <f>(Sheet4!CF121/2)</f>
        <v>0.5</v>
      </c>
      <c r="CG122" s="40">
        <f>(Sheet4!CG121/2)</f>
        <v>0.5</v>
      </c>
      <c r="CH122" s="40">
        <f>(Sheet4!CH121/2)</f>
        <v>0.5</v>
      </c>
      <c r="CI122" s="40">
        <f>(Sheet4!CI121/2)</f>
        <v>0</v>
      </c>
      <c r="CJ122" s="40">
        <f>(Sheet4!CJ121/2)</f>
        <v>1</v>
      </c>
      <c r="CK122" s="40">
        <f>(Sheet4!CK121/2)</f>
        <v>0.5</v>
      </c>
      <c r="CL122" s="40">
        <f>(Sheet4!CL121/2)</f>
        <v>0.5</v>
      </c>
      <c r="CM122" s="40">
        <f>(Sheet4!CM121/2)</f>
        <v>0</v>
      </c>
      <c r="CN122" s="40">
        <f>(Sheet4!CN121/2)</f>
        <v>1</v>
      </c>
      <c r="CO122" s="40">
        <f>(Sheet4!CO121/2)</f>
        <v>0.5</v>
      </c>
      <c r="CP122" s="40">
        <f>(Sheet4!CP121/2)</f>
        <v>0.5</v>
      </c>
      <c r="CQ122" s="40">
        <f>(Sheet4!CQ121/2)</f>
        <v>0.5</v>
      </c>
      <c r="CR122" s="40">
        <f>(Sheet4!CR121/2)</f>
        <v>0</v>
      </c>
      <c r="CS122" s="40">
        <f>(Sheet4!CS121/2)</f>
        <v>1</v>
      </c>
      <c r="CT122" s="40">
        <f>(Sheet4!CT121/2)</f>
        <v>0</v>
      </c>
      <c r="CU122" s="40">
        <f>(Sheet4!CU121/2)</f>
        <v>1</v>
      </c>
      <c r="CV122" s="40">
        <f>(Sheet4!CV121/2)</f>
        <v>0.5</v>
      </c>
      <c r="CW122" s="40">
        <f>(Sheet4!CW121/2)</f>
        <v>0</v>
      </c>
      <c r="CX122" s="40">
        <f>(Sheet4!CX121/2)</f>
        <v>1</v>
      </c>
      <c r="CY122" s="40">
        <f>(Sheet4!CY121/2)</f>
        <v>0.5</v>
      </c>
      <c r="CZ122" s="40">
        <f>(Sheet4!CZ121/2)</f>
        <v>0</v>
      </c>
      <c r="DA122" s="40">
        <f>(Sheet4!DA121/2)</f>
        <v>1</v>
      </c>
      <c r="DB122" s="40">
        <f>(Sheet4!DB121/2)</f>
        <v>0</v>
      </c>
      <c r="DC122" s="40">
        <f>(Sheet4!DC121/2)</f>
        <v>1</v>
      </c>
      <c r="DD122" s="40">
        <f>(Sheet4!DD121/2)</f>
        <v>0</v>
      </c>
      <c r="DE122" s="40">
        <f>(Sheet4!DE121/2)</f>
        <v>1</v>
      </c>
      <c r="DF122" s="40">
        <f>(Sheet4!DF121/2)</f>
        <v>0</v>
      </c>
      <c r="DG122" s="40">
        <f>(Sheet4!DG121/2)</f>
        <v>1</v>
      </c>
      <c r="DH122" s="40">
        <f>(Sheet4!DH121/2)</f>
        <v>0</v>
      </c>
      <c r="DI122" s="40">
        <f>(Sheet4!DI121/2)</f>
        <v>0</v>
      </c>
      <c r="DJ122" s="40">
        <f>(Sheet4!DJ121/2)</f>
        <v>0</v>
      </c>
      <c r="DK122" s="40">
        <f>(Sheet4!DK121/2)</f>
        <v>0</v>
      </c>
      <c r="DL122" s="40">
        <f>(Sheet4!DL121/2)</f>
        <v>0</v>
      </c>
      <c r="DM122" s="40">
        <f>(Sheet4!DM121/2)</f>
        <v>0</v>
      </c>
      <c r="DN122" s="40">
        <f>(Sheet4!DN121/2)</f>
        <v>0</v>
      </c>
      <c r="DO122" s="40">
        <f>(Sheet4!DO121/2)</f>
        <v>0</v>
      </c>
      <c r="DP122" s="40">
        <f>(Sheet4!DP121/2)</f>
        <v>0</v>
      </c>
      <c r="DQ122" s="40">
        <f>(Sheet4!DQ121/2)</f>
        <v>0</v>
      </c>
    </row>
    <row r="123" spans="1:121" ht="15.75" customHeight="1" x14ac:dyDescent="0.3">
      <c r="A123" s="40">
        <f>Sheet4!A122</f>
        <v>107</v>
      </c>
      <c r="B123" s="40" t="str">
        <f>Sheet4!B122</f>
        <v xml:space="preserve">ፀጋዩ ጀምበሬ </v>
      </c>
      <c r="C123" s="26">
        <f>Sheet4!C122</f>
        <v>10500</v>
      </c>
      <c r="D123" s="40">
        <f>(Sheet4!D122/2)</f>
        <v>0.5</v>
      </c>
      <c r="E123" s="40">
        <f>(Sheet4!E122/2)</f>
        <v>0.5</v>
      </c>
      <c r="F123" s="40">
        <f>(Sheet4!F122/2)</f>
        <v>0.5</v>
      </c>
      <c r="G123" s="40">
        <f>(Sheet4!G122/2)</f>
        <v>0.5</v>
      </c>
      <c r="H123" s="40">
        <f>(Sheet4!H122/2)</f>
        <v>0.5</v>
      </c>
      <c r="I123" s="40">
        <f>(Sheet4!I122/2)</f>
        <v>0.5</v>
      </c>
      <c r="J123" s="40">
        <f>(Sheet4!J122/2)</f>
        <v>0.5</v>
      </c>
      <c r="K123" s="40">
        <f>(Sheet4!K122/2)</f>
        <v>0.5</v>
      </c>
      <c r="L123" s="40">
        <f>(Sheet4!L122/2)</f>
        <v>0.5</v>
      </c>
      <c r="M123" s="40">
        <f>(Sheet4!M122/2)</f>
        <v>0.5</v>
      </c>
      <c r="N123" s="40">
        <f>(Sheet4!N122/2)</f>
        <v>0.5</v>
      </c>
      <c r="O123" s="40">
        <f>(Sheet4!O122/2)</f>
        <v>0.5</v>
      </c>
      <c r="P123" s="40">
        <f>(Sheet4!P122/2)</f>
        <v>0.5</v>
      </c>
      <c r="Q123" s="40">
        <f>(Sheet4!Q122/2)</f>
        <v>0.5</v>
      </c>
      <c r="R123" s="40">
        <f>(Sheet4!R122/2)</f>
        <v>0.5</v>
      </c>
      <c r="S123" s="40">
        <f>(Sheet4!S122/2)</f>
        <v>0.5</v>
      </c>
      <c r="T123" s="40">
        <f>(Sheet4!T122/2)</f>
        <v>0.5</v>
      </c>
      <c r="U123" s="40">
        <f>(Sheet4!U122/2)</f>
        <v>0.5</v>
      </c>
      <c r="V123" s="40">
        <f>(Sheet4!V122/2)</f>
        <v>0.5</v>
      </c>
      <c r="W123" s="40">
        <f>(Sheet4!W122/2)</f>
        <v>0.5</v>
      </c>
      <c r="X123" s="40">
        <f>(Sheet4!X122/2)</f>
        <v>0.5</v>
      </c>
      <c r="Y123" s="40">
        <f>(Sheet4!Y122/2)</f>
        <v>0.5</v>
      </c>
      <c r="Z123" s="40">
        <f>(Sheet4!Z122/2)</f>
        <v>0.5</v>
      </c>
      <c r="AA123" s="40">
        <f>(Sheet4!AA122/2)</f>
        <v>0.5</v>
      </c>
      <c r="AB123" s="40">
        <f>(Sheet4!AB122/2)</f>
        <v>0.5</v>
      </c>
      <c r="AC123" s="40">
        <f>(Sheet4!AC122/2)</f>
        <v>0.5</v>
      </c>
      <c r="AD123" s="40">
        <f>(Sheet4!AD122/2)</f>
        <v>0.5</v>
      </c>
      <c r="AE123" s="40">
        <f>(Sheet4!AE122/2)</f>
        <v>0.5</v>
      </c>
      <c r="AF123" s="40">
        <f>(Sheet4!AF122/2)</f>
        <v>0.5</v>
      </c>
      <c r="AG123" s="40">
        <f>(Sheet4!AG122/2)</f>
        <v>0.5</v>
      </c>
      <c r="AH123" s="40">
        <f>(Sheet4!AH122/2)</f>
        <v>0.5</v>
      </c>
      <c r="AI123" s="40">
        <f>(Sheet4!AI122/2)</f>
        <v>0.5</v>
      </c>
      <c r="AJ123" s="40">
        <f>(Sheet4!AJ122/2)</f>
        <v>0.5</v>
      </c>
      <c r="AK123" s="40">
        <f>(Sheet4!AK122/2)</f>
        <v>0.5</v>
      </c>
      <c r="AL123" s="40">
        <f>(Sheet4!AL122/2)</f>
        <v>0</v>
      </c>
      <c r="AM123" s="40">
        <f>(Sheet4!AM122/2)</f>
        <v>1</v>
      </c>
      <c r="AN123" s="40">
        <f>(Sheet4!AN122/2)</f>
        <v>0.5</v>
      </c>
      <c r="AO123" s="40">
        <f>(Sheet4!AO122/2)</f>
        <v>0.5</v>
      </c>
      <c r="AP123" s="40">
        <f>(Sheet4!AP122/2)</f>
        <v>0.5</v>
      </c>
      <c r="AQ123" s="40">
        <f>(Sheet4!AQ122/2)</f>
        <v>0.5</v>
      </c>
      <c r="AR123" s="40">
        <f>(Sheet4!AR122/2)</f>
        <v>0</v>
      </c>
      <c r="AS123" s="40">
        <f>(Sheet4!AS122/2)</f>
        <v>1</v>
      </c>
      <c r="AT123" s="40">
        <f>(Sheet4!AT122/2)</f>
        <v>0.5</v>
      </c>
      <c r="AU123" s="40">
        <f>(Sheet4!AU122/2)</f>
        <v>0.5</v>
      </c>
      <c r="AV123" s="40">
        <f>(Sheet4!AV122/2)</f>
        <v>0.5</v>
      </c>
      <c r="AW123" s="40">
        <f>(Sheet4!AW122/2)</f>
        <v>0.5</v>
      </c>
      <c r="AX123" s="40">
        <f>(Sheet4!AX122/2)</f>
        <v>0.5</v>
      </c>
      <c r="AY123" s="40">
        <f>(Sheet4!AY122/2)</f>
        <v>0.5</v>
      </c>
      <c r="AZ123" s="40">
        <f>(Sheet4!AZ122/2)</f>
        <v>0.5</v>
      </c>
      <c r="BA123" s="40">
        <f>(Sheet4!BA122/2)</f>
        <v>0.5</v>
      </c>
      <c r="BB123" s="40">
        <f>(Sheet4!BB122/2)</f>
        <v>0.5</v>
      </c>
      <c r="BC123" s="40">
        <f>(Sheet4!BC122/2)</f>
        <v>0.5</v>
      </c>
      <c r="BD123" s="40">
        <f>(Sheet4!BD122/2)</f>
        <v>0.5</v>
      </c>
      <c r="BE123" s="40">
        <f>(Sheet4!BE122/2)</f>
        <v>0.5</v>
      </c>
      <c r="BF123" s="40">
        <f>(Sheet4!BF122/2)</f>
        <v>0.5</v>
      </c>
      <c r="BG123" s="40">
        <f>(Sheet4!BG122/2)</f>
        <v>0.5</v>
      </c>
      <c r="BH123" s="40">
        <f>(Sheet4!BH122/2)</f>
        <v>0.5</v>
      </c>
      <c r="BI123" s="40">
        <f>(Sheet4!BI122/2)</f>
        <v>0.5</v>
      </c>
      <c r="BJ123" s="40">
        <f>(Sheet4!BJ122/2)</f>
        <v>0.5</v>
      </c>
      <c r="BK123" s="40">
        <f>(Sheet4!BK122/2)</f>
        <v>0.5</v>
      </c>
      <c r="BL123" s="40">
        <f>(Sheet4!BL122/2)</f>
        <v>0.5</v>
      </c>
      <c r="BM123" s="40">
        <f>(Sheet4!BM122/2)</f>
        <v>0.5</v>
      </c>
      <c r="BN123" s="40">
        <f>(Sheet4!BN122/2)</f>
        <v>0.5</v>
      </c>
      <c r="BO123" s="40">
        <f>(Sheet4!BO122/2)</f>
        <v>0.5</v>
      </c>
      <c r="BP123" s="40">
        <f>(Sheet4!BP122/2)</f>
        <v>0.5</v>
      </c>
      <c r="BQ123" s="40">
        <f>(Sheet4!BQ122/2)</f>
        <v>0.5</v>
      </c>
      <c r="BR123" s="40">
        <f>(Sheet4!BR122/2)</f>
        <v>0.5</v>
      </c>
      <c r="BS123" s="40">
        <f>(Sheet4!BS122/2)</f>
        <v>0</v>
      </c>
      <c r="BT123" s="40">
        <f>(Sheet4!BT122/2)</f>
        <v>1</v>
      </c>
      <c r="BU123" s="40">
        <f>(Sheet4!BU122/2)</f>
        <v>0.5</v>
      </c>
      <c r="BV123" s="40">
        <f>(Sheet4!BV122/2)</f>
        <v>0.5</v>
      </c>
      <c r="BW123" s="40">
        <f>(Sheet4!BW122/2)</f>
        <v>0.5</v>
      </c>
      <c r="BX123" s="40">
        <f>(Sheet4!BX122/2)</f>
        <v>0.5</v>
      </c>
      <c r="BY123" s="40">
        <f>(Sheet4!BY122/2)</f>
        <v>0.5</v>
      </c>
      <c r="BZ123" s="40">
        <f>(Sheet4!BZ122/2)</f>
        <v>0.5</v>
      </c>
      <c r="CA123" s="40">
        <f>(Sheet4!CA122/2)</f>
        <v>0.5</v>
      </c>
      <c r="CB123" s="40">
        <f>(Sheet4!CB122/2)</f>
        <v>0.5</v>
      </c>
      <c r="CC123" s="40">
        <f>(Sheet4!CC122/2)</f>
        <v>0.5</v>
      </c>
      <c r="CD123" s="40">
        <f>(Sheet4!CD122/2)</f>
        <v>0.5</v>
      </c>
      <c r="CE123" s="40">
        <f>(Sheet4!CE122/2)</f>
        <v>0.5</v>
      </c>
      <c r="CF123" s="40">
        <f>(Sheet4!CF122/2)</f>
        <v>0.5</v>
      </c>
      <c r="CG123" s="40">
        <f>(Sheet4!CG122/2)</f>
        <v>0.5</v>
      </c>
      <c r="CH123" s="40">
        <f>(Sheet4!CH122/2)</f>
        <v>0.5</v>
      </c>
      <c r="CI123" s="40">
        <f>(Sheet4!CI122/2)</f>
        <v>0.5</v>
      </c>
      <c r="CJ123" s="40">
        <f>(Sheet4!CJ122/2)</f>
        <v>0.5</v>
      </c>
      <c r="CK123" s="40">
        <f>(Sheet4!CK122/2)</f>
        <v>0.5</v>
      </c>
      <c r="CL123" s="40">
        <f>(Sheet4!CL122/2)</f>
        <v>0</v>
      </c>
      <c r="CM123" s="40">
        <f>(Sheet4!CM122/2)</f>
        <v>1</v>
      </c>
      <c r="CN123" s="40">
        <f>(Sheet4!CN122/2)</f>
        <v>0.5</v>
      </c>
      <c r="CO123" s="40">
        <f>(Sheet4!CO122/2)</f>
        <v>0.5</v>
      </c>
      <c r="CP123" s="40">
        <f>(Sheet4!CP122/2)</f>
        <v>0.5</v>
      </c>
      <c r="CQ123" s="40">
        <f>(Sheet4!CQ122/2)</f>
        <v>0</v>
      </c>
      <c r="CR123" s="40">
        <f>(Sheet4!CR122/2)</f>
        <v>1</v>
      </c>
      <c r="CS123" s="40">
        <f>(Sheet4!CS122/2)</f>
        <v>0.5</v>
      </c>
      <c r="CT123" s="40">
        <f>(Sheet4!CT122/2)</f>
        <v>0.5</v>
      </c>
      <c r="CU123" s="40">
        <f>(Sheet4!CU122/2)</f>
        <v>0.5</v>
      </c>
      <c r="CV123" s="40">
        <f>(Sheet4!CV122/2)</f>
        <v>0.5</v>
      </c>
      <c r="CW123" s="40">
        <f>(Sheet4!CW122/2)</f>
        <v>0.5</v>
      </c>
      <c r="CX123" s="40">
        <f>(Sheet4!CX122/2)</f>
        <v>0.5</v>
      </c>
      <c r="CY123" s="40">
        <f>(Sheet4!CY122/2)</f>
        <v>0</v>
      </c>
      <c r="CZ123" s="40">
        <f>(Sheet4!CZ122/2)</f>
        <v>1</v>
      </c>
      <c r="DA123" s="40">
        <f>(Sheet4!DA122/2)</f>
        <v>0.5</v>
      </c>
      <c r="DB123" s="40">
        <f>(Sheet4!DB122/2)</f>
        <v>0</v>
      </c>
      <c r="DC123" s="40">
        <f>(Sheet4!DC122/2)</f>
        <v>0</v>
      </c>
      <c r="DD123" s="40">
        <f>(Sheet4!DD122/2)</f>
        <v>0</v>
      </c>
      <c r="DE123" s="40">
        <f>(Sheet4!DE122/2)</f>
        <v>0</v>
      </c>
      <c r="DF123" s="40">
        <f>(Sheet4!DF122/2)</f>
        <v>1</v>
      </c>
      <c r="DG123" s="40">
        <f>(Sheet4!DG122/2)</f>
        <v>0</v>
      </c>
      <c r="DH123" s="40">
        <f>(Sheet4!DH122/2)</f>
        <v>0</v>
      </c>
      <c r="DI123" s="40">
        <f>(Sheet4!DI122/2)</f>
        <v>0</v>
      </c>
      <c r="DJ123" s="40">
        <f>(Sheet4!DJ122/2)</f>
        <v>0</v>
      </c>
      <c r="DK123" s="40">
        <f>(Sheet4!DK122/2)</f>
        <v>0</v>
      </c>
      <c r="DL123" s="40">
        <f>(Sheet4!DL122/2)</f>
        <v>0</v>
      </c>
      <c r="DM123" s="40">
        <f>(Sheet4!DM122/2)</f>
        <v>0</v>
      </c>
      <c r="DN123" s="40">
        <f>(Sheet4!DN122/2)</f>
        <v>0</v>
      </c>
      <c r="DO123" s="40">
        <f>(Sheet4!DO122/2)</f>
        <v>0</v>
      </c>
      <c r="DP123" s="40">
        <f>(Sheet4!DP122/2)</f>
        <v>0</v>
      </c>
      <c r="DQ123" s="40">
        <f>(Sheet4!DQ122/2)</f>
        <v>0</v>
      </c>
    </row>
    <row r="124" spans="1:121" ht="15.75" customHeight="1" x14ac:dyDescent="0.3">
      <c r="A124" s="40">
        <f>Sheet4!A123</f>
        <v>107</v>
      </c>
      <c r="B124" s="40" t="str">
        <f>Sheet4!B123</f>
        <v>አለማየሁ ዳንኤል</v>
      </c>
      <c r="C124" s="26">
        <f>Sheet4!C123</f>
        <v>10500</v>
      </c>
      <c r="D124" s="40">
        <f>(Sheet4!D123/2)</f>
        <v>0.5</v>
      </c>
      <c r="E124" s="40">
        <f>(Sheet4!E123/2)</f>
        <v>0.5</v>
      </c>
      <c r="F124" s="40">
        <f>(Sheet4!F123/2)</f>
        <v>0.5</v>
      </c>
      <c r="G124" s="40">
        <f>(Sheet4!G123/2)</f>
        <v>0.5</v>
      </c>
      <c r="H124" s="40">
        <f>(Sheet4!H123/2)</f>
        <v>0.5</v>
      </c>
      <c r="I124" s="40">
        <f>(Sheet4!I123/2)</f>
        <v>0.5</v>
      </c>
      <c r="J124" s="40">
        <f>(Sheet4!J123/2)</f>
        <v>0.5</v>
      </c>
      <c r="K124" s="40">
        <f>(Sheet4!K123/2)</f>
        <v>0.5</v>
      </c>
      <c r="L124" s="40">
        <f>(Sheet4!L123/2)</f>
        <v>0.5</v>
      </c>
      <c r="M124" s="40">
        <f>(Sheet4!M123/2)</f>
        <v>0.5</v>
      </c>
      <c r="N124" s="40">
        <f>(Sheet4!N123/2)</f>
        <v>0.5</v>
      </c>
      <c r="O124" s="40">
        <f>(Sheet4!O123/2)</f>
        <v>0.5</v>
      </c>
      <c r="P124" s="40">
        <f>(Sheet4!P123/2)</f>
        <v>0.5</v>
      </c>
      <c r="Q124" s="40">
        <f>(Sheet4!Q123/2)</f>
        <v>0.5</v>
      </c>
      <c r="R124" s="40">
        <f>(Sheet4!R123/2)</f>
        <v>0.5</v>
      </c>
      <c r="S124" s="40">
        <f>(Sheet4!S123/2)</f>
        <v>0.5</v>
      </c>
      <c r="T124" s="40">
        <f>(Sheet4!T123/2)</f>
        <v>0.5</v>
      </c>
      <c r="U124" s="40">
        <f>(Sheet4!U123/2)</f>
        <v>0.5</v>
      </c>
      <c r="V124" s="40">
        <f>(Sheet4!V123/2)</f>
        <v>0.5</v>
      </c>
      <c r="W124" s="40">
        <f>(Sheet4!W123/2)</f>
        <v>0.5</v>
      </c>
      <c r="X124" s="40">
        <f>(Sheet4!X123/2)</f>
        <v>0.5</v>
      </c>
      <c r="Y124" s="40">
        <f>(Sheet4!Y123/2)</f>
        <v>0.5</v>
      </c>
      <c r="Z124" s="40">
        <f>(Sheet4!Z123/2)</f>
        <v>0.5</v>
      </c>
      <c r="AA124" s="40">
        <f>(Sheet4!AA123/2)</f>
        <v>0</v>
      </c>
      <c r="AB124" s="40">
        <f>(Sheet4!AB123/2)</f>
        <v>1</v>
      </c>
      <c r="AC124" s="40">
        <f>(Sheet4!AC123/2)</f>
        <v>0.5</v>
      </c>
      <c r="AD124" s="40">
        <f>(Sheet4!AD123/2)</f>
        <v>0.5</v>
      </c>
      <c r="AE124" s="40">
        <f>(Sheet4!AE123/2)</f>
        <v>0.5</v>
      </c>
      <c r="AF124" s="40">
        <f>(Sheet4!AF123/2)</f>
        <v>0.5</v>
      </c>
      <c r="AG124" s="40">
        <f>(Sheet4!AG123/2)</f>
        <v>0.5</v>
      </c>
      <c r="AH124" s="40">
        <f>(Sheet4!AH123/2)</f>
        <v>0.5</v>
      </c>
      <c r="AI124" s="40">
        <f>(Sheet4!AI123/2)</f>
        <v>0</v>
      </c>
      <c r="AJ124" s="40">
        <f>(Sheet4!AJ123/2)</f>
        <v>1</v>
      </c>
      <c r="AK124" s="40">
        <f>(Sheet4!AK123/2)</f>
        <v>0.5</v>
      </c>
      <c r="AL124" s="40">
        <f>(Sheet4!AL123/2)</f>
        <v>0.5</v>
      </c>
      <c r="AM124" s="40">
        <f>(Sheet4!AM123/2)</f>
        <v>0.5</v>
      </c>
      <c r="AN124" s="40">
        <f>(Sheet4!AN123/2)</f>
        <v>0.5</v>
      </c>
      <c r="AO124" s="40">
        <f>(Sheet4!AO123/2)</f>
        <v>0.5</v>
      </c>
      <c r="AP124" s="40">
        <f>(Sheet4!AP123/2)</f>
        <v>0</v>
      </c>
      <c r="AQ124" s="40">
        <f>(Sheet4!AQ123/2)</f>
        <v>1</v>
      </c>
      <c r="AR124" s="40">
        <f>(Sheet4!AR123/2)</f>
        <v>0.5</v>
      </c>
      <c r="AS124" s="40">
        <f>(Sheet4!AS123/2)</f>
        <v>0.5</v>
      </c>
      <c r="AT124" s="40">
        <f>(Sheet4!AT123/2)</f>
        <v>0.5</v>
      </c>
      <c r="AU124" s="40">
        <f>(Sheet4!AU123/2)</f>
        <v>0.5</v>
      </c>
      <c r="AV124" s="40">
        <f>(Sheet4!AV123/2)</f>
        <v>0.5</v>
      </c>
      <c r="AW124" s="40">
        <f>(Sheet4!AW123/2)</f>
        <v>0.5</v>
      </c>
      <c r="AX124" s="40">
        <f>(Sheet4!AX123/2)</f>
        <v>0</v>
      </c>
      <c r="AY124" s="40">
        <f>(Sheet4!AY123/2)</f>
        <v>1</v>
      </c>
      <c r="AZ124" s="40">
        <f>(Sheet4!AZ123/2)</f>
        <v>0.5</v>
      </c>
      <c r="BA124" s="40">
        <f>(Sheet4!BA123/2)</f>
        <v>0.5</v>
      </c>
      <c r="BB124" s="40">
        <f>(Sheet4!BB123/2)</f>
        <v>0.5</v>
      </c>
      <c r="BC124" s="40">
        <f>(Sheet4!BC123/2)</f>
        <v>0</v>
      </c>
      <c r="BD124" s="40">
        <f>(Sheet4!BD123/2)</f>
        <v>1</v>
      </c>
      <c r="BE124" s="40">
        <f>(Sheet4!BE123/2)</f>
        <v>0.5</v>
      </c>
      <c r="BF124" s="40">
        <f>(Sheet4!BF123/2)</f>
        <v>0.5</v>
      </c>
      <c r="BG124" s="40">
        <f>(Sheet4!BG123/2)</f>
        <v>0</v>
      </c>
      <c r="BH124" s="40">
        <f>(Sheet4!BH123/2)</f>
        <v>1</v>
      </c>
      <c r="BI124" s="40">
        <f>(Sheet4!BI123/2)</f>
        <v>0.5</v>
      </c>
      <c r="BJ124" s="40">
        <f>(Sheet4!BJ123/2)</f>
        <v>0.5</v>
      </c>
      <c r="BK124" s="40">
        <f>(Sheet4!BK123/2)</f>
        <v>0</v>
      </c>
      <c r="BL124" s="40">
        <f>(Sheet4!BL123/2)</f>
        <v>1</v>
      </c>
      <c r="BM124" s="40">
        <f>(Sheet4!BM123/2)</f>
        <v>0</v>
      </c>
      <c r="BN124" s="40">
        <f>(Sheet4!BN123/2)</f>
        <v>1</v>
      </c>
      <c r="BO124" s="40">
        <f>(Sheet4!BO123/2)</f>
        <v>0.5</v>
      </c>
      <c r="BP124" s="40">
        <f>(Sheet4!BP123/2)</f>
        <v>0</v>
      </c>
      <c r="BQ124" s="40">
        <f>(Sheet4!BQ123/2)</f>
        <v>1</v>
      </c>
      <c r="BR124" s="40">
        <f>(Sheet4!BR123/2)</f>
        <v>0.5</v>
      </c>
      <c r="BS124" s="40">
        <f>(Sheet4!BS123/2)</f>
        <v>0</v>
      </c>
      <c r="BT124" s="40">
        <f>(Sheet4!BT123/2)</f>
        <v>1</v>
      </c>
      <c r="BU124" s="40">
        <f>(Sheet4!BU123/2)</f>
        <v>0.5</v>
      </c>
      <c r="BV124" s="40">
        <f>(Sheet4!BV123/2)</f>
        <v>0.5</v>
      </c>
      <c r="BW124" s="40">
        <f>(Sheet4!BW123/2)</f>
        <v>0.5</v>
      </c>
      <c r="BX124" s="40">
        <f>(Sheet4!BX123/2)</f>
        <v>0</v>
      </c>
      <c r="BY124" s="40">
        <f>(Sheet4!BY123/2)</f>
        <v>1</v>
      </c>
      <c r="BZ124" s="40">
        <f>(Sheet4!BZ123/2)</f>
        <v>0.5</v>
      </c>
      <c r="CA124" s="40">
        <f>(Sheet4!CA123/2)</f>
        <v>0</v>
      </c>
      <c r="CB124" s="40">
        <f>(Sheet4!CB123/2)</f>
        <v>1</v>
      </c>
      <c r="CC124" s="40">
        <f>(Sheet4!CC123/2)</f>
        <v>0</v>
      </c>
      <c r="CD124" s="40">
        <f>(Sheet4!CD123/2)</f>
        <v>0</v>
      </c>
      <c r="CE124" s="40">
        <f>(Sheet4!CE123/2)</f>
        <v>1.5</v>
      </c>
      <c r="CF124" s="40">
        <f>(Sheet4!CF123/2)</f>
        <v>0</v>
      </c>
      <c r="CG124" s="40">
        <f>(Sheet4!CG123/2)</f>
        <v>0</v>
      </c>
      <c r="CH124" s="40">
        <f>(Sheet4!CH123/2)</f>
        <v>1.5</v>
      </c>
      <c r="CI124" s="40">
        <f>(Sheet4!CI123/2)</f>
        <v>0</v>
      </c>
      <c r="CJ124" s="40">
        <f>(Sheet4!CJ123/2)</f>
        <v>1</v>
      </c>
      <c r="CK124" s="40">
        <f>(Sheet4!CK123/2)</f>
        <v>0</v>
      </c>
      <c r="CL124" s="40">
        <f>(Sheet4!CL123/2)</f>
        <v>0</v>
      </c>
      <c r="CM124" s="40">
        <f>(Sheet4!CM123/2)</f>
        <v>1</v>
      </c>
      <c r="CN124" s="40">
        <f>(Sheet4!CN123/2)</f>
        <v>0.5</v>
      </c>
      <c r="CO124" s="40">
        <f>(Sheet4!CO123/2)</f>
        <v>0</v>
      </c>
      <c r="CP124" s="40">
        <f>(Sheet4!CP123/2)</f>
        <v>1</v>
      </c>
      <c r="CQ124" s="40">
        <f>(Sheet4!CQ123/2)</f>
        <v>0.5</v>
      </c>
      <c r="CR124" s="40">
        <f>(Sheet4!CR123/2)</f>
        <v>0</v>
      </c>
      <c r="CS124" s="40">
        <f>(Sheet4!CS123/2)</f>
        <v>0</v>
      </c>
      <c r="CT124" s="40">
        <f>(Sheet4!CT123/2)</f>
        <v>1</v>
      </c>
      <c r="CU124" s="40">
        <f>(Sheet4!CU123/2)</f>
        <v>1.5</v>
      </c>
      <c r="CV124" s="40">
        <f>(Sheet4!CV123/2)</f>
        <v>0</v>
      </c>
      <c r="CW124" s="40">
        <f>(Sheet4!CW123/2)</f>
        <v>1</v>
      </c>
      <c r="CX124" s="40">
        <f>(Sheet4!CX123/2)</f>
        <v>0.5</v>
      </c>
      <c r="CY124" s="40">
        <f>(Sheet4!CY123/2)</f>
        <v>0</v>
      </c>
      <c r="CZ124" s="40">
        <f>(Sheet4!CZ123/2)</f>
        <v>1</v>
      </c>
      <c r="DA124" s="40">
        <f>(Sheet4!DA123/2)</f>
        <v>0.5</v>
      </c>
      <c r="DB124" s="40">
        <f>(Sheet4!DB123/2)</f>
        <v>0.5</v>
      </c>
      <c r="DC124" s="40">
        <f>(Sheet4!DC123/2)</f>
        <v>0</v>
      </c>
      <c r="DD124" s="40">
        <f>(Sheet4!DD123/2)</f>
        <v>0</v>
      </c>
      <c r="DE124" s="40">
        <f>(Sheet4!DE123/2)</f>
        <v>1.5</v>
      </c>
      <c r="DF124" s="40">
        <f>(Sheet4!DF123/2)</f>
        <v>0.5</v>
      </c>
      <c r="DG124" s="40">
        <f>(Sheet4!DG123/2)</f>
        <v>0.5</v>
      </c>
      <c r="DH124" s="40">
        <f>(Sheet4!DH123/2)</f>
        <v>0</v>
      </c>
      <c r="DI124" s="40">
        <f>(Sheet4!DI123/2)</f>
        <v>0</v>
      </c>
      <c r="DJ124" s="40">
        <f>(Sheet4!DJ123/2)</f>
        <v>0</v>
      </c>
      <c r="DK124" s="40">
        <f>(Sheet4!DK123/2)</f>
        <v>0</v>
      </c>
      <c r="DL124" s="40">
        <f>(Sheet4!DL123/2)</f>
        <v>0</v>
      </c>
      <c r="DM124" s="40">
        <f>(Sheet4!DM123/2)</f>
        <v>0</v>
      </c>
      <c r="DN124" s="40">
        <f>(Sheet4!DN123/2)</f>
        <v>0</v>
      </c>
      <c r="DO124" s="40">
        <f>(Sheet4!DO123/2)</f>
        <v>0</v>
      </c>
      <c r="DP124" s="40">
        <f>(Sheet4!DP123/2)</f>
        <v>0</v>
      </c>
      <c r="DQ124" s="40">
        <f>(Sheet4!DQ123/2)</f>
        <v>0</v>
      </c>
    </row>
    <row r="125" spans="1:121" ht="15.75" customHeight="1" x14ac:dyDescent="0.3">
      <c r="A125" s="40">
        <f>Sheet4!A124</f>
        <v>108</v>
      </c>
      <c r="B125" s="40" t="str">
        <f>Sheet4!B124</f>
        <v xml:space="preserve">ጀማል ኢብራይም </v>
      </c>
      <c r="C125" s="26">
        <f>Sheet4!C124</f>
        <v>10500</v>
      </c>
      <c r="D125" s="40">
        <f>(Sheet4!D124/2)</f>
        <v>0.5</v>
      </c>
      <c r="E125" s="40">
        <f>(Sheet4!E124/2)</f>
        <v>0.5</v>
      </c>
      <c r="F125" s="40">
        <f>(Sheet4!F124/2)</f>
        <v>0.5</v>
      </c>
      <c r="G125" s="40">
        <f>(Sheet4!G124/2)</f>
        <v>0.5</v>
      </c>
      <c r="H125" s="40">
        <f>(Sheet4!H124/2)</f>
        <v>0.5</v>
      </c>
      <c r="I125" s="40">
        <f>(Sheet4!I124/2)</f>
        <v>0.5</v>
      </c>
      <c r="J125" s="40">
        <f>(Sheet4!J124/2)</f>
        <v>0.5</v>
      </c>
      <c r="K125" s="40">
        <f>(Sheet4!K124/2)</f>
        <v>0.5</v>
      </c>
      <c r="L125" s="40">
        <f>(Sheet4!L124/2)</f>
        <v>0.5</v>
      </c>
      <c r="M125" s="40">
        <f>(Sheet4!M124/2)</f>
        <v>0.5</v>
      </c>
      <c r="N125" s="40">
        <f>(Sheet4!N124/2)</f>
        <v>0.5</v>
      </c>
      <c r="O125" s="40">
        <f>(Sheet4!O124/2)</f>
        <v>0.5</v>
      </c>
      <c r="P125" s="40">
        <f>(Sheet4!P124/2)</f>
        <v>0.5</v>
      </c>
      <c r="Q125" s="40">
        <f>(Sheet4!Q124/2)</f>
        <v>0.5</v>
      </c>
      <c r="R125" s="40">
        <f>(Sheet4!R124/2)</f>
        <v>0.5</v>
      </c>
      <c r="S125" s="40">
        <f>(Sheet4!S124/2)</f>
        <v>0.5</v>
      </c>
      <c r="T125" s="40">
        <f>(Sheet4!T124/2)</f>
        <v>0.5</v>
      </c>
      <c r="U125" s="40">
        <f>(Sheet4!U124/2)</f>
        <v>0.5</v>
      </c>
      <c r="V125" s="40">
        <f>(Sheet4!V124/2)</f>
        <v>0.5</v>
      </c>
      <c r="W125" s="40">
        <f>(Sheet4!W124/2)</f>
        <v>0.5</v>
      </c>
      <c r="X125" s="40">
        <f>(Sheet4!X124/2)</f>
        <v>0.5</v>
      </c>
      <c r="Y125" s="40">
        <f>(Sheet4!Y124/2)</f>
        <v>0.5</v>
      </c>
      <c r="Z125" s="40">
        <f>(Sheet4!Z124/2)</f>
        <v>0.5</v>
      </c>
      <c r="AA125" s="40">
        <f>(Sheet4!AA124/2)</f>
        <v>0.5</v>
      </c>
      <c r="AB125" s="40">
        <f>(Sheet4!AB124/2)</f>
        <v>0.5</v>
      </c>
      <c r="AC125" s="40">
        <f>(Sheet4!AC124/2)</f>
        <v>0.5</v>
      </c>
      <c r="AD125" s="40">
        <f>(Sheet4!AD124/2)</f>
        <v>0.5</v>
      </c>
      <c r="AE125" s="40">
        <f>(Sheet4!AE124/2)</f>
        <v>0</v>
      </c>
      <c r="AF125" s="40">
        <f>(Sheet4!AF124/2)</f>
        <v>1</v>
      </c>
      <c r="AG125" s="40">
        <f>(Sheet4!AG124/2)</f>
        <v>0.5</v>
      </c>
      <c r="AH125" s="40">
        <f>(Sheet4!AH124/2)</f>
        <v>0.5</v>
      </c>
      <c r="AI125" s="40">
        <f>(Sheet4!AI124/2)</f>
        <v>0.5</v>
      </c>
      <c r="AJ125" s="40">
        <f>(Sheet4!AJ124/2)</f>
        <v>0</v>
      </c>
      <c r="AK125" s="40">
        <f>(Sheet4!AK124/2)</f>
        <v>0.5</v>
      </c>
      <c r="AL125" s="40">
        <f>(Sheet4!AL124/2)</f>
        <v>0.5</v>
      </c>
      <c r="AM125" s="40">
        <f>(Sheet4!AM124/2)</f>
        <v>0.5</v>
      </c>
      <c r="AN125" s="40">
        <f>(Sheet4!AN124/2)</f>
        <v>0.5</v>
      </c>
      <c r="AO125" s="40">
        <f>(Sheet4!AO124/2)</f>
        <v>0.5</v>
      </c>
      <c r="AP125" s="40">
        <f>(Sheet4!AP124/2)</f>
        <v>0.5</v>
      </c>
      <c r="AQ125" s="40">
        <f>(Sheet4!AQ124/2)</f>
        <v>0</v>
      </c>
      <c r="AR125" s="40">
        <f>(Sheet4!AR124/2)</f>
        <v>1</v>
      </c>
      <c r="AS125" s="40">
        <f>(Sheet4!AS124/2)</f>
        <v>0.5</v>
      </c>
      <c r="AT125" s="40">
        <f>(Sheet4!AT124/2)</f>
        <v>0.5</v>
      </c>
      <c r="AU125" s="40">
        <f>(Sheet4!AU124/2)</f>
        <v>0.5</v>
      </c>
      <c r="AV125" s="40">
        <f>(Sheet4!AV124/2)</f>
        <v>0.5</v>
      </c>
      <c r="AW125" s="40">
        <f>(Sheet4!AW124/2)</f>
        <v>0.5</v>
      </c>
      <c r="AX125" s="40">
        <f>(Sheet4!AX124/2)</f>
        <v>0.5</v>
      </c>
      <c r="AY125" s="40">
        <f>(Sheet4!AY124/2)</f>
        <v>0.5</v>
      </c>
      <c r="AZ125" s="40">
        <f>(Sheet4!AZ124/2)</f>
        <v>0.5</v>
      </c>
      <c r="BA125" s="40">
        <f>(Sheet4!BA124/2)</f>
        <v>0.5</v>
      </c>
      <c r="BB125" s="40">
        <f>(Sheet4!BB124/2)</f>
        <v>0.5</v>
      </c>
      <c r="BC125" s="40">
        <f>(Sheet4!BC124/2)</f>
        <v>0.5</v>
      </c>
      <c r="BD125" s="40">
        <f>(Sheet4!BD124/2)</f>
        <v>0.5</v>
      </c>
      <c r="BE125" s="40">
        <f>(Sheet4!BE124/2)</f>
        <v>0.5</v>
      </c>
      <c r="BF125" s="40">
        <f>(Sheet4!BF124/2)</f>
        <v>0.5</v>
      </c>
      <c r="BG125" s="40">
        <f>(Sheet4!BG124/2)</f>
        <v>0</v>
      </c>
      <c r="BH125" s="40">
        <f>(Sheet4!BH124/2)</f>
        <v>0</v>
      </c>
      <c r="BI125" s="40">
        <f>(Sheet4!BI124/2)</f>
        <v>0</v>
      </c>
      <c r="BJ125" s="40">
        <f>(Sheet4!BJ124/2)</f>
        <v>1</v>
      </c>
      <c r="BK125" s="40">
        <f>(Sheet4!BK124/2)</f>
        <v>0.5</v>
      </c>
      <c r="BL125" s="40">
        <f>(Sheet4!BL124/2)</f>
        <v>0.5</v>
      </c>
      <c r="BM125" s="40">
        <f>(Sheet4!BM124/2)</f>
        <v>0.5</v>
      </c>
      <c r="BN125" s="40">
        <f>(Sheet4!BN124/2)</f>
        <v>0.5</v>
      </c>
      <c r="BO125" s="40">
        <f>(Sheet4!BO124/2)</f>
        <v>0</v>
      </c>
      <c r="BP125" s="40">
        <f>(Sheet4!BP124/2)</f>
        <v>1</v>
      </c>
      <c r="BQ125" s="40">
        <f>(Sheet4!BQ124/2)</f>
        <v>0.5</v>
      </c>
      <c r="BR125" s="40">
        <f>(Sheet4!BR124/2)</f>
        <v>0.5</v>
      </c>
      <c r="BS125" s="40">
        <f>(Sheet4!BS124/2)</f>
        <v>0.5</v>
      </c>
      <c r="BT125" s="40">
        <f>(Sheet4!BT124/2)</f>
        <v>0.5</v>
      </c>
      <c r="BU125" s="40">
        <f>(Sheet4!BU124/2)</f>
        <v>0.5</v>
      </c>
      <c r="BV125" s="40">
        <f>(Sheet4!BV124/2)</f>
        <v>0.5</v>
      </c>
      <c r="BW125" s="40">
        <f>(Sheet4!BW124/2)</f>
        <v>0</v>
      </c>
      <c r="BX125" s="40">
        <f>(Sheet4!BX124/2)</f>
        <v>1</v>
      </c>
      <c r="BY125" s="40">
        <f>(Sheet4!BY124/2)</f>
        <v>0.5</v>
      </c>
      <c r="BZ125" s="40">
        <f>(Sheet4!BZ124/2)</f>
        <v>0</v>
      </c>
      <c r="CA125" s="40">
        <f>(Sheet4!CA124/2)</f>
        <v>1</v>
      </c>
      <c r="CB125" s="40">
        <f>(Sheet4!CB124/2)</f>
        <v>0.5</v>
      </c>
      <c r="CC125" s="40">
        <f>(Sheet4!CC124/2)</f>
        <v>0.5</v>
      </c>
      <c r="CD125" s="40">
        <f>(Sheet4!CD124/2)</f>
        <v>0</v>
      </c>
      <c r="CE125" s="40">
        <f>(Sheet4!CE124/2)</f>
        <v>1</v>
      </c>
      <c r="CF125" s="40">
        <f>(Sheet4!CF124/2)</f>
        <v>0.5</v>
      </c>
      <c r="CG125" s="40">
        <f>(Sheet4!CG124/2)</f>
        <v>0.5</v>
      </c>
      <c r="CH125" s="40">
        <f>(Sheet4!CH124/2)</f>
        <v>0.5</v>
      </c>
      <c r="CI125" s="40">
        <f>(Sheet4!CI124/2)</f>
        <v>0</v>
      </c>
      <c r="CJ125" s="40">
        <f>(Sheet4!CJ124/2)</f>
        <v>1</v>
      </c>
      <c r="CK125" s="40">
        <f>(Sheet4!CK124/2)</f>
        <v>0.5</v>
      </c>
      <c r="CL125" s="40">
        <f>(Sheet4!CL124/2)</f>
        <v>0.5</v>
      </c>
      <c r="CM125" s="40">
        <f>(Sheet4!CM124/2)</f>
        <v>0.5</v>
      </c>
      <c r="CN125" s="40">
        <f>(Sheet4!CN124/2)</f>
        <v>0.5</v>
      </c>
      <c r="CO125" s="40">
        <f>(Sheet4!CO124/2)</f>
        <v>0.5</v>
      </c>
      <c r="CP125" s="40">
        <f>(Sheet4!CP124/2)</f>
        <v>0.5</v>
      </c>
      <c r="CQ125" s="40">
        <f>(Sheet4!CQ124/2)</f>
        <v>0.5</v>
      </c>
      <c r="CR125" s="40">
        <f>(Sheet4!CR124/2)</f>
        <v>0</v>
      </c>
      <c r="CS125" s="40">
        <f>(Sheet4!CS124/2)</f>
        <v>1</v>
      </c>
      <c r="CT125" s="40">
        <f>(Sheet4!CT124/2)</f>
        <v>0.5</v>
      </c>
      <c r="CU125" s="40">
        <f>(Sheet4!CU124/2)</f>
        <v>0.5</v>
      </c>
      <c r="CV125" s="40">
        <f>(Sheet4!CV124/2)</f>
        <v>0.5</v>
      </c>
      <c r="CW125" s="40">
        <f>(Sheet4!CW124/2)</f>
        <v>0</v>
      </c>
      <c r="CX125" s="40">
        <f>(Sheet4!CX124/2)</f>
        <v>1</v>
      </c>
      <c r="CY125" s="40">
        <f>(Sheet4!CY124/2)</f>
        <v>0</v>
      </c>
      <c r="CZ125" s="40">
        <f>(Sheet4!CZ124/2)</f>
        <v>0.5</v>
      </c>
      <c r="DA125" s="40">
        <f>(Sheet4!DA124/2)</f>
        <v>0</v>
      </c>
      <c r="DB125" s="40">
        <f>(Sheet4!DB124/2)</f>
        <v>0</v>
      </c>
      <c r="DC125" s="40">
        <f>(Sheet4!DC124/2)</f>
        <v>1.5</v>
      </c>
      <c r="DD125" s="40">
        <f>(Sheet4!DD124/2)</f>
        <v>0</v>
      </c>
      <c r="DE125" s="40">
        <f>(Sheet4!DE124/2)</f>
        <v>1</v>
      </c>
      <c r="DF125" s="40">
        <f>(Sheet4!DF124/2)</f>
        <v>0.5</v>
      </c>
      <c r="DG125" s="40">
        <f>(Sheet4!DG124/2)</f>
        <v>0</v>
      </c>
      <c r="DH125" s="40">
        <f>(Sheet4!DH124/2)</f>
        <v>0</v>
      </c>
      <c r="DI125" s="40">
        <f>(Sheet4!DI124/2)</f>
        <v>0</v>
      </c>
      <c r="DJ125" s="40">
        <f>(Sheet4!DJ124/2)</f>
        <v>0</v>
      </c>
      <c r="DK125" s="40">
        <f>(Sheet4!DK124/2)</f>
        <v>0</v>
      </c>
      <c r="DL125" s="40">
        <f>(Sheet4!DL124/2)</f>
        <v>0</v>
      </c>
      <c r="DM125" s="40">
        <f>(Sheet4!DM124/2)</f>
        <v>0</v>
      </c>
      <c r="DN125" s="40">
        <f>(Sheet4!DN124/2)</f>
        <v>0</v>
      </c>
      <c r="DO125" s="40">
        <f>(Sheet4!DO124/2)</f>
        <v>0</v>
      </c>
      <c r="DP125" s="40">
        <f>(Sheet4!DP124/2)</f>
        <v>0</v>
      </c>
      <c r="DQ125" s="40">
        <f>(Sheet4!DQ124/2)</f>
        <v>0</v>
      </c>
    </row>
    <row r="126" spans="1:121" ht="15.75" customHeight="1" x14ac:dyDescent="0.3">
      <c r="A126" s="40">
        <f>Sheet4!A125</f>
        <v>108</v>
      </c>
      <c r="B126" s="40" t="str">
        <f>Sheet4!B125</f>
        <v>ተሻለ አሰፋ</v>
      </c>
      <c r="C126" s="26">
        <f>Sheet4!C125</f>
        <v>10500</v>
      </c>
      <c r="D126" s="40">
        <f>(Sheet4!D125/2)</f>
        <v>0.5</v>
      </c>
      <c r="E126" s="40">
        <f>(Sheet4!E125/2)</f>
        <v>0.5</v>
      </c>
      <c r="F126" s="40">
        <f>(Sheet4!F125/2)</f>
        <v>0.5</v>
      </c>
      <c r="G126" s="40">
        <f>(Sheet4!G125/2)</f>
        <v>0.5</v>
      </c>
      <c r="H126" s="40">
        <f>(Sheet4!H125/2)</f>
        <v>0.5</v>
      </c>
      <c r="I126" s="40">
        <f>(Sheet4!I125/2)</f>
        <v>0.5</v>
      </c>
      <c r="J126" s="40">
        <f>(Sheet4!J125/2)</f>
        <v>0.5</v>
      </c>
      <c r="K126" s="40">
        <f>(Sheet4!K125/2)</f>
        <v>0.5</v>
      </c>
      <c r="L126" s="40">
        <f>(Sheet4!L125/2)</f>
        <v>0.5</v>
      </c>
      <c r="M126" s="40">
        <f>(Sheet4!M125/2)</f>
        <v>0.5</v>
      </c>
      <c r="N126" s="40">
        <f>(Sheet4!N125/2)</f>
        <v>0.5</v>
      </c>
      <c r="O126" s="40">
        <f>(Sheet4!O125/2)</f>
        <v>0.5</v>
      </c>
      <c r="P126" s="40">
        <f>(Sheet4!P125/2)</f>
        <v>0.5</v>
      </c>
      <c r="Q126" s="40">
        <f>(Sheet4!Q125/2)</f>
        <v>0.5</v>
      </c>
      <c r="R126" s="40">
        <f>(Sheet4!R125/2)</f>
        <v>0.5</v>
      </c>
      <c r="S126" s="40">
        <f>(Sheet4!S125/2)</f>
        <v>0.5</v>
      </c>
      <c r="T126" s="40">
        <f>(Sheet4!T125/2)</f>
        <v>0.5</v>
      </c>
      <c r="U126" s="40">
        <f>(Sheet4!U125/2)</f>
        <v>0.5</v>
      </c>
      <c r="V126" s="40">
        <f>(Sheet4!V125/2)</f>
        <v>0.5</v>
      </c>
      <c r="W126" s="40">
        <f>(Sheet4!W125/2)</f>
        <v>0.5</v>
      </c>
      <c r="X126" s="40">
        <f>(Sheet4!X125/2)</f>
        <v>0.5</v>
      </c>
      <c r="Y126" s="40">
        <f>(Sheet4!Y125/2)</f>
        <v>0.5</v>
      </c>
      <c r="Z126" s="40">
        <f>(Sheet4!Z125/2)</f>
        <v>0.5</v>
      </c>
      <c r="AA126" s="40">
        <f>(Sheet4!AA125/2)</f>
        <v>0</v>
      </c>
      <c r="AB126" s="40">
        <f>(Sheet4!AB125/2)</f>
        <v>1</v>
      </c>
      <c r="AC126" s="40">
        <f>(Sheet4!AC125/2)</f>
        <v>0.5</v>
      </c>
      <c r="AD126" s="40">
        <f>(Sheet4!AD125/2)</f>
        <v>0.5</v>
      </c>
      <c r="AE126" s="40">
        <f>(Sheet4!AE125/2)</f>
        <v>0.5</v>
      </c>
      <c r="AF126" s="40">
        <f>(Sheet4!AF125/2)</f>
        <v>0.5</v>
      </c>
      <c r="AG126" s="40">
        <f>(Sheet4!AG125/2)</f>
        <v>0.5</v>
      </c>
      <c r="AH126" s="40">
        <f>(Sheet4!AH125/2)</f>
        <v>0.5</v>
      </c>
      <c r="AI126" s="40">
        <f>(Sheet4!AI125/2)</f>
        <v>0.5</v>
      </c>
      <c r="AJ126" s="40">
        <f>(Sheet4!AJ125/2)</f>
        <v>0</v>
      </c>
      <c r="AK126" s="40">
        <f>(Sheet4!AK125/2)</f>
        <v>0.5</v>
      </c>
      <c r="AL126" s="40">
        <f>(Sheet4!AL125/2)</f>
        <v>0.5</v>
      </c>
      <c r="AM126" s="40">
        <f>(Sheet4!AM125/2)</f>
        <v>1</v>
      </c>
      <c r="AN126" s="40">
        <f>(Sheet4!AN125/2)</f>
        <v>0.5</v>
      </c>
      <c r="AO126" s="40">
        <f>(Sheet4!AO125/2)</f>
        <v>0</v>
      </c>
      <c r="AP126" s="40">
        <f>(Sheet4!AP125/2)</f>
        <v>1</v>
      </c>
      <c r="AQ126" s="40">
        <f>(Sheet4!AQ125/2)</f>
        <v>0.5</v>
      </c>
      <c r="AR126" s="40">
        <f>(Sheet4!AR125/2)</f>
        <v>0.5</v>
      </c>
      <c r="AS126" s="40">
        <f>(Sheet4!AS125/2)</f>
        <v>0.5</v>
      </c>
      <c r="AT126" s="40">
        <f>(Sheet4!AT125/2)</f>
        <v>0.5</v>
      </c>
      <c r="AU126" s="40">
        <f>(Sheet4!AU125/2)</f>
        <v>0.5</v>
      </c>
      <c r="AV126" s="40">
        <f>(Sheet4!AV125/2)</f>
        <v>0.5</v>
      </c>
      <c r="AW126" s="40">
        <f>(Sheet4!AW125/2)</f>
        <v>0.5</v>
      </c>
      <c r="AX126" s="40">
        <f>(Sheet4!AX125/2)</f>
        <v>0.5</v>
      </c>
      <c r="AY126" s="40">
        <f>(Sheet4!AY125/2)</f>
        <v>0.5</v>
      </c>
      <c r="AZ126" s="40">
        <f>(Sheet4!AZ125/2)</f>
        <v>0.5</v>
      </c>
      <c r="BA126" s="40">
        <f>(Sheet4!BA125/2)</f>
        <v>0.5</v>
      </c>
      <c r="BB126" s="40">
        <f>(Sheet4!BB125/2)</f>
        <v>0.5</v>
      </c>
      <c r="BC126" s="40">
        <f>(Sheet4!BC125/2)</f>
        <v>0.5</v>
      </c>
      <c r="BD126" s="40">
        <f>(Sheet4!BD125/2)</f>
        <v>0.5</v>
      </c>
      <c r="BE126" s="40">
        <f>(Sheet4!BE125/2)</f>
        <v>0.5</v>
      </c>
      <c r="BF126" s="40">
        <f>(Sheet4!BF125/2)</f>
        <v>0.5</v>
      </c>
      <c r="BG126" s="40">
        <f>(Sheet4!BG125/2)</f>
        <v>0</v>
      </c>
      <c r="BH126" s="40">
        <f>(Sheet4!BH125/2)</f>
        <v>1</v>
      </c>
      <c r="BI126" s="40">
        <f>(Sheet4!BI125/2)</f>
        <v>0</v>
      </c>
      <c r="BJ126" s="40">
        <f>(Sheet4!BJ125/2)</f>
        <v>1</v>
      </c>
      <c r="BK126" s="40">
        <f>(Sheet4!BK125/2)</f>
        <v>0.5</v>
      </c>
      <c r="BL126" s="40">
        <f>(Sheet4!BL125/2)</f>
        <v>0.5</v>
      </c>
      <c r="BM126" s="40">
        <f>(Sheet4!BM125/2)</f>
        <v>0.5</v>
      </c>
      <c r="BN126" s="40">
        <f>(Sheet4!BN125/2)</f>
        <v>0.5</v>
      </c>
      <c r="BO126" s="40">
        <f>(Sheet4!BO125/2)</f>
        <v>0</v>
      </c>
      <c r="BP126" s="40">
        <f>(Sheet4!BP125/2)</f>
        <v>1</v>
      </c>
      <c r="BQ126" s="40">
        <f>(Sheet4!BQ125/2)</f>
        <v>0.5</v>
      </c>
      <c r="BR126" s="40">
        <f>(Sheet4!BR125/2)</f>
        <v>0.5</v>
      </c>
      <c r="BS126" s="40">
        <f>(Sheet4!BS125/2)</f>
        <v>0</v>
      </c>
      <c r="BT126" s="40">
        <f>(Sheet4!BT125/2)</f>
        <v>1</v>
      </c>
      <c r="BU126" s="40">
        <f>(Sheet4!BU125/2)</f>
        <v>0.5</v>
      </c>
      <c r="BV126" s="40">
        <f>(Sheet4!BV125/2)</f>
        <v>0.5</v>
      </c>
      <c r="BW126" s="40">
        <f>(Sheet4!BW125/2)</f>
        <v>0</v>
      </c>
      <c r="BX126" s="40">
        <f>(Sheet4!BX125/2)</f>
        <v>1</v>
      </c>
      <c r="BY126" s="40">
        <f>(Sheet4!BY125/2)</f>
        <v>0.5</v>
      </c>
      <c r="BZ126" s="40">
        <f>(Sheet4!BZ125/2)</f>
        <v>0</v>
      </c>
      <c r="CA126" s="40">
        <f>(Sheet4!CA125/2)</f>
        <v>0.5</v>
      </c>
      <c r="CB126" s="40">
        <f>(Sheet4!CB125/2)</f>
        <v>0.5</v>
      </c>
      <c r="CC126" s="40">
        <f>(Sheet4!CC125/2)</f>
        <v>0</v>
      </c>
      <c r="CD126" s="40">
        <f>(Sheet4!CD125/2)</f>
        <v>0</v>
      </c>
      <c r="CE126" s="40">
        <f>(Sheet4!CE125/2)</f>
        <v>1</v>
      </c>
      <c r="CF126" s="40">
        <f>(Sheet4!CF125/2)</f>
        <v>0.5</v>
      </c>
      <c r="CG126" s="40">
        <f>(Sheet4!CG125/2)</f>
        <v>0.5</v>
      </c>
      <c r="CH126" s="40">
        <f>(Sheet4!CH125/2)</f>
        <v>0.5</v>
      </c>
      <c r="CI126" s="40">
        <f>(Sheet4!CI125/2)</f>
        <v>0</v>
      </c>
      <c r="CJ126" s="40">
        <f>(Sheet4!CJ125/2)</f>
        <v>0.5</v>
      </c>
      <c r="CK126" s="40">
        <f>(Sheet4!CK125/2)</f>
        <v>0.5</v>
      </c>
      <c r="CL126" s="40">
        <f>(Sheet4!CL125/2)</f>
        <v>0.5</v>
      </c>
      <c r="CM126" s="40">
        <f>(Sheet4!CM125/2)</f>
        <v>0.5</v>
      </c>
      <c r="CN126" s="40">
        <f>(Sheet4!CN125/2)</f>
        <v>0.5</v>
      </c>
      <c r="CO126" s="40">
        <f>(Sheet4!CO125/2)</f>
        <v>0.5</v>
      </c>
      <c r="CP126" s="40">
        <f>(Sheet4!CP125/2)</f>
        <v>0.5</v>
      </c>
      <c r="CQ126" s="40">
        <f>(Sheet4!CQ125/2)</f>
        <v>0.5</v>
      </c>
      <c r="CR126" s="40">
        <f>(Sheet4!CR125/2)</f>
        <v>0</v>
      </c>
      <c r="CS126" s="40">
        <f>(Sheet4!CS125/2)</f>
        <v>1</v>
      </c>
      <c r="CT126" s="40">
        <f>(Sheet4!CT125/2)</f>
        <v>0.5</v>
      </c>
      <c r="CU126" s="40">
        <f>(Sheet4!CU125/2)</f>
        <v>0.5</v>
      </c>
      <c r="CV126" s="40">
        <f>(Sheet4!CV125/2)</f>
        <v>0</v>
      </c>
      <c r="CW126" s="40">
        <f>(Sheet4!CW125/2)</f>
        <v>0.5</v>
      </c>
      <c r="CX126" s="40">
        <f>(Sheet4!CX125/2)</f>
        <v>0.5</v>
      </c>
      <c r="CY126" s="40">
        <f>(Sheet4!CY125/2)</f>
        <v>0.5</v>
      </c>
      <c r="CZ126" s="40">
        <f>(Sheet4!CZ125/2)</f>
        <v>0.5</v>
      </c>
      <c r="DA126" s="40">
        <f>(Sheet4!DA125/2)</f>
        <v>0.5</v>
      </c>
      <c r="DB126" s="40">
        <f>(Sheet4!DB125/2)</f>
        <v>0</v>
      </c>
      <c r="DC126" s="40">
        <f>(Sheet4!DC125/2)</f>
        <v>0</v>
      </c>
      <c r="DD126" s="40">
        <f>(Sheet4!DD125/2)</f>
        <v>1</v>
      </c>
      <c r="DE126" s="40">
        <f>(Sheet4!DE125/2)</f>
        <v>1</v>
      </c>
      <c r="DF126" s="40">
        <f>(Sheet4!DF125/2)</f>
        <v>0</v>
      </c>
      <c r="DG126" s="40">
        <f>(Sheet4!DG125/2)</f>
        <v>0</v>
      </c>
      <c r="DH126" s="40">
        <f>(Sheet4!DH125/2)</f>
        <v>0</v>
      </c>
      <c r="DI126" s="40">
        <f>(Sheet4!DI125/2)</f>
        <v>0</v>
      </c>
      <c r="DJ126" s="40">
        <f>(Sheet4!DJ125/2)</f>
        <v>0</v>
      </c>
      <c r="DK126" s="40">
        <f>(Sheet4!DK125/2)</f>
        <v>0</v>
      </c>
      <c r="DL126" s="40">
        <f>(Sheet4!DL125/2)</f>
        <v>0</v>
      </c>
      <c r="DM126" s="40">
        <f>(Sheet4!DM125/2)</f>
        <v>0</v>
      </c>
      <c r="DN126" s="40">
        <f>(Sheet4!DN125/2)</f>
        <v>0</v>
      </c>
      <c r="DO126" s="40">
        <f>(Sheet4!DO125/2)</f>
        <v>0</v>
      </c>
      <c r="DP126" s="40">
        <f>(Sheet4!DP125/2)</f>
        <v>0</v>
      </c>
      <c r="DQ126" s="40">
        <f>(Sheet4!DQ125/2)</f>
        <v>0</v>
      </c>
    </row>
    <row r="127" spans="1:121" ht="15.75" customHeight="1" x14ac:dyDescent="0.3">
      <c r="A127" s="40">
        <f>Sheet4!A126</f>
        <v>109</v>
      </c>
      <c r="B127" s="40" t="str">
        <f>Sheet4!B126</f>
        <v xml:space="preserve">ታደሰ ሪቂዋ </v>
      </c>
      <c r="C127" s="26">
        <f>Sheet4!C126</f>
        <v>10500</v>
      </c>
      <c r="D127" s="40">
        <f>(Sheet4!D126/2)</f>
        <v>0.5</v>
      </c>
      <c r="E127" s="40">
        <f>(Sheet4!E126/2)</f>
        <v>0.5</v>
      </c>
      <c r="F127" s="40">
        <f>(Sheet4!F126/2)</f>
        <v>0.5</v>
      </c>
      <c r="G127" s="40">
        <f>(Sheet4!G126/2)</f>
        <v>0.5</v>
      </c>
      <c r="H127" s="40">
        <f>(Sheet4!H126/2)</f>
        <v>0.5</v>
      </c>
      <c r="I127" s="40">
        <f>(Sheet4!I126/2)</f>
        <v>0.5</v>
      </c>
      <c r="J127" s="40">
        <f>(Sheet4!J126/2)</f>
        <v>0.5</v>
      </c>
      <c r="K127" s="40">
        <f>(Sheet4!K126/2)</f>
        <v>0.5</v>
      </c>
      <c r="L127" s="40">
        <f>(Sheet4!L126/2)</f>
        <v>0.5</v>
      </c>
      <c r="M127" s="40">
        <f>(Sheet4!M126/2)</f>
        <v>0.5</v>
      </c>
      <c r="N127" s="40">
        <f>(Sheet4!N126/2)</f>
        <v>0.5</v>
      </c>
      <c r="O127" s="40">
        <f>(Sheet4!O126/2)</f>
        <v>0.5</v>
      </c>
      <c r="P127" s="40">
        <f>(Sheet4!P126/2)</f>
        <v>0.5</v>
      </c>
      <c r="Q127" s="40">
        <f>(Sheet4!Q126/2)</f>
        <v>0.5</v>
      </c>
      <c r="R127" s="40">
        <f>(Sheet4!R126/2)</f>
        <v>0.5</v>
      </c>
      <c r="S127" s="40">
        <f>(Sheet4!S126/2)</f>
        <v>0.5</v>
      </c>
      <c r="T127" s="40">
        <f>(Sheet4!T126/2)</f>
        <v>0.5</v>
      </c>
      <c r="U127" s="40">
        <f>(Sheet4!U126/2)</f>
        <v>0</v>
      </c>
      <c r="V127" s="40">
        <f>(Sheet4!V126/2)</f>
        <v>0</v>
      </c>
      <c r="W127" s="40">
        <f>(Sheet4!W126/2)</f>
        <v>0</v>
      </c>
      <c r="X127" s="40">
        <f>(Sheet4!X126/2)</f>
        <v>2</v>
      </c>
      <c r="Y127" s="40">
        <f>(Sheet4!Y126/2)</f>
        <v>0.5</v>
      </c>
      <c r="Z127" s="40">
        <f>(Sheet4!Z126/2)</f>
        <v>0.5</v>
      </c>
      <c r="AA127" s="40">
        <f>(Sheet4!AA126/2)</f>
        <v>0.5</v>
      </c>
      <c r="AB127" s="40">
        <f>(Sheet4!AB126/2)</f>
        <v>0.5</v>
      </c>
      <c r="AC127" s="40">
        <f>(Sheet4!AC126/2)</f>
        <v>0.5</v>
      </c>
      <c r="AD127" s="40">
        <f>(Sheet4!AD126/2)</f>
        <v>0</v>
      </c>
      <c r="AE127" s="40">
        <f>(Sheet4!AE126/2)</f>
        <v>1</v>
      </c>
      <c r="AF127" s="40">
        <f>(Sheet4!AF126/2)</f>
        <v>0.5</v>
      </c>
      <c r="AG127" s="40">
        <f>(Sheet4!AG126/2)</f>
        <v>0</v>
      </c>
      <c r="AH127" s="40">
        <f>(Sheet4!AH126/2)</f>
        <v>1</v>
      </c>
      <c r="AI127" s="40">
        <f>(Sheet4!AI126/2)</f>
        <v>0.5</v>
      </c>
      <c r="AJ127" s="40">
        <f>(Sheet4!AJ126/2)</f>
        <v>0</v>
      </c>
      <c r="AK127" s="40">
        <f>(Sheet4!AK126/2)</f>
        <v>0.5</v>
      </c>
      <c r="AL127" s="40">
        <f>(Sheet4!AL126/2)</f>
        <v>1</v>
      </c>
      <c r="AM127" s="40">
        <f>(Sheet4!AM126/2)</f>
        <v>0.5</v>
      </c>
      <c r="AN127" s="40">
        <f>(Sheet4!AN126/2)</f>
        <v>0.5</v>
      </c>
      <c r="AO127" s="40">
        <f>(Sheet4!AO126/2)</f>
        <v>0.5</v>
      </c>
      <c r="AP127" s="40">
        <f>(Sheet4!AP126/2)</f>
        <v>0.5</v>
      </c>
      <c r="AQ127" s="40">
        <f>(Sheet4!AQ126/2)</f>
        <v>0.5</v>
      </c>
      <c r="AR127" s="40">
        <f>(Sheet4!AR126/2)</f>
        <v>0.5</v>
      </c>
      <c r="AS127" s="40">
        <f>(Sheet4!AS126/2)</f>
        <v>0</v>
      </c>
      <c r="AT127" s="40">
        <f>(Sheet4!AT126/2)</f>
        <v>1</v>
      </c>
      <c r="AU127" s="40">
        <f>(Sheet4!AU126/2)</f>
        <v>0.5</v>
      </c>
      <c r="AV127" s="40">
        <f>(Sheet4!AV126/2)</f>
        <v>0</v>
      </c>
      <c r="AW127" s="40">
        <f>(Sheet4!AW126/2)</f>
        <v>1</v>
      </c>
      <c r="AX127" s="40">
        <f>(Sheet4!AX126/2)</f>
        <v>0</v>
      </c>
      <c r="AY127" s="40">
        <f>(Sheet4!AY126/2)</f>
        <v>0.5</v>
      </c>
      <c r="AZ127" s="40">
        <f>(Sheet4!AZ126/2)</f>
        <v>0.5</v>
      </c>
      <c r="BA127" s="40">
        <f>(Sheet4!BA126/2)</f>
        <v>0</v>
      </c>
      <c r="BB127" s="40">
        <f>(Sheet4!BB126/2)</f>
        <v>1</v>
      </c>
      <c r="BC127" s="40">
        <f>(Sheet4!BC126/2)</f>
        <v>0</v>
      </c>
      <c r="BD127" s="40">
        <f>(Sheet4!BD126/2)</f>
        <v>1</v>
      </c>
      <c r="BE127" s="40">
        <f>(Sheet4!BE126/2)</f>
        <v>0</v>
      </c>
      <c r="BF127" s="40">
        <f>(Sheet4!BF126/2)</f>
        <v>0</v>
      </c>
      <c r="BG127" s="40">
        <f>(Sheet4!BG126/2)</f>
        <v>0</v>
      </c>
      <c r="BH127" s="40">
        <f>(Sheet4!BH126/2)</f>
        <v>1</v>
      </c>
      <c r="BI127" s="40">
        <f>(Sheet4!BI126/2)</f>
        <v>0</v>
      </c>
      <c r="BJ127" s="40">
        <f>(Sheet4!BJ126/2)</f>
        <v>0</v>
      </c>
      <c r="BK127" s="40">
        <f>(Sheet4!BK126/2)</f>
        <v>0</v>
      </c>
      <c r="BL127" s="40">
        <f>(Sheet4!BL126/2)</f>
        <v>0</v>
      </c>
      <c r="BM127" s="40">
        <f>(Sheet4!BM126/2)</f>
        <v>0</v>
      </c>
      <c r="BN127" s="40">
        <f>(Sheet4!BN126/2)</f>
        <v>0</v>
      </c>
      <c r="BO127" s="40">
        <f>(Sheet4!BO126/2)</f>
        <v>0</v>
      </c>
      <c r="BP127" s="40">
        <f>(Sheet4!BP126/2)</f>
        <v>0</v>
      </c>
      <c r="BQ127" s="40">
        <f>(Sheet4!BQ126/2)</f>
        <v>0</v>
      </c>
      <c r="BR127" s="40">
        <f>(Sheet4!BR126/2)</f>
        <v>0</v>
      </c>
      <c r="BS127" s="40">
        <f>(Sheet4!BS126/2)</f>
        <v>0</v>
      </c>
      <c r="BT127" s="40">
        <f>(Sheet4!BT126/2)</f>
        <v>0</v>
      </c>
      <c r="BU127" s="40">
        <f>(Sheet4!BU126/2)</f>
        <v>0</v>
      </c>
      <c r="BV127" s="40">
        <f>(Sheet4!BV126/2)</f>
        <v>0</v>
      </c>
      <c r="BW127" s="40">
        <f>(Sheet4!BW126/2)</f>
        <v>0</v>
      </c>
      <c r="BX127" s="40">
        <f>(Sheet4!BX126/2)</f>
        <v>0</v>
      </c>
      <c r="BY127" s="40">
        <f>(Sheet4!BY126/2)</f>
        <v>0</v>
      </c>
      <c r="BZ127" s="40">
        <f>(Sheet4!BZ126/2)</f>
        <v>0</v>
      </c>
      <c r="CA127" s="40">
        <f>(Sheet4!CA126/2)</f>
        <v>0</v>
      </c>
      <c r="CB127" s="40">
        <f>(Sheet4!CB126/2)</f>
        <v>0</v>
      </c>
      <c r="CC127" s="40">
        <f>(Sheet4!CC126/2)</f>
        <v>0</v>
      </c>
      <c r="CD127" s="40">
        <f>(Sheet4!CD126/2)</f>
        <v>0</v>
      </c>
      <c r="CE127" s="40">
        <f>(Sheet4!CE126/2)</f>
        <v>0</v>
      </c>
      <c r="CF127" s="40">
        <f>(Sheet4!CF126/2)</f>
        <v>0</v>
      </c>
      <c r="CG127" s="40">
        <f>(Sheet4!CG126/2)</f>
        <v>0</v>
      </c>
      <c r="CH127" s="40">
        <f>(Sheet4!CH126/2)</f>
        <v>0</v>
      </c>
      <c r="CI127" s="40">
        <f>(Sheet4!CI126/2)</f>
        <v>0</v>
      </c>
      <c r="CJ127" s="40">
        <f>(Sheet4!CJ126/2)</f>
        <v>0</v>
      </c>
      <c r="CK127" s="40">
        <f>(Sheet4!CK126/2)</f>
        <v>0</v>
      </c>
      <c r="CL127" s="40">
        <f>(Sheet4!CL126/2)</f>
        <v>0</v>
      </c>
      <c r="CM127" s="40">
        <f>(Sheet4!CM126/2)</f>
        <v>0</v>
      </c>
      <c r="CN127" s="40">
        <f>(Sheet4!CN126/2)</f>
        <v>0</v>
      </c>
      <c r="CO127" s="40">
        <f>(Sheet4!CO126/2)</f>
        <v>0</v>
      </c>
      <c r="CP127" s="40">
        <f>(Sheet4!CP126/2)</f>
        <v>0</v>
      </c>
      <c r="CQ127" s="40">
        <f>(Sheet4!CQ126/2)</f>
        <v>0</v>
      </c>
      <c r="CR127" s="40">
        <f>(Sheet4!CR126/2)</f>
        <v>0</v>
      </c>
      <c r="CS127" s="40">
        <f>(Sheet4!CS126/2)</f>
        <v>0</v>
      </c>
      <c r="CT127" s="40">
        <f>(Sheet4!CT126/2)</f>
        <v>0</v>
      </c>
      <c r="CU127" s="40">
        <f>(Sheet4!CU126/2)</f>
        <v>0</v>
      </c>
      <c r="CV127" s="40">
        <f>(Sheet4!CV126/2)</f>
        <v>0</v>
      </c>
      <c r="CW127" s="40">
        <f>(Sheet4!CW126/2)</f>
        <v>0</v>
      </c>
      <c r="CX127" s="40">
        <f>(Sheet4!CX126/2)</f>
        <v>0</v>
      </c>
      <c r="CY127" s="40">
        <f>(Sheet4!CY126/2)</f>
        <v>0</v>
      </c>
      <c r="CZ127" s="40">
        <f>(Sheet4!CZ126/2)</f>
        <v>0</v>
      </c>
      <c r="DA127" s="40">
        <f>(Sheet4!DA126/2)</f>
        <v>0</v>
      </c>
      <c r="DB127" s="40">
        <f>(Sheet4!DB126/2)</f>
        <v>0</v>
      </c>
      <c r="DC127" s="40">
        <f>(Sheet4!DC126/2)</f>
        <v>0</v>
      </c>
      <c r="DD127" s="40">
        <f>(Sheet4!DD126/2)</f>
        <v>0</v>
      </c>
      <c r="DE127" s="40">
        <f>(Sheet4!DE126/2)</f>
        <v>0</v>
      </c>
      <c r="DF127" s="40">
        <f>(Sheet4!DF126/2)</f>
        <v>0</v>
      </c>
      <c r="DG127" s="40">
        <f>(Sheet4!DG126/2)</f>
        <v>0</v>
      </c>
      <c r="DH127" s="40">
        <f>(Sheet4!DH126/2)</f>
        <v>0</v>
      </c>
      <c r="DI127" s="40">
        <f>(Sheet4!DI126/2)</f>
        <v>0</v>
      </c>
      <c r="DJ127" s="40">
        <f>(Sheet4!DJ126/2)</f>
        <v>0</v>
      </c>
      <c r="DK127" s="40">
        <f>(Sheet4!DK126/2)</f>
        <v>0</v>
      </c>
      <c r="DL127" s="40">
        <f>(Sheet4!DL126/2)</f>
        <v>0</v>
      </c>
      <c r="DM127" s="40">
        <f>(Sheet4!DM126/2)</f>
        <v>0</v>
      </c>
      <c r="DN127" s="40">
        <f>(Sheet4!DN126/2)</f>
        <v>0</v>
      </c>
      <c r="DO127" s="40">
        <f>(Sheet4!DO126/2)</f>
        <v>0</v>
      </c>
      <c r="DP127" s="40">
        <f>(Sheet4!DP126/2)</f>
        <v>0</v>
      </c>
      <c r="DQ127" s="40">
        <f>(Sheet4!DQ126/2)</f>
        <v>0</v>
      </c>
    </row>
    <row r="128" spans="1:121" ht="15.75" customHeight="1" x14ac:dyDescent="0.3">
      <c r="A128" s="40">
        <f>Sheet4!A127</f>
        <v>109</v>
      </c>
      <c r="B128" s="40" t="str">
        <f>Sheet4!B127</f>
        <v>ዘይኑ ባጀግባ</v>
      </c>
      <c r="C128" s="26">
        <f>Sheet4!C127</f>
        <v>10500</v>
      </c>
      <c r="D128" s="40">
        <f>(Sheet4!D127/2)</f>
        <v>0.5</v>
      </c>
      <c r="E128" s="40">
        <f>(Sheet4!E127/2)</f>
        <v>0.5</v>
      </c>
      <c r="F128" s="40">
        <f>(Sheet4!F127/2)</f>
        <v>0.5</v>
      </c>
      <c r="G128" s="40">
        <f>(Sheet4!G127/2)</f>
        <v>0.5</v>
      </c>
      <c r="H128" s="40">
        <f>(Sheet4!H127/2)</f>
        <v>0.5</v>
      </c>
      <c r="I128" s="40">
        <f>(Sheet4!I127/2)</f>
        <v>0.5</v>
      </c>
      <c r="J128" s="40">
        <f>(Sheet4!J127/2)</f>
        <v>0.5</v>
      </c>
      <c r="K128" s="40">
        <f>(Sheet4!K127/2)</f>
        <v>0.5</v>
      </c>
      <c r="L128" s="40">
        <f>(Sheet4!L127/2)</f>
        <v>0.5</v>
      </c>
      <c r="M128" s="40">
        <f>(Sheet4!M127/2)</f>
        <v>0.5</v>
      </c>
      <c r="N128" s="40">
        <f>(Sheet4!N127/2)</f>
        <v>0.5</v>
      </c>
      <c r="O128" s="40">
        <f>(Sheet4!O127/2)</f>
        <v>0.5</v>
      </c>
      <c r="P128" s="40">
        <f>(Sheet4!P127/2)</f>
        <v>0.5</v>
      </c>
      <c r="Q128" s="40">
        <f>(Sheet4!Q127/2)</f>
        <v>0.5</v>
      </c>
      <c r="R128" s="40">
        <f>(Sheet4!R127/2)</f>
        <v>0.5</v>
      </c>
      <c r="S128" s="40">
        <f>(Sheet4!S127/2)</f>
        <v>0.5</v>
      </c>
      <c r="T128" s="40">
        <f>(Sheet4!T127/2)</f>
        <v>0.5</v>
      </c>
      <c r="U128" s="40">
        <f>(Sheet4!U127/2)</f>
        <v>0.5</v>
      </c>
      <c r="V128" s="40">
        <f>(Sheet4!V127/2)</f>
        <v>0.5</v>
      </c>
      <c r="W128" s="40">
        <f>(Sheet4!W127/2)</f>
        <v>0.5</v>
      </c>
      <c r="X128" s="40">
        <f>(Sheet4!X127/2)</f>
        <v>0.5</v>
      </c>
      <c r="Y128" s="40">
        <f>(Sheet4!Y127/2)</f>
        <v>0.5</v>
      </c>
      <c r="Z128" s="40">
        <f>(Sheet4!Z127/2)</f>
        <v>0.5</v>
      </c>
      <c r="AA128" s="40">
        <f>(Sheet4!AA127/2)</f>
        <v>0.5</v>
      </c>
      <c r="AB128" s="40">
        <f>(Sheet4!AB127/2)</f>
        <v>0.5</v>
      </c>
      <c r="AC128" s="40">
        <f>(Sheet4!AC127/2)</f>
        <v>0.5</v>
      </c>
      <c r="AD128" s="40">
        <f>(Sheet4!AD127/2)</f>
        <v>0.5</v>
      </c>
      <c r="AE128" s="40">
        <f>(Sheet4!AE127/2)</f>
        <v>0.5</v>
      </c>
      <c r="AF128" s="40">
        <f>(Sheet4!AF127/2)</f>
        <v>0.5</v>
      </c>
      <c r="AG128" s="40">
        <f>(Sheet4!AG127/2)</f>
        <v>0.5</v>
      </c>
      <c r="AH128" s="40">
        <f>(Sheet4!AH127/2)</f>
        <v>0.5</v>
      </c>
      <c r="AI128" s="40">
        <f>(Sheet4!AI127/2)</f>
        <v>0.5</v>
      </c>
      <c r="AJ128" s="40">
        <f>(Sheet4!AJ127/2)</f>
        <v>0.5</v>
      </c>
      <c r="AK128" s="40">
        <f>(Sheet4!AK127/2)</f>
        <v>0.5</v>
      </c>
      <c r="AL128" s="40">
        <f>(Sheet4!AL127/2)</f>
        <v>0.5</v>
      </c>
      <c r="AM128" s="40">
        <f>(Sheet4!AM127/2)</f>
        <v>0.5</v>
      </c>
      <c r="AN128" s="40">
        <f>(Sheet4!AN127/2)</f>
        <v>0.5</v>
      </c>
      <c r="AO128" s="40">
        <f>(Sheet4!AO127/2)</f>
        <v>0.5</v>
      </c>
      <c r="AP128" s="40">
        <f>(Sheet4!AP127/2)</f>
        <v>0.5</v>
      </c>
      <c r="AQ128" s="40">
        <f>(Sheet4!AQ127/2)</f>
        <v>0.5</v>
      </c>
      <c r="AR128" s="40">
        <f>(Sheet4!AR127/2)</f>
        <v>0.5</v>
      </c>
      <c r="AS128" s="40">
        <f>(Sheet4!AS127/2)</f>
        <v>0.5</v>
      </c>
      <c r="AT128" s="40">
        <f>(Sheet4!AT127/2)</f>
        <v>0.5</v>
      </c>
      <c r="AU128" s="40">
        <f>(Sheet4!AU127/2)</f>
        <v>0.5</v>
      </c>
      <c r="AV128" s="40">
        <f>(Sheet4!AV127/2)</f>
        <v>0.5</v>
      </c>
      <c r="AW128" s="40">
        <f>(Sheet4!AW127/2)</f>
        <v>0.5</v>
      </c>
      <c r="AX128" s="40">
        <f>(Sheet4!AX127/2)</f>
        <v>0.5</v>
      </c>
      <c r="AY128" s="40">
        <f>(Sheet4!AY127/2)</f>
        <v>0.5</v>
      </c>
      <c r="AZ128" s="40">
        <f>(Sheet4!AZ127/2)</f>
        <v>0.5</v>
      </c>
      <c r="BA128" s="40">
        <f>(Sheet4!BA127/2)</f>
        <v>0.5</v>
      </c>
      <c r="BB128" s="40">
        <f>(Sheet4!BB127/2)</f>
        <v>0.5</v>
      </c>
      <c r="BC128" s="40">
        <f>(Sheet4!BC127/2)</f>
        <v>0.5</v>
      </c>
      <c r="BD128" s="40">
        <f>(Sheet4!BD127/2)</f>
        <v>0.5</v>
      </c>
      <c r="BE128" s="40">
        <f>(Sheet4!BE127/2)</f>
        <v>0.5</v>
      </c>
      <c r="BF128" s="40">
        <f>(Sheet4!BF127/2)</f>
        <v>0.5</v>
      </c>
      <c r="BG128" s="40">
        <f>(Sheet4!BG127/2)</f>
        <v>0.5</v>
      </c>
      <c r="BH128" s="40">
        <f>(Sheet4!BH127/2)</f>
        <v>0.5</v>
      </c>
      <c r="BI128" s="40">
        <f>(Sheet4!BI127/2)</f>
        <v>0.5</v>
      </c>
      <c r="BJ128" s="40">
        <f>(Sheet4!BJ127/2)</f>
        <v>0.5</v>
      </c>
      <c r="BK128" s="40">
        <f>(Sheet4!BK127/2)</f>
        <v>0.5</v>
      </c>
      <c r="BL128" s="40">
        <f>(Sheet4!BL127/2)</f>
        <v>0.5</v>
      </c>
      <c r="BM128" s="40">
        <f>(Sheet4!BM127/2)</f>
        <v>0</v>
      </c>
      <c r="BN128" s="40">
        <f>(Sheet4!BN127/2)</f>
        <v>1</v>
      </c>
      <c r="BO128" s="40">
        <f>(Sheet4!BO127/2)</f>
        <v>0.5</v>
      </c>
      <c r="BP128" s="40">
        <f>(Sheet4!BP127/2)</f>
        <v>0.5</v>
      </c>
      <c r="BQ128" s="40">
        <f>(Sheet4!BQ127/2)</f>
        <v>0.5</v>
      </c>
      <c r="BR128" s="40">
        <f>(Sheet4!BR127/2)</f>
        <v>0.5</v>
      </c>
      <c r="BS128" s="40">
        <f>(Sheet4!BS127/2)</f>
        <v>0.5</v>
      </c>
      <c r="BT128" s="40">
        <f>(Sheet4!BT127/2)</f>
        <v>0.5</v>
      </c>
      <c r="BU128" s="40">
        <f>(Sheet4!BU127/2)</f>
        <v>0.5</v>
      </c>
      <c r="BV128" s="40">
        <f>(Sheet4!BV127/2)</f>
        <v>0.5</v>
      </c>
      <c r="BW128" s="40">
        <f>(Sheet4!BW127/2)</f>
        <v>0.5</v>
      </c>
      <c r="BX128" s="40">
        <f>(Sheet4!BX127/2)</f>
        <v>0.5</v>
      </c>
      <c r="BY128" s="40">
        <f>(Sheet4!BY127/2)</f>
        <v>0.5</v>
      </c>
      <c r="BZ128" s="40">
        <f>(Sheet4!BZ127/2)</f>
        <v>0.5</v>
      </c>
      <c r="CA128" s="40">
        <f>(Sheet4!CA127/2)</f>
        <v>0.5</v>
      </c>
      <c r="CB128" s="40">
        <f>(Sheet4!CB127/2)</f>
        <v>0.5</v>
      </c>
      <c r="CC128" s="40">
        <f>(Sheet4!CC127/2)</f>
        <v>0.5</v>
      </c>
      <c r="CD128" s="40">
        <f>(Sheet4!CD127/2)</f>
        <v>0.5</v>
      </c>
      <c r="CE128" s="40">
        <f>(Sheet4!CE127/2)</f>
        <v>0.5</v>
      </c>
      <c r="CF128" s="40">
        <f>(Sheet4!CF127/2)</f>
        <v>0.5</v>
      </c>
      <c r="CG128" s="40">
        <f>(Sheet4!CG127/2)</f>
        <v>0.5</v>
      </c>
      <c r="CH128" s="40">
        <f>(Sheet4!CH127/2)</f>
        <v>0.5</v>
      </c>
      <c r="CI128" s="40">
        <f>(Sheet4!CI127/2)</f>
        <v>0.5</v>
      </c>
      <c r="CJ128" s="40">
        <f>(Sheet4!CJ127/2)</f>
        <v>0.5</v>
      </c>
      <c r="CK128" s="40">
        <f>(Sheet4!CK127/2)</f>
        <v>0.5</v>
      </c>
      <c r="CL128" s="40">
        <f>(Sheet4!CL127/2)</f>
        <v>0</v>
      </c>
      <c r="CM128" s="40">
        <f>(Sheet4!CM127/2)</f>
        <v>0.5</v>
      </c>
      <c r="CN128" s="40">
        <f>(Sheet4!CN127/2)</f>
        <v>0.5</v>
      </c>
      <c r="CO128" s="40">
        <f>(Sheet4!CO127/2)</f>
        <v>0.5</v>
      </c>
      <c r="CP128" s="40">
        <f>(Sheet4!CP127/2)</f>
        <v>0.5</v>
      </c>
      <c r="CQ128" s="40">
        <f>(Sheet4!CQ127/2)</f>
        <v>0.5</v>
      </c>
      <c r="CR128" s="40">
        <f>(Sheet4!CR127/2)</f>
        <v>0.5</v>
      </c>
      <c r="CS128" s="40">
        <f>(Sheet4!CS127/2)</f>
        <v>0.5</v>
      </c>
      <c r="CT128" s="40">
        <f>(Sheet4!CT127/2)</f>
        <v>0.5</v>
      </c>
      <c r="CU128" s="40">
        <f>(Sheet4!CU127/2)</f>
        <v>0.5</v>
      </c>
      <c r="CV128" s="40">
        <f>(Sheet4!CV127/2)</f>
        <v>0.5</v>
      </c>
      <c r="CW128" s="40">
        <f>(Sheet4!CW127/2)</f>
        <v>0.5</v>
      </c>
      <c r="CX128" s="40">
        <f>(Sheet4!CX127/2)</f>
        <v>0.5</v>
      </c>
      <c r="CY128" s="40">
        <f>(Sheet4!CY127/2)</f>
        <v>0.5</v>
      </c>
      <c r="CZ128" s="40">
        <f>(Sheet4!CZ127/2)</f>
        <v>0.5</v>
      </c>
      <c r="DA128" s="40">
        <f>(Sheet4!DA127/2)</f>
        <v>1</v>
      </c>
      <c r="DB128" s="40">
        <f>(Sheet4!DB127/2)</f>
        <v>0.5</v>
      </c>
      <c r="DC128" s="40">
        <f>(Sheet4!DC127/2)</f>
        <v>0.5</v>
      </c>
      <c r="DD128" s="40">
        <f>(Sheet4!DD127/2)</f>
        <v>0.5</v>
      </c>
      <c r="DE128" s="40">
        <f>(Sheet4!DE127/2)</f>
        <v>0.5</v>
      </c>
      <c r="DF128" s="40">
        <f>(Sheet4!DF127/2)</f>
        <v>0.5</v>
      </c>
      <c r="DG128" s="40">
        <f>(Sheet4!DG127/2)</f>
        <v>0.5</v>
      </c>
      <c r="DH128" s="40">
        <f>(Sheet4!DH127/2)</f>
        <v>0</v>
      </c>
      <c r="DI128" s="40">
        <f>(Sheet4!DI127/2)</f>
        <v>0</v>
      </c>
      <c r="DJ128" s="40">
        <f>(Sheet4!DJ127/2)</f>
        <v>0</v>
      </c>
      <c r="DK128" s="40">
        <f>(Sheet4!DK127/2)</f>
        <v>0</v>
      </c>
      <c r="DL128" s="40">
        <f>(Sheet4!DL127/2)</f>
        <v>0</v>
      </c>
      <c r="DM128" s="40">
        <f>(Sheet4!DM127/2)</f>
        <v>0</v>
      </c>
      <c r="DN128" s="40">
        <f>(Sheet4!DN127/2)</f>
        <v>0</v>
      </c>
      <c r="DO128" s="40">
        <f>(Sheet4!DO127/2)</f>
        <v>0</v>
      </c>
      <c r="DP128" s="40">
        <f>(Sheet4!DP127/2)</f>
        <v>0</v>
      </c>
      <c r="DQ128" s="40">
        <f>(Sheet4!DQ127/2)</f>
        <v>0</v>
      </c>
    </row>
    <row r="129" spans="1:121" ht="15.75" customHeight="1" x14ac:dyDescent="0.3">
      <c r="A129" s="40">
        <f>Sheet4!A128</f>
        <v>110</v>
      </c>
      <c r="B129" s="40" t="str">
        <f>Sheet4!B128</f>
        <v>ኤልያስ ኩኪሳ</v>
      </c>
      <c r="C129" s="26">
        <f>Sheet4!C128</f>
        <v>10500</v>
      </c>
      <c r="D129" s="40">
        <f>(Sheet4!D128/2)</f>
        <v>0.5</v>
      </c>
      <c r="E129" s="40">
        <f>(Sheet4!E128/2)</f>
        <v>0.5</v>
      </c>
      <c r="F129" s="40">
        <f>(Sheet4!F128/2)</f>
        <v>0.5</v>
      </c>
      <c r="G129" s="40">
        <f>(Sheet4!G128/2)</f>
        <v>0.5</v>
      </c>
      <c r="H129" s="40">
        <f>(Sheet4!H128/2)</f>
        <v>0.5</v>
      </c>
      <c r="I129" s="40">
        <f>(Sheet4!I128/2)</f>
        <v>0.5</v>
      </c>
      <c r="J129" s="40">
        <f>(Sheet4!J128/2)</f>
        <v>0.5</v>
      </c>
      <c r="K129" s="40">
        <f>(Sheet4!K128/2)</f>
        <v>0.5</v>
      </c>
      <c r="L129" s="40">
        <f>(Sheet4!L128/2)</f>
        <v>0.5</v>
      </c>
      <c r="M129" s="40">
        <f>(Sheet4!M128/2)</f>
        <v>0.5</v>
      </c>
      <c r="N129" s="40">
        <f>(Sheet4!N128/2)</f>
        <v>0.5</v>
      </c>
      <c r="O129" s="40">
        <f>(Sheet4!O128/2)</f>
        <v>0.5</v>
      </c>
      <c r="P129" s="40">
        <f>(Sheet4!P128/2)</f>
        <v>0.5</v>
      </c>
      <c r="Q129" s="40">
        <f>(Sheet4!Q128/2)</f>
        <v>0.5</v>
      </c>
      <c r="R129" s="40">
        <f>(Sheet4!R128/2)</f>
        <v>0.5</v>
      </c>
      <c r="S129" s="40">
        <f>(Sheet4!S128/2)</f>
        <v>0.5</v>
      </c>
      <c r="T129" s="40">
        <f>(Sheet4!T128/2)</f>
        <v>0.5</v>
      </c>
      <c r="U129" s="40">
        <f>(Sheet4!U128/2)</f>
        <v>0.5</v>
      </c>
      <c r="V129" s="40">
        <f>(Sheet4!V128/2)</f>
        <v>0.5</v>
      </c>
      <c r="W129" s="40">
        <f>(Sheet4!W128/2)</f>
        <v>0.5</v>
      </c>
      <c r="X129" s="40">
        <f>(Sheet4!X128/2)</f>
        <v>0.5</v>
      </c>
      <c r="Y129" s="40">
        <f>(Sheet4!Y128/2)</f>
        <v>0.5</v>
      </c>
      <c r="Z129" s="40">
        <f>(Sheet4!Z128/2)</f>
        <v>0.5</v>
      </c>
      <c r="AA129" s="40">
        <f>(Sheet4!AA128/2)</f>
        <v>0.5</v>
      </c>
      <c r="AB129" s="40">
        <f>(Sheet4!AB128/2)</f>
        <v>0.5</v>
      </c>
      <c r="AC129" s="40">
        <f>(Sheet4!AC128/2)</f>
        <v>0.5</v>
      </c>
      <c r="AD129" s="40">
        <f>(Sheet4!AD128/2)</f>
        <v>0.5</v>
      </c>
      <c r="AE129" s="40">
        <f>(Sheet4!AE128/2)</f>
        <v>0.5</v>
      </c>
      <c r="AF129" s="40">
        <f>(Sheet4!AF128/2)</f>
        <v>0.5</v>
      </c>
      <c r="AG129" s="40">
        <f>(Sheet4!AG128/2)</f>
        <v>0.5</v>
      </c>
      <c r="AH129" s="40">
        <f>(Sheet4!AH128/2)</f>
        <v>0.5</v>
      </c>
      <c r="AI129" s="40">
        <f>(Sheet4!AI128/2)</f>
        <v>0.5</v>
      </c>
      <c r="AJ129" s="40">
        <f>(Sheet4!AJ128/2)</f>
        <v>0.5</v>
      </c>
      <c r="AK129" s="40">
        <f>(Sheet4!AK128/2)</f>
        <v>0.5</v>
      </c>
      <c r="AL129" s="40">
        <f>(Sheet4!AL128/2)</f>
        <v>0.5</v>
      </c>
      <c r="AM129" s="40">
        <f>(Sheet4!AM128/2)</f>
        <v>0.5</v>
      </c>
      <c r="AN129" s="40">
        <f>(Sheet4!AN128/2)</f>
        <v>0.5</v>
      </c>
      <c r="AO129" s="40">
        <f>(Sheet4!AO128/2)</f>
        <v>0.5</v>
      </c>
      <c r="AP129" s="40">
        <f>(Sheet4!AP128/2)</f>
        <v>0.5</v>
      </c>
      <c r="AQ129" s="40">
        <f>(Sheet4!AQ128/2)</f>
        <v>0.5</v>
      </c>
      <c r="AR129" s="40">
        <f>(Sheet4!AR128/2)</f>
        <v>0.5</v>
      </c>
      <c r="AS129" s="40">
        <f>(Sheet4!AS128/2)</f>
        <v>0.5</v>
      </c>
      <c r="AT129" s="40">
        <f>(Sheet4!AT128/2)</f>
        <v>0.5</v>
      </c>
      <c r="AU129" s="40">
        <f>(Sheet4!AU128/2)</f>
        <v>0.5</v>
      </c>
      <c r="AV129" s="40">
        <f>(Sheet4!AV128/2)</f>
        <v>0.5</v>
      </c>
      <c r="AW129" s="40">
        <f>(Sheet4!AW128/2)</f>
        <v>0.5</v>
      </c>
      <c r="AX129" s="40">
        <f>(Sheet4!AX128/2)</f>
        <v>0.5</v>
      </c>
      <c r="AY129" s="40">
        <f>(Sheet4!AY128/2)</f>
        <v>0.5</v>
      </c>
      <c r="AZ129" s="40">
        <f>(Sheet4!AZ128/2)</f>
        <v>0.5</v>
      </c>
      <c r="BA129" s="40">
        <f>(Sheet4!BA128/2)</f>
        <v>0.5</v>
      </c>
      <c r="BB129" s="40">
        <f>(Sheet4!BB128/2)</f>
        <v>0.5</v>
      </c>
      <c r="BC129" s="40">
        <f>(Sheet4!BC128/2)</f>
        <v>0.5</v>
      </c>
      <c r="BD129" s="40">
        <f>(Sheet4!BD128/2)</f>
        <v>0.5</v>
      </c>
      <c r="BE129" s="40">
        <f>(Sheet4!BE128/2)</f>
        <v>0.5</v>
      </c>
      <c r="BF129" s="40">
        <f>(Sheet4!BF128/2)</f>
        <v>0.5</v>
      </c>
      <c r="BG129" s="40">
        <f>(Sheet4!BG128/2)</f>
        <v>0.5</v>
      </c>
      <c r="BH129" s="40">
        <f>(Sheet4!BH128/2)</f>
        <v>0.5</v>
      </c>
      <c r="BI129" s="40">
        <f>(Sheet4!BI128/2)</f>
        <v>0.5</v>
      </c>
      <c r="BJ129" s="40">
        <f>(Sheet4!BJ128/2)</f>
        <v>0.5</v>
      </c>
      <c r="BK129" s="40">
        <f>(Sheet4!BK128/2)</f>
        <v>0.5</v>
      </c>
      <c r="BL129" s="40">
        <f>(Sheet4!BL128/2)</f>
        <v>0.5</v>
      </c>
      <c r="BM129" s="40">
        <f>(Sheet4!BM128/2)</f>
        <v>0</v>
      </c>
      <c r="BN129" s="40">
        <f>(Sheet4!BN128/2)</f>
        <v>1</v>
      </c>
      <c r="BO129" s="40">
        <f>(Sheet4!BO128/2)</f>
        <v>0.5</v>
      </c>
      <c r="BP129" s="40">
        <f>(Sheet4!BP128/2)</f>
        <v>0.5</v>
      </c>
      <c r="BQ129" s="40">
        <f>(Sheet4!BQ128/2)</f>
        <v>0.5</v>
      </c>
      <c r="BR129" s="40">
        <f>(Sheet4!BR128/2)</f>
        <v>0.5</v>
      </c>
      <c r="BS129" s="40">
        <f>(Sheet4!BS128/2)</f>
        <v>0.5</v>
      </c>
      <c r="BT129" s="40">
        <f>(Sheet4!BT128/2)</f>
        <v>0.5</v>
      </c>
      <c r="BU129" s="40">
        <f>(Sheet4!BU128/2)</f>
        <v>0.5</v>
      </c>
      <c r="BV129" s="40">
        <f>(Sheet4!BV128/2)</f>
        <v>0.5</v>
      </c>
      <c r="BW129" s="40">
        <f>(Sheet4!BW128/2)</f>
        <v>0.5</v>
      </c>
      <c r="BX129" s="40">
        <f>(Sheet4!BX128/2)</f>
        <v>0.5</v>
      </c>
      <c r="BY129" s="40">
        <f>(Sheet4!BY128/2)</f>
        <v>0.5</v>
      </c>
      <c r="BZ129" s="40">
        <f>(Sheet4!BZ128/2)</f>
        <v>0.5</v>
      </c>
      <c r="CA129" s="40">
        <f>(Sheet4!CA128/2)</f>
        <v>0.5</v>
      </c>
      <c r="CB129" s="40">
        <f>(Sheet4!CB128/2)</f>
        <v>0.5</v>
      </c>
      <c r="CC129" s="40">
        <f>(Sheet4!CC128/2)</f>
        <v>0.5</v>
      </c>
      <c r="CD129" s="40">
        <f>(Sheet4!CD128/2)</f>
        <v>0.5</v>
      </c>
      <c r="CE129" s="40">
        <f>(Sheet4!CE128/2)</f>
        <v>0.5</v>
      </c>
      <c r="CF129" s="40">
        <f>(Sheet4!CF128/2)</f>
        <v>0.5</v>
      </c>
      <c r="CG129" s="40">
        <f>(Sheet4!CG128/2)</f>
        <v>0.5</v>
      </c>
      <c r="CH129" s="40">
        <f>(Sheet4!CH128/2)</f>
        <v>0.5</v>
      </c>
      <c r="CI129" s="40">
        <f>(Sheet4!CI128/2)</f>
        <v>0.5</v>
      </c>
      <c r="CJ129" s="40">
        <f>(Sheet4!CJ128/2)</f>
        <v>0.5</v>
      </c>
      <c r="CK129" s="40">
        <f>(Sheet4!CK128/2)</f>
        <v>0.5</v>
      </c>
      <c r="CL129" s="40">
        <f>(Sheet4!CL128/2)</f>
        <v>0.5</v>
      </c>
      <c r="CM129" s="40">
        <f>(Sheet4!CM128/2)</f>
        <v>0.5</v>
      </c>
      <c r="CN129" s="40">
        <f>(Sheet4!CN128/2)</f>
        <v>0.5</v>
      </c>
      <c r="CO129" s="40">
        <f>(Sheet4!CO128/2)</f>
        <v>0.5</v>
      </c>
      <c r="CP129" s="40">
        <f>(Sheet4!CP128/2)</f>
        <v>0.5</v>
      </c>
      <c r="CQ129" s="40">
        <f>(Sheet4!CQ128/2)</f>
        <v>0.5</v>
      </c>
      <c r="CR129" s="40">
        <f>(Sheet4!CR128/2)</f>
        <v>0</v>
      </c>
      <c r="CS129" s="40">
        <f>(Sheet4!CS128/2)</f>
        <v>1</v>
      </c>
      <c r="CT129" s="40">
        <f>(Sheet4!CT128/2)</f>
        <v>0.5</v>
      </c>
      <c r="CU129" s="40">
        <f>(Sheet4!CU128/2)</f>
        <v>0.5</v>
      </c>
      <c r="CV129" s="40">
        <f>(Sheet4!CV128/2)</f>
        <v>0.5</v>
      </c>
      <c r="CW129" s="40">
        <f>(Sheet4!CW128/2)</f>
        <v>0.5</v>
      </c>
      <c r="CX129" s="40">
        <f>(Sheet4!CX128/2)</f>
        <v>0</v>
      </c>
      <c r="CY129" s="40">
        <f>(Sheet4!CY128/2)</f>
        <v>1</v>
      </c>
      <c r="CZ129" s="40">
        <f>(Sheet4!CZ128/2)</f>
        <v>0.5</v>
      </c>
      <c r="DA129" s="40">
        <f>(Sheet4!DA128/2)</f>
        <v>0.5</v>
      </c>
      <c r="DB129" s="40">
        <f>(Sheet4!DB128/2)</f>
        <v>0.5</v>
      </c>
      <c r="DC129" s="40">
        <f>(Sheet4!DC128/2)</f>
        <v>0.5</v>
      </c>
      <c r="DD129" s="40">
        <f>(Sheet4!DD128/2)</f>
        <v>0.5</v>
      </c>
      <c r="DE129" s="40">
        <f>(Sheet4!DE128/2)</f>
        <v>0.5</v>
      </c>
      <c r="DF129" s="40">
        <f>(Sheet4!DF128/2)</f>
        <v>0.5</v>
      </c>
      <c r="DG129" s="40">
        <f>(Sheet4!DG128/2)</f>
        <v>0.5</v>
      </c>
      <c r="DH129" s="40">
        <f>(Sheet4!DH128/2)</f>
        <v>0</v>
      </c>
      <c r="DI129" s="40">
        <f>(Sheet4!DI128/2)</f>
        <v>0</v>
      </c>
      <c r="DJ129" s="40">
        <f>(Sheet4!DJ128/2)</f>
        <v>0</v>
      </c>
      <c r="DK129" s="40">
        <f>(Sheet4!DK128/2)</f>
        <v>0</v>
      </c>
      <c r="DL129" s="40">
        <f>(Sheet4!DL128/2)</f>
        <v>0</v>
      </c>
      <c r="DM129" s="40">
        <f>(Sheet4!DM128/2)</f>
        <v>0</v>
      </c>
      <c r="DN129" s="40">
        <f>(Sheet4!DN128/2)</f>
        <v>0</v>
      </c>
      <c r="DO129" s="40">
        <f>(Sheet4!DO128/2)</f>
        <v>0</v>
      </c>
      <c r="DP129" s="40">
        <f>(Sheet4!DP128/2)</f>
        <v>0</v>
      </c>
      <c r="DQ129" s="40">
        <f>(Sheet4!DQ128/2)</f>
        <v>0</v>
      </c>
    </row>
    <row r="130" spans="1:121" ht="15.75" customHeight="1" x14ac:dyDescent="0.3">
      <c r="A130" s="40">
        <f>Sheet4!A129</f>
        <v>110</v>
      </c>
      <c r="B130" s="40" t="str">
        <f>Sheet4!B129</f>
        <v>በቀለ ዶሳ</v>
      </c>
      <c r="C130" s="26">
        <f>Sheet4!C129</f>
        <v>10500</v>
      </c>
      <c r="D130" s="40">
        <f>(Sheet4!D129/2)</f>
        <v>0.5</v>
      </c>
      <c r="E130" s="40">
        <f>(Sheet4!E129/2)</f>
        <v>0.5</v>
      </c>
      <c r="F130" s="40">
        <f>(Sheet4!F129/2)</f>
        <v>0.5</v>
      </c>
      <c r="G130" s="40">
        <f>(Sheet4!G129/2)</f>
        <v>0.5</v>
      </c>
      <c r="H130" s="40">
        <f>(Sheet4!H129/2)</f>
        <v>0.5</v>
      </c>
      <c r="I130" s="40">
        <f>(Sheet4!I129/2)</f>
        <v>0.5</v>
      </c>
      <c r="J130" s="40">
        <f>(Sheet4!J129/2)</f>
        <v>0.5</v>
      </c>
      <c r="K130" s="40">
        <f>(Sheet4!K129/2)</f>
        <v>0.5</v>
      </c>
      <c r="L130" s="40">
        <f>(Sheet4!L129/2)</f>
        <v>0.5</v>
      </c>
      <c r="M130" s="40">
        <f>(Sheet4!M129/2)</f>
        <v>0.5</v>
      </c>
      <c r="N130" s="40">
        <f>(Sheet4!N129/2)</f>
        <v>0.5</v>
      </c>
      <c r="O130" s="40">
        <f>(Sheet4!O129/2)</f>
        <v>0.5</v>
      </c>
      <c r="P130" s="40">
        <f>(Sheet4!P129/2)</f>
        <v>0.5</v>
      </c>
      <c r="Q130" s="40">
        <f>(Sheet4!Q129/2)</f>
        <v>0.5</v>
      </c>
      <c r="R130" s="40">
        <f>(Sheet4!R129/2)</f>
        <v>0.5</v>
      </c>
      <c r="S130" s="40">
        <f>(Sheet4!S129/2)</f>
        <v>0.5</v>
      </c>
      <c r="T130" s="40">
        <f>(Sheet4!T129/2)</f>
        <v>0.5</v>
      </c>
      <c r="U130" s="40">
        <f>(Sheet4!U129/2)</f>
        <v>0</v>
      </c>
      <c r="V130" s="40">
        <f>(Sheet4!V129/2)</f>
        <v>0</v>
      </c>
      <c r="W130" s="40">
        <f>(Sheet4!W129/2)</f>
        <v>0</v>
      </c>
      <c r="X130" s="40">
        <f>(Sheet4!X129/2)</f>
        <v>1</v>
      </c>
      <c r="Y130" s="40">
        <f>(Sheet4!Y129/2)</f>
        <v>0.5</v>
      </c>
      <c r="Z130" s="40">
        <f>(Sheet4!Z129/2)</f>
        <v>1</v>
      </c>
      <c r="AA130" s="40">
        <f>(Sheet4!AA129/2)</f>
        <v>0</v>
      </c>
      <c r="AB130" s="40">
        <f>(Sheet4!AB129/2)</f>
        <v>1</v>
      </c>
      <c r="AC130" s="40">
        <f>(Sheet4!AC129/2)</f>
        <v>0.5</v>
      </c>
      <c r="AD130" s="40">
        <f>(Sheet4!AD129/2)</f>
        <v>0.5</v>
      </c>
      <c r="AE130" s="40">
        <f>(Sheet4!AE129/2)</f>
        <v>0</v>
      </c>
      <c r="AF130" s="40">
        <f>(Sheet4!AF129/2)</f>
        <v>1</v>
      </c>
      <c r="AG130" s="40">
        <f>(Sheet4!AG129/2)</f>
        <v>0.5</v>
      </c>
      <c r="AH130" s="40">
        <f>(Sheet4!AH129/2)</f>
        <v>0.5</v>
      </c>
      <c r="AI130" s="40">
        <f>(Sheet4!AI129/2)</f>
        <v>0.5</v>
      </c>
      <c r="AJ130" s="40">
        <f>(Sheet4!AJ129/2)</f>
        <v>0.5</v>
      </c>
      <c r="AK130" s="40">
        <f>(Sheet4!AK129/2)</f>
        <v>0.5</v>
      </c>
      <c r="AL130" s="40">
        <f>(Sheet4!AL129/2)</f>
        <v>0.5</v>
      </c>
      <c r="AM130" s="40">
        <f>(Sheet4!AM129/2)</f>
        <v>0</v>
      </c>
      <c r="AN130" s="40">
        <f>(Sheet4!AN129/2)</f>
        <v>0.5</v>
      </c>
      <c r="AO130" s="40">
        <f>(Sheet4!AO129/2)</f>
        <v>1</v>
      </c>
      <c r="AP130" s="40">
        <f>(Sheet4!AP129/2)</f>
        <v>0.5</v>
      </c>
      <c r="AQ130" s="40">
        <f>(Sheet4!AQ129/2)</f>
        <v>0</v>
      </c>
      <c r="AR130" s="40">
        <f>(Sheet4!AR129/2)</f>
        <v>0</v>
      </c>
      <c r="AS130" s="40">
        <f>(Sheet4!AS129/2)</f>
        <v>1</v>
      </c>
      <c r="AT130" s="40">
        <f>(Sheet4!AT129/2)</f>
        <v>1</v>
      </c>
      <c r="AU130" s="40">
        <f>(Sheet4!AU129/2)</f>
        <v>0</v>
      </c>
      <c r="AV130" s="40">
        <f>(Sheet4!AV129/2)</f>
        <v>1</v>
      </c>
      <c r="AW130" s="40">
        <f>(Sheet4!AW129/2)</f>
        <v>0</v>
      </c>
      <c r="AX130" s="40">
        <f>(Sheet4!AX129/2)</f>
        <v>1</v>
      </c>
      <c r="AY130" s="40">
        <f>(Sheet4!AY129/2)</f>
        <v>0</v>
      </c>
      <c r="AZ130" s="40">
        <f>(Sheet4!AZ129/2)</f>
        <v>0</v>
      </c>
      <c r="BA130" s="40">
        <f>(Sheet4!BA129/2)</f>
        <v>0</v>
      </c>
      <c r="BB130" s="40">
        <f>(Sheet4!BB129/2)</f>
        <v>2</v>
      </c>
      <c r="BC130" s="40">
        <f>(Sheet4!BC129/2)</f>
        <v>0</v>
      </c>
      <c r="BD130" s="40">
        <f>(Sheet4!BD129/2)</f>
        <v>0</v>
      </c>
      <c r="BE130" s="40">
        <f>(Sheet4!BE129/2)</f>
        <v>1</v>
      </c>
      <c r="BF130" s="40">
        <f>(Sheet4!BF129/2)</f>
        <v>0.5</v>
      </c>
      <c r="BG130" s="40">
        <f>(Sheet4!BG129/2)</f>
        <v>0</v>
      </c>
      <c r="BH130" s="40">
        <f>(Sheet4!BH129/2)</f>
        <v>0</v>
      </c>
      <c r="BI130" s="40">
        <f>(Sheet4!BI129/2)</f>
        <v>2</v>
      </c>
      <c r="BJ130" s="40">
        <f>(Sheet4!BJ129/2)</f>
        <v>0</v>
      </c>
      <c r="BK130" s="40">
        <f>(Sheet4!BK129/2)</f>
        <v>1</v>
      </c>
      <c r="BL130" s="40">
        <f>(Sheet4!BL129/2)</f>
        <v>0</v>
      </c>
      <c r="BM130" s="40">
        <f>(Sheet4!BM129/2)</f>
        <v>0</v>
      </c>
      <c r="BN130" s="40">
        <f>(Sheet4!BN129/2)</f>
        <v>1.5</v>
      </c>
      <c r="BO130" s="40">
        <f>(Sheet4!BO129/2)</f>
        <v>0</v>
      </c>
      <c r="BP130" s="40">
        <f>(Sheet4!BP129/2)</f>
        <v>0</v>
      </c>
      <c r="BQ130" s="40">
        <f>(Sheet4!BQ129/2)</f>
        <v>1.5</v>
      </c>
      <c r="BR130" s="40">
        <f>(Sheet4!BR129/2)</f>
        <v>0</v>
      </c>
      <c r="BS130" s="40">
        <f>(Sheet4!BS129/2)</f>
        <v>0</v>
      </c>
      <c r="BT130" s="40">
        <f>(Sheet4!BT129/2)</f>
        <v>1</v>
      </c>
      <c r="BU130" s="40">
        <f>(Sheet4!BU129/2)</f>
        <v>0</v>
      </c>
      <c r="BV130" s="40">
        <f>(Sheet4!BV129/2)</f>
        <v>1.5</v>
      </c>
      <c r="BW130" s="40">
        <f>(Sheet4!BW129/2)</f>
        <v>0</v>
      </c>
      <c r="BX130" s="40">
        <f>(Sheet4!BX129/2)</f>
        <v>1</v>
      </c>
      <c r="BY130" s="40">
        <f>(Sheet4!BY129/2)</f>
        <v>0</v>
      </c>
      <c r="BZ130" s="40">
        <f>(Sheet4!BZ129/2)</f>
        <v>0</v>
      </c>
      <c r="CA130" s="40">
        <f>(Sheet4!CA129/2)</f>
        <v>1</v>
      </c>
      <c r="CB130" s="40">
        <f>(Sheet4!CB129/2)</f>
        <v>1</v>
      </c>
      <c r="CC130" s="40">
        <f>(Sheet4!CC129/2)</f>
        <v>0</v>
      </c>
      <c r="CD130" s="40">
        <f>(Sheet4!CD129/2)</f>
        <v>0</v>
      </c>
      <c r="CE130" s="40">
        <f>(Sheet4!CE129/2)</f>
        <v>0</v>
      </c>
      <c r="CF130" s="40">
        <f>(Sheet4!CF129/2)</f>
        <v>1</v>
      </c>
      <c r="CG130" s="40">
        <f>(Sheet4!CG129/2)</f>
        <v>1</v>
      </c>
      <c r="CH130" s="40">
        <f>(Sheet4!CH129/2)</f>
        <v>0</v>
      </c>
      <c r="CI130" s="40">
        <f>(Sheet4!CI129/2)</f>
        <v>1</v>
      </c>
      <c r="CJ130" s="40">
        <f>(Sheet4!CJ129/2)</f>
        <v>0</v>
      </c>
      <c r="CK130" s="40">
        <f>(Sheet4!CK129/2)</f>
        <v>0</v>
      </c>
      <c r="CL130" s="40">
        <f>(Sheet4!CL129/2)</f>
        <v>3</v>
      </c>
      <c r="CM130" s="40">
        <f>(Sheet4!CM129/2)</f>
        <v>0</v>
      </c>
      <c r="CN130" s="40">
        <f>(Sheet4!CN129/2)</f>
        <v>0</v>
      </c>
      <c r="CO130" s="40">
        <f>(Sheet4!CO129/2)</f>
        <v>0</v>
      </c>
      <c r="CP130" s="40">
        <f>(Sheet4!CP129/2)</f>
        <v>0</v>
      </c>
      <c r="CQ130" s="40">
        <f>(Sheet4!CQ129/2)</f>
        <v>0</v>
      </c>
      <c r="CR130" s="40">
        <f>(Sheet4!CR129/2)</f>
        <v>0</v>
      </c>
      <c r="CS130" s="40">
        <f>(Sheet4!CS129/2)</f>
        <v>0</v>
      </c>
      <c r="CT130" s="40">
        <f>(Sheet4!CT129/2)</f>
        <v>0.5</v>
      </c>
      <c r="CU130" s="40">
        <f>(Sheet4!CU129/2)</f>
        <v>0</v>
      </c>
      <c r="CV130" s="40">
        <f>(Sheet4!CV129/2)</f>
        <v>0</v>
      </c>
      <c r="CW130" s="40">
        <f>(Sheet4!CW129/2)</f>
        <v>0</v>
      </c>
      <c r="CX130" s="40">
        <f>(Sheet4!CX129/2)</f>
        <v>1.5</v>
      </c>
      <c r="CY130" s="40">
        <f>(Sheet4!CY129/2)</f>
        <v>2</v>
      </c>
      <c r="CZ130" s="40">
        <f>(Sheet4!CZ129/2)</f>
        <v>0</v>
      </c>
      <c r="DA130" s="40">
        <f>(Sheet4!DA129/2)</f>
        <v>1</v>
      </c>
      <c r="DB130" s="40">
        <f>(Sheet4!DB129/2)</f>
        <v>0</v>
      </c>
      <c r="DC130" s="40">
        <f>(Sheet4!DC129/2)</f>
        <v>0</v>
      </c>
      <c r="DD130" s="40">
        <f>(Sheet4!DD129/2)</f>
        <v>1.5</v>
      </c>
      <c r="DE130" s="40">
        <f>(Sheet4!DE129/2)</f>
        <v>0</v>
      </c>
      <c r="DF130" s="40">
        <f>(Sheet4!DF129/2)</f>
        <v>1</v>
      </c>
      <c r="DG130" s="40">
        <f>(Sheet4!DG129/2)</f>
        <v>0</v>
      </c>
      <c r="DH130" s="40">
        <f>(Sheet4!DH129/2)</f>
        <v>0</v>
      </c>
      <c r="DI130" s="40">
        <f>(Sheet4!DI129/2)</f>
        <v>0</v>
      </c>
      <c r="DJ130" s="40">
        <f>(Sheet4!DJ129/2)</f>
        <v>0</v>
      </c>
      <c r="DK130" s="40">
        <f>(Sheet4!DK129/2)</f>
        <v>0</v>
      </c>
      <c r="DL130" s="40">
        <f>(Sheet4!DL129/2)</f>
        <v>0</v>
      </c>
      <c r="DM130" s="40">
        <f>(Sheet4!DM129/2)</f>
        <v>0</v>
      </c>
      <c r="DN130" s="40">
        <f>(Sheet4!DN129/2)</f>
        <v>0</v>
      </c>
      <c r="DO130" s="40">
        <f>(Sheet4!DO129/2)</f>
        <v>0</v>
      </c>
      <c r="DP130" s="40">
        <f>(Sheet4!DP129/2)</f>
        <v>0</v>
      </c>
      <c r="DQ130" s="40">
        <f>(Sheet4!DQ129/2)</f>
        <v>0</v>
      </c>
    </row>
    <row r="131" spans="1:121" ht="15.75" customHeight="1" x14ac:dyDescent="0.3">
      <c r="A131" s="40">
        <f>Sheet4!A130</f>
        <v>111</v>
      </c>
      <c r="B131" s="40" t="str">
        <f>Sheet4!B130</f>
        <v>አበጀ አላሮ</v>
      </c>
      <c r="C131" s="26">
        <f>Sheet4!C130</f>
        <v>10500</v>
      </c>
      <c r="D131" s="40">
        <f>(Sheet4!D130/2)</f>
        <v>0.5</v>
      </c>
      <c r="E131" s="40">
        <f>(Sheet4!E130/2)</f>
        <v>0.5</v>
      </c>
      <c r="F131" s="40">
        <f>(Sheet4!F130/2)</f>
        <v>0.5</v>
      </c>
      <c r="G131" s="40">
        <f>(Sheet4!G130/2)</f>
        <v>0.5</v>
      </c>
      <c r="H131" s="40">
        <f>(Sheet4!H130/2)</f>
        <v>0.5</v>
      </c>
      <c r="I131" s="40">
        <f>(Sheet4!I130/2)</f>
        <v>0.5</v>
      </c>
      <c r="J131" s="40">
        <f>(Sheet4!J130/2)</f>
        <v>0.5</v>
      </c>
      <c r="K131" s="40">
        <f>(Sheet4!K130/2)</f>
        <v>0.5</v>
      </c>
      <c r="L131" s="40">
        <f>(Sheet4!L130/2)</f>
        <v>0.5</v>
      </c>
      <c r="M131" s="40">
        <f>(Sheet4!M130/2)</f>
        <v>0.5</v>
      </c>
      <c r="N131" s="40">
        <f>(Sheet4!N130/2)</f>
        <v>0.5</v>
      </c>
      <c r="O131" s="40">
        <f>(Sheet4!O130/2)</f>
        <v>0.5</v>
      </c>
      <c r="P131" s="40">
        <f>(Sheet4!P130/2)</f>
        <v>0.5</v>
      </c>
      <c r="Q131" s="40">
        <f>(Sheet4!Q130/2)</f>
        <v>0.5</v>
      </c>
      <c r="R131" s="40">
        <f>(Sheet4!R130/2)</f>
        <v>0.5</v>
      </c>
      <c r="S131" s="40">
        <f>(Sheet4!S130/2)</f>
        <v>0.5</v>
      </c>
      <c r="T131" s="40">
        <f>(Sheet4!T130/2)</f>
        <v>0.5</v>
      </c>
      <c r="U131" s="40">
        <f>(Sheet4!U130/2)</f>
        <v>0.5</v>
      </c>
      <c r="V131" s="40">
        <f>(Sheet4!V130/2)</f>
        <v>0.5</v>
      </c>
      <c r="W131" s="40">
        <f>(Sheet4!W130/2)</f>
        <v>0.5</v>
      </c>
      <c r="X131" s="40">
        <f>(Sheet4!X130/2)</f>
        <v>0.5</v>
      </c>
      <c r="Y131" s="40">
        <f>(Sheet4!Y130/2)</f>
        <v>0.5</v>
      </c>
      <c r="Z131" s="40">
        <f>(Sheet4!Z130/2)</f>
        <v>0.5</v>
      </c>
      <c r="AA131" s="40">
        <f>(Sheet4!AA130/2)</f>
        <v>0</v>
      </c>
      <c r="AB131" s="40">
        <f>(Sheet4!AB130/2)</f>
        <v>1</v>
      </c>
      <c r="AC131" s="40">
        <f>(Sheet4!AC130/2)</f>
        <v>0.5</v>
      </c>
      <c r="AD131" s="40">
        <f>(Sheet4!AD130/2)</f>
        <v>0.5</v>
      </c>
      <c r="AE131" s="40">
        <f>(Sheet4!AE130/2)</f>
        <v>0</v>
      </c>
      <c r="AF131" s="40">
        <f>(Sheet4!AF130/2)</f>
        <v>1</v>
      </c>
      <c r="AG131" s="40">
        <f>(Sheet4!AG130/2)</f>
        <v>0.5</v>
      </c>
      <c r="AH131" s="40">
        <f>(Sheet4!AH130/2)</f>
        <v>0.5</v>
      </c>
      <c r="AI131" s="40">
        <f>(Sheet4!AI130/2)</f>
        <v>0.5</v>
      </c>
      <c r="AJ131" s="40">
        <f>(Sheet4!AJ130/2)</f>
        <v>0.5</v>
      </c>
      <c r="AK131" s="40">
        <f>(Sheet4!AK130/2)</f>
        <v>0.5</v>
      </c>
      <c r="AL131" s="40">
        <f>(Sheet4!AL130/2)</f>
        <v>0.5</v>
      </c>
      <c r="AM131" s="40">
        <f>(Sheet4!AM130/2)</f>
        <v>0.5</v>
      </c>
      <c r="AN131" s="40">
        <f>(Sheet4!AN130/2)</f>
        <v>0.5</v>
      </c>
      <c r="AO131" s="40">
        <f>(Sheet4!AO130/2)</f>
        <v>0.5</v>
      </c>
      <c r="AP131" s="40">
        <f>(Sheet4!AP130/2)</f>
        <v>0.5</v>
      </c>
      <c r="AQ131" s="40">
        <f>(Sheet4!AQ130/2)</f>
        <v>0.5</v>
      </c>
      <c r="AR131" s="40">
        <f>(Sheet4!AR130/2)</f>
        <v>0.5</v>
      </c>
      <c r="AS131" s="40">
        <f>(Sheet4!AS130/2)</f>
        <v>0.5</v>
      </c>
      <c r="AT131" s="40">
        <f>(Sheet4!AT130/2)</f>
        <v>0.5</v>
      </c>
      <c r="AU131" s="40">
        <f>(Sheet4!AU130/2)</f>
        <v>0.5</v>
      </c>
      <c r="AV131" s="40">
        <f>(Sheet4!AV130/2)</f>
        <v>0.5</v>
      </c>
      <c r="AW131" s="40">
        <f>(Sheet4!AW130/2)</f>
        <v>0.5</v>
      </c>
      <c r="AX131" s="40">
        <f>(Sheet4!AX130/2)</f>
        <v>0.5</v>
      </c>
      <c r="AY131" s="40">
        <f>(Sheet4!AY130/2)</f>
        <v>0</v>
      </c>
      <c r="AZ131" s="40">
        <f>(Sheet4!AZ130/2)</f>
        <v>1</v>
      </c>
      <c r="BA131" s="40">
        <f>(Sheet4!BA130/2)</f>
        <v>0</v>
      </c>
      <c r="BB131" s="40">
        <f>(Sheet4!BB130/2)</f>
        <v>1</v>
      </c>
      <c r="BC131" s="40">
        <f>(Sheet4!BC130/2)</f>
        <v>0.5</v>
      </c>
      <c r="BD131" s="40">
        <f>(Sheet4!BD130/2)</f>
        <v>0.5</v>
      </c>
      <c r="BE131" s="40">
        <f>(Sheet4!BE130/2)</f>
        <v>0</v>
      </c>
      <c r="BF131" s="40">
        <f>(Sheet4!BF130/2)</f>
        <v>1</v>
      </c>
      <c r="BG131" s="40">
        <f>(Sheet4!BG130/2)</f>
        <v>0</v>
      </c>
      <c r="BH131" s="40">
        <f>(Sheet4!BH130/2)</f>
        <v>1</v>
      </c>
      <c r="BI131" s="40">
        <f>(Sheet4!BI130/2)</f>
        <v>0</v>
      </c>
      <c r="BJ131" s="40">
        <f>(Sheet4!BJ130/2)</f>
        <v>1</v>
      </c>
      <c r="BK131" s="40">
        <f>(Sheet4!BK130/2)</f>
        <v>0</v>
      </c>
      <c r="BL131" s="40">
        <f>(Sheet4!BL130/2)</f>
        <v>0</v>
      </c>
      <c r="BM131" s="40">
        <f>(Sheet4!BM130/2)</f>
        <v>1</v>
      </c>
      <c r="BN131" s="40">
        <f>(Sheet4!BN130/2)</f>
        <v>0.5</v>
      </c>
      <c r="BO131" s="40">
        <f>(Sheet4!BO130/2)</f>
        <v>1</v>
      </c>
      <c r="BP131" s="40">
        <f>(Sheet4!BP130/2)</f>
        <v>0</v>
      </c>
      <c r="BQ131" s="40">
        <f>(Sheet4!BQ130/2)</f>
        <v>0</v>
      </c>
      <c r="BR131" s="40">
        <f>(Sheet4!BR130/2)</f>
        <v>1</v>
      </c>
      <c r="BS131" s="40">
        <f>(Sheet4!BS130/2)</f>
        <v>0</v>
      </c>
      <c r="BT131" s="40">
        <f>(Sheet4!BT130/2)</f>
        <v>0</v>
      </c>
      <c r="BU131" s="40">
        <f>(Sheet4!BU130/2)</f>
        <v>1</v>
      </c>
      <c r="BV131" s="40">
        <f>(Sheet4!BV130/2)</f>
        <v>0</v>
      </c>
      <c r="BW131" s="40">
        <f>(Sheet4!BW130/2)</f>
        <v>1</v>
      </c>
      <c r="BX131" s="40">
        <f>(Sheet4!BX130/2)</f>
        <v>0</v>
      </c>
      <c r="BY131" s="40">
        <f>(Sheet4!BY130/2)</f>
        <v>1</v>
      </c>
      <c r="BZ131" s="40">
        <f>(Sheet4!BZ130/2)</f>
        <v>0</v>
      </c>
      <c r="CA131" s="40">
        <f>(Sheet4!CA130/2)</f>
        <v>0</v>
      </c>
      <c r="CB131" s="40">
        <f>(Sheet4!CB130/2)</f>
        <v>1</v>
      </c>
      <c r="CC131" s="40">
        <f>(Sheet4!CC130/2)</f>
        <v>0</v>
      </c>
      <c r="CD131" s="40">
        <f>(Sheet4!CD130/2)</f>
        <v>1</v>
      </c>
      <c r="CE131" s="40">
        <f>(Sheet4!CE130/2)</f>
        <v>0</v>
      </c>
      <c r="CF131" s="40">
        <f>(Sheet4!CF130/2)</f>
        <v>1</v>
      </c>
      <c r="CG131" s="40">
        <f>(Sheet4!CG130/2)</f>
        <v>0</v>
      </c>
      <c r="CH131" s="40">
        <f>(Sheet4!CH130/2)</f>
        <v>1</v>
      </c>
      <c r="CI131" s="40">
        <f>(Sheet4!CI130/2)</f>
        <v>0.5</v>
      </c>
      <c r="CJ131" s="40">
        <f>(Sheet4!CJ130/2)</f>
        <v>0</v>
      </c>
      <c r="CK131" s="40">
        <f>(Sheet4!CK130/2)</f>
        <v>1</v>
      </c>
      <c r="CL131" s="40">
        <f>(Sheet4!CL130/2)</f>
        <v>0</v>
      </c>
      <c r="CM131" s="40">
        <f>(Sheet4!CM130/2)</f>
        <v>1</v>
      </c>
      <c r="CN131" s="40">
        <f>(Sheet4!CN130/2)</f>
        <v>0</v>
      </c>
      <c r="CO131" s="40">
        <f>(Sheet4!CO130/2)</f>
        <v>1</v>
      </c>
      <c r="CP131" s="40">
        <f>(Sheet4!CP130/2)</f>
        <v>0</v>
      </c>
      <c r="CQ131" s="40">
        <f>(Sheet4!CQ130/2)</f>
        <v>1</v>
      </c>
      <c r="CR131" s="40">
        <f>(Sheet4!CR130/2)</f>
        <v>0</v>
      </c>
      <c r="CS131" s="40">
        <f>(Sheet4!CS130/2)</f>
        <v>1</v>
      </c>
      <c r="CT131" s="40">
        <f>(Sheet4!CT130/2)</f>
        <v>0</v>
      </c>
      <c r="CU131" s="40">
        <f>(Sheet4!CU130/2)</f>
        <v>1.5</v>
      </c>
      <c r="CV131" s="40">
        <f>(Sheet4!CV130/2)</f>
        <v>0</v>
      </c>
      <c r="CW131" s="40">
        <f>(Sheet4!CW130/2)</f>
        <v>0</v>
      </c>
      <c r="CX131" s="40">
        <f>(Sheet4!CX130/2)</f>
        <v>1</v>
      </c>
      <c r="CY131" s="40">
        <f>(Sheet4!CY130/2)</f>
        <v>0</v>
      </c>
      <c r="CZ131" s="40">
        <f>(Sheet4!CZ130/2)</f>
        <v>1</v>
      </c>
      <c r="DA131" s="40">
        <f>(Sheet4!DA130/2)</f>
        <v>0</v>
      </c>
      <c r="DB131" s="40">
        <f>(Sheet4!DB130/2)</f>
        <v>0</v>
      </c>
      <c r="DC131" s="40">
        <f>(Sheet4!DC130/2)</f>
        <v>1</v>
      </c>
      <c r="DD131" s="40">
        <f>(Sheet4!DD130/2)</f>
        <v>0</v>
      </c>
      <c r="DE131" s="40">
        <f>(Sheet4!DE130/2)</f>
        <v>0</v>
      </c>
      <c r="DF131" s="40">
        <f>(Sheet4!DF130/2)</f>
        <v>1</v>
      </c>
      <c r="DG131" s="40">
        <f>(Sheet4!DG130/2)</f>
        <v>0</v>
      </c>
      <c r="DH131" s="40">
        <f>(Sheet4!DH130/2)</f>
        <v>0</v>
      </c>
      <c r="DI131" s="40">
        <f>(Sheet4!DI130/2)</f>
        <v>0</v>
      </c>
      <c r="DJ131" s="40">
        <f>(Sheet4!DJ130/2)</f>
        <v>0</v>
      </c>
      <c r="DK131" s="40">
        <f>(Sheet4!DK130/2)</f>
        <v>0</v>
      </c>
      <c r="DL131" s="40">
        <f>(Sheet4!DL130/2)</f>
        <v>0</v>
      </c>
      <c r="DM131" s="40">
        <f>(Sheet4!DM130/2)</f>
        <v>0</v>
      </c>
      <c r="DN131" s="40">
        <f>(Sheet4!DN130/2)</f>
        <v>0</v>
      </c>
      <c r="DO131" s="40">
        <f>(Sheet4!DO130/2)</f>
        <v>0</v>
      </c>
      <c r="DP131" s="40">
        <f>(Sheet4!DP130/2)</f>
        <v>0</v>
      </c>
      <c r="DQ131" s="40">
        <f>(Sheet4!DQ130/2)</f>
        <v>0</v>
      </c>
    </row>
    <row r="132" spans="1:121" ht="15.75" customHeight="1" x14ac:dyDescent="0.3">
      <c r="A132" s="40">
        <f>Sheet4!A131</f>
        <v>111</v>
      </c>
      <c r="B132" s="40" t="str">
        <f>Sheet4!B131</f>
        <v>ሰለሞን ሰጋሮ</v>
      </c>
      <c r="C132" s="26">
        <f>Sheet4!C131</f>
        <v>10500</v>
      </c>
      <c r="D132" s="40">
        <f>(Sheet4!D131/2)</f>
        <v>0.5</v>
      </c>
      <c r="E132" s="40">
        <f>(Sheet4!E131/2)</f>
        <v>0.5</v>
      </c>
      <c r="F132" s="40">
        <f>(Sheet4!F131/2)</f>
        <v>0.5</v>
      </c>
      <c r="G132" s="40">
        <f>(Sheet4!G131/2)</f>
        <v>0.5</v>
      </c>
      <c r="H132" s="40">
        <f>(Sheet4!H131/2)</f>
        <v>0.5</v>
      </c>
      <c r="I132" s="40">
        <f>(Sheet4!I131/2)</f>
        <v>0.5</v>
      </c>
      <c r="J132" s="40">
        <f>(Sheet4!J131/2)</f>
        <v>0.5</v>
      </c>
      <c r="K132" s="40">
        <f>(Sheet4!K131/2)</f>
        <v>0.5</v>
      </c>
      <c r="L132" s="40">
        <f>(Sheet4!L131/2)</f>
        <v>0.5</v>
      </c>
      <c r="M132" s="40">
        <f>(Sheet4!M131/2)</f>
        <v>0.5</v>
      </c>
      <c r="N132" s="40">
        <f>(Sheet4!N131/2)</f>
        <v>0.5</v>
      </c>
      <c r="O132" s="40">
        <f>(Sheet4!O131/2)</f>
        <v>0.5</v>
      </c>
      <c r="P132" s="40">
        <f>(Sheet4!P131/2)</f>
        <v>0.5</v>
      </c>
      <c r="Q132" s="40">
        <f>(Sheet4!Q131/2)</f>
        <v>0.5</v>
      </c>
      <c r="R132" s="40">
        <f>(Sheet4!R131/2)</f>
        <v>0.5</v>
      </c>
      <c r="S132" s="40">
        <f>(Sheet4!S131/2)</f>
        <v>0.5</v>
      </c>
      <c r="T132" s="40">
        <f>(Sheet4!T131/2)</f>
        <v>0.5</v>
      </c>
      <c r="U132" s="40">
        <f>(Sheet4!U131/2)</f>
        <v>0.5</v>
      </c>
      <c r="V132" s="40">
        <f>(Sheet4!V131/2)</f>
        <v>0.5</v>
      </c>
      <c r="W132" s="40">
        <f>(Sheet4!W131/2)</f>
        <v>0.5</v>
      </c>
      <c r="X132" s="40">
        <f>(Sheet4!X131/2)</f>
        <v>0.5</v>
      </c>
      <c r="Y132" s="40">
        <f>(Sheet4!Y131/2)</f>
        <v>0.5</v>
      </c>
      <c r="Z132" s="40">
        <f>(Sheet4!Z131/2)</f>
        <v>0.5</v>
      </c>
      <c r="AA132" s="40">
        <f>(Sheet4!AA131/2)</f>
        <v>0</v>
      </c>
      <c r="AB132" s="40">
        <f>(Sheet4!AB131/2)</f>
        <v>1</v>
      </c>
      <c r="AC132" s="40">
        <f>(Sheet4!AC131/2)</f>
        <v>0.5</v>
      </c>
      <c r="AD132" s="40">
        <f>(Sheet4!AD131/2)</f>
        <v>0.5</v>
      </c>
      <c r="AE132" s="40">
        <f>(Sheet4!AE131/2)</f>
        <v>0.5</v>
      </c>
      <c r="AF132" s="40">
        <f>(Sheet4!AF131/2)</f>
        <v>0.5</v>
      </c>
      <c r="AG132" s="40">
        <f>(Sheet4!AG131/2)</f>
        <v>0.5</v>
      </c>
      <c r="AH132" s="40">
        <f>(Sheet4!AH131/2)</f>
        <v>0.5</v>
      </c>
      <c r="AI132" s="40">
        <f>(Sheet4!AI131/2)</f>
        <v>0.5</v>
      </c>
      <c r="AJ132" s="40">
        <f>(Sheet4!AJ131/2)</f>
        <v>0.5</v>
      </c>
      <c r="AK132" s="40">
        <f>(Sheet4!AK131/2)</f>
        <v>0.5</v>
      </c>
      <c r="AL132" s="40">
        <f>(Sheet4!AL131/2)</f>
        <v>0.5</v>
      </c>
      <c r="AM132" s="40">
        <f>(Sheet4!AM131/2)</f>
        <v>0.5</v>
      </c>
      <c r="AN132" s="40">
        <f>(Sheet4!AN131/2)</f>
        <v>0.5</v>
      </c>
      <c r="AO132" s="40">
        <f>(Sheet4!AO131/2)</f>
        <v>0.5</v>
      </c>
      <c r="AP132" s="40">
        <f>(Sheet4!AP131/2)</f>
        <v>0.5</v>
      </c>
      <c r="AQ132" s="40">
        <f>(Sheet4!AQ131/2)</f>
        <v>0.5</v>
      </c>
      <c r="AR132" s="40">
        <f>(Sheet4!AR131/2)</f>
        <v>0.5</v>
      </c>
      <c r="AS132" s="40">
        <f>(Sheet4!AS131/2)</f>
        <v>0.5</v>
      </c>
      <c r="AT132" s="40">
        <f>(Sheet4!AT131/2)</f>
        <v>0</v>
      </c>
      <c r="AU132" s="40">
        <f>(Sheet4!AU131/2)</f>
        <v>0.5</v>
      </c>
      <c r="AV132" s="40">
        <f>(Sheet4!AV131/2)</f>
        <v>0.5</v>
      </c>
      <c r="AW132" s="40">
        <f>(Sheet4!AW131/2)</f>
        <v>0.5</v>
      </c>
      <c r="AX132" s="40">
        <f>(Sheet4!AX131/2)</f>
        <v>0.5</v>
      </c>
      <c r="AY132" s="40">
        <f>(Sheet4!AY131/2)</f>
        <v>0.5</v>
      </c>
      <c r="AZ132" s="40">
        <f>(Sheet4!AZ131/2)</f>
        <v>0</v>
      </c>
      <c r="BA132" s="40">
        <f>(Sheet4!BA131/2)</f>
        <v>1</v>
      </c>
      <c r="BB132" s="40">
        <f>(Sheet4!BB131/2)</f>
        <v>0</v>
      </c>
      <c r="BC132" s="40">
        <f>(Sheet4!BC131/2)</f>
        <v>1</v>
      </c>
      <c r="BD132" s="40">
        <f>(Sheet4!BD131/2)</f>
        <v>0.5</v>
      </c>
      <c r="BE132" s="40">
        <f>(Sheet4!BE131/2)</f>
        <v>0.5</v>
      </c>
      <c r="BF132" s="40">
        <f>(Sheet4!BF131/2)</f>
        <v>0.5</v>
      </c>
      <c r="BG132" s="40">
        <f>(Sheet4!BG131/2)</f>
        <v>0.5</v>
      </c>
      <c r="BH132" s="40">
        <f>(Sheet4!BH131/2)</f>
        <v>0.5</v>
      </c>
      <c r="BI132" s="40">
        <f>(Sheet4!BI131/2)</f>
        <v>0.5</v>
      </c>
      <c r="BJ132" s="40">
        <f>(Sheet4!BJ131/2)</f>
        <v>0.5</v>
      </c>
      <c r="BK132" s="40">
        <f>(Sheet4!BK131/2)</f>
        <v>0.5</v>
      </c>
      <c r="BL132" s="40">
        <f>(Sheet4!BL131/2)</f>
        <v>0</v>
      </c>
      <c r="BM132" s="40">
        <f>(Sheet4!BM131/2)</f>
        <v>0</v>
      </c>
      <c r="BN132" s="40">
        <f>(Sheet4!BN131/2)</f>
        <v>1.5</v>
      </c>
      <c r="BO132" s="40">
        <f>(Sheet4!BO131/2)</f>
        <v>0.5</v>
      </c>
      <c r="BP132" s="40">
        <f>(Sheet4!BP131/2)</f>
        <v>1</v>
      </c>
      <c r="BQ132" s="40">
        <f>(Sheet4!BQ131/2)</f>
        <v>0.5</v>
      </c>
      <c r="BR132" s="40">
        <f>(Sheet4!BR131/2)</f>
        <v>0.5</v>
      </c>
      <c r="BS132" s="40">
        <f>(Sheet4!BS131/2)</f>
        <v>0</v>
      </c>
      <c r="BT132" s="40">
        <f>(Sheet4!BT131/2)</f>
        <v>0</v>
      </c>
      <c r="BU132" s="40">
        <f>(Sheet4!BU131/2)</f>
        <v>1</v>
      </c>
      <c r="BV132" s="40">
        <f>(Sheet4!BV131/2)</f>
        <v>0.5</v>
      </c>
      <c r="BW132" s="40">
        <f>(Sheet4!BW131/2)</f>
        <v>0.5</v>
      </c>
      <c r="BX132" s="40">
        <f>(Sheet4!BX131/2)</f>
        <v>0.5</v>
      </c>
      <c r="BY132" s="40">
        <f>(Sheet4!BY131/2)</f>
        <v>0.5</v>
      </c>
      <c r="BZ132" s="40">
        <f>(Sheet4!BZ131/2)</f>
        <v>0.5</v>
      </c>
      <c r="CA132" s="40">
        <f>(Sheet4!CA131/2)</f>
        <v>0</v>
      </c>
      <c r="CB132" s="40">
        <f>(Sheet4!CB131/2)</f>
        <v>0.5</v>
      </c>
      <c r="CC132" s="40">
        <f>(Sheet4!CC131/2)</f>
        <v>0.5</v>
      </c>
      <c r="CD132" s="40">
        <f>(Sheet4!CD131/2)</f>
        <v>0</v>
      </c>
      <c r="CE132" s="40">
        <f>(Sheet4!CE131/2)</f>
        <v>1</v>
      </c>
      <c r="CF132" s="40">
        <f>(Sheet4!CF131/2)</f>
        <v>0</v>
      </c>
      <c r="CG132" s="40">
        <f>(Sheet4!CG131/2)</f>
        <v>1</v>
      </c>
      <c r="CH132" s="40">
        <f>(Sheet4!CH131/2)</f>
        <v>0</v>
      </c>
      <c r="CI132" s="40">
        <f>(Sheet4!CI131/2)</f>
        <v>1</v>
      </c>
      <c r="CJ132" s="40">
        <f>(Sheet4!CJ131/2)</f>
        <v>0</v>
      </c>
      <c r="CK132" s="40">
        <f>(Sheet4!CK131/2)</f>
        <v>1</v>
      </c>
      <c r="CL132" s="40">
        <f>(Sheet4!CL131/2)</f>
        <v>0</v>
      </c>
      <c r="CM132" s="40">
        <f>(Sheet4!CM131/2)</f>
        <v>1</v>
      </c>
      <c r="CN132" s="40">
        <f>(Sheet4!CN131/2)</f>
        <v>0</v>
      </c>
      <c r="CO132" s="40">
        <f>(Sheet4!CO131/2)</f>
        <v>1</v>
      </c>
      <c r="CP132" s="40">
        <f>(Sheet4!CP131/2)</f>
        <v>0</v>
      </c>
      <c r="CQ132" s="40">
        <f>(Sheet4!CQ131/2)</f>
        <v>1</v>
      </c>
      <c r="CR132" s="40">
        <f>(Sheet4!CR131/2)</f>
        <v>0</v>
      </c>
      <c r="CS132" s="40">
        <f>(Sheet4!CS131/2)</f>
        <v>0.5</v>
      </c>
      <c r="CT132" s="40">
        <f>(Sheet4!CT131/2)</f>
        <v>0</v>
      </c>
      <c r="CU132" s="40">
        <f>(Sheet4!CU131/2)</f>
        <v>0.5</v>
      </c>
      <c r="CV132" s="40">
        <f>(Sheet4!CV131/2)</f>
        <v>0.5</v>
      </c>
      <c r="CW132" s="40">
        <f>(Sheet4!CW131/2)</f>
        <v>0.5</v>
      </c>
      <c r="CX132" s="40">
        <f>(Sheet4!CX131/2)</f>
        <v>0.5</v>
      </c>
      <c r="CY132" s="40">
        <f>(Sheet4!CY131/2)</f>
        <v>0</v>
      </c>
      <c r="CZ132" s="40">
        <f>(Sheet4!CZ131/2)</f>
        <v>1</v>
      </c>
      <c r="DA132" s="40">
        <f>(Sheet4!DA131/2)</f>
        <v>0</v>
      </c>
      <c r="DB132" s="40">
        <f>(Sheet4!DB131/2)</f>
        <v>0</v>
      </c>
      <c r="DC132" s="40">
        <f>(Sheet4!DC131/2)</f>
        <v>1</v>
      </c>
      <c r="DD132" s="40">
        <f>(Sheet4!DD131/2)</f>
        <v>0</v>
      </c>
      <c r="DE132" s="40">
        <f>(Sheet4!DE131/2)</f>
        <v>1</v>
      </c>
      <c r="DF132" s="40">
        <f>(Sheet4!DF131/2)</f>
        <v>0</v>
      </c>
      <c r="DG132" s="40">
        <f>(Sheet4!DG131/2)</f>
        <v>0</v>
      </c>
      <c r="DH132" s="40">
        <f>(Sheet4!DH131/2)</f>
        <v>0</v>
      </c>
      <c r="DI132" s="40">
        <f>(Sheet4!DI131/2)</f>
        <v>0</v>
      </c>
      <c r="DJ132" s="40">
        <f>(Sheet4!DJ131/2)</f>
        <v>0</v>
      </c>
      <c r="DK132" s="40">
        <f>(Sheet4!DK131/2)</f>
        <v>0</v>
      </c>
      <c r="DL132" s="40">
        <f>(Sheet4!DL131/2)</f>
        <v>0</v>
      </c>
      <c r="DM132" s="40">
        <f>(Sheet4!DM131/2)</f>
        <v>0</v>
      </c>
      <c r="DN132" s="40">
        <f>(Sheet4!DN131/2)</f>
        <v>0</v>
      </c>
      <c r="DO132" s="40">
        <f>(Sheet4!DO131/2)</f>
        <v>0</v>
      </c>
      <c r="DP132" s="40">
        <f>(Sheet4!DP131/2)</f>
        <v>0</v>
      </c>
      <c r="DQ132" s="40">
        <f>(Sheet4!DQ131/2)</f>
        <v>0</v>
      </c>
    </row>
    <row r="133" spans="1:121" ht="15.75" customHeight="1" x14ac:dyDescent="0.3">
      <c r="A133" s="40">
        <f>Sheet4!A132</f>
        <v>112</v>
      </c>
      <c r="B133" s="40" t="str">
        <f>Sheet4!B132</f>
        <v>ማተጎ አመኖ</v>
      </c>
      <c r="C133" s="26">
        <f>Sheet4!C132</f>
        <v>10500</v>
      </c>
      <c r="D133" s="40">
        <f>(Sheet4!D132/2)</f>
        <v>0.5</v>
      </c>
      <c r="E133" s="40">
        <f>(Sheet4!E132/2)</f>
        <v>0.5</v>
      </c>
      <c r="F133" s="40">
        <f>(Sheet4!F132/2)</f>
        <v>0.5</v>
      </c>
      <c r="G133" s="40">
        <f>(Sheet4!G132/2)</f>
        <v>0.5</v>
      </c>
      <c r="H133" s="40">
        <f>(Sheet4!H132/2)</f>
        <v>0.5</v>
      </c>
      <c r="I133" s="40">
        <f>(Sheet4!I132/2)</f>
        <v>0.5</v>
      </c>
      <c r="J133" s="40">
        <f>(Sheet4!J132/2)</f>
        <v>0.5</v>
      </c>
      <c r="K133" s="40">
        <f>(Sheet4!K132/2)</f>
        <v>0.5</v>
      </c>
      <c r="L133" s="40">
        <f>(Sheet4!L132/2)</f>
        <v>0.5</v>
      </c>
      <c r="M133" s="40">
        <f>(Sheet4!M132/2)</f>
        <v>0.5</v>
      </c>
      <c r="N133" s="40">
        <f>(Sheet4!N132/2)</f>
        <v>0.5</v>
      </c>
      <c r="O133" s="40">
        <f>(Sheet4!O132/2)</f>
        <v>0.5</v>
      </c>
      <c r="P133" s="40">
        <f>(Sheet4!P132/2)</f>
        <v>0.5</v>
      </c>
      <c r="Q133" s="40">
        <f>(Sheet4!Q132/2)</f>
        <v>0.5</v>
      </c>
      <c r="R133" s="40">
        <f>(Sheet4!R132/2)</f>
        <v>0.5</v>
      </c>
      <c r="S133" s="40">
        <f>(Sheet4!S132/2)</f>
        <v>0.5</v>
      </c>
      <c r="T133" s="40">
        <f>(Sheet4!T132/2)</f>
        <v>0.5</v>
      </c>
      <c r="U133" s="40">
        <f>(Sheet4!U132/2)</f>
        <v>0.5</v>
      </c>
      <c r="V133" s="40">
        <f>(Sheet4!V132/2)</f>
        <v>0.5</v>
      </c>
      <c r="W133" s="40">
        <f>(Sheet4!W132/2)</f>
        <v>0.5</v>
      </c>
      <c r="X133" s="40">
        <f>(Sheet4!X132/2)</f>
        <v>0.5</v>
      </c>
      <c r="Y133" s="40">
        <f>(Sheet4!Y132/2)</f>
        <v>0.5</v>
      </c>
      <c r="Z133" s="40">
        <f>(Sheet4!Z132/2)</f>
        <v>0.5</v>
      </c>
      <c r="AA133" s="40">
        <f>(Sheet4!AA132/2)</f>
        <v>0</v>
      </c>
      <c r="AB133" s="40">
        <f>(Sheet4!AB132/2)</f>
        <v>1</v>
      </c>
      <c r="AC133" s="40">
        <f>(Sheet4!AC132/2)</f>
        <v>0.5</v>
      </c>
      <c r="AD133" s="40">
        <f>(Sheet4!AD132/2)</f>
        <v>0.5</v>
      </c>
      <c r="AE133" s="40">
        <f>(Sheet4!AE132/2)</f>
        <v>0</v>
      </c>
      <c r="AF133" s="40">
        <f>(Sheet4!AF132/2)</f>
        <v>1</v>
      </c>
      <c r="AG133" s="40">
        <f>(Sheet4!AG132/2)</f>
        <v>0</v>
      </c>
      <c r="AH133" s="40">
        <f>(Sheet4!AH132/2)</f>
        <v>1</v>
      </c>
      <c r="AI133" s="40">
        <f>(Sheet4!AI132/2)</f>
        <v>0</v>
      </c>
      <c r="AJ133" s="40">
        <f>(Sheet4!AJ132/2)</f>
        <v>1</v>
      </c>
      <c r="AK133" s="40">
        <f>(Sheet4!AK132/2)</f>
        <v>0.5</v>
      </c>
      <c r="AL133" s="40">
        <f>(Sheet4!AL132/2)</f>
        <v>0.5</v>
      </c>
      <c r="AM133" s="40">
        <f>(Sheet4!AM132/2)</f>
        <v>0.5</v>
      </c>
      <c r="AN133" s="40">
        <f>(Sheet4!AN132/2)</f>
        <v>0.5</v>
      </c>
      <c r="AO133" s="40">
        <f>(Sheet4!AO132/2)</f>
        <v>0.5</v>
      </c>
      <c r="AP133" s="40">
        <f>(Sheet4!AP132/2)</f>
        <v>0.5</v>
      </c>
      <c r="AQ133" s="40">
        <f>(Sheet4!AQ132/2)</f>
        <v>0.5</v>
      </c>
      <c r="AR133" s="40">
        <f>(Sheet4!AR132/2)</f>
        <v>0.5</v>
      </c>
      <c r="AS133" s="40">
        <f>(Sheet4!AS132/2)</f>
        <v>0.5</v>
      </c>
      <c r="AT133" s="40">
        <f>(Sheet4!AT132/2)</f>
        <v>0.5</v>
      </c>
      <c r="AU133" s="40">
        <f>(Sheet4!AU132/2)</f>
        <v>0.5</v>
      </c>
      <c r="AV133" s="40">
        <f>(Sheet4!AV132/2)</f>
        <v>0.5</v>
      </c>
      <c r="AW133" s="40">
        <f>(Sheet4!AW132/2)</f>
        <v>0.5</v>
      </c>
      <c r="AX133" s="40">
        <f>(Sheet4!AX132/2)</f>
        <v>0.5</v>
      </c>
      <c r="AY133" s="40">
        <f>(Sheet4!AY132/2)</f>
        <v>0</v>
      </c>
      <c r="AZ133" s="40">
        <f>(Sheet4!AZ132/2)</f>
        <v>1</v>
      </c>
      <c r="BA133" s="40">
        <f>(Sheet4!BA132/2)</f>
        <v>0.5</v>
      </c>
      <c r="BB133" s="40">
        <f>(Sheet4!BB132/2)</f>
        <v>0.5</v>
      </c>
      <c r="BC133" s="40">
        <f>(Sheet4!BC132/2)</f>
        <v>0</v>
      </c>
      <c r="BD133" s="40">
        <f>(Sheet4!BD132/2)</f>
        <v>1</v>
      </c>
      <c r="BE133" s="40">
        <f>(Sheet4!BE132/2)</f>
        <v>0.5</v>
      </c>
      <c r="BF133" s="40">
        <f>(Sheet4!BF132/2)</f>
        <v>0.5</v>
      </c>
      <c r="BG133" s="40">
        <f>(Sheet4!BG132/2)</f>
        <v>0</v>
      </c>
      <c r="BH133" s="40">
        <f>(Sheet4!BH132/2)</f>
        <v>1</v>
      </c>
      <c r="BI133" s="40">
        <f>(Sheet4!BI132/2)</f>
        <v>0.5</v>
      </c>
      <c r="BJ133" s="40">
        <f>(Sheet4!BJ132/2)</f>
        <v>0.5</v>
      </c>
      <c r="BK133" s="40">
        <f>(Sheet4!BK132/2)</f>
        <v>0</v>
      </c>
      <c r="BL133" s="40">
        <f>(Sheet4!BL132/2)</f>
        <v>1</v>
      </c>
      <c r="BM133" s="40">
        <f>(Sheet4!BM132/2)</f>
        <v>0.5</v>
      </c>
      <c r="BN133" s="40">
        <f>(Sheet4!BN132/2)</f>
        <v>0.5</v>
      </c>
      <c r="BO133" s="40">
        <f>(Sheet4!BO132/2)</f>
        <v>0</v>
      </c>
      <c r="BP133" s="40">
        <f>(Sheet4!BP132/2)</f>
        <v>1</v>
      </c>
      <c r="BQ133" s="40">
        <f>(Sheet4!BQ132/2)</f>
        <v>0.5</v>
      </c>
      <c r="BR133" s="40">
        <f>(Sheet4!BR132/2)</f>
        <v>0.5</v>
      </c>
      <c r="BS133" s="40">
        <f>(Sheet4!BS132/2)</f>
        <v>0</v>
      </c>
      <c r="BT133" s="40">
        <f>(Sheet4!BT132/2)</f>
        <v>0.5</v>
      </c>
      <c r="BU133" s="40">
        <f>(Sheet4!BU132/2)</f>
        <v>0.5</v>
      </c>
      <c r="BV133" s="40">
        <f>(Sheet4!BV132/2)</f>
        <v>1</v>
      </c>
      <c r="BW133" s="40">
        <f>(Sheet4!BW132/2)</f>
        <v>0.5</v>
      </c>
      <c r="BX133" s="40">
        <f>(Sheet4!BX132/2)</f>
        <v>0.5</v>
      </c>
      <c r="BY133" s="40">
        <f>(Sheet4!BY132/2)</f>
        <v>0.5</v>
      </c>
      <c r="BZ133" s="40">
        <f>(Sheet4!BZ132/2)</f>
        <v>0.5</v>
      </c>
      <c r="CA133" s="40">
        <f>(Sheet4!CA132/2)</f>
        <v>0.5</v>
      </c>
      <c r="CB133" s="40">
        <f>(Sheet4!CB132/2)</f>
        <v>0.5</v>
      </c>
      <c r="CC133" s="40">
        <f>(Sheet4!CC132/2)</f>
        <v>0.5</v>
      </c>
      <c r="CD133" s="40">
        <f>(Sheet4!CD132/2)</f>
        <v>0</v>
      </c>
      <c r="CE133" s="40">
        <f>(Sheet4!CE132/2)</f>
        <v>0.5</v>
      </c>
      <c r="CF133" s="40">
        <f>(Sheet4!CF132/2)</f>
        <v>0.5</v>
      </c>
      <c r="CG133" s="40">
        <f>(Sheet4!CG132/2)</f>
        <v>0.5</v>
      </c>
      <c r="CH133" s="40">
        <f>(Sheet4!CH132/2)</f>
        <v>0.5</v>
      </c>
      <c r="CI133" s="40">
        <f>(Sheet4!CI132/2)</f>
        <v>0.5</v>
      </c>
      <c r="CJ133" s="40">
        <f>(Sheet4!CJ132/2)</f>
        <v>0.5</v>
      </c>
      <c r="CK133" s="40">
        <f>(Sheet4!CK132/2)</f>
        <v>0.5</v>
      </c>
      <c r="CL133" s="40">
        <f>(Sheet4!CL132/2)</f>
        <v>0.5</v>
      </c>
      <c r="CM133" s="40">
        <f>(Sheet4!CM132/2)</f>
        <v>0.5</v>
      </c>
      <c r="CN133" s="40">
        <f>(Sheet4!CN132/2)</f>
        <v>0.5</v>
      </c>
      <c r="CO133" s="40">
        <f>(Sheet4!CO132/2)</f>
        <v>0.5</v>
      </c>
      <c r="CP133" s="40">
        <f>(Sheet4!CP132/2)</f>
        <v>1</v>
      </c>
      <c r="CQ133" s="40">
        <f>(Sheet4!CQ132/2)</f>
        <v>0</v>
      </c>
      <c r="CR133" s="40">
        <f>(Sheet4!CR132/2)</f>
        <v>0.5</v>
      </c>
      <c r="CS133" s="40">
        <f>(Sheet4!CS132/2)</f>
        <v>0.5</v>
      </c>
      <c r="CT133" s="40">
        <f>(Sheet4!CT132/2)</f>
        <v>0.5</v>
      </c>
      <c r="CU133" s="40">
        <f>(Sheet4!CU132/2)</f>
        <v>0.5</v>
      </c>
      <c r="CV133" s="40">
        <f>(Sheet4!CV132/2)</f>
        <v>0.5</v>
      </c>
      <c r="CW133" s="40">
        <f>(Sheet4!CW132/2)</f>
        <v>0.5</v>
      </c>
      <c r="CX133" s="40">
        <f>(Sheet4!CX132/2)</f>
        <v>0.5</v>
      </c>
      <c r="CY133" s="40">
        <f>(Sheet4!CY132/2)</f>
        <v>0</v>
      </c>
      <c r="CZ133" s="40">
        <f>(Sheet4!CZ132/2)</f>
        <v>0.5</v>
      </c>
      <c r="DA133" s="40">
        <f>(Sheet4!DA132/2)</f>
        <v>0.5</v>
      </c>
      <c r="DB133" s="40">
        <f>(Sheet4!DB132/2)</f>
        <v>0.5</v>
      </c>
      <c r="DC133" s="40">
        <f>(Sheet4!DC132/2)</f>
        <v>0</v>
      </c>
      <c r="DD133" s="40">
        <f>(Sheet4!DD132/2)</f>
        <v>1</v>
      </c>
      <c r="DE133" s="40">
        <f>(Sheet4!DE132/2)</f>
        <v>0.5</v>
      </c>
      <c r="DF133" s="40">
        <f>(Sheet4!DF132/2)</f>
        <v>0.5</v>
      </c>
      <c r="DG133" s="40">
        <f>(Sheet4!DG132/2)</f>
        <v>0.5</v>
      </c>
      <c r="DH133" s="40">
        <f>(Sheet4!DH132/2)</f>
        <v>0</v>
      </c>
      <c r="DI133" s="40">
        <f>(Sheet4!DI132/2)</f>
        <v>0</v>
      </c>
      <c r="DJ133" s="40">
        <f>(Sheet4!DJ132/2)</f>
        <v>0</v>
      </c>
      <c r="DK133" s="40">
        <f>(Sheet4!DK132/2)</f>
        <v>0</v>
      </c>
      <c r="DL133" s="40">
        <f>(Sheet4!DL132/2)</f>
        <v>0</v>
      </c>
      <c r="DM133" s="40">
        <f>(Sheet4!DM132/2)</f>
        <v>0</v>
      </c>
      <c r="DN133" s="40">
        <f>(Sheet4!DN132/2)</f>
        <v>0</v>
      </c>
      <c r="DO133" s="40">
        <f>(Sheet4!DO132/2)</f>
        <v>0</v>
      </c>
      <c r="DP133" s="40">
        <f>(Sheet4!DP132/2)</f>
        <v>0</v>
      </c>
      <c r="DQ133" s="40">
        <f>(Sheet4!DQ132/2)</f>
        <v>0</v>
      </c>
    </row>
    <row r="134" spans="1:121" ht="15.75" customHeight="1" x14ac:dyDescent="0.3">
      <c r="A134" s="40">
        <f>Sheet4!A133</f>
        <v>112</v>
      </c>
      <c r="B134" s="40" t="str">
        <f>Sheet4!B133</f>
        <v>አማኑኤል አየለ</v>
      </c>
      <c r="C134" s="26">
        <f>Sheet4!C133</f>
        <v>10500</v>
      </c>
      <c r="D134" s="40">
        <f>(Sheet4!D133/2)</f>
        <v>0.5</v>
      </c>
      <c r="E134" s="40">
        <f>(Sheet4!E133/2)</f>
        <v>0.5</v>
      </c>
      <c r="F134" s="40">
        <f>(Sheet4!F133/2)</f>
        <v>0.5</v>
      </c>
      <c r="G134" s="40">
        <f>(Sheet4!G133/2)</f>
        <v>0.5</v>
      </c>
      <c r="H134" s="40">
        <f>(Sheet4!H133/2)</f>
        <v>0.5</v>
      </c>
      <c r="I134" s="40">
        <f>(Sheet4!I133/2)</f>
        <v>0.5</v>
      </c>
      <c r="J134" s="40">
        <f>(Sheet4!J133/2)</f>
        <v>0.5</v>
      </c>
      <c r="K134" s="40">
        <f>(Sheet4!K133/2)</f>
        <v>0.5</v>
      </c>
      <c r="L134" s="40">
        <f>(Sheet4!L133/2)</f>
        <v>0.5</v>
      </c>
      <c r="M134" s="40">
        <f>(Sheet4!M133/2)</f>
        <v>0.5</v>
      </c>
      <c r="N134" s="40">
        <f>(Sheet4!N133/2)</f>
        <v>0.5</v>
      </c>
      <c r="O134" s="40">
        <f>(Sheet4!O133/2)</f>
        <v>0.5</v>
      </c>
      <c r="P134" s="40">
        <f>(Sheet4!P133/2)</f>
        <v>0.5</v>
      </c>
      <c r="Q134" s="40">
        <f>(Sheet4!Q133/2)</f>
        <v>0.5</v>
      </c>
      <c r="R134" s="40">
        <f>(Sheet4!R133/2)</f>
        <v>0.5</v>
      </c>
      <c r="S134" s="40">
        <f>(Sheet4!S133/2)</f>
        <v>0.5</v>
      </c>
      <c r="T134" s="40">
        <f>(Sheet4!T133/2)</f>
        <v>0.5</v>
      </c>
      <c r="U134" s="40">
        <f>(Sheet4!U133/2)</f>
        <v>0.5</v>
      </c>
      <c r="V134" s="40">
        <f>(Sheet4!V133/2)</f>
        <v>0.5</v>
      </c>
      <c r="W134" s="40">
        <f>(Sheet4!W133/2)</f>
        <v>0.5</v>
      </c>
      <c r="X134" s="40">
        <f>(Sheet4!X133/2)</f>
        <v>0.5</v>
      </c>
      <c r="Y134" s="40">
        <f>(Sheet4!Y133/2)</f>
        <v>0.5</v>
      </c>
      <c r="Z134" s="40">
        <f>(Sheet4!Z133/2)</f>
        <v>0.5</v>
      </c>
      <c r="AA134" s="40">
        <f>(Sheet4!AA133/2)</f>
        <v>0</v>
      </c>
      <c r="AB134" s="40">
        <f>(Sheet4!AB133/2)</f>
        <v>1</v>
      </c>
      <c r="AC134" s="40">
        <f>(Sheet4!AC133/2)</f>
        <v>0.5</v>
      </c>
      <c r="AD134" s="40">
        <f>(Sheet4!AD133/2)</f>
        <v>0.5</v>
      </c>
      <c r="AE134" s="40">
        <f>(Sheet4!AE133/2)</f>
        <v>0</v>
      </c>
      <c r="AF134" s="40">
        <f>(Sheet4!AF133/2)</f>
        <v>1</v>
      </c>
      <c r="AG134" s="40">
        <f>(Sheet4!AG133/2)</f>
        <v>0.5</v>
      </c>
      <c r="AH134" s="40">
        <f>(Sheet4!AH133/2)</f>
        <v>0.5</v>
      </c>
      <c r="AI134" s="40">
        <f>(Sheet4!AI133/2)</f>
        <v>0</v>
      </c>
      <c r="AJ134" s="40">
        <f>(Sheet4!AJ133/2)</f>
        <v>1</v>
      </c>
      <c r="AK134" s="40">
        <f>(Sheet4!AK133/2)</f>
        <v>0.5</v>
      </c>
      <c r="AL134" s="40">
        <f>(Sheet4!AL133/2)</f>
        <v>0.5</v>
      </c>
      <c r="AM134" s="40">
        <f>(Sheet4!AM133/2)</f>
        <v>0.5</v>
      </c>
      <c r="AN134" s="40">
        <f>(Sheet4!AN133/2)</f>
        <v>0.5</v>
      </c>
      <c r="AO134" s="40">
        <f>(Sheet4!AO133/2)</f>
        <v>0.5</v>
      </c>
      <c r="AP134" s="40">
        <f>(Sheet4!AP133/2)</f>
        <v>0.5</v>
      </c>
      <c r="AQ134" s="40">
        <f>(Sheet4!AQ133/2)</f>
        <v>0.5</v>
      </c>
      <c r="AR134" s="40">
        <f>(Sheet4!AR133/2)</f>
        <v>0.5</v>
      </c>
      <c r="AS134" s="40">
        <f>(Sheet4!AS133/2)</f>
        <v>0.5</v>
      </c>
      <c r="AT134" s="40">
        <f>(Sheet4!AT133/2)</f>
        <v>0.5</v>
      </c>
      <c r="AU134" s="40">
        <f>(Sheet4!AU133/2)</f>
        <v>0.5</v>
      </c>
      <c r="AV134" s="40">
        <f>(Sheet4!AV133/2)</f>
        <v>0.5</v>
      </c>
      <c r="AW134" s="40">
        <f>(Sheet4!AW133/2)</f>
        <v>0.5</v>
      </c>
      <c r="AX134" s="40">
        <f>(Sheet4!AX133/2)</f>
        <v>0.5</v>
      </c>
      <c r="AY134" s="40">
        <f>(Sheet4!AY133/2)</f>
        <v>0</v>
      </c>
      <c r="AZ134" s="40">
        <f>(Sheet4!AZ133/2)</f>
        <v>1</v>
      </c>
      <c r="BA134" s="40">
        <f>(Sheet4!BA133/2)</f>
        <v>0.5</v>
      </c>
      <c r="BB134" s="40">
        <f>(Sheet4!BB133/2)</f>
        <v>0.5</v>
      </c>
      <c r="BC134" s="40">
        <f>(Sheet4!BC133/2)</f>
        <v>0</v>
      </c>
      <c r="BD134" s="40">
        <f>(Sheet4!BD133/2)</f>
        <v>1</v>
      </c>
      <c r="BE134" s="40">
        <f>(Sheet4!BE133/2)</f>
        <v>0.5</v>
      </c>
      <c r="BF134" s="40">
        <f>(Sheet4!BF133/2)</f>
        <v>0.5</v>
      </c>
      <c r="BG134" s="40">
        <f>(Sheet4!BG133/2)</f>
        <v>0</v>
      </c>
      <c r="BH134" s="40">
        <f>(Sheet4!BH133/2)</f>
        <v>1</v>
      </c>
      <c r="BI134" s="40">
        <f>(Sheet4!BI133/2)</f>
        <v>0.5</v>
      </c>
      <c r="BJ134" s="40">
        <f>(Sheet4!BJ133/2)</f>
        <v>0.5</v>
      </c>
      <c r="BK134" s="40">
        <f>(Sheet4!BK133/2)</f>
        <v>0</v>
      </c>
      <c r="BL134" s="40">
        <f>(Sheet4!BL133/2)</f>
        <v>1</v>
      </c>
      <c r="BM134" s="40">
        <f>(Sheet4!BM133/2)</f>
        <v>0.5</v>
      </c>
      <c r="BN134" s="40">
        <f>(Sheet4!BN133/2)</f>
        <v>0.5</v>
      </c>
      <c r="BO134" s="40">
        <f>(Sheet4!BO133/2)</f>
        <v>0</v>
      </c>
      <c r="BP134" s="40">
        <f>(Sheet4!BP133/2)</f>
        <v>0</v>
      </c>
      <c r="BQ134" s="40">
        <f>(Sheet4!BQ133/2)</f>
        <v>1.5</v>
      </c>
      <c r="BR134" s="40">
        <f>(Sheet4!BR133/2)</f>
        <v>0.5</v>
      </c>
      <c r="BS134" s="40">
        <f>(Sheet4!BS133/2)</f>
        <v>0</v>
      </c>
      <c r="BT134" s="40">
        <f>(Sheet4!BT133/2)</f>
        <v>0.5</v>
      </c>
      <c r="BU134" s="40">
        <f>(Sheet4!BU133/2)</f>
        <v>0.5</v>
      </c>
      <c r="BV134" s="40">
        <f>(Sheet4!BV133/2)</f>
        <v>1</v>
      </c>
      <c r="BW134" s="40">
        <f>(Sheet4!BW133/2)</f>
        <v>0.5</v>
      </c>
      <c r="BX134" s="40">
        <f>(Sheet4!BX133/2)</f>
        <v>0.5</v>
      </c>
      <c r="BY134" s="40">
        <f>(Sheet4!BY133/2)</f>
        <v>0.5</v>
      </c>
      <c r="BZ134" s="40">
        <f>(Sheet4!BZ133/2)</f>
        <v>0.5</v>
      </c>
      <c r="CA134" s="40">
        <f>(Sheet4!CA133/2)</f>
        <v>0.5</v>
      </c>
      <c r="CB134" s="40">
        <f>(Sheet4!CB133/2)</f>
        <v>0.5</v>
      </c>
      <c r="CC134" s="40">
        <f>(Sheet4!CC133/2)</f>
        <v>0.5</v>
      </c>
      <c r="CD134" s="40">
        <f>(Sheet4!CD133/2)</f>
        <v>0</v>
      </c>
      <c r="CE134" s="40">
        <f>(Sheet4!CE133/2)</f>
        <v>1</v>
      </c>
      <c r="CF134" s="40">
        <f>(Sheet4!CF133/2)</f>
        <v>0.5</v>
      </c>
      <c r="CG134" s="40">
        <f>(Sheet4!CG133/2)</f>
        <v>0.5</v>
      </c>
      <c r="CH134" s="40">
        <f>(Sheet4!CH133/2)</f>
        <v>0.5</v>
      </c>
      <c r="CI134" s="40">
        <f>(Sheet4!CI133/2)</f>
        <v>0.5</v>
      </c>
      <c r="CJ134" s="40">
        <f>(Sheet4!CJ133/2)</f>
        <v>0.5</v>
      </c>
      <c r="CK134" s="40">
        <f>(Sheet4!CK133/2)</f>
        <v>0.5</v>
      </c>
      <c r="CL134" s="40">
        <f>(Sheet4!CL133/2)</f>
        <v>0.5</v>
      </c>
      <c r="CM134" s="40">
        <f>(Sheet4!CM133/2)</f>
        <v>0.5</v>
      </c>
      <c r="CN134" s="40">
        <f>(Sheet4!CN133/2)</f>
        <v>0</v>
      </c>
      <c r="CO134" s="40">
        <f>(Sheet4!CO133/2)</f>
        <v>0.5</v>
      </c>
      <c r="CP134" s="40">
        <f>(Sheet4!CP133/2)</f>
        <v>0.5</v>
      </c>
      <c r="CQ134" s="40">
        <f>(Sheet4!CQ133/2)</f>
        <v>0</v>
      </c>
      <c r="CR134" s="40">
        <f>(Sheet4!CR133/2)</f>
        <v>1</v>
      </c>
      <c r="CS134" s="40">
        <f>(Sheet4!CS133/2)</f>
        <v>0.5</v>
      </c>
      <c r="CT134" s="40">
        <f>(Sheet4!CT133/2)</f>
        <v>0</v>
      </c>
      <c r="CU134" s="40">
        <f>(Sheet4!CU133/2)</f>
        <v>1</v>
      </c>
      <c r="CV134" s="40">
        <f>(Sheet4!CV133/2)</f>
        <v>0.5</v>
      </c>
      <c r="CW134" s="40">
        <f>(Sheet4!CW133/2)</f>
        <v>0.5</v>
      </c>
      <c r="CX134" s="40">
        <f>(Sheet4!CX133/2)</f>
        <v>0.5</v>
      </c>
      <c r="CY134" s="40">
        <f>(Sheet4!CY133/2)</f>
        <v>0</v>
      </c>
      <c r="CZ134" s="40">
        <f>(Sheet4!CZ133/2)</f>
        <v>0.5</v>
      </c>
      <c r="DA134" s="40">
        <f>(Sheet4!DA133/2)</f>
        <v>0.5</v>
      </c>
      <c r="DB134" s="40">
        <f>(Sheet4!DB133/2)</f>
        <v>0.5</v>
      </c>
      <c r="DC134" s="40">
        <f>(Sheet4!DC133/2)</f>
        <v>0</v>
      </c>
      <c r="DD134" s="40">
        <f>(Sheet4!DD133/2)</f>
        <v>0</v>
      </c>
      <c r="DE134" s="40">
        <f>(Sheet4!DE133/2)</f>
        <v>0.5</v>
      </c>
      <c r="DF134" s="40">
        <f>(Sheet4!DF133/2)</f>
        <v>0.5</v>
      </c>
      <c r="DG134" s="40">
        <f>(Sheet4!DG133/2)</f>
        <v>0.5</v>
      </c>
      <c r="DH134" s="40">
        <f>(Sheet4!DH133/2)</f>
        <v>0</v>
      </c>
      <c r="DI134" s="40">
        <f>(Sheet4!DI133/2)</f>
        <v>0</v>
      </c>
      <c r="DJ134" s="40">
        <f>(Sheet4!DJ133/2)</f>
        <v>0</v>
      </c>
      <c r="DK134" s="40">
        <f>(Sheet4!DK133/2)</f>
        <v>0</v>
      </c>
      <c r="DL134" s="40">
        <f>(Sheet4!DL133/2)</f>
        <v>0</v>
      </c>
      <c r="DM134" s="40">
        <f>(Sheet4!DM133/2)</f>
        <v>0</v>
      </c>
      <c r="DN134" s="40">
        <f>(Sheet4!DN133/2)</f>
        <v>0</v>
      </c>
      <c r="DO134" s="40">
        <f>(Sheet4!DO133/2)</f>
        <v>0</v>
      </c>
      <c r="DP134" s="40">
        <f>(Sheet4!DP133/2)</f>
        <v>0</v>
      </c>
      <c r="DQ134" s="40">
        <f>(Sheet4!DQ133/2)</f>
        <v>0</v>
      </c>
    </row>
    <row r="135" spans="1:121" ht="15.75" customHeight="1" x14ac:dyDescent="0.3">
      <c r="A135" s="40">
        <f>Sheet4!A134</f>
        <v>113</v>
      </c>
      <c r="B135" s="40" t="str">
        <f>Sheet4!B134</f>
        <v>ጋሻቸዉ ሀብቱ</v>
      </c>
      <c r="C135" s="26">
        <f>Sheet4!C134</f>
        <v>10500</v>
      </c>
      <c r="D135" s="40">
        <f>(Sheet4!D134/2)</f>
        <v>0.5</v>
      </c>
      <c r="E135" s="40">
        <f>(Sheet4!E134/2)</f>
        <v>0.5</v>
      </c>
      <c r="F135" s="40">
        <f>(Sheet4!F134/2)</f>
        <v>0.5</v>
      </c>
      <c r="G135" s="40">
        <f>(Sheet4!G134/2)</f>
        <v>0.5</v>
      </c>
      <c r="H135" s="40">
        <f>(Sheet4!H134/2)</f>
        <v>0.5</v>
      </c>
      <c r="I135" s="40">
        <f>(Sheet4!I134/2)</f>
        <v>0.5</v>
      </c>
      <c r="J135" s="40">
        <f>(Sheet4!J134/2)</f>
        <v>0.5</v>
      </c>
      <c r="K135" s="40">
        <f>(Sheet4!K134/2)</f>
        <v>0.5</v>
      </c>
      <c r="L135" s="40">
        <f>(Sheet4!L134/2)</f>
        <v>0.5</v>
      </c>
      <c r="M135" s="40">
        <f>(Sheet4!M134/2)</f>
        <v>0.5</v>
      </c>
      <c r="N135" s="40">
        <f>(Sheet4!N134/2)</f>
        <v>0.5</v>
      </c>
      <c r="O135" s="40">
        <f>(Sheet4!O134/2)</f>
        <v>0.5</v>
      </c>
      <c r="P135" s="40">
        <f>(Sheet4!P134/2)</f>
        <v>0.5</v>
      </c>
      <c r="Q135" s="40">
        <f>(Sheet4!Q134/2)</f>
        <v>0.5</v>
      </c>
      <c r="R135" s="40">
        <f>(Sheet4!R134/2)</f>
        <v>0.5</v>
      </c>
      <c r="S135" s="40">
        <f>(Sheet4!S134/2)</f>
        <v>0.5</v>
      </c>
      <c r="T135" s="40">
        <f>(Sheet4!T134/2)</f>
        <v>0.5</v>
      </c>
      <c r="U135" s="40">
        <f>(Sheet4!U134/2)</f>
        <v>0.5</v>
      </c>
      <c r="V135" s="40">
        <f>(Sheet4!V134/2)</f>
        <v>0.5</v>
      </c>
      <c r="W135" s="40">
        <f>(Sheet4!W134/2)</f>
        <v>0.5</v>
      </c>
      <c r="X135" s="40">
        <f>(Sheet4!X134/2)</f>
        <v>0.5</v>
      </c>
      <c r="Y135" s="40">
        <f>(Sheet4!Y134/2)</f>
        <v>0.5</v>
      </c>
      <c r="Z135" s="40">
        <f>(Sheet4!Z134/2)</f>
        <v>0.5</v>
      </c>
      <c r="AA135" s="40">
        <f>(Sheet4!AA134/2)</f>
        <v>0.5</v>
      </c>
      <c r="AB135" s="40">
        <f>(Sheet4!AB134/2)</f>
        <v>0.5</v>
      </c>
      <c r="AC135" s="40">
        <f>(Sheet4!AC134/2)</f>
        <v>0.5</v>
      </c>
      <c r="AD135" s="40">
        <f>(Sheet4!AD134/2)</f>
        <v>0.5</v>
      </c>
      <c r="AE135" s="40">
        <f>(Sheet4!AE134/2)</f>
        <v>0.5</v>
      </c>
      <c r="AF135" s="40">
        <f>(Sheet4!AF134/2)</f>
        <v>0.5</v>
      </c>
      <c r="AG135" s="40">
        <f>(Sheet4!AG134/2)</f>
        <v>0.5</v>
      </c>
      <c r="AH135" s="40">
        <f>(Sheet4!AH134/2)</f>
        <v>0.5</v>
      </c>
      <c r="AI135" s="40">
        <f>(Sheet4!AI134/2)</f>
        <v>0.5</v>
      </c>
      <c r="AJ135" s="40">
        <f>(Sheet4!AJ134/2)</f>
        <v>0.5</v>
      </c>
      <c r="AK135" s="40">
        <f>(Sheet4!AK134/2)</f>
        <v>0.5</v>
      </c>
      <c r="AL135" s="40">
        <f>(Sheet4!AL134/2)</f>
        <v>0.5</v>
      </c>
      <c r="AM135" s="40">
        <f>(Sheet4!AM134/2)</f>
        <v>0.5</v>
      </c>
      <c r="AN135" s="40">
        <f>(Sheet4!AN134/2)</f>
        <v>0.5</v>
      </c>
      <c r="AO135" s="40">
        <f>(Sheet4!AO134/2)</f>
        <v>0.5</v>
      </c>
      <c r="AP135" s="40">
        <f>(Sheet4!AP134/2)</f>
        <v>0</v>
      </c>
      <c r="AQ135" s="40">
        <f>(Sheet4!AQ134/2)</f>
        <v>1</v>
      </c>
      <c r="AR135" s="40">
        <f>(Sheet4!AR134/2)</f>
        <v>0.5</v>
      </c>
      <c r="AS135" s="40">
        <f>(Sheet4!AS134/2)</f>
        <v>0.5</v>
      </c>
      <c r="AT135" s="40">
        <f>(Sheet4!AT134/2)</f>
        <v>0.5</v>
      </c>
      <c r="AU135" s="40">
        <f>(Sheet4!AU134/2)</f>
        <v>0</v>
      </c>
      <c r="AV135" s="40">
        <f>(Sheet4!AV134/2)</f>
        <v>0.5</v>
      </c>
      <c r="AW135" s="40">
        <f>(Sheet4!AW134/2)</f>
        <v>0.5</v>
      </c>
      <c r="AX135" s="40">
        <f>(Sheet4!AX134/2)</f>
        <v>0.5</v>
      </c>
      <c r="AY135" s="40">
        <f>(Sheet4!AY134/2)</f>
        <v>0.5</v>
      </c>
      <c r="AZ135" s="40">
        <f>(Sheet4!AZ134/2)</f>
        <v>0.5</v>
      </c>
      <c r="BA135" s="40">
        <f>(Sheet4!BA134/2)</f>
        <v>0.5</v>
      </c>
      <c r="BB135" s="40">
        <f>(Sheet4!BB134/2)</f>
        <v>0.5</v>
      </c>
      <c r="BC135" s="40">
        <f>(Sheet4!BC134/2)</f>
        <v>0.5</v>
      </c>
      <c r="BD135" s="40">
        <f>(Sheet4!BD134/2)</f>
        <v>0.5</v>
      </c>
      <c r="BE135" s="40">
        <f>(Sheet4!BE134/2)</f>
        <v>0.5</v>
      </c>
      <c r="BF135" s="40">
        <f>(Sheet4!BF134/2)</f>
        <v>0.5</v>
      </c>
      <c r="BG135" s="40">
        <f>(Sheet4!BG134/2)</f>
        <v>0.5</v>
      </c>
      <c r="BH135" s="40">
        <f>(Sheet4!BH134/2)</f>
        <v>0.5</v>
      </c>
      <c r="BI135" s="40">
        <f>(Sheet4!BI134/2)</f>
        <v>0.5</v>
      </c>
      <c r="BJ135" s="40">
        <f>(Sheet4!BJ134/2)</f>
        <v>0.5</v>
      </c>
      <c r="BK135" s="40">
        <f>(Sheet4!BK134/2)</f>
        <v>0.5</v>
      </c>
      <c r="BL135" s="40">
        <f>(Sheet4!BL134/2)</f>
        <v>0.5</v>
      </c>
      <c r="BM135" s="40">
        <f>(Sheet4!BM134/2)</f>
        <v>0.5</v>
      </c>
      <c r="BN135" s="40">
        <f>(Sheet4!BN134/2)</f>
        <v>0.5</v>
      </c>
      <c r="BO135" s="40">
        <f>(Sheet4!BO134/2)</f>
        <v>1</v>
      </c>
      <c r="BP135" s="40">
        <f>(Sheet4!BP134/2)</f>
        <v>0.5</v>
      </c>
      <c r="BQ135" s="40">
        <f>(Sheet4!BQ134/2)</f>
        <v>0.5</v>
      </c>
      <c r="BR135" s="40">
        <f>(Sheet4!BR134/2)</f>
        <v>0.5</v>
      </c>
      <c r="BS135" s="40">
        <f>(Sheet4!BS134/2)</f>
        <v>0.5</v>
      </c>
      <c r="BT135" s="40">
        <f>(Sheet4!BT134/2)</f>
        <v>0.5</v>
      </c>
      <c r="BU135" s="40">
        <f>(Sheet4!BU134/2)</f>
        <v>0.5</v>
      </c>
      <c r="BV135" s="40">
        <f>(Sheet4!BV134/2)</f>
        <v>0.5</v>
      </c>
      <c r="BW135" s="40">
        <f>(Sheet4!BW134/2)</f>
        <v>0.5</v>
      </c>
      <c r="BX135" s="40">
        <f>(Sheet4!BX134/2)</f>
        <v>0.5</v>
      </c>
      <c r="BY135" s="40">
        <f>(Sheet4!BY134/2)</f>
        <v>0.5</v>
      </c>
      <c r="BZ135" s="40">
        <f>(Sheet4!BZ134/2)</f>
        <v>0.5</v>
      </c>
      <c r="CA135" s="40">
        <f>(Sheet4!CA134/2)</f>
        <v>0.5</v>
      </c>
      <c r="CB135" s="40">
        <f>(Sheet4!CB134/2)</f>
        <v>0.5</v>
      </c>
      <c r="CC135" s="40">
        <f>(Sheet4!CC134/2)</f>
        <v>0.5</v>
      </c>
      <c r="CD135" s="40">
        <f>(Sheet4!CD134/2)</f>
        <v>0.5</v>
      </c>
      <c r="CE135" s="40">
        <f>(Sheet4!CE134/2)</f>
        <v>0.5</v>
      </c>
      <c r="CF135" s="40">
        <f>(Sheet4!CF134/2)</f>
        <v>0.5</v>
      </c>
      <c r="CG135" s="40">
        <f>(Sheet4!CG134/2)</f>
        <v>0.5</v>
      </c>
      <c r="CH135" s="40">
        <f>(Sheet4!CH134/2)</f>
        <v>0.5</v>
      </c>
      <c r="CI135" s="40">
        <f>(Sheet4!CI134/2)</f>
        <v>0.5</v>
      </c>
      <c r="CJ135" s="40">
        <f>(Sheet4!CJ134/2)</f>
        <v>0.5</v>
      </c>
      <c r="CK135" s="40">
        <f>(Sheet4!CK134/2)</f>
        <v>0.5</v>
      </c>
      <c r="CL135" s="40">
        <f>(Sheet4!CL134/2)</f>
        <v>0</v>
      </c>
      <c r="CM135" s="40">
        <f>(Sheet4!CM134/2)</f>
        <v>1</v>
      </c>
      <c r="CN135" s="40">
        <f>(Sheet4!CN134/2)</f>
        <v>0.5</v>
      </c>
      <c r="CO135" s="40">
        <f>(Sheet4!CO134/2)</f>
        <v>0.5</v>
      </c>
      <c r="CP135" s="40">
        <f>(Sheet4!CP134/2)</f>
        <v>0.5</v>
      </c>
      <c r="CQ135" s="40">
        <f>(Sheet4!CQ134/2)</f>
        <v>0.5</v>
      </c>
      <c r="CR135" s="40">
        <f>(Sheet4!CR134/2)</f>
        <v>0.5</v>
      </c>
      <c r="CS135" s="40">
        <f>(Sheet4!CS134/2)</f>
        <v>0.5</v>
      </c>
      <c r="CT135" s="40">
        <f>(Sheet4!CT134/2)</f>
        <v>0.5</v>
      </c>
      <c r="CU135" s="40">
        <f>(Sheet4!CU134/2)</f>
        <v>0.5</v>
      </c>
      <c r="CV135" s="40">
        <f>(Sheet4!CV134/2)</f>
        <v>0.5</v>
      </c>
      <c r="CW135" s="40">
        <f>(Sheet4!CW134/2)</f>
        <v>0.5</v>
      </c>
      <c r="CX135" s="40">
        <f>(Sheet4!CX134/2)</f>
        <v>0.5</v>
      </c>
      <c r="CY135" s="40">
        <f>(Sheet4!CY134/2)</f>
        <v>0.5</v>
      </c>
      <c r="CZ135" s="40">
        <f>(Sheet4!CZ134/2)</f>
        <v>0.5</v>
      </c>
      <c r="DA135" s="40">
        <f>(Sheet4!DA134/2)</f>
        <v>0.5</v>
      </c>
      <c r="DB135" s="40">
        <f>(Sheet4!DB134/2)</f>
        <v>0.5</v>
      </c>
      <c r="DC135" s="40">
        <f>(Sheet4!DC134/2)</f>
        <v>0.5</v>
      </c>
      <c r="DD135" s="40">
        <f>(Sheet4!DD134/2)</f>
        <v>0.5</v>
      </c>
      <c r="DE135" s="40">
        <f>(Sheet4!DE134/2)</f>
        <v>0.5</v>
      </c>
      <c r="DF135" s="40">
        <f>(Sheet4!DF134/2)</f>
        <v>0.5</v>
      </c>
      <c r="DG135" s="40">
        <f>(Sheet4!DG134/2)</f>
        <v>0.5</v>
      </c>
      <c r="DH135" s="40">
        <f>(Sheet4!DH134/2)</f>
        <v>0</v>
      </c>
      <c r="DI135" s="40">
        <f>(Sheet4!DI134/2)</f>
        <v>0</v>
      </c>
      <c r="DJ135" s="40">
        <f>(Sheet4!DJ134/2)</f>
        <v>0</v>
      </c>
      <c r="DK135" s="40">
        <f>(Sheet4!DK134/2)</f>
        <v>0</v>
      </c>
      <c r="DL135" s="40">
        <f>(Sheet4!DL134/2)</f>
        <v>0</v>
      </c>
      <c r="DM135" s="40">
        <f>(Sheet4!DM134/2)</f>
        <v>0</v>
      </c>
      <c r="DN135" s="40">
        <f>(Sheet4!DN134/2)</f>
        <v>0</v>
      </c>
      <c r="DO135" s="40">
        <f>(Sheet4!DO134/2)</f>
        <v>0</v>
      </c>
      <c r="DP135" s="40">
        <f>(Sheet4!DP134/2)</f>
        <v>0</v>
      </c>
      <c r="DQ135" s="40">
        <f>(Sheet4!DQ134/2)</f>
        <v>0</v>
      </c>
    </row>
    <row r="136" spans="1:121" ht="15.75" customHeight="1" x14ac:dyDescent="0.3">
      <c r="A136" s="40">
        <f>Sheet4!A135</f>
        <v>113</v>
      </c>
      <c r="B136" s="40" t="str">
        <f>Sheet4!B135</f>
        <v>ሚልክያስ እዩኤል</v>
      </c>
      <c r="C136" s="26">
        <f>Sheet4!C135</f>
        <v>10500</v>
      </c>
      <c r="D136" s="40">
        <f>(Sheet4!D135/2)</f>
        <v>0.5</v>
      </c>
      <c r="E136" s="40">
        <f>(Sheet4!E135/2)</f>
        <v>0.5</v>
      </c>
      <c r="F136" s="40">
        <f>(Sheet4!F135/2)</f>
        <v>0.5</v>
      </c>
      <c r="G136" s="40">
        <f>(Sheet4!G135/2)</f>
        <v>0.5</v>
      </c>
      <c r="H136" s="40">
        <f>(Sheet4!H135/2)</f>
        <v>0.5</v>
      </c>
      <c r="I136" s="40">
        <f>(Sheet4!I135/2)</f>
        <v>0.5</v>
      </c>
      <c r="J136" s="40">
        <f>(Sheet4!J135/2)</f>
        <v>0.5</v>
      </c>
      <c r="K136" s="40">
        <f>(Sheet4!K135/2)</f>
        <v>0.5</v>
      </c>
      <c r="L136" s="40">
        <f>(Sheet4!L135/2)</f>
        <v>0.5</v>
      </c>
      <c r="M136" s="40">
        <f>(Sheet4!M135/2)</f>
        <v>0.5</v>
      </c>
      <c r="N136" s="40">
        <f>(Sheet4!N135/2)</f>
        <v>0.5</v>
      </c>
      <c r="O136" s="40">
        <f>(Sheet4!O135/2)</f>
        <v>0.5</v>
      </c>
      <c r="P136" s="40">
        <f>(Sheet4!P135/2)</f>
        <v>0.5</v>
      </c>
      <c r="Q136" s="40">
        <f>(Sheet4!Q135/2)</f>
        <v>0.5</v>
      </c>
      <c r="R136" s="40">
        <f>(Sheet4!R135/2)</f>
        <v>0.5</v>
      </c>
      <c r="S136" s="40">
        <f>(Sheet4!S135/2)</f>
        <v>0.5</v>
      </c>
      <c r="T136" s="40">
        <f>(Sheet4!T135/2)</f>
        <v>0.5</v>
      </c>
      <c r="U136" s="40">
        <f>(Sheet4!U135/2)</f>
        <v>0.5</v>
      </c>
      <c r="V136" s="40">
        <f>(Sheet4!V135/2)</f>
        <v>0.5</v>
      </c>
      <c r="W136" s="40">
        <f>(Sheet4!W135/2)</f>
        <v>0.5</v>
      </c>
      <c r="X136" s="40">
        <f>(Sheet4!X135/2)</f>
        <v>0.5</v>
      </c>
      <c r="Y136" s="40">
        <f>(Sheet4!Y135/2)</f>
        <v>0.5</v>
      </c>
      <c r="Z136" s="40">
        <f>(Sheet4!Z135/2)</f>
        <v>0.5</v>
      </c>
      <c r="AA136" s="40">
        <f>(Sheet4!AA135/2)</f>
        <v>0</v>
      </c>
      <c r="AB136" s="40">
        <f>(Sheet4!AB135/2)</f>
        <v>1</v>
      </c>
      <c r="AC136" s="40">
        <f>(Sheet4!AC135/2)</f>
        <v>0.5</v>
      </c>
      <c r="AD136" s="40">
        <f>(Sheet4!AD135/2)</f>
        <v>0.5</v>
      </c>
      <c r="AE136" s="40">
        <f>(Sheet4!AE135/2)</f>
        <v>0.5</v>
      </c>
      <c r="AF136" s="40">
        <f>(Sheet4!AF135/2)</f>
        <v>0</v>
      </c>
      <c r="AG136" s="40">
        <f>(Sheet4!AG135/2)</f>
        <v>1</v>
      </c>
      <c r="AH136" s="40">
        <f>(Sheet4!AH135/2)</f>
        <v>0.5</v>
      </c>
      <c r="AI136" s="40">
        <f>(Sheet4!AI135/2)</f>
        <v>0.5</v>
      </c>
      <c r="AJ136" s="40">
        <f>(Sheet4!AJ135/2)</f>
        <v>0.5</v>
      </c>
      <c r="AK136" s="40">
        <f>(Sheet4!AK135/2)</f>
        <v>0</v>
      </c>
      <c r="AL136" s="40">
        <f>(Sheet4!AL135/2)</f>
        <v>1</v>
      </c>
      <c r="AM136" s="40">
        <f>(Sheet4!AM135/2)</f>
        <v>0.5</v>
      </c>
      <c r="AN136" s="40">
        <f>(Sheet4!AN135/2)</f>
        <v>0</v>
      </c>
      <c r="AO136" s="40">
        <f>(Sheet4!AO135/2)</f>
        <v>0</v>
      </c>
      <c r="AP136" s="40">
        <f>(Sheet4!AP135/2)</f>
        <v>1</v>
      </c>
      <c r="AQ136" s="40">
        <f>(Sheet4!AQ135/2)</f>
        <v>0</v>
      </c>
      <c r="AR136" s="40">
        <f>(Sheet4!AR135/2)</f>
        <v>1</v>
      </c>
      <c r="AS136" s="40">
        <f>(Sheet4!AS135/2)</f>
        <v>0.5</v>
      </c>
      <c r="AT136" s="40">
        <f>(Sheet4!AT135/2)</f>
        <v>0</v>
      </c>
      <c r="AU136" s="40">
        <f>(Sheet4!AU135/2)</f>
        <v>1</v>
      </c>
      <c r="AV136" s="40">
        <f>(Sheet4!AV135/2)</f>
        <v>0.5</v>
      </c>
      <c r="AW136" s="40">
        <f>(Sheet4!AW135/2)</f>
        <v>0.5</v>
      </c>
      <c r="AX136" s="40">
        <f>(Sheet4!AX135/2)</f>
        <v>0</v>
      </c>
      <c r="AY136" s="40">
        <f>(Sheet4!AY135/2)</f>
        <v>0.5</v>
      </c>
      <c r="AZ136" s="40">
        <f>(Sheet4!AZ135/2)</f>
        <v>0.5</v>
      </c>
      <c r="BA136" s="40">
        <f>(Sheet4!BA135/2)</f>
        <v>0</v>
      </c>
      <c r="BB136" s="40">
        <f>(Sheet4!BB135/2)</f>
        <v>1</v>
      </c>
      <c r="BC136" s="40">
        <f>(Sheet4!BC135/2)</f>
        <v>0.5</v>
      </c>
      <c r="BD136" s="40">
        <f>(Sheet4!BD135/2)</f>
        <v>0.5</v>
      </c>
      <c r="BE136" s="40">
        <f>(Sheet4!BE135/2)</f>
        <v>0</v>
      </c>
      <c r="BF136" s="40">
        <f>(Sheet4!BF135/2)</f>
        <v>1</v>
      </c>
      <c r="BG136" s="40">
        <f>(Sheet4!BG135/2)</f>
        <v>0</v>
      </c>
      <c r="BH136" s="40">
        <f>(Sheet4!BH135/2)</f>
        <v>1</v>
      </c>
      <c r="BI136" s="40">
        <f>(Sheet4!BI135/2)</f>
        <v>0</v>
      </c>
      <c r="BJ136" s="40">
        <f>(Sheet4!BJ135/2)</f>
        <v>1</v>
      </c>
      <c r="BK136" s="40">
        <f>(Sheet4!BK135/2)</f>
        <v>0</v>
      </c>
      <c r="BL136" s="40">
        <f>(Sheet4!BL135/2)</f>
        <v>1</v>
      </c>
      <c r="BM136" s="40">
        <f>(Sheet4!BM135/2)</f>
        <v>0.5</v>
      </c>
      <c r="BN136" s="40">
        <f>(Sheet4!BN135/2)</f>
        <v>0</v>
      </c>
      <c r="BO136" s="40">
        <f>(Sheet4!BO135/2)</f>
        <v>1</v>
      </c>
      <c r="BP136" s="40">
        <f>(Sheet4!BP135/2)</f>
        <v>0</v>
      </c>
      <c r="BQ136" s="40">
        <f>(Sheet4!BQ135/2)</f>
        <v>1</v>
      </c>
      <c r="BR136" s="40">
        <f>(Sheet4!BR135/2)</f>
        <v>0</v>
      </c>
      <c r="BS136" s="40">
        <f>(Sheet4!BS135/2)</f>
        <v>0</v>
      </c>
      <c r="BT136" s="40">
        <f>(Sheet4!BT135/2)</f>
        <v>1.5</v>
      </c>
      <c r="BU136" s="40">
        <f>(Sheet4!BU135/2)</f>
        <v>0</v>
      </c>
      <c r="BV136" s="40">
        <f>(Sheet4!BV135/2)</f>
        <v>0</v>
      </c>
      <c r="BW136" s="40">
        <f>(Sheet4!BW135/2)</f>
        <v>0</v>
      </c>
      <c r="BX136" s="40">
        <f>(Sheet4!BX135/2)</f>
        <v>2</v>
      </c>
      <c r="BY136" s="40">
        <f>(Sheet4!BY135/2)</f>
        <v>0</v>
      </c>
      <c r="BZ136" s="40">
        <f>(Sheet4!BZ135/2)</f>
        <v>1</v>
      </c>
      <c r="CA136" s="40">
        <f>(Sheet4!CA135/2)</f>
        <v>0</v>
      </c>
      <c r="CB136" s="40">
        <f>(Sheet4!CB135/2)</f>
        <v>1</v>
      </c>
      <c r="CC136" s="40">
        <f>(Sheet4!CC135/2)</f>
        <v>0</v>
      </c>
      <c r="CD136" s="40">
        <f>(Sheet4!CD135/2)</f>
        <v>1</v>
      </c>
      <c r="CE136" s="40">
        <f>(Sheet4!CE135/2)</f>
        <v>0</v>
      </c>
      <c r="CF136" s="40">
        <f>(Sheet4!CF135/2)</f>
        <v>1</v>
      </c>
      <c r="CG136" s="40">
        <f>(Sheet4!CG135/2)</f>
        <v>0</v>
      </c>
      <c r="CH136" s="40">
        <f>(Sheet4!CH135/2)</f>
        <v>0</v>
      </c>
      <c r="CI136" s="40">
        <f>(Sheet4!CI135/2)</f>
        <v>0</v>
      </c>
      <c r="CJ136" s="40">
        <f>(Sheet4!CJ135/2)</f>
        <v>1</v>
      </c>
      <c r="CK136" s="40">
        <f>(Sheet4!CK135/2)</f>
        <v>0</v>
      </c>
      <c r="CL136" s="40">
        <f>(Sheet4!CL135/2)</f>
        <v>0</v>
      </c>
      <c r="CM136" s="40">
        <f>(Sheet4!CM135/2)</f>
        <v>1</v>
      </c>
      <c r="CN136" s="40">
        <f>(Sheet4!CN135/2)</f>
        <v>0</v>
      </c>
      <c r="CO136" s="40">
        <f>(Sheet4!CO135/2)</f>
        <v>0</v>
      </c>
      <c r="CP136" s="40">
        <f>(Sheet4!CP135/2)</f>
        <v>1</v>
      </c>
      <c r="CQ136" s="40">
        <f>(Sheet4!CQ135/2)</f>
        <v>0</v>
      </c>
      <c r="CR136" s="40">
        <f>(Sheet4!CR135/2)</f>
        <v>0</v>
      </c>
      <c r="CS136" s="40">
        <f>(Sheet4!CS135/2)</f>
        <v>1.5</v>
      </c>
      <c r="CT136" s="40">
        <f>(Sheet4!CT135/2)</f>
        <v>0</v>
      </c>
      <c r="CU136" s="40">
        <f>(Sheet4!CU135/2)</f>
        <v>0</v>
      </c>
      <c r="CV136" s="40">
        <f>(Sheet4!CV135/2)</f>
        <v>0</v>
      </c>
      <c r="CW136" s="40">
        <f>(Sheet4!CW135/2)</f>
        <v>0</v>
      </c>
      <c r="CX136" s="40">
        <f>(Sheet4!CX135/2)</f>
        <v>0</v>
      </c>
      <c r="CY136" s="40">
        <f>(Sheet4!CY135/2)</f>
        <v>0</v>
      </c>
      <c r="CZ136" s="40">
        <f>(Sheet4!CZ135/2)</f>
        <v>3</v>
      </c>
      <c r="DA136" s="40">
        <f>(Sheet4!DA135/2)</f>
        <v>0</v>
      </c>
      <c r="DB136" s="40">
        <f>(Sheet4!DB135/2)</f>
        <v>0</v>
      </c>
      <c r="DC136" s="40">
        <f>(Sheet4!DC135/2)</f>
        <v>0</v>
      </c>
      <c r="DD136" s="40">
        <f>(Sheet4!DD135/2)</f>
        <v>1</v>
      </c>
      <c r="DE136" s="40">
        <f>(Sheet4!DE135/2)</f>
        <v>0</v>
      </c>
      <c r="DF136" s="40">
        <f>(Sheet4!DF135/2)</f>
        <v>0</v>
      </c>
      <c r="DG136" s="40">
        <f>(Sheet4!DG135/2)</f>
        <v>0</v>
      </c>
      <c r="DH136" s="40">
        <f>(Sheet4!DH135/2)</f>
        <v>0</v>
      </c>
      <c r="DI136" s="40">
        <f>(Sheet4!DI135/2)</f>
        <v>0</v>
      </c>
      <c r="DJ136" s="40">
        <f>(Sheet4!DJ135/2)</f>
        <v>0</v>
      </c>
      <c r="DK136" s="40">
        <f>(Sheet4!DK135/2)</f>
        <v>0</v>
      </c>
      <c r="DL136" s="40">
        <f>(Sheet4!DL135/2)</f>
        <v>0</v>
      </c>
      <c r="DM136" s="40">
        <f>(Sheet4!DM135/2)</f>
        <v>0</v>
      </c>
      <c r="DN136" s="40">
        <f>(Sheet4!DN135/2)</f>
        <v>0</v>
      </c>
      <c r="DO136" s="40">
        <f>(Sheet4!DO135/2)</f>
        <v>0</v>
      </c>
      <c r="DP136" s="40">
        <f>(Sheet4!DP135/2)</f>
        <v>0</v>
      </c>
      <c r="DQ136" s="40">
        <f>(Sheet4!DQ135/2)</f>
        <v>0</v>
      </c>
    </row>
    <row r="137" spans="1:121" ht="15.75" customHeight="1" x14ac:dyDescent="0.3">
      <c r="C137" s="26"/>
    </row>
    <row r="138" spans="1:121" ht="15.75" customHeight="1" x14ac:dyDescent="0.3">
      <c r="C138" s="26"/>
    </row>
    <row r="139" spans="1:121" ht="15.75" customHeight="1" x14ac:dyDescent="0.3">
      <c r="C139" s="26"/>
    </row>
    <row r="140" spans="1:121" ht="15.75" customHeight="1" x14ac:dyDescent="0.3">
      <c r="C140" s="26"/>
    </row>
    <row r="141" spans="1:121" ht="15.75" customHeight="1" x14ac:dyDescent="0.3">
      <c r="C141" s="26"/>
    </row>
    <row r="142" spans="1:121" ht="15.75" customHeight="1" x14ac:dyDescent="0.3">
      <c r="C142" s="26"/>
    </row>
    <row r="143" spans="1:121" ht="15.75" customHeight="1" x14ac:dyDescent="0.3">
      <c r="C143" s="26"/>
    </row>
    <row r="144" spans="1:121" ht="15.75" customHeight="1" x14ac:dyDescent="0.3">
      <c r="C144" s="26"/>
    </row>
    <row r="145" spans="3:3" ht="15.75" customHeight="1" x14ac:dyDescent="0.3">
      <c r="C145" s="26"/>
    </row>
    <row r="146" spans="3:3" ht="15.75" customHeight="1" x14ac:dyDescent="0.3">
      <c r="C146" s="26"/>
    </row>
    <row r="147" spans="3:3" ht="15.75" customHeight="1" x14ac:dyDescent="0.3">
      <c r="C147" s="26"/>
    </row>
    <row r="148" spans="3:3" ht="15.75" customHeight="1" x14ac:dyDescent="0.3">
      <c r="C148" s="26"/>
    </row>
    <row r="149" spans="3:3" ht="15.75" customHeight="1" x14ac:dyDescent="0.3">
      <c r="C149" s="26"/>
    </row>
    <row r="150" spans="3:3" ht="15.75" customHeight="1" x14ac:dyDescent="0.3">
      <c r="C150" s="26"/>
    </row>
    <row r="151" spans="3:3" ht="15.75" customHeight="1" x14ac:dyDescent="0.3">
      <c r="C151" s="26"/>
    </row>
    <row r="152" spans="3:3" ht="15.75" customHeight="1" x14ac:dyDescent="0.3">
      <c r="C152" s="26"/>
    </row>
    <row r="153" spans="3:3" ht="15.75" customHeight="1" x14ac:dyDescent="0.3">
      <c r="C153" s="26"/>
    </row>
    <row r="154" spans="3:3" ht="15.75" customHeight="1" x14ac:dyDescent="0.3">
      <c r="C154" s="26"/>
    </row>
    <row r="155" spans="3:3" ht="15.75" customHeight="1" x14ac:dyDescent="0.3">
      <c r="C155" s="26"/>
    </row>
    <row r="156" spans="3:3" ht="15.75" customHeight="1" x14ac:dyDescent="0.3">
      <c r="C156" s="26"/>
    </row>
    <row r="157" spans="3:3" ht="15.75" customHeight="1" x14ac:dyDescent="0.3">
      <c r="C157" s="26"/>
    </row>
    <row r="158" spans="3:3" ht="15.75" customHeight="1" x14ac:dyDescent="0.3">
      <c r="C158" s="26"/>
    </row>
    <row r="159" spans="3:3" ht="15.75" customHeight="1" x14ac:dyDescent="0.3">
      <c r="C159" s="26"/>
    </row>
    <row r="160" spans="3:3" ht="15.75" customHeight="1" x14ac:dyDescent="0.3">
      <c r="C160" s="26"/>
    </row>
    <row r="161" spans="3:3" ht="15.75" customHeight="1" x14ac:dyDescent="0.3">
      <c r="C161" s="26"/>
    </row>
    <row r="162" spans="3:3" ht="15.75" customHeight="1" x14ac:dyDescent="0.3">
      <c r="C162" s="26"/>
    </row>
    <row r="163" spans="3:3" ht="15.75" customHeight="1" x14ac:dyDescent="0.3">
      <c r="C163" s="26"/>
    </row>
    <row r="164" spans="3:3" ht="15.75" customHeight="1" x14ac:dyDescent="0.3">
      <c r="C164" s="26"/>
    </row>
    <row r="165" spans="3:3" ht="15.75" customHeight="1" x14ac:dyDescent="0.3">
      <c r="C165" s="26"/>
    </row>
    <row r="166" spans="3:3" ht="15.75" customHeight="1" x14ac:dyDescent="0.3">
      <c r="C166" s="26"/>
    </row>
    <row r="167" spans="3:3" ht="15.75" customHeight="1" x14ac:dyDescent="0.3">
      <c r="C167" s="26"/>
    </row>
    <row r="168" spans="3:3" ht="15.75" customHeight="1" x14ac:dyDescent="0.3">
      <c r="C168" s="26"/>
    </row>
    <row r="169" spans="3:3" ht="15.75" customHeight="1" x14ac:dyDescent="0.3">
      <c r="C169" s="26"/>
    </row>
    <row r="170" spans="3:3" ht="15.75" customHeight="1" x14ac:dyDescent="0.3">
      <c r="C170" s="26"/>
    </row>
    <row r="171" spans="3:3" ht="15.75" customHeight="1" x14ac:dyDescent="0.3">
      <c r="C171" s="26"/>
    </row>
    <row r="172" spans="3:3" ht="15.75" customHeight="1" x14ac:dyDescent="0.3">
      <c r="C172" s="26"/>
    </row>
    <row r="173" spans="3:3" ht="15.75" customHeight="1" x14ac:dyDescent="0.3">
      <c r="C173" s="26"/>
    </row>
    <row r="174" spans="3:3" ht="15.75" customHeight="1" x14ac:dyDescent="0.3">
      <c r="C174" s="26"/>
    </row>
    <row r="175" spans="3:3" ht="15.75" customHeight="1" x14ac:dyDescent="0.3">
      <c r="C175" s="26"/>
    </row>
    <row r="176" spans="3:3" ht="15.75" customHeight="1" x14ac:dyDescent="0.3">
      <c r="C176" s="26"/>
    </row>
    <row r="177" spans="3:3" ht="15.75" customHeight="1" x14ac:dyDescent="0.3">
      <c r="C177" s="26"/>
    </row>
    <row r="178" spans="3:3" ht="15.75" customHeight="1" x14ac:dyDescent="0.3">
      <c r="C178" s="26"/>
    </row>
    <row r="179" spans="3:3" ht="15.75" customHeight="1" x14ac:dyDescent="0.3">
      <c r="C179" s="26"/>
    </row>
    <row r="180" spans="3:3" ht="15.75" customHeight="1" x14ac:dyDescent="0.3">
      <c r="C180" s="26"/>
    </row>
    <row r="181" spans="3:3" ht="15.75" customHeight="1" x14ac:dyDescent="0.3">
      <c r="C181" s="26"/>
    </row>
    <row r="182" spans="3:3" ht="15.75" customHeight="1" x14ac:dyDescent="0.3">
      <c r="C182" s="26"/>
    </row>
    <row r="183" spans="3:3" ht="15.75" customHeight="1" x14ac:dyDescent="0.3">
      <c r="C183" s="26"/>
    </row>
    <row r="184" spans="3:3" ht="15.75" customHeight="1" x14ac:dyDescent="0.3">
      <c r="C184" s="26"/>
    </row>
    <row r="185" spans="3:3" ht="15.75" customHeight="1" x14ac:dyDescent="0.3">
      <c r="C185" s="26"/>
    </row>
    <row r="186" spans="3:3" ht="15.75" customHeight="1" x14ac:dyDescent="0.3">
      <c r="C186" s="26"/>
    </row>
    <row r="187" spans="3:3" ht="15.75" customHeight="1" x14ac:dyDescent="0.3">
      <c r="C187" s="26"/>
    </row>
    <row r="188" spans="3:3" ht="15.75" customHeight="1" x14ac:dyDescent="0.3">
      <c r="C188" s="26"/>
    </row>
    <row r="189" spans="3:3" ht="15.75" customHeight="1" x14ac:dyDescent="0.3">
      <c r="C189" s="26"/>
    </row>
    <row r="190" spans="3:3" ht="15.75" customHeight="1" x14ac:dyDescent="0.3">
      <c r="C190" s="26"/>
    </row>
    <row r="191" spans="3:3" ht="15.75" customHeight="1" x14ac:dyDescent="0.3">
      <c r="C191" s="26"/>
    </row>
    <row r="192" spans="3:3" ht="15.75" customHeight="1" x14ac:dyDescent="0.3">
      <c r="C192" s="26"/>
    </row>
    <row r="193" spans="3:3" ht="15.75" customHeight="1" x14ac:dyDescent="0.3">
      <c r="C193" s="26"/>
    </row>
    <row r="194" spans="3:3" ht="15.75" customHeight="1" x14ac:dyDescent="0.3">
      <c r="C194" s="26"/>
    </row>
    <row r="195" spans="3:3" ht="15.75" customHeight="1" x14ac:dyDescent="0.3">
      <c r="C195" s="26"/>
    </row>
    <row r="196" spans="3:3" ht="15.75" customHeight="1" x14ac:dyDescent="0.3">
      <c r="C196" s="26"/>
    </row>
    <row r="197" spans="3:3" ht="15.75" customHeight="1" x14ac:dyDescent="0.3">
      <c r="C197" s="26"/>
    </row>
    <row r="198" spans="3:3" ht="15.75" customHeight="1" x14ac:dyDescent="0.3">
      <c r="C198" s="26"/>
    </row>
    <row r="199" spans="3:3" ht="15.75" customHeight="1" x14ac:dyDescent="0.3">
      <c r="C199" s="26"/>
    </row>
    <row r="200" spans="3:3" ht="15.75" customHeight="1" x14ac:dyDescent="0.3">
      <c r="C200" s="26"/>
    </row>
    <row r="201" spans="3:3" ht="15.75" customHeight="1" x14ac:dyDescent="0.3">
      <c r="C201" s="26"/>
    </row>
    <row r="202" spans="3:3" ht="15.75" customHeight="1" x14ac:dyDescent="0.3">
      <c r="C202" s="26"/>
    </row>
    <row r="203" spans="3:3" ht="15.75" customHeight="1" x14ac:dyDescent="0.3">
      <c r="C203" s="26"/>
    </row>
    <row r="204" spans="3:3" ht="15.75" customHeight="1" x14ac:dyDescent="0.3">
      <c r="C204" s="26"/>
    </row>
    <row r="205" spans="3:3" ht="15.75" customHeight="1" x14ac:dyDescent="0.3">
      <c r="C205" s="26"/>
    </row>
    <row r="206" spans="3:3" ht="15.75" customHeight="1" x14ac:dyDescent="0.3">
      <c r="C206" s="26"/>
    </row>
    <row r="207" spans="3:3" ht="15.75" customHeight="1" x14ac:dyDescent="0.3">
      <c r="C207" s="26"/>
    </row>
    <row r="208" spans="3:3" ht="15.75" customHeight="1" x14ac:dyDescent="0.3">
      <c r="C208" s="26"/>
    </row>
    <row r="209" spans="3:3" ht="15.75" customHeight="1" x14ac:dyDescent="0.3">
      <c r="C209" s="26"/>
    </row>
    <row r="210" spans="3:3" ht="15.75" customHeight="1" x14ac:dyDescent="0.3">
      <c r="C210" s="26"/>
    </row>
    <row r="211" spans="3:3" ht="15.75" customHeight="1" x14ac:dyDescent="0.3">
      <c r="C211" s="26"/>
    </row>
    <row r="212" spans="3:3" ht="15.75" customHeight="1" x14ac:dyDescent="0.3">
      <c r="C212" s="26"/>
    </row>
    <row r="213" spans="3:3" ht="15.75" customHeight="1" x14ac:dyDescent="0.3">
      <c r="C213" s="26"/>
    </row>
    <row r="214" spans="3:3" ht="15.75" customHeight="1" x14ac:dyDescent="0.3">
      <c r="C214" s="26"/>
    </row>
    <row r="215" spans="3:3" ht="15.75" customHeight="1" x14ac:dyDescent="0.3">
      <c r="C215" s="26"/>
    </row>
    <row r="216" spans="3:3" ht="15.75" customHeight="1" x14ac:dyDescent="0.3">
      <c r="C216" s="26"/>
    </row>
    <row r="217" spans="3:3" ht="15.75" customHeight="1" x14ac:dyDescent="0.3">
      <c r="C217" s="26"/>
    </row>
    <row r="218" spans="3:3" ht="15.75" customHeight="1" x14ac:dyDescent="0.3">
      <c r="C218" s="26"/>
    </row>
    <row r="219" spans="3:3" ht="15.75" customHeight="1" x14ac:dyDescent="0.3">
      <c r="C219" s="26"/>
    </row>
    <row r="220" spans="3:3" ht="15.75" customHeight="1" x14ac:dyDescent="0.3">
      <c r="C220" s="26"/>
    </row>
    <row r="221" spans="3:3" ht="15.75" customHeight="1" x14ac:dyDescent="0.3">
      <c r="C221" s="26"/>
    </row>
    <row r="222" spans="3:3" ht="15.75" customHeight="1" x14ac:dyDescent="0.3">
      <c r="C222" s="26"/>
    </row>
    <row r="223" spans="3:3" ht="15.75" customHeight="1" x14ac:dyDescent="0.3">
      <c r="C223" s="26"/>
    </row>
    <row r="224" spans="3:3" ht="15.75" customHeight="1" x14ac:dyDescent="0.3">
      <c r="C224" s="26"/>
    </row>
    <row r="225" spans="3:3" ht="15.75" customHeight="1" x14ac:dyDescent="0.3">
      <c r="C225" s="26"/>
    </row>
    <row r="226" spans="3:3" ht="15.75" customHeight="1" x14ac:dyDescent="0.3">
      <c r="C226" s="26"/>
    </row>
    <row r="227" spans="3:3" ht="15.75" customHeight="1" x14ac:dyDescent="0.3">
      <c r="C227" s="26"/>
    </row>
    <row r="228" spans="3:3" ht="15.75" customHeight="1" x14ac:dyDescent="0.3">
      <c r="C228" s="26"/>
    </row>
    <row r="229" spans="3:3" ht="15.75" customHeight="1" x14ac:dyDescent="0.3">
      <c r="C229" s="26"/>
    </row>
    <row r="230" spans="3:3" ht="15.75" customHeight="1" x14ac:dyDescent="0.3">
      <c r="C230" s="26"/>
    </row>
    <row r="231" spans="3:3" ht="15.75" customHeight="1" x14ac:dyDescent="0.3">
      <c r="C231" s="26"/>
    </row>
    <row r="232" spans="3:3" ht="15.75" customHeight="1" x14ac:dyDescent="0.3">
      <c r="C232" s="26"/>
    </row>
    <row r="233" spans="3:3" ht="15.75" customHeight="1" x14ac:dyDescent="0.3">
      <c r="C233" s="26"/>
    </row>
    <row r="234" spans="3:3" ht="15.75" customHeight="1" x14ac:dyDescent="0.3">
      <c r="C234" s="26"/>
    </row>
    <row r="235" spans="3:3" ht="15.75" customHeight="1" x14ac:dyDescent="0.3">
      <c r="C235" s="26"/>
    </row>
    <row r="236" spans="3:3" ht="15.75" customHeight="1" x14ac:dyDescent="0.3">
      <c r="C236" s="26"/>
    </row>
    <row r="237" spans="3:3" ht="15.75" customHeight="1" x14ac:dyDescent="0.3">
      <c r="C237" s="26"/>
    </row>
    <row r="238" spans="3:3" ht="15.75" customHeight="1" x14ac:dyDescent="0.3">
      <c r="C238" s="26"/>
    </row>
    <row r="239" spans="3:3" ht="15.75" customHeight="1" x14ac:dyDescent="0.3">
      <c r="C239" s="26"/>
    </row>
    <row r="240" spans="3:3" ht="15.75" customHeight="1" x14ac:dyDescent="0.3">
      <c r="C240" s="26"/>
    </row>
    <row r="241" spans="3:3" ht="15.75" customHeight="1" x14ac:dyDescent="0.3">
      <c r="C241" s="26"/>
    </row>
    <row r="242" spans="3:3" ht="15.75" customHeight="1" x14ac:dyDescent="0.3">
      <c r="C242" s="26"/>
    </row>
    <row r="243" spans="3:3" ht="15.75" customHeight="1" x14ac:dyDescent="0.3">
      <c r="C243" s="26"/>
    </row>
    <row r="244" spans="3:3" ht="15.75" customHeight="1" x14ac:dyDescent="0.3">
      <c r="C244" s="26"/>
    </row>
    <row r="245" spans="3:3" ht="15.75" customHeight="1" x14ac:dyDescent="0.3">
      <c r="C245" s="26"/>
    </row>
    <row r="246" spans="3:3" ht="15.75" customHeight="1" x14ac:dyDescent="0.3">
      <c r="C246" s="26"/>
    </row>
    <row r="247" spans="3:3" ht="15.75" customHeight="1" x14ac:dyDescent="0.3">
      <c r="C247" s="26"/>
    </row>
    <row r="248" spans="3:3" ht="15.75" customHeight="1" x14ac:dyDescent="0.3">
      <c r="C248" s="26"/>
    </row>
    <row r="249" spans="3:3" ht="15.75" customHeight="1" x14ac:dyDescent="0.3">
      <c r="C249" s="26"/>
    </row>
    <row r="250" spans="3:3" ht="15.75" customHeight="1" x14ac:dyDescent="0.3">
      <c r="C250" s="26"/>
    </row>
    <row r="251" spans="3:3" ht="15.75" customHeight="1" x14ac:dyDescent="0.3">
      <c r="C251" s="26"/>
    </row>
    <row r="252" spans="3:3" ht="15.75" customHeight="1" x14ac:dyDescent="0.3">
      <c r="C252" s="26"/>
    </row>
    <row r="253" spans="3:3" ht="15.75" customHeight="1" x14ac:dyDescent="0.3">
      <c r="C253" s="26"/>
    </row>
    <row r="254" spans="3:3" ht="15.75" customHeight="1" x14ac:dyDescent="0.3">
      <c r="C254" s="26"/>
    </row>
    <row r="255" spans="3:3" ht="15.75" customHeight="1" x14ac:dyDescent="0.3">
      <c r="C255" s="26"/>
    </row>
    <row r="256" spans="3:3" ht="15.75" customHeight="1" x14ac:dyDescent="0.3">
      <c r="C256" s="26"/>
    </row>
    <row r="257" spans="3:3" ht="15.75" customHeight="1" x14ac:dyDescent="0.3">
      <c r="C257" s="26"/>
    </row>
    <row r="258" spans="3:3" ht="15.75" customHeight="1" x14ac:dyDescent="0.3">
      <c r="C258" s="26"/>
    </row>
    <row r="259" spans="3:3" ht="15.75" customHeight="1" x14ac:dyDescent="0.3">
      <c r="C259" s="26"/>
    </row>
    <row r="260" spans="3:3" ht="15.75" customHeight="1" x14ac:dyDescent="0.3">
      <c r="C260" s="26"/>
    </row>
    <row r="261" spans="3:3" ht="15.75" customHeight="1" x14ac:dyDescent="0.3">
      <c r="C261" s="26"/>
    </row>
    <row r="262" spans="3:3" ht="15.75" customHeight="1" x14ac:dyDescent="0.3">
      <c r="C262" s="26"/>
    </row>
    <row r="263" spans="3:3" ht="15.75" customHeight="1" x14ac:dyDescent="0.3">
      <c r="C263" s="26"/>
    </row>
    <row r="264" spans="3:3" ht="15.75" customHeight="1" x14ac:dyDescent="0.3">
      <c r="C264" s="26"/>
    </row>
    <row r="265" spans="3:3" ht="15.75" customHeight="1" x14ac:dyDescent="0.3">
      <c r="C265" s="26"/>
    </row>
    <row r="266" spans="3:3" ht="15.75" customHeight="1" x14ac:dyDescent="0.3">
      <c r="C266" s="26"/>
    </row>
    <row r="267" spans="3:3" ht="15.75" customHeight="1" x14ac:dyDescent="0.3">
      <c r="C267" s="26"/>
    </row>
    <row r="268" spans="3:3" ht="15.75" customHeight="1" x14ac:dyDescent="0.3">
      <c r="C268" s="26"/>
    </row>
    <row r="269" spans="3:3" ht="15.75" customHeight="1" x14ac:dyDescent="0.3">
      <c r="C269" s="26"/>
    </row>
    <row r="270" spans="3:3" ht="15.75" customHeight="1" x14ac:dyDescent="0.3">
      <c r="C270" s="26"/>
    </row>
    <row r="271" spans="3:3" ht="15.75" customHeight="1" x14ac:dyDescent="0.3">
      <c r="C271" s="26"/>
    </row>
    <row r="272" spans="3:3" ht="15.75" customHeight="1" x14ac:dyDescent="0.3">
      <c r="C272" s="26"/>
    </row>
    <row r="273" spans="3:3" ht="15.75" customHeight="1" x14ac:dyDescent="0.3">
      <c r="C273" s="26"/>
    </row>
    <row r="274" spans="3:3" ht="15.75" customHeight="1" x14ac:dyDescent="0.3">
      <c r="C274" s="26"/>
    </row>
    <row r="275" spans="3:3" ht="15.75" customHeight="1" x14ac:dyDescent="0.3">
      <c r="C275" s="26"/>
    </row>
    <row r="276" spans="3:3" ht="15.75" customHeight="1" x14ac:dyDescent="0.3">
      <c r="C276" s="26"/>
    </row>
    <row r="277" spans="3:3" ht="15.75" customHeight="1" x14ac:dyDescent="0.3">
      <c r="C277" s="26"/>
    </row>
    <row r="278" spans="3:3" ht="15.75" customHeight="1" x14ac:dyDescent="0.3">
      <c r="C278" s="26"/>
    </row>
    <row r="279" spans="3:3" ht="15.75" customHeight="1" x14ac:dyDescent="0.3">
      <c r="C279" s="26"/>
    </row>
    <row r="280" spans="3:3" ht="15.75" customHeight="1" x14ac:dyDescent="0.3">
      <c r="C280" s="26"/>
    </row>
    <row r="281" spans="3:3" ht="15.75" customHeight="1" x14ac:dyDescent="0.3">
      <c r="C281" s="26"/>
    </row>
    <row r="282" spans="3:3" ht="15.75" customHeight="1" x14ac:dyDescent="0.3">
      <c r="C282" s="26"/>
    </row>
    <row r="283" spans="3:3" ht="15.75" customHeight="1" x14ac:dyDescent="0.3">
      <c r="C283" s="26"/>
    </row>
    <row r="284" spans="3:3" ht="15.75" customHeight="1" x14ac:dyDescent="0.3">
      <c r="C284" s="26"/>
    </row>
    <row r="285" spans="3:3" ht="15.75" customHeight="1" x14ac:dyDescent="0.3">
      <c r="C285" s="26"/>
    </row>
    <row r="286" spans="3:3" ht="15.75" customHeight="1" x14ac:dyDescent="0.3">
      <c r="C286" s="26"/>
    </row>
    <row r="287" spans="3:3" ht="15.75" customHeight="1" x14ac:dyDescent="0.3">
      <c r="C287" s="26"/>
    </row>
    <row r="288" spans="3:3" ht="15.75" customHeight="1" x14ac:dyDescent="0.3">
      <c r="C288" s="26"/>
    </row>
    <row r="289" spans="3:3" ht="15.75" customHeight="1" x14ac:dyDescent="0.3">
      <c r="C289" s="26"/>
    </row>
    <row r="290" spans="3:3" ht="15.75" customHeight="1" x14ac:dyDescent="0.3">
      <c r="C290" s="26"/>
    </row>
    <row r="291" spans="3:3" ht="15.75" customHeight="1" x14ac:dyDescent="0.3">
      <c r="C291" s="26"/>
    </row>
    <row r="292" spans="3:3" ht="15.75" customHeight="1" x14ac:dyDescent="0.3">
      <c r="C292" s="26"/>
    </row>
    <row r="293" spans="3:3" ht="15.75" customHeight="1" x14ac:dyDescent="0.3">
      <c r="C293" s="26"/>
    </row>
    <row r="294" spans="3:3" ht="15.75" customHeight="1" x14ac:dyDescent="0.3">
      <c r="C294" s="26"/>
    </row>
    <row r="295" spans="3:3" ht="15.75" customHeight="1" x14ac:dyDescent="0.3">
      <c r="C295" s="26"/>
    </row>
    <row r="296" spans="3:3" ht="15.75" customHeight="1" x14ac:dyDescent="0.3">
      <c r="C296" s="26"/>
    </row>
    <row r="297" spans="3:3" ht="15.75" customHeight="1" x14ac:dyDescent="0.3">
      <c r="C297" s="26"/>
    </row>
    <row r="298" spans="3:3" ht="15.75" customHeight="1" x14ac:dyDescent="0.3">
      <c r="C298" s="26"/>
    </row>
    <row r="299" spans="3:3" ht="15.75" customHeight="1" x14ac:dyDescent="0.3">
      <c r="C299" s="26"/>
    </row>
    <row r="300" spans="3:3" ht="15.75" customHeight="1" x14ac:dyDescent="0.3">
      <c r="C300" s="26"/>
    </row>
    <row r="301" spans="3:3" ht="15.75" customHeight="1" x14ac:dyDescent="0.3">
      <c r="C301" s="26"/>
    </row>
    <row r="302" spans="3:3" ht="15.75" customHeight="1" x14ac:dyDescent="0.3">
      <c r="C302" s="26"/>
    </row>
    <row r="303" spans="3:3" ht="15.75" customHeight="1" x14ac:dyDescent="0.3">
      <c r="C303" s="26"/>
    </row>
    <row r="304" spans="3:3" ht="15.75" customHeight="1" x14ac:dyDescent="0.3">
      <c r="C304" s="26"/>
    </row>
    <row r="305" spans="3:3" ht="15.75" customHeight="1" x14ac:dyDescent="0.3">
      <c r="C305" s="26"/>
    </row>
    <row r="306" spans="3:3" ht="15.75" customHeight="1" x14ac:dyDescent="0.3">
      <c r="C306" s="26"/>
    </row>
    <row r="307" spans="3:3" ht="15.75" customHeight="1" x14ac:dyDescent="0.3">
      <c r="C307" s="26"/>
    </row>
    <row r="308" spans="3:3" ht="15.75" customHeight="1" x14ac:dyDescent="0.3">
      <c r="C308" s="26"/>
    </row>
    <row r="309" spans="3:3" ht="15.75" customHeight="1" x14ac:dyDescent="0.3">
      <c r="C309" s="26"/>
    </row>
    <row r="310" spans="3:3" ht="15.75" customHeight="1" x14ac:dyDescent="0.3">
      <c r="C310" s="26"/>
    </row>
    <row r="311" spans="3:3" ht="15.75" customHeight="1" x14ac:dyDescent="0.3">
      <c r="C311" s="26"/>
    </row>
    <row r="312" spans="3:3" ht="15.75" customHeight="1" x14ac:dyDescent="0.3">
      <c r="C312" s="26"/>
    </row>
    <row r="313" spans="3:3" ht="15.75" customHeight="1" x14ac:dyDescent="0.3">
      <c r="C313" s="26"/>
    </row>
    <row r="314" spans="3:3" ht="15.75" customHeight="1" x14ac:dyDescent="0.3">
      <c r="C314" s="26"/>
    </row>
    <row r="315" spans="3:3" ht="15.75" customHeight="1" x14ac:dyDescent="0.3">
      <c r="C315" s="26"/>
    </row>
    <row r="316" spans="3:3" ht="15.75" customHeight="1" x14ac:dyDescent="0.3">
      <c r="C316" s="26"/>
    </row>
    <row r="317" spans="3:3" ht="15.75" customHeight="1" x14ac:dyDescent="0.3">
      <c r="C317" s="26"/>
    </row>
    <row r="318" spans="3:3" ht="15.75" customHeight="1" x14ac:dyDescent="0.3">
      <c r="C318" s="26"/>
    </row>
    <row r="319" spans="3:3" ht="15.75" customHeight="1" x14ac:dyDescent="0.3">
      <c r="C319" s="26"/>
    </row>
    <row r="320" spans="3:3" ht="15.75" customHeight="1" x14ac:dyDescent="0.3">
      <c r="C320" s="26"/>
    </row>
    <row r="321" spans="3:3" ht="15.75" customHeight="1" x14ac:dyDescent="0.3">
      <c r="C321" s="26"/>
    </row>
    <row r="322" spans="3:3" ht="15.75" customHeight="1" x14ac:dyDescent="0.3">
      <c r="C322" s="26"/>
    </row>
    <row r="323" spans="3:3" ht="15.75" customHeight="1" x14ac:dyDescent="0.3">
      <c r="C323" s="26"/>
    </row>
    <row r="324" spans="3:3" ht="15.75" customHeight="1" x14ac:dyDescent="0.3">
      <c r="C324" s="26"/>
    </row>
    <row r="325" spans="3:3" ht="15.75" customHeight="1" x14ac:dyDescent="0.3">
      <c r="C325" s="26"/>
    </row>
    <row r="326" spans="3:3" ht="15.75" customHeight="1" x14ac:dyDescent="0.3">
      <c r="C326" s="26"/>
    </row>
    <row r="327" spans="3:3" ht="15.75" customHeight="1" x14ac:dyDescent="0.3">
      <c r="C327" s="26"/>
    </row>
    <row r="328" spans="3:3" ht="15.75" customHeight="1" x14ac:dyDescent="0.3">
      <c r="C328" s="26"/>
    </row>
    <row r="329" spans="3:3" ht="15.75" customHeight="1" x14ac:dyDescent="0.3">
      <c r="C329" s="26"/>
    </row>
    <row r="330" spans="3:3" ht="15.75" customHeight="1" x14ac:dyDescent="0.3">
      <c r="C330" s="26"/>
    </row>
    <row r="331" spans="3:3" ht="15.75" customHeight="1" x14ac:dyDescent="0.3">
      <c r="C331" s="26"/>
    </row>
    <row r="332" spans="3:3" ht="15.75" customHeight="1" x14ac:dyDescent="0.3">
      <c r="C332" s="26"/>
    </row>
    <row r="333" spans="3:3" ht="15.75" customHeight="1" x14ac:dyDescent="0.3">
      <c r="C333" s="26"/>
    </row>
    <row r="334" spans="3:3" ht="15.75" customHeight="1" x14ac:dyDescent="0.3">
      <c r="C334" s="26"/>
    </row>
    <row r="335" spans="3:3" ht="15.75" customHeight="1" x14ac:dyDescent="0.3">
      <c r="C335" s="26"/>
    </row>
    <row r="336" spans="3:3" ht="15.75" customHeight="1" x14ac:dyDescent="0.3">
      <c r="C336" s="26"/>
    </row>
    <row r="337" spans="3:3" ht="15.75" customHeight="1" x14ac:dyDescent="0.3">
      <c r="C337" s="26"/>
    </row>
    <row r="338" spans="3:3" ht="15.75" customHeight="1" x14ac:dyDescent="0.3">
      <c r="C338" s="26"/>
    </row>
    <row r="339" spans="3:3" ht="15.75" customHeight="1" x14ac:dyDescent="0.3">
      <c r="C339" s="26"/>
    </row>
    <row r="340" spans="3:3" ht="15.75" customHeight="1" x14ac:dyDescent="0.3">
      <c r="C340" s="26"/>
    </row>
    <row r="341" spans="3:3" ht="15.75" customHeight="1" x14ac:dyDescent="0.3">
      <c r="C341" s="26"/>
    </row>
    <row r="342" spans="3:3" ht="15.75" customHeight="1" x14ac:dyDescent="0.3">
      <c r="C342" s="26"/>
    </row>
    <row r="343" spans="3:3" ht="15.75" customHeight="1" x14ac:dyDescent="0.3">
      <c r="C343" s="26"/>
    </row>
    <row r="344" spans="3:3" ht="15.75" customHeight="1" x14ac:dyDescent="0.3">
      <c r="C344" s="26"/>
    </row>
    <row r="345" spans="3:3" ht="15.75" customHeight="1" x14ac:dyDescent="0.3">
      <c r="C345" s="26"/>
    </row>
    <row r="346" spans="3:3" ht="15.75" customHeight="1" x14ac:dyDescent="0.3">
      <c r="C346" s="26"/>
    </row>
    <row r="347" spans="3:3" ht="15.75" customHeight="1" x14ac:dyDescent="0.3">
      <c r="C347" s="26"/>
    </row>
    <row r="348" spans="3:3" ht="15.75" customHeight="1" x14ac:dyDescent="0.3">
      <c r="C348" s="26"/>
    </row>
    <row r="349" spans="3:3" ht="15.75" customHeight="1" x14ac:dyDescent="0.3">
      <c r="C349" s="26"/>
    </row>
    <row r="350" spans="3:3" ht="15.75" customHeight="1" x14ac:dyDescent="0.3">
      <c r="C350" s="26"/>
    </row>
    <row r="351" spans="3:3" ht="15.75" customHeight="1" x14ac:dyDescent="0.3">
      <c r="C351" s="26"/>
    </row>
    <row r="352" spans="3:3" ht="15.75" customHeight="1" x14ac:dyDescent="0.3">
      <c r="C352" s="26"/>
    </row>
    <row r="353" spans="3:3" ht="15.75" customHeight="1" x14ac:dyDescent="0.3">
      <c r="C353" s="26"/>
    </row>
    <row r="354" spans="3:3" ht="15.75" customHeight="1" x14ac:dyDescent="0.3">
      <c r="C354" s="26"/>
    </row>
    <row r="355" spans="3:3" ht="15.75" customHeight="1" x14ac:dyDescent="0.3">
      <c r="C355" s="26"/>
    </row>
    <row r="356" spans="3:3" ht="15.75" customHeight="1" x14ac:dyDescent="0.3">
      <c r="C356" s="26"/>
    </row>
    <row r="357" spans="3:3" ht="15.75" customHeight="1" x14ac:dyDescent="0.3">
      <c r="C357" s="26"/>
    </row>
    <row r="358" spans="3:3" ht="15.75" customHeight="1" x14ac:dyDescent="0.3">
      <c r="C358" s="26"/>
    </row>
    <row r="359" spans="3:3" ht="15.75" customHeight="1" x14ac:dyDescent="0.3">
      <c r="C359" s="26"/>
    </row>
    <row r="360" spans="3:3" ht="15.75" customHeight="1" x14ac:dyDescent="0.3">
      <c r="C360" s="26"/>
    </row>
    <row r="361" spans="3:3" ht="15.75" customHeight="1" x14ac:dyDescent="0.3">
      <c r="C361" s="26"/>
    </row>
    <row r="362" spans="3:3" ht="15.75" customHeight="1" x14ac:dyDescent="0.3">
      <c r="C362" s="26"/>
    </row>
    <row r="363" spans="3:3" ht="15.75" customHeight="1" x14ac:dyDescent="0.3">
      <c r="C363" s="26"/>
    </row>
    <row r="364" spans="3:3" ht="15.75" customHeight="1" x14ac:dyDescent="0.3">
      <c r="C364" s="26"/>
    </row>
    <row r="365" spans="3:3" ht="15.75" customHeight="1" x14ac:dyDescent="0.3">
      <c r="C365" s="26"/>
    </row>
    <row r="366" spans="3:3" ht="15.75" customHeight="1" x14ac:dyDescent="0.3">
      <c r="C366" s="26"/>
    </row>
    <row r="367" spans="3:3" ht="15.75" customHeight="1" x14ac:dyDescent="0.3">
      <c r="C367" s="26"/>
    </row>
    <row r="368" spans="3:3" ht="15.75" customHeight="1" x14ac:dyDescent="0.3">
      <c r="C368" s="26"/>
    </row>
    <row r="369" spans="3:3" ht="15.75" customHeight="1" x14ac:dyDescent="0.3">
      <c r="C369" s="26"/>
    </row>
    <row r="370" spans="3:3" ht="15.75" customHeight="1" x14ac:dyDescent="0.3">
      <c r="C370" s="26"/>
    </row>
    <row r="371" spans="3:3" ht="15.75" customHeight="1" x14ac:dyDescent="0.3">
      <c r="C371" s="26"/>
    </row>
    <row r="372" spans="3:3" ht="15.75" customHeight="1" x14ac:dyDescent="0.3">
      <c r="C372" s="26"/>
    </row>
    <row r="373" spans="3:3" ht="15.75" customHeight="1" x14ac:dyDescent="0.3">
      <c r="C373" s="26"/>
    </row>
    <row r="374" spans="3:3" ht="15.75" customHeight="1" x14ac:dyDescent="0.3">
      <c r="C374" s="26"/>
    </row>
    <row r="375" spans="3:3" ht="15.75" customHeight="1" x14ac:dyDescent="0.3">
      <c r="C375" s="26"/>
    </row>
    <row r="376" spans="3:3" ht="15.75" customHeight="1" x14ac:dyDescent="0.3">
      <c r="C376" s="26"/>
    </row>
    <row r="377" spans="3:3" ht="15.75" customHeight="1" x14ac:dyDescent="0.3">
      <c r="C377" s="26"/>
    </row>
    <row r="378" spans="3:3" ht="15.75" customHeight="1" x14ac:dyDescent="0.3">
      <c r="C378" s="26"/>
    </row>
    <row r="379" spans="3:3" ht="15.75" customHeight="1" x14ac:dyDescent="0.3">
      <c r="C379" s="26"/>
    </row>
    <row r="380" spans="3:3" ht="15.75" customHeight="1" x14ac:dyDescent="0.3">
      <c r="C380" s="26"/>
    </row>
    <row r="381" spans="3:3" ht="15.75" customHeight="1" x14ac:dyDescent="0.3">
      <c r="C381" s="26"/>
    </row>
    <row r="382" spans="3:3" ht="15.75" customHeight="1" x14ac:dyDescent="0.3">
      <c r="C382" s="26"/>
    </row>
    <row r="383" spans="3:3" ht="15.75" customHeight="1" x14ac:dyDescent="0.3">
      <c r="C383" s="26"/>
    </row>
    <row r="384" spans="3:3" ht="15.75" customHeight="1" x14ac:dyDescent="0.3">
      <c r="C384" s="26"/>
    </row>
    <row r="385" spans="3:3" ht="15.75" customHeight="1" x14ac:dyDescent="0.3">
      <c r="C385" s="26"/>
    </row>
    <row r="386" spans="3:3" ht="15.75" customHeight="1" x14ac:dyDescent="0.3">
      <c r="C386" s="26"/>
    </row>
    <row r="387" spans="3:3" ht="15.75" customHeight="1" x14ac:dyDescent="0.3">
      <c r="C387" s="26"/>
    </row>
    <row r="388" spans="3:3" ht="15.75" customHeight="1" x14ac:dyDescent="0.3">
      <c r="C388" s="26"/>
    </row>
    <row r="389" spans="3:3" ht="15.75" customHeight="1" x14ac:dyDescent="0.3">
      <c r="C389" s="26"/>
    </row>
    <row r="390" spans="3:3" ht="15.75" customHeight="1" x14ac:dyDescent="0.3">
      <c r="C390" s="26"/>
    </row>
    <row r="391" spans="3:3" ht="15.75" customHeight="1" x14ac:dyDescent="0.3">
      <c r="C391" s="26"/>
    </row>
    <row r="392" spans="3:3" ht="15.75" customHeight="1" x14ac:dyDescent="0.3">
      <c r="C392" s="26"/>
    </row>
    <row r="393" spans="3:3" ht="15.75" customHeight="1" x14ac:dyDescent="0.3">
      <c r="C393" s="26"/>
    </row>
    <row r="394" spans="3:3" ht="15.75" customHeight="1" x14ac:dyDescent="0.3">
      <c r="C394" s="26"/>
    </row>
    <row r="395" spans="3:3" ht="15.75" customHeight="1" x14ac:dyDescent="0.3">
      <c r="C395" s="26"/>
    </row>
    <row r="396" spans="3:3" ht="15.75" customHeight="1" x14ac:dyDescent="0.3">
      <c r="C396" s="26"/>
    </row>
    <row r="397" spans="3:3" ht="15.75" customHeight="1" x14ac:dyDescent="0.3">
      <c r="C397" s="26"/>
    </row>
    <row r="398" spans="3:3" ht="15.75" customHeight="1" x14ac:dyDescent="0.3">
      <c r="C398" s="26"/>
    </row>
    <row r="399" spans="3:3" ht="15.75" customHeight="1" x14ac:dyDescent="0.3">
      <c r="C399" s="26"/>
    </row>
    <row r="400" spans="3:3" ht="15.75" customHeight="1" x14ac:dyDescent="0.3">
      <c r="C400" s="26"/>
    </row>
    <row r="401" spans="3:3" ht="15.75" customHeight="1" x14ac:dyDescent="0.3">
      <c r="C401" s="26"/>
    </row>
    <row r="402" spans="3:3" ht="15.75" customHeight="1" x14ac:dyDescent="0.3">
      <c r="C402" s="26"/>
    </row>
    <row r="403" spans="3:3" ht="15.75" customHeight="1" x14ac:dyDescent="0.3">
      <c r="C403" s="26"/>
    </row>
    <row r="404" spans="3:3" ht="15.75" customHeight="1" x14ac:dyDescent="0.3">
      <c r="C404" s="26"/>
    </row>
    <row r="405" spans="3:3" ht="15.75" customHeight="1" x14ac:dyDescent="0.3">
      <c r="C405" s="26"/>
    </row>
    <row r="406" spans="3:3" ht="15.75" customHeight="1" x14ac:dyDescent="0.3">
      <c r="C406" s="26"/>
    </row>
    <row r="407" spans="3:3" ht="15.75" customHeight="1" x14ac:dyDescent="0.3">
      <c r="C407" s="26"/>
    </row>
    <row r="408" spans="3:3" ht="15.75" customHeight="1" x14ac:dyDescent="0.3">
      <c r="C408" s="26"/>
    </row>
    <row r="409" spans="3:3" ht="15.75" customHeight="1" x14ac:dyDescent="0.3">
      <c r="C409" s="26"/>
    </row>
    <row r="410" spans="3:3" ht="15.75" customHeight="1" x14ac:dyDescent="0.3">
      <c r="C410" s="26"/>
    </row>
    <row r="411" spans="3:3" ht="15.75" customHeight="1" x14ac:dyDescent="0.3">
      <c r="C411" s="26"/>
    </row>
    <row r="412" spans="3:3" ht="15.75" customHeight="1" x14ac:dyDescent="0.3">
      <c r="C412" s="26"/>
    </row>
    <row r="413" spans="3:3" ht="15.75" customHeight="1" x14ac:dyDescent="0.3">
      <c r="C413" s="26"/>
    </row>
    <row r="414" spans="3:3" ht="15.75" customHeight="1" x14ac:dyDescent="0.3">
      <c r="C414" s="26"/>
    </row>
    <row r="415" spans="3:3" ht="15.75" customHeight="1" x14ac:dyDescent="0.3">
      <c r="C415" s="26"/>
    </row>
    <row r="416" spans="3:3" ht="15.75" customHeight="1" x14ac:dyDescent="0.3">
      <c r="C416" s="26"/>
    </row>
    <row r="417" spans="3:3" ht="15.75" customHeight="1" x14ac:dyDescent="0.3">
      <c r="C417" s="26"/>
    </row>
    <row r="418" spans="3:3" ht="15.75" customHeight="1" x14ac:dyDescent="0.3">
      <c r="C418" s="26"/>
    </row>
    <row r="419" spans="3:3" ht="15.75" customHeight="1" x14ac:dyDescent="0.3">
      <c r="C419" s="26"/>
    </row>
    <row r="420" spans="3:3" ht="15.75" customHeight="1" x14ac:dyDescent="0.3">
      <c r="C420" s="26"/>
    </row>
    <row r="421" spans="3:3" ht="15.75" customHeight="1" x14ac:dyDescent="0.3">
      <c r="C421" s="26"/>
    </row>
    <row r="422" spans="3:3" ht="15.75" customHeight="1" x14ac:dyDescent="0.3">
      <c r="C422" s="26"/>
    </row>
    <row r="423" spans="3:3" ht="15.75" customHeight="1" x14ac:dyDescent="0.3">
      <c r="C423" s="26"/>
    </row>
    <row r="424" spans="3:3" ht="15.75" customHeight="1" x14ac:dyDescent="0.3">
      <c r="C424" s="26"/>
    </row>
    <row r="425" spans="3:3" ht="15.75" customHeight="1" x14ac:dyDescent="0.3">
      <c r="C425" s="26"/>
    </row>
    <row r="426" spans="3:3" ht="15.75" customHeight="1" x14ac:dyDescent="0.3">
      <c r="C426" s="26"/>
    </row>
    <row r="427" spans="3:3" ht="15.75" customHeight="1" x14ac:dyDescent="0.3">
      <c r="C427" s="26"/>
    </row>
    <row r="428" spans="3:3" ht="15.75" customHeight="1" x14ac:dyDescent="0.3">
      <c r="C428" s="26"/>
    </row>
    <row r="429" spans="3:3" ht="15.75" customHeight="1" x14ac:dyDescent="0.3">
      <c r="C429" s="26"/>
    </row>
    <row r="430" spans="3:3" ht="15.75" customHeight="1" x14ac:dyDescent="0.3">
      <c r="C430" s="26"/>
    </row>
    <row r="431" spans="3:3" ht="15.75" customHeight="1" x14ac:dyDescent="0.3">
      <c r="C431" s="26"/>
    </row>
    <row r="432" spans="3:3" ht="15.75" customHeight="1" x14ac:dyDescent="0.3">
      <c r="C432" s="26"/>
    </row>
    <row r="433" spans="3:3" ht="15.75" customHeight="1" x14ac:dyDescent="0.3">
      <c r="C433" s="26"/>
    </row>
    <row r="434" spans="3:3" ht="15.75" customHeight="1" x14ac:dyDescent="0.3">
      <c r="C434" s="26"/>
    </row>
    <row r="435" spans="3:3" ht="15.75" customHeight="1" x14ac:dyDescent="0.3">
      <c r="C435" s="26"/>
    </row>
    <row r="436" spans="3:3" ht="15.75" customHeight="1" x14ac:dyDescent="0.3">
      <c r="C436" s="26"/>
    </row>
    <row r="437" spans="3:3" ht="15.75" customHeight="1" x14ac:dyDescent="0.3">
      <c r="C437" s="26"/>
    </row>
    <row r="438" spans="3:3" ht="15.75" customHeight="1" x14ac:dyDescent="0.3">
      <c r="C438" s="26"/>
    </row>
    <row r="439" spans="3:3" ht="15.75" customHeight="1" x14ac:dyDescent="0.3">
      <c r="C439" s="26"/>
    </row>
    <row r="440" spans="3:3" ht="15.75" customHeight="1" x14ac:dyDescent="0.3">
      <c r="C440" s="26"/>
    </row>
    <row r="441" spans="3:3" ht="15.75" customHeight="1" x14ac:dyDescent="0.3">
      <c r="C441" s="26"/>
    </row>
    <row r="442" spans="3:3" ht="15.75" customHeight="1" x14ac:dyDescent="0.3">
      <c r="C442" s="26"/>
    </row>
    <row r="443" spans="3:3" ht="15.75" customHeight="1" x14ac:dyDescent="0.3">
      <c r="C443" s="26"/>
    </row>
    <row r="444" spans="3:3" ht="15.75" customHeight="1" x14ac:dyDescent="0.3">
      <c r="C444" s="26"/>
    </row>
    <row r="445" spans="3:3" ht="15.75" customHeight="1" x14ac:dyDescent="0.3">
      <c r="C445" s="26"/>
    </row>
    <row r="446" spans="3:3" ht="15.75" customHeight="1" x14ac:dyDescent="0.3">
      <c r="C446" s="26"/>
    </row>
    <row r="447" spans="3:3" ht="15.75" customHeight="1" x14ac:dyDescent="0.3">
      <c r="C447" s="26"/>
    </row>
    <row r="448" spans="3:3" ht="15.75" customHeight="1" x14ac:dyDescent="0.3">
      <c r="C448" s="26"/>
    </row>
    <row r="449" spans="3:3" ht="15.75" customHeight="1" x14ac:dyDescent="0.3">
      <c r="C449" s="26"/>
    </row>
    <row r="450" spans="3:3" ht="15.75" customHeight="1" x14ac:dyDescent="0.3">
      <c r="C450" s="26"/>
    </row>
    <row r="451" spans="3:3" ht="15.75" customHeight="1" x14ac:dyDescent="0.3">
      <c r="C451" s="26"/>
    </row>
    <row r="452" spans="3:3" ht="15.75" customHeight="1" x14ac:dyDescent="0.3">
      <c r="C452" s="26"/>
    </row>
    <row r="453" spans="3:3" ht="15.75" customHeight="1" x14ac:dyDescent="0.3">
      <c r="C453" s="26"/>
    </row>
    <row r="454" spans="3:3" ht="15.75" customHeight="1" x14ac:dyDescent="0.3">
      <c r="C454" s="26"/>
    </row>
    <row r="455" spans="3:3" ht="15.75" customHeight="1" x14ac:dyDescent="0.3">
      <c r="C455" s="26"/>
    </row>
    <row r="456" spans="3:3" ht="15.75" customHeight="1" x14ac:dyDescent="0.3">
      <c r="C456" s="26"/>
    </row>
    <row r="457" spans="3:3" ht="15.75" customHeight="1" x14ac:dyDescent="0.3">
      <c r="C457" s="26"/>
    </row>
    <row r="458" spans="3:3" ht="15.75" customHeight="1" x14ac:dyDescent="0.3">
      <c r="C458" s="26"/>
    </row>
    <row r="459" spans="3:3" ht="15.75" customHeight="1" x14ac:dyDescent="0.3">
      <c r="C459" s="26"/>
    </row>
    <row r="460" spans="3:3" ht="15.75" customHeight="1" x14ac:dyDescent="0.3">
      <c r="C460" s="26"/>
    </row>
    <row r="461" spans="3:3" ht="15.75" customHeight="1" x14ac:dyDescent="0.3">
      <c r="C461" s="26"/>
    </row>
    <row r="462" spans="3:3" ht="15.75" customHeight="1" x14ac:dyDescent="0.3">
      <c r="C462" s="26"/>
    </row>
    <row r="463" spans="3:3" ht="15.75" customHeight="1" x14ac:dyDescent="0.3">
      <c r="C463" s="26"/>
    </row>
    <row r="464" spans="3:3" ht="15.75" customHeight="1" x14ac:dyDescent="0.3">
      <c r="C464" s="26"/>
    </row>
    <row r="465" spans="3:3" ht="15.75" customHeight="1" x14ac:dyDescent="0.3">
      <c r="C465" s="26"/>
    </row>
    <row r="466" spans="3:3" ht="15.75" customHeight="1" x14ac:dyDescent="0.3">
      <c r="C466" s="26"/>
    </row>
    <row r="467" spans="3:3" ht="15.75" customHeight="1" x14ac:dyDescent="0.3">
      <c r="C467" s="26"/>
    </row>
    <row r="468" spans="3:3" ht="15.75" customHeight="1" x14ac:dyDescent="0.3">
      <c r="C468" s="26"/>
    </row>
    <row r="469" spans="3:3" ht="15.75" customHeight="1" x14ac:dyDescent="0.3">
      <c r="C469" s="26"/>
    </row>
    <row r="470" spans="3:3" ht="15.75" customHeight="1" x14ac:dyDescent="0.3">
      <c r="C470" s="26"/>
    </row>
    <row r="471" spans="3:3" ht="15.75" customHeight="1" x14ac:dyDescent="0.3">
      <c r="C471" s="26"/>
    </row>
    <row r="472" spans="3:3" ht="15.75" customHeight="1" x14ac:dyDescent="0.3">
      <c r="C472" s="26"/>
    </row>
    <row r="473" spans="3:3" ht="15.75" customHeight="1" x14ac:dyDescent="0.3">
      <c r="C473" s="26"/>
    </row>
    <row r="474" spans="3:3" ht="15.75" customHeight="1" x14ac:dyDescent="0.3">
      <c r="C474" s="26"/>
    </row>
    <row r="475" spans="3:3" ht="15.75" customHeight="1" x14ac:dyDescent="0.3">
      <c r="C475" s="26"/>
    </row>
    <row r="476" spans="3:3" ht="15.75" customHeight="1" x14ac:dyDescent="0.3">
      <c r="C476" s="26"/>
    </row>
    <row r="477" spans="3:3" ht="15.75" customHeight="1" x14ac:dyDescent="0.3">
      <c r="C477" s="26"/>
    </row>
    <row r="478" spans="3:3" ht="15.75" customHeight="1" x14ac:dyDescent="0.3">
      <c r="C478" s="26"/>
    </row>
    <row r="479" spans="3:3" ht="15.75" customHeight="1" x14ac:dyDescent="0.3">
      <c r="C479" s="26"/>
    </row>
    <row r="480" spans="3:3" ht="15.75" customHeight="1" x14ac:dyDescent="0.3">
      <c r="C480" s="26"/>
    </row>
    <row r="481" spans="3:3" ht="15.75" customHeight="1" x14ac:dyDescent="0.3">
      <c r="C481" s="26"/>
    </row>
    <row r="482" spans="3:3" ht="15.75" customHeight="1" x14ac:dyDescent="0.3">
      <c r="C482" s="26"/>
    </row>
    <row r="483" spans="3:3" ht="15.75" customHeight="1" x14ac:dyDescent="0.3">
      <c r="C483" s="26"/>
    </row>
    <row r="484" spans="3:3" ht="15.75" customHeight="1" x14ac:dyDescent="0.3">
      <c r="C484" s="26"/>
    </row>
    <row r="485" spans="3:3" ht="15.75" customHeight="1" x14ac:dyDescent="0.3">
      <c r="C485" s="26"/>
    </row>
    <row r="486" spans="3:3" ht="15.75" customHeight="1" x14ac:dyDescent="0.3">
      <c r="C486" s="26"/>
    </row>
    <row r="487" spans="3:3" ht="15.75" customHeight="1" x14ac:dyDescent="0.3">
      <c r="C487" s="26"/>
    </row>
    <row r="488" spans="3:3" ht="15.75" customHeight="1" x14ac:dyDescent="0.3">
      <c r="C488" s="26"/>
    </row>
    <row r="489" spans="3:3" ht="15.75" customHeight="1" x14ac:dyDescent="0.3">
      <c r="C489" s="26"/>
    </row>
    <row r="490" spans="3:3" ht="15.75" customHeight="1" x14ac:dyDescent="0.3">
      <c r="C490" s="26"/>
    </row>
    <row r="491" spans="3:3" ht="15.75" customHeight="1" x14ac:dyDescent="0.3">
      <c r="C491" s="26"/>
    </row>
    <row r="492" spans="3:3" ht="15.75" customHeight="1" x14ac:dyDescent="0.3">
      <c r="C492" s="26"/>
    </row>
    <row r="493" spans="3:3" ht="15.75" customHeight="1" x14ac:dyDescent="0.3">
      <c r="C493" s="26"/>
    </row>
    <row r="494" spans="3:3" ht="15.75" customHeight="1" x14ac:dyDescent="0.3">
      <c r="C494" s="26"/>
    </row>
    <row r="495" spans="3:3" ht="15.75" customHeight="1" x14ac:dyDescent="0.3">
      <c r="C495" s="26"/>
    </row>
    <row r="496" spans="3:3" ht="15.75" customHeight="1" x14ac:dyDescent="0.3">
      <c r="C496" s="26"/>
    </row>
    <row r="497" spans="3:3" ht="15.75" customHeight="1" x14ac:dyDescent="0.3">
      <c r="C497" s="26"/>
    </row>
    <row r="498" spans="3:3" ht="15.75" customHeight="1" x14ac:dyDescent="0.3">
      <c r="C498" s="26"/>
    </row>
    <row r="499" spans="3:3" ht="15.75" customHeight="1" x14ac:dyDescent="0.3">
      <c r="C499" s="26"/>
    </row>
    <row r="500" spans="3:3" ht="15.75" customHeight="1" x14ac:dyDescent="0.3">
      <c r="C500" s="26"/>
    </row>
    <row r="501" spans="3:3" ht="15.75" customHeight="1" x14ac:dyDescent="0.3">
      <c r="C501" s="26"/>
    </row>
    <row r="502" spans="3:3" ht="15.75" customHeight="1" x14ac:dyDescent="0.3">
      <c r="C502" s="26"/>
    </row>
    <row r="503" spans="3:3" ht="15.75" customHeight="1" x14ac:dyDescent="0.3">
      <c r="C503" s="26"/>
    </row>
    <row r="504" spans="3:3" ht="15.75" customHeight="1" x14ac:dyDescent="0.3">
      <c r="C504" s="26"/>
    </row>
    <row r="505" spans="3:3" ht="15.75" customHeight="1" x14ac:dyDescent="0.3">
      <c r="C505" s="26"/>
    </row>
    <row r="506" spans="3:3" ht="15.75" customHeight="1" x14ac:dyDescent="0.3">
      <c r="C506" s="26"/>
    </row>
    <row r="507" spans="3:3" ht="15.75" customHeight="1" x14ac:dyDescent="0.3">
      <c r="C507" s="26"/>
    </row>
    <row r="508" spans="3:3" ht="15.75" customHeight="1" x14ac:dyDescent="0.3">
      <c r="C508" s="26"/>
    </row>
    <row r="509" spans="3:3" ht="15.75" customHeight="1" x14ac:dyDescent="0.3">
      <c r="C509" s="26"/>
    </row>
    <row r="510" spans="3:3" ht="15.75" customHeight="1" x14ac:dyDescent="0.3">
      <c r="C510" s="26"/>
    </row>
    <row r="511" spans="3:3" ht="15.75" customHeight="1" x14ac:dyDescent="0.3">
      <c r="C511" s="26"/>
    </row>
    <row r="512" spans="3:3" ht="15.75" customHeight="1" x14ac:dyDescent="0.3">
      <c r="C512" s="26"/>
    </row>
    <row r="513" spans="3:3" ht="15.75" customHeight="1" x14ac:dyDescent="0.3">
      <c r="C513" s="26"/>
    </row>
    <row r="514" spans="3:3" ht="15.75" customHeight="1" x14ac:dyDescent="0.3">
      <c r="C514" s="26"/>
    </row>
    <row r="515" spans="3:3" ht="15.75" customHeight="1" x14ac:dyDescent="0.3">
      <c r="C515" s="26"/>
    </row>
    <row r="516" spans="3:3" ht="15.75" customHeight="1" x14ac:dyDescent="0.3">
      <c r="C516" s="26"/>
    </row>
    <row r="517" spans="3:3" ht="15.75" customHeight="1" x14ac:dyDescent="0.3">
      <c r="C517" s="26"/>
    </row>
    <row r="518" spans="3:3" ht="15.75" customHeight="1" x14ac:dyDescent="0.3">
      <c r="C518" s="26"/>
    </row>
    <row r="519" spans="3:3" ht="15.75" customHeight="1" x14ac:dyDescent="0.3">
      <c r="C519" s="26"/>
    </row>
    <row r="520" spans="3:3" ht="15.75" customHeight="1" x14ac:dyDescent="0.3">
      <c r="C520" s="26"/>
    </row>
    <row r="521" spans="3:3" ht="15.75" customHeight="1" x14ac:dyDescent="0.3">
      <c r="C521" s="26"/>
    </row>
    <row r="522" spans="3:3" ht="15.75" customHeight="1" x14ac:dyDescent="0.3">
      <c r="C522" s="26"/>
    </row>
    <row r="523" spans="3:3" ht="15.75" customHeight="1" x14ac:dyDescent="0.3">
      <c r="C523" s="26"/>
    </row>
    <row r="524" spans="3:3" ht="15.75" customHeight="1" x14ac:dyDescent="0.3">
      <c r="C524" s="26"/>
    </row>
    <row r="525" spans="3:3" ht="15.75" customHeight="1" x14ac:dyDescent="0.3">
      <c r="C525" s="26"/>
    </row>
    <row r="526" spans="3:3" ht="15.75" customHeight="1" x14ac:dyDescent="0.3">
      <c r="C526" s="26"/>
    </row>
    <row r="527" spans="3:3" ht="15.75" customHeight="1" x14ac:dyDescent="0.3">
      <c r="C527" s="26"/>
    </row>
    <row r="528" spans="3:3" ht="15.75" customHeight="1" x14ac:dyDescent="0.3">
      <c r="C528" s="26"/>
    </row>
    <row r="529" spans="3:3" ht="15.75" customHeight="1" x14ac:dyDescent="0.3">
      <c r="C529" s="26"/>
    </row>
    <row r="530" spans="3:3" ht="15.75" customHeight="1" x14ac:dyDescent="0.3">
      <c r="C530" s="26"/>
    </row>
    <row r="531" spans="3:3" ht="15.75" customHeight="1" x14ac:dyDescent="0.3">
      <c r="C531" s="26"/>
    </row>
    <row r="532" spans="3:3" ht="15.75" customHeight="1" x14ac:dyDescent="0.3">
      <c r="C532" s="26"/>
    </row>
    <row r="533" spans="3:3" ht="15.75" customHeight="1" x14ac:dyDescent="0.3">
      <c r="C533" s="26"/>
    </row>
    <row r="534" spans="3:3" ht="15.75" customHeight="1" x14ac:dyDescent="0.3">
      <c r="C534" s="26"/>
    </row>
    <row r="535" spans="3:3" ht="15.75" customHeight="1" x14ac:dyDescent="0.3">
      <c r="C535" s="26"/>
    </row>
    <row r="536" spans="3:3" ht="15.75" customHeight="1" x14ac:dyDescent="0.3">
      <c r="C536" s="26"/>
    </row>
    <row r="537" spans="3:3" ht="15.75" customHeight="1" x14ac:dyDescent="0.3">
      <c r="C537" s="26"/>
    </row>
    <row r="538" spans="3:3" ht="15.75" customHeight="1" x14ac:dyDescent="0.3">
      <c r="C538" s="26"/>
    </row>
    <row r="539" spans="3:3" ht="15.75" customHeight="1" x14ac:dyDescent="0.3">
      <c r="C539" s="26"/>
    </row>
    <row r="540" spans="3:3" ht="15.75" customHeight="1" x14ac:dyDescent="0.3">
      <c r="C540" s="26"/>
    </row>
    <row r="541" spans="3:3" ht="15.75" customHeight="1" x14ac:dyDescent="0.3">
      <c r="C541" s="26"/>
    </row>
    <row r="542" spans="3:3" ht="15.75" customHeight="1" x14ac:dyDescent="0.3">
      <c r="C542" s="26"/>
    </row>
    <row r="543" spans="3:3" ht="15.75" customHeight="1" x14ac:dyDescent="0.3">
      <c r="C543" s="26"/>
    </row>
    <row r="544" spans="3:3" ht="15.75" customHeight="1" x14ac:dyDescent="0.3">
      <c r="C544" s="26"/>
    </row>
    <row r="545" spans="3:3" ht="15.75" customHeight="1" x14ac:dyDescent="0.3">
      <c r="C545" s="26"/>
    </row>
    <row r="546" spans="3:3" ht="15.75" customHeight="1" x14ac:dyDescent="0.3">
      <c r="C546" s="26"/>
    </row>
    <row r="547" spans="3:3" ht="15.75" customHeight="1" x14ac:dyDescent="0.3">
      <c r="C547" s="26"/>
    </row>
    <row r="548" spans="3:3" ht="15.75" customHeight="1" x14ac:dyDescent="0.3">
      <c r="C548" s="26"/>
    </row>
    <row r="549" spans="3:3" ht="15.75" customHeight="1" x14ac:dyDescent="0.3">
      <c r="C549" s="26"/>
    </row>
    <row r="550" spans="3:3" ht="15.75" customHeight="1" x14ac:dyDescent="0.3">
      <c r="C550" s="26"/>
    </row>
    <row r="551" spans="3:3" ht="15.75" customHeight="1" x14ac:dyDescent="0.3">
      <c r="C551" s="26"/>
    </row>
    <row r="552" spans="3:3" ht="15.75" customHeight="1" x14ac:dyDescent="0.3">
      <c r="C552" s="26"/>
    </row>
    <row r="553" spans="3:3" ht="15.75" customHeight="1" x14ac:dyDescent="0.3">
      <c r="C553" s="26"/>
    </row>
    <row r="554" spans="3:3" ht="15.75" customHeight="1" x14ac:dyDescent="0.3">
      <c r="C554" s="26"/>
    </row>
    <row r="555" spans="3:3" ht="15.75" customHeight="1" x14ac:dyDescent="0.3">
      <c r="C555" s="26"/>
    </row>
    <row r="556" spans="3:3" ht="15.75" customHeight="1" x14ac:dyDescent="0.3">
      <c r="C556" s="26"/>
    </row>
    <row r="557" spans="3:3" ht="15.75" customHeight="1" x14ac:dyDescent="0.3">
      <c r="C557" s="26"/>
    </row>
    <row r="558" spans="3:3" ht="15.75" customHeight="1" x14ac:dyDescent="0.3">
      <c r="C558" s="26"/>
    </row>
    <row r="559" spans="3:3" ht="15.75" customHeight="1" x14ac:dyDescent="0.3">
      <c r="C559" s="26"/>
    </row>
    <row r="560" spans="3:3" ht="15.75" customHeight="1" x14ac:dyDescent="0.3">
      <c r="C560" s="26"/>
    </row>
    <row r="561" spans="3:3" ht="15.75" customHeight="1" x14ac:dyDescent="0.3">
      <c r="C561" s="26"/>
    </row>
    <row r="562" spans="3:3" ht="15.75" customHeight="1" x14ac:dyDescent="0.3">
      <c r="C562" s="26"/>
    </row>
    <row r="563" spans="3:3" ht="15.75" customHeight="1" x14ac:dyDescent="0.3">
      <c r="C563" s="26"/>
    </row>
    <row r="564" spans="3:3" ht="15.75" customHeight="1" x14ac:dyDescent="0.3">
      <c r="C564" s="26"/>
    </row>
    <row r="565" spans="3:3" ht="15.75" customHeight="1" x14ac:dyDescent="0.3">
      <c r="C565" s="26"/>
    </row>
    <row r="566" spans="3:3" ht="15.75" customHeight="1" x14ac:dyDescent="0.3">
      <c r="C566" s="26"/>
    </row>
    <row r="567" spans="3:3" ht="15.75" customHeight="1" x14ac:dyDescent="0.3">
      <c r="C567" s="26"/>
    </row>
    <row r="568" spans="3:3" ht="15.75" customHeight="1" x14ac:dyDescent="0.3">
      <c r="C568" s="26"/>
    </row>
    <row r="569" spans="3:3" ht="15.75" customHeight="1" x14ac:dyDescent="0.3">
      <c r="C569" s="26"/>
    </row>
    <row r="570" spans="3:3" ht="15.75" customHeight="1" x14ac:dyDescent="0.3">
      <c r="C570" s="26"/>
    </row>
    <row r="571" spans="3:3" ht="15.75" customHeight="1" x14ac:dyDescent="0.3">
      <c r="C571" s="26"/>
    </row>
    <row r="572" spans="3:3" ht="15.75" customHeight="1" x14ac:dyDescent="0.3">
      <c r="C572" s="26"/>
    </row>
    <row r="573" spans="3:3" ht="15.75" customHeight="1" x14ac:dyDescent="0.3">
      <c r="C573" s="26"/>
    </row>
    <row r="574" spans="3:3" ht="15.75" customHeight="1" x14ac:dyDescent="0.3">
      <c r="C574" s="26"/>
    </row>
    <row r="575" spans="3:3" ht="15.75" customHeight="1" x14ac:dyDescent="0.3">
      <c r="C575" s="26"/>
    </row>
    <row r="576" spans="3:3" ht="15.75" customHeight="1" x14ac:dyDescent="0.3">
      <c r="C576" s="26"/>
    </row>
    <row r="577" spans="3:3" ht="15.75" customHeight="1" x14ac:dyDescent="0.3">
      <c r="C577" s="26"/>
    </row>
    <row r="578" spans="3:3" ht="15.75" customHeight="1" x14ac:dyDescent="0.3">
      <c r="C578" s="26"/>
    </row>
    <row r="579" spans="3:3" ht="15.75" customHeight="1" x14ac:dyDescent="0.3">
      <c r="C579" s="26"/>
    </row>
    <row r="580" spans="3:3" ht="15.75" customHeight="1" x14ac:dyDescent="0.3">
      <c r="C580" s="26"/>
    </row>
    <row r="581" spans="3:3" ht="15.75" customHeight="1" x14ac:dyDescent="0.3">
      <c r="C581" s="26"/>
    </row>
    <row r="582" spans="3:3" ht="15.75" customHeight="1" x14ac:dyDescent="0.3">
      <c r="C582" s="26"/>
    </row>
    <row r="583" spans="3:3" ht="15.75" customHeight="1" x14ac:dyDescent="0.3">
      <c r="C583" s="26"/>
    </row>
    <row r="584" spans="3:3" ht="15.75" customHeight="1" x14ac:dyDescent="0.3">
      <c r="C584" s="26"/>
    </row>
    <row r="585" spans="3:3" ht="15.75" customHeight="1" x14ac:dyDescent="0.3">
      <c r="C585" s="26"/>
    </row>
    <row r="586" spans="3:3" ht="15.75" customHeight="1" x14ac:dyDescent="0.3">
      <c r="C586" s="26"/>
    </row>
    <row r="587" spans="3:3" ht="15.75" customHeight="1" x14ac:dyDescent="0.3">
      <c r="C587" s="26"/>
    </row>
    <row r="588" spans="3:3" ht="15.75" customHeight="1" x14ac:dyDescent="0.3">
      <c r="C588" s="26"/>
    </row>
    <row r="589" spans="3:3" ht="15.75" customHeight="1" x14ac:dyDescent="0.3">
      <c r="C589" s="26"/>
    </row>
    <row r="590" spans="3:3" ht="15.75" customHeight="1" x14ac:dyDescent="0.3">
      <c r="C590" s="26"/>
    </row>
    <row r="591" spans="3:3" ht="15.75" customHeight="1" x14ac:dyDescent="0.3">
      <c r="C591" s="26"/>
    </row>
    <row r="592" spans="3:3" ht="15.75" customHeight="1" x14ac:dyDescent="0.3">
      <c r="C592" s="26"/>
    </row>
    <row r="593" spans="3:3" ht="15.75" customHeight="1" x14ac:dyDescent="0.3">
      <c r="C593" s="26"/>
    </row>
    <row r="594" spans="3:3" ht="15.75" customHeight="1" x14ac:dyDescent="0.3">
      <c r="C594" s="26"/>
    </row>
    <row r="595" spans="3:3" ht="15.75" customHeight="1" x14ac:dyDescent="0.3">
      <c r="C595" s="26"/>
    </row>
    <row r="596" spans="3:3" ht="15.75" customHeight="1" x14ac:dyDescent="0.3">
      <c r="C596" s="26"/>
    </row>
    <row r="597" spans="3:3" ht="15.75" customHeight="1" x14ac:dyDescent="0.3">
      <c r="C597" s="26"/>
    </row>
    <row r="598" spans="3:3" ht="15.75" customHeight="1" x14ac:dyDescent="0.3">
      <c r="C598" s="26"/>
    </row>
    <row r="599" spans="3:3" ht="15.75" customHeight="1" x14ac:dyDescent="0.3">
      <c r="C599" s="26"/>
    </row>
    <row r="600" spans="3:3" ht="15.75" customHeight="1" x14ac:dyDescent="0.3">
      <c r="C600" s="26"/>
    </row>
    <row r="601" spans="3:3" ht="15.75" customHeight="1" x14ac:dyDescent="0.3">
      <c r="C601" s="26"/>
    </row>
    <row r="602" spans="3:3" ht="15.75" customHeight="1" x14ac:dyDescent="0.3">
      <c r="C602" s="26"/>
    </row>
    <row r="603" spans="3:3" ht="15.75" customHeight="1" x14ac:dyDescent="0.3">
      <c r="C603" s="26"/>
    </row>
    <row r="604" spans="3:3" ht="15.75" customHeight="1" x14ac:dyDescent="0.3">
      <c r="C604" s="26"/>
    </row>
    <row r="605" spans="3:3" ht="15.75" customHeight="1" x14ac:dyDescent="0.3">
      <c r="C605" s="26"/>
    </row>
    <row r="606" spans="3:3" ht="15.75" customHeight="1" x14ac:dyDescent="0.3">
      <c r="C606" s="26"/>
    </row>
    <row r="607" spans="3:3" ht="15.75" customHeight="1" x14ac:dyDescent="0.3">
      <c r="C607" s="26"/>
    </row>
    <row r="608" spans="3:3" ht="15.75" customHeight="1" x14ac:dyDescent="0.3">
      <c r="C608" s="26"/>
    </row>
    <row r="609" spans="3:3" ht="15.75" customHeight="1" x14ac:dyDescent="0.3">
      <c r="C609" s="26"/>
    </row>
    <row r="610" spans="3:3" ht="15.75" customHeight="1" x14ac:dyDescent="0.3">
      <c r="C610" s="26"/>
    </row>
    <row r="611" spans="3:3" ht="15.75" customHeight="1" x14ac:dyDescent="0.3">
      <c r="C611" s="26"/>
    </row>
    <row r="612" spans="3:3" ht="15.75" customHeight="1" x14ac:dyDescent="0.3">
      <c r="C612" s="26"/>
    </row>
    <row r="613" spans="3:3" ht="15.75" customHeight="1" x14ac:dyDescent="0.3">
      <c r="C613" s="26"/>
    </row>
    <row r="614" spans="3:3" ht="15.75" customHeight="1" x14ac:dyDescent="0.3">
      <c r="C614" s="26"/>
    </row>
    <row r="615" spans="3:3" ht="15.75" customHeight="1" x14ac:dyDescent="0.3">
      <c r="C615" s="26"/>
    </row>
    <row r="616" spans="3:3" ht="15.75" customHeight="1" x14ac:dyDescent="0.3">
      <c r="C616" s="26"/>
    </row>
    <row r="617" spans="3:3" ht="15.75" customHeight="1" x14ac:dyDescent="0.3">
      <c r="C617" s="26"/>
    </row>
    <row r="618" spans="3:3" ht="15.75" customHeight="1" x14ac:dyDescent="0.3">
      <c r="C618" s="26"/>
    </row>
    <row r="619" spans="3:3" ht="15.75" customHeight="1" x14ac:dyDescent="0.3">
      <c r="C619" s="26"/>
    </row>
    <row r="620" spans="3:3" ht="15.75" customHeight="1" x14ac:dyDescent="0.3">
      <c r="C620" s="26"/>
    </row>
    <row r="621" spans="3:3" ht="15.75" customHeight="1" x14ac:dyDescent="0.3">
      <c r="C621" s="26"/>
    </row>
    <row r="622" spans="3:3" ht="15.75" customHeight="1" x14ac:dyDescent="0.3">
      <c r="C622" s="26"/>
    </row>
    <row r="623" spans="3:3" ht="15.75" customHeight="1" x14ac:dyDescent="0.3">
      <c r="C623" s="26"/>
    </row>
    <row r="624" spans="3:3" ht="15.75" customHeight="1" x14ac:dyDescent="0.3">
      <c r="C624" s="26"/>
    </row>
    <row r="625" spans="3:3" ht="15.75" customHeight="1" x14ac:dyDescent="0.3">
      <c r="C625" s="26"/>
    </row>
    <row r="626" spans="3:3" ht="15.75" customHeight="1" x14ac:dyDescent="0.3">
      <c r="C626" s="26"/>
    </row>
    <row r="627" spans="3:3" ht="15.75" customHeight="1" x14ac:dyDescent="0.3">
      <c r="C627" s="26"/>
    </row>
    <row r="628" spans="3:3" ht="15.75" customHeight="1" x14ac:dyDescent="0.3">
      <c r="C628" s="26"/>
    </row>
    <row r="629" spans="3:3" ht="15.75" customHeight="1" x14ac:dyDescent="0.3">
      <c r="C629" s="26"/>
    </row>
    <row r="630" spans="3:3" ht="15.75" customHeight="1" x14ac:dyDescent="0.3">
      <c r="C630" s="26"/>
    </row>
    <row r="631" spans="3:3" ht="15.75" customHeight="1" x14ac:dyDescent="0.3">
      <c r="C631" s="26"/>
    </row>
    <row r="632" spans="3:3" ht="15.75" customHeight="1" x14ac:dyDescent="0.3">
      <c r="C632" s="26"/>
    </row>
    <row r="633" spans="3:3" ht="15.75" customHeight="1" x14ac:dyDescent="0.3">
      <c r="C633" s="26"/>
    </row>
    <row r="634" spans="3:3" ht="15.75" customHeight="1" x14ac:dyDescent="0.3">
      <c r="C634" s="26"/>
    </row>
    <row r="635" spans="3:3" ht="15.75" customHeight="1" x14ac:dyDescent="0.3">
      <c r="C635" s="26"/>
    </row>
    <row r="636" spans="3:3" ht="15.75" customHeight="1" x14ac:dyDescent="0.3">
      <c r="C636" s="26"/>
    </row>
    <row r="637" spans="3:3" ht="15.75" customHeight="1" x14ac:dyDescent="0.3">
      <c r="C637" s="26"/>
    </row>
    <row r="638" spans="3:3" ht="15.75" customHeight="1" x14ac:dyDescent="0.3">
      <c r="C638" s="26"/>
    </row>
    <row r="639" spans="3:3" ht="15.75" customHeight="1" x14ac:dyDescent="0.3">
      <c r="C639" s="26"/>
    </row>
    <row r="640" spans="3:3" ht="15.75" customHeight="1" x14ac:dyDescent="0.3">
      <c r="C640" s="26"/>
    </row>
    <row r="641" spans="3:3" ht="15.75" customHeight="1" x14ac:dyDescent="0.3">
      <c r="C641" s="26"/>
    </row>
    <row r="642" spans="3:3" ht="15.75" customHeight="1" x14ac:dyDescent="0.3">
      <c r="C642" s="26"/>
    </row>
    <row r="643" spans="3:3" ht="15.75" customHeight="1" x14ac:dyDescent="0.3">
      <c r="C643" s="26"/>
    </row>
    <row r="644" spans="3:3" ht="15.75" customHeight="1" x14ac:dyDescent="0.3">
      <c r="C644" s="26"/>
    </row>
    <row r="645" spans="3:3" ht="15.75" customHeight="1" x14ac:dyDescent="0.3">
      <c r="C645" s="26"/>
    </row>
    <row r="646" spans="3:3" ht="15.75" customHeight="1" x14ac:dyDescent="0.3">
      <c r="C646" s="26"/>
    </row>
    <row r="647" spans="3:3" ht="15.75" customHeight="1" x14ac:dyDescent="0.3">
      <c r="C647" s="26"/>
    </row>
    <row r="648" spans="3:3" ht="15.75" customHeight="1" x14ac:dyDescent="0.3">
      <c r="C648" s="26"/>
    </row>
    <row r="649" spans="3:3" ht="15.75" customHeight="1" x14ac:dyDescent="0.3">
      <c r="C649" s="26"/>
    </row>
    <row r="650" spans="3:3" ht="15.75" customHeight="1" x14ac:dyDescent="0.3">
      <c r="C650" s="26"/>
    </row>
    <row r="651" spans="3:3" ht="15.75" customHeight="1" x14ac:dyDescent="0.3">
      <c r="C651" s="26"/>
    </row>
    <row r="652" spans="3:3" ht="15.75" customHeight="1" x14ac:dyDescent="0.3">
      <c r="C652" s="26"/>
    </row>
    <row r="653" spans="3:3" ht="15.75" customHeight="1" x14ac:dyDescent="0.3">
      <c r="C653" s="26"/>
    </row>
    <row r="654" spans="3:3" ht="15.75" customHeight="1" x14ac:dyDescent="0.3">
      <c r="C654" s="26"/>
    </row>
    <row r="655" spans="3:3" ht="15.75" customHeight="1" x14ac:dyDescent="0.3">
      <c r="C655" s="26"/>
    </row>
    <row r="656" spans="3:3" ht="15.75" customHeight="1" x14ac:dyDescent="0.3">
      <c r="C656" s="26"/>
    </row>
    <row r="657" spans="3:3" ht="15.75" customHeight="1" x14ac:dyDescent="0.3">
      <c r="C657" s="26"/>
    </row>
    <row r="658" spans="3:3" ht="15.75" customHeight="1" x14ac:dyDescent="0.3">
      <c r="C658" s="26"/>
    </row>
    <row r="659" spans="3:3" ht="15.75" customHeight="1" x14ac:dyDescent="0.3">
      <c r="C659" s="26"/>
    </row>
    <row r="660" spans="3:3" ht="15.75" customHeight="1" x14ac:dyDescent="0.3">
      <c r="C660" s="26"/>
    </row>
    <row r="661" spans="3:3" ht="15.75" customHeight="1" x14ac:dyDescent="0.3">
      <c r="C661" s="26"/>
    </row>
    <row r="662" spans="3:3" ht="15.75" customHeight="1" x14ac:dyDescent="0.3">
      <c r="C662" s="26"/>
    </row>
    <row r="663" spans="3:3" ht="15.75" customHeight="1" x14ac:dyDescent="0.3">
      <c r="C663" s="26"/>
    </row>
    <row r="664" spans="3:3" ht="15.75" customHeight="1" x14ac:dyDescent="0.3">
      <c r="C664" s="26"/>
    </row>
    <row r="665" spans="3:3" ht="15.75" customHeight="1" x14ac:dyDescent="0.3">
      <c r="C665" s="26"/>
    </row>
    <row r="666" spans="3:3" ht="15.75" customHeight="1" x14ac:dyDescent="0.3">
      <c r="C666" s="26"/>
    </row>
    <row r="667" spans="3:3" ht="15.75" customHeight="1" x14ac:dyDescent="0.3">
      <c r="C667" s="26"/>
    </row>
    <row r="668" spans="3:3" ht="15.75" customHeight="1" x14ac:dyDescent="0.3">
      <c r="C668" s="26"/>
    </row>
    <row r="669" spans="3:3" ht="15.75" customHeight="1" x14ac:dyDescent="0.3">
      <c r="C669" s="26"/>
    </row>
    <row r="670" spans="3:3" ht="15.75" customHeight="1" x14ac:dyDescent="0.3">
      <c r="C670" s="26"/>
    </row>
    <row r="671" spans="3:3" ht="15.75" customHeight="1" x14ac:dyDescent="0.3">
      <c r="C671" s="26"/>
    </row>
    <row r="672" spans="3:3" ht="15.75" customHeight="1" x14ac:dyDescent="0.3">
      <c r="C672" s="26"/>
    </row>
    <row r="673" spans="3:3" ht="15.75" customHeight="1" x14ac:dyDescent="0.3">
      <c r="C673" s="26"/>
    </row>
    <row r="674" spans="3:3" ht="15.75" customHeight="1" x14ac:dyDescent="0.3">
      <c r="C674" s="26"/>
    </row>
    <row r="675" spans="3:3" ht="15.75" customHeight="1" x14ac:dyDescent="0.3">
      <c r="C675" s="26"/>
    </row>
    <row r="676" spans="3:3" ht="15.75" customHeight="1" x14ac:dyDescent="0.3">
      <c r="C676" s="26"/>
    </row>
    <row r="677" spans="3:3" ht="15.75" customHeight="1" x14ac:dyDescent="0.3">
      <c r="C677" s="26"/>
    </row>
    <row r="678" spans="3:3" ht="15.75" customHeight="1" x14ac:dyDescent="0.3">
      <c r="C678" s="26"/>
    </row>
    <row r="679" spans="3:3" ht="15.75" customHeight="1" x14ac:dyDescent="0.3">
      <c r="C679" s="26"/>
    </row>
    <row r="680" spans="3:3" ht="15.75" customHeight="1" x14ac:dyDescent="0.3">
      <c r="C680" s="26"/>
    </row>
    <row r="681" spans="3:3" ht="15.75" customHeight="1" x14ac:dyDescent="0.3">
      <c r="C681" s="26"/>
    </row>
    <row r="682" spans="3:3" ht="15.75" customHeight="1" x14ac:dyDescent="0.3">
      <c r="C682" s="26"/>
    </row>
    <row r="683" spans="3:3" ht="15.75" customHeight="1" x14ac:dyDescent="0.3">
      <c r="C683" s="26"/>
    </row>
    <row r="684" spans="3:3" ht="15.75" customHeight="1" x14ac:dyDescent="0.3">
      <c r="C684" s="26"/>
    </row>
    <row r="685" spans="3:3" ht="15.75" customHeight="1" x14ac:dyDescent="0.3">
      <c r="C685" s="26"/>
    </row>
    <row r="686" spans="3:3" ht="15.75" customHeight="1" x14ac:dyDescent="0.3">
      <c r="C686" s="26"/>
    </row>
    <row r="687" spans="3:3" ht="15.75" customHeight="1" x14ac:dyDescent="0.3">
      <c r="C687" s="26"/>
    </row>
    <row r="688" spans="3:3" ht="15.75" customHeight="1" x14ac:dyDescent="0.3">
      <c r="C688" s="26"/>
    </row>
    <row r="689" spans="3:3" ht="15.75" customHeight="1" x14ac:dyDescent="0.3">
      <c r="C689" s="26"/>
    </row>
    <row r="690" spans="3:3" ht="15.75" customHeight="1" x14ac:dyDescent="0.3">
      <c r="C690" s="26"/>
    </row>
    <row r="691" spans="3:3" ht="15.75" customHeight="1" x14ac:dyDescent="0.3">
      <c r="C691" s="26"/>
    </row>
    <row r="692" spans="3:3" ht="15.75" customHeight="1" x14ac:dyDescent="0.3">
      <c r="C692" s="26"/>
    </row>
    <row r="693" spans="3:3" ht="15.75" customHeight="1" x14ac:dyDescent="0.3">
      <c r="C693" s="26"/>
    </row>
    <row r="694" spans="3:3" ht="15.75" customHeight="1" x14ac:dyDescent="0.3">
      <c r="C694" s="26"/>
    </row>
    <row r="695" spans="3:3" ht="15.75" customHeight="1" x14ac:dyDescent="0.3">
      <c r="C695" s="26"/>
    </row>
    <row r="696" spans="3:3" ht="15.75" customHeight="1" x14ac:dyDescent="0.3">
      <c r="C696" s="26"/>
    </row>
    <row r="697" spans="3:3" ht="15.75" customHeight="1" x14ac:dyDescent="0.3">
      <c r="C697" s="26"/>
    </row>
    <row r="698" spans="3:3" ht="15.75" customHeight="1" x14ac:dyDescent="0.3">
      <c r="C698" s="26"/>
    </row>
    <row r="699" spans="3:3" ht="15.75" customHeight="1" x14ac:dyDescent="0.3">
      <c r="C699" s="26"/>
    </row>
    <row r="700" spans="3:3" ht="15.75" customHeight="1" x14ac:dyDescent="0.3">
      <c r="C700" s="26"/>
    </row>
    <row r="701" spans="3:3" ht="15.75" customHeight="1" x14ac:dyDescent="0.3">
      <c r="C701" s="26"/>
    </row>
    <row r="702" spans="3:3" ht="15.75" customHeight="1" x14ac:dyDescent="0.3">
      <c r="C702" s="26"/>
    </row>
    <row r="703" spans="3:3" ht="15.75" customHeight="1" x14ac:dyDescent="0.3">
      <c r="C703" s="26"/>
    </row>
    <row r="704" spans="3:3" ht="15.75" customHeight="1" x14ac:dyDescent="0.3">
      <c r="C704" s="26"/>
    </row>
    <row r="705" spans="3:3" ht="15.75" customHeight="1" x14ac:dyDescent="0.3">
      <c r="C705" s="26"/>
    </row>
    <row r="706" spans="3:3" ht="15.75" customHeight="1" x14ac:dyDescent="0.3">
      <c r="C706" s="26"/>
    </row>
    <row r="707" spans="3:3" ht="15.75" customHeight="1" x14ac:dyDescent="0.3">
      <c r="C707" s="26"/>
    </row>
    <row r="708" spans="3:3" ht="15.75" customHeight="1" x14ac:dyDescent="0.3">
      <c r="C708" s="26"/>
    </row>
    <row r="709" spans="3:3" ht="15.75" customHeight="1" x14ac:dyDescent="0.3">
      <c r="C709" s="26"/>
    </row>
    <row r="710" spans="3:3" ht="15.75" customHeight="1" x14ac:dyDescent="0.3">
      <c r="C710" s="26"/>
    </row>
    <row r="711" spans="3:3" ht="15.75" customHeight="1" x14ac:dyDescent="0.3">
      <c r="C711" s="26"/>
    </row>
    <row r="712" spans="3:3" ht="15.75" customHeight="1" x14ac:dyDescent="0.3">
      <c r="C712" s="26"/>
    </row>
    <row r="713" spans="3:3" ht="15.75" customHeight="1" x14ac:dyDescent="0.3">
      <c r="C713" s="26"/>
    </row>
    <row r="714" spans="3:3" ht="15.75" customHeight="1" x14ac:dyDescent="0.3">
      <c r="C714" s="26"/>
    </row>
    <row r="715" spans="3:3" ht="15.75" customHeight="1" x14ac:dyDescent="0.3">
      <c r="C715" s="26"/>
    </row>
    <row r="716" spans="3:3" ht="15.75" customHeight="1" x14ac:dyDescent="0.3">
      <c r="C716" s="26"/>
    </row>
    <row r="717" spans="3:3" ht="15.75" customHeight="1" x14ac:dyDescent="0.3">
      <c r="C717" s="26"/>
    </row>
    <row r="718" spans="3:3" ht="15.75" customHeight="1" x14ac:dyDescent="0.3">
      <c r="C718" s="26"/>
    </row>
    <row r="719" spans="3:3" ht="15.75" customHeight="1" x14ac:dyDescent="0.3">
      <c r="C719" s="26"/>
    </row>
    <row r="720" spans="3:3" ht="15.75" customHeight="1" x14ac:dyDescent="0.3">
      <c r="C720" s="26"/>
    </row>
    <row r="721" spans="3:3" ht="15.75" customHeight="1" x14ac:dyDescent="0.3">
      <c r="C721" s="26"/>
    </row>
    <row r="722" spans="3:3" ht="15.75" customHeight="1" x14ac:dyDescent="0.3">
      <c r="C722" s="26"/>
    </row>
    <row r="723" spans="3:3" ht="15.75" customHeight="1" x14ac:dyDescent="0.3">
      <c r="C723" s="26"/>
    </row>
    <row r="724" spans="3:3" ht="15.75" customHeight="1" x14ac:dyDescent="0.3">
      <c r="C724" s="26"/>
    </row>
    <row r="725" spans="3:3" ht="15.75" customHeight="1" x14ac:dyDescent="0.3">
      <c r="C725" s="26"/>
    </row>
    <row r="726" spans="3:3" ht="15.75" customHeight="1" x14ac:dyDescent="0.3">
      <c r="C726" s="26"/>
    </row>
    <row r="727" spans="3:3" ht="15.75" customHeight="1" x14ac:dyDescent="0.3">
      <c r="C727" s="26"/>
    </row>
    <row r="728" spans="3:3" ht="15.75" customHeight="1" x14ac:dyDescent="0.3">
      <c r="C728" s="26"/>
    </row>
    <row r="729" spans="3:3" ht="15.75" customHeight="1" x14ac:dyDescent="0.3">
      <c r="C729" s="26"/>
    </row>
    <row r="730" spans="3:3" ht="15.75" customHeight="1" x14ac:dyDescent="0.3">
      <c r="C730" s="26"/>
    </row>
    <row r="731" spans="3:3" ht="15.75" customHeight="1" x14ac:dyDescent="0.3">
      <c r="C731" s="26"/>
    </row>
    <row r="732" spans="3:3" ht="15.75" customHeight="1" x14ac:dyDescent="0.3">
      <c r="C732" s="26"/>
    </row>
    <row r="733" spans="3:3" ht="15.75" customHeight="1" x14ac:dyDescent="0.3">
      <c r="C733" s="26"/>
    </row>
    <row r="734" spans="3:3" ht="15.75" customHeight="1" x14ac:dyDescent="0.3">
      <c r="C734" s="26"/>
    </row>
    <row r="735" spans="3:3" ht="15.75" customHeight="1" x14ac:dyDescent="0.3">
      <c r="C735" s="26"/>
    </row>
    <row r="736" spans="3:3" ht="15.75" customHeight="1" x14ac:dyDescent="0.3">
      <c r="C736" s="26"/>
    </row>
    <row r="737" spans="3:3" ht="15.75" customHeight="1" x14ac:dyDescent="0.3">
      <c r="C737" s="26"/>
    </row>
    <row r="738" spans="3:3" ht="15.75" customHeight="1" x14ac:dyDescent="0.3">
      <c r="C738" s="26"/>
    </row>
    <row r="739" spans="3:3" ht="15.75" customHeight="1" x14ac:dyDescent="0.3">
      <c r="C739" s="26"/>
    </row>
    <row r="740" spans="3:3" ht="15.75" customHeight="1" x14ac:dyDescent="0.3">
      <c r="C740" s="26"/>
    </row>
    <row r="741" spans="3:3" ht="15.75" customHeight="1" x14ac:dyDescent="0.3">
      <c r="C741" s="26"/>
    </row>
    <row r="742" spans="3:3" ht="15.75" customHeight="1" x14ac:dyDescent="0.3">
      <c r="C742" s="26"/>
    </row>
    <row r="743" spans="3:3" ht="15.75" customHeight="1" x14ac:dyDescent="0.3">
      <c r="C743" s="26"/>
    </row>
    <row r="744" spans="3:3" ht="15.75" customHeight="1" x14ac:dyDescent="0.3">
      <c r="C744" s="26"/>
    </row>
    <row r="745" spans="3:3" ht="15.75" customHeight="1" x14ac:dyDescent="0.3">
      <c r="C745" s="26"/>
    </row>
    <row r="746" spans="3:3" ht="15.75" customHeight="1" x14ac:dyDescent="0.3">
      <c r="C746" s="26"/>
    </row>
    <row r="747" spans="3:3" ht="15.75" customHeight="1" x14ac:dyDescent="0.3">
      <c r="C747" s="26"/>
    </row>
    <row r="748" spans="3:3" ht="15.75" customHeight="1" x14ac:dyDescent="0.3">
      <c r="C748" s="26"/>
    </row>
    <row r="749" spans="3:3" ht="15.75" customHeight="1" x14ac:dyDescent="0.3">
      <c r="C749" s="26"/>
    </row>
    <row r="750" spans="3:3" ht="15.75" customHeight="1" x14ac:dyDescent="0.3">
      <c r="C750" s="26"/>
    </row>
    <row r="751" spans="3:3" ht="15.75" customHeight="1" x14ac:dyDescent="0.3">
      <c r="C751" s="26"/>
    </row>
    <row r="752" spans="3:3" ht="15.75" customHeight="1" x14ac:dyDescent="0.3">
      <c r="C752" s="26"/>
    </row>
    <row r="753" spans="3:3" ht="15.75" customHeight="1" x14ac:dyDescent="0.3">
      <c r="C753" s="26"/>
    </row>
    <row r="754" spans="3:3" ht="15.75" customHeight="1" x14ac:dyDescent="0.3">
      <c r="C754" s="26"/>
    </row>
    <row r="755" spans="3:3" ht="15.75" customHeight="1" x14ac:dyDescent="0.3">
      <c r="C755" s="26"/>
    </row>
    <row r="756" spans="3:3" ht="15.75" customHeight="1" x14ac:dyDescent="0.3">
      <c r="C756" s="26"/>
    </row>
    <row r="757" spans="3:3" ht="15.75" customHeight="1" x14ac:dyDescent="0.3">
      <c r="C757" s="26"/>
    </row>
    <row r="758" spans="3:3" ht="15.75" customHeight="1" x14ac:dyDescent="0.3">
      <c r="C758" s="26"/>
    </row>
    <row r="759" spans="3:3" ht="15.75" customHeight="1" x14ac:dyDescent="0.3">
      <c r="C759" s="26"/>
    </row>
    <row r="760" spans="3:3" ht="15.75" customHeight="1" x14ac:dyDescent="0.3">
      <c r="C760" s="26"/>
    </row>
    <row r="761" spans="3:3" ht="15.75" customHeight="1" x14ac:dyDescent="0.3">
      <c r="C761" s="26"/>
    </row>
    <row r="762" spans="3:3" ht="15.75" customHeight="1" x14ac:dyDescent="0.3">
      <c r="C762" s="26"/>
    </row>
    <row r="763" spans="3:3" ht="15.75" customHeight="1" x14ac:dyDescent="0.3">
      <c r="C763" s="26"/>
    </row>
    <row r="764" spans="3:3" ht="15.75" customHeight="1" x14ac:dyDescent="0.3">
      <c r="C764" s="26"/>
    </row>
    <row r="765" spans="3:3" ht="15.75" customHeight="1" x14ac:dyDescent="0.3">
      <c r="C765" s="26"/>
    </row>
    <row r="766" spans="3:3" ht="15.75" customHeight="1" x14ac:dyDescent="0.3">
      <c r="C766" s="26"/>
    </row>
    <row r="767" spans="3:3" ht="15.75" customHeight="1" x14ac:dyDescent="0.3">
      <c r="C767" s="26"/>
    </row>
    <row r="768" spans="3:3" ht="15.75" customHeight="1" x14ac:dyDescent="0.3">
      <c r="C768" s="26"/>
    </row>
    <row r="769" spans="3:3" ht="15.75" customHeight="1" x14ac:dyDescent="0.3">
      <c r="C769" s="26"/>
    </row>
    <row r="770" spans="3:3" ht="15.75" customHeight="1" x14ac:dyDescent="0.3">
      <c r="C770" s="26"/>
    </row>
    <row r="771" spans="3:3" ht="15.75" customHeight="1" x14ac:dyDescent="0.3">
      <c r="C771" s="26"/>
    </row>
    <row r="772" spans="3:3" ht="15.75" customHeight="1" x14ac:dyDescent="0.3">
      <c r="C772" s="26"/>
    </row>
    <row r="773" spans="3:3" ht="15.75" customHeight="1" x14ac:dyDescent="0.3">
      <c r="C773" s="26"/>
    </row>
    <row r="774" spans="3:3" ht="15.75" customHeight="1" x14ac:dyDescent="0.3">
      <c r="C774" s="26"/>
    </row>
    <row r="775" spans="3:3" ht="15.75" customHeight="1" x14ac:dyDescent="0.3">
      <c r="C775" s="26"/>
    </row>
    <row r="776" spans="3:3" ht="15.75" customHeight="1" x14ac:dyDescent="0.3">
      <c r="C776" s="26"/>
    </row>
    <row r="777" spans="3:3" ht="15.75" customHeight="1" x14ac:dyDescent="0.3">
      <c r="C777" s="26"/>
    </row>
    <row r="778" spans="3:3" ht="15.75" customHeight="1" x14ac:dyDescent="0.3">
      <c r="C778" s="26"/>
    </row>
    <row r="779" spans="3:3" ht="15.75" customHeight="1" x14ac:dyDescent="0.3">
      <c r="C779" s="26"/>
    </row>
    <row r="780" spans="3:3" ht="15.75" customHeight="1" x14ac:dyDescent="0.3">
      <c r="C780" s="26"/>
    </row>
    <row r="781" spans="3:3" ht="15.75" customHeight="1" x14ac:dyDescent="0.3">
      <c r="C781" s="26"/>
    </row>
    <row r="782" spans="3:3" ht="15.75" customHeight="1" x14ac:dyDescent="0.3">
      <c r="C782" s="26"/>
    </row>
    <row r="783" spans="3:3" ht="15.75" customHeight="1" x14ac:dyDescent="0.3">
      <c r="C783" s="26"/>
    </row>
    <row r="784" spans="3:3" ht="15.75" customHeight="1" x14ac:dyDescent="0.3">
      <c r="C784" s="26"/>
    </row>
    <row r="785" spans="3:3" ht="15.75" customHeight="1" x14ac:dyDescent="0.3">
      <c r="C785" s="26"/>
    </row>
    <row r="786" spans="3:3" ht="15.75" customHeight="1" x14ac:dyDescent="0.3">
      <c r="C786" s="26"/>
    </row>
    <row r="787" spans="3:3" ht="15.75" customHeight="1" x14ac:dyDescent="0.3">
      <c r="C787" s="26"/>
    </row>
    <row r="788" spans="3:3" ht="15.75" customHeight="1" x14ac:dyDescent="0.3">
      <c r="C788" s="26"/>
    </row>
    <row r="789" spans="3:3" ht="15.75" customHeight="1" x14ac:dyDescent="0.3">
      <c r="C789" s="26"/>
    </row>
    <row r="790" spans="3:3" ht="15.75" customHeight="1" x14ac:dyDescent="0.3">
      <c r="C790" s="26"/>
    </row>
    <row r="791" spans="3:3" ht="15.75" customHeight="1" x14ac:dyDescent="0.3">
      <c r="C791" s="26"/>
    </row>
    <row r="792" spans="3:3" ht="15.75" customHeight="1" x14ac:dyDescent="0.3">
      <c r="C792" s="26"/>
    </row>
    <row r="793" spans="3:3" ht="15.75" customHeight="1" x14ac:dyDescent="0.3">
      <c r="C793" s="26"/>
    </row>
    <row r="794" spans="3:3" ht="15.75" customHeight="1" x14ac:dyDescent="0.3">
      <c r="C794" s="26"/>
    </row>
    <row r="795" spans="3:3" ht="15.75" customHeight="1" x14ac:dyDescent="0.3">
      <c r="C795" s="26"/>
    </row>
    <row r="796" spans="3:3" ht="15.75" customHeight="1" x14ac:dyDescent="0.3">
      <c r="C796" s="26"/>
    </row>
    <row r="797" spans="3:3" ht="15.75" customHeight="1" x14ac:dyDescent="0.3">
      <c r="C797" s="26"/>
    </row>
    <row r="798" spans="3:3" ht="15.75" customHeight="1" x14ac:dyDescent="0.3">
      <c r="C798" s="26"/>
    </row>
    <row r="799" spans="3:3" ht="15.75" customHeight="1" x14ac:dyDescent="0.3">
      <c r="C799" s="26"/>
    </row>
    <row r="800" spans="3:3" ht="15.75" customHeight="1" x14ac:dyDescent="0.3">
      <c r="C800" s="26"/>
    </row>
    <row r="801" spans="3:3" ht="15.75" customHeight="1" x14ac:dyDescent="0.3">
      <c r="C801" s="26"/>
    </row>
    <row r="802" spans="3:3" ht="15.75" customHeight="1" x14ac:dyDescent="0.3">
      <c r="C802" s="26"/>
    </row>
    <row r="803" spans="3:3" ht="15.75" customHeight="1" x14ac:dyDescent="0.3">
      <c r="C803" s="26"/>
    </row>
    <row r="804" spans="3:3" ht="15.75" customHeight="1" x14ac:dyDescent="0.3">
      <c r="C804" s="26"/>
    </row>
    <row r="805" spans="3:3" ht="15.75" customHeight="1" x14ac:dyDescent="0.3">
      <c r="C805" s="26"/>
    </row>
    <row r="806" spans="3:3" ht="15.75" customHeight="1" x14ac:dyDescent="0.3">
      <c r="C806" s="26"/>
    </row>
    <row r="807" spans="3:3" ht="15.75" customHeight="1" x14ac:dyDescent="0.3">
      <c r="C807" s="26"/>
    </row>
    <row r="808" spans="3:3" ht="15.75" customHeight="1" x14ac:dyDescent="0.3">
      <c r="C808" s="26"/>
    </row>
    <row r="809" spans="3:3" ht="15.75" customHeight="1" x14ac:dyDescent="0.3">
      <c r="C809" s="26"/>
    </row>
    <row r="810" spans="3:3" ht="15.75" customHeight="1" x14ac:dyDescent="0.3">
      <c r="C810" s="26"/>
    </row>
    <row r="811" spans="3:3" ht="15.75" customHeight="1" x14ac:dyDescent="0.3">
      <c r="C811" s="26"/>
    </row>
    <row r="812" spans="3:3" ht="15.75" customHeight="1" x14ac:dyDescent="0.3">
      <c r="C812" s="26"/>
    </row>
    <row r="813" spans="3:3" ht="15.75" customHeight="1" x14ac:dyDescent="0.3">
      <c r="C813" s="26"/>
    </row>
    <row r="814" spans="3:3" ht="15.75" customHeight="1" x14ac:dyDescent="0.3">
      <c r="C814" s="26"/>
    </row>
    <row r="815" spans="3:3" ht="15.75" customHeight="1" x14ac:dyDescent="0.3">
      <c r="C815" s="26"/>
    </row>
    <row r="816" spans="3:3" ht="15.75" customHeight="1" x14ac:dyDescent="0.3">
      <c r="C816" s="26"/>
    </row>
    <row r="817" spans="3:3" ht="15.75" customHeight="1" x14ac:dyDescent="0.3">
      <c r="C817" s="26"/>
    </row>
    <row r="818" spans="3:3" ht="15.75" customHeight="1" x14ac:dyDescent="0.3">
      <c r="C818" s="26"/>
    </row>
    <row r="819" spans="3:3" ht="15.75" customHeight="1" x14ac:dyDescent="0.3">
      <c r="C819" s="26"/>
    </row>
    <row r="820" spans="3:3" ht="15.75" customHeight="1" x14ac:dyDescent="0.3">
      <c r="C820" s="26"/>
    </row>
    <row r="821" spans="3:3" ht="15.75" customHeight="1" x14ac:dyDescent="0.3">
      <c r="C821" s="26"/>
    </row>
    <row r="822" spans="3:3" ht="15.75" customHeight="1" x14ac:dyDescent="0.3">
      <c r="C822" s="26"/>
    </row>
    <row r="823" spans="3:3" ht="15.75" customHeight="1" x14ac:dyDescent="0.3">
      <c r="C823" s="26"/>
    </row>
    <row r="824" spans="3:3" ht="15.75" customHeight="1" x14ac:dyDescent="0.3">
      <c r="C824" s="26"/>
    </row>
    <row r="825" spans="3:3" ht="15.75" customHeight="1" x14ac:dyDescent="0.3">
      <c r="C825" s="26"/>
    </row>
    <row r="826" spans="3:3" ht="15.75" customHeight="1" x14ac:dyDescent="0.3">
      <c r="C826" s="26"/>
    </row>
    <row r="827" spans="3:3" ht="15.75" customHeight="1" x14ac:dyDescent="0.3">
      <c r="C827" s="26"/>
    </row>
    <row r="828" spans="3:3" ht="15.75" customHeight="1" x14ac:dyDescent="0.3">
      <c r="C828" s="26"/>
    </row>
    <row r="829" spans="3:3" ht="15.75" customHeight="1" x14ac:dyDescent="0.3">
      <c r="C829" s="26"/>
    </row>
    <row r="830" spans="3:3" ht="15.75" customHeight="1" x14ac:dyDescent="0.3">
      <c r="C830" s="26"/>
    </row>
    <row r="831" spans="3:3" ht="15.75" customHeight="1" x14ac:dyDescent="0.3">
      <c r="C831" s="26"/>
    </row>
    <row r="832" spans="3:3" ht="15.75" customHeight="1" x14ac:dyDescent="0.3">
      <c r="C832" s="26"/>
    </row>
    <row r="833" spans="3:3" ht="15.75" customHeight="1" x14ac:dyDescent="0.3">
      <c r="C833" s="26"/>
    </row>
    <row r="834" spans="3:3" ht="15.75" customHeight="1" x14ac:dyDescent="0.3">
      <c r="C834" s="26"/>
    </row>
    <row r="835" spans="3:3" ht="15.75" customHeight="1" x14ac:dyDescent="0.3">
      <c r="C835" s="26"/>
    </row>
    <row r="836" spans="3:3" ht="15.75" customHeight="1" x14ac:dyDescent="0.3">
      <c r="C836" s="26"/>
    </row>
    <row r="837" spans="3:3" ht="15.75" customHeight="1" x14ac:dyDescent="0.3">
      <c r="C837" s="26"/>
    </row>
    <row r="838" spans="3:3" ht="15.75" customHeight="1" x14ac:dyDescent="0.3">
      <c r="C838" s="26"/>
    </row>
    <row r="839" spans="3:3" ht="15.75" customHeight="1" x14ac:dyDescent="0.3">
      <c r="C839" s="26"/>
    </row>
    <row r="840" spans="3:3" ht="15.75" customHeight="1" x14ac:dyDescent="0.3">
      <c r="C840" s="26"/>
    </row>
    <row r="841" spans="3:3" ht="15.75" customHeight="1" x14ac:dyDescent="0.3">
      <c r="C841" s="26"/>
    </row>
    <row r="842" spans="3:3" ht="15.75" customHeight="1" x14ac:dyDescent="0.3">
      <c r="C842" s="26"/>
    </row>
    <row r="843" spans="3:3" ht="15.75" customHeight="1" x14ac:dyDescent="0.3">
      <c r="C843" s="26"/>
    </row>
    <row r="844" spans="3:3" ht="15.75" customHeight="1" x14ac:dyDescent="0.3">
      <c r="C844" s="26"/>
    </row>
    <row r="845" spans="3:3" ht="15.75" customHeight="1" x14ac:dyDescent="0.3">
      <c r="C845" s="26"/>
    </row>
    <row r="846" spans="3:3" ht="15.75" customHeight="1" x14ac:dyDescent="0.3">
      <c r="C846" s="26"/>
    </row>
    <row r="847" spans="3:3" ht="15.75" customHeight="1" x14ac:dyDescent="0.3">
      <c r="C847" s="26"/>
    </row>
    <row r="848" spans="3:3" ht="15.75" customHeight="1" x14ac:dyDescent="0.3">
      <c r="C848" s="26"/>
    </row>
    <row r="849" spans="3:3" ht="15.75" customHeight="1" x14ac:dyDescent="0.3">
      <c r="C849" s="26"/>
    </row>
    <row r="850" spans="3:3" ht="15.75" customHeight="1" x14ac:dyDescent="0.3">
      <c r="C850" s="26"/>
    </row>
    <row r="851" spans="3:3" ht="15.75" customHeight="1" x14ac:dyDescent="0.3">
      <c r="C851" s="26"/>
    </row>
    <row r="852" spans="3:3" ht="15.75" customHeight="1" x14ac:dyDescent="0.3">
      <c r="C852" s="26"/>
    </row>
    <row r="853" spans="3:3" ht="15.75" customHeight="1" x14ac:dyDescent="0.3">
      <c r="C853" s="26"/>
    </row>
    <row r="854" spans="3:3" ht="15.75" customHeight="1" x14ac:dyDescent="0.3">
      <c r="C854" s="26"/>
    </row>
    <row r="855" spans="3:3" ht="15.75" customHeight="1" x14ac:dyDescent="0.3">
      <c r="C855" s="26"/>
    </row>
    <row r="856" spans="3:3" ht="15.75" customHeight="1" x14ac:dyDescent="0.3">
      <c r="C856" s="26"/>
    </row>
    <row r="857" spans="3:3" ht="15.75" customHeight="1" x14ac:dyDescent="0.3">
      <c r="C857" s="26"/>
    </row>
    <row r="858" spans="3:3" ht="15.75" customHeight="1" x14ac:dyDescent="0.3">
      <c r="C858" s="26"/>
    </row>
    <row r="859" spans="3:3" ht="15.75" customHeight="1" x14ac:dyDescent="0.3">
      <c r="C859" s="26"/>
    </row>
    <row r="860" spans="3:3" ht="15.75" customHeight="1" x14ac:dyDescent="0.3">
      <c r="C860" s="26"/>
    </row>
    <row r="861" spans="3:3" ht="15.75" customHeight="1" x14ac:dyDescent="0.3">
      <c r="C861" s="26"/>
    </row>
    <row r="862" spans="3:3" ht="15.75" customHeight="1" x14ac:dyDescent="0.3">
      <c r="C862" s="26"/>
    </row>
    <row r="863" spans="3:3" ht="15.75" customHeight="1" x14ac:dyDescent="0.3">
      <c r="C863" s="26"/>
    </row>
    <row r="864" spans="3:3" ht="15.75" customHeight="1" x14ac:dyDescent="0.3">
      <c r="C864" s="26"/>
    </row>
    <row r="865" spans="3:3" ht="15.75" customHeight="1" x14ac:dyDescent="0.3">
      <c r="C865" s="26"/>
    </row>
    <row r="866" spans="3:3" ht="15.75" customHeight="1" x14ac:dyDescent="0.3">
      <c r="C866" s="26"/>
    </row>
    <row r="867" spans="3:3" ht="15.75" customHeight="1" x14ac:dyDescent="0.3">
      <c r="C867" s="26"/>
    </row>
    <row r="868" spans="3:3" ht="15.75" customHeight="1" x14ac:dyDescent="0.3">
      <c r="C868" s="26"/>
    </row>
    <row r="869" spans="3:3" ht="15.75" customHeight="1" x14ac:dyDescent="0.3">
      <c r="C869" s="26"/>
    </row>
    <row r="870" spans="3:3" ht="15.75" customHeight="1" x14ac:dyDescent="0.3">
      <c r="C870" s="26"/>
    </row>
    <row r="871" spans="3:3" ht="15.75" customHeight="1" x14ac:dyDescent="0.3">
      <c r="C871" s="26"/>
    </row>
    <row r="872" spans="3:3" ht="15.75" customHeight="1" x14ac:dyDescent="0.3">
      <c r="C872" s="26"/>
    </row>
    <row r="873" spans="3:3" ht="15.75" customHeight="1" x14ac:dyDescent="0.3">
      <c r="C873" s="26"/>
    </row>
    <row r="874" spans="3:3" ht="15.75" customHeight="1" x14ac:dyDescent="0.3">
      <c r="C874" s="26"/>
    </row>
    <row r="875" spans="3:3" ht="15.75" customHeight="1" x14ac:dyDescent="0.3">
      <c r="C875" s="26"/>
    </row>
    <row r="876" spans="3:3" ht="15.75" customHeight="1" x14ac:dyDescent="0.3">
      <c r="C876" s="26"/>
    </row>
    <row r="877" spans="3:3" ht="15.75" customHeight="1" x14ac:dyDescent="0.3">
      <c r="C877" s="26"/>
    </row>
    <row r="878" spans="3:3" ht="15.75" customHeight="1" x14ac:dyDescent="0.3">
      <c r="C878" s="26"/>
    </row>
    <row r="879" spans="3:3" ht="15.75" customHeight="1" x14ac:dyDescent="0.3">
      <c r="C879" s="26"/>
    </row>
    <row r="880" spans="3:3" ht="15.75" customHeight="1" x14ac:dyDescent="0.3">
      <c r="C880" s="26"/>
    </row>
    <row r="881" spans="3:3" ht="15.75" customHeight="1" x14ac:dyDescent="0.3">
      <c r="C881" s="26"/>
    </row>
    <row r="882" spans="3:3" ht="15.75" customHeight="1" x14ac:dyDescent="0.3">
      <c r="C882" s="26"/>
    </row>
    <row r="883" spans="3:3" ht="15.75" customHeight="1" x14ac:dyDescent="0.3">
      <c r="C883" s="26"/>
    </row>
    <row r="884" spans="3:3" ht="15.75" customHeight="1" x14ac:dyDescent="0.3">
      <c r="C884" s="26"/>
    </row>
    <row r="885" spans="3:3" ht="15.75" customHeight="1" x14ac:dyDescent="0.3">
      <c r="C885" s="26"/>
    </row>
    <row r="886" spans="3:3" ht="15.75" customHeight="1" x14ac:dyDescent="0.3">
      <c r="C886" s="26"/>
    </row>
    <row r="887" spans="3:3" ht="15.75" customHeight="1" x14ac:dyDescent="0.3">
      <c r="C887" s="26"/>
    </row>
    <row r="888" spans="3:3" ht="15.75" customHeight="1" x14ac:dyDescent="0.3">
      <c r="C888" s="26"/>
    </row>
    <row r="889" spans="3:3" ht="15.75" customHeight="1" x14ac:dyDescent="0.3">
      <c r="C889" s="26"/>
    </row>
    <row r="890" spans="3:3" ht="15.75" customHeight="1" x14ac:dyDescent="0.3">
      <c r="C890" s="26"/>
    </row>
    <row r="891" spans="3:3" ht="15.75" customHeight="1" x14ac:dyDescent="0.3">
      <c r="C891" s="26"/>
    </row>
    <row r="892" spans="3:3" ht="15.75" customHeight="1" x14ac:dyDescent="0.3">
      <c r="C892" s="26"/>
    </row>
    <row r="893" spans="3:3" ht="15.75" customHeight="1" x14ac:dyDescent="0.3">
      <c r="C893" s="26"/>
    </row>
    <row r="894" spans="3:3" ht="15.75" customHeight="1" x14ac:dyDescent="0.3">
      <c r="C894" s="26"/>
    </row>
    <row r="895" spans="3:3" ht="15.75" customHeight="1" x14ac:dyDescent="0.3">
      <c r="C895" s="26"/>
    </row>
    <row r="896" spans="3:3" ht="15.75" customHeight="1" x14ac:dyDescent="0.3">
      <c r="C896" s="26"/>
    </row>
    <row r="897" spans="3:3" ht="15.75" customHeight="1" x14ac:dyDescent="0.3">
      <c r="C897" s="26"/>
    </row>
    <row r="898" spans="3:3" ht="15.75" customHeight="1" x14ac:dyDescent="0.3">
      <c r="C898" s="26"/>
    </row>
    <row r="899" spans="3:3" ht="15.75" customHeight="1" x14ac:dyDescent="0.3">
      <c r="C899" s="26"/>
    </row>
    <row r="900" spans="3:3" ht="15.75" customHeight="1" x14ac:dyDescent="0.3">
      <c r="C900" s="26"/>
    </row>
    <row r="901" spans="3:3" ht="15.75" customHeight="1" x14ac:dyDescent="0.3">
      <c r="C901" s="26"/>
    </row>
    <row r="902" spans="3:3" ht="15.75" customHeight="1" x14ac:dyDescent="0.3">
      <c r="C902" s="26"/>
    </row>
    <row r="903" spans="3:3" ht="15.75" customHeight="1" x14ac:dyDescent="0.3">
      <c r="C903" s="26"/>
    </row>
    <row r="904" spans="3:3" ht="15.75" customHeight="1" x14ac:dyDescent="0.3">
      <c r="C904" s="26"/>
    </row>
    <row r="905" spans="3:3" ht="15.75" customHeight="1" x14ac:dyDescent="0.3">
      <c r="C905" s="26"/>
    </row>
    <row r="906" spans="3:3" ht="15.75" customHeight="1" x14ac:dyDescent="0.3">
      <c r="C906" s="26"/>
    </row>
    <row r="907" spans="3:3" ht="15.75" customHeight="1" x14ac:dyDescent="0.3">
      <c r="C907" s="26"/>
    </row>
    <row r="908" spans="3:3" ht="15.75" customHeight="1" x14ac:dyDescent="0.3">
      <c r="C908" s="26"/>
    </row>
    <row r="909" spans="3:3" ht="15.75" customHeight="1" x14ac:dyDescent="0.3">
      <c r="C909" s="26"/>
    </row>
    <row r="910" spans="3:3" ht="15.75" customHeight="1" x14ac:dyDescent="0.3">
      <c r="C910" s="26"/>
    </row>
    <row r="911" spans="3:3" ht="15.75" customHeight="1" x14ac:dyDescent="0.3">
      <c r="C911" s="26"/>
    </row>
    <row r="912" spans="3:3" ht="15.75" customHeight="1" x14ac:dyDescent="0.3">
      <c r="C912" s="26"/>
    </row>
    <row r="913" spans="3:3" ht="15.75" customHeight="1" x14ac:dyDescent="0.3">
      <c r="C913" s="26"/>
    </row>
    <row r="914" spans="3:3" ht="15.75" customHeight="1" x14ac:dyDescent="0.3">
      <c r="C914" s="26"/>
    </row>
    <row r="915" spans="3:3" ht="15.75" customHeight="1" x14ac:dyDescent="0.3">
      <c r="C915" s="26"/>
    </row>
    <row r="916" spans="3:3" ht="15.75" customHeight="1" x14ac:dyDescent="0.3">
      <c r="C916" s="26"/>
    </row>
    <row r="917" spans="3:3" ht="15.75" customHeight="1" x14ac:dyDescent="0.3">
      <c r="C917" s="26"/>
    </row>
    <row r="918" spans="3:3" ht="15.75" customHeight="1" x14ac:dyDescent="0.3">
      <c r="C918" s="26"/>
    </row>
    <row r="919" spans="3:3" ht="15.75" customHeight="1" x14ac:dyDescent="0.3">
      <c r="C919" s="26"/>
    </row>
    <row r="920" spans="3:3" ht="15.75" customHeight="1" x14ac:dyDescent="0.3">
      <c r="C920" s="26"/>
    </row>
    <row r="921" spans="3:3" ht="15.75" customHeight="1" x14ac:dyDescent="0.3">
      <c r="C921" s="26"/>
    </row>
    <row r="922" spans="3:3" ht="15.75" customHeight="1" x14ac:dyDescent="0.3">
      <c r="C922" s="26"/>
    </row>
    <row r="923" spans="3:3" ht="15.75" customHeight="1" x14ac:dyDescent="0.3">
      <c r="C923" s="26"/>
    </row>
    <row r="924" spans="3:3" ht="15.75" customHeight="1" x14ac:dyDescent="0.3">
      <c r="C924" s="26"/>
    </row>
    <row r="925" spans="3:3" ht="15.75" customHeight="1" x14ac:dyDescent="0.3">
      <c r="C925" s="26"/>
    </row>
    <row r="926" spans="3:3" ht="15.75" customHeight="1" x14ac:dyDescent="0.3">
      <c r="C926" s="26"/>
    </row>
    <row r="927" spans="3:3" ht="15.75" customHeight="1" x14ac:dyDescent="0.3">
      <c r="C927" s="26"/>
    </row>
    <row r="928" spans="3:3" ht="15.75" customHeight="1" x14ac:dyDescent="0.3">
      <c r="C928" s="26"/>
    </row>
    <row r="929" spans="3:3" ht="15.75" customHeight="1" x14ac:dyDescent="0.3">
      <c r="C929" s="26"/>
    </row>
    <row r="930" spans="3:3" ht="15.75" customHeight="1" x14ac:dyDescent="0.3">
      <c r="C930" s="26"/>
    </row>
    <row r="931" spans="3:3" ht="15.75" customHeight="1" x14ac:dyDescent="0.3">
      <c r="C931" s="26"/>
    </row>
    <row r="932" spans="3:3" ht="15.75" customHeight="1" x14ac:dyDescent="0.3">
      <c r="C932" s="26"/>
    </row>
    <row r="933" spans="3:3" ht="15.75" customHeight="1" x14ac:dyDescent="0.3">
      <c r="C933" s="26"/>
    </row>
    <row r="934" spans="3:3" ht="15.75" customHeight="1" x14ac:dyDescent="0.3">
      <c r="C934" s="26"/>
    </row>
    <row r="935" spans="3:3" ht="15.75" customHeight="1" x14ac:dyDescent="0.3">
      <c r="C935" s="26"/>
    </row>
    <row r="936" spans="3:3" ht="15.75" customHeight="1" x14ac:dyDescent="0.3">
      <c r="C936" s="26"/>
    </row>
    <row r="937" spans="3:3" ht="15.75" customHeight="1" x14ac:dyDescent="0.3">
      <c r="C937" s="26"/>
    </row>
    <row r="938" spans="3:3" ht="15.75" customHeight="1" x14ac:dyDescent="0.3">
      <c r="C938" s="26"/>
    </row>
    <row r="939" spans="3:3" ht="15.75" customHeight="1" x14ac:dyDescent="0.3">
      <c r="C939" s="26"/>
    </row>
    <row r="940" spans="3:3" ht="15.75" customHeight="1" x14ac:dyDescent="0.3">
      <c r="C940" s="26"/>
    </row>
    <row r="941" spans="3:3" ht="15.75" customHeight="1" x14ac:dyDescent="0.3">
      <c r="C941" s="26"/>
    </row>
    <row r="942" spans="3:3" ht="15.75" customHeight="1" x14ac:dyDescent="0.3">
      <c r="C942" s="26"/>
    </row>
    <row r="943" spans="3:3" ht="15.75" customHeight="1" x14ac:dyDescent="0.3">
      <c r="C943" s="26"/>
    </row>
    <row r="944" spans="3:3" ht="15.75" customHeight="1" x14ac:dyDescent="0.3">
      <c r="C944" s="26"/>
    </row>
    <row r="945" spans="3:3" ht="15.75" customHeight="1" x14ac:dyDescent="0.3">
      <c r="C945" s="26"/>
    </row>
    <row r="946" spans="3:3" ht="15.75" customHeight="1" x14ac:dyDescent="0.3">
      <c r="C946" s="26"/>
    </row>
    <row r="947" spans="3:3" ht="15.75" customHeight="1" x14ac:dyDescent="0.3">
      <c r="C947" s="26"/>
    </row>
    <row r="948" spans="3:3" ht="15.75" customHeight="1" x14ac:dyDescent="0.3">
      <c r="C948" s="26"/>
    </row>
    <row r="949" spans="3:3" ht="15.75" customHeight="1" x14ac:dyDescent="0.3">
      <c r="C949" s="26"/>
    </row>
    <row r="950" spans="3:3" ht="15.75" customHeight="1" x14ac:dyDescent="0.3">
      <c r="C950" s="26"/>
    </row>
    <row r="951" spans="3:3" ht="15.75" customHeight="1" x14ac:dyDescent="0.3">
      <c r="C951" s="26"/>
    </row>
    <row r="952" spans="3:3" ht="15.75" customHeight="1" x14ac:dyDescent="0.3">
      <c r="C952" s="26"/>
    </row>
    <row r="953" spans="3:3" ht="15.75" customHeight="1" x14ac:dyDescent="0.3">
      <c r="C953" s="26"/>
    </row>
    <row r="954" spans="3:3" ht="15.75" customHeight="1" x14ac:dyDescent="0.3">
      <c r="C954" s="26"/>
    </row>
    <row r="955" spans="3:3" ht="15.75" customHeight="1" x14ac:dyDescent="0.3">
      <c r="C955" s="26"/>
    </row>
    <row r="956" spans="3:3" ht="15.75" customHeight="1" x14ac:dyDescent="0.3">
      <c r="C956" s="26"/>
    </row>
    <row r="957" spans="3:3" ht="15.75" customHeight="1" x14ac:dyDescent="0.3">
      <c r="C957" s="26"/>
    </row>
    <row r="958" spans="3:3" ht="15.75" customHeight="1" x14ac:dyDescent="0.3">
      <c r="C958" s="26"/>
    </row>
    <row r="959" spans="3:3" ht="15.75" customHeight="1" x14ac:dyDescent="0.3">
      <c r="C959" s="26"/>
    </row>
    <row r="960" spans="3:3" ht="15.75" customHeight="1" x14ac:dyDescent="0.3">
      <c r="C960" s="26"/>
    </row>
    <row r="961" spans="3:3" ht="15.75" customHeight="1" x14ac:dyDescent="0.3">
      <c r="C961" s="26"/>
    </row>
    <row r="962" spans="3:3" ht="15.75" customHeight="1" x14ac:dyDescent="0.3">
      <c r="C962" s="26"/>
    </row>
    <row r="963" spans="3:3" ht="15.75" customHeight="1" x14ac:dyDescent="0.3">
      <c r="C963" s="26"/>
    </row>
    <row r="964" spans="3:3" ht="15.75" customHeight="1" x14ac:dyDescent="0.3">
      <c r="C964" s="26"/>
    </row>
    <row r="965" spans="3:3" ht="15.75" customHeight="1" x14ac:dyDescent="0.3">
      <c r="C965" s="26"/>
    </row>
    <row r="966" spans="3:3" ht="15.75" customHeight="1" x14ac:dyDescent="0.3">
      <c r="C966" s="26"/>
    </row>
    <row r="967" spans="3:3" ht="15.75" customHeight="1" x14ac:dyDescent="0.3">
      <c r="C967" s="26"/>
    </row>
    <row r="968" spans="3:3" ht="15.75" customHeight="1" x14ac:dyDescent="0.3">
      <c r="C968" s="26"/>
    </row>
    <row r="969" spans="3:3" ht="15.75" customHeight="1" x14ac:dyDescent="0.3">
      <c r="C969" s="26"/>
    </row>
    <row r="970" spans="3:3" ht="15.75" customHeight="1" x14ac:dyDescent="0.3">
      <c r="C970" s="26"/>
    </row>
    <row r="971" spans="3:3" ht="15.75" customHeight="1" x14ac:dyDescent="0.3">
      <c r="C971" s="26"/>
    </row>
    <row r="972" spans="3:3" ht="15.75" customHeight="1" x14ac:dyDescent="0.3">
      <c r="C972" s="26"/>
    </row>
    <row r="973" spans="3:3" ht="15.75" customHeight="1" x14ac:dyDescent="0.3">
      <c r="C973" s="26"/>
    </row>
    <row r="974" spans="3:3" ht="15.75" customHeight="1" x14ac:dyDescent="0.3">
      <c r="C974" s="26"/>
    </row>
    <row r="975" spans="3:3" ht="15.75" customHeight="1" x14ac:dyDescent="0.3">
      <c r="C975" s="26"/>
    </row>
    <row r="976" spans="3:3" ht="15.75" customHeight="1" x14ac:dyDescent="0.3">
      <c r="C976" s="26"/>
    </row>
    <row r="977" spans="3:3" ht="15.75" customHeight="1" x14ac:dyDescent="0.3">
      <c r="C977" s="26"/>
    </row>
    <row r="978" spans="3:3" ht="15.75" customHeight="1" x14ac:dyDescent="0.3">
      <c r="C978" s="26"/>
    </row>
    <row r="979" spans="3:3" ht="15.75" customHeight="1" x14ac:dyDescent="0.3">
      <c r="C979" s="26"/>
    </row>
    <row r="980" spans="3:3" ht="15.75" customHeight="1" x14ac:dyDescent="0.3">
      <c r="C980" s="26"/>
    </row>
    <row r="981" spans="3:3" ht="15.75" customHeight="1" x14ac:dyDescent="0.3">
      <c r="C981" s="26"/>
    </row>
    <row r="982" spans="3:3" ht="15.75" customHeight="1" x14ac:dyDescent="0.3">
      <c r="C982" s="26"/>
    </row>
    <row r="983" spans="3:3" ht="15.75" customHeight="1" x14ac:dyDescent="0.3">
      <c r="C983" s="26"/>
    </row>
    <row r="984" spans="3:3" ht="15.75" customHeight="1" x14ac:dyDescent="0.3">
      <c r="C984" s="26"/>
    </row>
    <row r="985" spans="3:3" ht="15.75" customHeight="1" x14ac:dyDescent="0.3">
      <c r="C985" s="26"/>
    </row>
    <row r="986" spans="3:3" ht="15.75" customHeight="1" x14ac:dyDescent="0.3">
      <c r="C986" s="26"/>
    </row>
    <row r="987" spans="3:3" ht="15.75" customHeight="1" x14ac:dyDescent="0.3">
      <c r="C987" s="26"/>
    </row>
    <row r="988" spans="3:3" ht="15.75" customHeight="1" x14ac:dyDescent="0.3">
      <c r="C988" s="26"/>
    </row>
    <row r="989" spans="3:3" ht="15.75" customHeight="1" x14ac:dyDescent="0.3">
      <c r="C989" s="26"/>
    </row>
    <row r="990" spans="3:3" ht="15.75" customHeight="1" x14ac:dyDescent="0.3">
      <c r="C990" s="26"/>
    </row>
    <row r="991" spans="3:3" ht="15.75" customHeight="1" x14ac:dyDescent="0.3">
      <c r="C991" s="26"/>
    </row>
    <row r="992" spans="3:3" ht="15.75" customHeight="1" x14ac:dyDescent="0.3">
      <c r="C992" s="26"/>
    </row>
    <row r="993" spans="3:3" ht="15.75" customHeight="1" x14ac:dyDescent="0.3">
      <c r="C993" s="26"/>
    </row>
    <row r="994" spans="3:3" ht="15.75" customHeight="1" x14ac:dyDescent="0.3">
      <c r="C994" s="26"/>
    </row>
    <row r="995" spans="3:3" ht="15.75" customHeight="1" x14ac:dyDescent="0.3">
      <c r="C995" s="26"/>
    </row>
    <row r="996" spans="3:3" ht="15.75" customHeight="1" x14ac:dyDescent="0.3">
      <c r="C996" s="26"/>
    </row>
    <row r="997" spans="3:3" ht="15.75" customHeight="1" x14ac:dyDescent="0.3">
      <c r="C997" s="26"/>
    </row>
    <row r="998" spans="3:3" ht="15.75" customHeight="1" x14ac:dyDescent="0.3">
      <c r="C998" s="26"/>
    </row>
    <row r="999" spans="3:3" ht="15.75" customHeight="1" x14ac:dyDescent="0.3">
      <c r="C999" s="26"/>
    </row>
    <row r="1000" spans="3:3" ht="15.75" customHeight="1" x14ac:dyDescent="0.3">
      <c r="C1000" s="26"/>
    </row>
  </sheetData>
  <mergeCells count="3">
    <mergeCell ref="A1:A3"/>
    <mergeCell ref="B1:B3"/>
    <mergeCell ref="C1:C3"/>
  </mergeCells>
  <pageMargins left="0.7" right="0.7" top="0.75" bottom="0.75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opLeftCell="A94" workbookViewId="0">
      <selection activeCell="J107" sqref="J107"/>
    </sheetView>
  </sheetViews>
  <sheetFormatPr defaultColWidth="14.44140625" defaultRowHeight="15" customHeight="1" x14ac:dyDescent="0.3"/>
  <cols>
    <col min="1" max="1" width="9.33203125" customWidth="1"/>
    <col min="2" max="2" width="18.33203125" customWidth="1"/>
    <col min="3" max="26" width="8.6640625" customWidth="1"/>
  </cols>
  <sheetData>
    <row r="1" spans="1:3" ht="14.4" x14ac:dyDescent="0.3">
      <c r="A1" s="40" t="s">
        <v>140</v>
      </c>
      <c r="B1" s="40" t="s">
        <v>141</v>
      </c>
    </row>
    <row r="2" spans="1:3" ht="14.4" x14ac:dyDescent="0.3">
      <c r="A2" s="40">
        <v>1</v>
      </c>
      <c r="B2" s="40">
        <v>68</v>
      </c>
    </row>
    <row r="3" spans="1:3" ht="14.4" x14ac:dyDescent="0.3">
      <c r="A3" s="40">
        <v>2</v>
      </c>
      <c r="B3" s="40">
        <v>87</v>
      </c>
    </row>
    <row r="4" spans="1:3" ht="14.4" x14ac:dyDescent="0.3">
      <c r="A4" s="40">
        <v>3</v>
      </c>
      <c r="B4" s="40">
        <v>30</v>
      </c>
    </row>
    <row r="5" spans="1:3" ht="14.4" x14ac:dyDescent="0.3">
      <c r="A5" s="40">
        <v>4</v>
      </c>
      <c r="B5" s="69">
        <v>79</v>
      </c>
      <c r="C5" s="69" t="s">
        <v>121</v>
      </c>
    </row>
    <row r="6" spans="1:3" ht="14.4" x14ac:dyDescent="0.3">
      <c r="A6" s="40">
        <v>5</v>
      </c>
      <c r="B6" s="40">
        <v>42</v>
      </c>
    </row>
    <row r="7" spans="1:3" ht="14.4" x14ac:dyDescent="0.3">
      <c r="A7" s="40">
        <v>6</v>
      </c>
      <c r="B7" s="40">
        <v>90</v>
      </c>
    </row>
    <row r="8" spans="1:3" ht="14.4" x14ac:dyDescent="0.3">
      <c r="A8" s="40">
        <v>7</v>
      </c>
      <c r="B8" s="40">
        <v>54</v>
      </c>
    </row>
    <row r="9" spans="1:3" ht="14.4" x14ac:dyDescent="0.3">
      <c r="A9" s="40">
        <v>8</v>
      </c>
      <c r="B9" s="69">
        <v>64</v>
      </c>
      <c r="C9" s="69" t="s">
        <v>121</v>
      </c>
    </row>
    <row r="10" spans="1:3" ht="14.4" x14ac:dyDescent="0.3">
      <c r="A10" s="40">
        <v>9</v>
      </c>
      <c r="B10" s="40">
        <v>93</v>
      </c>
    </row>
    <row r="11" spans="1:3" ht="14.4" x14ac:dyDescent="0.3">
      <c r="A11" s="40">
        <v>10</v>
      </c>
      <c r="B11" s="40">
        <v>29</v>
      </c>
    </row>
    <row r="12" spans="1:3" ht="14.4" x14ac:dyDescent="0.3">
      <c r="A12" s="40">
        <v>11</v>
      </c>
      <c r="B12" s="40">
        <v>41</v>
      </c>
    </row>
    <row r="13" spans="1:3" ht="14.4" x14ac:dyDescent="0.3">
      <c r="A13" s="40">
        <v>12</v>
      </c>
      <c r="B13" s="69">
        <v>13</v>
      </c>
      <c r="C13" s="69" t="s">
        <v>121</v>
      </c>
    </row>
    <row r="14" spans="1:3" ht="14.4" x14ac:dyDescent="0.3">
      <c r="A14" s="40">
        <v>13</v>
      </c>
      <c r="B14" s="40">
        <v>22</v>
      </c>
    </row>
    <row r="15" spans="1:3" ht="14.4" x14ac:dyDescent="0.3">
      <c r="A15" s="40">
        <v>14</v>
      </c>
      <c r="B15" s="40">
        <v>11</v>
      </c>
    </row>
    <row r="16" spans="1:3" ht="14.4" x14ac:dyDescent="0.3">
      <c r="A16" s="40">
        <v>15</v>
      </c>
      <c r="B16" s="40">
        <v>45</v>
      </c>
    </row>
    <row r="17" spans="1:3" ht="14.4" x14ac:dyDescent="0.3">
      <c r="A17" s="40">
        <v>16</v>
      </c>
      <c r="B17" s="69">
        <v>86</v>
      </c>
      <c r="C17" s="69" t="s">
        <v>121</v>
      </c>
    </row>
    <row r="18" spans="1:3" ht="14.4" x14ac:dyDescent="0.3">
      <c r="A18" s="40">
        <v>17</v>
      </c>
      <c r="B18" s="40">
        <v>48</v>
      </c>
    </row>
    <row r="19" spans="1:3" ht="14.4" x14ac:dyDescent="0.3">
      <c r="A19" s="40">
        <v>18</v>
      </c>
      <c r="B19" s="40">
        <v>78</v>
      </c>
    </row>
    <row r="20" spans="1:3" ht="14.4" x14ac:dyDescent="0.3">
      <c r="A20" s="40">
        <v>19</v>
      </c>
      <c r="B20" s="40">
        <v>65</v>
      </c>
    </row>
    <row r="21" spans="1:3" ht="15.75" customHeight="1" x14ac:dyDescent="0.3">
      <c r="A21" s="40">
        <v>20</v>
      </c>
      <c r="B21" s="69">
        <v>74</v>
      </c>
      <c r="C21" s="69" t="s">
        <v>121</v>
      </c>
    </row>
    <row r="22" spans="1:3" ht="15.75" customHeight="1" x14ac:dyDescent="0.3">
      <c r="A22" s="40">
        <v>21</v>
      </c>
      <c r="B22" s="40">
        <v>77</v>
      </c>
    </row>
    <row r="23" spans="1:3" ht="15.75" customHeight="1" x14ac:dyDescent="0.3">
      <c r="A23" s="40">
        <v>22</v>
      </c>
      <c r="B23" s="40">
        <v>44</v>
      </c>
    </row>
    <row r="24" spans="1:3" ht="15.75" customHeight="1" x14ac:dyDescent="0.3">
      <c r="A24" s="40">
        <v>23</v>
      </c>
      <c r="B24" s="40">
        <v>33</v>
      </c>
    </row>
    <row r="25" spans="1:3" ht="15.75" customHeight="1" x14ac:dyDescent="0.3">
      <c r="A25" s="40">
        <v>24</v>
      </c>
      <c r="B25" s="69">
        <v>16</v>
      </c>
      <c r="C25" s="69" t="s">
        <v>121</v>
      </c>
    </row>
    <row r="26" spans="1:3" ht="15.75" customHeight="1" x14ac:dyDescent="0.3">
      <c r="A26" s="40">
        <v>25</v>
      </c>
      <c r="B26" s="40">
        <v>72</v>
      </c>
    </row>
    <row r="27" spans="1:3" ht="15.75" customHeight="1" x14ac:dyDescent="0.3">
      <c r="A27" s="40">
        <v>26</v>
      </c>
      <c r="B27" s="40">
        <v>32</v>
      </c>
    </row>
    <row r="28" spans="1:3" ht="15.75" customHeight="1" x14ac:dyDescent="0.3">
      <c r="A28" s="40">
        <v>27</v>
      </c>
      <c r="B28" s="40">
        <v>70</v>
      </c>
    </row>
    <row r="29" spans="1:3" ht="15.75" customHeight="1" x14ac:dyDescent="0.3">
      <c r="A29" s="40">
        <v>28</v>
      </c>
      <c r="B29" s="69">
        <v>8</v>
      </c>
      <c r="C29" s="69" t="s">
        <v>121</v>
      </c>
    </row>
    <row r="30" spans="1:3" ht="15.75" customHeight="1" x14ac:dyDescent="0.3">
      <c r="A30" s="40">
        <v>29</v>
      </c>
      <c r="B30" s="40">
        <v>38</v>
      </c>
    </row>
    <row r="31" spans="1:3" ht="15.75" customHeight="1" x14ac:dyDescent="0.3">
      <c r="A31" s="40">
        <v>30</v>
      </c>
      <c r="B31" s="40">
        <v>18</v>
      </c>
    </row>
    <row r="32" spans="1:3" ht="15.75" customHeight="1" x14ac:dyDescent="0.3">
      <c r="A32" s="40">
        <v>31</v>
      </c>
      <c r="B32" s="40">
        <v>34</v>
      </c>
    </row>
    <row r="33" spans="1:3" ht="15.75" customHeight="1" x14ac:dyDescent="0.3">
      <c r="A33" s="40">
        <v>32</v>
      </c>
      <c r="B33" s="69">
        <v>44</v>
      </c>
      <c r="C33" s="69" t="s">
        <v>121</v>
      </c>
    </row>
    <row r="34" spans="1:3" ht="15.75" customHeight="1" x14ac:dyDescent="0.3">
      <c r="A34" s="40">
        <v>33</v>
      </c>
      <c r="B34" s="40">
        <v>62</v>
      </c>
    </row>
    <row r="35" spans="1:3" ht="15.75" customHeight="1" x14ac:dyDescent="0.3">
      <c r="A35" s="40">
        <v>34</v>
      </c>
      <c r="B35" s="40">
        <v>1</v>
      </c>
    </row>
    <row r="36" spans="1:3" ht="15.75" customHeight="1" x14ac:dyDescent="0.3">
      <c r="A36" s="40">
        <v>35</v>
      </c>
      <c r="B36" s="40">
        <v>80</v>
      </c>
    </row>
    <row r="37" spans="1:3" ht="15.75" customHeight="1" x14ac:dyDescent="0.3">
      <c r="A37" s="40">
        <v>36</v>
      </c>
      <c r="B37" s="69">
        <v>82</v>
      </c>
      <c r="C37" s="69" t="s">
        <v>121</v>
      </c>
    </row>
    <row r="38" spans="1:3" ht="15.75" customHeight="1" x14ac:dyDescent="0.3">
      <c r="A38" s="40">
        <v>37</v>
      </c>
      <c r="B38" s="40">
        <v>45</v>
      </c>
    </row>
    <row r="39" spans="1:3" ht="15.75" customHeight="1" x14ac:dyDescent="0.3">
      <c r="A39" s="40">
        <v>38</v>
      </c>
      <c r="B39" s="40">
        <v>35</v>
      </c>
    </row>
    <row r="40" spans="1:3" ht="15.75" customHeight="1" x14ac:dyDescent="0.3">
      <c r="A40" s="40">
        <v>39</v>
      </c>
      <c r="B40" s="40">
        <v>75</v>
      </c>
    </row>
    <row r="41" spans="1:3" ht="15.75" customHeight="1" x14ac:dyDescent="0.3">
      <c r="A41" s="40">
        <v>40</v>
      </c>
      <c r="B41" s="69">
        <v>49</v>
      </c>
      <c r="C41" s="69" t="s">
        <v>121</v>
      </c>
    </row>
    <row r="42" spans="1:3" ht="15.75" customHeight="1" x14ac:dyDescent="0.3">
      <c r="A42" s="40">
        <v>41</v>
      </c>
      <c r="B42" s="40">
        <v>25</v>
      </c>
    </row>
    <row r="43" spans="1:3" ht="15.75" customHeight="1" x14ac:dyDescent="0.3">
      <c r="A43" s="40">
        <v>42</v>
      </c>
      <c r="B43" s="40">
        <v>63</v>
      </c>
    </row>
    <row r="44" spans="1:3" ht="15.75" customHeight="1" x14ac:dyDescent="0.3">
      <c r="A44" s="40">
        <v>43</v>
      </c>
      <c r="B44" s="40">
        <v>39</v>
      </c>
    </row>
    <row r="45" spans="1:3" ht="15.75" customHeight="1" x14ac:dyDescent="0.3">
      <c r="A45" s="40">
        <v>44</v>
      </c>
      <c r="B45" s="69">
        <v>81</v>
      </c>
      <c r="C45" s="69" t="s">
        <v>121</v>
      </c>
    </row>
    <row r="46" spans="1:3" ht="15.75" customHeight="1" x14ac:dyDescent="0.3">
      <c r="A46" s="40">
        <v>45</v>
      </c>
      <c r="B46" s="40">
        <v>61</v>
      </c>
    </row>
    <row r="47" spans="1:3" ht="15.75" customHeight="1" x14ac:dyDescent="0.3">
      <c r="A47" s="40">
        <v>46</v>
      </c>
      <c r="B47" s="40">
        <v>92</v>
      </c>
    </row>
    <row r="48" spans="1:3" ht="15.75" customHeight="1" x14ac:dyDescent="0.3">
      <c r="A48" s="40">
        <v>47</v>
      </c>
      <c r="B48" s="40">
        <v>15</v>
      </c>
    </row>
    <row r="49" spans="1:4" ht="15.75" customHeight="1" x14ac:dyDescent="0.3">
      <c r="A49" s="40">
        <v>48</v>
      </c>
      <c r="B49" s="69">
        <v>111</v>
      </c>
      <c r="C49" s="69" t="s">
        <v>121</v>
      </c>
    </row>
    <row r="50" spans="1:4" ht="15.75" customHeight="1" x14ac:dyDescent="0.3">
      <c r="A50" s="40">
        <v>49</v>
      </c>
      <c r="D50" s="40">
        <v>101</v>
      </c>
    </row>
    <row r="51" spans="1:4" ht="15.75" customHeight="1" x14ac:dyDescent="0.3">
      <c r="A51" s="40">
        <v>50</v>
      </c>
      <c r="B51" s="40">
        <v>106</v>
      </c>
    </row>
    <row r="52" spans="1:4" ht="15.75" customHeight="1" x14ac:dyDescent="0.3">
      <c r="A52" s="40">
        <v>51</v>
      </c>
      <c r="B52" s="40">
        <v>105</v>
      </c>
    </row>
    <row r="53" spans="1:4" ht="15.75" customHeight="1" x14ac:dyDescent="0.3">
      <c r="A53" s="40">
        <v>52</v>
      </c>
      <c r="B53" s="69">
        <v>95</v>
      </c>
      <c r="C53" s="69" t="s">
        <v>121</v>
      </c>
    </row>
    <row r="54" spans="1:4" ht="15.75" customHeight="1" x14ac:dyDescent="0.3">
      <c r="A54" s="40">
        <v>53</v>
      </c>
      <c r="B54" s="40">
        <v>108</v>
      </c>
    </row>
    <row r="55" spans="1:4" ht="15.75" customHeight="1" x14ac:dyDescent="0.3">
      <c r="A55" s="40">
        <v>54</v>
      </c>
      <c r="B55" s="40">
        <v>97</v>
      </c>
    </row>
    <row r="56" spans="1:4" ht="15.75" customHeight="1" x14ac:dyDescent="0.3">
      <c r="A56" s="40">
        <v>55</v>
      </c>
      <c r="B56" s="40">
        <v>102</v>
      </c>
      <c r="D56" s="40">
        <v>19</v>
      </c>
    </row>
    <row r="57" spans="1:4" ht="15.75" customHeight="1" x14ac:dyDescent="0.3">
      <c r="A57" s="40">
        <v>56</v>
      </c>
      <c r="B57" s="69">
        <v>52</v>
      </c>
      <c r="C57" s="69" t="s">
        <v>121</v>
      </c>
      <c r="D57" s="40">
        <v>100</v>
      </c>
    </row>
    <row r="58" spans="1:4" ht="15.75" customHeight="1" x14ac:dyDescent="0.3">
      <c r="A58" s="40">
        <v>57</v>
      </c>
      <c r="B58" s="40">
        <v>31</v>
      </c>
      <c r="D58" s="40">
        <v>113</v>
      </c>
    </row>
    <row r="59" spans="1:4" ht="15.75" customHeight="1" x14ac:dyDescent="0.3">
      <c r="A59" s="40">
        <v>58</v>
      </c>
      <c r="B59" s="40">
        <v>69</v>
      </c>
      <c r="D59" s="40">
        <v>110</v>
      </c>
    </row>
    <row r="60" spans="1:4" ht="15.75" customHeight="1" x14ac:dyDescent="0.3">
      <c r="A60" s="40">
        <v>59</v>
      </c>
      <c r="B60" s="40">
        <v>4</v>
      </c>
    </row>
    <row r="61" spans="1:4" ht="15.75" customHeight="1" x14ac:dyDescent="0.3">
      <c r="A61" s="40">
        <v>60</v>
      </c>
      <c r="B61" s="69"/>
      <c r="C61" s="69" t="s">
        <v>121</v>
      </c>
    </row>
    <row r="62" spans="1:4" ht="15.75" customHeight="1" x14ac:dyDescent="0.3">
      <c r="A62" s="40">
        <v>61</v>
      </c>
    </row>
    <row r="63" spans="1:4" ht="15.75" customHeight="1" x14ac:dyDescent="0.3">
      <c r="A63" s="40">
        <v>62</v>
      </c>
      <c r="B63" s="40">
        <v>40</v>
      </c>
    </row>
    <row r="64" spans="1:4" ht="15.75" customHeight="1" x14ac:dyDescent="0.3">
      <c r="A64" s="40">
        <v>63</v>
      </c>
      <c r="B64" s="40">
        <v>66</v>
      </c>
    </row>
    <row r="65" spans="1:3" ht="15.75" customHeight="1" x14ac:dyDescent="0.3">
      <c r="A65" s="40">
        <v>64</v>
      </c>
      <c r="B65" s="69"/>
      <c r="C65" s="69" t="s">
        <v>121</v>
      </c>
    </row>
    <row r="66" spans="1:3" ht="15.75" customHeight="1" x14ac:dyDescent="0.3">
      <c r="A66" s="40">
        <v>65</v>
      </c>
    </row>
    <row r="67" spans="1:3" ht="15.75" customHeight="1" x14ac:dyDescent="0.3">
      <c r="A67" s="40">
        <v>66</v>
      </c>
      <c r="B67" s="40">
        <v>94</v>
      </c>
    </row>
    <row r="68" spans="1:3" ht="15.75" customHeight="1" x14ac:dyDescent="0.3">
      <c r="A68" s="40">
        <v>67</v>
      </c>
      <c r="B68" s="40">
        <v>53</v>
      </c>
    </row>
    <row r="69" spans="1:3" ht="15.75" customHeight="1" x14ac:dyDescent="0.3">
      <c r="A69" s="40">
        <v>68</v>
      </c>
      <c r="B69" s="69"/>
      <c r="C69" s="69" t="s">
        <v>121</v>
      </c>
    </row>
    <row r="70" spans="1:3" ht="15.75" customHeight="1" x14ac:dyDescent="0.3">
      <c r="A70" s="40">
        <v>69</v>
      </c>
      <c r="B70" s="40">
        <v>2</v>
      </c>
    </row>
    <row r="71" spans="1:3" ht="15.75" customHeight="1" x14ac:dyDescent="0.3">
      <c r="A71" s="40">
        <v>70</v>
      </c>
      <c r="B71" s="40">
        <v>112</v>
      </c>
    </row>
    <row r="72" spans="1:3" ht="15.75" customHeight="1" x14ac:dyDescent="0.3">
      <c r="A72" s="40">
        <v>71</v>
      </c>
      <c r="B72" s="40">
        <v>71</v>
      </c>
    </row>
    <row r="73" spans="1:3" ht="15.75" customHeight="1" x14ac:dyDescent="0.3">
      <c r="A73" s="40">
        <v>72</v>
      </c>
      <c r="B73" s="69"/>
      <c r="C73" s="69" t="s">
        <v>121</v>
      </c>
    </row>
    <row r="74" spans="1:3" ht="15.75" customHeight="1" x14ac:dyDescent="0.3">
      <c r="A74" s="40">
        <v>73</v>
      </c>
    </row>
    <row r="75" spans="1:3" ht="15.75" customHeight="1" x14ac:dyDescent="0.3">
      <c r="A75" s="40">
        <v>74</v>
      </c>
    </row>
    <row r="76" spans="1:3" ht="15.75" customHeight="1" x14ac:dyDescent="0.3">
      <c r="A76" s="40">
        <v>75</v>
      </c>
    </row>
    <row r="77" spans="1:3" ht="15.75" customHeight="1" x14ac:dyDescent="0.3">
      <c r="A77" s="40">
        <v>76</v>
      </c>
      <c r="B77" s="69"/>
      <c r="C77" s="69" t="s">
        <v>121</v>
      </c>
    </row>
    <row r="78" spans="1:3" ht="15.75" customHeight="1" x14ac:dyDescent="0.3">
      <c r="A78" s="40">
        <v>77</v>
      </c>
    </row>
    <row r="79" spans="1:3" ht="15.75" customHeight="1" x14ac:dyDescent="0.3">
      <c r="A79" s="40">
        <v>78</v>
      </c>
    </row>
    <row r="80" spans="1:3" ht="15.75" customHeight="1" x14ac:dyDescent="0.3">
      <c r="A80" s="40">
        <v>79</v>
      </c>
    </row>
    <row r="81" spans="1:3" ht="15.75" customHeight="1" x14ac:dyDescent="0.3">
      <c r="A81" s="40">
        <v>80</v>
      </c>
      <c r="B81" s="69"/>
      <c r="C81" s="69" t="s">
        <v>121</v>
      </c>
    </row>
    <row r="82" spans="1:3" ht="15.75" customHeight="1" x14ac:dyDescent="0.3">
      <c r="A82" s="40">
        <v>81</v>
      </c>
    </row>
    <row r="83" spans="1:3" ht="15.75" customHeight="1" x14ac:dyDescent="0.3">
      <c r="A83" s="40">
        <v>82</v>
      </c>
    </row>
    <row r="84" spans="1:3" ht="15.75" customHeight="1" x14ac:dyDescent="0.3">
      <c r="A84" s="40">
        <v>83</v>
      </c>
    </row>
    <row r="85" spans="1:3" ht="15.75" customHeight="1" x14ac:dyDescent="0.3">
      <c r="A85" s="40">
        <v>84</v>
      </c>
      <c r="B85" s="69"/>
      <c r="C85" s="69" t="s">
        <v>121</v>
      </c>
    </row>
    <row r="86" spans="1:3" ht="15.75" customHeight="1" x14ac:dyDescent="0.3">
      <c r="A86" s="40">
        <v>85</v>
      </c>
    </row>
    <row r="87" spans="1:3" ht="15.75" customHeight="1" x14ac:dyDescent="0.3">
      <c r="A87" s="40">
        <v>86</v>
      </c>
    </row>
    <row r="88" spans="1:3" ht="15.75" customHeight="1" x14ac:dyDescent="0.3">
      <c r="A88" s="40">
        <v>87</v>
      </c>
    </row>
    <row r="89" spans="1:3" ht="15.75" customHeight="1" x14ac:dyDescent="0.3">
      <c r="A89" s="40">
        <v>88</v>
      </c>
      <c r="B89" s="69"/>
      <c r="C89" s="69" t="s">
        <v>121</v>
      </c>
    </row>
    <row r="90" spans="1:3" ht="15.75" customHeight="1" x14ac:dyDescent="0.3">
      <c r="A90" s="40">
        <v>89</v>
      </c>
    </row>
    <row r="91" spans="1:3" ht="15.75" customHeight="1" x14ac:dyDescent="0.3">
      <c r="A91" s="40">
        <v>90</v>
      </c>
    </row>
    <row r="92" spans="1:3" ht="15.75" customHeight="1" x14ac:dyDescent="0.3">
      <c r="A92" s="40">
        <v>91</v>
      </c>
    </row>
    <row r="93" spans="1:3" ht="15.75" customHeight="1" x14ac:dyDescent="0.3">
      <c r="A93" s="40">
        <v>92</v>
      </c>
      <c r="B93" s="69"/>
      <c r="C93" s="69" t="s">
        <v>121</v>
      </c>
    </row>
    <row r="94" spans="1:3" ht="15.75" customHeight="1" x14ac:dyDescent="0.3">
      <c r="A94" s="40">
        <v>93</v>
      </c>
    </row>
    <row r="95" spans="1:3" ht="15.75" customHeight="1" x14ac:dyDescent="0.3">
      <c r="A95" s="40">
        <v>94</v>
      </c>
    </row>
    <row r="96" spans="1:3" ht="15.75" customHeight="1" x14ac:dyDescent="0.3">
      <c r="A96" s="40">
        <v>95</v>
      </c>
    </row>
    <row r="97" spans="1:3" ht="15.75" customHeight="1" x14ac:dyDescent="0.3">
      <c r="A97" s="40">
        <v>96</v>
      </c>
      <c r="B97" s="69"/>
      <c r="C97" s="69" t="s">
        <v>121</v>
      </c>
    </row>
    <row r="98" spans="1:3" ht="15.75" customHeight="1" x14ac:dyDescent="0.3">
      <c r="A98" s="40">
        <v>97</v>
      </c>
    </row>
    <row r="99" spans="1:3" ht="15.75" customHeight="1" x14ac:dyDescent="0.3">
      <c r="A99" s="40">
        <v>98</v>
      </c>
    </row>
    <row r="100" spans="1:3" ht="15.75" customHeight="1" x14ac:dyDescent="0.3">
      <c r="A100" s="40">
        <v>99</v>
      </c>
    </row>
    <row r="101" spans="1:3" ht="15.75" customHeight="1" x14ac:dyDescent="0.3">
      <c r="A101" s="40">
        <v>100</v>
      </c>
      <c r="B101" s="69"/>
      <c r="C101" s="69" t="s">
        <v>121</v>
      </c>
    </row>
    <row r="102" spans="1:3" ht="15.75" customHeight="1" x14ac:dyDescent="0.3">
      <c r="A102" s="40">
        <v>101</v>
      </c>
    </row>
    <row r="103" spans="1:3" ht="15.75" customHeight="1" x14ac:dyDescent="0.3">
      <c r="A103" s="40">
        <v>102</v>
      </c>
    </row>
    <row r="104" spans="1:3" ht="15.75" customHeight="1" x14ac:dyDescent="0.3">
      <c r="A104" s="40">
        <v>103</v>
      </c>
    </row>
    <row r="105" spans="1:3" ht="15.75" customHeight="1" x14ac:dyDescent="0.3">
      <c r="A105" s="40">
        <v>104</v>
      </c>
      <c r="B105" s="69"/>
      <c r="C105" s="69" t="s">
        <v>121</v>
      </c>
    </row>
    <row r="106" spans="1:3" ht="15.75" customHeight="1" x14ac:dyDescent="0.3">
      <c r="A106" s="40">
        <v>105</v>
      </c>
    </row>
    <row r="107" spans="1:3" ht="15.75" customHeight="1" x14ac:dyDescent="0.3">
      <c r="A107" s="40">
        <v>106</v>
      </c>
    </row>
    <row r="108" spans="1:3" ht="15.75" customHeight="1" x14ac:dyDescent="0.3">
      <c r="A108" s="40">
        <v>107</v>
      </c>
    </row>
    <row r="109" spans="1:3" ht="15.75" customHeight="1" x14ac:dyDescent="0.3">
      <c r="A109" s="40">
        <v>108</v>
      </c>
      <c r="B109" s="69"/>
      <c r="C109" s="69" t="s">
        <v>121</v>
      </c>
    </row>
    <row r="110" spans="1:3" ht="15.75" customHeight="1" x14ac:dyDescent="0.3">
      <c r="A110" s="40">
        <v>109</v>
      </c>
    </row>
    <row r="111" spans="1:3" ht="15.75" customHeight="1" x14ac:dyDescent="0.3">
      <c r="A111" s="40">
        <v>110</v>
      </c>
    </row>
    <row r="112" spans="1:3" ht="15.75" customHeight="1" x14ac:dyDescent="0.3">
      <c r="A112" s="40">
        <v>111</v>
      </c>
    </row>
    <row r="113" spans="1:3" ht="15.75" customHeight="1" x14ac:dyDescent="0.3">
      <c r="A113" s="40">
        <v>112</v>
      </c>
      <c r="B113" s="69"/>
      <c r="C113" s="69" t="s">
        <v>121</v>
      </c>
    </row>
    <row r="114" spans="1:3" ht="15.75" customHeight="1" x14ac:dyDescent="0.3">
      <c r="A114" s="40">
        <v>113</v>
      </c>
    </row>
    <row r="115" spans="1:3" ht="15.75" customHeight="1" x14ac:dyDescent="0.3">
      <c r="A115" s="40">
        <v>114</v>
      </c>
    </row>
    <row r="116" spans="1:3" ht="15.75" customHeight="1" x14ac:dyDescent="0.3">
      <c r="A116" s="40">
        <v>115</v>
      </c>
    </row>
    <row r="117" spans="1:3" ht="15.75" customHeight="1" x14ac:dyDescent="0.3">
      <c r="A117" s="40">
        <v>116</v>
      </c>
      <c r="B117" s="69"/>
      <c r="C117" s="69" t="s">
        <v>121</v>
      </c>
    </row>
    <row r="118" spans="1:3" ht="15.75" customHeight="1" x14ac:dyDescent="0.3">
      <c r="A118" s="40">
        <v>117</v>
      </c>
    </row>
    <row r="119" spans="1:3" ht="15.75" customHeight="1" x14ac:dyDescent="0.3">
      <c r="A119" s="40">
        <v>118</v>
      </c>
    </row>
    <row r="120" spans="1:3" ht="15.75" customHeight="1" x14ac:dyDescent="0.3">
      <c r="B120" s="40">
        <f>COUNT(B2:B119)</f>
        <v>65</v>
      </c>
    </row>
    <row r="121" spans="1:3" ht="15.75" customHeight="1" x14ac:dyDescent="0.3"/>
    <row r="122" spans="1:3" ht="15.75" customHeight="1" x14ac:dyDescent="0.3"/>
    <row r="123" spans="1:3" ht="15.75" customHeight="1" x14ac:dyDescent="0.3"/>
    <row r="124" spans="1:3" ht="15.75" customHeight="1" x14ac:dyDescent="0.3"/>
    <row r="125" spans="1:3" ht="15.75" customHeight="1" x14ac:dyDescent="0.3"/>
    <row r="126" spans="1:3" ht="15.75" customHeight="1" x14ac:dyDescent="0.3"/>
    <row r="127" spans="1:3" ht="15.75" customHeight="1" x14ac:dyDescent="0.3"/>
    <row r="128" spans="1:3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B1:B119" xr:uid="{00000000-0009-0000-0000-000006000000}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ዕቁብ</vt:lpstr>
      <vt:lpstr>ቦኖ</vt:lpstr>
      <vt:lpstr>Sheet4</vt:lpstr>
      <vt:lpstr>Sheet3</vt:lpstr>
      <vt:lpstr>List</vt:lpstr>
      <vt:lpstr>Sheet2</vt:lpstr>
      <vt:lpstr>Draw Winner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Mapi</dc:creator>
  <cp:keywords/>
  <dc:description/>
  <cp:lastModifiedBy>Tesfaledet Habte</cp:lastModifiedBy>
  <cp:revision/>
  <cp:lastPrinted>2024-11-27T13:20:02Z</cp:lastPrinted>
  <dcterms:created xsi:type="dcterms:W3CDTF">2023-11-28T08:30:23Z</dcterms:created>
  <dcterms:modified xsi:type="dcterms:W3CDTF">2026-05-04T00:02:20Z</dcterms:modified>
  <cp:category/>
  <cp:contentStatus/>
</cp:coreProperties>
</file>